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9351" documentId="8_{EB75218D-2B89-4C0B-9C31-74AD954AF6A1}" xr6:coauthVersionLast="47" xr6:coauthVersionMax="47" xr10:uidLastSave="{7327601C-9D5D-4FF4-A1D8-37803C44A422}"/>
  <bookViews>
    <workbookView xWindow="28680" yWindow="-75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pendientes'!$A$1:$V$100</definedName>
    <definedName name="_xlnm._FilterDatabase" localSheetId="0" hidden="1">'GESTION MOMENTUM'!$A$42:$I$119</definedName>
    <definedName name="_xlnm._FilterDatabase" localSheetId="5" hidden="1">'Posicion cuotapartista'!#REF!</definedName>
    <definedName name="_xlnm._FilterDatabase" localSheetId="4" hidden="1">'Reporte de Cheques'!$A$3:$AI$2432</definedName>
    <definedName name="DatosExternos_1" localSheetId="0" hidden="1">'GESTION MOMENTUM'!$U$66:$W$68</definedName>
  </definedNames>
  <calcPr calcId="191029"/>
  <pivotCaches>
    <pivotCache cacheId="8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5" i="3" l="1"/>
  <c r="I106" i="3"/>
  <c r="M12" i="1"/>
  <c r="N12" i="1"/>
  <c r="L12" i="1"/>
  <c r="M11" i="1"/>
  <c r="N11" i="1"/>
  <c r="L11" i="1"/>
  <c r="W1365" i="7"/>
  <c r="W2639" i="7"/>
  <c r="W2649" i="7"/>
  <c r="W2658" i="7"/>
  <c r="W2678" i="7"/>
  <c r="W2133" i="7"/>
  <c r="W2262" i="7"/>
  <c r="W667" i="7"/>
  <c r="W1129" i="7"/>
  <c r="W1216" i="7"/>
  <c r="W1366" i="7"/>
  <c r="W1367" i="7"/>
  <c r="W668" i="7"/>
  <c r="W1368" i="7"/>
  <c r="W669" i="7"/>
  <c r="W2827" i="7"/>
  <c r="W1369" i="7"/>
  <c r="W2634" i="7"/>
  <c r="L13" i="1"/>
  <c r="I104" i="3"/>
  <c r="I103" i="3"/>
  <c r="I102" i="3" l="1"/>
  <c r="I101" i="3" l="1"/>
  <c r="L23" i="1"/>
  <c r="L14" i="1" l="1"/>
  <c r="I79" i="3" l="1"/>
  <c r="L11" i="3"/>
  <c r="D11" i="2" l="1"/>
  <c r="I100" i="3"/>
  <c r="L57" i="1"/>
  <c r="L60" i="1"/>
  <c r="L61" i="1" s="1"/>
  <c r="L72" i="1" l="1" a="1"/>
  <c r="M72" i="1" a="1"/>
  <c r="L65" i="1"/>
  <c r="K76" i="1" l="1" a="1"/>
  <c r="I99" i="3" l="1"/>
  <c r="I98" i="3" l="1"/>
  <c r="I97" i="3" l="1"/>
  <c r="I96" i="3" l="1"/>
  <c r="P11" i="1" l="1"/>
  <c r="Q11" i="1"/>
  <c r="R11" i="1"/>
  <c r="S11" i="1"/>
  <c r="T11" i="1"/>
  <c r="L10" i="1"/>
  <c r="L18" i="1" s="1"/>
  <c r="L27" i="1" s="1"/>
  <c r="I93" i="3" l="1"/>
  <c r="I94" i="3"/>
  <c r="I95" i="3"/>
  <c r="I92" i="3" l="1"/>
  <c r="I91" i="3" l="1"/>
  <c r="I90" i="3" l="1"/>
  <c r="I89" i="3" l="1"/>
  <c r="I88" i="3" l="1"/>
  <c r="E22" i="2" l="1"/>
  <c r="E18" i="2"/>
  <c r="F18" i="2" s="1"/>
  <c r="I87" i="3" l="1"/>
  <c r="I86" i="3" l="1"/>
  <c r="I85" i="3"/>
  <c r="I84" i="3"/>
  <c r="I83" i="3"/>
  <c r="I82" i="3"/>
  <c r="I81" i="3"/>
  <c r="I80" i="3" l="1"/>
  <c r="I78" i="3" l="1"/>
  <c r="L15" i="3" l="1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D10" i="2" l="1"/>
  <c r="F10" i="2" s="1"/>
  <c r="L70" i="1" l="1"/>
  <c r="N70" i="1" s="1"/>
  <c r="L67" i="1"/>
  <c r="O67" i="1" s="1"/>
  <c r="L68" i="1"/>
  <c r="N68" i="1" s="1"/>
  <c r="L69" i="1"/>
  <c r="F11" i="2"/>
  <c r="D2" i="2" l="1"/>
  <c r="F22" i="2"/>
  <c r="E17" i="2"/>
  <c r="F17" i="2" s="1"/>
  <c r="E16" i="2"/>
  <c r="F16" i="2" s="1"/>
  <c r="F13" i="2" l="1"/>
  <c r="F23" i="2"/>
  <c r="C24" i="2" l="1"/>
  <c r="V33" i="3"/>
  <c r="V34" i="3"/>
  <c r="U3" i="3" a="1"/>
  <c r="L12" i="3"/>
  <c r="L8" i="3"/>
  <c r="M15" i="3" s="1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N67" i="1" l="1"/>
  <c r="W2" i="7"/>
  <c r="D1" i="2"/>
  <c r="G2" i="2"/>
  <c r="I2" i="2" s="1"/>
  <c r="I3" i="2" s="1"/>
  <c r="D3" i="2"/>
  <c r="D4" i="2"/>
  <c r="D5" i="2"/>
  <c r="W2456" i="7" l="1"/>
  <c r="W1285" i="7"/>
  <c r="W901" i="7"/>
  <c r="W991" i="7"/>
  <c r="W459" i="7"/>
  <c r="W1243" i="7"/>
  <c r="W1479" i="7"/>
  <c r="W2021" i="7"/>
  <c r="W2702" i="7"/>
  <c r="W966" i="7"/>
  <c r="W2126" i="7"/>
  <c r="W2965" i="7"/>
  <c r="W752" i="7"/>
  <c r="W1547" i="7"/>
  <c r="W605" i="7"/>
  <c r="W1905" i="7"/>
  <c r="W802" i="7"/>
  <c r="W1548" i="7"/>
  <c r="W415" i="7"/>
  <c r="W2247" i="7"/>
  <c r="W1299" i="7"/>
  <c r="W2341" i="7"/>
  <c r="W460" i="7"/>
  <c r="W1755" i="7"/>
  <c r="W1373" i="7"/>
  <c r="W2781" i="7"/>
  <c r="W2367" i="7"/>
  <c r="W1761" i="7"/>
  <c r="W232" i="7"/>
  <c r="W606" i="7"/>
  <c r="W1644" i="7"/>
  <c r="W2831" i="7"/>
  <c r="W375" i="7"/>
  <c r="W1248" i="7"/>
  <c r="W2309" i="7"/>
  <c r="W377" i="7"/>
  <c r="W1240" i="7"/>
  <c r="W19" i="7"/>
  <c r="W2158" i="7"/>
  <c r="W803" i="7"/>
  <c r="W2571" i="7"/>
  <c r="W28" i="7"/>
  <c r="W770" i="7"/>
  <c r="W720" i="7"/>
  <c r="W538" i="7"/>
  <c r="W438" i="7"/>
  <c r="W1247" i="7"/>
  <c r="W1227" i="7"/>
  <c r="W2284" i="7"/>
  <c r="W362" i="7"/>
  <c r="W2531" i="7"/>
  <c r="W1549" i="7"/>
  <c r="W287" i="7"/>
  <c r="W1289" i="7"/>
  <c r="W532" i="7"/>
  <c r="W511" i="7"/>
  <c r="W2959" i="7"/>
  <c r="W1032" i="7"/>
  <c r="W349" i="7"/>
  <c r="W2819" i="7"/>
  <c r="W608" i="7"/>
  <c r="W1816" i="7"/>
  <c r="W1917" i="7"/>
  <c r="W1941" i="7"/>
  <c r="W804" i="7"/>
  <c r="W2708" i="7"/>
  <c r="W1099" i="7"/>
  <c r="W2237" i="7"/>
  <c r="W1586" i="7"/>
  <c r="W1323" i="7"/>
  <c r="W227" i="7"/>
  <c r="W2324" i="7"/>
  <c r="W188" i="7"/>
  <c r="W1597" i="7"/>
  <c r="W274" i="7"/>
  <c r="W698" i="7"/>
  <c r="W977" i="7"/>
  <c r="W2805" i="7"/>
  <c r="W2453" i="7"/>
  <c r="W2617" i="7"/>
  <c r="W402" i="7"/>
  <c r="W607" i="7"/>
  <c r="W751" i="7"/>
  <c r="W1122" i="7"/>
  <c r="W955" i="7"/>
  <c r="W895" i="7"/>
  <c r="W929" i="7"/>
  <c r="W2566" i="7"/>
  <c r="W2518" i="7"/>
  <c r="W291" i="7"/>
  <c r="W2901" i="7"/>
  <c r="W2265" i="7"/>
  <c r="W2271" i="7"/>
  <c r="W294" i="7"/>
  <c r="W191" i="7"/>
  <c r="W2560" i="7"/>
  <c r="W2547" i="7"/>
  <c r="W503" i="7"/>
  <c r="W2655" i="7"/>
  <c r="W2904" i="7"/>
  <c r="W2318" i="7"/>
  <c r="W2821" i="7"/>
  <c r="W2605" i="7"/>
  <c r="W289" i="7"/>
  <c r="W1676" i="7"/>
  <c r="W414" i="7"/>
  <c r="W2291" i="7"/>
  <c r="W2421" i="7"/>
  <c r="W2011" i="7"/>
  <c r="W2931" i="7"/>
  <c r="W677" i="7"/>
  <c r="W67" i="7"/>
  <c r="W1003" i="7"/>
  <c r="W2552" i="7"/>
  <c r="W482" i="7"/>
  <c r="W1485" i="7"/>
  <c r="W1126" i="7"/>
  <c r="W1033" i="7"/>
  <c r="W75" i="7"/>
  <c r="W2115" i="7"/>
  <c r="W159" i="7"/>
  <c r="W1065" i="7"/>
  <c r="W2082" i="7"/>
  <c r="W226" i="7"/>
  <c r="W1612" i="7"/>
  <c r="W1692" i="7"/>
  <c r="W1885" i="7"/>
  <c r="W858" i="7"/>
  <c r="W142" i="7"/>
  <c r="W2451" i="7"/>
  <c r="W398" i="7"/>
  <c r="W1933" i="7"/>
  <c r="W2638" i="7"/>
  <c r="W2584" i="7"/>
  <c r="W1545" i="7"/>
  <c r="W2024" i="7"/>
  <c r="W1298" i="7"/>
  <c r="W537" i="7"/>
  <c r="W711" i="7"/>
  <c r="W2822" i="7"/>
  <c r="W2573" i="7"/>
  <c r="W2628" i="7"/>
  <c r="W1023" i="7"/>
  <c r="W436" i="7"/>
  <c r="W1520" i="7"/>
  <c r="W2223" i="7"/>
  <c r="W2348" i="7"/>
  <c r="W1829" i="7"/>
  <c r="W2101" i="7"/>
  <c r="W2437" i="7"/>
  <c r="W1183" i="7"/>
  <c r="W1821" i="7"/>
  <c r="W1993" i="7"/>
  <c r="W1028" i="7"/>
  <c r="W2740" i="7"/>
  <c r="W1228" i="7"/>
  <c r="W279" i="7"/>
  <c r="W881" i="7"/>
  <c r="W2561" i="7"/>
  <c r="W205" i="7"/>
  <c r="W1974" i="7"/>
  <c r="W2772" i="7"/>
  <c r="W2151" i="7"/>
  <c r="W2155" i="7"/>
  <c r="W364" i="7"/>
  <c r="W2352" i="7"/>
  <c r="W2370" i="7"/>
  <c r="W1772" i="7"/>
  <c r="W346" i="7"/>
  <c r="W297" i="7"/>
  <c r="W2967" i="7"/>
  <c r="W2062" i="7"/>
  <c r="W1735" i="7"/>
  <c r="W931" i="7"/>
  <c r="W127" i="7"/>
  <c r="W918" i="7"/>
  <c r="W2361" i="7"/>
  <c r="W836" i="7"/>
  <c r="W1072" i="7"/>
  <c r="W154" i="7"/>
  <c r="W1103" i="7"/>
  <c r="W2377" i="7"/>
  <c r="W854" i="7"/>
  <c r="W1949" i="7"/>
  <c r="W1624" i="7"/>
  <c r="W592" i="7"/>
  <c r="W2804" i="7"/>
  <c r="W651" i="7"/>
  <c r="W1797" i="7"/>
  <c r="W81" i="7"/>
  <c r="W703" i="7"/>
  <c r="W357" i="7"/>
  <c r="W2188" i="7"/>
  <c r="W712" i="7"/>
  <c r="W2014" i="7"/>
  <c r="W2118" i="7"/>
  <c r="W1678" i="7"/>
  <c r="W1872" i="7"/>
  <c r="W1957" i="7"/>
  <c r="W2503" i="7"/>
  <c r="W2783" i="7"/>
  <c r="W2044" i="7"/>
  <c r="W2089" i="7"/>
  <c r="W837" i="7"/>
  <c r="W2803" i="7"/>
  <c r="W2939" i="7"/>
  <c r="W1380" i="7"/>
  <c r="W2629" i="7"/>
  <c r="W446" i="7"/>
  <c r="W2920" i="7"/>
  <c r="W1316" i="7"/>
  <c r="W750" i="7"/>
  <c r="W1753" i="7"/>
  <c r="W841" i="7"/>
  <c r="W1628" i="7"/>
  <c r="W1569" i="7"/>
  <c r="W91" i="7"/>
  <c r="W2337" i="7"/>
  <c r="W738" i="7"/>
  <c r="W1056" i="7"/>
  <c r="W1533" i="7"/>
  <c r="W948" i="7"/>
  <c r="W976" i="7"/>
  <c r="W2478" i="7"/>
  <c r="W1047" i="7"/>
  <c r="W1875" i="7"/>
  <c r="W2635" i="7"/>
  <c r="W229" i="7"/>
  <c r="W813" i="7"/>
  <c r="W2838" i="7"/>
  <c r="W1478" i="7"/>
  <c r="W2363" i="7"/>
  <c r="W180" i="7"/>
  <c r="W1476" i="7"/>
  <c r="W1332" i="7"/>
  <c r="W1415" i="7"/>
  <c r="W2504" i="7"/>
  <c r="W2868" i="7"/>
  <c r="W1536" i="7"/>
  <c r="W2400" i="7"/>
  <c r="W611" i="7"/>
  <c r="W288" i="7"/>
  <c r="W2677" i="7"/>
  <c r="W2351" i="7"/>
  <c r="W1907" i="7"/>
  <c r="W1611" i="7"/>
  <c r="W255" i="7"/>
  <c r="W1411" i="7"/>
  <c r="W454" i="7"/>
  <c r="W1350" i="7"/>
  <c r="W552" i="7"/>
  <c r="W633" i="7"/>
  <c r="W2267" i="7"/>
  <c r="W749" i="7"/>
  <c r="W124" i="7"/>
  <c r="W2593" i="7"/>
  <c r="W1300" i="7"/>
  <c r="W1638" i="7"/>
  <c r="W2716" i="7"/>
  <c r="W788" i="7"/>
  <c r="W2894" i="7"/>
  <c r="W1436" i="7"/>
  <c r="W286" i="7"/>
  <c r="W1924" i="7"/>
  <c r="W689" i="7"/>
  <c r="W95" i="7"/>
  <c r="W2039" i="7"/>
  <c r="W2470" i="7"/>
  <c r="W893" i="7"/>
  <c r="W2091" i="7"/>
  <c r="W835" i="7"/>
  <c r="W2692" i="7"/>
  <c r="W2893" i="7"/>
  <c r="W1359" i="7"/>
  <c r="W2004" i="7"/>
  <c r="W2384" i="7"/>
  <c r="W1303" i="7"/>
  <c r="W2610" i="7"/>
  <c r="W2203" i="7"/>
  <c r="W2399" i="7"/>
  <c r="W1887" i="7"/>
  <c r="W358" i="7"/>
  <c r="W1406" i="7"/>
  <c r="W98" i="7"/>
  <c r="W1277" i="7"/>
  <c r="W458" i="7"/>
  <c r="W1876" i="7"/>
  <c r="W2548" i="7"/>
  <c r="W542" i="7"/>
  <c r="W1321" i="7"/>
  <c r="W1187" i="7"/>
  <c r="W234" i="7"/>
  <c r="W1440" i="7"/>
  <c r="W2125" i="7"/>
  <c r="W1408" i="7"/>
  <c r="W596" i="7"/>
  <c r="W1398" i="7"/>
  <c r="W676" i="7"/>
  <c r="W179" i="7"/>
  <c r="W1864" i="7"/>
  <c r="W1055" i="7"/>
  <c r="W485" i="7"/>
  <c r="W1150" i="7"/>
  <c r="W1351" i="7"/>
  <c r="W1854" i="7"/>
  <c r="W1190" i="7"/>
  <c r="W92" i="7"/>
  <c r="W2691" i="7"/>
  <c r="W1117" i="7"/>
  <c r="W2711" i="7"/>
  <c r="W565" i="7"/>
  <c r="W2438" i="7"/>
  <c r="W1095" i="7"/>
  <c r="W1147" i="7"/>
  <c r="W1089" i="7"/>
  <c r="W2315" i="7"/>
  <c r="W2307" i="7"/>
  <c r="W789" i="7"/>
  <c r="W2035" i="7"/>
  <c r="W2222" i="7"/>
  <c r="W2286" i="7"/>
  <c r="W302" i="7"/>
  <c r="W2847" i="7"/>
  <c r="W777" i="7"/>
  <c r="W156" i="7"/>
  <c r="W2817" i="7"/>
  <c r="W354" i="7"/>
  <c r="W1622" i="7"/>
  <c r="W1494" i="7"/>
  <c r="W2792" i="7"/>
  <c r="W1042" i="7"/>
  <c r="W2104" i="7"/>
  <c r="W995" i="7"/>
  <c r="W1560" i="7"/>
  <c r="W465" i="7"/>
  <c r="W204" i="7"/>
  <c r="W1902" i="7"/>
  <c r="W1469" i="7"/>
  <c r="W1333" i="7"/>
  <c r="W2953" i="7"/>
  <c r="W1085" i="7"/>
  <c r="W1467" i="7"/>
  <c r="W1708" i="7"/>
  <c r="W369" i="7"/>
  <c r="W557" i="7"/>
  <c r="W2540" i="7"/>
  <c r="W567" i="7"/>
  <c r="W359" i="7"/>
  <c r="W1497" i="7"/>
  <c r="W843" i="7"/>
  <c r="W2666" i="7"/>
  <c r="W1062" i="7"/>
  <c r="W594" i="7"/>
  <c r="W603" i="7"/>
  <c r="W2056" i="7"/>
  <c r="W1057" i="7"/>
  <c r="W1500" i="7"/>
  <c r="W210" i="7"/>
  <c r="W2143" i="7"/>
  <c r="W1168" i="7"/>
  <c r="W861" i="7"/>
  <c r="W2509" i="7"/>
  <c r="W2022" i="7"/>
  <c r="W1483" i="7"/>
  <c r="W1610" i="7"/>
  <c r="W1956" i="7"/>
  <c r="W1443" i="7"/>
  <c r="W2983" i="7"/>
  <c r="W2332" i="7"/>
  <c r="W571" i="7"/>
  <c r="W218" i="7"/>
  <c r="W814" i="7"/>
  <c r="W2892" i="7"/>
  <c r="W1325" i="7"/>
  <c r="W583" i="7"/>
  <c r="W2340" i="7"/>
  <c r="W2929" i="7"/>
  <c r="W1067" i="7"/>
  <c r="W1189" i="7"/>
  <c r="W2971" i="7"/>
  <c r="W2515" i="7"/>
  <c r="W2962" i="7"/>
  <c r="W600" i="7"/>
  <c r="W696" i="7"/>
  <c r="W449" i="7"/>
  <c r="W2736" i="7"/>
  <c r="W1276" i="7"/>
  <c r="W1540" i="7"/>
  <c r="W1840" i="7"/>
  <c r="W2814" i="7"/>
  <c r="W597" i="7"/>
  <c r="W1262" i="7"/>
  <c r="W725" i="7"/>
  <c r="W800" i="7"/>
  <c r="W417" i="7"/>
  <c r="W2088" i="7"/>
  <c r="W1952" i="7"/>
  <c r="W554" i="7"/>
  <c r="W2590" i="7"/>
  <c r="W1043" i="7"/>
  <c r="W2412" i="7"/>
  <c r="W2644" i="7"/>
  <c r="W2426" i="7"/>
  <c r="W176" i="7"/>
  <c r="W2018" i="7"/>
  <c r="W1315" i="7"/>
  <c r="W551" i="7"/>
  <c r="W1688" i="7"/>
  <c r="W222" i="7"/>
  <c r="W2728" i="7"/>
  <c r="W2313" i="7"/>
  <c r="W207" i="7"/>
  <c r="W1417" i="7"/>
  <c r="W2059" i="7"/>
  <c r="W2473" i="7"/>
  <c r="W1274" i="7"/>
  <c r="W1181" i="7"/>
  <c r="W872" i="7"/>
  <c r="W2523" i="7"/>
  <c r="W2796" i="7"/>
  <c r="W2968" i="7"/>
  <c r="W2961" i="7"/>
  <c r="W587" i="7"/>
  <c r="W590" i="7"/>
  <c r="W2099" i="7"/>
  <c r="W409" i="7"/>
  <c r="W2879" i="7"/>
  <c r="W1450" i="7"/>
  <c r="W1639" i="7"/>
  <c r="W2454" i="7"/>
  <c r="W2568" i="7"/>
  <c r="W1239" i="7"/>
  <c r="W71" i="7"/>
  <c r="W1393" i="7"/>
  <c r="W1079" i="7"/>
  <c r="W2347" i="7"/>
  <c r="W2943" i="7"/>
  <c r="W2771" i="7"/>
  <c r="W1480" i="7"/>
  <c r="W963" i="7"/>
  <c r="W1162" i="7"/>
  <c r="W2657" i="7"/>
  <c r="W107" i="7"/>
  <c r="W982" i="7"/>
  <c r="W648" i="7"/>
  <c r="W1716" i="7"/>
  <c r="W2365" i="7"/>
  <c r="W1669" i="7"/>
  <c r="W536" i="7"/>
  <c r="W1191" i="7"/>
  <c r="W2834" i="7"/>
  <c r="W2359" i="7"/>
  <c r="W2867" i="7"/>
  <c r="W2182" i="7"/>
  <c r="W139" i="7"/>
  <c r="W1425" i="7"/>
  <c r="W428" i="7"/>
  <c r="W1665" i="7"/>
  <c r="W679" i="7"/>
  <c r="W1793" i="7"/>
  <c r="W573" i="7"/>
  <c r="W2306" i="7"/>
  <c r="W730" i="7"/>
  <c r="W1926" i="7"/>
  <c r="W2727" i="7"/>
  <c r="W423" i="7"/>
  <c r="W356" i="7"/>
  <c r="W809" i="7"/>
  <c r="W2663" i="7"/>
  <c r="W115" i="7"/>
  <c r="W1224" i="7"/>
  <c r="W2641" i="7"/>
  <c r="W1663" i="7"/>
  <c r="W2404" i="7"/>
  <c r="W896" i="7"/>
  <c r="W2288" i="7"/>
  <c r="W1409" i="7"/>
  <c r="W2671" i="7"/>
  <c r="W1746" i="7"/>
  <c r="W1687" i="7"/>
  <c r="W726" i="7"/>
  <c r="W322" i="7"/>
  <c r="W173" i="7"/>
  <c r="W2085" i="7"/>
  <c r="W639" i="7"/>
  <c r="W2335" i="7"/>
  <c r="W2076" i="7"/>
  <c r="W2321" i="7"/>
  <c r="W2357" i="7"/>
  <c r="W72" i="7"/>
  <c r="W610" i="7"/>
  <c r="W1699" i="7"/>
  <c r="W78" i="7"/>
  <c r="W1293" i="7"/>
  <c r="W550" i="7"/>
  <c r="W2038" i="7"/>
  <c r="W2174" i="7"/>
  <c r="W1430" i="7"/>
  <c r="W2092" i="7"/>
  <c r="W1971" i="7"/>
  <c r="W505" i="7"/>
  <c r="W1588" i="7"/>
  <c r="W2886" i="7"/>
  <c r="W1943" i="7"/>
  <c r="W1027" i="7"/>
  <c r="W709" i="7"/>
  <c r="W315" i="7"/>
  <c r="W295" i="7"/>
  <c r="W225" i="7"/>
  <c r="W1613" i="7"/>
  <c r="W951" i="7"/>
  <c r="W2757" i="7"/>
  <c r="W109" i="7"/>
  <c r="W705" i="7"/>
  <c r="W2032" i="7"/>
  <c r="W1673" i="7"/>
  <c r="W1404" i="7"/>
  <c r="W2077" i="7"/>
  <c r="W338" i="7"/>
  <c r="W283" i="7"/>
  <c r="W2764" i="7"/>
  <c r="W2902" i="7"/>
  <c r="W1113" i="7"/>
  <c r="W1856" i="7"/>
  <c r="W781" i="7"/>
  <c r="W1538" i="7"/>
  <c r="W1965" i="7"/>
  <c r="W2935" i="7"/>
  <c r="W1640" i="7"/>
  <c r="W148" i="7"/>
  <c r="W64" i="7"/>
  <c r="W399" i="7"/>
  <c r="W1574" i="7"/>
  <c r="W120" i="7"/>
  <c r="W904" i="7"/>
  <c r="W1651" i="7"/>
  <c r="W206" i="7"/>
  <c r="W292" i="7"/>
  <c r="W2072" i="7"/>
  <c r="W586" i="7"/>
  <c r="W2850" i="7"/>
  <c r="W2217" i="7"/>
  <c r="W1524" i="7"/>
  <c r="W500" i="7"/>
  <c r="W2835" i="7"/>
  <c r="W269" i="7"/>
  <c r="W1927" i="7"/>
  <c r="W2366" i="7"/>
  <c r="W2025" i="7"/>
  <c r="W220" i="7"/>
  <c r="W2704" i="7"/>
  <c r="W2164" i="7"/>
  <c r="W1701" i="7"/>
  <c r="W847" i="7"/>
  <c r="W2675" i="7"/>
  <c r="W2193" i="7"/>
  <c r="W2279" i="7"/>
  <c r="W1529" i="7"/>
  <c r="W228" i="7"/>
  <c r="W2608" i="7"/>
  <c r="W1955" i="7"/>
  <c r="W2887" i="7"/>
  <c r="W1108" i="7"/>
  <c r="W1202" i="7"/>
  <c r="W1578" i="7"/>
  <c r="W570" i="7"/>
  <c r="W1567" i="7"/>
  <c r="W1744" i="7"/>
  <c r="W659" i="7"/>
  <c r="W1169" i="7"/>
  <c r="W2734" i="7"/>
  <c r="W1311" i="7"/>
  <c r="W2153" i="7"/>
  <c r="W2801" i="7"/>
  <c r="W2079" i="7"/>
  <c r="W2487" i="7"/>
  <c r="W1346" i="7"/>
  <c r="W2403" i="7"/>
  <c r="W252" i="7"/>
  <c r="W249" i="7"/>
  <c r="W2683" i="7"/>
  <c r="W282" i="7"/>
  <c r="W1002" i="7"/>
  <c r="W121" i="7"/>
  <c r="W2942" i="7"/>
  <c r="W2450" i="7"/>
  <c r="W2397" i="7"/>
  <c r="W1812" i="7"/>
  <c r="W1455" i="7"/>
  <c r="W988" i="7"/>
  <c r="W1345" i="7"/>
  <c r="W2697" i="7"/>
  <c r="W501" i="7"/>
  <c r="W1792" i="7"/>
  <c r="W2596" i="7"/>
  <c r="W1378" i="7"/>
  <c r="W2564" i="7"/>
  <c r="W2895" i="7"/>
  <c r="W73" i="7"/>
  <c r="W2758" i="7"/>
  <c r="W673" i="7"/>
  <c r="W870" i="7"/>
  <c r="W2369" i="7"/>
  <c r="W2535" i="7"/>
  <c r="W645" i="7"/>
  <c r="W434" i="7"/>
  <c r="W437" i="7"/>
  <c r="W539" i="7"/>
  <c r="W2746" i="7"/>
  <c r="W561" i="7"/>
  <c r="W2431" i="7"/>
  <c r="W2461" i="7"/>
  <c r="W2190" i="7"/>
  <c r="W2436" i="7"/>
  <c r="W1711" i="7"/>
  <c r="W2703" i="7"/>
  <c r="W718" i="7"/>
  <c r="W946" i="7"/>
  <c r="W1195" i="7"/>
  <c r="W1468" i="7"/>
  <c r="W1868" i="7"/>
  <c r="W672" i="7"/>
  <c r="W686" i="7"/>
  <c r="W578" i="7"/>
  <c r="W2556" i="7"/>
  <c r="W2433" i="7"/>
  <c r="W1585" i="7"/>
  <c r="W717" i="7"/>
  <c r="W50" i="7"/>
  <c r="W1471" i="7"/>
  <c r="W102" i="7"/>
  <c r="W2150" i="7"/>
  <c r="W787" i="7"/>
  <c r="W475" i="7"/>
  <c r="W1774" i="7"/>
  <c r="W197" i="7"/>
  <c r="W1575" i="7"/>
  <c r="W1825" i="7"/>
  <c r="W1152" i="7"/>
  <c r="W1017" i="7"/>
  <c r="W1158" i="7"/>
  <c r="W1360" i="7"/>
  <c r="W1633" i="7"/>
  <c r="W1087" i="7"/>
  <c r="W304" i="7"/>
  <c r="W2435" i="7"/>
  <c r="W2407" i="7"/>
  <c r="W1777" i="7"/>
  <c r="W1102" i="7"/>
  <c r="W746" i="7"/>
  <c r="W2015" i="7"/>
  <c r="W2930" i="7"/>
  <c r="W2476" i="7"/>
  <c r="W2314" i="7"/>
  <c r="W2493" i="7"/>
  <c r="W1890" i="7"/>
  <c r="W1819" i="7"/>
  <c r="W1923" i="7"/>
  <c r="W911" i="7"/>
  <c r="W1022" i="7"/>
  <c r="W1106" i="7"/>
  <c r="W922" i="7"/>
  <c r="W938" i="7"/>
  <c r="W2542" i="7"/>
  <c r="W2966" i="7"/>
  <c r="W119" i="7"/>
  <c r="W2283" i="7"/>
  <c r="W2656" i="7"/>
  <c r="W1302" i="7"/>
  <c r="W1294" i="7"/>
  <c r="W828" i="7"/>
  <c r="W1779" i="7"/>
  <c r="W280" i="7"/>
  <c r="W1073" i="7"/>
  <c r="W916" i="7"/>
  <c r="W695" i="7"/>
  <c r="W708" i="7"/>
  <c r="W1149" i="7"/>
  <c r="W8" i="7"/>
  <c r="W850" i="7"/>
  <c r="W1238" i="7"/>
  <c r="W451" i="7"/>
  <c r="W52" i="7"/>
  <c r="W1630" i="7"/>
  <c r="W502" i="7"/>
  <c r="W2429" i="7"/>
  <c r="W2645" i="7"/>
  <c r="W319" i="7"/>
  <c r="W497" i="7"/>
  <c r="W1948" i="7"/>
  <c r="W1544" i="7"/>
  <c r="W1984" i="7"/>
  <c r="W780" i="7"/>
  <c r="W1844" i="7"/>
  <c r="W811" i="7"/>
  <c r="W16" i="7"/>
  <c r="W1432" i="7"/>
  <c r="W276" i="7"/>
  <c r="W1160" i="7"/>
  <c r="W1972" i="7"/>
  <c r="W2230" i="7"/>
  <c r="W175" i="7"/>
  <c r="W1502" i="7"/>
  <c r="W2272" i="7"/>
  <c r="W710" i="7"/>
  <c r="W1985" i="7"/>
  <c r="W2947" i="7"/>
  <c r="W2084" i="7"/>
  <c r="W112" i="7"/>
  <c r="W1426" i="7"/>
  <c r="W1214" i="7"/>
  <c r="W1666" i="7"/>
  <c r="W1857" i="7"/>
  <c r="W2225" i="7"/>
  <c r="W1030" i="7"/>
  <c r="W1120" i="7"/>
  <c r="W1059" i="7"/>
  <c r="W1512" i="7"/>
  <c r="W1111" i="7"/>
  <c r="W1738" i="7"/>
  <c r="W1499" i="7"/>
  <c r="W615" i="7"/>
  <c r="W1123" i="7"/>
  <c r="W10" i="7"/>
  <c r="W382" i="7"/>
  <c r="W76" i="7"/>
  <c r="W2171" i="7"/>
  <c r="W2386" i="7"/>
  <c r="W697" i="7"/>
  <c r="W2686" i="7"/>
  <c r="W1164" i="7"/>
  <c r="W2098" i="7"/>
  <c r="W111" i="7"/>
  <c r="W2094" i="7"/>
  <c r="W2355" i="7"/>
  <c r="W702" i="7"/>
  <c r="W589" i="7"/>
  <c r="W2949" i="7"/>
  <c r="W1459" i="7"/>
  <c r="W1254" i="7"/>
  <c r="W1444" i="7"/>
  <c r="W1615" i="7"/>
  <c r="W2718" i="7"/>
  <c r="W1309" i="7"/>
  <c r="W657" i="7"/>
  <c r="W1091" i="7"/>
  <c r="W2830" i="7"/>
  <c r="W2696" i="7"/>
  <c r="W21" i="7"/>
  <c r="W2880" i="7"/>
  <c r="W11" i="7"/>
  <c r="W1707" i="7"/>
  <c r="W820" i="7"/>
  <c r="W1206" i="7"/>
  <c r="W987" i="7"/>
  <c r="W217" i="7"/>
  <c r="W529" i="7"/>
  <c r="W2984" i="7"/>
  <c r="W1074" i="7"/>
  <c r="W1565" i="7"/>
  <c r="W96" i="7"/>
  <c r="W2290" i="7"/>
  <c r="W2502" i="7"/>
  <c r="W1080" i="7"/>
  <c r="W1044" i="7"/>
  <c r="W612" i="7"/>
  <c r="W960" i="7"/>
  <c r="W2058" i="7"/>
  <c r="W855" i="7"/>
  <c r="W161" i="7"/>
  <c r="W48" i="7"/>
  <c r="W1925" i="7"/>
  <c r="W321" i="7"/>
  <c r="W755" i="7"/>
  <c r="W2630" i="7"/>
  <c r="W892" i="7"/>
  <c r="W942" i="7"/>
  <c r="W647" i="7"/>
  <c r="W1976" i="7"/>
  <c r="W54" i="7"/>
  <c r="W704" i="7"/>
  <c r="W693" i="7"/>
  <c r="W1542" i="7"/>
  <c r="W665" i="7"/>
  <c r="W1862" i="7"/>
  <c r="W187" i="7"/>
  <c r="W1226" i="7"/>
  <c r="W2026" i="7"/>
  <c r="W2647" i="7"/>
  <c r="W894" i="7"/>
  <c r="W1203" i="7"/>
  <c r="W1241" i="7"/>
  <c r="W244" i="7"/>
  <c r="W1763" i="7"/>
  <c r="W35" i="7"/>
  <c r="W1661" i="7"/>
  <c r="W2083" i="7"/>
  <c r="W1337" i="7"/>
  <c r="W2227" i="7"/>
  <c r="W2594" i="7"/>
  <c r="W2244" i="7"/>
  <c r="W2326" i="7"/>
  <c r="W2200" i="7"/>
  <c r="W2034" i="7"/>
  <c r="W2739" i="7"/>
  <c r="W2213" i="7"/>
  <c r="W1397" i="7"/>
  <c r="W2277" i="7"/>
  <c r="W242" i="7"/>
  <c r="W30" i="7"/>
  <c r="W1272" i="7"/>
  <c r="W1582" i="7"/>
  <c r="W1657" i="7"/>
  <c r="W80" i="7"/>
  <c r="W2512" i="7"/>
  <c r="W1629" i="7"/>
  <c r="W1167" i="7"/>
  <c r="W954" i="7"/>
  <c r="W591" i="7"/>
  <c r="W1736" i="7"/>
  <c r="W314" i="7"/>
  <c r="W371" i="7"/>
  <c r="W1049" i="7"/>
  <c r="W2980" i="7"/>
  <c r="W1906" i="7"/>
  <c r="W1371" i="7"/>
  <c r="W2707" i="7"/>
  <c r="W2872" i="7"/>
  <c r="W1750" i="7"/>
  <c r="W298" i="7"/>
  <c r="W1188" i="7"/>
  <c r="W2660" i="7"/>
  <c r="W2103" i="7"/>
  <c r="W2603" i="7"/>
  <c r="W1236" i="7"/>
  <c r="W629" i="7"/>
  <c r="W882" i="7"/>
  <c r="W2374" i="7"/>
  <c r="W2659" i="7"/>
  <c r="W266" i="7"/>
  <c r="W1883" i="7"/>
  <c r="W2799" i="7"/>
  <c r="W1046" i="7"/>
  <c r="W293" i="7"/>
  <c r="W1522" i="7"/>
  <c r="W959" i="7"/>
  <c r="W2828" i="7"/>
  <c r="W1399" i="7"/>
  <c r="W1210" i="7"/>
  <c r="W248" i="7"/>
  <c r="W1361" i="7"/>
  <c r="W2923" i="7"/>
  <c r="W992" i="7"/>
  <c r="W821" i="7"/>
  <c r="W1116" i="7"/>
  <c r="W2121" i="7"/>
  <c r="W1668" i="7"/>
  <c r="W1109" i="7"/>
  <c r="W1571" i="7"/>
  <c r="W917" i="7"/>
  <c r="W2534" i="7"/>
  <c r="W2185" i="7"/>
  <c r="W691" i="7"/>
  <c r="W373" i="7"/>
  <c r="W2483" i="7"/>
  <c r="W1534" i="7"/>
  <c r="W2802" i="7"/>
  <c r="W114" i="7"/>
  <c r="W41" i="7"/>
  <c r="W2007" i="7"/>
  <c r="W2006" i="7"/>
  <c r="W626" i="7"/>
  <c r="W1395" i="7"/>
  <c r="W433" i="7"/>
  <c r="W1019" i="7"/>
  <c r="W794" i="7"/>
  <c r="W2422" i="7"/>
  <c r="W103" i="7"/>
  <c r="W311" i="7"/>
  <c r="W733" i="7"/>
  <c r="W2282" i="7"/>
  <c r="W2679" i="7"/>
  <c r="W774" i="7"/>
  <c r="W1153" i="7"/>
  <c r="W2069" i="7"/>
  <c r="W1215" i="7"/>
  <c r="W1818" i="7"/>
  <c r="W101" i="7"/>
  <c r="W1936" i="7"/>
  <c r="W524" i="7"/>
  <c r="W1261" i="7"/>
  <c r="W310" i="7"/>
  <c r="W1453" i="7"/>
  <c r="W2358" i="7"/>
  <c r="W873" i="7"/>
  <c r="W284" i="7"/>
  <c r="W31" i="7"/>
  <c r="W1899" i="7"/>
  <c r="W2275" i="7"/>
  <c r="W2154" i="7"/>
  <c r="W2064" i="7"/>
  <c r="W2338" i="7"/>
  <c r="W2462" i="7"/>
  <c r="W1034" i="7"/>
  <c r="W1618" i="7"/>
  <c r="W2152" i="7"/>
  <c r="W516" i="7"/>
  <c r="W2633" i="7"/>
  <c r="W1525" i="7"/>
  <c r="W2198" i="7"/>
  <c r="W2747" i="7"/>
  <c r="W2226" i="7"/>
  <c r="W1714" i="7"/>
  <c r="W2301" i="7"/>
  <c r="W1961" i="7"/>
  <c r="W2017" i="7"/>
  <c r="W33" i="7"/>
  <c r="W2725" i="7"/>
  <c r="W233" i="7"/>
  <c r="W2240" i="7"/>
  <c r="W791" i="7"/>
  <c r="W1728" i="7"/>
  <c r="W1982" i="7"/>
  <c r="W2951" i="7"/>
  <c r="W164" i="7"/>
  <c r="W969" i="7"/>
  <c r="W1495" i="7"/>
  <c r="W1681" i="7"/>
  <c r="W1833" i="7"/>
  <c r="W832" i="7"/>
  <c r="W2664" i="7"/>
  <c r="W2940" i="7"/>
  <c r="W1878" i="7"/>
  <c r="W638" i="7"/>
  <c r="W1562" i="7"/>
  <c r="W1962" i="7"/>
  <c r="W1911" i="7"/>
  <c r="W2009" i="7"/>
  <c r="W1275" i="7"/>
  <c r="W2582" i="7"/>
  <c r="W219" i="7"/>
  <c r="W875" i="7"/>
  <c r="W2684" i="7"/>
  <c r="W849" i="7"/>
  <c r="W819" i="7"/>
  <c r="W521" i="7"/>
  <c r="W2210" i="7"/>
  <c r="W2331" i="7"/>
  <c r="W675" i="7"/>
  <c r="W2873" i="7"/>
  <c r="W805" i="7"/>
  <c r="W24" i="7"/>
  <c r="W69" i="7"/>
  <c r="W513" i="7"/>
  <c r="W462" i="7"/>
  <c r="W968" i="7"/>
  <c r="W1503" i="7"/>
  <c r="W408" i="7"/>
  <c r="W1760" i="7"/>
  <c r="W186" i="7"/>
  <c r="W332" i="7"/>
  <c r="W88" i="7"/>
  <c r="W250" i="7"/>
  <c r="W1580" i="7"/>
  <c r="W1134" i="7"/>
  <c r="W1752" i="7"/>
  <c r="W1140" i="7"/>
  <c r="W1904" i="7"/>
  <c r="W1204" i="7"/>
  <c r="W1937" i="7"/>
  <c r="W1589" i="7"/>
  <c r="W467" i="7"/>
  <c r="W1133" i="7"/>
  <c r="W707" i="7"/>
  <c r="W1700" i="7"/>
  <c r="W1929" i="7"/>
  <c r="W326" i="7"/>
  <c r="W2482" i="7"/>
  <c r="W199" i="7"/>
  <c r="W2810" i="7"/>
  <c r="W2840" i="7"/>
  <c r="W2646" i="7"/>
  <c r="W79" i="7"/>
  <c r="W365" i="7"/>
  <c r="W652" i="7"/>
  <c r="W1838" i="7"/>
  <c r="W2662" i="7"/>
  <c r="W1018" i="7"/>
  <c r="W323" i="7"/>
  <c r="W1598" i="7"/>
  <c r="W944" i="7"/>
  <c r="W2165" i="7"/>
  <c r="W1121" i="7"/>
  <c r="W265" i="7"/>
  <c r="W1787" i="7"/>
  <c r="W531" i="7"/>
  <c r="W1451" i="7"/>
  <c r="W1014" i="7"/>
  <c r="W2841" i="7"/>
  <c r="W530" i="7"/>
  <c r="W2899" i="7"/>
  <c r="W1260" i="7"/>
  <c r="W562" i="7"/>
  <c r="W2264" i="7"/>
  <c r="W941" i="7"/>
  <c r="W522" i="7"/>
  <c r="W644" i="7"/>
  <c r="W2183" i="7"/>
  <c r="W2375" i="7"/>
  <c r="W2295" i="7"/>
  <c r="W2161" i="7"/>
  <c r="W391" i="7"/>
  <c r="W2960" i="7"/>
  <c r="W1379" i="7"/>
  <c r="W2578" i="7"/>
  <c r="W223" i="7"/>
  <c r="W2135" i="7"/>
  <c r="W727" i="7"/>
  <c r="W5" i="7"/>
  <c r="W1670" i="7"/>
  <c r="W2934" i="7"/>
  <c r="W1556" i="7"/>
  <c r="W943" i="7"/>
  <c r="W443" i="7"/>
  <c r="W192" i="7"/>
  <c r="W687" i="7"/>
  <c r="W1052" i="7"/>
  <c r="W1555" i="7"/>
  <c r="W201" i="7"/>
  <c r="W268" i="7"/>
  <c r="W1171" i="7"/>
  <c r="W2759" i="7"/>
  <c r="W1063" i="7"/>
  <c r="W2148" i="7"/>
  <c r="W1182" i="7"/>
  <c r="W1144" i="7"/>
  <c r="W2506" i="7"/>
  <c r="W1679" i="7"/>
  <c r="W1163" i="7"/>
  <c r="W760" i="7"/>
  <c r="W2784" i="7"/>
  <c r="W241" i="7"/>
  <c r="W1075" i="7"/>
  <c r="W2521" i="7"/>
  <c r="W655" i="7"/>
  <c r="W1232" i="7"/>
  <c r="W2050" i="7"/>
  <c r="W1835" i="7"/>
  <c r="W214" i="7"/>
  <c r="W2769" i="7"/>
  <c r="W144" i="7"/>
  <c r="W2172" i="7"/>
  <c r="W694" i="7"/>
  <c r="W2770" i="7"/>
  <c r="W1389" i="7"/>
  <c r="W1050" i="7"/>
  <c r="W1601" i="7"/>
  <c r="W378" i="7"/>
  <c r="W157" i="7"/>
  <c r="W2177" i="7"/>
  <c r="W634" i="7"/>
  <c r="W580" i="7"/>
  <c r="W2527" i="7"/>
  <c r="W815" i="7"/>
  <c r="W2345" i="7"/>
  <c r="W2788" i="7"/>
  <c r="W735" i="7"/>
  <c r="W1100" i="7"/>
  <c r="W2248" i="7"/>
  <c r="W905" i="7"/>
  <c r="W1491" i="7"/>
  <c r="W25" i="7"/>
  <c r="W1155" i="7"/>
  <c r="W2494" i="7"/>
  <c r="W1820" i="7"/>
  <c r="W2541" i="7"/>
  <c r="W636" i="7"/>
  <c r="W2511" i="7"/>
  <c r="W2545" i="7"/>
  <c r="W2043" i="7"/>
  <c r="W166" i="7"/>
  <c r="W1083" i="7"/>
  <c r="W2625" i="7"/>
  <c r="W658" i="7"/>
  <c r="W945" i="7"/>
  <c r="W936" i="7"/>
  <c r="W2168" i="7"/>
  <c r="W2798" i="7"/>
  <c r="W1118" i="7"/>
  <c r="W299" i="7"/>
  <c r="W939" i="7"/>
  <c r="W2554" i="7"/>
  <c r="W2206" i="7"/>
  <c r="W1847" i="7"/>
  <c r="W2690" i="7"/>
  <c r="W456" i="7"/>
  <c r="W1090" i="7"/>
  <c r="W1363" i="7"/>
  <c r="W171" i="7"/>
  <c r="W2910" i="7"/>
  <c r="W2368" i="7"/>
  <c r="W390" i="7"/>
  <c r="W334" i="7"/>
  <c r="W2765" i="7"/>
  <c r="W383" i="7"/>
  <c r="W2254" i="7"/>
  <c r="W660" i="7"/>
  <c r="W2411" i="7"/>
  <c r="W716" i="7"/>
  <c r="W584" i="7"/>
  <c r="W1449" i="7"/>
  <c r="W2884" i="7"/>
  <c r="W2621" i="7"/>
  <c r="W2297" i="7"/>
  <c r="W680" i="7"/>
  <c r="W1205" i="7"/>
  <c r="W2820" i="7"/>
  <c r="W395" i="7"/>
  <c r="W267" i="7"/>
  <c r="W1020" i="7"/>
  <c r="W2197" i="7"/>
  <c r="W2522" i="7"/>
  <c r="W950" i="7"/>
  <c r="W2383" i="7"/>
  <c r="W2280" i="7"/>
  <c r="W1331" i="7"/>
  <c r="W1218" i="7"/>
  <c r="W2864" i="7"/>
  <c r="W723" i="7"/>
  <c r="W793" i="7"/>
  <c r="W1606" i="7"/>
  <c r="W1288" i="7"/>
  <c r="W2620" i="7"/>
  <c r="W2116" i="7"/>
  <c r="W2825" i="7"/>
  <c r="W688" i="7"/>
  <c r="W2123" i="7"/>
  <c r="W797" i="7"/>
  <c r="W1462" i="7"/>
  <c r="W1809" i="7"/>
  <c r="W2427" i="7"/>
  <c r="W2749" i="7"/>
  <c r="W86" i="7"/>
  <c r="W125" i="7"/>
  <c r="W2748" i="7"/>
  <c r="W403" i="7"/>
  <c r="W27" i="7"/>
  <c r="W4" i="7"/>
  <c r="W1391" i="7"/>
  <c r="W1969" i="7"/>
  <c r="W1607" i="7"/>
  <c r="W2751" i="7"/>
  <c r="W213" i="7"/>
  <c r="W2889" i="7"/>
  <c r="W2258" i="7"/>
  <c r="W907" i="7"/>
  <c r="W878" i="7"/>
  <c r="W2636" i="7"/>
  <c r="W368" i="7"/>
  <c r="W2681" i="7"/>
  <c r="W1231" i="7"/>
  <c r="W2855" i="7"/>
  <c r="W2979" i="7"/>
  <c r="W2800" i="7"/>
  <c r="W1648" i="7"/>
  <c r="W2623" i="7"/>
  <c r="W1097" i="7"/>
  <c r="W160" i="7"/>
  <c r="W1647" i="7"/>
  <c r="W208" i="7"/>
  <c r="W2458" i="7"/>
  <c r="W737" i="7"/>
  <c r="W2533" i="7"/>
  <c r="W866" i="7"/>
  <c r="W2809" i="7"/>
  <c r="W1119" i="7"/>
  <c r="W430" i="7"/>
  <c r="W899" i="7"/>
  <c r="W426" i="7"/>
  <c r="W2652" i="7"/>
  <c r="W258" i="7"/>
  <c r="W2699" i="7"/>
  <c r="W577" i="7"/>
  <c r="W2938" i="7"/>
  <c r="W1222" i="7"/>
  <c r="W846" i="7"/>
  <c r="W2232" i="7"/>
  <c r="W630" i="7"/>
  <c r="W93" i="7"/>
  <c r="W1515" i="7"/>
  <c r="W2128" i="7"/>
  <c r="W1784" i="7"/>
  <c r="W826" i="7"/>
  <c r="W94" i="7"/>
  <c r="W1148" i="7"/>
  <c r="W1223" i="7"/>
  <c r="W2459" i="7"/>
  <c r="W1287" i="7"/>
  <c r="W574" i="7"/>
  <c r="W1174" i="7"/>
  <c r="W431" i="7"/>
  <c r="W1481" i="7"/>
  <c r="W2465" i="7"/>
  <c r="W2169" i="7"/>
  <c r="W1991" i="7"/>
  <c r="W2653" i="7"/>
  <c r="W1039" i="7"/>
  <c r="W2565" i="7"/>
  <c r="W2270" i="7"/>
  <c r="W1084" i="7"/>
  <c r="W2903" i="7"/>
  <c r="W1009" i="7"/>
  <c r="W2776" i="7"/>
  <c r="W889" i="7"/>
  <c r="W1005" i="7"/>
  <c r="W2362" i="7"/>
  <c r="W452" i="7"/>
  <c r="W2413" i="7"/>
  <c r="W674" i="7"/>
  <c r="W541" i="7"/>
  <c r="W1291" i="7"/>
  <c r="W729" i="7"/>
  <c r="W1960" i="7"/>
  <c r="W690" i="7"/>
  <c r="W2530" i="7"/>
  <c r="W1110" i="7"/>
  <c r="W256" i="7"/>
  <c r="W2598" i="7"/>
  <c r="W1895" i="7"/>
  <c r="W461" i="7"/>
  <c r="W1712" i="7"/>
  <c r="W2654" i="7"/>
  <c r="W722" i="7"/>
  <c r="W190" i="7"/>
  <c r="W177" i="7"/>
  <c r="W2242" i="7"/>
  <c r="W1217" i="7"/>
  <c r="W2327" i="7"/>
  <c r="W1086" i="7"/>
  <c r="W2591" i="7"/>
  <c r="W2285" i="7"/>
  <c r="W952" i="7"/>
  <c r="W1686" i="7"/>
  <c r="W974" i="7"/>
  <c r="W128" i="7"/>
  <c r="W1801" i="7"/>
  <c r="W2423" i="7"/>
  <c r="W2912" i="7"/>
  <c r="W619" i="7"/>
  <c r="W762" i="7"/>
  <c r="W635" i="7"/>
  <c r="W740" i="7"/>
  <c r="W489" i="7"/>
  <c r="W2140" i="7"/>
  <c r="W984" i="7"/>
  <c r="W1581" i="7"/>
  <c r="W1374" i="7"/>
  <c r="W145" i="7"/>
  <c r="W981" i="7"/>
  <c r="W379" i="7"/>
  <c r="W1720" i="7"/>
  <c r="W2673" i="7"/>
  <c r="W2299" i="7"/>
  <c r="W588" i="7"/>
  <c r="W419" i="7"/>
  <c r="W1245" i="7"/>
  <c r="W2173" i="7"/>
  <c r="W455" i="7"/>
  <c r="W1919" i="7"/>
  <c r="W2897" i="7"/>
  <c r="W1177" i="7"/>
  <c r="W2031" i="7"/>
  <c r="W1035" i="7"/>
  <c r="W2201" i="7"/>
  <c r="W874" i="7"/>
  <c r="W1094" i="7"/>
  <c r="W1482" i="7"/>
  <c r="W880" i="7"/>
  <c r="W2601" i="7"/>
  <c r="W2457" i="7"/>
  <c r="W309" i="7"/>
  <c r="W1602" i="7"/>
  <c r="W1570" i="7"/>
  <c r="W2252" i="7"/>
  <c r="W211" i="7"/>
  <c r="W472" i="7"/>
  <c r="W1297" i="7"/>
  <c r="W1599" i="7"/>
  <c r="W678" i="7"/>
  <c r="W1807" i="7"/>
  <c r="W200" i="7"/>
  <c r="W2303" i="7"/>
  <c r="W1340" i="7"/>
  <c r="W1696" i="7"/>
  <c r="W2562" i="7"/>
  <c r="W2233" i="7"/>
  <c r="W1008" i="7"/>
  <c r="W2913" i="7"/>
  <c r="W2928" i="7"/>
  <c r="W1892" i="7"/>
  <c r="W1452" i="7"/>
  <c r="W89" i="7"/>
  <c r="W1767" i="7"/>
  <c r="W2364" i="7"/>
  <c r="W1896" i="7"/>
  <c r="W2861" i="7"/>
  <c r="W928" i="7"/>
  <c r="W23" i="7"/>
  <c r="W2106" i="7"/>
  <c r="W2249" i="7"/>
  <c r="W2131" i="7"/>
  <c r="W296" i="7"/>
  <c r="W2890" i="7"/>
  <c r="W535" i="7"/>
  <c r="W149" i="7"/>
  <c r="W848" i="7"/>
  <c r="W1850" i="7"/>
  <c r="W2080" i="7"/>
  <c r="W1614" i="7"/>
  <c r="W34" i="7"/>
  <c r="W243" i="7"/>
  <c r="W1572" i="7"/>
  <c r="W1637" i="7"/>
  <c r="W1860" i="7"/>
  <c r="W666" i="7"/>
  <c r="W558" i="7"/>
  <c r="W1749" i="7"/>
  <c r="W1806" i="7"/>
  <c r="W640" i="7"/>
  <c r="W2611" i="7"/>
  <c r="W509" i="7"/>
  <c r="W2581" i="7"/>
  <c r="W520" i="7"/>
  <c r="W1879" i="7"/>
  <c r="W622" i="7"/>
  <c r="W910" i="7"/>
  <c r="W728" i="7"/>
  <c r="W879" i="7"/>
  <c r="W2650" i="7"/>
  <c r="W1154" i="7"/>
  <c r="W2667" i="7"/>
  <c r="W2111" i="7"/>
  <c r="W2481" i="7"/>
  <c r="W2954" i="7"/>
  <c r="W447" i="7"/>
  <c r="W1326" i="7"/>
  <c r="W1000" i="7"/>
  <c r="W2224" i="7"/>
  <c r="W1950" i="7"/>
  <c r="W599" i="7"/>
  <c r="W519" i="7"/>
  <c r="W184" i="7"/>
  <c r="W2212" i="7"/>
  <c r="W133" i="7"/>
  <c r="W2553" i="7"/>
  <c r="W663" i="7"/>
  <c r="W2095" i="7"/>
  <c r="W2694" i="7"/>
  <c r="W1532" i="7"/>
  <c r="W2741" i="7"/>
  <c r="W481" i="7"/>
  <c r="W12" i="7"/>
  <c r="W97" i="7"/>
  <c r="W170" i="7"/>
  <c r="W1997" i="7"/>
  <c r="W1098" i="7"/>
  <c r="W2701" i="7"/>
  <c r="W2379" i="7"/>
  <c r="W1442" i="7"/>
  <c r="W623" i="7"/>
  <c r="W2812" i="7"/>
  <c r="W2268" i="7"/>
  <c r="W609" i="7"/>
  <c r="W2250" i="7"/>
  <c r="W559" i="7"/>
  <c r="W2774" i="7"/>
  <c r="W2162" i="7"/>
  <c r="W2760" i="7"/>
  <c r="W305" i="7"/>
  <c r="W1642" i="7"/>
  <c r="W863" i="7"/>
  <c r="W1237" i="7"/>
  <c r="W136" i="7"/>
  <c r="W2528" i="7"/>
  <c r="W2479" i="7"/>
  <c r="W2546" i="7"/>
  <c r="W2863" i="7"/>
  <c r="W2969" i="7"/>
  <c r="W1921" i="7"/>
  <c r="W1626" i="7"/>
  <c r="W1836" i="7"/>
  <c r="W833" i="7"/>
  <c r="W581" i="7"/>
  <c r="W2779" i="7"/>
  <c r="W335" i="7"/>
  <c r="W1713" i="7"/>
  <c r="W1882" i="7"/>
  <c r="W380" i="7"/>
  <c r="W1773" i="7"/>
  <c r="W1161" i="7"/>
  <c r="W1636" i="7"/>
  <c r="W38" i="7"/>
  <c r="W2219" i="7"/>
  <c r="W2195" i="7"/>
  <c r="W478" i="7"/>
  <c r="W2941" i="7"/>
  <c r="W2832" i="7"/>
  <c r="W627" i="7"/>
  <c r="W155" i="7"/>
  <c r="W1016" i="7"/>
  <c r="W254" i="7"/>
  <c r="W620" i="7"/>
  <c r="W251" i="7"/>
  <c r="W744" i="7"/>
  <c r="W1255" i="7"/>
  <c r="W1082" i="7"/>
  <c r="W1604" i="7"/>
  <c r="W525" i="7"/>
  <c r="W2243" i="7"/>
  <c r="W2257" i="7"/>
  <c r="W1717" i="7"/>
  <c r="W2576" i="7"/>
  <c r="W2255" i="7"/>
  <c r="W1230" i="7"/>
  <c r="W1490" i="7"/>
  <c r="W1151" i="7"/>
  <c r="W2420" i="7"/>
  <c r="W2221" i="7"/>
  <c r="W1488" i="7"/>
  <c r="W442" i="7"/>
  <c r="W1445" i="7"/>
  <c r="W1381" i="7"/>
  <c r="W2323" i="7"/>
  <c r="W2982" i="7"/>
  <c r="W1506" i="7"/>
  <c r="W935" i="7"/>
  <c r="W2342" i="7"/>
  <c r="W1577" i="7"/>
  <c r="W1600" i="7"/>
  <c r="W2156" i="7"/>
  <c r="W2706" i="7"/>
  <c r="W1132" i="7"/>
  <c r="W1127" i="7"/>
  <c r="W816" i="7"/>
  <c r="W998" i="7"/>
  <c r="W2559" i="7"/>
  <c r="W1573" i="7"/>
  <c r="W2276" i="7"/>
  <c r="W2273" i="7"/>
  <c r="W2102" i="7"/>
  <c r="W331" i="7"/>
  <c r="W653" i="7"/>
  <c r="W479" i="7"/>
  <c r="W1815" i="7"/>
  <c r="W2192" i="7"/>
  <c r="W1928" i="7"/>
  <c r="W1999" i="7"/>
  <c r="W1200" i="7"/>
  <c r="W2606" i="7"/>
  <c r="W1143" i="7"/>
  <c r="W1290" i="7"/>
  <c r="W1557" i="7"/>
  <c r="W1166" i="7"/>
  <c r="W2763" i="7"/>
  <c r="W492" i="7"/>
  <c r="W1266" i="7"/>
  <c r="W1591" i="7"/>
  <c r="W579" i="7"/>
  <c r="W51" i="7"/>
  <c r="W1433" i="7"/>
  <c r="W1715" i="7"/>
  <c r="W340" i="7"/>
  <c r="W555" i="7"/>
  <c r="W2019" i="7"/>
  <c r="W2857" i="7"/>
  <c r="W900" i="7"/>
  <c r="W2485" i="7"/>
  <c r="W2877" i="7"/>
  <c r="W1530" i="7"/>
  <c r="W2051" i="7"/>
  <c r="W1913" i="7"/>
  <c r="W990" i="7"/>
  <c r="W2428" i="7"/>
  <c r="W2500" i="7"/>
  <c r="W2430" i="7"/>
  <c r="W1645" i="7"/>
  <c r="W1858" i="7"/>
  <c r="W2883" i="7"/>
  <c r="W2505" i="7"/>
  <c r="W715" i="7"/>
  <c r="W2463" i="7"/>
  <c r="W1828" i="7"/>
  <c r="W1107" i="7"/>
  <c r="W2499" i="7"/>
  <c r="W831" i="7"/>
  <c r="W656" i="7"/>
  <c r="W1893" i="7"/>
  <c r="W876" i="7"/>
  <c r="W2464" i="7"/>
  <c r="W1535" i="7"/>
  <c r="W2524" i="7"/>
  <c r="W2974" i="7"/>
  <c r="W956" i="7"/>
  <c r="W1392" i="7"/>
  <c r="W508" i="7"/>
  <c r="W118" i="7"/>
  <c r="W61" i="7"/>
  <c r="W786" i="7"/>
  <c r="W174" i="7"/>
  <c r="W212" i="7"/>
  <c r="W2046" i="7"/>
  <c r="W585" i="7"/>
  <c r="W2567" i="7"/>
  <c r="W2008" i="7"/>
  <c r="W1697" i="7"/>
  <c r="W2137" i="7"/>
  <c r="W1184" i="7"/>
  <c r="W262" i="7"/>
  <c r="W2023" i="7"/>
  <c r="W370" i="7"/>
  <c r="W2469" i="7"/>
  <c r="W1934" i="7"/>
  <c r="W1051" i="7"/>
  <c r="W1671" i="7"/>
  <c r="W2586" i="7"/>
  <c r="W1996" i="7"/>
  <c r="W1343" i="7"/>
  <c r="W2970" i="7"/>
  <c r="W9" i="7"/>
  <c r="W2130" i="7"/>
  <c r="W2398" i="7"/>
  <c r="W60" i="7"/>
  <c r="W1347" i="7"/>
  <c r="W1139" i="7"/>
  <c r="W1414" i="7"/>
  <c r="W1576" i="7"/>
  <c r="W247" i="7"/>
  <c r="W2179" i="7"/>
  <c r="W82" i="7"/>
  <c r="W1646" i="7"/>
  <c r="W2602" i="7"/>
  <c r="W1617" i="7"/>
  <c r="W2790" i="7"/>
  <c r="W2199" i="7"/>
  <c r="W1053" i="7"/>
  <c r="W1225" i="7"/>
  <c r="W1068" i="7"/>
  <c r="W1317" i="7"/>
  <c r="W2698" i="7"/>
  <c r="W1412" i="7"/>
  <c r="W484" i="7"/>
  <c r="W993" i="7"/>
  <c r="W1514" i="7"/>
  <c r="W548" i="7"/>
  <c r="W2028" i="7"/>
  <c r="W1207" i="7"/>
  <c r="W1427" i="7"/>
  <c r="W2756" i="7"/>
  <c r="W2097" i="7"/>
  <c r="W2029" i="7"/>
  <c r="W1501" i="7"/>
  <c r="W418" i="7"/>
  <c r="W422" i="7"/>
  <c r="W209" i="7"/>
  <c r="W2952" i="7"/>
  <c r="W1424" i="7"/>
  <c r="W2687" i="7"/>
  <c r="W2488" i="7"/>
  <c r="W2676" i="7"/>
  <c r="W259" i="7"/>
  <c r="W2791" i="7"/>
  <c r="W1420" i="7"/>
  <c r="W2070" i="7"/>
  <c r="W84" i="7"/>
  <c r="W844" i="7"/>
  <c r="W2117" i="7"/>
  <c r="W1853" i="7"/>
  <c r="W1527" i="7"/>
  <c r="W684" i="7"/>
  <c r="W488" i="7"/>
  <c r="W979" i="7"/>
  <c r="W2186" i="7"/>
  <c r="W1518" i="7"/>
  <c r="W764" i="7"/>
  <c r="W1841" i="7"/>
  <c r="W2211" i="7"/>
  <c r="W2495" i="7"/>
  <c r="W2607" i="7"/>
  <c r="W1931" i="7"/>
  <c r="W374" i="7"/>
  <c r="W1796" i="7"/>
  <c r="W544" i="7"/>
  <c r="W2414" i="7"/>
  <c r="W2049" i="7"/>
  <c r="W1141" i="7"/>
  <c r="W2906" i="7"/>
  <c r="W973" i="7"/>
  <c r="W2497" i="7"/>
  <c r="W264" i="7"/>
  <c r="W313" i="7"/>
  <c r="W2328" i="7"/>
  <c r="W2818" i="7"/>
  <c r="W2486" i="7"/>
  <c r="W971" i="7"/>
  <c r="W2926" i="7"/>
  <c r="W1388" i="7"/>
  <c r="W2755" i="7"/>
  <c r="W2045" i="7"/>
  <c r="W2849" i="7"/>
  <c r="W2418" i="7"/>
  <c r="W2139" i="7"/>
  <c r="W2269" i="7"/>
  <c r="W732" i="7"/>
  <c r="W471" i="7"/>
  <c r="W1537" i="7"/>
  <c r="W2726" i="7"/>
  <c r="W1447" i="7"/>
  <c r="W1004" i="7"/>
  <c r="W654" i="7"/>
  <c r="W2955" i="7"/>
  <c r="W1799" i="7"/>
  <c r="W2558" i="7"/>
  <c r="W2071" i="7"/>
  <c r="W2843" i="7"/>
  <c r="W2768" i="7"/>
  <c r="W2579" i="7"/>
  <c r="W1739" i="7"/>
  <c r="W1667" i="7"/>
  <c r="W978" i="7"/>
  <c r="W1859" i="7"/>
  <c r="W1702" i="7"/>
  <c r="W2052" i="7"/>
  <c r="W1006" i="7"/>
  <c r="W2107" i="7"/>
  <c r="W2682" i="7"/>
  <c r="W1058" i="7"/>
  <c r="W575" i="7"/>
  <c r="W376" i="7"/>
  <c r="W806" i="7"/>
  <c r="W906" i="7"/>
  <c r="W2477" i="7"/>
  <c r="W330" i="7"/>
  <c r="W1015" i="7"/>
  <c r="W1066" i="7"/>
  <c r="W681" i="7"/>
  <c r="W912" i="7"/>
  <c r="W1372" i="7"/>
  <c r="W1523" i="7"/>
  <c r="W2216" i="7"/>
  <c r="W1355" i="7"/>
  <c r="W1566" i="7"/>
  <c r="W106" i="7"/>
  <c r="W2985" i="7"/>
  <c r="W70" i="7"/>
  <c r="W1794" i="7"/>
  <c r="W2715" i="7"/>
  <c r="W1643" i="7"/>
  <c r="W2510" i="7"/>
  <c r="W386" i="7"/>
  <c r="W1283" i="7"/>
  <c r="W2012" i="7"/>
  <c r="W1783" i="7"/>
  <c r="W1416" i="7"/>
  <c r="W2356" i="7"/>
  <c r="W401" i="7"/>
  <c r="W1778" i="7"/>
  <c r="W2120" i="7"/>
  <c r="W1156" i="7"/>
  <c r="W919" i="7"/>
  <c r="W1674" i="7"/>
  <c r="W2444" i="7"/>
  <c r="W1627" i="7"/>
  <c r="W239" i="7"/>
  <c r="W1660" i="7"/>
  <c r="W441" i="7"/>
  <c r="W1157" i="7"/>
  <c r="W2041" i="7"/>
  <c r="W1877" i="7"/>
  <c r="W2202" i="7"/>
  <c r="W616" i="7"/>
  <c r="W246" i="7"/>
  <c r="W325" i="7"/>
  <c r="W823" i="7"/>
  <c r="W724" i="7"/>
  <c r="W413" i="7"/>
  <c r="W856" i="7"/>
  <c r="W439" i="7"/>
  <c r="W534" i="7"/>
  <c r="W2948" i="7"/>
  <c r="W1364" i="7"/>
  <c r="W1306" i="7"/>
  <c r="W884" i="7"/>
  <c r="W1211" i="7"/>
  <c r="W491" i="7"/>
  <c r="W1487" i="7"/>
  <c r="W1413" i="7"/>
  <c r="W2717" i="7"/>
  <c r="W22" i="7"/>
  <c r="W1410" i="7"/>
  <c r="W1472" i="7"/>
  <c r="W2055" i="7"/>
  <c r="W2489" i="7"/>
  <c r="W2862" i="7"/>
  <c r="W1745" i="7"/>
  <c r="W2127" i="7"/>
  <c r="W2194" i="7"/>
  <c r="W602" i="7"/>
  <c r="W2956" i="7"/>
  <c r="W1623" i="7"/>
  <c r="W1352" i="7"/>
  <c r="W2870" i="7"/>
  <c r="W566" i="7"/>
  <c r="W2632" i="7"/>
  <c r="W2787" i="7"/>
  <c r="W470" i="7"/>
  <c r="W1356" i="7"/>
  <c r="W1719" i="7"/>
  <c r="W568" i="7"/>
  <c r="W2911" i="7"/>
  <c r="W140" i="7"/>
  <c r="W784" i="7"/>
  <c r="W736" i="7"/>
  <c r="W743" i="7"/>
  <c r="W1439" i="7"/>
  <c r="W756" i="7"/>
  <c r="W1137" i="7"/>
  <c r="W593" i="7"/>
  <c r="W1088" i="7"/>
  <c r="W2501" i="7"/>
  <c r="W2466" i="7"/>
  <c r="W1563" i="7"/>
  <c r="W1789" i="7"/>
  <c r="W1329" i="7"/>
  <c r="W350" i="7"/>
  <c r="W2354" i="7"/>
  <c r="W1813" i="7"/>
  <c r="W43" i="7"/>
  <c r="W2066" i="7"/>
  <c r="W13" i="7"/>
  <c r="W1966" i="7"/>
  <c r="W339" i="7"/>
  <c r="W2390" i="7"/>
  <c r="W2668" i="7"/>
  <c r="W2300" i="7"/>
  <c r="W352" i="7"/>
  <c r="W888" i="7"/>
  <c r="W2236" i="7"/>
  <c r="W2395" i="7"/>
  <c r="W66" i="7"/>
  <c r="W2114" i="7"/>
  <c r="W1727" i="7"/>
  <c r="W1798" i="7"/>
  <c r="W1040" i="7"/>
  <c r="W2874" i="7"/>
  <c r="W1619" i="7"/>
  <c r="W1271" i="7"/>
  <c r="W838" i="7"/>
  <c r="W2852" i="7"/>
  <c r="W1766" i="7"/>
  <c r="W1508" i="7"/>
  <c r="W2311" i="7"/>
  <c r="W1731" i="7"/>
  <c r="W983" i="7"/>
  <c r="W661" i="7"/>
  <c r="W1683" i="7"/>
  <c r="W2266" i="7"/>
  <c r="W1848" i="7"/>
  <c r="W766" i="7"/>
  <c r="W181" i="7"/>
  <c r="W2346" i="7"/>
  <c r="W925" i="7"/>
  <c r="W1980" i="7"/>
  <c r="W2053" i="7"/>
  <c r="W1199" i="7"/>
  <c r="W6" i="7"/>
  <c r="W1748" i="7"/>
  <c r="W2730" i="7"/>
  <c r="W1296" i="7"/>
  <c r="W1866" i="7"/>
  <c r="W2474" i="7"/>
  <c r="W306" i="7"/>
  <c r="W1041" i="7"/>
  <c r="W1112" i="7"/>
  <c r="W1400" i="7"/>
  <c r="W2372" i="7"/>
  <c r="W1990" i="7"/>
  <c r="W2184" i="7"/>
  <c r="W913" i="7"/>
  <c r="W189" i="7"/>
  <c r="W886" i="7"/>
  <c r="W646" i="7"/>
  <c r="W795" i="7"/>
  <c r="W1608" i="7"/>
  <c r="W1839" i="7"/>
  <c r="W1704" i="7"/>
  <c r="W18" i="7"/>
  <c r="W2712" i="7"/>
  <c r="W2305" i="7"/>
  <c r="W1344" i="7"/>
  <c r="W74" i="7"/>
  <c r="W290" i="7"/>
  <c r="W168" i="7"/>
  <c r="W2713" i="7"/>
  <c r="W2415" i="7"/>
  <c r="W2396" i="7"/>
  <c r="W2856" i="7"/>
  <c r="W1605" i="7"/>
  <c r="W621" i="7"/>
  <c r="W2388" i="7"/>
  <c r="W1193" i="7"/>
  <c r="W253" i="7"/>
  <c r="W2100" i="7"/>
  <c r="W1834" i="7"/>
  <c r="W1456" i="7"/>
  <c r="W317" i="7"/>
  <c r="W231" i="7"/>
  <c r="W344" i="7"/>
  <c r="W1284" i="7"/>
  <c r="W999" i="7"/>
  <c r="W2507" i="7"/>
  <c r="W1938" i="7"/>
  <c r="W285" i="7"/>
  <c r="W625" i="7"/>
  <c r="W2539" i="7"/>
  <c r="W775" i="7"/>
  <c r="W2054" i="7"/>
  <c r="W1031" i="7"/>
  <c r="W499" i="7"/>
  <c r="W1531" i="7"/>
  <c r="W1185" i="7"/>
  <c r="W2312" i="7"/>
  <c r="W1802" i="7"/>
  <c r="W2447" i="7"/>
  <c r="W576" i="7"/>
  <c r="W1654" i="7"/>
  <c r="W2110" i="7"/>
  <c r="W2443" i="7"/>
  <c r="W2471" i="7"/>
  <c r="W1894" i="7"/>
  <c r="W1918" i="7"/>
  <c r="W2871" i="7"/>
  <c r="W2304" i="7"/>
  <c r="W1935" i="7"/>
  <c r="W2807" i="7"/>
  <c r="W1659" i="7"/>
  <c r="W1201" i="7"/>
  <c r="W1730" i="7"/>
  <c r="W1165" i="7"/>
  <c r="W1465" i="7"/>
  <c r="W1349" i="7"/>
  <c r="W2253" i="7"/>
  <c r="W1973" i="7"/>
  <c r="W2468" i="7"/>
  <c r="W748" i="7"/>
  <c r="W389" i="7"/>
  <c r="W2563" i="7"/>
  <c r="W1457" i="7"/>
  <c r="W372" i="7"/>
  <c r="W801" i="7"/>
  <c r="W1729" i="7"/>
  <c r="W2441" i="7"/>
  <c r="W2816" i="7"/>
  <c r="W664" i="7"/>
  <c r="W275" i="7"/>
  <c r="W2344" i="7"/>
  <c r="W527" i="7"/>
  <c r="W141" i="7"/>
  <c r="W1672" i="7"/>
  <c r="W2752" i="7"/>
  <c r="W1093" i="7"/>
  <c r="W582" i="7"/>
  <c r="W1842" i="7"/>
  <c r="W818" i="7"/>
  <c r="W1386" i="7"/>
  <c r="W1394" i="7"/>
  <c r="W2976" i="7"/>
  <c r="W2005" i="7"/>
  <c r="W1338" i="7"/>
  <c r="W2733" i="7"/>
  <c r="W2549" i="7"/>
  <c r="W1446" i="7"/>
  <c r="W1212" i="7"/>
  <c r="W445" i="7"/>
  <c r="W2909" i="7"/>
  <c r="W303" i="7"/>
  <c r="W2180" i="7"/>
  <c r="W2643" i="7"/>
  <c r="W890" i="7"/>
  <c r="W2665" i="7"/>
  <c r="W2138" i="7"/>
  <c r="W1832" i="7"/>
  <c r="W868" i="7"/>
  <c r="W468" i="7"/>
  <c r="W2166" i="7"/>
  <c r="W871" i="7"/>
  <c r="W778" i="7"/>
  <c r="W1282" i="7"/>
  <c r="W2977" i="7"/>
  <c r="W2723" i="7"/>
  <c r="W1136" i="7"/>
  <c r="W342" i="7"/>
  <c r="W2526" i="7"/>
  <c r="W2349" i="7"/>
  <c r="W2496" i="7"/>
  <c r="W2797" i="7"/>
  <c r="W1516" i="7"/>
  <c r="W20" i="7"/>
  <c r="W39" i="7"/>
  <c r="W42" i="7"/>
  <c r="W839" i="7"/>
  <c r="W320" i="7"/>
  <c r="W1764" i="7"/>
  <c r="W670" i="7"/>
  <c r="W147" i="7"/>
  <c r="W1945" i="7"/>
  <c r="W1198" i="7"/>
  <c r="W2695" i="7"/>
  <c r="W1213" i="7"/>
  <c r="W392" i="7"/>
  <c r="W496" i="7"/>
  <c r="W1505" i="7"/>
  <c r="W853" i="7"/>
  <c r="W270" i="7"/>
  <c r="W394" i="7"/>
  <c r="W2789" i="7"/>
  <c r="W1517" i="7"/>
  <c r="W1897" i="7"/>
  <c r="W2876" i="7"/>
  <c r="W2937" i="7"/>
  <c r="W495" i="7"/>
  <c r="W1418" i="7"/>
  <c r="W2600" i="7"/>
  <c r="W741" i="7"/>
  <c r="W1947" i="7"/>
  <c r="W1655" i="7"/>
  <c r="W1561" i="7"/>
  <c r="W1251" i="7"/>
  <c r="W2002" i="7"/>
  <c r="W2170" i="7"/>
  <c r="W2105" i="7"/>
  <c r="W1208" i="7"/>
  <c r="W172" i="7"/>
  <c r="W1824" i="7"/>
  <c r="W1498" i="7"/>
  <c r="W1855" i="7"/>
  <c r="W1336" i="7"/>
  <c r="W964" i="7"/>
  <c r="W2460" i="7"/>
  <c r="W914" i="7"/>
  <c r="W1963" i="7"/>
  <c r="W2060" i="7"/>
  <c r="W1865" i="7"/>
  <c r="W2878" i="7"/>
  <c r="W307" i="7"/>
  <c r="W2714" i="7"/>
  <c r="W2090" i="7"/>
  <c r="W1621" i="7"/>
  <c r="W601" i="7"/>
  <c r="W301" i="7"/>
  <c r="W2536" i="7"/>
  <c r="W721" i="7"/>
  <c r="W1979" i="7"/>
  <c r="W1737" i="7"/>
  <c r="W1757" i="7"/>
  <c r="W1771" i="7"/>
  <c r="W2722" i="7"/>
  <c r="W2724" i="7"/>
  <c r="W1695" i="7"/>
  <c r="W2844" i="7"/>
  <c r="W59" i="7"/>
  <c r="W2762" i="7"/>
  <c r="W2260" i="7"/>
  <c r="W2339" i="7"/>
  <c r="W143" i="7"/>
  <c r="W411" i="7"/>
  <c r="W790" i="7"/>
  <c r="W1308" i="7"/>
  <c r="W215" i="7"/>
  <c r="W776" i="7"/>
  <c r="W1504" i="7"/>
  <c r="W2766" i="7"/>
  <c r="W2532" i="7"/>
  <c r="W126" i="7"/>
  <c r="W1362" i="7"/>
  <c r="W432" i="7"/>
  <c r="W2580" i="7"/>
  <c r="W2068" i="7"/>
  <c r="W1881" i="7"/>
  <c r="W2001" i="7"/>
  <c r="W1292" i="7"/>
  <c r="W2859" i="7"/>
  <c r="W2829" i="7"/>
  <c r="W877" i="7"/>
  <c r="W810" i="7"/>
  <c r="W2881" i="7"/>
  <c r="W99" i="7"/>
  <c r="W1635" i="7"/>
  <c r="W2626" i="7"/>
  <c r="W178" i="7"/>
  <c r="W1175" i="7"/>
  <c r="W2851" i="7"/>
  <c r="W1335" i="7"/>
  <c r="W1694" i="7"/>
  <c r="W1800" i="7"/>
  <c r="W1754" i="7"/>
  <c r="W2900" i="7"/>
  <c r="W2492" i="7"/>
  <c r="W742" i="7"/>
  <c r="W55" i="7"/>
  <c r="W123" i="7"/>
  <c r="W1814" i="7"/>
  <c r="W1384" i="7"/>
  <c r="W1975" i="7"/>
  <c r="W493" i="7"/>
  <c r="W427" i="7"/>
  <c r="W2570" i="7"/>
  <c r="W1513" i="7"/>
  <c r="W1559" i="7"/>
  <c r="W700" i="7"/>
  <c r="W361" i="7"/>
  <c r="W2915" i="7"/>
  <c r="W2317" i="7"/>
  <c r="W2583" i="7"/>
  <c r="W1951" i="7"/>
  <c r="W1910" i="7"/>
  <c r="W860" i="7"/>
  <c r="W2743" i="7"/>
  <c r="W631" i="7"/>
  <c r="W1454" i="7"/>
  <c r="W385" i="7"/>
  <c r="W617" i="7"/>
  <c r="W2737" i="7"/>
  <c r="W2287" i="7"/>
  <c r="W643" i="7"/>
  <c r="W2572" i="7"/>
  <c r="W2836" i="7"/>
  <c r="W245" i="7"/>
  <c r="W1756" i="7"/>
  <c r="W2405" i="7"/>
  <c r="W1970" i="7"/>
  <c r="W650" i="7"/>
  <c r="W2858" i="7"/>
  <c r="W1511" i="7"/>
  <c r="W757" i="7"/>
  <c r="W406" i="7"/>
  <c r="W642" i="7"/>
  <c r="W1029" i="7"/>
  <c r="W2330" i="7"/>
  <c r="W129" i="7"/>
  <c r="W1473" i="7"/>
  <c r="W58" i="7"/>
  <c r="W1269" i="7"/>
  <c r="W1278" i="7"/>
  <c r="W898" i="7"/>
  <c r="W416" i="7"/>
  <c r="W1721" i="7"/>
  <c r="W1428" i="7"/>
  <c r="W692" i="7"/>
  <c r="W240" i="7"/>
  <c r="W747" i="7"/>
  <c r="W549" i="7"/>
  <c r="W739" i="7"/>
  <c r="W1038" i="7"/>
  <c r="W1105" i="7"/>
  <c r="W1259" i="7"/>
  <c r="W903" i="7"/>
  <c r="W512" i="7"/>
  <c r="W556" i="7"/>
  <c r="W986" i="7"/>
  <c r="W2310" i="7"/>
  <c r="W2519" i="7"/>
  <c r="W131" i="7"/>
  <c r="W637" i="7"/>
  <c r="W1341" i="7"/>
  <c r="W1007" i="7"/>
  <c r="W158" i="7"/>
  <c r="W2204" i="7"/>
  <c r="W2159" i="7"/>
  <c r="W2393" i="7"/>
  <c r="W1652" i="7"/>
  <c r="W2329" i="7"/>
  <c r="W2808" i="7"/>
  <c r="W2924" i="7"/>
  <c r="W1186" i="7"/>
  <c r="W1869" i="7"/>
  <c r="W1871" i="7"/>
  <c r="W1235" i="7"/>
  <c r="W1710" i="7"/>
  <c r="W2245" i="7"/>
  <c r="W1256" i="7"/>
  <c r="W2360" i="7"/>
  <c r="W116" i="7"/>
  <c r="W1922" i="7"/>
  <c r="W2218" i="7"/>
  <c r="W2932" i="7"/>
  <c r="W90" i="7"/>
  <c r="W117" i="7"/>
  <c r="W387" i="7"/>
  <c r="W2824" i="7"/>
  <c r="W2557" i="7"/>
  <c r="W533" i="7"/>
  <c r="W2187" i="7"/>
  <c r="W2074" i="7"/>
  <c r="W958" i="7"/>
  <c r="W1435" i="7"/>
  <c r="W1313" i="7"/>
  <c r="W1209" i="7"/>
  <c r="W792" i="7"/>
  <c r="W957" i="7"/>
  <c r="W2215" i="7"/>
  <c r="W1178" i="7"/>
  <c r="W108" i="7"/>
  <c r="W47" i="7"/>
  <c r="W2256" i="7"/>
  <c r="W685" i="7"/>
  <c r="W2322" i="7"/>
  <c r="W2448" i="7"/>
  <c r="W2175" i="7"/>
  <c r="W765" i="7"/>
  <c r="W1880" i="7"/>
  <c r="W193" i="7"/>
  <c r="W1221" i="7"/>
  <c r="W767" i="7"/>
  <c r="W2922" i="7"/>
  <c r="W53" i="7"/>
  <c r="W2214" i="7"/>
  <c r="W2432" i="7"/>
  <c r="W528" i="7"/>
  <c r="W2529" i="7"/>
  <c r="W864" i="7"/>
  <c r="W366" i="7"/>
  <c r="W967" i="7"/>
  <c r="W2124" i="7"/>
  <c r="W1558" i="7"/>
  <c r="W2442" i="7"/>
  <c r="W1593" i="7"/>
  <c r="W2467" i="7"/>
  <c r="W2419" i="7"/>
  <c r="W2235" i="7"/>
  <c r="W1584" i="7"/>
  <c r="W2917" i="7"/>
  <c r="W701" i="7"/>
  <c r="W997" i="7"/>
  <c r="W2381" i="7"/>
  <c r="W384" i="7"/>
  <c r="W2416" i="7"/>
  <c r="W324" i="7"/>
  <c r="W1747" i="7"/>
  <c r="W453" i="7"/>
  <c r="W2958" i="7"/>
  <c r="W473" i="7"/>
  <c r="W618" i="7"/>
  <c r="W1658" i="7"/>
  <c r="W1762" i="7"/>
  <c r="W731" i="7"/>
  <c r="W1987" i="7"/>
  <c r="W2544" i="7"/>
  <c r="W2754" i="7"/>
  <c r="W2622" i="7"/>
  <c r="W1281" i="7"/>
  <c r="W2946" i="7"/>
  <c r="W2680" i="7"/>
  <c r="W785" i="7"/>
  <c r="W137" i="7"/>
  <c r="W2588" i="7"/>
  <c r="W867" i="7"/>
  <c r="W2516" i="7"/>
  <c r="W2669" i="7"/>
  <c r="W842" i="7"/>
  <c r="W783" i="7"/>
  <c r="W469" i="7"/>
  <c r="W1741" i="7"/>
  <c r="W1831" i="7"/>
  <c r="W457" i="7"/>
  <c r="W759" i="7"/>
  <c r="W2196" i="7"/>
  <c r="W2238" i="7"/>
  <c r="W1916" i="7"/>
  <c r="W2587" i="7"/>
  <c r="W1358" i="7"/>
  <c r="W763" i="7"/>
  <c r="W345" i="7"/>
  <c r="W719" i="7"/>
  <c r="W498" i="7"/>
  <c r="W1884" i="7"/>
  <c r="W2700" i="7"/>
  <c r="W2574" i="7"/>
  <c r="W2846" i="7"/>
  <c r="W2837" i="7"/>
  <c r="W1786" i="7"/>
  <c r="W1405" i="7"/>
  <c r="W1438" i="7"/>
  <c r="W865" i="7"/>
  <c r="W2944" i="7"/>
  <c r="W318" i="7"/>
  <c r="W1940" i="7"/>
  <c r="W1725" i="7"/>
  <c r="W515" i="7"/>
  <c r="W407" i="7"/>
  <c r="W182" i="7"/>
  <c r="W924" i="7"/>
  <c r="W333" i="7"/>
  <c r="W2595" i="7"/>
  <c r="W1822" i="7"/>
  <c r="W1693" i="7"/>
  <c r="W1257" i="7"/>
  <c r="W772" i="7"/>
  <c r="W2729" i="7"/>
  <c r="W1959" i="7"/>
  <c r="W2378" i="7"/>
  <c r="W1675" i="7"/>
  <c r="W328" i="7"/>
  <c r="W1849" i="7"/>
  <c r="W840" i="7"/>
  <c r="W1770" i="7"/>
  <c r="W49" i="7"/>
  <c r="W257" i="7"/>
  <c r="W2016" i="7"/>
  <c r="W852" i="7"/>
  <c r="W1837" i="7"/>
  <c r="W985" i="7"/>
  <c r="W970" i="7"/>
  <c r="W2073" i="7"/>
  <c r="W2490" i="7"/>
  <c r="W2794" i="7"/>
  <c r="W1124" i="7"/>
  <c r="W308" i="7"/>
  <c r="W1263" i="7"/>
  <c r="W2336" i="7"/>
  <c r="W714" i="7"/>
  <c r="W2010" i="7"/>
  <c r="W2885" i="7"/>
  <c r="W1758" i="7"/>
  <c r="W1946" i="7"/>
  <c r="W1249" i="7"/>
  <c r="W2129" i="7"/>
  <c r="W1441" i="7"/>
  <c r="W851" i="7"/>
  <c r="W17" i="7"/>
  <c r="W221" i="7"/>
  <c r="W1782" i="7"/>
  <c r="W1664" i="7"/>
  <c r="W1401" i="7"/>
  <c r="W2738" i="7"/>
  <c r="W1909" i="7"/>
  <c r="W2163" i="7"/>
  <c r="W45" i="7"/>
  <c r="W1995" i="7"/>
  <c r="W1176" i="7"/>
  <c r="W1983" i="7"/>
  <c r="W1492" i="7"/>
  <c r="W2380" i="7"/>
  <c r="W523" i="7"/>
  <c r="W2142" i="7"/>
  <c r="W260" i="7"/>
  <c r="W1477" i="7"/>
  <c r="W2908" i="7"/>
  <c r="W1751" i="7"/>
  <c r="W2693" i="7"/>
  <c r="W77" i="7"/>
  <c r="W2981" i="7"/>
  <c r="W476" i="7"/>
  <c r="W514" i="7"/>
  <c r="W2147" i="7"/>
  <c r="W1846" i="7"/>
  <c r="W1964" i="7"/>
  <c r="W183" i="7"/>
  <c r="W1036" i="7"/>
  <c r="W163" i="7"/>
  <c r="W2795" i="7"/>
  <c r="W2597" i="7"/>
  <c r="W2334" i="7"/>
  <c r="W1076" i="7"/>
  <c r="W1594" i="7"/>
  <c r="W758" i="7"/>
  <c r="W46" i="7"/>
  <c r="W480" i="7"/>
  <c r="W2773" i="7"/>
  <c r="W110" i="7"/>
  <c r="W85" i="7"/>
  <c r="W327" i="7"/>
  <c r="W62" i="7"/>
  <c r="W822" i="7"/>
  <c r="W2160" i="7"/>
  <c r="W2475" i="7"/>
  <c r="W14" i="7"/>
  <c r="W510" i="7"/>
  <c r="W2027" i="7"/>
  <c r="W2302" i="7"/>
  <c r="W1334" i="7"/>
  <c r="W2319" i="7"/>
  <c r="W348" i="7"/>
  <c r="W2854" i="7"/>
  <c r="W902" i="7"/>
  <c r="W1423" i="7"/>
  <c r="W771" i="7"/>
  <c r="W1026" i="7"/>
  <c r="W1330" i="7"/>
  <c r="W1077" i="7"/>
  <c r="W1496" i="7"/>
  <c r="W1339" i="7"/>
  <c r="W1353" i="7"/>
  <c r="W1689" i="7"/>
  <c r="W1382" i="7"/>
  <c r="W1709" i="7"/>
  <c r="W2609" i="7"/>
  <c r="W388" i="7"/>
  <c r="W2048" i="7"/>
  <c r="W2308" i="7"/>
  <c r="W2136" i="7"/>
  <c r="W2108" i="7"/>
  <c r="W1811" i="7"/>
  <c r="W153" i="7"/>
  <c r="W1318" i="7"/>
  <c r="W2181" i="7"/>
  <c r="W1803" i="7"/>
  <c r="W2585" i="7"/>
  <c r="W1823" i="7"/>
  <c r="W2047" i="7"/>
  <c r="W2408" i="7"/>
  <c r="W553" i="7"/>
  <c r="W2376" i="7"/>
  <c r="W2719" i="7"/>
  <c r="W545" i="7"/>
  <c r="W2710" i="7"/>
  <c r="W734" i="7"/>
  <c r="W2033" i="7"/>
  <c r="W185" i="7"/>
  <c r="W829" i="7"/>
  <c r="W1722" i="7"/>
  <c r="W1953" i="7"/>
  <c r="W1037" i="7"/>
  <c r="W271" i="7"/>
  <c r="W1280" i="7"/>
  <c r="W2036" i="7"/>
  <c r="W517" i="7"/>
  <c r="W2446" i="7"/>
  <c r="W1180" i="7"/>
  <c r="W57" i="7"/>
  <c r="W424" i="7"/>
  <c r="W2618" i="7"/>
  <c r="W65" i="7"/>
  <c r="W1631" i="7"/>
  <c r="W2289" i="7"/>
  <c r="W1519" i="7"/>
  <c r="W2498" i="7"/>
  <c r="W1653" i="7"/>
  <c r="W1780" i="7"/>
  <c r="W2731" i="7"/>
  <c r="W1768" i="7"/>
  <c r="W662" i="7"/>
  <c r="W2205" i="7"/>
  <c r="W1932" i="7"/>
  <c r="W230" i="7"/>
  <c r="W2569" i="7"/>
  <c r="W2898" i="7"/>
  <c r="W961" i="7"/>
  <c r="W2721" i="7"/>
  <c r="W1795" i="7"/>
  <c r="W277" i="7"/>
  <c r="W2065" i="7"/>
  <c r="W1475" i="7"/>
  <c r="W2109" i="7"/>
  <c r="W341" i="7"/>
  <c r="W2228" i="7"/>
  <c r="W261" i="7"/>
  <c r="W2382" i="7"/>
  <c r="W779" i="7"/>
  <c r="W2061" i="7"/>
  <c r="W2925" i="7"/>
  <c r="W1466" i="7"/>
  <c r="W614" i="7"/>
  <c r="W2916" i="7"/>
  <c r="W2086" i="7"/>
  <c r="W2550" i="7"/>
  <c r="W343" i="7"/>
  <c r="W546" i="7"/>
  <c r="W2119" i="7"/>
  <c r="W1526" i="7"/>
  <c r="W1978" i="7"/>
  <c r="W1703" i="7"/>
  <c r="W1685" i="7"/>
  <c r="W1021" i="7"/>
  <c r="W1229" i="7"/>
  <c r="W1988" i="7"/>
  <c r="W152" i="7"/>
  <c r="W1422" i="7"/>
  <c r="W2373" i="7"/>
  <c r="W2231" i="7"/>
  <c r="W2865" i="7"/>
  <c r="W2972" i="7"/>
  <c r="W1861" i="7"/>
  <c r="W2964" i="7"/>
  <c r="W1219" i="7"/>
  <c r="W2782" i="7"/>
  <c r="W37" i="7"/>
  <c r="W2389" i="7"/>
  <c r="W2905" i="7"/>
  <c r="W2439" i="7"/>
  <c r="W560" i="7"/>
  <c r="W1135" i="7"/>
  <c r="W2410" i="7"/>
  <c r="W1873" i="7"/>
  <c r="W817" i="7"/>
  <c r="W796" i="7"/>
  <c r="W932" i="7"/>
  <c r="W1242" i="7"/>
  <c r="W1804" i="7"/>
  <c r="W396" i="7"/>
  <c r="W1650" i="7"/>
  <c r="W2251" i="7"/>
  <c r="W683" i="7"/>
  <c r="W540" i="7"/>
  <c r="W1421" i="7"/>
  <c r="W799" i="7"/>
  <c r="W2963" i="7"/>
  <c r="W2624" i="7"/>
  <c r="W2293" i="7"/>
  <c r="W2631" i="7"/>
  <c r="W2555" i="7"/>
  <c r="W2239" i="7"/>
  <c r="W360" i="7"/>
  <c r="W2936" i="7"/>
  <c r="W2371" i="7"/>
  <c r="W1258" i="7"/>
  <c r="W1265" i="7"/>
  <c r="W1579" i="7"/>
  <c r="W1994" i="7"/>
  <c r="W2921" i="7"/>
  <c r="W1698" i="7"/>
  <c r="W1590" i="7"/>
  <c r="W1264" i="7"/>
  <c r="W2811" i="7"/>
  <c r="W2292" i="7"/>
  <c r="W1900" i="7"/>
  <c r="W2259" i="7"/>
  <c r="W2417" i="7"/>
  <c r="W1246" i="7"/>
  <c r="W2122" i="7"/>
  <c r="W162" i="7"/>
  <c r="W563" i="7"/>
  <c r="W2778" i="7"/>
  <c r="W1874" i="7"/>
  <c r="W1546" i="7"/>
  <c r="W2616" i="7"/>
  <c r="W1464" i="7"/>
  <c r="W671" i="7"/>
  <c r="W483" i="7"/>
  <c r="W1385" i="7"/>
  <c r="W845" i="7"/>
  <c r="W2914" i="7"/>
  <c r="W859" i="7"/>
  <c r="W463" i="7"/>
  <c r="W1810" i="7"/>
  <c r="W1845" i="7"/>
  <c r="W1101" i="7"/>
  <c r="W1081" i="7"/>
  <c r="W1146" i="7"/>
  <c r="W1307" i="7"/>
  <c r="W404" i="7"/>
  <c r="W1986" i="7"/>
  <c r="W1407" i="7"/>
  <c r="W2823" i="7"/>
  <c r="W2767" i="7"/>
  <c r="W405" i="7"/>
  <c r="W2320" i="7"/>
  <c r="W547" i="7"/>
  <c r="W2919" i="7"/>
  <c r="W699" i="7"/>
  <c r="W1592" i="7"/>
  <c r="W1197" i="7"/>
  <c r="W2833" i="7"/>
  <c r="W1680" i="7"/>
  <c r="W569" i="7"/>
  <c r="W2449" i="7"/>
  <c r="W1128" i="7"/>
  <c r="W444" i="7"/>
  <c r="W1461" i="7"/>
  <c r="W2640" i="7"/>
  <c r="W2637" i="7"/>
  <c r="W2455" i="7"/>
  <c r="W1233" i="7"/>
  <c r="W1396" i="7"/>
  <c r="W1092" i="7"/>
  <c r="W1998" i="7"/>
  <c r="W1649" i="7"/>
  <c r="W1286" i="7"/>
  <c r="W773" i="7"/>
  <c r="W2720" i="7"/>
  <c r="W1403" i="7"/>
  <c r="W2030" i="7"/>
  <c r="W1458" i="7"/>
  <c r="W202" i="7"/>
  <c r="W464" i="7"/>
  <c r="W63" i="7"/>
  <c r="W2543" i="7"/>
  <c r="W278" i="7"/>
  <c r="W329" i="7"/>
  <c r="W2866" i="7"/>
  <c r="W1304" i="7"/>
  <c r="W351" i="7"/>
  <c r="W2440" i="7"/>
  <c r="W1192" i="7"/>
  <c r="W827" i="7"/>
  <c r="W962" i="7"/>
  <c r="W1179" i="7"/>
  <c r="W2480" i="7"/>
  <c r="W216" i="7"/>
  <c r="W1173" i="7"/>
  <c r="W2775" i="7"/>
  <c r="W1012" i="7"/>
  <c r="W1387" i="7"/>
  <c r="W150" i="7"/>
  <c r="W2839" i="7"/>
  <c r="W857" i="7"/>
  <c r="W1115" i="7"/>
  <c r="W1322" i="7"/>
  <c r="W1677" i="7"/>
  <c r="W1603" i="7"/>
  <c r="W1319" i="7"/>
  <c r="W891" i="7"/>
  <c r="W1863" i="7"/>
  <c r="W507" i="7"/>
  <c r="W2860" i="7"/>
  <c r="W2978" i="7"/>
  <c r="W1069" i="7"/>
  <c r="W2042" i="7"/>
  <c r="W1870" i="7"/>
  <c r="W2882" i="7"/>
  <c r="W105" i="7"/>
  <c r="W1528" i="7"/>
  <c r="W887" i="7"/>
  <c r="W1595" i="7"/>
  <c r="W151" i="7"/>
  <c r="W869" i="7"/>
  <c r="W972" i="7"/>
  <c r="W769" i="7"/>
  <c r="W2514" i="7"/>
  <c r="W1376" i="7"/>
  <c r="W1510" i="7"/>
  <c r="W1001" i="7"/>
  <c r="W132" i="7"/>
  <c r="W87" i="7"/>
  <c r="W1920" i="7"/>
  <c r="W2845" i="7"/>
  <c r="W754" i="7"/>
  <c r="W883" i="7"/>
  <c r="W1718" i="7"/>
  <c r="W1159" i="7"/>
  <c r="W1279" i="7"/>
  <c r="W1914" i="7"/>
  <c r="W909" i="7"/>
  <c r="W2875" i="7"/>
  <c r="W949" i="7"/>
  <c r="W808" i="7"/>
  <c r="W2208" i="7"/>
  <c r="W1070" i="7"/>
  <c r="W1268" i="7"/>
  <c r="W466" i="7"/>
  <c r="W1888" i="7"/>
  <c r="W2281" i="7"/>
  <c r="W2167" i="7"/>
  <c r="W1808" i="7"/>
  <c r="W1252" i="7"/>
  <c r="W490" i="7"/>
  <c r="W1954" i="7"/>
  <c r="W1596" i="7"/>
  <c r="W203" i="7"/>
  <c r="W2434" i="7"/>
  <c r="W947" i="7"/>
  <c r="W238" i="7"/>
  <c r="W706" i="7"/>
  <c r="W1889" i="7"/>
  <c r="W753" i="7"/>
  <c r="W1817" i="7"/>
  <c r="W1048" i="7"/>
  <c r="W2848" i="7"/>
  <c r="W1867" i="7"/>
  <c r="W440" i="7"/>
  <c r="W1734" i="7"/>
  <c r="W1656" i="7"/>
  <c r="W2067" i="7"/>
  <c r="W1250" i="7"/>
  <c r="W2975" i="7"/>
  <c r="W2648" i="7"/>
  <c r="W1827" i="7"/>
  <c r="W1061" i="7"/>
  <c r="W412" i="7"/>
  <c r="W44" i="7"/>
  <c r="W1568" i="7"/>
  <c r="W1939" i="7"/>
  <c r="W2950" i="7"/>
  <c r="W1489" i="7"/>
  <c r="W1305" i="7"/>
  <c r="W281" i="7"/>
  <c r="W2973" i="7"/>
  <c r="W429" i="7"/>
  <c r="W1060" i="7"/>
  <c r="W1448" i="7"/>
  <c r="W2614" i="7"/>
  <c r="W167" i="7"/>
  <c r="W2241" i="7"/>
  <c r="W2096" i="7"/>
  <c r="W477" i="7"/>
  <c r="W2537" i="7"/>
  <c r="W1843" i="7"/>
  <c r="W2075" i="7"/>
  <c r="W1790" i="7"/>
  <c r="W1915" i="7"/>
  <c r="W2081" i="7"/>
  <c r="W2604" i="7"/>
  <c r="W2918" i="7"/>
  <c r="W273" i="7"/>
  <c r="W2385" i="7"/>
  <c r="W195" i="7"/>
  <c r="W2735" i="7"/>
  <c r="W2592" i="7"/>
  <c r="W1662" i="7"/>
  <c r="W1724" i="7"/>
  <c r="W2343" i="7"/>
  <c r="W1054" i="7"/>
  <c r="W921" i="7"/>
  <c r="W487" i="7"/>
  <c r="W768" i="7"/>
  <c r="W2689" i="7"/>
  <c r="W1552" i="7"/>
  <c r="W1437" i="7"/>
  <c r="W393" i="7"/>
  <c r="W1402" i="7"/>
  <c r="W300" i="7"/>
  <c r="W224" i="7"/>
  <c r="W2278" i="7"/>
  <c r="W2674" i="7"/>
  <c r="W2619" i="7"/>
  <c r="W2513" i="7"/>
  <c r="W1078" i="7"/>
  <c r="W104" i="7"/>
  <c r="W1968" i="7"/>
  <c r="W1609" i="7"/>
  <c r="W595" i="7"/>
  <c r="W2350" i="7"/>
  <c r="W2520" i="7"/>
  <c r="W2157" i="7"/>
  <c r="W1295" i="7"/>
  <c r="W2896" i="7"/>
  <c r="W2207" i="7"/>
  <c r="W782" i="7"/>
  <c r="W543" i="7"/>
  <c r="W713" i="7"/>
  <c r="W1170" i="7"/>
  <c r="W1620" i="7"/>
  <c r="W1554" i="7"/>
  <c r="W2132" i="7"/>
  <c r="W628" i="7"/>
  <c r="W435" i="7"/>
  <c r="W1194" i="7"/>
  <c r="W1320" i="7"/>
  <c r="W56" i="7"/>
  <c r="W165" i="7"/>
  <c r="W1131" i="7"/>
  <c r="W2392" i="7"/>
  <c r="W2705" i="7"/>
  <c r="W2424" i="7"/>
  <c r="W1114" i="7"/>
  <c r="W1244" i="7"/>
  <c r="W1775" i="7"/>
  <c r="W1733" i="7"/>
  <c r="W2806" i="7"/>
  <c r="W927" i="7"/>
  <c r="W15" i="7"/>
  <c r="W420" i="7"/>
  <c r="W920" i="7"/>
  <c r="W425" i="7"/>
  <c r="W363" i="7"/>
  <c r="W2229" i="7"/>
  <c r="W2134" i="7"/>
  <c r="W926" i="7"/>
  <c r="W1474" i="7"/>
  <c r="W2445" i="7"/>
  <c r="W2063" i="7"/>
  <c r="W2394" i="7"/>
  <c r="W1726" i="7"/>
  <c r="W1045" i="7"/>
  <c r="W1691" i="7"/>
  <c r="W1470" i="7"/>
  <c r="W1011" i="7"/>
  <c r="W2651" i="7"/>
  <c r="W263" i="7"/>
  <c r="W564" i="7"/>
  <c r="W1743" i="7"/>
  <c r="W1632" i="7"/>
  <c r="W1539" i="7"/>
  <c r="W1551" i="7"/>
  <c r="W1096" i="7"/>
  <c r="W885" i="7"/>
  <c r="W2013" i="7"/>
  <c r="W1723" i="7"/>
  <c r="W353" i="7"/>
  <c r="W2057" i="7"/>
  <c r="W2406" i="7"/>
  <c r="W624" i="7"/>
  <c r="W1992" i="7"/>
  <c r="W1616" i="7"/>
  <c r="W2452" i="7"/>
  <c r="W1769" i="7"/>
  <c r="W975" i="7"/>
  <c r="W2745" i="7"/>
  <c r="W2709" i="7"/>
  <c r="W2316" i="7"/>
  <c r="W1024" i="7"/>
  <c r="W1125" i="7"/>
  <c r="W130" i="7"/>
  <c r="W1908" i="7"/>
  <c r="W2113" i="7"/>
  <c r="W2888" i="7"/>
  <c r="W2793" i="7"/>
  <c r="W2491" i="7"/>
  <c r="W2508" i="7"/>
  <c r="W1587" i="7"/>
  <c r="W2685" i="7"/>
  <c r="W68" i="7"/>
  <c r="W1977" i="7"/>
  <c r="W2933" i="7"/>
  <c r="W1370" i="7"/>
  <c r="W1543" i="7"/>
  <c r="W1310" i="7"/>
  <c r="W1641" i="7"/>
  <c r="W1354" i="7"/>
  <c r="W2145" i="7"/>
  <c r="W2087" i="7"/>
  <c r="W2575" i="7"/>
  <c r="W1431" i="7"/>
  <c r="W1981" i="7"/>
  <c r="W2577" i="7"/>
  <c r="W1682" i="7"/>
  <c r="W2078" i="7"/>
  <c r="W2333" i="7"/>
  <c r="W2000" i="7"/>
  <c r="W2112" i="7"/>
  <c r="W1493" i="7"/>
  <c r="W26" i="7"/>
  <c r="W1484" i="7"/>
  <c r="W2777" i="7"/>
  <c r="W196" i="7"/>
  <c r="W1521" i="7"/>
  <c r="W1064" i="7"/>
  <c r="W1930" i="7"/>
  <c r="W1460" i="7"/>
  <c r="W2176" i="7"/>
  <c r="W1759" i="7"/>
  <c r="W1327" i="7"/>
  <c r="W1805" i="7"/>
  <c r="W2753" i="7"/>
  <c r="W1104" i="7"/>
  <c r="W930" i="7"/>
  <c r="W336" i="7"/>
  <c r="W965" i="7"/>
  <c r="W2761" i="7"/>
  <c r="W980" i="7"/>
  <c r="W448" i="7"/>
  <c r="W1328" i="7"/>
  <c r="W1826" i="7"/>
  <c r="W1851" i="7"/>
  <c r="W2785" i="7"/>
  <c r="W347" i="7"/>
  <c r="W1765" i="7"/>
  <c r="W2869" i="7"/>
  <c r="W421" i="7"/>
  <c r="W897" i="7"/>
  <c r="W1234" i="7"/>
  <c r="W2780" i="7"/>
  <c r="W2189" i="7"/>
  <c r="W1684" i="7"/>
  <c r="W504" i="7"/>
  <c r="W2750" i="7"/>
  <c r="W1071" i="7"/>
  <c r="W122" i="7"/>
  <c r="W1025" i="7"/>
  <c r="W316" i="7"/>
  <c r="W798" i="7"/>
  <c r="W2613" i="7"/>
  <c r="W2209" i="7"/>
  <c r="W2144" i="7"/>
  <c r="W598" i="7"/>
  <c r="W1742" i="7"/>
  <c r="W1583" i="7"/>
  <c r="W641" i="7"/>
  <c r="W1142" i="7"/>
  <c r="W994" i="7"/>
  <c r="W1145" i="7"/>
  <c r="W2672" i="7"/>
  <c r="W397" i="7"/>
  <c r="W494" i="7"/>
  <c r="W83" i="7"/>
  <c r="W1312" i="7"/>
  <c r="W1830" i="7"/>
  <c r="W450" i="7"/>
  <c r="W40" i="7"/>
  <c r="W1301" i="7"/>
  <c r="W761" i="7"/>
  <c r="W1253" i="7"/>
  <c r="W1509" i="7"/>
  <c r="W1220" i="7"/>
  <c r="W1348" i="7"/>
  <c r="W1944" i="7"/>
  <c r="W807" i="7"/>
  <c r="W2815" i="7"/>
  <c r="W169" i="7"/>
  <c r="W1434" i="7"/>
  <c r="W682" i="7"/>
  <c r="W937" i="7"/>
  <c r="W2813" i="7"/>
  <c r="W355" i="7"/>
  <c r="W1732" i="7"/>
  <c r="W194" i="7"/>
  <c r="W1463" i="7"/>
  <c r="W2599" i="7"/>
  <c r="W2294" i="7"/>
  <c r="W2661" i="7"/>
  <c r="W113" i="7"/>
  <c r="W2391" i="7"/>
  <c r="W2298" i="7"/>
  <c r="W830" i="7"/>
  <c r="W1706" i="7"/>
  <c r="W486" i="7"/>
  <c r="W100" i="7"/>
  <c r="W236" i="7"/>
  <c r="W410" i="7"/>
  <c r="W1196" i="7"/>
  <c r="W989" i="7"/>
  <c r="W2093" i="7"/>
  <c r="W7" i="7"/>
  <c r="W2615" i="7"/>
  <c r="W2551" i="7"/>
  <c r="W934" i="7"/>
  <c r="W2178" i="7"/>
  <c r="W2538" i="7"/>
  <c r="W572" i="7"/>
  <c r="W2891" i="7"/>
  <c r="W824" i="7"/>
  <c r="W235" i="7"/>
  <c r="W1740" i="7"/>
  <c r="W2402" i="7"/>
  <c r="W337" i="7"/>
  <c r="W1705" i="7"/>
  <c r="W2957" i="7"/>
  <c r="W1486" i="7"/>
  <c r="W1989" i="7"/>
  <c r="W146" i="7"/>
  <c r="W1429" i="7"/>
  <c r="W940" i="7"/>
  <c r="W1564" i="7"/>
  <c r="W1172" i="7"/>
  <c r="W1791" i="7"/>
  <c r="W1541" i="7"/>
  <c r="W1690" i="7"/>
  <c r="W2234" i="7"/>
  <c r="W1898" i="7"/>
  <c r="W2353" i="7"/>
  <c r="W2670" i="7"/>
  <c r="W745" i="7"/>
  <c r="W1138" i="7"/>
  <c r="W2927" i="7"/>
  <c r="W1013" i="7"/>
  <c r="W1625" i="7"/>
  <c r="W604" i="7"/>
  <c r="W1273" i="7"/>
  <c r="W1507" i="7"/>
  <c r="W1886" i="7"/>
  <c r="W1776" i="7"/>
  <c r="W198" i="7"/>
  <c r="W134" i="7"/>
  <c r="W29" i="7"/>
  <c r="W953" i="7"/>
  <c r="W2472" i="7"/>
  <c r="W2627" i="7"/>
  <c r="W1891" i="7"/>
  <c r="W632" i="7"/>
  <c r="W1901" i="7"/>
  <c r="W2517" i="7"/>
  <c r="W32" i="7"/>
  <c r="W2149" i="7"/>
  <c r="W1314" i="7"/>
  <c r="W1377" i="7"/>
  <c r="W2525" i="7"/>
  <c r="W915" i="7"/>
  <c r="W996" i="7"/>
  <c r="W1788" i="7"/>
  <c r="W2409" i="7"/>
  <c r="W2387" i="7"/>
  <c r="W400" i="7"/>
  <c r="W1634" i="7"/>
  <c r="W1324" i="7"/>
  <c r="W36" i="7"/>
  <c r="W2003" i="7"/>
  <c r="W506" i="7"/>
  <c r="W825" i="7"/>
  <c r="W2907" i="7"/>
  <c r="W2484" i="7"/>
  <c r="W1390" i="7"/>
  <c r="W923" i="7"/>
  <c r="W526" i="7"/>
  <c r="W2261" i="7"/>
  <c r="W2853" i="7"/>
  <c r="W1357" i="7"/>
  <c r="W2945" i="7"/>
  <c r="W2141" i="7"/>
  <c r="W518" i="7"/>
  <c r="W2826" i="7"/>
  <c r="W1130" i="7"/>
  <c r="W1383" i="7"/>
  <c r="W138" i="7"/>
  <c r="W2732" i="7"/>
  <c r="W2744" i="7"/>
  <c r="W312" i="7"/>
  <c r="W2589" i="7"/>
  <c r="W908" i="7"/>
  <c r="W862" i="7"/>
  <c r="W1903" i="7"/>
  <c r="W2642" i="7"/>
  <c r="W2246" i="7"/>
  <c r="W1912" i="7"/>
  <c r="W1267" i="7"/>
  <c r="W1781" i="7"/>
  <c r="W1550" i="7"/>
  <c r="W1375" i="7"/>
  <c r="W1342" i="7"/>
  <c r="W2037" i="7"/>
  <c r="W1419" i="7"/>
  <c r="W135" i="7"/>
  <c r="W2688" i="7"/>
  <c r="W933" i="7"/>
  <c r="W649" i="7"/>
  <c r="W272" i="7"/>
  <c r="W2274" i="7"/>
  <c r="W1967" i="7"/>
  <c r="W834" i="7"/>
  <c r="W1785" i="7"/>
  <c r="W2040" i="7"/>
  <c r="W1270" i="7"/>
  <c r="W2842" i="7"/>
  <c r="W2612" i="7"/>
  <c r="W2020" i="7"/>
  <c r="W474" i="7"/>
  <c r="W2296" i="7"/>
  <c r="W2786" i="7"/>
  <c r="W2263" i="7"/>
  <c r="W1010" i="7"/>
  <c r="W381" i="7"/>
  <c r="W2325" i="7"/>
  <c r="W1553" i="7"/>
  <c r="W2146" i="7"/>
  <c r="W237" i="7"/>
  <c r="W812" i="7"/>
  <c r="W2191" i="7"/>
  <c r="W613" i="7"/>
  <c r="W1852" i="7"/>
  <c r="W367" i="7"/>
  <c r="W2742" i="7"/>
  <c r="W1942" i="7"/>
  <c r="W1958" i="7"/>
  <c r="W2425" i="7"/>
  <c r="W2401" i="7"/>
  <c r="W2220" i="7"/>
  <c r="M7" i="1"/>
  <c r="N7" i="1" l="1"/>
  <c r="M10" i="1"/>
  <c r="M27" i="1" l="1"/>
  <c r="N10" i="1"/>
  <c r="N27" i="1" l="1"/>
  <c r="V3" i="3" s="1"/>
  <c r="K21" i="3" s="1" a="1"/>
  <c r="N69" i="1" s="1"/>
  <c r="M38" i="3" l="1"/>
  <c r="M34" i="3"/>
  <c r="O28" i="3"/>
  <c r="M43" i="3"/>
  <c r="O44" i="3"/>
  <c r="M52" i="3"/>
  <c r="O52" i="3"/>
  <c r="O47" i="3"/>
  <c r="M39" i="3"/>
  <c r="O43" i="3"/>
  <c r="M51" i="3"/>
  <c r="O46" i="3"/>
  <c r="M23" i="3"/>
  <c r="M42" i="3"/>
  <c r="O35" i="3"/>
  <c r="M48" i="3"/>
  <c r="M50" i="3"/>
  <c r="O29" i="3"/>
  <c r="M27" i="3"/>
  <c r="O39" i="3"/>
  <c r="M36" i="3"/>
  <c r="M31" i="3"/>
  <c r="M35" i="3"/>
  <c r="O24" i="3"/>
  <c r="M44" i="3"/>
  <c r="M24" i="3"/>
  <c r="O37" i="3"/>
  <c r="O34" i="3"/>
  <c r="O51" i="3"/>
  <c r="O49" i="3"/>
  <c r="O36" i="3"/>
  <c r="O41" i="3"/>
  <c r="M46" i="3"/>
  <c r="O27" i="3"/>
  <c r="M26" i="3"/>
  <c r="M29" i="3"/>
  <c r="M32" i="3"/>
  <c r="M30" i="3"/>
  <c r="M47" i="3"/>
  <c r="O25" i="3"/>
  <c r="O42" i="3"/>
  <c r="O45" i="3"/>
  <c r="M49" i="3"/>
  <c r="O30" i="3"/>
  <c r="O31" i="3"/>
  <c r="O22" i="3"/>
  <c r="M41" i="3"/>
  <c r="M28" i="3"/>
  <c r="O50" i="3"/>
  <c r="O33" i="3"/>
  <c r="O23" i="3"/>
  <c r="M22" i="3"/>
  <c r="O38" i="3"/>
  <c r="M25" i="3"/>
  <c r="O40" i="3"/>
  <c r="O32" i="3"/>
  <c r="M40" i="3"/>
  <c r="M33" i="3"/>
  <c r="M37" i="3"/>
  <c r="M45" i="3"/>
  <c r="O26" i="3"/>
  <c r="M21" i="3"/>
  <c r="O48" i="3"/>
  <c r="O21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E5F06D-CC78-4E3F-B3D5-E55938761439}" keepAlive="1" name="Consulta - Operaciones" description="Conexión a la consulta 'Operaciones' en el libro." type="5" refreshedVersion="8" background="1" saveData="1">
    <dbPr connection="Provider=Microsoft.Mashup.OleDb.1;Data Source=$Workbook$;Location=Operaciones;Extended Properties=&quot;&quot;" command="SELECT * FROM [Operacione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<sst xmlns="http://schemas.openxmlformats.org/spreadsheetml/2006/main" count="43353" uniqueCount="4179">
  <si>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</si>
  <si>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</si>
  <si>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</si>
  <si>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</si>
  <si>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</si>
  <si>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</si>
  <si>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</si>
  <si>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</si>
  <si>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</si>
  <si>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</si>
  <si>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</si>
  <si>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</si>
  <si>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</si>
  <si>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</si>
  <si>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</si>
  <si>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</si>
  <si>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</si>
  <si>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</si>
  <si>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</si>
  <si>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</si>
  <si>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</si>
  <si>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</si>
  <si>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</si>
  <si>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</si>
  <si>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</si>
  <si>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</si>
  <si>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</si>
  <si>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</si>
  <si>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</si>
  <si>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</si>
  <si>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</si>
  <si>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</si>
  <si>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</si>
  <si>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</si>
  <si>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</si>
  <si>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</si>
  <si>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</si>
  <si>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</si>
  <si>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</si>
  <si>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</si>
  <si>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</si>
  <si>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</si>
  <si>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</si>
  <si>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</si>
  <si>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</si>
  <si>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</si>
  <si>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</si>
  <si>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</si>
  <si>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</si>
  <si>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</si>
  <si>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</si>
  <si>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</si>
  <si>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</si>
  <si>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</si>
  <si>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</si>
  <si>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</si>
  <si>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</si>
  <si>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</si>
  <si>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</si>
  <si>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</si>
  <si>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</si>
  <si>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</si>
  <si>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</si>
  <si>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</si>
  <si>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</si>
  <si>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</si>
  <si>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</si>
  <si>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</si>
  <si>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</si>
  <si>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</si>
  <si>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</si>
  <si>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</si>
  <si>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</si>
  <si>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</si>
  <si>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</si>
  <si>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</si>
  <si>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</si>
  <si>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</si>
  <si>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</si>
  <si>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</si>
  <si>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</si>
  <si>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</si>
  <si>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</si>
  <si>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</si>
  <si>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</si>
  <si>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</si>
  <si>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</si>
  <si>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</si>
  <si>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</si>
  <si>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</si>
  <si>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</si>
  <si>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</si>
  <si>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</si>
  <si>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</si>
  <si>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</si>
  <si>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</si>
  <si>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</si>
  <si>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</si>
  <si>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</si>
  <si>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</si>
  <si>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</si>
  <si>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</si>
  <si>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</si>
  <si>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</si>
  <si>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</si>
  <si>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</si>
  <si>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</si>
  <si>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</si>
  <si>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</si>
  <si>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</si>
  <si>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</si>
  <si>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</si>
  <si>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</si>
  <si>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</si>
  <si>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</si>
  <si>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</si>
  <si>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</si>
  <si>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</si>
  <si>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</si>
  <si>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</si>
  <si>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</si>
  <si>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</si>
  <si>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</si>
  <si>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</si>
  <si>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</si>
  <si>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</si>
  <si>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</si>
  <si>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</si>
  <si>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</si>
  <si>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</si>
  <si>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</si>
  <si>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</si>
  <si>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</si>
  <si>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</si>
  <si>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</si>
  <si>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</si>
  <si>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</si>
  <si>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</si>
  <si>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</si>
  <si>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</si>
  <si>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</si>
  <si>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</si>
  <si>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</si>
  <si>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</si>
  <si>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</si>
  <si>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*MAV181100773</t>
  </si>
  <si>
    <t>*MAV191100661</t>
  </si>
  <si>
    <t>*MAV201100887</t>
  </si>
  <si>
    <t>*MAV211100687</t>
  </si>
  <si>
    <t>*MAV221100992</t>
  </si>
  <si>
    <t>Fidus S.G.R.</t>
  </si>
  <si>
    <t>FF AMFAyS S49 Clase A</t>
  </si>
  <si>
    <t>AR0711423134</t>
  </si>
  <si>
    <t>31/12/2026</t>
  </si>
  <si>
    <t>21/07/2026</t>
  </si>
  <si>
    <t>30/06/2026</t>
  </si>
  <si>
    <t>02/06/2026</t>
  </si>
  <si>
    <t>Tipo</t>
  </si>
  <si>
    <t>Concertación</t>
  </si>
  <si>
    <t>Plazo</t>
  </si>
  <si>
    <t>PASE</t>
  </si>
  <si>
    <t>19/08/2026</t>
  </si>
  <si>
    <t>01/09/2026</t>
  </si>
  <si>
    <t>04/08/2026</t>
  </si>
  <si>
    <t>SES SA</t>
  </si>
  <si>
    <t>Caucion MAV</t>
  </si>
  <si>
    <t>FUTUROS</t>
  </si>
  <si>
    <t>INVLAC CONSTRUCCIONES S.R.L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</si>
  <si>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</si>
  <si>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</si>
  <si>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</si>
  <si>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</si>
  <si>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</si>
  <si>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</si>
  <si>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</si>
  <si>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</si>
  <si>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</si>
  <si>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</si>
  <si>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</si>
  <si>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</si>
  <si>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</si>
  <si>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</si>
  <si>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</si>
  <si>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</si>
  <si>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</si>
  <si>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</si>
  <si>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</si>
  <si>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</si>
  <si>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</si>
  <si>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</si>
  <si>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</si>
  <si>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</si>
  <si>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</si>
  <si>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</si>
  <si>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</si>
  <si>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</si>
  <si>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</si>
  <si>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</si>
  <si>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</si>
  <si>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</si>
  <si>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</si>
  <si>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</si>
  <si>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</si>
  <si>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</si>
  <si>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</si>
  <si>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</si>
  <si>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</si>
  <si>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</si>
  <si>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</si>
  <si>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</si>
  <si>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</si>
  <si>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</si>
  <si>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</si>
  <si>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</si>
  <si>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</si>
  <si>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</si>
  <si>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*MAV300100917</t>
  </si>
  <si>
    <t>LAROCCA NEUMATICOS S A</t>
  </si>
  <si>
    <t>*MAV120101031</t>
  </si>
  <si>
    <t>*MAV140100871</t>
  </si>
  <si>
    <t>INDUSTRIAS ERCA S A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</si>
  <si>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</si>
  <si>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</si>
  <si>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</si>
  <si>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</si>
  <si>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</si>
  <si>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</si>
  <si>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</si>
  <si>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</si>
  <si>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</si>
  <si>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</si>
  <si>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</si>
  <si>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</si>
  <si>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</si>
  <si>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</si>
  <si>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</si>
  <si>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</si>
  <si>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</si>
  <si>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</si>
  <si>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</si>
  <si>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</si>
  <si>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</si>
  <si>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</si>
  <si>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</si>
  <si>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</si>
  <si>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</si>
  <si>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</si>
  <si>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</si>
  <si>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</si>
  <si>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</si>
  <si>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</si>
  <si>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</si>
  <si>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</si>
  <si>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</si>
  <si>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</si>
  <si>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</si>
  <si>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</si>
  <si>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</si>
  <si>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</si>
  <si>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</si>
  <si>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</si>
  <si>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</si>
  <si>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</si>
  <si>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</si>
  <si>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</si>
  <si>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REMOLQUES OMBU S.A</t>
  </si>
  <si>
    <t>Coloca caucion MAV</t>
  </si>
  <si>
    <t>10/12/2026</t>
  </si>
  <si>
    <t>29/05/2026</t>
  </si>
  <si>
    <t>Compra/Venta de Bonos</t>
  </si>
  <si>
    <t>AVAL FEDERAL S.G.R.</t>
  </si>
  <si>
    <t>MILLS S.G.R.</t>
  </si>
  <si>
    <t>*MAV110401018</t>
  </si>
  <si>
    <t>*MAV140301075</t>
  </si>
  <si>
    <t>22/04/2026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</si>
  <si>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</si>
  <si>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</si>
  <si>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</si>
  <si>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</si>
  <si>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</si>
  <si>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</si>
  <si>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</si>
  <si>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</si>
  <si>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</si>
  <si>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</si>
  <si>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</si>
  <si>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</si>
  <si>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</si>
  <si>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05/06/2026</t>
  </si>
  <si>
    <t>ALLIANCE ONE TOBACCO ARGENTINA</t>
  </si>
  <si>
    <t>PLANTIUM S.A.</t>
  </si>
  <si>
    <t>03/06/2026</t>
  </si>
  <si>
    <t>*MAV160300869</t>
  </si>
  <si>
    <t>11/05/2026</t>
  </si>
  <si>
    <t>17/04/2026</t>
  </si>
  <si>
    <t>METALFOR SA</t>
  </si>
  <si>
    <t>13/05/2026</t>
  </si>
  <si>
    <t>01/07/2026</t>
  </si>
  <si>
    <t>POLIMEROS EXPRESS SA</t>
  </si>
  <si>
    <t>Rentas y Amortizaciones</t>
  </si>
  <si>
    <t>04/06/2026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</si>
  <si>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</si>
  <si>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</si>
  <si>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</si>
  <si>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</si>
  <si>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</si>
  <si>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</si>
  <si>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</si>
  <si>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</si>
  <si>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31/07/2026</t>
  </si>
  <si>
    <t>14/08/2026</t>
  </si>
  <si>
    <t>15/07/2026</t>
  </si>
  <si>
    <t>18/08/2026</t>
  </si>
  <si>
    <t>16/07/2026</t>
  </si>
  <si>
    <t>Posición de Cuotapartista</t>
  </si>
  <si>
    <t>23/04/2026</t>
  </si>
  <si>
    <t>11/06/2026</t>
  </si>
  <si>
    <t>02/07/2026</t>
  </si>
  <si>
    <t>Casa Hutton SA</t>
  </si>
  <si>
    <t>Garantías</t>
  </si>
  <si>
    <t>Contratos a shortear</t>
  </si>
  <si>
    <t>Contratos Shorteados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</si>
  <si>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</si>
  <si>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</si>
  <si>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</si>
  <si>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</si>
  <si>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</si>
  <si>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</si>
  <si>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</si>
  <si>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</si>
  <si>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</si>
  <si>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</si>
  <si>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07/08/2026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</si>
  <si>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</si>
  <si>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</si>
  <si>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</si>
  <si>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</si>
  <si>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</si>
  <si>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</si>
  <si>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</si>
  <si>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</si>
  <si>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</si>
  <si>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</si>
  <si>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</si>
  <si>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29/07/2026</t>
  </si>
  <si>
    <t>27/07/2026</t>
  </si>
  <si>
    <t>22/07/2026</t>
  </si>
  <si>
    <t>28/07/2026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</si>
  <si>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</si>
  <si>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</si>
  <si>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</si>
  <si>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</si>
  <si>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</si>
  <si>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</si>
  <si>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</si>
  <si>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</si>
  <si>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</si>
  <si>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</si>
  <si>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</si>
  <si>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</si>
  <si>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</si>
  <si>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SERVICIOS DE PRODUCCIONES ARTISTICAS SRL</t>
  </si>
  <si>
    <t>TALLERES METALURGICOS CRUCIANELLI SA</t>
  </si>
  <si>
    <t>COOPERATIVA DE VIVIENDA CREDITO Y CONSUMO PARA EL DESARROLLO LIMITADA</t>
  </si>
  <si>
    <t>CELULOSA CAMPANA SA</t>
  </si>
  <si>
    <t>02/09/2026</t>
  </si>
  <si>
    <t>05/08/2026</t>
  </si>
  <si>
    <t>LW GROUP SRL</t>
  </si>
  <si>
    <t>Pase</t>
  </si>
  <si>
    <t>06/07/2026</t>
  </si>
  <si>
    <t>07/07/2026</t>
  </si>
  <si>
    <t>14/07/2026</t>
  </si>
  <si>
    <t>11/08/2026</t>
  </si>
  <si>
    <t>25/08/2026</t>
  </si>
  <si>
    <t>08/07/2026</t>
  </si>
  <si>
    <t>AVAL AR SGR</t>
  </si>
  <si>
    <t>SION S A</t>
  </si>
  <si>
    <t>BROADBANDTECH SA</t>
  </si>
  <si>
    <t>03/08/2026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</si>
  <si>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</si>
  <si>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</si>
  <si>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</si>
  <si>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</si>
  <si>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</si>
  <si>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</si>
  <si>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</si>
  <si>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</si>
  <si>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</si>
  <si>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</si>
  <si>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12/08/2026</t>
  </si>
  <si>
    <t>QUILMES</t>
  </si>
  <si>
    <t>04/09/2026</t>
  </si>
  <si>
    <t>21/08/2026</t>
  </si>
  <si>
    <t>ENTRENUTS SRL</t>
  </si>
  <si>
    <t>V Y V ALIMENTOS S.A.</t>
  </si>
  <si>
    <t>16/09/2026</t>
  </si>
  <si>
    <t>03/09/2026</t>
  </si>
  <si>
    <t>17/09/2026</t>
  </si>
  <si>
    <t>15/09/2026</t>
  </si>
  <si>
    <t>24/08/2026</t>
  </si>
  <si>
    <t>CONAVAL SGR</t>
  </si>
  <si>
    <t>Movil SGR</t>
  </si>
  <si>
    <t>PN ACTUAL</t>
  </si>
  <si>
    <t>5% MM</t>
  </si>
  <si>
    <t>20% CAUCION</t>
  </si>
  <si>
    <t>08/09/2026</t>
  </si>
  <si>
    <t>26/08/2026</t>
  </si>
  <si>
    <t>23/07/2026</t>
  </si>
  <si>
    <t>21/09/2026</t>
  </si>
  <si>
    <t>06/08/2026</t>
  </si>
  <si>
    <t>31/08/2026</t>
  </si>
  <si>
    <t>08/10/2026</t>
  </si>
  <si>
    <t>05/10/2026</t>
  </si>
  <si>
    <t>07/10/2026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</si>
  <si>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</si>
  <si>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</si>
  <si>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</si>
  <si>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</si>
  <si>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</si>
  <si>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</si>
  <si>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</si>
  <si>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</si>
  <si>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</si>
  <si>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</si>
  <si>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</si>
  <si>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</si>
  <si>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</si>
  <si>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</si>
  <si>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</si>
  <si>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</si>
  <si>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</si>
  <si>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</si>
  <si>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PUNTO PACK SRL</t>
  </si>
  <si>
    <t>TEXTUM SA</t>
  </si>
  <si>
    <t>LOGICA CONSULTING GROUP SAU</t>
  </si>
  <si>
    <t>KEY TECHNOLOGY SRL</t>
  </si>
  <si>
    <t>CONSTRUCCIONES S&amp;C SAS</t>
  </si>
  <si>
    <t>BILOMAT</t>
  </si>
  <si>
    <t>Neuquén Pymes S.G.R. </t>
  </si>
  <si>
    <t>23/09/2026</t>
  </si>
  <si>
    <t>02/10/2026</t>
  </si>
  <si>
    <t>10/09/2026</t>
  </si>
  <si>
    <t>13/08/2026</t>
  </si>
  <si>
    <t>INTEGRA PYMES SGR</t>
  </si>
  <si>
    <t>VITIVINICOLA ROCAL SRL</t>
  </si>
  <si>
    <t>06/10/2026</t>
  </si>
  <si>
    <t>14/10/2026</t>
  </si>
  <si>
    <t>14/09/2026</t>
  </si>
  <si>
    <t>15/10/2026</t>
  </si>
  <si>
    <t>18/09/2026</t>
  </si>
  <si>
    <t>20/10/2026</t>
  </si>
  <si>
    <t>21/10/2026</t>
  </si>
  <si>
    <t>29/09/2026</t>
  </si>
  <si>
    <t>LOS GROBO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</si>
  <si>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</si>
  <si>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</si>
  <si>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</si>
  <si>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</si>
  <si>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</si>
  <si>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</si>
  <si>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</si>
  <si>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</si>
  <si>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</si>
  <si>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</si>
  <si>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30/09/2026</t>
  </si>
  <si>
    <t>09/10/2026</t>
  </si>
  <si>
    <t>22/10/2026</t>
  </si>
  <si>
    <t>23/10/2026</t>
  </si>
  <si>
    <t>26/10/2026</t>
  </si>
  <si>
    <t>28/10/2026</t>
  </si>
  <si>
    <t>*MOV271000069</t>
  </si>
  <si>
    <t>29/10/2026</t>
  </si>
  <si>
    <t>*MOV291000063</t>
  </si>
  <si>
    <t>02/11/2026</t>
  </si>
  <si>
    <t>27/10/2026</t>
  </si>
  <si>
    <t>19/10/2026</t>
  </si>
  <si>
    <t>13/07/2026</t>
  </si>
  <si>
    <t>25/09/2026</t>
  </si>
  <si>
    <t>22/09/2026</t>
  </si>
  <si>
    <t>27/08/2026</t>
  </si>
  <si>
    <t>09/09/2026</t>
  </si>
  <si>
    <t>BODEGAS Y VIÑEDOS SANTA ELENA SRL</t>
  </si>
  <si>
    <t>BAYIT EMPRESA CONSTRUCTORA SRL</t>
  </si>
  <si>
    <t>*MAV151101538</t>
  </si>
  <si>
    <t>COOPERATIVA DE TABACALEROS DE JUJUY LTDA</t>
  </si>
  <si>
    <t>10/08/2026</t>
  </si>
  <si>
    <t>07/09/2026</t>
  </si>
  <si>
    <t>11/09/2026</t>
  </si>
  <si>
    <t>MONEY MARKET en Pesos</t>
  </si>
  <si>
    <t>*MAV150901468</t>
  </si>
  <si>
    <t>*MAV300901858</t>
  </si>
  <si>
    <t>*MAV151001343</t>
  </si>
  <si>
    <t>*NEU101100035</t>
  </si>
  <si>
    <t>*FID261000025</t>
  </si>
  <si>
    <t>CUYO AVAL SGR</t>
  </si>
  <si>
    <t>YAGUA COLI S.A.</t>
  </si>
  <si>
    <t>Lecap S30N6</t>
  </si>
  <si>
    <t>AR0451031345</t>
  </si>
  <si>
    <t>30/11/2026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</si>
  <si>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</si>
  <si>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</si>
  <si>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</si>
  <si>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</si>
  <si>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</si>
  <si>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</si>
  <si>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</si>
  <si>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FGF TRAPANI</t>
  </si>
  <si>
    <t>AMERICA PAMPA AGROINDUSTRIAL S.A.</t>
  </si>
  <si>
    <t>13/10/2026</t>
  </si>
  <si>
    <t>*MAV171101249</t>
  </si>
  <si>
    <t>19/11/2026</t>
  </si>
  <si>
    <t>*MAV101101561</t>
  </si>
  <si>
    <t>*MAV121101139</t>
  </si>
  <si>
    <t>16/11/2026</t>
  </si>
  <si>
    <t>*MAV291001079</t>
  </si>
  <si>
    <t>*MAV031101211</t>
  </si>
  <si>
    <t>*MAV051100975</t>
  </si>
  <si>
    <t>10/11/2026</t>
  </si>
  <si>
    <t>*MAV271001267</t>
  </si>
  <si>
    <t>LAGAVULIN S.A.</t>
  </si>
  <si>
    <t>REGCEN S.R.L.</t>
  </si>
  <si>
    <t>*MAV150901500</t>
  </si>
  <si>
    <t>S A BUCCOLINI C I F I A</t>
  </si>
  <si>
    <t>EN DOLARES</t>
  </si>
  <si>
    <t>LOS INCAS DESARROLLOS</t>
  </si>
  <si>
    <t>GIVA LOGISTIC SRL</t>
  </si>
  <si>
    <t>PAY PER TIC SA</t>
  </si>
  <si>
    <t>PROLIB SAS</t>
  </si>
  <si>
    <t>*NEU201100026</t>
  </si>
  <si>
    <t>*PRO061100023</t>
  </si>
  <si>
    <t>*PRO131100018</t>
  </si>
  <si>
    <t>*PRO201100027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</si>
  <si>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</si>
  <si>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</si>
  <si>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</si>
  <si>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</si>
  <si>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</si>
  <si>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</si>
  <si>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</si>
  <si>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</si>
  <si>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</si>
  <si>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</si>
  <si>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</si>
  <si>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</si>
  <si>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</si>
  <si>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</si>
  <si>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</si>
  <si>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</si>
  <si>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</si>
  <si>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</si>
  <si>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LA MANTOVANA DE SERVICIOS GENERALES SA</t>
  </si>
  <si>
    <t>*MAV031200912</t>
  </si>
  <si>
    <t>09/12/2026</t>
  </si>
  <si>
    <t>*MAV031200913</t>
  </si>
  <si>
    <t>*MAV041200911</t>
  </si>
  <si>
    <t>*MAV091201366</t>
  </si>
  <si>
    <t>11/12/2026</t>
  </si>
  <si>
    <t>*MAV091100786</t>
  </si>
  <si>
    <t>*MAV231100828</t>
  </si>
  <si>
    <t>26/11/2026</t>
  </si>
  <si>
    <t>*MAV301001239</t>
  </si>
  <si>
    <t>03/11/2026</t>
  </si>
  <si>
    <t>*MAV301001240</t>
  </si>
  <si>
    <t>GRUB SA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</si>
  <si>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</si>
  <si>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</si>
  <si>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</si>
  <si>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</si>
  <si>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</si>
  <si>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</si>
  <si>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</si>
  <si>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</si>
  <si>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*MAV181201190</t>
  </si>
  <si>
    <t>22/12/2026</t>
  </si>
  <si>
    <t>SIGMA AGRO S.A.</t>
  </si>
  <si>
    <t>GABRIEL E KELLY Y COMPANIA S.A.</t>
  </si>
  <si>
    <t>24/09/2026</t>
  </si>
  <si>
    <t>28/09/2026</t>
  </si>
  <si>
    <t>04/11/2026</t>
  </si>
  <si>
    <t>#UMV021160025</t>
  </si>
  <si>
    <t>*MAV131101027</t>
  </si>
  <si>
    <t>*MAV271001273</t>
  </si>
  <si>
    <t>MOBEL SOCIEDAD ANONIMA</t>
  </si>
  <si>
    <t>A M F A Y S ASOCIACION MUTUAL</t>
  </si>
  <si>
    <t>*MAV071200853</t>
  </si>
  <si>
    <t>*MAV101101571</t>
  </si>
  <si>
    <t>*MAV211200942</t>
  </si>
  <si>
    <t>23/12/2026</t>
  </si>
  <si>
    <t>*MAV231100835</t>
  </si>
  <si>
    <t>TEVECOA SRL</t>
  </si>
  <si>
    <t>*MAV301001250</t>
  </si>
  <si>
    <t>*MAV060801017</t>
  </si>
  <si>
    <t>*MAV160701326</t>
  </si>
  <si>
    <t>*MAV300701402</t>
  </si>
  <si>
    <t>GLYCINMAX SRL</t>
  </si>
  <si>
    <t>CEMEYKA SRL</t>
  </si>
  <si>
    <t>EMEPA S A</t>
  </si>
  <si>
    <t>DE LAS MISIONES S.A.</t>
  </si>
  <si>
    <t>AR0253965559</t>
  </si>
  <si>
    <t>26/05/2027</t>
  </si>
  <si>
    <t>MTC3O - ON Mastellone Clase 3</t>
  </si>
  <si>
    <t>AR0494875476</t>
  </si>
  <si>
    <t>22/06/2027</t>
  </si>
  <si>
    <t>01/10/2026</t>
  </si>
  <si>
    <t>SOMOS INTEGRA SRL</t>
  </si>
  <si>
    <t>*MAV231100839</t>
  </si>
  <si>
    <t>MANGIATERRA JUANA MARIA</t>
  </si>
  <si>
    <t>CQ08A - VD FF CENTROCARD CREDITOS 8 CL.A $</t>
  </si>
  <si>
    <t>*MAV271001297</t>
  </si>
  <si>
    <t>*MAV301001261</t>
  </si>
  <si>
    <t>27/11/2026</t>
  </si>
  <si>
    <t>*MAV251101536</t>
  </si>
  <si>
    <t>*MAV311001562</t>
  </si>
  <si>
    <t>*MAV161201238</t>
  </si>
  <si>
    <t>18/12/2026</t>
  </si>
  <si>
    <t>#POT080270001</t>
  </si>
  <si>
    <t>11/02/2027</t>
  </si>
  <si>
    <t>#POT090170001</t>
  </si>
  <si>
    <t>12/01/2027</t>
  </si>
  <si>
    <t>#POT101260001</t>
  </si>
  <si>
    <t>*CVA161100008</t>
  </si>
  <si>
    <t>Union S.G.R.</t>
  </si>
  <si>
    <t>POTENCIAR SGR</t>
  </si>
  <si>
    <t>LE SYVAN S R L</t>
  </si>
  <si>
    <t>Fut Rofex DLR102026</t>
  </si>
  <si>
    <t>30/10/2026</t>
  </si>
  <si>
    <t>*PRO221200015</t>
  </si>
  <si>
    <t>28/12/2026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</si>
  <si>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</si>
  <si>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</si>
  <si>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</si>
  <si>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</si>
  <si>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</si>
  <si>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</si>
  <si>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</si>
  <si>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</si>
  <si>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</si>
  <si>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</si>
  <si>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*PRO291000023</t>
  </si>
  <si>
    <t>*PRO031100021</t>
  </si>
  <si>
    <t>#UMV021160028</t>
  </si>
  <si>
    <t>METALURGICA DEL CENTRO SRL</t>
  </si>
  <si>
    <t>*FED141200032</t>
  </si>
  <si>
    <t>*FED071200026</t>
  </si>
  <si>
    <t>*FED301100090</t>
  </si>
  <si>
    <t>02/12/2026</t>
  </si>
  <si>
    <t>*FED031200025</t>
  </si>
  <si>
    <t>*FED091100055</t>
  </si>
  <si>
    <t>#MAV301060025</t>
  </si>
  <si>
    <t>*MAV301001275</t>
  </si>
  <si>
    <t>COARD S A</t>
  </si>
  <si>
    <t>AMOROSO COPELLO MARCOS</t>
  </si>
  <si>
    <t>NAKU CONSTRUCCIONES SRL ALTOTE RODNEY SAUT</t>
  </si>
  <si>
    <t>MOMENTUM</t>
  </si>
  <si>
    <t>*FID301000039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</si>
  <si>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</si>
  <si>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</si>
  <si>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</si>
  <si>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</si>
  <si>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</si>
  <si>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</si>
  <si>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</si>
  <si>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</si>
  <si>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</si>
  <si>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</si>
  <si>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</si>
  <si>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*INP301100104</t>
  </si>
  <si>
    <t>17/12/2026</t>
  </si>
  <si>
    <t>*INP151200109</t>
  </si>
  <si>
    <t>*MAV211200948</t>
  </si>
  <si>
    <t>05/01/2027</t>
  </si>
  <si>
    <t>*MIL301200032</t>
  </si>
  <si>
    <t>*MIL301100029</t>
  </si>
  <si>
    <t>*MIL301000033</t>
  </si>
  <si>
    <t>*MIL061100019</t>
  </si>
  <si>
    <t>*MAV271001316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</si>
  <si>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</si>
  <si>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</si>
  <si>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</si>
  <si>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</si>
  <si>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</si>
  <si>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</si>
  <si>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</si>
  <si>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</si>
  <si>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*PRO241100022</t>
  </si>
  <si>
    <t>C Y V EMBALAJES Y SERVICIOS SA</t>
  </si>
  <si>
    <t>*MAV021100796</t>
  </si>
  <si>
    <t>*MAV301001295</t>
  </si>
  <si>
    <t>*MAV271001336</t>
  </si>
  <si>
    <t>*MAV281001194</t>
  </si>
  <si>
    <t>*MAV291001113</t>
  </si>
  <si>
    <t>*MAV041101126</t>
  </si>
  <si>
    <t>09/11/2026</t>
  </si>
  <si>
    <t>*MAV281001197</t>
  </si>
  <si>
    <t>*MAV271001338</t>
  </si>
  <si>
    <t>COM &amp; LOG SA</t>
  </si>
  <si>
    <t>INAP S R L</t>
  </si>
  <si>
    <t>*MAV271001343</t>
  </si>
  <si>
    <t>*MAV291001115</t>
  </si>
  <si>
    <t>*MAV291001116</t>
  </si>
  <si>
    <t>*MAV301001301</t>
  </si>
  <si>
    <t>*MAV301001302</t>
  </si>
  <si>
    <t>*MAV311001612</t>
  </si>
  <si>
    <t>*MAV311001613</t>
  </si>
  <si>
    <t>*MAV271001341</t>
  </si>
  <si>
    <t>*MAV271001342</t>
  </si>
  <si>
    <t>*MAV281001203</t>
  </si>
  <si>
    <t>*MAV281001204</t>
  </si>
  <si>
    <t>*MAV021100799</t>
  </si>
  <si>
    <t>*MAV301001299</t>
  </si>
  <si>
    <t>KRALICEK OBRAS CIVILES S.A.</t>
  </si>
  <si>
    <t>*MAV070701218</t>
  </si>
  <si>
    <t>TMG28 - Bono del Tesoro Nacional</t>
  </si>
  <si>
    <t>AR0175438917</t>
  </si>
  <si>
    <t>31/01/2028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</si>
  <si>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</si>
  <si>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</si>
  <si>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</si>
  <si>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</si>
  <si>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</si>
  <si>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</si>
  <si>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</si>
  <si>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</si>
  <si>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</si>
  <si>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</si>
  <si>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</si>
  <si>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</si>
  <si>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</si>
  <si>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</si>
  <si>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</si>
  <si>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</si>
  <si>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</si>
  <si>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</si>
  <si>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</si>
  <si>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*PRO291000025</t>
  </si>
  <si>
    <t>*PRO131100019</t>
  </si>
  <si>
    <t>*MIL031100026</t>
  </si>
  <si>
    <t>*MIL061100020</t>
  </si>
  <si>
    <t>*PRO241100021</t>
  </si>
  <si>
    <t>*PRO151200025</t>
  </si>
  <si>
    <t>*PRO260100013</t>
  </si>
  <si>
    <t>28/01/2027</t>
  </si>
  <si>
    <t>*PRO291200014</t>
  </si>
  <si>
    <t>04/01/2027</t>
  </si>
  <si>
    <t>*PRO120100011</t>
  </si>
  <si>
    <t>*MIL111100036</t>
  </si>
  <si>
    <t>13/11/2026</t>
  </si>
  <si>
    <t>*MIL151100042</t>
  </si>
  <si>
    <t>*MIL301000034</t>
  </si>
  <si>
    <t>*MIL181100030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</si>
  <si>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</si>
  <si>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</si>
  <si>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</si>
  <si>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</si>
  <si>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</si>
  <si>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</si>
  <si>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</si>
  <si>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*AFB221200006</t>
  </si>
  <si>
    <t>*AFB211200004</t>
  </si>
  <si>
    <t>*AFB181200007</t>
  </si>
  <si>
    <t>*AFB171200009</t>
  </si>
  <si>
    <t>*AFB231200009</t>
  </si>
  <si>
    <t>29/12/2026</t>
  </si>
  <si>
    <t>*MAV171101273</t>
  </si>
  <si>
    <t>*MAV201101365</t>
  </si>
  <si>
    <t>MAVR241100051</t>
  </si>
  <si>
    <t>*MAV041101142</t>
  </si>
  <si>
    <t>ASOCIACION DEL FUTBOL ARGENTINO</t>
  </si>
  <si>
    <t>SHUSTER S.A.</t>
  </si>
  <si>
    <t>PAGARE en Pesos</t>
  </si>
  <si>
    <t>#MAV181160012</t>
  </si>
  <si>
    <t>*MAV031101254</t>
  </si>
  <si>
    <t>*MAV041101144</t>
  </si>
  <si>
    <t>*MAV051101031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</si>
  <si>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</si>
  <si>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</si>
  <si>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</si>
  <si>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</si>
  <si>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</si>
  <si>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</si>
  <si>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</si>
  <si>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BELONA PRIETTO S.R.L.</t>
  </si>
  <si>
    <t>CONTIMEDIOS S R L</t>
  </si>
  <si>
    <t>Fut Rofex DLR112026</t>
  </si>
  <si>
    <t>*MAV271001362</t>
  </si>
  <si>
    <t>*MAV271001363</t>
  </si>
  <si>
    <t>*MAV281001231</t>
  </si>
  <si>
    <t>#UMV011260045</t>
  </si>
  <si>
    <t>#UMV011160007</t>
  </si>
  <si>
    <t>DROG SRL</t>
  </si>
  <si>
    <t>Octubre</t>
  </si>
  <si>
    <t>Noviembre</t>
  </si>
  <si>
    <t>*MAV201101382</t>
  </si>
  <si>
    <t>*MAV061100982</t>
  </si>
  <si>
    <t>FERNANDO RUEDA SA</t>
  </si>
  <si>
    <t>RANGITATA EXPLOTACIONES SA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</si>
  <si>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</si>
  <si>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</si>
  <si>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</si>
  <si>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</si>
  <si>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</si>
  <si>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</si>
  <si>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</si>
  <si>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</si>
  <si>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</si>
  <si>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*MAV071101350</t>
  </si>
  <si>
    <t>*MAV141101452</t>
  </si>
  <si>
    <t>*MAV201101388</t>
  </si>
  <si>
    <t>*MAV301101717</t>
  </si>
  <si>
    <t>*MAV271101235</t>
  </si>
  <si>
    <t>01/12/2026</t>
  </si>
  <si>
    <t>*MAV121101206</t>
  </si>
  <si>
    <t>*MAV131101091</t>
  </si>
  <si>
    <t>*MAV271101232</t>
  </si>
  <si>
    <t>*MAV201101385</t>
  </si>
  <si>
    <t>ALARCIA GUILLERMO ADRIAN</t>
  </si>
  <si>
    <t>HUINCUL LICAN SA</t>
  </si>
  <si>
    <t>LA PRIMAVERA GILARDI NICOLAS Y GILARDI MAURICIO RODRIGO SH</t>
  </si>
  <si>
    <t>ZUBIAT JORGE OMAR</t>
  </si>
  <si>
    <t>POLARIS NETWORK SAS</t>
  </si>
  <si>
    <t>*MAV160101270</t>
  </si>
  <si>
    <t>*MAV160201157</t>
  </si>
  <si>
    <t>18/02/2027</t>
  </si>
  <si>
    <t>*MAV160301224</t>
  </si>
  <si>
    <t>18/03/2027</t>
  </si>
  <si>
    <t>*MAV150401628</t>
  </si>
  <si>
    <t>19/04/2027</t>
  </si>
  <si>
    <t>*MAV091201395</t>
  </si>
  <si>
    <t>*MAV161100954</t>
  </si>
  <si>
    <t>*MAV281200955</t>
  </si>
  <si>
    <t>*MAV271001384</t>
  </si>
  <si>
    <t>AMAVET HORACIO EDUARDO</t>
  </si>
  <si>
    <t>GO SERVICIOS DIGITALES SAS SAS</t>
  </si>
  <si>
    <t>Dolar Link</t>
  </si>
  <si>
    <t>*MAV301001368</t>
  </si>
  <si>
    <t>*MAV281001256</t>
  </si>
  <si>
    <t>*MAV291001158</t>
  </si>
  <si>
    <t>*MAV041200933</t>
  </si>
  <si>
    <t>*MAV031200924</t>
  </si>
  <si>
    <t>PBA27 - Letra de la Provincia de Buenos Aires Vto 30/04/27</t>
  </si>
  <si>
    <t>AR0647160248</t>
  </si>
  <si>
    <t>30/04/2027</t>
  </si>
  <si>
    <t>Cheques de Pago Diferido en Dolar Link</t>
  </si>
  <si>
    <t>LR8AO - ON Laboratorios Richmond Serie 8 Clase A</t>
  </si>
  <si>
    <t>AR0266435707</t>
  </si>
  <si>
    <t>31/07/2028</t>
  </si>
  <si>
    <t>*MAV171101296</t>
  </si>
  <si>
    <t>*MAV171101299</t>
  </si>
  <si>
    <t>*MAV171101303</t>
  </si>
  <si>
    <t>*MAV241101208</t>
  </si>
  <si>
    <t>*MAV171101297</t>
  </si>
  <si>
    <t>*MAV171101304</t>
  </si>
  <si>
    <t>*MAV171101309</t>
  </si>
  <si>
    <t>*MAV171101310</t>
  </si>
  <si>
    <t>*MAV011101206</t>
  </si>
  <si>
    <t>*MAV041101160</t>
  </si>
  <si>
    <t>*MAV181101193</t>
  </si>
  <si>
    <t>*MAV101101649</t>
  </si>
  <si>
    <t>*MAV091100847</t>
  </si>
  <si>
    <t>*MAV181101195</t>
  </si>
  <si>
    <t>*MAV171101314</t>
  </si>
  <si>
    <t>*MAV101101648</t>
  </si>
  <si>
    <t>*MAV111101310</t>
  </si>
  <si>
    <t>*MAV101101650</t>
  </si>
  <si>
    <t>*MAV111101311</t>
  </si>
  <si>
    <t>*MAV111101312</t>
  </si>
  <si>
    <t>*MAV111101313</t>
  </si>
  <si>
    <t>*MAV121101212</t>
  </si>
  <si>
    <t>*MAV121101210</t>
  </si>
  <si>
    <t>*MAV121101211</t>
  </si>
  <si>
    <t>*MAV311001647</t>
  </si>
  <si>
    <t>*MAV081101197</t>
  </si>
  <si>
    <t>#MAV281060018</t>
  </si>
  <si>
    <t>LOGISVET S.R.L.</t>
  </si>
  <si>
    <t>#MAV281060019</t>
  </si>
  <si>
    <t>#UMV011260046</t>
  </si>
  <si>
    <t>#UMV040170022</t>
  </si>
  <si>
    <t>Fut Rofex DLR122026</t>
  </si>
  <si>
    <t>*MAV301001397</t>
  </si>
  <si>
    <t>*MAV041101167</t>
  </si>
  <si>
    <t>CE.BE.CO.</t>
  </si>
  <si>
    <t>Diciembre</t>
  </si>
  <si>
    <t>*MAV111201207</t>
  </si>
  <si>
    <t>*MAV251200437</t>
  </si>
  <si>
    <t>GOBIERNO DE LA CUIDAD DE BUENOS AIRES</t>
  </si>
  <si>
    <t>WHITE SUN TECNOLOGIA SRL</t>
  </si>
  <si>
    <t>*MAV051101051</t>
  </si>
  <si>
    <t>*MAV141201093</t>
  </si>
  <si>
    <t>*MAV301101738</t>
  </si>
  <si>
    <t>*MAV301201485</t>
  </si>
  <si>
    <t>*MAV121101263</t>
  </si>
  <si>
    <t>*MAV041101170</t>
  </si>
  <si>
    <t>*MAV051101055</t>
  </si>
  <si>
    <t>*MAV221201236</t>
  </si>
  <si>
    <t>*MAV301101739</t>
  </si>
  <si>
    <t>*MAV161201272</t>
  </si>
  <si>
    <t>*MAV091100864</t>
  </si>
  <si>
    <t>*MAV041101171</t>
  </si>
  <si>
    <t>*MAV101101674</t>
  </si>
  <si>
    <t>*MAV171101324</t>
  </si>
  <si>
    <t>*MAV271001403</t>
  </si>
  <si>
    <t>*MAV051101057</t>
  </si>
  <si>
    <t>*MAV121101264</t>
  </si>
  <si>
    <t>*MAV181101210</t>
  </si>
  <si>
    <t>*MAV191101104</t>
  </si>
  <si>
    <t>*MAV251101611</t>
  </si>
  <si>
    <t>*MAV261101103</t>
  </si>
  <si>
    <t>*MAV281001290</t>
  </si>
  <si>
    <t>*MAV291001181</t>
  </si>
  <si>
    <t>*MAV301001422</t>
  </si>
  <si>
    <t>RHS TECNOLOGIA EN CONSTRUCCIONES S.A.</t>
  </si>
  <si>
    <t>CHACRAS GREENS S. A.</t>
  </si>
  <si>
    <t>*MAV281001300</t>
  </si>
  <si>
    <t>*MAV021100857</t>
  </si>
  <si>
    <t>*MAV051101060</t>
  </si>
  <si>
    <t>*MAV281001299</t>
  </si>
  <si>
    <t>*MAV301001427</t>
  </si>
  <si>
    <t>*MAV031101304</t>
  </si>
  <si>
    <t>*MAV041101177</t>
  </si>
  <si>
    <t>*MAV161201275</t>
  </si>
  <si>
    <t>*MAV201101413</t>
  </si>
  <si>
    <t>*MAV161100990</t>
  </si>
  <si>
    <t>*MAV201201625</t>
  </si>
  <si>
    <t>*MAV031200931</t>
  </si>
  <si>
    <t>*MAV101101680</t>
  </si>
  <si>
    <t>14/12/2026</t>
  </si>
  <si>
    <t>*MAV101201380</t>
  </si>
  <si>
    <t>*MAV311001698</t>
  </si>
  <si>
    <t>*MAV231100890</t>
  </si>
  <si>
    <t>*MAV100101345</t>
  </si>
  <si>
    <t>*MAV200101714</t>
  </si>
  <si>
    <t>22/01/2027</t>
  </si>
  <si>
    <t>*MAV161100996</t>
  </si>
  <si>
    <t>*MAV161100999</t>
  </si>
  <si>
    <t>*MAV161100998</t>
  </si>
  <si>
    <t>*MAV141201102</t>
  </si>
  <si>
    <t>*MAV141201101</t>
  </si>
  <si>
    <t>*MAV161100997</t>
  </si>
  <si>
    <t>*MAV171101338</t>
  </si>
  <si>
    <t>*MAV271001409</t>
  </si>
  <si>
    <t>*MAV191101110</t>
  </si>
  <si>
    <t>*MAV041200946</t>
  </si>
  <si>
    <t>FALABELLA S A </t>
  </si>
  <si>
    <t>MACER SA</t>
  </si>
  <si>
    <t>HENDEL HOGAR SA</t>
  </si>
  <si>
    <t>GRUPO MATT MDQ DISTRIBUCION Y LOGISTICA SA</t>
  </si>
  <si>
    <t>HORIZON TRADING SA</t>
  </si>
  <si>
    <t>MSVMUEBLERIA SAS</t>
  </si>
  <si>
    <t>CARDOSO DANIEL ENRIQUE CARDOSO MARIA INES SALCEDO SUSANA MARIA CARDOSO ARIADNA</t>
  </si>
  <si>
    <t>YUHMAK S A</t>
  </si>
  <si>
    <t>*MAV311201065</t>
  </si>
  <si>
    <t>#MAV091160021</t>
  </si>
  <si>
    <t>*MAV291201229</t>
  </si>
  <si>
    <t>*MAV311201066</t>
  </si>
  <si>
    <t>*MAV291001196</t>
  </si>
  <si>
    <t>*MAV140901568</t>
  </si>
  <si>
    <t>*MAV250801978</t>
  </si>
  <si>
    <t>*MAV050901514</t>
  </si>
  <si>
    <t>#UMV110770001</t>
  </si>
  <si>
    <t>14/07/2027</t>
  </si>
  <si>
    <t>#UMV140970003</t>
  </si>
  <si>
    <t>16/09/2027</t>
  </si>
  <si>
    <t>#UMV150870013</t>
  </si>
  <si>
    <t>19/08/2027</t>
  </si>
  <si>
    <t>JONFER S.R.L.</t>
  </si>
  <si>
    <t>FULLCREDIT S.A.</t>
  </si>
  <si>
    <t>GRUPO PEÑAFLOR</t>
  </si>
  <si>
    <t>MC LASER SRL</t>
  </si>
  <si>
    <t>*MAV201101429</t>
  </si>
  <si>
    <t>*MAV201201628</t>
  </si>
  <si>
    <t>*MAV171201007</t>
  </si>
  <si>
    <t>*MAV111101347</t>
  </si>
  <si>
    <t>*MAV301001464</t>
  </si>
  <si>
    <t>*MAV220101179</t>
  </si>
  <si>
    <t>26/01/2027</t>
  </si>
  <si>
    <t>*MAV271101262</t>
  </si>
  <si>
    <t>*MAV201101432</t>
  </si>
  <si>
    <t>*MAV061101031</t>
  </si>
  <si>
    <t>*MAV131101138</t>
  </si>
  <si>
    <t>*MAV271101263</t>
  </si>
  <si>
    <t>*MAV101101709</t>
  </si>
  <si>
    <t>*MAV101201390</t>
  </si>
  <si>
    <t>#UMV021160035</t>
  </si>
  <si>
    <t>GENERAC TECHNOLOGY MANAGEMENT</t>
  </si>
  <si>
    <t>ALBENS SA</t>
  </si>
  <si>
    <t>BUENAR WALTER R BUENAR MATIAS NICOLAS Y BUENAR SEBASTIAN E SH</t>
  </si>
  <si>
    <t>GPV SA</t>
  </si>
  <si>
    <t>*MAV131101141</t>
  </si>
  <si>
    <t>*MAV151201807</t>
  </si>
  <si>
    <t>*MAV311001718</t>
  </si>
  <si>
    <t>*MAV260101257</t>
  </si>
  <si>
    <t>*MAV300101407</t>
  </si>
  <si>
    <t>03/02/2027</t>
  </si>
  <si>
    <t>*MAV271001423</t>
  </si>
  <si>
    <t>FRISVA SOCIEDAD ANONIMA</t>
  </si>
  <si>
    <t>12/02/2027</t>
  </si>
  <si>
    <t>*MAV100201605</t>
  </si>
  <si>
    <t>*MAV110100910</t>
  </si>
  <si>
    <t>*MAV271001426</t>
  </si>
  <si>
    <t>*MAV181101244</t>
  </si>
  <si>
    <t>JACK CARS S.A</t>
  </si>
  <si>
    <t>*MAV121201575</t>
  </si>
  <si>
    <t>*MAV121101299</t>
  </si>
  <si>
    <t>MARAL AGROPECUARIA SRL</t>
  </si>
  <si>
    <t>01/02/2027</t>
  </si>
  <si>
    <t>*MAV280101052</t>
  </si>
  <si>
    <t>*MAV281200965</t>
  </si>
  <si>
    <t>03/03/2027</t>
  </si>
  <si>
    <t>*AFB010300005</t>
  </si>
  <si>
    <t>*AFB251100010</t>
  </si>
  <si>
    <t>*MIL041100025</t>
  </si>
  <si>
    <t>*MIL181100032</t>
  </si>
  <si>
    <t>*MIL181100031</t>
  </si>
  <si>
    <t>*MIL241100025</t>
  </si>
  <si>
    <t>*MIL141100051</t>
  </si>
  <si>
    <t>*MIL261100034</t>
  </si>
  <si>
    <t>*MIL201100033</t>
  </si>
  <si>
    <t>*MIL161100019</t>
  </si>
  <si>
    <t>*MIL051100026</t>
  </si>
  <si>
    <t>*MIL131100037</t>
  </si>
  <si>
    <t>*MIL301000040</t>
  </si>
  <si>
    <t>*MIL271100043</t>
  </si>
  <si>
    <t>*MIL251100045</t>
  </si>
  <si>
    <t>*MIL051100025</t>
  </si>
  <si>
    <t>*MIL101100039</t>
  </si>
  <si>
    <t>*MIL091100018</t>
  </si>
  <si>
    <t>*MIL121100036</t>
  </si>
  <si>
    <t>*MIL091100020</t>
  </si>
  <si>
    <t>*MIL021100019</t>
  </si>
  <si>
    <t>*AFB271000007</t>
  </si>
  <si>
    <t>*MAV281001331</t>
  </si>
  <si>
    <t>*MAV150101587</t>
  </si>
  <si>
    <t>*MAV041101202</t>
  </si>
  <si>
    <t>*MAV230101214</t>
  </si>
  <si>
    <t>*MAV100101346</t>
  </si>
  <si>
    <t>SAKE SOCIEDAD DE RESPONSABILIDAD LIMITADA</t>
  </si>
  <si>
    <t>AGROPECUARIA LA MOROCHA S. R. L.</t>
  </si>
  <si>
    <t>*MAV171201010</t>
  </si>
  <si>
    <t>*MAV181201233</t>
  </si>
  <si>
    <t>*MAV201201630</t>
  </si>
  <si>
    <t>*MAV211200976</t>
  </si>
  <si>
    <t>*MAV221201242</t>
  </si>
  <si>
    <t>*MAV311201075</t>
  </si>
  <si>
    <t>*MAV211200977</t>
  </si>
  <si>
    <t>*MAV221201243</t>
  </si>
  <si>
    <t>*MAV231201296</t>
  </si>
  <si>
    <t>*MAV281200966</t>
  </si>
  <si>
    <t>*MAV291201232</t>
  </si>
  <si>
    <t>*MAV301201510</t>
  </si>
  <si>
    <t>*MAV161101030</t>
  </si>
  <si>
    <t>*MAV191101140</t>
  </si>
  <si>
    <t>*MAV101101773</t>
  </si>
  <si>
    <t>*MAV181101252</t>
  </si>
  <si>
    <t>*MAV191101137</t>
  </si>
  <si>
    <t>*MAV041101207</t>
  </si>
  <si>
    <t>*MAV051101110</t>
  </si>
  <si>
    <t>*MAV051101112</t>
  </si>
  <si>
    <t>*MAV061101045</t>
  </si>
  <si>
    <t>*MAV061101044</t>
  </si>
  <si>
    <t>*MAV071101383</t>
  </si>
  <si>
    <t>*MAV101101772</t>
  </si>
  <si>
    <t>*MAV191101138</t>
  </si>
  <si>
    <t>*MAV041101208</t>
  </si>
  <si>
    <t>*MAV051101111</t>
  </si>
  <si>
    <t>*MAV051101113</t>
  </si>
  <si>
    <t>*MAV021100886</t>
  </si>
  <si>
    <t>*MAV041101210</t>
  </si>
  <si>
    <t>*MAV051101116</t>
  </si>
  <si>
    <t>*MAV061101050</t>
  </si>
  <si>
    <t>*MAV091100907</t>
  </si>
  <si>
    <t>*MAV101101776</t>
  </si>
  <si>
    <t>*MAV111101370</t>
  </si>
  <si>
    <t>*MAV121101312</t>
  </si>
  <si>
    <t>*MAV131101163</t>
  </si>
  <si>
    <t>*MAV161101032</t>
  </si>
  <si>
    <t>*MAV171101373</t>
  </si>
  <si>
    <t>*MAV181101254</t>
  </si>
  <si>
    <t>*MAV191101141</t>
  </si>
  <si>
    <t>*MAV201101452</t>
  </si>
  <si>
    <t>*MAV241101309</t>
  </si>
  <si>
    <t>*MAV251101639</t>
  </si>
  <si>
    <t>*MAV261101126</t>
  </si>
  <si>
    <t>*MAV271101274</t>
  </si>
  <si>
    <t>*MAV301101795</t>
  </si>
  <si>
    <t>*MAV031101354</t>
  </si>
  <si>
    <t>*MAV281001335</t>
  </si>
  <si>
    <t>*MAV291001215</t>
  </si>
  <si>
    <t>*MAV301001501</t>
  </si>
  <si>
    <t>*MAV111101373</t>
  </si>
  <si>
    <t>PARDO S A</t>
  </si>
  <si>
    <t>AGROSERVICIOS SRL</t>
  </si>
  <si>
    <t>PLANJAR ALEXIS DANIEL</t>
  </si>
  <si>
    <t>SES SA CONSTRUERE INGENIERIA SA SARMIENTO - UTE</t>
  </si>
  <si>
    <t>CASA SILVIA SA</t>
  </si>
  <si>
    <t>*MAV191201280</t>
  </si>
  <si>
    <t>*MAV291101291</t>
  </si>
  <si>
    <t>*MAV191101153</t>
  </si>
  <si>
    <t>*MAV301001538</t>
  </si>
  <si>
    <t>*MAV191101151</t>
  </si>
  <si>
    <t>*MAV291001226</t>
  </si>
  <si>
    <t>*MAV091100916</t>
  </si>
  <si>
    <t>*MAV131101195</t>
  </si>
  <si>
    <t>*MAV021100898</t>
  </si>
  <si>
    <t>*MAV051101129</t>
  </si>
  <si>
    <t>*MAV171101394</t>
  </si>
  <si>
    <t>*MAV241101320</t>
  </si>
  <si>
    <t>*MAV271201280</t>
  </si>
  <si>
    <t>*MAV140201265</t>
  </si>
  <si>
    <t>17/02/2027</t>
  </si>
  <si>
    <t>*MAV160101279</t>
  </si>
  <si>
    <t>*MAV200101722</t>
  </si>
  <si>
    <t>*MAV220101183</t>
  </si>
  <si>
    <t>*MAV290101066</t>
  </si>
  <si>
    <t>02/02/2027</t>
  </si>
  <si>
    <t>*MAV171101396</t>
  </si>
  <si>
    <t>*MAV181101278</t>
  </si>
  <si>
    <t>*MAV201101480</t>
  </si>
  <si>
    <t>*MAV251101655</t>
  </si>
  <si>
    <t>*MAV161101059</t>
  </si>
  <si>
    <t>*MAV191101164</t>
  </si>
  <si>
    <t>*MAV241101321</t>
  </si>
  <si>
    <t>*MAV231100923</t>
  </si>
  <si>
    <t>*MAV131101199</t>
  </si>
  <si>
    <t>*MAV031101373</t>
  </si>
  <si>
    <t>*MAV231201306</t>
  </si>
  <si>
    <t>*MAV241101322</t>
  </si>
  <si>
    <t>MARKETVET SA</t>
  </si>
  <si>
    <t>CALIZA CONSTRUCTORA SRL</t>
  </si>
  <si>
    <t>SECUAZ SRL</t>
  </si>
  <si>
    <t>EDUCACION POPULAR ASOCIACION CIVIL</t>
  </si>
  <si>
    <t>*MAV251101678</t>
  </si>
  <si>
    <t>*MAV251101679</t>
  </si>
  <si>
    <t>*MAV021100906</t>
  </si>
  <si>
    <t>*MAV041101231</t>
  </si>
  <si>
    <t>*MAV271001463</t>
  </si>
  <si>
    <t>*MAV281001368</t>
  </si>
  <si>
    <t>*MAV061101059</t>
  </si>
  <si>
    <t>*MAV091100925</t>
  </si>
  <si>
    <t>*MAV131101205</t>
  </si>
  <si>
    <t>*MAV161101067</t>
  </si>
  <si>
    <t>*MAV191101171</t>
  </si>
  <si>
    <t>*MAV301101831</t>
  </si>
  <si>
    <t>*MAV291001238</t>
  </si>
  <si>
    <t>*MAV031101377</t>
  </si>
  <si>
    <t>*MAV051101135</t>
  </si>
  <si>
    <t>*MAV101101799</t>
  </si>
  <si>
    <t>*MAV111101387</t>
  </si>
  <si>
    <t>*MAV121101331</t>
  </si>
  <si>
    <t>*MAV171101402</t>
  </si>
  <si>
    <t>*MAV181101284</t>
  </si>
  <si>
    <t>*MAV251101680</t>
  </si>
  <si>
    <t>*MAV261101145</t>
  </si>
  <si>
    <t>*MAV271101290</t>
  </si>
  <si>
    <t>*MAV201101487</t>
  </si>
  <si>
    <t>*MAV041101230</t>
  </si>
  <si>
    <t>*MAV311001752</t>
  </si>
  <si>
    <t>*MAV051101136</t>
  </si>
  <si>
    <t>*MAV301001554</t>
  </si>
  <si>
    <t>*MAV151101608</t>
  </si>
  <si>
    <t>*MAV281001371</t>
  </si>
  <si>
    <t>*MAV301101834</t>
  </si>
  <si>
    <t>*MAV251101681</t>
  </si>
  <si>
    <t>*MAV291001239</t>
  </si>
  <si>
    <t>*MAV311001756</t>
  </si>
  <si>
    <t>*MAV261101146</t>
  </si>
  <si>
    <t>*MAV271001467</t>
  </si>
  <si>
    <t>*MAV271101291</t>
  </si>
  <si>
    <t>*MAV281001373</t>
  </si>
  <si>
    <t>*MAV281101463</t>
  </si>
  <si>
    <t>*MAV301001555</t>
  </si>
  <si>
    <t>*MAV121101332</t>
  </si>
  <si>
    <t>*MAV311001757</t>
  </si>
  <si>
    <t>*MAV301001556</t>
  </si>
  <si>
    <t>ABRIL AMOBLAMIENTOS SRL</t>
  </si>
  <si>
    <t>VAZQUEZ SACII</t>
  </si>
  <si>
    <t>CONSTRUCTORA SAN JOSE SRL</t>
  </si>
  <si>
    <t>ISIDORA SRL</t>
  </si>
  <si>
    <t>MONDELEZ ARG SA</t>
  </si>
  <si>
    <t>WAL MART ARGENTINA SRL</t>
  </si>
  <si>
    <t>*MAV281001376</t>
  </si>
  <si>
    <t>*MAV291001243</t>
  </si>
  <si>
    <t>*MAV301001570</t>
  </si>
  <si>
    <t>*MAV271001470</t>
  </si>
  <si>
    <t>*MAV041101241</t>
  </si>
  <si>
    <t>*MAV271101304</t>
  </si>
  <si>
    <t>*MAV281001384</t>
  </si>
  <si>
    <t>*MAV291001253</t>
  </si>
  <si>
    <t>*MAV291001254</t>
  </si>
  <si>
    <t>*MAV301001586</t>
  </si>
  <si>
    <t>*MAV301001587</t>
  </si>
  <si>
    <t>*MAV311001777</t>
  </si>
  <si>
    <t>*MAV281001385</t>
  </si>
  <si>
    <t>*MAV311001779</t>
  </si>
  <si>
    <t>*MAV301001585</t>
  </si>
  <si>
    <t>*MAV301001589</t>
  </si>
  <si>
    <t>*MAV301001590</t>
  </si>
  <si>
    <t>*MAV221201255</t>
  </si>
  <si>
    <t>*MAV281200981</t>
  </si>
  <si>
    <t>*MAV301201523</t>
  </si>
  <si>
    <t>*MAV021201259</t>
  </si>
  <si>
    <t>*MAV031200955</t>
  </si>
  <si>
    <t>*MAV121101347</t>
  </si>
  <si>
    <t>*MAV131101218</t>
  </si>
  <si>
    <t>*MAV171101413</t>
  </si>
  <si>
    <t>*MAV181101298</t>
  </si>
  <si>
    <t>*MAV191101182</t>
  </si>
  <si>
    <t>*MAV201101507</t>
  </si>
  <si>
    <t>*MAV251101695</t>
  </si>
  <si>
    <t>*MAV261101162</t>
  </si>
  <si>
    <t>*MAV271101306</t>
  </si>
  <si>
    <t>*MAV211200992</t>
  </si>
  <si>
    <t>*MAV231201312</t>
  </si>
  <si>
    <t>*MAV291201238</t>
  </si>
  <si>
    <t>*MAV011201479</t>
  </si>
  <si>
    <t>*MAV061101077</t>
  </si>
  <si>
    <t>*MAV101101816</t>
  </si>
  <si>
    <t>*MAV161101082</t>
  </si>
  <si>
    <t>*MAV181201247</t>
  </si>
  <si>
    <t>*MAV241101343</t>
  </si>
  <si>
    <t>*MAV021100927</t>
  </si>
  <si>
    <t>*MAV021100928</t>
  </si>
  <si>
    <t>AGL S.A.</t>
  </si>
  <si>
    <t>SINERGY SA</t>
  </si>
  <si>
    <t>*INP110100049</t>
  </si>
  <si>
    <t>*MAV061101083</t>
  </si>
  <si>
    <t>#MAV111160034</t>
  </si>
  <si>
    <t>#MAV261160029</t>
  </si>
  <si>
    <t>*MAV121101353</t>
  </si>
  <si>
    <t>*MAV031101392</t>
  </si>
  <si>
    <t>*MAV041101251</t>
  </si>
  <si>
    <t>*MAV061101102</t>
  </si>
  <si>
    <t>*MAV091201439</t>
  </si>
  <si>
    <t>*MAV101101827</t>
  </si>
  <si>
    <t>*MAV281001402</t>
  </si>
  <si>
    <t>*MAV291001264</t>
  </si>
  <si>
    <t>*MAV301001599</t>
  </si>
  <si>
    <t>*MAV051101165</t>
  </si>
  <si>
    <t>*MAV151201848</t>
  </si>
  <si>
    <t>*MAV271001495</t>
  </si>
  <si>
    <t>CENTRO DE DIAGNOSTICO MOLECULAR S A</t>
  </si>
  <si>
    <t>COOPERATIVA SALTE A DE TAMBEROS LTDA</t>
  </si>
  <si>
    <t>GASTRONOMIA EN MOVIMIENTO SRL</t>
  </si>
  <si>
    <t>*NEU111200021</t>
  </si>
  <si>
    <t>*MAV021100935</t>
  </si>
  <si>
    <t>#MAV021160038</t>
  </si>
  <si>
    <t>*MAV120201158</t>
  </si>
  <si>
    <t>*POT311200146</t>
  </si>
  <si>
    <t>*MAV281001410</t>
  </si>
  <si>
    <t>*MAV281001411</t>
  </si>
  <si>
    <t>*MAV281001412</t>
  </si>
  <si>
    <t>*INP091200078</t>
  </si>
  <si>
    <t>*INP101200070</t>
  </si>
  <si>
    <t>*INP111200064</t>
  </si>
  <si>
    <t>*MAV201101521</t>
  </si>
  <si>
    <t>*MAV241101355</t>
  </si>
  <si>
    <t>*MAV251101708</t>
  </si>
  <si>
    <t>*MAV121101369</t>
  </si>
  <si>
    <t>*MAV131101236</t>
  </si>
  <si>
    <t>*MAV181101316</t>
  </si>
  <si>
    <t>*MAV191101198</t>
  </si>
  <si>
    <t>*MAV171101424</t>
  </si>
  <si>
    <t>*MAV301101889</t>
  </si>
  <si>
    <t>*MAV041101258</t>
  </si>
  <si>
    <t>*MAV011101256</t>
  </si>
  <si>
    <t>*MAV061101110</t>
  </si>
  <si>
    <t>*MAV051101175</t>
  </si>
  <si>
    <t>*MAV021100950</t>
  </si>
  <si>
    <t>*MAV031101400</t>
  </si>
  <si>
    <t>*MAV011201492</t>
  </si>
  <si>
    <t>*MAV031101401</t>
  </si>
  <si>
    <t>*MAV101101833</t>
  </si>
  <si>
    <t>*MAV121101368</t>
  </si>
  <si>
    <t>*MAV161101096</t>
  </si>
  <si>
    <t>*MAV181101315</t>
  </si>
  <si>
    <t>*MAV201101520</t>
  </si>
  <si>
    <t>*MAV231100949</t>
  </si>
  <si>
    <t>*MAV061101111</t>
  </si>
  <si>
    <t>*MAV281001416</t>
  </si>
  <si>
    <t>*MAV301001635</t>
  </si>
  <si>
    <t>*MAV271201284</t>
  </si>
  <si>
    <t>*MAV251101707</t>
  </si>
  <si>
    <t>*MAV051101178</t>
  </si>
  <si>
    <t>*MAV061101113</t>
  </si>
  <si>
    <t>*MAV301001645</t>
  </si>
  <si>
    <t>*MAV301101898</t>
  </si>
  <si>
    <t>*MAV031101406</t>
  </si>
  <si>
    <t>*MAV301001648</t>
  </si>
  <si>
    <t>*POT301100210</t>
  </si>
  <si>
    <t>*POT281100071</t>
  </si>
  <si>
    <t>*POT291100207</t>
  </si>
  <si>
    <t>*POT011200055</t>
  </si>
  <si>
    <t>*POT251100099</t>
  </si>
  <si>
    <t>*MAV031101409</t>
  </si>
  <si>
    <t>*MAV021100957</t>
  </si>
  <si>
    <t>*MAV150301329</t>
  </si>
  <si>
    <t>*MAV181101317</t>
  </si>
  <si>
    <t>*MAV191101200</t>
  </si>
  <si>
    <t>*MAV161101098</t>
  </si>
  <si>
    <t>*MAV201101523</t>
  </si>
  <si>
    <t>*MAV261101184</t>
  </si>
  <si>
    <t>*MAV241101359</t>
  </si>
  <si>
    <t>*MAV241101358</t>
  </si>
  <si>
    <t>*MAV141201153</t>
  </si>
  <si>
    <t>*MAV021100958</t>
  </si>
  <si>
    <t>*MAV230101218</t>
  </si>
  <si>
    <t>*MAV171101431</t>
  </si>
  <si>
    <t>*MAV271001520</t>
  </si>
  <si>
    <t>*MAV281001424</t>
  </si>
  <si>
    <t>*MAV311201090</t>
  </si>
  <si>
    <t>#UMV040170023</t>
  </si>
  <si>
    <t>AGRONEGOCIOS DEL PLATA SRL</t>
  </si>
  <si>
    <t>LOS 7 OMBUES SA</t>
  </si>
  <si>
    <t>VILLAGAS SA</t>
  </si>
  <si>
    <t>*MAV270800957</t>
  </si>
  <si>
    <t>*MAV270800960</t>
  </si>
  <si>
    <t>*INP271100062</t>
  </si>
  <si>
    <t>*INP231100062</t>
  </si>
  <si>
    <t>*INP251100098</t>
  </si>
  <si>
    <t>*MAV091201446</t>
  </si>
  <si>
    <t>*MAV101201461</t>
  </si>
  <si>
    <t>*MAV071200881</t>
  </si>
  <si>
    <t>*MAV081200666</t>
  </si>
  <si>
    <t>*MAV081200667</t>
  </si>
  <si>
    <t>*MAV161201320</t>
  </si>
  <si>
    <t>*MAV091201447</t>
  </si>
  <si>
    <t>*MAV081200665</t>
  </si>
  <si>
    <t>*MAV161201319</t>
  </si>
  <si>
    <t>*INP011100051</t>
  </si>
  <si>
    <t>*MAV041101266</t>
  </si>
  <si>
    <t>*MAV051101191</t>
  </si>
  <si>
    <t>*MAV061101117</t>
  </si>
  <si>
    <t>*MAV031101415</t>
  </si>
  <si>
    <t>*MAV121101391</t>
  </si>
  <si>
    <t>*MAV111101425</t>
  </si>
  <si>
    <t>*MAV101101849</t>
  </si>
  <si>
    <t>*MAV111101424</t>
  </si>
  <si>
    <t>*MAV101101848</t>
  </si>
  <si>
    <t>*MAV061101118</t>
  </si>
  <si>
    <t>*MAV020101090</t>
  </si>
  <si>
    <t>*MAV161201321</t>
  </si>
  <si>
    <t>*MAV281200989</t>
  </si>
  <si>
    <t>*MAV071200882</t>
  </si>
  <si>
    <t>*MAV271101327</t>
  </si>
  <si>
    <t>*MAV281001429</t>
  </si>
  <si>
    <t>*MAV161101104</t>
  </si>
  <si>
    <t>*MAV091100971</t>
  </si>
  <si>
    <t>*MAV051101193</t>
  </si>
  <si>
    <t>*MAV271001525</t>
  </si>
  <si>
    <t>*MAV291001295</t>
  </si>
  <si>
    <t>*MAV281001435</t>
  </si>
  <si>
    <t>*MAV301001663</t>
  </si>
  <si>
    <t>*MAV171101439</t>
  </si>
  <si>
    <t>*MAV171201032</t>
  </si>
  <si>
    <t>*MAV271001526</t>
  </si>
  <si>
    <t>*MAV271101333</t>
  </si>
  <si>
    <t>*MAV031101416</t>
  </si>
  <si>
    <t>*MAV031200966</t>
  </si>
  <si>
    <t>*MAV020101091</t>
  </si>
  <si>
    <t>*MAV021100966</t>
  </si>
  <si>
    <t>*MAV021201277</t>
  </si>
  <si>
    <t>*BIF091100005</t>
  </si>
  <si>
    <t>*BIF111100007</t>
  </si>
  <si>
    <t>*BIF091100004</t>
  </si>
  <si>
    <t>#MAV131160032</t>
  </si>
  <si>
    <t>#MAV051160031</t>
  </si>
  <si>
    <t>*MAV021100969</t>
  </si>
  <si>
    <t>*MAV291001300</t>
  </si>
  <si>
    <t>AGRO CHACO SRL</t>
  </si>
  <si>
    <t>DEL CERRO SRL</t>
  </si>
  <si>
    <t>MAQUINARIAS HYM SA</t>
  </si>
  <si>
    <t>SECAR SRL</t>
  </si>
  <si>
    <t>SRB OBRAS Y SERVICIOS SRL</t>
  </si>
  <si>
    <t>*MAV280201801</t>
  </si>
  <si>
    <t>*MAV311201094</t>
  </si>
  <si>
    <t>*MAV310101565</t>
  </si>
  <si>
    <t>*MAV021201283</t>
  </si>
  <si>
    <t>*MAV301101931</t>
  </si>
  <si>
    <t>*MAV301101932</t>
  </si>
  <si>
    <t>*MAV281001443</t>
  </si>
  <si>
    <t>*MAV301001672</t>
  </si>
  <si>
    <t>*MAV101201470</t>
  </si>
  <si>
    <t>*MAV191201292</t>
  </si>
  <si>
    <t>*MAV111101432</t>
  </si>
  <si>
    <t>*MAV301001675</t>
  </si>
  <si>
    <t>*MAV181101328</t>
  </si>
  <si>
    <t>*MAV311201097</t>
  </si>
  <si>
    <t>*MAV291101308</t>
  </si>
  <si>
    <t>*MAV041101273</t>
  </si>
  <si>
    <t>*MAV031101423</t>
  </si>
  <si>
    <t>*MAV021100983</t>
  </si>
  <si>
    <t>*MAV131101250</t>
  </si>
  <si>
    <t>*MAV201101538</t>
  </si>
  <si>
    <t>*MAV301001686</t>
  </si>
  <si>
    <t>RUTA SUR TRUCKS SA</t>
  </si>
  <si>
    <t>JYV LOGISTICA Y TRANSPORTE SRL</t>
  </si>
  <si>
    <t>DISTRIBUIDORA DE ALIMENTOS BALANCEADOS SRL</t>
  </si>
  <si>
    <t>LA COLONIA SA</t>
  </si>
  <si>
    <t>OJEDA ARIEL RUBEN</t>
  </si>
  <si>
    <t>*MAV211201021</t>
  </si>
  <si>
    <t>*MAV150101611</t>
  </si>
  <si>
    <t>*MAV041101282</t>
  </si>
  <si>
    <t>*MAV040100750</t>
  </si>
  <si>
    <t>*MAV040200872</t>
  </si>
  <si>
    <t>*MAV041201008</t>
  </si>
  <si>
    <t>*MAV271001542</t>
  </si>
  <si>
    <t>*MAV261201586</t>
  </si>
  <si>
    <t>*MAV261101203</t>
  </si>
  <si>
    <t>*MAV120101517</t>
  </si>
  <si>
    <t>*MAV031101429</t>
  </si>
  <si>
    <t>*MAV021100999</t>
  </si>
  <si>
    <t>*MAV271001545</t>
  </si>
  <si>
    <t>*MAV271001516</t>
  </si>
  <si>
    <t>*MAV301001649</t>
  </si>
  <si>
    <t>*MAV061101131</t>
  </si>
  <si>
    <t>*MAV091100992</t>
  </si>
  <si>
    <t>*MAV051101203</t>
  </si>
  <si>
    <t>*MAV051101204</t>
  </si>
  <si>
    <t>*MAV051101205</t>
  </si>
  <si>
    <t>*MAV061101134</t>
  </si>
  <si>
    <t>#MAV161160038</t>
  </si>
  <si>
    <t>#MAV161160039</t>
  </si>
  <si>
    <t>AUTOPISTAS URBANAS SA</t>
  </si>
  <si>
    <t>BASTIAAN SRL</t>
  </si>
  <si>
    <t>CAVALLERO HENRY SANTIAGO</t>
  </si>
  <si>
    <t>DON ANTONIO COMBUSTIBLES SRL</t>
  </si>
  <si>
    <t>ELI SA</t>
  </si>
  <si>
    <t>MERCADO SANITARIO MDQ SA</t>
  </si>
  <si>
    <t>FGC FUELS MARKETING SA</t>
  </si>
  <si>
    <t>SALTAPOR S.R.L.</t>
  </si>
  <si>
    <t>BANCO DE SAN JUAN SA ( ACDI )</t>
  </si>
  <si>
    <t>BANCO DE SANTA CRUZ SA (ACDI)</t>
  </si>
  <si>
    <t>*MIL131100041</t>
  </si>
  <si>
    <t>*MIL271100048</t>
  </si>
  <si>
    <t>*MIL201100037</t>
  </si>
  <si>
    <t>*MIL080100032</t>
  </si>
  <si>
    <t>*MIL010100006</t>
  </si>
  <si>
    <t>*MIL220100031</t>
  </si>
  <si>
    <t>*MIL290100025</t>
  </si>
  <si>
    <t>*MIL011200029</t>
  </si>
  <si>
    <t>*MIL011100018</t>
  </si>
  <si>
    <t>*MIL301100034</t>
  </si>
  <si>
    <t>*MIL201100039</t>
  </si>
  <si>
    <t>*MIL111100040</t>
  </si>
  <si>
    <t>*INP290100056</t>
  </si>
  <si>
    <t>*INP270200088</t>
  </si>
  <si>
    <t>*INP240200080</t>
  </si>
  <si>
    <t>26/02/2027</t>
  </si>
  <si>
    <t>*INP200200087</t>
  </si>
  <si>
    <t>24/02/2027</t>
  </si>
  <si>
    <t>*INP150100062</t>
  </si>
  <si>
    <t>*INP050200047</t>
  </si>
  <si>
    <t>*MAV061101144</t>
  </si>
  <si>
    <t>*MAV251101737</t>
  </si>
  <si>
    <t>*MAV301101972</t>
  </si>
  <si>
    <t>*MAV041101292</t>
  </si>
  <si>
    <t>*MAV150301331</t>
  </si>
  <si>
    <t>*MAV141101533</t>
  </si>
  <si>
    <t>*MAV141201177</t>
  </si>
  <si>
    <t>*MAV141201176</t>
  </si>
  <si>
    <t>*MAV141101534</t>
  </si>
  <si>
    <t>*MAV140101219</t>
  </si>
  <si>
    <t>18/01/2027</t>
  </si>
  <si>
    <t>*MAV140101220</t>
  </si>
  <si>
    <t>*MAV140101221</t>
  </si>
  <si>
    <t>*MAV141101531</t>
  </si>
  <si>
    <t>*MAV141101532</t>
  </si>
  <si>
    <t>*MAV141201174</t>
  </si>
  <si>
    <t>*MAV141201175</t>
  </si>
  <si>
    <t>*MAV140101222</t>
  </si>
  <si>
    <t>*MAV271001558</t>
  </si>
  <si>
    <t>*MAV241101391</t>
  </si>
  <si>
    <t>*MAV101101881</t>
  </si>
  <si>
    <t>*MAV041201015</t>
  </si>
  <si>
    <t>*MAV081200673</t>
  </si>
  <si>
    <t>*MAV091201462</t>
  </si>
  <si>
    <t>*MAV101201503</t>
  </si>
  <si>
    <t>*MAV111201293</t>
  </si>
  <si>
    <t>*MAV151201871</t>
  </si>
  <si>
    <t>*MAV161201334</t>
  </si>
  <si>
    <t>*MAV171201042</t>
  </si>
  <si>
    <t>*MAV181201268</t>
  </si>
  <si>
    <t>*MAV221201291</t>
  </si>
  <si>
    <t>*MAV231201331</t>
  </si>
  <si>
    <t>#UMV040170027</t>
  </si>
  <si>
    <t>DEL TURISTA SOCIEDAD ANONIMA COMERCIAL E INDUSTRIAL</t>
  </si>
  <si>
    <t>OBRAPLUS SA</t>
  </si>
  <si>
    <t>RAMSES SRL</t>
  </si>
  <si>
    <t>TROMBETTA AVIACION AGRICOLA SRL</t>
  </si>
  <si>
    <t>KLUG HECTOR RAMON Y KLUG SEBASTIAN ANDRES S CAP I SECC IV SOC SIMPLE (en</t>
  </si>
  <si>
    <t>*MAV201101542</t>
  </si>
  <si>
    <t>*MAV251101735</t>
  </si>
  <si>
    <t>*MAV271101348</t>
  </si>
  <si>
    <t>*MAV301101960</t>
  </si>
  <si>
    <t>*MAV311001831</t>
  </si>
  <si>
    <t>*MAV101201488</t>
  </si>
  <si>
    <t>*MAV061101156</t>
  </si>
  <si>
    <t>*MAV070100943</t>
  </si>
  <si>
    <t>11/01/2027</t>
  </si>
  <si>
    <t>*MAV071200907</t>
  </si>
  <si>
    <t>*MAV040100756</t>
  </si>
  <si>
    <t>*MAV281001421</t>
  </si>
  <si>
    <t>*MAV291001283</t>
  </si>
  <si>
    <t>*MAV271001568</t>
  </si>
  <si>
    <t>*MAV021101040</t>
  </si>
  <si>
    <t>*MAV081101227</t>
  </si>
  <si>
    <t>*MAV081200676</t>
  </si>
  <si>
    <t>*MAV081200677</t>
  </si>
  <si>
    <t>*MAV011201533</t>
  </si>
  <si>
    <t>*MAV101101891</t>
  </si>
  <si>
    <t>*MAV111101458</t>
  </si>
  <si>
    <t>*MAV131101288</t>
  </si>
  <si>
    <t>*MAV181101352</t>
  </si>
  <si>
    <t>*MAV291001351</t>
  </si>
  <si>
    <t>*MAV301001726</t>
  </si>
  <si>
    <t>JYK SRL</t>
  </si>
  <si>
    <t>AGREFERTAR SA</t>
  </si>
  <si>
    <t>QUITRAL COM SA</t>
  </si>
  <si>
    <t>HESAR HNOS SA</t>
  </si>
  <si>
    <t>*MAV131201190</t>
  </si>
  <si>
    <t>*MAV131201193</t>
  </si>
  <si>
    <t>*MAV041101338</t>
  </si>
  <si>
    <t>*MAV281001487</t>
  </si>
  <si>
    <t>*MAV031101462</t>
  </si>
  <si>
    <t>*MAV301001731</t>
  </si>
  <si>
    <t>*MAV030201111</t>
  </si>
  <si>
    <t>05/02/2027</t>
  </si>
  <si>
    <t>*MAV030100876</t>
  </si>
  <si>
    <t>*MAV030201112</t>
  </si>
  <si>
    <t>*MAV031200998</t>
  </si>
  <si>
    <t>*MAV080200766</t>
  </si>
  <si>
    <t>*MAV011101285</t>
  </si>
  <si>
    <t>*MAV021101052</t>
  </si>
  <si>
    <t>*MAV031101468</t>
  </si>
  <si>
    <t>*MAV040100757</t>
  </si>
  <si>
    <t>*MAV281201013</t>
  </si>
  <si>
    <t>Transportes Gral Bartolome Mitre S R L</t>
  </si>
  <si>
    <t>MAFER DISTRIBUIDORA SA</t>
  </si>
  <si>
    <t>CEIBO CREDITOS S.A.</t>
  </si>
  <si>
    <t>*MAV011201548</t>
  </si>
  <si>
    <t>*MAV021201317</t>
  </si>
  <si>
    <t>*MAV021201318</t>
  </si>
  <si>
    <t>*MAV021201319</t>
  </si>
  <si>
    <t>*MAV271101374</t>
  </si>
  <si>
    <t>*MAV021201316</t>
  </si>
  <si>
    <t>*MAV011201547</t>
  </si>
  <si>
    <t>*MAV011201546</t>
  </si>
  <si>
    <t>*MAV011201545</t>
  </si>
  <si>
    <t>*MAV031201000</t>
  </si>
  <si>
    <t>*MAV031101476</t>
  </si>
  <si>
    <t>*MAV101101917</t>
  </si>
  <si>
    <t>*MAV051201431</t>
  </si>
  <si>
    <t>*MAV071200914</t>
  </si>
  <si>
    <t>*MAV260301221</t>
  </si>
  <si>
    <t>31/03/2027</t>
  </si>
  <si>
    <t>*MAV121201626</t>
  </si>
  <si>
    <t>*MAV151201891</t>
  </si>
  <si>
    <t>*MAV021201329</t>
  </si>
  <si>
    <t>*MAV101201524</t>
  </si>
  <si>
    <t>*MAV301102026</t>
  </si>
  <si>
    <t>*MAV041201055</t>
  </si>
  <si>
    <t>*MAV031201011</t>
  </si>
  <si>
    <t>*MAV031201010</t>
  </si>
  <si>
    <t>*MAV151201893</t>
  </si>
  <si>
    <t>*MAV111201321</t>
  </si>
  <si>
    <t>*MAV101201527</t>
  </si>
  <si>
    <t>*MAV081200688</t>
  </si>
  <si>
    <t>*MAV041201060</t>
  </si>
  <si>
    <t>*MAV041201061</t>
  </si>
  <si>
    <t>*MAV091201504</t>
  </si>
  <si>
    <t>*MAV161201358</t>
  </si>
  <si>
    <t>*MAV171201053</t>
  </si>
  <si>
    <t>*MAV220501677</t>
  </si>
  <si>
    <t>27/05/2027</t>
  </si>
  <si>
    <t>*MAV141101560</t>
  </si>
  <si>
    <t>*MAV211101182</t>
  </si>
  <si>
    <t>*MAV150101625</t>
  </si>
  <si>
    <t>*MAV151201896</t>
  </si>
  <si>
    <t>*MAV051101286</t>
  </si>
  <si>
    <t>*MAV021101082</t>
  </si>
  <si>
    <t>*MAV021201333</t>
  </si>
  <si>
    <t>*MAV011101293</t>
  </si>
  <si>
    <t>*MAV011101294</t>
  </si>
  <si>
    <t>*MAV101101936</t>
  </si>
  <si>
    <t>*MAV311001868</t>
  </si>
  <si>
    <t>*MAV051101285</t>
  </si>
  <si>
    <t>*MAV151101677</t>
  </si>
  <si>
    <t>*MAV201101599</t>
  </si>
  <si>
    <t>*MAV251101771</t>
  </si>
  <si>
    <t>*MAV301102029</t>
  </si>
  <si>
    <t>*MAV091101071</t>
  </si>
  <si>
    <t>*MAV271001597</t>
  </si>
  <si>
    <t>*MAV251101770</t>
  </si>
  <si>
    <t>*MAV021101081</t>
  </si>
  <si>
    <t>*MAV121101478</t>
  </si>
  <si>
    <t>*MAV281001510</t>
  </si>
  <si>
    <t>*MAV281101527</t>
  </si>
  <si>
    <t>NEXTRANS SRL</t>
  </si>
  <si>
    <t>LOS MOROS SRL</t>
  </si>
  <si>
    <t>RUIZ DIAZ CHRISTIAN LEANDRO</t>
  </si>
  <si>
    <t>CHAPARRO PEDRO LUIS</t>
  </si>
  <si>
    <t>EL SUPER HORMIGON SA</t>
  </si>
  <si>
    <t>NEUMATICOS NUÑEZ SRL</t>
  </si>
  <si>
    <t>BEROLI SAS</t>
  </si>
  <si>
    <t>BGL CARGO Y LOGISTICA SRL</t>
  </si>
  <si>
    <t>EPU VISION SA</t>
  </si>
  <si>
    <t>SANTA LETICIA SA</t>
  </si>
  <si>
    <t>TECNOMADERA SRL</t>
  </si>
  <si>
    <t>NUEVAS TIERRAS S.A.</t>
  </si>
  <si>
    <t>SAP SRL</t>
  </si>
  <si>
    <t>SOSA ADRIAN OSCAR</t>
  </si>
  <si>
    <t>*MAV181101381</t>
  </si>
  <si>
    <t>*MAV181101382</t>
  </si>
  <si>
    <t>*MAV161101187</t>
  </si>
  <si>
    <t>*MAV101201538</t>
  </si>
  <si>
    <t>*MAV071200929</t>
  </si>
  <si>
    <t>*MAV091101079</t>
  </si>
  <si>
    <t>*MAV091201510</t>
  </si>
  <si>
    <t>*MAV101101947</t>
  </si>
  <si>
    <t>*MAV091101078</t>
  </si>
  <si>
    <t>*MAV271001599</t>
  </si>
  <si>
    <t>*MAV061101255</t>
  </si>
  <si>
    <t>*MAV131101336</t>
  </si>
  <si>
    <t>*MAV271101408</t>
  </si>
  <si>
    <t>*MAV130101286</t>
  </si>
  <si>
    <t>15/01/2027</t>
  </si>
  <si>
    <t>*MAV291101330</t>
  </si>
  <si>
    <t>*MAV101201549</t>
  </si>
  <si>
    <t>*MAV121101496</t>
  </si>
  <si>
    <t>*MAV121101495</t>
  </si>
  <si>
    <t>*MAV091101091</t>
  </si>
  <si>
    <t>*MAV261101244</t>
  </si>
  <si>
    <t>*MAV031201018</t>
  </si>
  <si>
    <t>*MAV101201550</t>
  </si>
  <si>
    <t>#UMV011260064</t>
  </si>
  <si>
    <t>KUCHEN BAZAR SRL</t>
  </si>
  <si>
    <t>PLEM AGRO SRL</t>
  </si>
  <si>
    <t>COOPERATIVA DE TRABAJO ECOPILAR LIMITADA</t>
  </si>
  <si>
    <t>Vto. Pagarés/FCE Dollar Linked</t>
  </si>
  <si>
    <t>*MAV051101300</t>
  </si>
  <si>
    <t>*MAV131101341</t>
  </si>
  <si>
    <t>*MAV161101203</t>
  </si>
  <si>
    <t>*MAV171101500</t>
  </si>
  <si>
    <t>*MAV281001530</t>
  </si>
  <si>
    <t>*MAV301001800</t>
  </si>
  <si>
    <t>*MAV291001376</t>
  </si>
  <si>
    <t>*MAV021101093</t>
  </si>
  <si>
    <t>*MAV061101266</t>
  </si>
  <si>
    <t>*MAV091101103</t>
  </si>
  <si>
    <t>*MAV101101970</t>
  </si>
  <si>
    <t>*MAV111101514</t>
  </si>
  <si>
    <t>*MAV121101499</t>
  </si>
  <si>
    <t>*MAV041101372</t>
  </si>
  <si>
    <t>*MAV031101490</t>
  </si>
  <si>
    <t>*MAV151101687</t>
  </si>
  <si>
    <t>*MAV141101579</t>
  </si>
  <si>
    <t>*MAV141101580</t>
  </si>
  <si>
    <t>*MAV151101686</t>
  </si>
  <si>
    <t>*MAV121101505</t>
  </si>
  <si>
    <t>*MAV131101342</t>
  </si>
  <si>
    <t>*MAV131101343</t>
  </si>
  <si>
    <t>*MAV151201917</t>
  </si>
  <si>
    <t>*MAV251101792</t>
  </si>
  <si>
    <t>*MAV051101301</t>
  </si>
  <si>
    <t>*MAV301001802</t>
  </si>
  <si>
    <t>*MAV281001531</t>
  </si>
  <si>
    <t>*MAV201101615</t>
  </si>
  <si>
    <t>*MAV181101391</t>
  </si>
  <si>
    <t>*MAV261101251</t>
  </si>
  <si>
    <t>*MAV241101428</t>
  </si>
  <si>
    <t>*MAV311001877</t>
  </si>
  <si>
    <t>*MAV271001608</t>
  </si>
  <si>
    <t>*MAV041101371</t>
  </si>
  <si>
    <t>*MAV301001801</t>
  </si>
  <si>
    <t>*MAV281001529</t>
  </si>
  <si>
    <t>*MAV181101390</t>
  </si>
  <si>
    <t>*MAV161201368</t>
  </si>
  <si>
    <t>#MAV171160044</t>
  </si>
  <si>
    <t>*MAV091101106</t>
  </si>
  <si>
    <t>*AFB140100006</t>
  </si>
  <si>
    <t>*AFB091100004</t>
  </si>
  <si>
    <t>*AFB031100008</t>
  </si>
  <si>
    <t>*AFB061100010</t>
  </si>
  <si>
    <t>*AFB091100006</t>
  </si>
  <si>
    <t>*AFB021100005</t>
  </si>
  <si>
    <t>*AFB271000013</t>
  </si>
  <si>
    <t>*AFB301000021</t>
  </si>
  <si>
    <t>*AFB061100011</t>
  </si>
  <si>
    <t>*AFB091100005</t>
  </si>
  <si>
    <t>*AFB021100004</t>
  </si>
  <si>
    <t>*AFB021100006</t>
  </si>
  <si>
    <t>*MAV120101531</t>
  </si>
  <si>
    <t>*MAV141201218</t>
  </si>
  <si>
    <t>*MAV121101513</t>
  </si>
  <si>
    <t>*MAV061201179</t>
  </si>
  <si>
    <t>*MAV060201210</t>
  </si>
  <si>
    <t>*MAV060301353</t>
  </si>
  <si>
    <t>10/03/2027</t>
  </si>
  <si>
    <t>*MAV060101267</t>
  </si>
  <si>
    <t>08/01/2027</t>
  </si>
  <si>
    <t>*MAV311001879</t>
  </si>
  <si>
    <t>*MAV301102044</t>
  </si>
  <si>
    <t>*MAV120201173</t>
  </si>
  <si>
    <t>*MAV100101370</t>
  </si>
  <si>
    <t>*MAV101201561</t>
  </si>
  <si>
    <t>*MAV101101981</t>
  </si>
  <si>
    <t>*MAV100301603</t>
  </si>
  <si>
    <t>12/03/2027</t>
  </si>
  <si>
    <t>*MAV080200769</t>
  </si>
  <si>
    <t>*MAV090101198</t>
  </si>
  <si>
    <t>*MAV061101273</t>
  </si>
  <si>
    <t>*MAV111101516</t>
  </si>
  <si>
    <t>*MAV111201339</t>
  </si>
  <si>
    <t>*MAV110100936</t>
  </si>
  <si>
    <t>*MAV110301337</t>
  </si>
  <si>
    <t>*MAV110201007</t>
  </si>
  <si>
    <t>*MAV141201220</t>
  </si>
  <si>
    <t>*MAV141101582</t>
  </si>
  <si>
    <t>*MAV171101507</t>
  </si>
  <si>
    <t>*MAV030301176</t>
  </si>
  <si>
    <t>05/03/2027</t>
  </si>
  <si>
    <t>*MAV251101795</t>
  </si>
  <si>
    <t>*MAV210101145</t>
  </si>
  <si>
    <t>25/01/2027</t>
  </si>
  <si>
    <t>*MAV221201311</t>
  </si>
  <si>
    <t>*MAV231100998</t>
  </si>
  <si>
    <t>*MAV101101980</t>
  </si>
  <si>
    <t>*MAV101201559</t>
  </si>
  <si>
    <t>*MAV141201219</t>
  </si>
  <si>
    <t>*MAV140101234</t>
  </si>
  <si>
    <t>*MAV141101583</t>
  </si>
  <si>
    <t>*MAV140201268</t>
  </si>
  <si>
    <t>*MAV101201560</t>
  </si>
  <si>
    <t>*MAV101101979</t>
  </si>
  <si>
    <t>*MAV161101207</t>
  </si>
  <si>
    <t>*MAV151201922</t>
  </si>
  <si>
    <t>*MAV091101108</t>
  </si>
  <si>
    <t>*MAV251101796</t>
  </si>
  <si>
    <t>*MAV181101395</t>
  </si>
  <si>
    <t>MAVR150100186</t>
  </si>
  <si>
    <t>MAVR151100183</t>
  </si>
  <si>
    <t>MAVR151200097</t>
  </si>
  <si>
    <t>#UMV021160051</t>
  </si>
  <si>
    <t>ANGEL ESTRADA Y CIA SA</t>
  </si>
  <si>
    <t>PAPEL IMPORTANTE SA</t>
  </si>
  <si>
    <t>IMPRESORES SO MI AL SRL</t>
  </si>
  <si>
    <t>SZULDINER JAVIER HECTOR</t>
  </si>
  <si>
    <t>DISTGRAF SRL</t>
  </si>
  <si>
    <t>PACKLAND ARGENTINA</t>
  </si>
  <si>
    <t>GRAFICA OFFSET SRL</t>
  </si>
  <si>
    <t>COIRINI SA</t>
  </si>
  <si>
    <t>ALUSTIZA JOSE MARIA BAUTISTA</t>
  </si>
  <si>
    <t>BELTRAMINO RAUL TITO</t>
  </si>
  <si>
    <t>BORTOLUZZI CARLOS HILARIO</t>
  </si>
  <si>
    <t>CONRERO SILVIO TADEO</t>
  </si>
  <si>
    <t>CONSTRUCTORA ALMAJO NORTE SRL</t>
  </si>
  <si>
    <t>DON HENRY SAS</t>
  </si>
  <si>
    <t>EL TRIANGULO SA</t>
  </si>
  <si>
    <t>TRAN SER SA</t>
  </si>
  <si>
    <t>EXPLOTACION PESQUERA DE LA PATAGONIA SA</t>
  </si>
  <si>
    <t>JVG GASTROPAN SRL</t>
  </si>
  <si>
    <t>R&amp;F EXTINCION SA</t>
  </si>
  <si>
    <t>QSAND</t>
  </si>
  <si>
    <t>PETROLIDER SRL</t>
  </si>
  <si>
    <t>MINEIRO SRL</t>
  </si>
  <si>
    <t>SUPERLIGA PROFESIONAL DEL FUTBOL ARGENTINO ASOCIACION CIVIL</t>
  </si>
  <si>
    <t>SIBIU PRODUCCIONES S.A.S.</t>
  </si>
  <si>
    <t>PECAM</t>
  </si>
  <si>
    <t>COOPERATIVA LIMITADA AGRICOLA GANADERA DE SUNCHALES</t>
  </si>
  <si>
    <t>MADETEC SA</t>
  </si>
  <si>
    <t>*NEU311200026</t>
  </si>
  <si>
    <t>*NEU090100022</t>
  </si>
  <si>
    <t>*NEU300100027</t>
  </si>
  <si>
    <t>*AFB211100015</t>
  </si>
  <si>
    <t>*AFB181100011</t>
  </si>
  <si>
    <t>*AFB171100013</t>
  </si>
  <si>
    <t>*AFB201100021</t>
  </si>
  <si>
    <t>*AFB140200003</t>
  </si>
  <si>
    <t>*INP311200049</t>
  </si>
  <si>
    <t>*INP281200047</t>
  </si>
  <si>
    <t>*INP030100042</t>
  </si>
  <si>
    <t>*AFB050100007</t>
  </si>
  <si>
    <t>07/01/2027</t>
  </si>
  <si>
    <t>*MAV311201148</t>
  </si>
  <si>
    <t>*MAV251200472</t>
  </si>
  <si>
    <t>*MAV141201221</t>
  </si>
  <si>
    <t>*MAV131101350</t>
  </si>
  <si>
    <t>*MAV171101506</t>
  </si>
  <si>
    <t>*MAV031101509</t>
  </si>
  <si>
    <t>*MAV181101398</t>
  </si>
  <si>
    <t>*MAV101101988</t>
  </si>
  <si>
    <t>*MAV151201927</t>
  </si>
  <si>
    <t>*MAV151101692</t>
  </si>
  <si>
    <t>*MAV150101635</t>
  </si>
  <si>
    <t>*MAV150201136</t>
  </si>
  <si>
    <t>*MAV161201370</t>
  </si>
  <si>
    <t>*MAV160201172</t>
  </si>
  <si>
    <t>*MAV160101295</t>
  </si>
  <si>
    <t>*MAV160301227</t>
  </si>
  <si>
    <t>*MAV201101621</t>
  </si>
  <si>
    <t>*MAV101101989</t>
  </si>
  <si>
    <t>*MAV111201343</t>
  </si>
  <si>
    <t>*MAV201101619</t>
  </si>
  <si>
    <t>*MAV221201313</t>
  </si>
  <si>
    <t>*MAV291001384</t>
  </si>
  <si>
    <t>*MAV151201931</t>
  </si>
  <si>
    <t>*MAV041101388</t>
  </si>
  <si>
    <t>*MAV111101528</t>
  </si>
  <si>
    <t>*MAV131101362</t>
  </si>
  <si>
    <t>*MAV300101434</t>
  </si>
  <si>
    <t>*MAV230101224</t>
  </si>
  <si>
    <t>*MAV200101762</t>
  </si>
  <si>
    <t>*MAV250100985</t>
  </si>
  <si>
    <t>*MAV270101297</t>
  </si>
  <si>
    <t>29/01/2027</t>
  </si>
  <si>
    <t>*MAV090101203</t>
  </si>
  <si>
    <t>*MAV200101763</t>
  </si>
  <si>
    <t>*MAV160101297</t>
  </si>
  <si>
    <t>*MAV051201458</t>
  </si>
  <si>
    <t>*MAV091201521</t>
  </si>
  <si>
    <t>*MAV081200699</t>
  </si>
  <si>
    <t>*MAV071200941</t>
  </si>
  <si>
    <t>*MAV061201180</t>
  </si>
  <si>
    <t>*MAV101201566</t>
  </si>
  <si>
    <t>*CVA151200023</t>
  </si>
  <si>
    <t>BANESTO SA</t>
  </si>
  <si>
    <t>ESTACION FERREYRA SRL SRL</t>
  </si>
  <si>
    <t>SERVISUR SRL</t>
  </si>
  <si>
    <t>CHIARAVIGLIO HNOS SRL</t>
  </si>
  <si>
    <t>DE MARE LUCIANO</t>
  </si>
  <si>
    <t>LIZZI HNOS AGROPECUARIA SRL</t>
  </si>
  <si>
    <t>VIDELA DORNA MARTIN</t>
  </si>
  <si>
    <t>LES SAS</t>
  </si>
  <si>
    <t>*AAR220100014</t>
  </si>
  <si>
    <t>*AFB141200006</t>
  </si>
  <si>
    <t>*AFB050200018</t>
  </si>
  <si>
    <t>*AFB060100005</t>
  </si>
  <si>
    <t>*AFB080100007</t>
  </si>
  <si>
    <t>*MOV221200082</t>
  </si>
  <si>
    <t>*MOV211200055</t>
  </si>
  <si>
    <t>*INP091200082</t>
  </si>
  <si>
    <t>*INP111100075</t>
  </si>
  <si>
    <t>*SOL201100012</t>
  </si>
  <si>
    <t>*INP231200109</t>
  </si>
  <si>
    <t>*INP031200058</t>
  </si>
  <si>
    <t>*INP291000060</t>
  </si>
  <si>
    <t>*INP091100049</t>
  </si>
  <si>
    <t>*INP041100056</t>
  </si>
  <si>
    <t>*INP301100125</t>
  </si>
  <si>
    <t>*INP261100064</t>
  </si>
  <si>
    <t>*INP181100091</t>
  </si>
  <si>
    <t>*INP141200058</t>
  </si>
  <si>
    <t>*INP141100067</t>
  </si>
  <si>
    <t>*INP121200079</t>
  </si>
  <si>
    <t>*INP091200083</t>
  </si>
  <si>
    <t>*INP080100053</t>
  </si>
  <si>
    <t>*INP061200052</t>
  </si>
  <si>
    <t>*NIO021100025</t>
  </si>
  <si>
    <t>*NIO041200031</t>
  </si>
  <si>
    <t>*NIO061100042</t>
  </si>
  <si>
    <t>*MAV051101325</t>
  </si>
  <si>
    <t>*MAV291001393</t>
  </si>
  <si>
    <t>*MAV021101117</t>
  </si>
  <si>
    <t>*MAV040200876</t>
  </si>
  <si>
    <t>*MAV191101285</t>
  </si>
  <si>
    <t>*MAV181101410</t>
  </si>
  <si>
    <t>*MAV181101409</t>
  </si>
  <si>
    <t>*MAV171101522</t>
  </si>
  <si>
    <t>*MAV051101329</t>
  </si>
  <si>
    <t>*MAV041101398</t>
  </si>
  <si>
    <t>*MAV201101641</t>
  </si>
  <si>
    <t>*MAV191101286</t>
  </si>
  <si>
    <t>*MAV041101397</t>
  </si>
  <si>
    <t>*MAV071101486</t>
  </si>
  <si>
    <t>*MAV061101294</t>
  </si>
  <si>
    <t>*MAV031101518</t>
  </si>
  <si>
    <t>*MAV101102002</t>
  </si>
  <si>
    <t>*MAV101102001</t>
  </si>
  <si>
    <t>*MAV051101328</t>
  </si>
  <si>
    <t>*MAV211101205</t>
  </si>
  <si>
    <t>*MAV271201293</t>
  </si>
  <si>
    <t>*PRO151100020</t>
  </si>
  <si>
    <t>*PRO171100017</t>
  </si>
  <si>
    <t>*PRO161100014</t>
  </si>
  <si>
    <t>*PRO141100016</t>
  </si>
  <si>
    <t>*ACI170300249</t>
  </si>
  <si>
    <t>19/03/2027</t>
  </si>
  <si>
    <t>*ACI190300237</t>
  </si>
  <si>
    <t>23/03/2027</t>
  </si>
  <si>
    <t>*ACI240300132</t>
  </si>
  <si>
    <t>*MAV161101232</t>
  </si>
  <si>
    <t>*MAV151201950</t>
  </si>
  <si>
    <t>*MAV301001838</t>
  </si>
  <si>
    <t>CIMBRA SAS</t>
  </si>
  <si>
    <t>ACINDAR PYMES SGR</t>
  </si>
  <si>
    <t>PAMISA SRL</t>
  </si>
  <si>
    <t>SOUTH MANAGEMENT REGION PATAGONICA SAU</t>
  </si>
  <si>
    <t>SOLIDUM SGR</t>
  </si>
  <si>
    <t>AR0985951141</t>
  </si>
  <si>
    <t>22/11/2027</t>
  </si>
  <si>
    <t>*MOV031100056</t>
  </si>
  <si>
    <t>*MOV191100046</t>
  </si>
  <si>
    <t>*MOV301100139</t>
  </si>
  <si>
    <t>#IGA151260003</t>
  </si>
  <si>
    <t>#IGA150370001</t>
  </si>
  <si>
    <t>16/03/2027</t>
  </si>
  <si>
    <t>#IGA140570001</t>
  </si>
  <si>
    <t>17/05/2027</t>
  </si>
  <si>
    <t>#IGA140470001</t>
  </si>
  <si>
    <t>15/04/2027</t>
  </si>
  <si>
    <t>#IGA140170001</t>
  </si>
  <si>
    <t>#IGA130270001</t>
  </si>
  <si>
    <t>*INP140100063</t>
  </si>
  <si>
    <t>*MOV010300046</t>
  </si>
  <si>
    <t>*MOV010200049</t>
  </si>
  <si>
    <t>*MOV310100091</t>
  </si>
  <si>
    <t>*MOV270200077</t>
  </si>
  <si>
    <t>*MOV150100104</t>
  </si>
  <si>
    <t>*CVA150200010</t>
  </si>
  <si>
    <t>*CVA150100021</t>
  </si>
  <si>
    <t>*CVA160300014</t>
  </si>
  <si>
    <t>*CVA011200012</t>
  </si>
  <si>
    <t>*CVA021100007</t>
  </si>
  <si>
    <t>*CVA161200027</t>
  </si>
  <si>
    <t>*CVA311200025</t>
  </si>
  <si>
    <t>*CVA310300029</t>
  </si>
  <si>
    <t>05/04/2027</t>
  </si>
  <si>
    <t>*CVA290100009</t>
  </si>
  <si>
    <t>*CVA161100012</t>
  </si>
  <si>
    <t>*CVA010300008</t>
  </si>
  <si>
    <t>*FID151200043</t>
  </si>
  <si>
    <t>*FID171200036</t>
  </si>
  <si>
    <t>*FID221200054</t>
  </si>
  <si>
    <t>*NIO191200030</t>
  </si>
  <si>
    <t>*INP280200087</t>
  </si>
  <si>
    <t>*INP251100104</t>
  </si>
  <si>
    <t>*INP241100098</t>
  </si>
  <si>
    <t>*INP241100097</t>
  </si>
  <si>
    <t>*INP241100095</t>
  </si>
  <si>
    <t>*INP241100096</t>
  </si>
  <si>
    <t>*INP251100102</t>
  </si>
  <si>
    <t>*INP251100103</t>
  </si>
  <si>
    <t>*NOV161200054</t>
  </si>
  <si>
    <t>*AFB301100010</t>
  </si>
  <si>
    <t>*AFB151200009</t>
  </si>
  <si>
    <t>*AFB300100012</t>
  </si>
  <si>
    <t>*AFB150200007</t>
  </si>
  <si>
    <t>*MAV150101639</t>
  </si>
  <si>
    <t>*MAV301102058</t>
  </si>
  <si>
    <t>*MAV141201250</t>
  </si>
  <si>
    <t>*AFB171100015</t>
  </si>
  <si>
    <t>*AFB031100009</t>
  </si>
  <si>
    <t>*MAV091101140</t>
  </si>
  <si>
    <t>*MAV051101333</t>
  </si>
  <si>
    <t>*MAV241101443</t>
  </si>
  <si>
    <t>*MAV241101445</t>
  </si>
  <si>
    <t>*MAV261101268</t>
  </si>
  <si>
    <t>*MAV241101442</t>
  </si>
  <si>
    <t>*MAV241101444</t>
  </si>
  <si>
    <t>*MAV251101809</t>
  </si>
  <si>
    <t>*MAV251101810</t>
  </si>
  <si>
    <t>*MAV261101267</t>
  </si>
  <si>
    <t>*MAV261101265</t>
  </si>
  <si>
    <t>*MAV261101266</t>
  </si>
  <si>
    <t>*MAV251101811</t>
  </si>
  <si>
    <t>*PRO261100013</t>
  </si>
  <si>
    <t>*PRO191100019</t>
  </si>
  <si>
    <t>*MAV130101294</t>
  </si>
  <si>
    <t>*MAV220101204</t>
  </si>
  <si>
    <t>*MAV150101644</t>
  </si>
  <si>
    <t>*MAV080101176</t>
  </si>
  <si>
    <t>*MAV200101768</t>
  </si>
  <si>
    <t>*MAV050201064</t>
  </si>
  <si>
    <t>*MAV040200879</t>
  </si>
  <si>
    <t>*MAV030201133</t>
  </si>
  <si>
    <t>*MAV050201065</t>
  </si>
  <si>
    <t>*MAV061201182</t>
  </si>
  <si>
    <t>*MAV101201581</t>
  </si>
  <si>
    <t>*MAV131201210</t>
  </si>
  <si>
    <t>*MAV201201677</t>
  </si>
  <si>
    <t>*MAV171201084</t>
  </si>
  <si>
    <t>*MAV181201319</t>
  </si>
  <si>
    <t>*MAV031201032</t>
  </si>
  <si>
    <t>*MAV150101643</t>
  </si>
  <si>
    <t>*MAV010100438</t>
  </si>
  <si>
    <t>*MAV110100946</t>
  </si>
  <si>
    <t>*MAV110100947</t>
  </si>
  <si>
    <t>*MAV121101549</t>
  </si>
  <si>
    <t>*MAV121101550</t>
  </si>
  <si>
    <t>*MAV141201254</t>
  </si>
  <si>
    <t>*MAV141201255</t>
  </si>
  <si>
    <t>*MAV141201256</t>
  </si>
  <si>
    <t>*MAV121101551</t>
  </si>
  <si>
    <t>*MAV121101552</t>
  </si>
  <si>
    <t>*MAV121101553</t>
  </si>
  <si>
    <t>*MAV121101554</t>
  </si>
  <si>
    <t>*MAV141201257</t>
  </si>
  <si>
    <t>*MAV141201258</t>
  </si>
  <si>
    <t>*INP011200072</t>
  </si>
  <si>
    <t>*INP021200079</t>
  </si>
  <si>
    <t>*INP031200056</t>
  </si>
  <si>
    <t>*INP271100063</t>
  </si>
  <si>
    <t>*INP011200073</t>
  </si>
  <si>
    <t>*INP021200080</t>
  </si>
  <si>
    <t>*INP251100100</t>
  </si>
  <si>
    <t>*INP251100101</t>
  </si>
  <si>
    <t>*INP261100060</t>
  </si>
  <si>
    <t>*INP261100061</t>
  </si>
  <si>
    <t>*INP271100064</t>
  </si>
  <si>
    <t>*INP301100122</t>
  </si>
  <si>
    <t>*INP301100123</t>
  </si>
  <si>
    <t>*INP241100092</t>
  </si>
  <si>
    <t>*INP241100093</t>
  </si>
  <si>
    <t>*MAV270101300</t>
  </si>
  <si>
    <t>*MAV280101073</t>
  </si>
  <si>
    <t>*TRD171200022</t>
  </si>
  <si>
    <t>INNOVA S.G.R.</t>
  </si>
  <si>
    <t>TREND SGR</t>
  </si>
  <si>
    <t>MAGALLANES MIGUEL ANGEL</t>
  </si>
  <si>
    <t>LOSLOQUE SRL</t>
  </si>
  <si>
    <t>*MAV291101339</t>
  </si>
  <si>
    <t>*MAV271101459</t>
  </si>
  <si>
    <t>*MAV261101273</t>
  </si>
  <si>
    <t>*MAV251101818</t>
  </si>
  <si>
    <t>*MAV231101016</t>
  </si>
  <si>
    <t>*MAV301102071</t>
  </si>
  <si>
    <t>*MAV281101550</t>
  </si>
  <si>
    <t>*MAV241101450</t>
  </si>
  <si>
    <t>*MAV291201297</t>
  </si>
  <si>
    <t>*MAV080101177</t>
  </si>
  <si>
    <t>*MAV221201323</t>
  </si>
  <si>
    <t>*MAV040100794</t>
  </si>
  <si>
    <t>*MAV261201602</t>
  </si>
  <si>
    <t>*MAV021101140</t>
  </si>
  <si>
    <t>*MAV031101530</t>
  </si>
  <si>
    <t>*MAV091101150</t>
  </si>
  <si>
    <t>*MAV061101306</t>
  </si>
  <si>
    <t>*MAV101102020</t>
  </si>
  <si>
    <t>*MAV111101561</t>
  </si>
  <si>
    <t>*MAV051101343</t>
  </si>
  <si>
    <t>*MAV111101562</t>
  </si>
  <si>
    <t>*MAV121101562</t>
  </si>
  <si>
    <t>*MAV301001864</t>
  </si>
  <si>
    <t>*MAV121101563</t>
  </si>
  <si>
    <t>*MAV131101395</t>
  </si>
  <si>
    <t>*MAV091101151</t>
  </si>
  <si>
    <t>*MAV111101563</t>
  </si>
  <si>
    <t>*MAV101102021</t>
  </si>
  <si>
    <t>*MAV161101250</t>
  </si>
  <si>
    <t>*MAV161201393</t>
  </si>
  <si>
    <t>*MAV171101539</t>
  </si>
  <si>
    <t>*MAV171201089</t>
  </si>
  <si>
    <t>*MAV220101205</t>
  </si>
  <si>
    <t>*MAV180100971</t>
  </si>
  <si>
    <t>*MAV250100991</t>
  </si>
  <si>
    <t>*MAV290101085</t>
  </si>
  <si>
    <t>*MOV041200068</t>
  </si>
  <si>
    <t>*MOV071200050</t>
  </si>
  <si>
    <t>*MOV111200070</t>
  </si>
  <si>
    <t>*MOV141200065</t>
  </si>
  <si>
    <t>*MOV151200132</t>
  </si>
  <si>
    <t>*MOV161200077</t>
  </si>
  <si>
    <t>*MOV171200057</t>
  </si>
  <si>
    <t>*MOV181200070</t>
  </si>
  <si>
    <t>*MOV101200086</t>
  </si>
  <si>
    <t>*MOV091200075</t>
  </si>
  <si>
    <t>TRND150100006</t>
  </si>
  <si>
    <t>TRND150200008</t>
  </si>
  <si>
    <t>TRND150300005</t>
  </si>
  <si>
    <t>*TRD191200026</t>
  </si>
  <si>
    <t>*TRD281100044</t>
  </si>
  <si>
    <t>*TRD261200033</t>
  </si>
  <si>
    <t>*NEU261100020</t>
  </si>
  <si>
    <t>*AFB151100010</t>
  </si>
  <si>
    <t>*AFB161200017</t>
  </si>
  <si>
    <t>*AFB241200007</t>
  </si>
  <si>
    <t>*AFB091200006</t>
  </si>
  <si>
    <t>*MIL041200028</t>
  </si>
  <si>
    <t>#UMV011260065</t>
  </si>
  <si>
    <t>OTA SOLUCIONES SAS</t>
  </si>
  <si>
    <t>SERVICIOS VERTUA S.A.</t>
  </si>
  <si>
    <t>20% Librador</t>
  </si>
  <si>
    <t>% Pymes</t>
  </si>
  <si>
    <t>Pagarés Dólar Link que vencen hoy</t>
  </si>
  <si>
    <t>Librador</t>
  </si>
  <si>
    <t>Nominal (USD)</t>
  </si>
  <si>
    <t>Importe Actual ($)</t>
  </si>
  <si>
    <t>GE05A - VDF Grancoop 5 Clase A</t>
  </si>
  <si>
    <t>*INP181200068</t>
  </si>
  <si>
    <t>*MIL151200047</t>
  </si>
  <si>
    <t>*MIL181200042</t>
  </si>
  <si>
    <t>*MIL111200039</t>
  </si>
  <si>
    <t>*TRD101200047</t>
  </si>
  <si>
    <t>*TRD281000044</t>
  </si>
  <si>
    <t>*TRD281000043</t>
  </si>
  <si>
    <t>*TRD110100018</t>
  </si>
  <si>
    <t>*TRD240300020</t>
  </si>
  <si>
    <t>*TRD240200026</t>
  </si>
  <si>
    <t>*TRD170300034</t>
  </si>
  <si>
    <t>*TRD170200036</t>
  </si>
  <si>
    <t>19/02/2027</t>
  </si>
  <si>
    <t>*TRD090200018</t>
  </si>
  <si>
    <t>*TRD030200026</t>
  </si>
  <si>
    <t>*TRD020300030</t>
  </si>
  <si>
    <t>04/03/2027</t>
  </si>
  <si>
    <t>*TRD310300036</t>
  </si>
  <si>
    <t>*TRD100300038</t>
  </si>
  <si>
    <t>*AFB131100011</t>
  </si>
  <si>
    <t>*AFB101100013</t>
  </si>
  <si>
    <t>*NEU271000022</t>
  </si>
  <si>
    <t>*AFB131100012</t>
  </si>
  <si>
    <t>*MOV070100057</t>
  </si>
  <si>
    <t>*MIL201100040</t>
  </si>
  <si>
    <t>*MIL241100031</t>
  </si>
  <si>
    <t>*MIL271000044</t>
  </si>
  <si>
    <t>*MIL271100049</t>
  </si>
  <si>
    <t>*MIL281000038</t>
  </si>
  <si>
    <t>*MIL301000044</t>
  </si>
  <si>
    <t>*MIL121100039</t>
  </si>
  <si>
    <t>*MIL131100042</t>
  </si>
  <si>
    <t>*MIL171100046</t>
  </si>
  <si>
    <t>*MIL171200040</t>
  </si>
  <si>
    <t>*MOV260100076</t>
  </si>
  <si>
    <t>*AFB250100004</t>
  </si>
  <si>
    <t>*INP141200060</t>
  </si>
  <si>
    <t>*INP171200068</t>
  </si>
  <si>
    <t>*NIO141200035</t>
  </si>
  <si>
    <t>*NIO141200028</t>
  </si>
  <si>
    <t>*NIO141200039</t>
  </si>
  <si>
    <t>*NIO141200038</t>
  </si>
  <si>
    <t>*NIO141200037</t>
  </si>
  <si>
    <t>*NIO141200036</t>
  </si>
  <si>
    <t>*NIO141200034</t>
  </si>
  <si>
    <t>*NIO141200033</t>
  </si>
  <si>
    <t>*NIO141200032</t>
  </si>
  <si>
    <t>*NIO141200031</t>
  </si>
  <si>
    <t>*NIO141200030</t>
  </si>
  <si>
    <t>*NIO141200027</t>
  </si>
  <si>
    <t>*NIO141200026</t>
  </si>
  <si>
    <t>*NIO141200025</t>
  </si>
  <si>
    <t>*NIO141200023</t>
  </si>
  <si>
    <t>*NIO141200022</t>
  </si>
  <si>
    <t>*AFB051100015</t>
  </si>
  <si>
    <t>*AFB151100012</t>
  </si>
  <si>
    <t>*AFB251100017</t>
  </si>
  <si>
    <t>*FID141200022</t>
  </si>
  <si>
    <t>*CVA101200027</t>
  </si>
  <si>
    <t>*AAR180200021</t>
  </si>
  <si>
    <t>22/02/2027</t>
  </si>
  <si>
    <t>*AAR180200022</t>
  </si>
  <si>
    <t>*AAR180200023</t>
  </si>
  <si>
    <t>*AAR180200024</t>
  </si>
  <si>
    <t>*ACI260200307</t>
  </si>
  <si>
    <t>02/03/2027</t>
  </si>
  <si>
    <t>*SOL040100009</t>
  </si>
  <si>
    <t>*SOL040100006</t>
  </si>
  <si>
    <t>*SOL040100007</t>
  </si>
  <si>
    <t>*SOL040100008</t>
  </si>
  <si>
    <t>*MAV031101536</t>
  </si>
  <si>
    <t>*MAV041101433</t>
  </si>
  <si>
    <t>*AAR071100017</t>
  </si>
  <si>
    <t>*MAV191201317</t>
  </si>
  <si>
    <t>*MAV160101299</t>
  </si>
  <si>
    <t>*MAV261201603</t>
  </si>
  <si>
    <t>*MAV251101826</t>
  </si>
  <si>
    <t>*MAV041101434</t>
  </si>
  <si>
    <t>*MAV031101538</t>
  </si>
  <si>
    <t>*MAV051101355</t>
  </si>
  <si>
    <t>*MAV061101318</t>
  </si>
  <si>
    <t>*MAV041101435</t>
  </si>
  <si>
    <t>*MAV071101500</t>
  </si>
  <si>
    <t>*MAV311001932</t>
  </si>
  <si>
    <t>*MAV231101020</t>
  </si>
  <si>
    <t>*MAV271101468</t>
  </si>
  <si>
    <t>*MAV091201544</t>
  </si>
  <si>
    <t>*MAV031201036</t>
  </si>
  <si>
    <t>*MAV011201585</t>
  </si>
  <si>
    <t>*MAV251101828</t>
  </si>
  <si>
    <t>*MAV021201348</t>
  </si>
  <si>
    <t>*MAV111101570</t>
  </si>
  <si>
    <t>*MAV131101407</t>
  </si>
  <si>
    <t>*MAV301102080</t>
  </si>
  <si>
    <t>*MAV261101283</t>
  </si>
  <si>
    <t>*MAV171101542</t>
  </si>
  <si>
    <t>*MAV241101455</t>
  </si>
  <si>
    <t>*MAV191101311</t>
  </si>
  <si>
    <t>*MAV291201300</t>
  </si>
  <si>
    <t>*MAV301201571</t>
  </si>
  <si>
    <t>*MAV281201037</t>
  </si>
  <si>
    <t>*MAV291101340</t>
  </si>
  <si>
    <t>*MAV081101264</t>
  </si>
  <si>
    <t>*MAV081101265</t>
  </si>
  <si>
    <t>*MAV161101260</t>
  </si>
  <si>
    <t>*MAV301102082</t>
  </si>
  <si>
    <t>*MAV020400539</t>
  </si>
  <si>
    <t>07/04/2027</t>
  </si>
  <si>
    <t>*MAV301102081</t>
  </si>
  <si>
    <t>*MAV151101722</t>
  </si>
  <si>
    <t>*MAV221101300</t>
  </si>
  <si>
    <t>*MAV220300963</t>
  </si>
  <si>
    <t>29/03/2027</t>
  </si>
  <si>
    <t>*MAV171101544</t>
  </si>
  <si>
    <t>*MAV021201349</t>
  </si>
  <si>
    <t>*MAV131101411</t>
  </si>
  <si>
    <t>*MAV211101219</t>
  </si>
  <si>
    <t>*MAV201101691</t>
  </si>
  <si>
    <t>*PRO201100035</t>
  </si>
  <si>
    <t>*PRO111200013</t>
  </si>
  <si>
    <t>*PRO271100012</t>
  </si>
  <si>
    <t>*MAV241101459</t>
  </si>
  <si>
    <t>*MAV241101460</t>
  </si>
  <si>
    <t>*MAV241101461</t>
  </si>
  <si>
    <t>BILOROOM</t>
  </si>
  <si>
    <t>2020 ESTRATEGIAS SRL</t>
  </si>
  <si>
    <t>AUTOVIA DEL MERCOSUR</t>
  </si>
  <si>
    <t>BARRIONUEVO ESTEBAN MANUEL</t>
  </si>
  <si>
    <t>CARLOS E ENRIQUEZ SA</t>
  </si>
  <si>
    <t>CENTRO BEBIDAS SRL</t>
  </si>
  <si>
    <t>ESEVERRI BARBARA ALEJANDRA</t>
  </si>
  <si>
    <t>JOSE LUIS GORBEÑA SRL</t>
  </si>
  <si>
    <t>LIBRA HERNAN JESUS</t>
  </si>
  <si>
    <t>MOREL VULLIEZ S A.</t>
  </si>
  <si>
    <t>POCHETTINO CRISTIAN MARIANO</t>
  </si>
  <si>
    <t>TEKUN SA</t>
  </si>
  <si>
    <t>WRIGHT FERNANDEZ URSINI SA</t>
  </si>
  <si>
    <t>RESCATES</t>
  </si>
  <si>
    <t>*CVA211200010</t>
  </si>
  <si>
    <t>*CVA211100018</t>
  </si>
  <si>
    <t>*CVA210300008</t>
  </si>
  <si>
    <t>*CVA200100029</t>
  </si>
  <si>
    <t>*CVA190200010</t>
  </si>
  <si>
    <t>23/02/2027</t>
  </si>
  <si>
    <t>*MOV031100057</t>
  </si>
  <si>
    <t>*MOV051100074</t>
  </si>
  <si>
    <t>*MOV041100071</t>
  </si>
  <si>
    <t>*MOV021100065</t>
  </si>
  <si>
    <t>*INP151200120</t>
  </si>
  <si>
    <t>*INP281100071</t>
  </si>
  <si>
    <t>*INP211100070</t>
  </si>
  <si>
    <t>*INP051200072</t>
  </si>
  <si>
    <t>*FTR071100013</t>
  </si>
  <si>
    <t>*FTR311000020</t>
  </si>
  <si>
    <t>*FTR201100028</t>
  </si>
  <si>
    <t>*FTR161100013</t>
  </si>
  <si>
    <t>*TRD271000035</t>
  </si>
  <si>
    <t>*TRD031100028</t>
  </si>
  <si>
    <t>*TRD101100037</t>
  </si>
  <si>
    <t>*SOL201200012</t>
  </si>
  <si>
    <t>*SOL271100007</t>
  </si>
  <si>
    <t>*CUY080100017</t>
  </si>
  <si>
    <t>*CUY181200043</t>
  </si>
  <si>
    <t>*CUY111200026</t>
  </si>
  <si>
    <t>*MAV111201384</t>
  </si>
  <si>
    <t>*MAV221201335</t>
  </si>
  <si>
    <t>*MAV281101558</t>
  </si>
  <si>
    <t>*MAV101201603</t>
  </si>
  <si>
    <t>*MAV101102040</t>
  </si>
  <si>
    <t>*MAV221101303</t>
  </si>
  <si>
    <t>*MAV271201294</t>
  </si>
  <si>
    <t>*MAV281101557</t>
  </si>
  <si>
    <t>*MAV201201689</t>
  </si>
  <si>
    <t>*MAV201101693</t>
  </si>
  <si>
    <t>*MAV180801978</t>
  </si>
  <si>
    <t>20/08/2027</t>
  </si>
  <si>
    <t>*MAV310802034</t>
  </si>
  <si>
    <t>02/09/2027</t>
  </si>
  <si>
    <t>*MAV040701256</t>
  </si>
  <si>
    <t>07/07/2027</t>
  </si>
  <si>
    <t>*MAV140802014</t>
  </si>
  <si>
    <t>*MAV150702299</t>
  </si>
  <si>
    <t>19/07/2027</t>
  </si>
  <si>
    <t>*MAV150801907</t>
  </si>
  <si>
    <t>*MAV170801088</t>
  </si>
  <si>
    <t>*MAV030801378</t>
  </si>
  <si>
    <t>05/08/2027</t>
  </si>
  <si>
    <t>*MAV180701508</t>
  </si>
  <si>
    <t>21/07/2027</t>
  </si>
  <si>
    <t>*MAV221201341</t>
  </si>
  <si>
    <t>*MAV171201103</t>
  </si>
  <si>
    <t>*MAV151201983</t>
  </si>
  <si>
    <t>*MAV101201604</t>
  </si>
  <si>
    <t>*MAV081200711</t>
  </si>
  <si>
    <t>*MAV031201044</t>
  </si>
  <si>
    <t>*MAV011201592</t>
  </si>
  <si>
    <t>*MAV241200596</t>
  </si>
  <si>
    <t>*MAV071101507</t>
  </si>
  <si>
    <t>*MAV221201342</t>
  </si>
  <si>
    <t>*MAV040100803</t>
  </si>
  <si>
    <t>*MAV031101547</t>
  </si>
  <si>
    <t>*MAV301001906</t>
  </si>
  <si>
    <t>*MAV021101170</t>
  </si>
  <si>
    <t>*MAV051101362</t>
  </si>
  <si>
    <t>*MAV200301774</t>
  </si>
  <si>
    <t>*MAV200301775</t>
  </si>
  <si>
    <t>*MAV200301776</t>
  </si>
  <si>
    <t>*MAV110301338</t>
  </si>
  <si>
    <t>*MAV180301345</t>
  </si>
  <si>
    <t>22/03/2027</t>
  </si>
  <si>
    <t>*MAV250301643</t>
  </si>
  <si>
    <t>*MAV310301582</t>
  </si>
  <si>
    <t>*MAV030201141</t>
  </si>
  <si>
    <t>*MAV040301189</t>
  </si>
  <si>
    <t>08/03/2027</t>
  </si>
  <si>
    <t>*MAV100201661</t>
  </si>
  <si>
    <t>*MAV140101244</t>
  </si>
  <si>
    <t>*MAV170201155</t>
  </si>
  <si>
    <t>*MAV210101162</t>
  </si>
  <si>
    <t>*MAV240201203</t>
  </si>
  <si>
    <t>*MAV280101078</t>
  </si>
  <si>
    <t>*MAV280201815</t>
  </si>
  <si>
    <t>*MAV310101577</t>
  </si>
  <si>
    <t>*MAV021101181</t>
  </si>
  <si>
    <t>*MAV101102045</t>
  </si>
  <si>
    <t>AGROTECNOLOGIA Y SERVICIOS SA</t>
  </si>
  <si>
    <t>PELLISA S.A.S.</t>
  </si>
  <si>
    <t>SILVIA LOMBARDI SRL</t>
  </si>
  <si>
    <t>COSECHAR SA</t>
  </si>
  <si>
    <t>COOPERATIVA AGROPECUARIA CORONEL BOGADO LIMITADA</t>
  </si>
  <si>
    <t>GARCIA BORGHES EDUARDO</t>
  </si>
  <si>
    <t>PAGANI GUILLERMO CARLOS</t>
  </si>
  <si>
    <t>PAJIN MAQUINARIAS SA</t>
  </si>
  <si>
    <t>AVAL FERTIL SGR</t>
  </si>
  <si>
    <t>AGRICOLA NOROESTE S R L</t>
  </si>
  <si>
    <t>*INP280200088</t>
  </si>
  <si>
    <t>*INP260200084</t>
  </si>
  <si>
    <t>*INP170300062</t>
  </si>
  <si>
    <t>*NIO121100033</t>
  </si>
  <si>
    <t>*NIO271000035</t>
  </si>
  <si>
    <t>*INP251100105</t>
  </si>
  <si>
    <t>*INP050200048</t>
  </si>
  <si>
    <t>*INP250100058</t>
  </si>
  <si>
    <t>*INP050100042</t>
  </si>
  <si>
    <t>*INP260200085</t>
  </si>
  <si>
    <t>*INP050300044</t>
  </si>
  <si>
    <t>09/03/2027</t>
  </si>
  <si>
    <t>*INP061100059</t>
  </si>
  <si>
    <t>*INP030300058</t>
  </si>
  <si>
    <t>*INP030300057</t>
  </si>
  <si>
    <t>*CVA301000021</t>
  </si>
  <si>
    <t>*MAV091201557</t>
  </si>
  <si>
    <t>*MAV091201556</t>
  </si>
  <si>
    <t>*MAV201101711</t>
  </si>
  <si>
    <t>*MAV301001923</t>
  </si>
  <si>
    <t>*MAV061101338</t>
  </si>
  <si>
    <t>*MAV091101175</t>
  </si>
  <si>
    <t>*MAV231101039</t>
  </si>
  <si>
    <t>*MAV221201349</t>
  </si>
  <si>
    <t>*MAV230101228</t>
  </si>
  <si>
    <t>*MAV101102059</t>
  </si>
  <si>
    <t>*MAV310301583</t>
  </si>
  <si>
    <t>*MAV260201117</t>
  </si>
  <si>
    <t>*MAV220300967</t>
  </si>
  <si>
    <t>*AFB171200014</t>
  </si>
  <si>
    <t>*AFB211200007</t>
  </si>
  <si>
    <t>*MAV190101280</t>
  </si>
  <si>
    <t>21/01/2027</t>
  </si>
  <si>
    <t>*MAV260101283</t>
  </si>
  <si>
    <t>*MAV120101571</t>
  </si>
  <si>
    <t>*MAV050101290</t>
  </si>
  <si>
    <t>*MAV220101216</t>
  </si>
  <si>
    <t>*MAV231101052</t>
  </si>
  <si>
    <t>*MAV190200967</t>
  </si>
  <si>
    <t>*MAV250100997</t>
  </si>
  <si>
    <t>*MAV260201119</t>
  </si>
  <si>
    <t>*MAV290101094</t>
  </si>
  <si>
    <t>*MAV180100988</t>
  </si>
  <si>
    <t>CALATRONI LEONARDO JAVIER</t>
  </si>
  <si>
    <t>*TRD021100027</t>
  </si>
  <si>
    <t>*TRD311000044</t>
  </si>
  <si>
    <t>*TRD011100021</t>
  </si>
  <si>
    <t>*NEU191100020</t>
  </si>
  <si>
    <t>*NEU241100028</t>
  </si>
  <si>
    <t>*NEU111100019</t>
  </si>
  <si>
    <t>*NEU051100034</t>
  </si>
  <si>
    <t>*FTR251100020</t>
  </si>
  <si>
    <t>*FTR051200011</t>
  </si>
  <si>
    <t>*FTR121200016</t>
  </si>
  <si>
    <t>*FTR181100022</t>
  </si>
  <si>
    <t>#MAV281060037</t>
  </si>
  <si>
    <t>*TRD221100028</t>
  </si>
  <si>
    <t>*TRD221200026</t>
  </si>
  <si>
    <t>*TRD231100029</t>
  </si>
  <si>
    <t>*TRD271000036</t>
  </si>
  <si>
    <t>*INP231100063</t>
  </si>
  <si>
    <t>*ARP041100244</t>
  </si>
  <si>
    <t>*ARP031100237</t>
  </si>
  <si>
    <t>*AAR101100038</t>
  </si>
  <si>
    <t>*AAR181100041</t>
  </si>
  <si>
    <t>*AAR171100015</t>
  </si>
  <si>
    <t>*AAR111100043</t>
  </si>
  <si>
    <t>*PRO151100021</t>
  </si>
  <si>
    <t>*PRO151200029</t>
  </si>
  <si>
    <t>*PRO211100015</t>
  </si>
  <si>
    <t>*PRO211100016</t>
  </si>
  <si>
    <t>*MAV130601373</t>
  </si>
  <si>
    <t>16/06/2027</t>
  </si>
  <si>
    <t>*MAV140201270</t>
  </si>
  <si>
    <t>*MAV140301241</t>
  </si>
  <si>
    <t>*MAV150401636</t>
  </si>
  <si>
    <t>*MAV150501968</t>
  </si>
  <si>
    <t>19/05/2027</t>
  </si>
  <si>
    <t>*MAV251200485</t>
  </si>
  <si>
    <t>*MAV281101566</t>
  </si>
  <si>
    <t>*MAV271001722</t>
  </si>
  <si>
    <t>*MAV291001488</t>
  </si>
  <si>
    <t>*MAV061101349</t>
  </si>
  <si>
    <t>*MAV091101188</t>
  </si>
  <si>
    <t>*MAV011201597</t>
  </si>
  <si>
    <t>*MAV271101500</t>
  </si>
  <si>
    <t>*MAV301001950</t>
  </si>
  <si>
    <t>*MAV301102118</t>
  </si>
  <si>
    <t>*MAV311001955</t>
  </si>
  <si>
    <t>*MAV311001956</t>
  </si>
  <si>
    <t>*MAV271001721</t>
  </si>
  <si>
    <t>*MAV291001491</t>
  </si>
  <si>
    <t>*MAV181101487</t>
  </si>
  <si>
    <t>*MAV201101735</t>
  </si>
  <si>
    <t>*MAV241101498</t>
  </si>
  <si>
    <t>*MAV061101353</t>
  </si>
  <si>
    <t>*MAV131101435</t>
  </si>
  <si>
    <t>*MAV271101505</t>
  </si>
  <si>
    <t>*MAV301001957</t>
  </si>
  <si>
    <t>*MAV061101354</t>
  </si>
  <si>
    <t>*MAV181101488</t>
  </si>
  <si>
    <t>*MAV281001650</t>
  </si>
  <si>
    <t>*MAV121201683</t>
  </si>
  <si>
    <t>*MAV201101734</t>
  </si>
  <si>
    <t>*MAV261201610</t>
  </si>
  <si>
    <t>*MAV281101572</t>
  </si>
  <si>
    <t>*MAV161101299</t>
  </si>
  <si>
    <t>*MAV191101355</t>
  </si>
  <si>
    <t>*MAV041101469</t>
  </si>
  <si>
    <t>*MAV141101630</t>
  </si>
  <si>
    <t>*MAV241101502</t>
  </si>
  <si>
    <t>*MAV211201095</t>
  </si>
  <si>
    <t>*MAV011201603</t>
  </si>
  <si>
    <t>CAPDEVILA MADERAS SRL</t>
  </si>
  <si>
    <t>Argenpymes S.G.R.</t>
  </si>
  <si>
    <t>IRIBERRI Y MOLINERO S A C I</t>
  </si>
  <si>
    <t>VALTOR SA</t>
  </si>
  <si>
    <t>BELLUNO BIM SRL</t>
  </si>
  <si>
    <t>HERGENRETHER WALTER DANIEL</t>
  </si>
  <si>
    <t>INDUSTRIAS EL TUCAN SRL</t>
  </si>
  <si>
    <t>MAIDANA ANDREA FLAVIA</t>
  </si>
  <si>
    <t>REZUC DANIEL ALEJANDRO</t>
  </si>
  <si>
    <t>SANTORO CHRISTIAN GABRIEL</t>
  </si>
  <si>
    <t>TUMINI JORGE CESAR</t>
  </si>
  <si>
    <t>*MOV041100073</t>
  </si>
  <si>
    <t>*MOV301000100</t>
  </si>
  <si>
    <t>*MOV271000087</t>
  </si>
  <si>
    <t>*MOV021100066</t>
  </si>
  <si>
    <t>*MOV031100058</t>
  </si>
  <si>
    <t>*FID241100044</t>
  </si>
  <si>
    <t>*FID241100045</t>
  </si>
  <si>
    <t>*INP211200044</t>
  </si>
  <si>
    <t>*INP211200045</t>
  </si>
  <si>
    <t>*INP211200046</t>
  </si>
  <si>
    <t>*INP211200048</t>
  </si>
  <si>
    <t>*INP211200047</t>
  </si>
  <si>
    <t>*INP211200050</t>
  </si>
  <si>
    <t>*INP211200049</t>
  </si>
  <si>
    <t>*MAV111201399</t>
  </si>
  <si>
    <t>*MAV101102086</t>
  </si>
  <si>
    <t>*MAV181101496</t>
  </si>
  <si>
    <t>*MAV181201367</t>
  </si>
  <si>
    <t>*MAV181101497</t>
  </si>
  <si>
    <t>*MAV181201366</t>
  </si>
  <si>
    <t>*MAV281001675</t>
  </si>
  <si>
    <t>*MAV121101604</t>
  </si>
  <si>
    <t>*MAV121201693</t>
  </si>
  <si>
    <t>*MAV121201694</t>
  </si>
  <si>
    <t>*MAV221201373</t>
  </si>
  <si>
    <t>*MAV281001681</t>
  </si>
  <si>
    <t>*MAV271101528</t>
  </si>
  <si>
    <t>*MAV271101527</t>
  </si>
  <si>
    <t>*MAV071101534</t>
  </si>
  <si>
    <t>*MAV171101587</t>
  </si>
  <si>
    <t>*MAV201201708</t>
  </si>
  <si>
    <t>*MAV271101530</t>
  </si>
  <si>
    <t>*MAV281001689</t>
  </si>
  <si>
    <t>*MAV190200972</t>
  </si>
  <si>
    <t>*MAV190301060</t>
  </si>
  <si>
    <t>*MAV240201211</t>
  </si>
  <si>
    <t>*MAV260301224</t>
  </si>
  <si>
    <t>*MAV300301219</t>
  </si>
  <si>
    <t>01/04/2027</t>
  </si>
  <si>
    <t>CENTRO DE DIAGNOSTICO ECOGRAFICO SRL</t>
  </si>
  <si>
    <t>KOMPASS SRL</t>
  </si>
  <si>
    <t>WTS DEL SUR SRL</t>
  </si>
  <si>
    <t>Límite</t>
  </si>
  <si>
    <t>Diferencia</t>
  </si>
  <si>
    <t>Máximo librador</t>
  </si>
  <si>
    <t>Conciliación Derivacion</t>
  </si>
  <si>
    <t>T+1 Ayer</t>
  </si>
  <si>
    <t>T+0 Hoy</t>
  </si>
  <si>
    <t>Liquidación</t>
  </si>
  <si>
    <t>Suma de Neto</t>
  </si>
  <si>
    <t>*MAV011201611</t>
  </si>
  <si>
    <t>*MAV011201612</t>
  </si>
  <si>
    <t>*MAV301102135</t>
  </si>
  <si>
    <t>*MAV101201629</t>
  </si>
  <si>
    <t>*MAV101102087</t>
  </si>
  <si>
    <t>*MAV021101220</t>
  </si>
  <si>
    <t>*MAV031101575</t>
  </si>
  <si>
    <t>*MAV091101216</t>
  </si>
  <si>
    <t>*MAV111101609</t>
  </si>
  <si>
    <t>*MAV121101606</t>
  </si>
  <si>
    <t>*MAV021201381</t>
  </si>
  <si>
    <t>*MAV241101517</t>
  </si>
  <si>
    <t>*MAV281201088</t>
  </si>
  <si>
    <t>*MAV290101099</t>
  </si>
  <si>
    <t>*MAV291201317</t>
  </si>
  <si>
    <t>*MAV291101351</t>
  </si>
  <si>
    <t>*MAV260101292</t>
  </si>
  <si>
    <t>*MAV271101537</t>
  </si>
  <si>
    <t>*MAV271201306</t>
  </si>
  <si>
    <t>*MAV061101395</t>
  </si>
  <si>
    <t>*MAV151202019</t>
  </si>
  <si>
    <t>*MAV251101894</t>
  </si>
  <si>
    <t>*MAV091201630</t>
  </si>
  <si>
    <t>*MAV101201633</t>
  </si>
  <si>
    <t>*MAV231101081</t>
  </si>
  <si>
    <t>*MAV231201411</t>
  </si>
  <si>
    <t>*MAV220101235</t>
  </si>
  <si>
    <t>*MAV111101617</t>
  </si>
  <si>
    <t>*MAV111201417</t>
  </si>
  <si>
    <t>*MAV121101610</t>
  </si>
  <si>
    <t>*MAV141201312</t>
  </si>
  <si>
    <t>*MAV271101544</t>
  </si>
  <si>
    <t>*MAV281001702</t>
  </si>
  <si>
    <t>*MAV291201327</t>
  </si>
  <si>
    <t>*MAV230101233</t>
  </si>
  <si>
    <t>*MAV240101222</t>
  </si>
  <si>
    <t>*MAV250101014</t>
  </si>
  <si>
    <t>*MAV260101294</t>
  </si>
  <si>
    <t>*MAV291001531</t>
  </si>
  <si>
    <t>*MAV301002041</t>
  </si>
  <si>
    <t>LIMPOL SA</t>
  </si>
  <si>
    <t>COOPERATIVA FEDERAL AGRICOLA GANADERA DE MARIA SUSANA LIMITADA</t>
  </si>
  <si>
    <t>JOMALI SRL</t>
  </si>
  <si>
    <t>CORRAL DE PIEDRA SA</t>
  </si>
  <si>
    <t>MADERAS TABAY SRL</t>
  </si>
  <si>
    <t>PEREZ RIVERA E HIJOS SRL</t>
  </si>
  <si>
    <t>*MAV031201074</t>
  </si>
  <si>
    <t>*MAV031201075</t>
  </si>
  <si>
    <t>*MAV131101482</t>
  </si>
  <si>
    <t>*MAV151202020</t>
  </si>
  <si>
    <t>*MAV201201711</t>
  </si>
  <si>
    <t>*MAV211101250</t>
  </si>
  <si>
    <t>*MAV301102159</t>
  </si>
  <si>
    <t>*MAV301102160</t>
  </si>
  <si>
    <t>*MAV301102161</t>
  </si>
  <si>
    <t>*MAV301102162</t>
  </si>
  <si>
    <t>*MAV051101398</t>
  </si>
  <si>
    <t>*MAV161101323</t>
  </si>
  <si>
    <t>*MAV041101488</t>
  </si>
  <si>
    <t>*MAV131101487</t>
  </si>
  <si>
    <t>*MAV141201314</t>
  </si>
  <si>
    <t>*MAV211201138</t>
  </si>
  <si>
    <t>*MAV281201108</t>
  </si>
  <si>
    <t>#UMV040170030</t>
  </si>
  <si>
    <t>Fut Rofex DLR012027</t>
  </si>
  <si>
    <t>*MAV300101447</t>
  </si>
  <si>
    <t>*MAV301102175</t>
  </si>
  <si>
    <t>*MAV301201621</t>
  </si>
  <si>
    <t>*MAV250201200</t>
  </si>
  <si>
    <t>01/03/2027</t>
  </si>
  <si>
    <t>*MAV110201016</t>
  </si>
  <si>
    <t>*MAV291101358</t>
  </si>
  <si>
    <t>*MAV291201329</t>
  </si>
  <si>
    <t>*MAV240201213</t>
  </si>
  <si>
    <t>*MAV240101223</t>
  </si>
  <si>
    <t>*MAV241101532</t>
  </si>
  <si>
    <t>*MAV241200613</t>
  </si>
  <si>
    <t>*MAV050201077</t>
  </si>
  <si>
    <t>*MAV030201146</t>
  </si>
  <si>
    <t>*MAV030100879</t>
  </si>
  <si>
    <t>*MAV031201081</t>
  </si>
  <si>
    <t>*MAV260201125</t>
  </si>
  <si>
    <t>*MAV270101325</t>
  </si>
  <si>
    <t>*MAV281101590</t>
  </si>
  <si>
    <t>*MAV281201099</t>
  </si>
  <si>
    <t>*MAV010100465</t>
  </si>
  <si>
    <t>*MAV181101512</t>
  </si>
  <si>
    <t>*MAV231201416</t>
  </si>
  <si>
    <t>*MAV251101907</t>
  </si>
  <si>
    <t>*MAV311001979</t>
  </si>
  <si>
    <t>*MAV101201769</t>
  </si>
  <si>
    <t>*MAV111101621</t>
  </si>
  <si>
    <t>*MAV171201143</t>
  </si>
  <si>
    <t>*MAV090101217</t>
  </si>
  <si>
    <t>*MAV111201420</t>
  </si>
  <si>
    <t>*MAV311201205</t>
  </si>
  <si>
    <t>*MAV291201331</t>
  </si>
  <si>
    <t>MAVR251100097</t>
  </si>
  <si>
    <t>MAVR251200044</t>
  </si>
  <si>
    <t>MAVR250100079</t>
  </si>
  <si>
    <t>MAVR161200156</t>
  </si>
  <si>
    <t>*MAV201201720</t>
  </si>
  <si>
    <t>*MAV241101535</t>
  </si>
  <si>
    <t>*MAV271101550</t>
  </si>
  <si>
    <t>*MAV271201309</t>
  </si>
  <si>
    <t>*MAV291001543</t>
  </si>
  <si>
    <t>*MAV281001720</t>
  </si>
  <si>
    <t>*MAV091101228</t>
  </si>
  <si>
    <t>*MAV161101329</t>
  </si>
  <si>
    <t>*MAV231101090</t>
  </si>
  <si>
    <t>*MAV301102194</t>
  </si>
  <si>
    <t>*MAV280101093</t>
  </si>
  <si>
    <t>*MAV291101365</t>
  </si>
  <si>
    <t>*MAV291201332</t>
  </si>
  <si>
    <t>*MAV301002081</t>
  </si>
  <si>
    <t>*MAV050101300</t>
  </si>
  <si>
    <t>*MAV050201078</t>
  </si>
  <si>
    <t>*MAV051201488</t>
  </si>
  <si>
    <t>*MAV250101017</t>
  </si>
  <si>
    <t>*MAV251101916</t>
  </si>
  <si>
    <t>*MAV251200503</t>
  </si>
  <si>
    <t>*MAV070100990</t>
  </si>
  <si>
    <t>*MAV110100998</t>
  </si>
  <si>
    <t>*MAV130101320</t>
  </si>
  <si>
    <t>*MAV150101703</t>
  </si>
  <si>
    <t>*MAV190101293</t>
  </si>
  <si>
    <t>*MAV210101182</t>
  </si>
  <si>
    <t>*MAV250101018</t>
  </si>
  <si>
    <t>*MAV270101327</t>
  </si>
  <si>
    <t>*MAV021101248</t>
  </si>
  <si>
    <t>*MAV041101500</t>
  </si>
  <si>
    <t>*MAV131101499</t>
  </si>
  <si>
    <t>*MAV070100991</t>
  </si>
  <si>
    <t>*MAV301201627</t>
  </si>
  <si>
    <t>*MAV220101237</t>
  </si>
  <si>
    <t>*MAV260101300</t>
  </si>
  <si>
    <t>*MAV270101328</t>
  </si>
  <si>
    <t>*MAV280101097</t>
  </si>
  <si>
    <t>*MAV031201088</t>
  </si>
  <si>
    <t>*MAV271001795</t>
  </si>
  <si>
    <t>*MAV271001796</t>
  </si>
  <si>
    <t>*MAV271001797</t>
  </si>
  <si>
    <t>*MAV140401424</t>
  </si>
  <si>
    <t>16/04/2027</t>
  </si>
  <si>
    <t>*MAV140101268</t>
  </si>
  <si>
    <t>*MAV040100843</t>
  </si>
  <si>
    <t>*MAV071200993</t>
  </si>
  <si>
    <t>*MAV071200994</t>
  </si>
  <si>
    <t>*MAV101201785</t>
  </si>
  <si>
    <t>*MAV101201786</t>
  </si>
  <si>
    <t>*MAV151202044</t>
  </si>
  <si>
    <t>*MAV161101346</t>
  </si>
  <si>
    <t>*MAV171201149</t>
  </si>
  <si>
    <t>*MAV171201150</t>
  </si>
  <si>
    <t>*MAV191101406</t>
  </si>
  <si>
    <t>*MAV221201390</t>
  </si>
  <si>
    <t>*MAV241101546</t>
  </si>
  <si>
    <t>*MAV241200620</t>
  </si>
  <si>
    <t>*MAV261101364</t>
  </si>
  <si>
    <t>*MAV311201218</t>
  </si>
  <si>
    <t>*MAV060101289</t>
  </si>
  <si>
    <t>*MAV110101000</t>
  </si>
  <si>
    <t>*MAV031201090</t>
  </si>
  <si>
    <t>*MAV080101220</t>
  </si>
  <si>
    <t>*MAV291201336</t>
  </si>
  <si>
    <t>*MAV020101109</t>
  </si>
  <si>
    <t>*MAV170101263</t>
  </si>
  <si>
    <t>*MAV201201724</t>
  </si>
  <si>
    <t>*MAV010100469</t>
  </si>
  <si>
    <t>*MAV011201651</t>
  </si>
  <si>
    <t>#UMV010270020</t>
  </si>
  <si>
    <t>BERARDO AGROPECUARIA SRL</t>
  </si>
  <si>
    <t>LARRAURI JOSE ANTONIO</t>
  </si>
  <si>
    <t>AGROSER SRL</t>
  </si>
  <si>
    <t>ASOCIACION COOPERATIVA TRANSPORTADORA DE GAS DEL SUR DE CORDOBA LTDA</t>
  </si>
  <si>
    <t>COMPAÑIA DESARROLLADORA DE INMUEBLES SA</t>
  </si>
  <si>
    <t>ESTACION EL BAJO SA</t>
  </si>
  <si>
    <t>LOS ARMINIOS SAS</t>
  </si>
  <si>
    <t>SALAZAR ANGEL HUMBERTO</t>
  </si>
  <si>
    <t>MULTITRAVEL SA</t>
  </si>
  <si>
    <t>GOODENERGY SRL</t>
  </si>
  <si>
    <t>ASSERCA SRL</t>
  </si>
  <si>
    <t>ALIMENTOS CASEROS SA</t>
  </si>
  <si>
    <t>CARNES DE HACIENDA SAS</t>
  </si>
  <si>
    <t>*MAV071200988</t>
  </si>
  <si>
    <t>*MAV100101381</t>
  </si>
  <si>
    <t>*MAV311201212</t>
  </si>
  <si>
    <t>*MAV010100467</t>
  </si>
  <si>
    <t>*MAV151202049</t>
  </si>
  <si>
    <t>*MAV021101283</t>
  </si>
  <si>
    <t>*MAV051101425</t>
  </si>
  <si>
    <t>*MAV101102128</t>
  </si>
  <si>
    <t>*MAV161101371</t>
  </si>
  <si>
    <t>*MAV191101411</t>
  </si>
  <si>
    <t>*CRE150200146</t>
  </si>
  <si>
    <t>*CRE190200113</t>
  </si>
  <si>
    <t>*CRE220200099</t>
  </si>
  <si>
    <t>*CRE260200122</t>
  </si>
  <si>
    <t>*MAV101201791</t>
  </si>
  <si>
    <t>*MAV111201453</t>
  </si>
  <si>
    <t>*MAV091201649</t>
  </si>
  <si>
    <t>*MAV271201314</t>
  </si>
  <si>
    <t>*MAV281001750</t>
  </si>
  <si>
    <t>*MAV281101602</t>
  </si>
  <si>
    <t>*MAV151202059</t>
  </si>
  <si>
    <t>*MAV171101626</t>
  </si>
  <si>
    <t>*MAV221201397</t>
  </si>
  <si>
    <t>*MAV020201143</t>
  </si>
  <si>
    <t>04/02/2027</t>
  </si>
  <si>
    <t>*MAV030201147</t>
  </si>
  <si>
    <t>*MAV040200888</t>
  </si>
  <si>
    <t>*MAV050201082</t>
  </si>
  <si>
    <t>*MAV301201639</t>
  </si>
  <si>
    <t>*MAV011201660</t>
  </si>
  <si>
    <t>*MAV021201406</t>
  </si>
  <si>
    <t>*MAV281201132</t>
  </si>
  <si>
    <t>*MAV291201344</t>
  </si>
  <si>
    <t>*MAV080101230</t>
  </si>
  <si>
    <t>*MAV111101672</t>
  </si>
  <si>
    <t>*MAV241101553</t>
  </si>
  <si>
    <t>*MAV261101393</t>
  </si>
  <si>
    <t>*MAV301102243</t>
  </si>
  <si>
    <t>*MAV301102241</t>
  </si>
  <si>
    <t>*MAV091101265</t>
  </si>
  <si>
    <t>*MAV281101603</t>
  </si>
  <si>
    <t>*MAV101102133</t>
  </si>
  <si>
    <t>*MAV280201830</t>
  </si>
  <si>
    <t>*MAV301102242</t>
  </si>
  <si>
    <t>*MAV310101589</t>
  </si>
  <si>
    <t>*MAV310301591</t>
  </si>
  <si>
    <t>*MAV311201222</t>
  </si>
  <si>
    <t>*MAV271001816</t>
  </si>
  <si>
    <t>*MAV311002021</t>
  </si>
  <si>
    <t>*MAV061101427</t>
  </si>
  <si>
    <t>*MAV040100850</t>
  </si>
  <si>
    <t>*MAV071101555</t>
  </si>
  <si>
    <t>*MAV071101556</t>
  </si>
  <si>
    <t>*MAV311002020</t>
  </si>
  <si>
    <t>*MAV271101575</t>
  </si>
  <si>
    <t>*MAV101102132</t>
  </si>
  <si>
    <t>*MAV211201152</t>
  </si>
  <si>
    <t>*MAV281201133</t>
  </si>
  <si>
    <t>GODOY HECTOR OMAR</t>
  </si>
  <si>
    <t>RIOS GUSTAVO FABIAN</t>
  </si>
  <si>
    <t>DON DELFINO SA</t>
  </si>
  <si>
    <t>SERVICIOS L&amp;A SRL</t>
  </si>
  <si>
    <t>STOCK DE CARNES</t>
  </si>
  <si>
    <t>GUERRERO NATALIA ANDREA</t>
  </si>
  <si>
    <t>2GARETTO SRL</t>
  </si>
  <si>
    <t>ALDANES BAHIA SRL</t>
  </si>
  <si>
    <t>BRIDAS RUFINO SA</t>
  </si>
  <si>
    <t>CASTEL BARONIA SRL</t>
  </si>
  <si>
    <t>CONYLOG SRL</t>
  </si>
  <si>
    <t>DEL SOL CONSTRUCTORA SADSCONSA PARQUE REGIONAL SUR UT</t>
  </si>
  <si>
    <t>DIEMINGER DAVINA DEL CARMEN ELIZABETH</t>
  </si>
  <si>
    <t>GRUPO SILAMAC SA</t>
  </si>
  <si>
    <t>KONEVKY MARINA GABRIELA</t>
  </si>
  <si>
    <t>PINTURAS SAN AGUSTIN SRL</t>
  </si>
  <si>
    <t>PINTURERIAS LAZARO SA</t>
  </si>
  <si>
    <t>RUBBO GUSTAVO ALEJANDRO MARIO</t>
  </si>
  <si>
    <t>SEGOVIA DIEGO HERNAN</t>
  </si>
  <si>
    <t>VENANZONI MIGUEL PACIFICO</t>
  </si>
  <si>
    <t>CRECER S.G.R.</t>
  </si>
  <si>
    <t>PLASTICOS IPAR S.R.L.</t>
  </si>
  <si>
    <t>Operación cheques</t>
  </si>
  <si>
    <t>Fut Rofex DLR042027</t>
  </si>
  <si>
    <t>*MAV051101439</t>
  </si>
  <si>
    <t>*MAV101102143</t>
  </si>
  <si>
    <t>*MAV121101650</t>
  </si>
  <si>
    <t>*MAV011201670</t>
  </si>
  <si>
    <t>*MAV010200862</t>
  </si>
  <si>
    <t>*MAV040100853</t>
  </si>
  <si>
    <t>*MAV080101233</t>
  </si>
  <si>
    <t>*MAV120201196</t>
  </si>
  <si>
    <t>*MAV220101249</t>
  </si>
  <si>
    <t>*MAV260201131</t>
  </si>
  <si>
    <t>*MAV111201466</t>
  </si>
  <si>
    <t>*MAV131101523</t>
  </si>
  <si>
    <t>*MAV251200520</t>
  </si>
  <si>
    <t>*MAV271101577</t>
  </si>
  <si>
    <t>*MAV011101363</t>
  </si>
  <si>
    <t>*MAV101201796</t>
  </si>
  <si>
    <t>*MAV080200779</t>
  </si>
  <si>
    <t>*MAV091101285</t>
  </si>
  <si>
    <t>*MAV080101234</t>
  </si>
  <si>
    <t>*MAV011101364</t>
  </si>
  <si>
    <t>*MAV280201831</t>
  </si>
  <si>
    <t>*MAV290101121</t>
  </si>
  <si>
    <t>*MAV291001589</t>
  </si>
  <si>
    <t>*MAV291101374</t>
  </si>
  <si>
    <t>*MAV291201346</t>
  </si>
  <si>
    <t>*MAV271101576</t>
  </si>
  <si>
    <t>*MAV280101102</t>
  </si>
  <si>
    <t>*MAV281001768</t>
  </si>
  <si>
    <t>*MAV281201142</t>
  </si>
  <si>
    <t>*MAV301102247</t>
  </si>
  <si>
    <t>*MAV311002023</t>
  </si>
  <si>
    <t>*MAV290101120</t>
  </si>
  <si>
    <t>*MAV301002154</t>
  </si>
  <si>
    <t>*MAV301102248</t>
  </si>
  <si>
    <t>*MAV301201640</t>
  </si>
  <si>
    <t>*MAV101102164</t>
  </si>
  <si>
    <t>*MAV080101235</t>
  </si>
  <si>
    <t>*MAV080200780</t>
  </si>
  <si>
    <t>*MAV081200748</t>
  </si>
  <si>
    <t>*MAV091201669</t>
  </si>
  <si>
    <t>*MAV021201420</t>
  </si>
  <si>
    <t>*MAV071201008</t>
  </si>
  <si>
    <t>*MAV091201668</t>
  </si>
  <si>
    <t>*MAV021201421</t>
  </si>
  <si>
    <t>*MAV021201422</t>
  </si>
  <si>
    <t>*MAV021201423</t>
  </si>
  <si>
    <t>*MAV021201424</t>
  </si>
  <si>
    <t>*MAV021201425</t>
  </si>
  <si>
    <t>*MAV021201426</t>
  </si>
  <si>
    <t>*MAV021201427</t>
  </si>
  <si>
    <t>*MAV041201214</t>
  </si>
  <si>
    <t>*MAV141201359</t>
  </si>
  <si>
    <t>*MAV131101548</t>
  </si>
  <si>
    <t>*MAV211201162</t>
  </si>
  <si>
    <t>*MAV131101550</t>
  </si>
  <si>
    <t>#UMV030570015</t>
  </si>
  <si>
    <t>05/05/2027</t>
  </si>
  <si>
    <t>NELIO RAUL PIGNATTA Y CIA SA</t>
  </si>
  <si>
    <t>GOMEZ ROCO Y CIA SRL</t>
  </si>
  <si>
    <t>ARINCO SA</t>
  </si>
  <si>
    <t>BAIRES QUIMICA SA</t>
  </si>
  <si>
    <t>LUBRE SRL</t>
  </si>
  <si>
    <t>MAIOCCO CEREALES SA</t>
  </si>
  <si>
    <t>FIDEICOMISO DORREGO Y LIBERTADOR</t>
  </si>
  <si>
    <t>ENERGIAS PATAGONICAS SRL</t>
  </si>
  <si>
    <t>C&amp;E CONSTRUCCIONES SA</t>
  </si>
  <si>
    <t>SNAP ARGENTINA S.R.L.</t>
  </si>
  <si>
    <t>Enero</t>
  </si>
  <si>
    <t>Febrero</t>
  </si>
  <si>
    <t>Marzo</t>
  </si>
  <si>
    <t>Abril</t>
  </si>
  <si>
    <t>*MAV290300925</t>
  </si>
  <si>
    <t>*MAV010200861</t>
  </si>
  <si>
    <t>*MAV010100478</t>
  </si>
  <si>
    <t>*MAV011101362</t>
  </si>
  <si>
    <t>*MAV011201671</t>
  </si>
  <si>
    <t>*MAV311002042</t>
  </si>
  <si>
    <t>*MAV311201249</t>
  </si>
  <si>
    <t>*MAV300101457</t>
  </si>
  <si>
    <t>*MAV301102281</t>
  </si>
  <si>
    <t>*ARP040500187</t>
  </si>
  <si>
    <t>06/05/2027</t>
  </si>
  <si>
    <t>*ARP110500195</t>
  </si>
  <si>
    <t>13/05/2027</t>
  </si>
  <si>
    <t>*ARP180500231</t>
  </si>
  <si>
    <t>20/05/2027</t>
  </si>
  <si>
    <t>*ARP250500152</t>
  </si>
  <si>
    <t>28/05/2027</t>
  </si>
  <si>
    <t>*MAV031101679</t>
  </si>
  <si>
    <t>*MAV041101561</t>
  </si>
  <si>
    <t>*MAV111101700</t>
  </si>
  <si>
    <t>*MAV140101283</t>
  </si>
  <si>
    <t>*MAV150101734</t>
  </si>
  <si>
    <t>*MAV190101303</t>
  </si>
  <si>
    <t>*MAV200101820</t>
  </si>
  <si>
    <t>*MAV210101192</t>
  </si>
  <si>
    <t>*MAV220101260</t>
  </si>
  <si>
    <t>*MAV260101318</t>
  </si>
  <si>
    <t>*MAV270101335</t>
  </si>
  <si>
    <t>*MAV280101106</t>
  </si>
  <si>
    <t>*MAV290101125</t>
  </si>
  <si>
    <t>*MAV301002188</t>
  </si>
  <si>
    <t>*MAV271001835</t>
  </si>
  <si>
    <t>*MAV291001600</t>
  </si>
  <si>
    <t>*MAV281001785</t>
  </si>
  <si>
    <t>*MAV191101442</t>
  </si>
  <si>
    <t>DISTRIBUIDORA HERMAR S R L</t>
  </si>
  <si>
    <t>DE DOMINGO FRANCISCO JORGE ESTEBAN</t>
  </si>
  <si>
    <t>CORTONA Y PAUTASSO SA</t>
  </si>
  <si>
    <t>EDYCO SRL</t>
  </si>
  <si>
    <t>ZUBIRI HECTOR ARIEL</t>
  </si>
  <si>
    <t>RED OROZA MULTIMARCA SA</t>
  </si>
  <si>
    <t>PETROGUAZZ SA</t>
  </si>
  <si>
    <t>*MAV250601205</t>
  </si>
  <si>
    <t>*MAV281001789</t>
  </si>
  <si>
    <t>*MAV071201025</t>
  </si>
  <si>
    <t>*MAV061101469</t>
  </si>
  <si>
    <t>*MAV031101699</t>
  </si>
  <si>
    <t>*MAV041101578</t>
  </si>
  <si>
    <t>*MAV061101471</t>
  </si>
  <si>
    <t>*MAV111101712</t>
  </si>
  <si>
    <t>*MAV121101698</t>
  </si>
  <si>
    <t>*MAV170702182</t>
  </si>
  <si>
    <t>*MAV021001740</t>
  </si>
  <si>
    <t>06/10/2027</t>
  </si>
  <si>
    <t>%CP1011100002</t>
  </si>
  <si>
    <t>*MAV050101330</t>
  </si>
  <si>
    <t>*MAV231101132</t>
  </si>
  <si>
    <t>*MAV241101586</t>
  </si>
  <si>
    <t>*MAV251101960</t>
  </si>
  <si>
    <t>*MAV261101411</t>
  </si>
  <si>
    <t>*MAV041201245</t>
  </si>
  <si>
    <t>*MAV241001576</t>
  </si>
  <si>
    <t>*MAV101201827</t>
  </si>
  <si>
    <t>*MAV301201668</t>
  </si>
  <si>
    <t>*MAV301102317</t>
  </si>
  <si>
    <t>*MAV201101871</t>
  </si>
  <si>
    <t>C P S COMUNICACIONES S.A.U.</t>
  </si>
  <si>
    <t>MINERA ZLATO SRL</t>
  </si>
  <si>
    <t>R51 MH AGRO Y CIA SA</t>
  </si>
  <si>
    <t>WALTER ELLENA SA</t>
  </si>
  <si>
    <t>CABAÑA LA VERDE SA</t>
  </si>
  <si>
    <t>TRAFFO MONTAJES ELECTROMECANICOS SAS</t>
  </si>
  <si>
    <t>Pago de honorarios ACDI</t>
  </si>
  <si>
    <t>*MAV181101587</t>
  </si>
  <si>
    <t>*MAV101102253</t>
  </si>
  <si>
    <t>*MAV050101333</t>
  </si>
  <si>
    <t>*MAV060101314</t>
  </si>
  <si>
    <t>*MAV101201838</t>
  </si>
  <si>
    <t>*MAV091201709</t>
  </si>
  <si>
    <t>*MAV031201142</t>
  </si>
  <si>
    <t>*MAV061201210</t>
  </si>
  <si>
    <t>*MAV261101416</t>
  </si>
  <si>
    <t>*MAV301102357</t>
  </si>
  <si>
    <t>*MAV311002075</t>
  </si>
  <si>
    <t>*MAV311002076</t>
  </si>
  <si>
    <t>*MAV311002077</t>
  </si>
  <si>
    <t>*MAV191101453</t>
  </si>
  <si>
    <t>*MAV101201837</t>
  </si>
  <si>
    <t>*MAV021201458</t>
  </si>
  <si>
    <t>*MAV311002082</t>
  </si>
  <si>
    <t>*MAV241200640</t>
  </si>
  <si>
    <t>*MAV271101613</t>
  </si>
  <si>
    <t>*CRE070100104</t>
  </si>
  <si>
    <t>*CRE071200133</t>
  </si>
  <si>
    <t>*CRE071100161</t>
  </si>
  <si>
    <t>*CRE041200121</t>
  </si>
  <si>
    <t>*CRE061200147</t>
  </si>
  <si>
    <t>*CRE101200202</t>
  </si>
  <si>
    <t>*CRE200100189</t>
  </si>
  <si>
    <t>*CRE261200178</t>
  </si>
  <si>
    <t>*CRE280200257</t>
  </si>
  <si>
    <t>*CRE291100139</t>
  </si>
  <si>
    <t>*CRE300100160</t>
  </si>
  <si>
    <t>*CRE301100414</t>
  </si>
  <si>
    <t>*CRE301100415</t>
  </si>
  <si>
    <t>*CRE301100416</t>
  </si>
  <si>
    <t>*CRE301100417</t>
  </si>
  <si>
    <t>*CRE031100145</t>
  </si>
  <si>
    <t>*CRE051100156</t>
  </si>
  <si>
    <t>*CRE051100157</t>
  </si>
  <si>
    <t>*CRE051100158</t>
  </si>
  <si>
    <t>*CRE061100120</t>
  </si>
  <si>
    <t>*CRE061100121</t>
  </si>
  <si>
    <t>*CRE071100159</t>
  </si>
  <si>
    <t>*CRE071100160</t>
  </si>
  <si>
    <t>*CRE071100162</t>
  </si>
  <si>
    <t>*CRE101100206</t>
  </si>
  <si>
    <t>*CRE241100166</t>
  </si>
  <si>
    <t>*CRE241100167</t>
  </si>
  <si>
    <t>*CRE251100191</t>
  </si>
  <si>
    <t>*CRE271100172</t>
  </si>
  <si>
    <t>*CRE291100140</t>
  </si>
  <si>
    <t>*CRE021100111</t>
  </si>
  <si>
    <t>*CRE021100112</t>
  </si>
  <si>
    <t>*CRE021100113</t>
  </si>
  <si>
    <t>*CRE021100114</t>
  </si>
  <si>
    <t>*CRE021100115</t>
  </si>
  <si>
    <t>*CRE051100159</t>
  </si>
  <si>
    <t>*CRE291000166</t>
  </si>
  <si>
    <t>*CRE301000292</t>
  </si>
  <si>
    <t>*CRE301000293</t>
  </si>
  <si>
    <t>*CRE311000386</t>
  </si>
  <si>
    <t>BAHIA GRANDE LN SA</t>
  </si>
  <si>
    <t>PORPAL3 SAS</t>
  </si>
  <si>
    <t>LUJAN LOURDES ANALIA</t>
  </si>
  <si>
    <t>ATERMICOS SRL</t>
  </si>
  <si>
    <t>COMERCIAL TERRA SA</t>
  </si>
  <si>
    <t>ROJAS VANINA GRISEL</t>
  </si>
  <si>
    <t>CERAS SAN JUAN SOC ANONIMA</t>
  </si>
  <si>
    <t>*MAV080101265</t>
  </si>
  <si>
    <t>*MAV021101389</t>
  </si>
  <si>
    <t>#MAV231160042</t>
  </si>
  <si>
    <t>*MAV031101743</t>
  </si>
  <si>
    <t>*MAV311002093</t>
  </si>
  <si>
    <t>*MAV011101401</t>
  </si>
  <si>
    <t>*MAV311002092</t>
  </si>
  <si>
    <t>*MAV311002091</t>
  </si>
  <si>
    <t>*MAV091101400</t>
  </si>
  <si>
    <t>*MAV121101732</t>
  </si>
  <si>
    <t>*MAV171201196</t>
  </si>
  <si>
    <t>*MAV181201482</t>
  </si>
  <si>
    <t>*MAV021101384</t>
  </si>
  <si>
    <t>AGRO CONECTA SAS</t>
  </si>
  <si>
    <t>AGROPECUARIA ROSA AMARILLA SA</t>
  </si>
  <si>
    <t>SAN JACINTO SAAGI</t>
  </si>
  <si>
    <t>DESVIO FUNKE SRL</t>
  </si>
  <si>
    <t>SURSEM SOCIEDAD ANONIMA</t>
  </si>
  <si>
    <t>SUSANA SUAREZ E HIJOS SOCIEDAD DEL CAPITULO I SECCION IV DE LA LGS</t>
  </si>
  <si>
    <t>*MAV211201185</t>
  </si>
  <si>
    <t>*MAV181201484</t>
  </si>
  <si>
    <t>*MAV040100879</t>
  </si>
  <si>
    <t>*MAV131101629</t>
  </si>
  <si>
    <t>*MAV171101691</t>
  </si>
  <si>
    <t>*MAV061101527</t>
  </si>
  <si>
    <t>*MAV201101912</t>
  </si>
  <si>
    <t>*MAV101201873</t>
  </si>
  <si>
    <t>*MAV301102426</t>
  </si>
  <si>
    <t>*MAV071101629</t>
  </si>
  <si>
    <t>*MAV060201221</t>
  </si>
  <si>
    <t>*MAV061101529</t>
  </si>
  <si>
    <t>*MAV281001824</t>
  </si>
  <si>
    <t>*MAV281101650</t>
  </si>
  <si>
    <t>*MAV151101817</t>
  </si>
  <si>
    <t>#MAV091160057</t>
  </si>
  <si>
    <t>*MAV100201693</t>
  </si>
  <si>
    <t>*MAV170201193</t>
  </si>
  <si>
    <t>*MAV240201246</t>
  </si>
  <si>
    <t>*MAV060101324</t>
  </si>
  <si>
    <t>*MAV080101275</t>
  </si>
  <si>
    <t>*MAV290101139</t>
  </si>
  <si>
    <t>*MAV020201176</t>
  </si>
  <si>
    <t>*MAV030201161</t>
  </si>
  <si>
    <t>*MAV050201101</t>
  </si>
  <si>
    <t>*MAV150201179</t>
  </si>
  <si>
    <t>*MAV220101277</t>
  </si>
  <si>
    <t>*MAV260101336</t>
  </si>
  <si>
    <t>*MAV050101351</t>
  </si>
  <si>
    <t>*MAV120101654</t>
  </si>
  <si>
    <t>*MAV190101317</t>
  </si>
  <si>
    <t>*MAV260201138</t>
  </si>
  <si>
    <t>*MAV201201750</t>
  </si>
  <si>
    <t>*MAV161101507</t>
  </si>
  <si>
    <t>*MAV081200779</t>
  </si>
  <si>
    <t>*MAV101102302</t>
  </si>
  <si>
    <t>*MAV131201243</t>
  </si>
  <si>
    <t>*MAV190101318</t>
  </si>
  <si>
    <t>*MAV231201488</t>
  </si>
  <si>
    <t>*MAV051101557</t>
  </si>
  <si>
    <t>*MAV231201489</t>
  </si>
  <si>
    <t>*MAV211201195</t>
  </si>
  <si>
    <t>*MAV221201446</t>
  </si>
  <si>
    <t>%AUU291000001</t>
  </si>
  <si>
    <t>*MAV140101307</t>
  </si>
  <si>
    <t>*MAV140101308</t>
  </si>
  <si>
    <t>*MAV141201458</t>
  </si>
  <si>
    <t>*MAV141201459</t>
  </si>
  <si>
    <t>*MAV150201182</t>
  </si>
  <si>
    <t>*MAV150201183</t>
  </si>
  <si>
    <t>*MAV140101309</t>
  </si>
  <si>
    <t>*MAV140101310</t>
  </si>
  <si>
    <t>*MAV141201460</t>
  </si>
  <si>
    <t>*MAV141201461</t>
  </si>
  <si>
    <t>*MAV150201184</t>
  </si>
  <si>
    <t>*MAV150201185</t>
  </si>
  <si>
    <t>*MAV161101508</t>
  </si>
  <si>
    <t>*MAV161101509</t>
  </si>
  <si>
    <t>*MAV161101510</t>
  </si>
  <si>
    <t>*MAV161101511</t>
  </si>
  <si>
    <t>*MAV211201197</t>
  </si>
  <si>
    <t>*MAV211201196</t>
  </si>
  <si>
    <t>CONSTRUCCIONES &amp; MADERAS SRL</t>
  </si>
  <si>
    <t>TETRA DE ARGENTINA S.R.L.</t>
  </si>
  <si>
    <t>LA MORALEJA S.A.</t>
  </si>
  <si>
    <t>BULECEVICH SRL</t>
  </si>
  <si>
    <t>DELYAR SA</t>
  </si>
  <si>
    <t>LABORATORIOS PEYTE SA</t>
  </si>
  <si>
    <t>AGRO EMCODI SA</t>
  </si>
  <si>
    <t>GRANJAS DORADAS SRL</t>
  </si>
  <si>
    <t>CAROSELLA Y BARBA SA</t>
  </si>
  <si>
    <t>RODRIGUEZ ELIO MATIAS</t>
  </si>
  <si>
    <t>REDUCTO PATAGONICO SRL</t>
  </si>
  <si>
    <t>LOS LALO SA</t>
  </si>
  <si>
    <t>MENDOZA TEL CAR SA</t>
  </si>
  <si>
    <t>TECNO FUNDACIONES SRL</t>
  </si>
  <si>
    <t>SOUBELET ROBERTO MIGUEL</t>
  </si>
  <si>
    <t>NEWPANEL SA</t>
  </si>
  <si>
    <t>*MAV130101347</t>
  </si>
  <si>
    <t>#MAV161160065</t>
  </si>
  <si>
    <t>*MAV110101084</t>
  </si>
  <si>
    <t>*MAV060101334</t>
  </si>
  <si>
    <t>*MAV071201076</t>
  </si>
  <si>
    <t>*MAV141201487</t>
  </si>
  <si>
    <t>*MAV171201212</t>
  </si>
  <si>
    <t>*MAV190101321</t>
  </si>
  <si>
    <t>*MAV120101663</t>
  </si>
  <si>
    <t>*MAV040100891</t>
  </si>
  <si>
    <t>*MAV050101367</t>
  </si>
  <si>
    <t>*MAV060101336</t>
  </si>
  <si>
    <t>*MAV080101286</t>
  </si>
  <si>
    <t>*MAV110101088</t>
  </si>
  <si>
    <t>*MAV120101673</t>
  </si>
  <si>
    <t>*MAV150101773</t>
  </si>
  <si>
    <t>*MAV180101054</t>
  </si>
  <si>
    <t>*MAV190101327</t>
  </si>
  <si>
    <t>*MAV220101281</t>
  </si>
  <si>
    <t>*MAV080200788</t>
  </si>
  <si>
    <t>*MAV250101067</t>
  </si>
  <si>
    <t>*MAV150101766</t>
  </si>
  <si>
    <t>*MAV151202135</t>
  </si>
  <si>
    <t>*MAV050101359</t>
  </si>
  <si>
    <t>EVALDO BOSSE E HIJOS SRL</t>
  </si>
  <si>
    <t>*MAV131101667</t>
  </si>
  <si>
    <t>*MAV271101665</t>
  </si>
  <si>
    <t>*MAV281001833</t>
  </si>
  <si>
    <t>*MAV281201202</t>
  </si>
  <si>
    <t>*MAV130101346</t>
  </si>
  <si>
    <t>*MAV141201469</t>
  </si>
  <si>
    <t>TRAMONTIN HERNAN ANDRES</t>
  </si>
  <si>
    <t>*MAV150101764</t>
  </si>
  <si>
    <t>*MAV190101320</t>
  </si>
  <si>
    <t>*MAV200101852</t>
  </si>
  <si>
    <t>AGROLAKAR SRL</t>
  </si>
  <si>
    <t>*MAV151101827</t>
  </si>
  <si>
    <t>AZKENA SA</t>
  </si>
  <si>
    <t>*MAV301102500</t>
  </si>
  <si>
    <t>CETA CEREALES SA</t>
  </si>
  <si>
    <t>*MAV151101828</t>
  </si>
  <si>
    <t>CAMPO CUATRO SA</t>
  </si>
  <si>
    <t>*MAV011201733</t>
  </si>
  <si>
    <t>WEBER HERMANOS SRL</t>
  </si>
  <si>
    <t>*MAV040100890</t>
  </si>
  <si>
    <t>*MAV220101279</t>
  </si>
  <si>
    <t>*MAV240101228</t>
  </si>
  <si>
    <t>*MAV161101531</t>
  </si>
  <si>
    <t>*MAV131101678</t>
  </si>
  <si>
    <t>*MAV131101704</t>
  </si>
  <si>
    <t>Caucion Byma</t>
  </si>
  <si>
    <t>*MAV011201740</t>
  </si>
  <si>
    <t>*MAV131101711</t>
  </si>
  <si>
    <t>*MAV201101961</t>
  </si>
  <si>
    <t>*MAV231101174</t>
  </si>
  <si>
    <t>*MAV251102000</t>
  </si>
  <si>
    <t>*MAV301102515</t>
  </si>
  <si>
    <t>*MAV020201178</t>
  </si>
  <si>
    <t>*MAV020101129</t>
  </si>
  <si>
    <t>*MAV021101414</t>
  </si>
  <si>
    <t>*MAV021201493</t>
  </si>
  <si>
    <t>*MAV151101842</t>
  </si>
  <si>
    <t>*MAV301102520</t>
  </si>
  <si>
    <t>*MAV201101965</t>
  </si>
  <si>
    <t>*MAV251102003</t>
  </si>
  <si>
    <t>*MAV101201902</t>
  </si>
  <si>
    <t>*MAV110101091</t>
  </si>
  <si>
    <t>*MAV131101722</t>
  </si>
  <si>
    <t>*MAV161101583</t>
  </si>
  <si>
    <t>*MAV171101744</t>
  </si>
  <si>
    <t>*MAV090101240</t>
  </si>
  <si>
    <t>*MAV160101336</t>
  </si>
  <si>
    <t>*MAV231201504</t>
  </si>
  <si>
    <t>*MAV221201465</t>
  </si>
  <si>
    <t>*MAV171101746</t>
  </si>
  <si>
    <t>*MAV271101681</t>
  </si>
  <si>
    <t>*MAV151202152</t>
  </si>
  <si>
    <t>*MAV161201529</t>
  </si>
  <si>
    <t>*MAV121101828</t>
  </si>
  <si>
    <t>*MAV301102524</t>
  </si>
  <si>
    <t>*MAV201101968</t>
  </si>
  <si>
    <t>*MAV231101180</t>
  </si>
  <si>
    <t>*MAV241101640</t>
  </si>
  <si>
    <t>*MAV161201528</t>
  </si>
  <si>
    <t>*MAV251102005</t>
  </si>
  <si>
    <t>*MAV201101967</t>
  </si>
  <si>
    <t>*MAV241101641</t>
  </si>
  <si>
    <t>*MAV110101095</t>
  </si>
  <si>
    <t>*MAV021201497</t>
  </si>
  <si>
    <t>*MAV091201825</t>
  </si>
  <si>
    <t>*MAV051101582</t>
  </si>
  <si>
    <t>*MAV091101426</t>
  </si>
  <si>
    <t>*MAV311002132</t>
  </si>
  <si>
    <t>*MAV161101610</t>
  </si>
  <si>
    <t>*MAV141201528</t>
  </si>
  <si>
    <t>*MAV141201530</t>
  </si>
  <si>
    <t>*MAV191101516</t>
  </si>
  <si>
    <t>FIDEICOMISO TERRAL AL MAR</t>
  </si>
  <si>
    <t>SUAREZ FILABE SA</t>
  </si>
  <si>
    <t>GUTIERREZ CARLOS MARIA</t>
  </si>
  <si>
    <t>COOPERATIVA AGRICOLA GANADERA DE JUSTINIANO POSSE LIMITADA</t>
  </si>
  <si>
    <t>COMA CONSTRUCCIONES SA</t>
  </si>
  <si>
    <t>GRAU Y WEISS SA</t>
  </si>
  <si>
    <t>JEIFETZ ISAIAS ABRAHAM</t>
  </si>
  <si>
    <t>MADERERA NEWTON SA</t>
  </si>
  <si>
    <t>SALBACO SA</t>
  </si>
  <si>
    <t>*CRE091100122</t>
  </si>
  <si>
    <t>*CRE301000295</t>
  </si>
  <si>
    <t>*CRE040100083</t>
  </si>
  <si>
    <t>*CRE071200138</t>
  </si>
  <si>
    <t>*CRE151100278</t>
  </si>
  <si>
    <t>*CRE181100202</t>
  </si>
  <si>
    <t>*CRE251200096</t>
  </si>
  <si>
    <t>*CRE011200146</t>
  </si>
  <si>
    <t>*CRE040100084</t>
  </si>
  <si>
    <t>*CRE061100135</t>
  </si>
  <si>
    <t>*CRE101100214</t>
  </si>
  <si>
    <t>*CRE141100177</t>
  </si>
  <si>
    <t>*CRE171100179</t>
  </si>
  <si>
    <t>*CRE021100119</t>
  </si>
  <si>
    <t>*CRE301000296</t>
  </si>
  <si>
    <t>*CRE271000155</t>
  </si>
  <si>
    <t>*CRE261200184</t>
  </si>
  <si>
    <t>*CRE251200097</t>
  </si>
  <si>
    <t>MAVR300100110</t>
  </si>
  <si>
    <t>MAVR020100078</t>
  </si>
  <si>
    <t>MAVR050200077</t>
  </si>
  <si>
    <t>MAVR020200028</t>
  </si>
  <si>
    <t>MAVR050100052</t>
  </si>
  <si>
    <t>MAVR300100111</t>
  </si>
  <si>
    <t>MAVR290100096</t>
  </si>
  <si>
    <t>MAVR290100095</t>
  </si>
  <si>
    <t>MAVR100100118</t>
  </si>
  <si>
    <t>MAVR200100139</t>
  </si>
  <si>
    <t>*MAV151202169</t>
  </si>
  <si>
    <t>*MAV191101522</t>
  </si>
  <si>
    <t>*MAV171101762</t>
  </si>
  <si>
    <t>*MAV181101660</t>
  </si>
  <si>
    <t>*MAV141101765</t>
  </si>
  <si>
    <t>*MAV141101764</t>
  </si>
  <si>
    <t>*MAV141101766</t>
  </si>
  <si>
    <t>*MAV141101767</t>
  </si>
  <si>
    <t>*MAV300301229</t>
  </si>
  <si>
    <t>*MAV200301787</t>
  </si>
  <si>
    <t>*MAV050301132</t>
  </si>
  <si>
    <t>*MAV130101378</t>
  </si>
  <si>
    <t>*MAV141201541</t>
  </si>
  <si>
    <t>*MAV191101523</t>
  </si>
  <si>
    <t>*MAV221201476</t>
  </si>
  <si>
    <t>*MAV281201237</t>
  </si>
  <si>
    <t>*MAV301201742</t>
  </si>
  <si>
    <t>*MAV181201539</t>
  </si>
  <si>
    <t>*MAV151202180</t>
  </si>
  <si>
    <t>*MAV151202181</t>
  </si>
  <si>
    <t>*MAV161201545</t>
  </si>
  <si>
    <t>*MAV171201231</t>
  </si>
  <si>
    <t>*MAV181201541</t>
  </si>
  <si>
    <t>*MAV211201221</t>
  </si>
  <si>
    <t>*MAV311201363</t>
  </si>
  <si>
    <t>*MAV301201744</t>
  </si>
  <si>
    <t>*MAV291201412</t>
  </si>
  <si>
    <t>*MAV141201547</t>
  </si>
  <si>
    <t>*MAV281201234</t>
  </si>
  <si>
    <t>*MAV251200557</t>
  </si>
  <si>
    <t>*MAV231201513</t>
  </si>
  <si>
    <t>*MAV221201477</t>
  </si>
  <si>
    <t>*MAV241200663</t>
  </si>
  <si>
    <t>*MAV211201220</t>
  </si>
  <si>
    <t>*MAV221201475</t>
  </si>
  <si>
    <t>*MAV161201544</t>
  </si>
  <si>
    <t>*MAV091201834</t>
  </si>
  <si>
    <t>*MAV021201506</t>
  </si>
  <si>
    <t>*MAV121201754</t>
  </si>
  <si>
    <t>*MAV051201542</t>
  </si>
  <si>
    <t>*MAV091201833</t>
  </si>
  <si>
    <t>*MAV161201547</t>
  </si>
  <si>
    <t>*MAV081200790</t>
  </si>
  <si>
    <t>*MAV151202178</t>
  </si>
  <si>
    <t>*MAV071201094</t>
  </si>
  <si>
    <t>*MAV151202174</t>
  </si>
  <si>
    <t>*MAV181201540</t>
  </si>
  <si>
    <t>*MAV281201224</t>
  </si>
  <si>
    <t>*MAV301201740</t>
  </si>
  <si>
    <t>*MAV281201223</t>
  </si>
  <si>
    <t>*MAV191201392</t>
  </si>
  <si>
    <t>*MAV251102026</t>
  </si>
  <si>
    <t>*MAV201201764</t>
  </si>
  <si>
    <t>*MAV271101701</t>
  </si>
  <si>
    <t>*MAV141201545</t>
  </si>
  <si>
    <t>*MAV301201741</t>
  </si>
  <si>
    <t>*MAV241200661</t>
  </si>
  <si>
    <t>*MAV181201537</t>
  </si>
  <si>
    <t>*MAV141201548</t>
  </si>
  <si>
    <t>*MAV151202179</t>
  </si>
  <si>
    <t>*MAV261101465</t>
  </si>
  <si>
    <t>*MAV121201756</t>
  </si>
  <si>
    <t>*MAV121201753</t>
  </si>
  <si>
    <t>*MAV111201573</t>
  </si>
  <si>
    <t>*MAV101201921</t>
  </si>
  <si>
    <t>*MAV091201832</t>
  </si>
  <si>
    <t>*MAV081200791</t>
  </si>
  <si>
    <t>*MAV131201264</t>
  </si>
  <si>
    <t>*MAV271101702</t>
  </si>
  <si>
    <t>*MAV061201220</t>
  </si>
  <si>
    <t>*MAV071201093</t>
  </si>
  <si>
    <t>*MAV071201095</t>
  </si>
  <si>
    <t>*MAV301102558</t>
  </si>
  <si>
    <t>*MAV051201544</t>
  </si>
  <si>
    <t>*MAV041201334</t>
  </si>
  <si>
    <t>*MAV021201504</t>
  </si>
  <si>
    <t>*MAV011201758</t>
  </si>
  <si>
    <t>*MAV171201229</t>
  </si>
  <si>
    <t>*MAV141201546</t>
  </si>
  <si>
    <t>*MAV131201262</t>
  </si>
  <si>
    <t>*MAV111201571</t>
  </si>
  <si>
    <t>*MAV061201219</t>
  </si>
  <si>
    <t>*MAV051201543</t>
  </si>
  <si>
    <t>*MAV041201333</t>
  </si>
  <si>
    <t>*MAV141201544</t>
  </si>
  <si>
    <t>*MAV291201411</t>
  </si>
  <si>
    <t>*MAV311201362</t>
  </si>
  <si>
    <t>*MAV241200662</t>
  </si>
  <si>
    <t>*MAV151202177</t>
  </si>
  <si>
    <t>*MAV261201653</t>
  </si>
  <si>
    <t>*MAV221201474</t>
  </si>
  <si>
    <t>*MAV191201391</t>
  </si>
  <si>
    <t>*MAV171201228</t>
  </si>
  <si>
    <t>*MAV121201752</t>
  </si>
  <si>
    <t>*MAV101201920</t>
  </si>
  <si>
    <t>*MAV150101803</t>
  </si>
  <si>
    <t>*MAV180101064</t>
  </si>
  <si>
    <t>*MAV171101783</t>
  </si>
  <si>
    <t>#UMV010670044</t>
  </si>
  <si>
    <t>03/06/2027</t>
  </si>
  <si>
    <t>%UON131100001</t>
  </si>
  <si>
    <t>EDITORIAL GUADAL S.A.</t>
  </si>
  <si>
    <t>AGROPECUARIA LA CONCEPCION SA</t>
  </si>
  <si>
    <t>ESTABLECIMIENTO EL AMANECER SRL</t>
  </si>
  <si>
    <t>HRUZA DARIO ESTEBAN</t>
  </si>
  <si>
    <t>GABETTA TOMAS</t>
  </si>
  <si>
    <t>PINTUCCI Y GUIZZO SA SA</t>
  </si>
  <si>
    <t>ASOCIACION MUTUAL PERSONAL SANCOR</t>
  </si>
  <si>
    <t>BAULETTO SRL</t>
  </si>
  <si>
    <t>CERAMICA CENTRO SA</t>
  </si>
  <si>
    <t>I2 PRODUCTORA SRL</t>
  </si>
  <si>
    <t>JORGE BIANCO E HIJOS DE JORGE OMAR BIANCO SILVINA VERONICA Y BIANCO JOSE LUIS SH</t>
  </si>
  <si>
    <t>LA RESMA DEL NORTE SA</t>
  </si>
  <si>
    <t>OFFIDESK SRL</t>
  </si>
  <si>
    <t>TALLERES GRAFICOS POL DE PRADELLA EDUARDO LUIS Y CENDON NOEMI SH</t>
  </si>
  <si>
    <t>GRAFICA EMEDE SRL</t>
  </si>
  <si>
    <t>VIGER S.R.L.</t>
  </si>
  <si>
    <t>MASTELLONE HNOS SA</t>
  </si>
  <si>
    <t>COMERCIALIZADORA MARA SA</t>
  </si>
  <si>
    <t>BUNKERPRESS S.A.</t>
  </si>
  <si>
    <t>ANDALUCIA SRL</t>
  </si>
  <si>
    <t>GRAFICA IGMA S.R.L</t>
  </si>
  <si>
    <t>GRAFICOS SRL SRL</t>
  </si>
  <si>
    <t>US3</t>
  </si>
  <si>
    <t>*MAV071201101</t>
  </si>
  <si>
    <t>*MAV091101457</t>
  </si>
  <si>
    <t>*MAV161101662</t>
  </si>
  <si>
    <t>*MAV040100904</t>
  </si>
  <si>
    <t>*MAV110101110</t>
  </si>
  <si>
    <t>*MAV151202196</t>
  </si>
  <si>
    <t>*MAV211201230</t>
  </si>
  <si>
    <t>*MAV281201252</t>
  </si>
  <si>
    <t>*MAV301102580</t>
  </si>
  <si>
    <t>*MAV231101202</t>
  </si>
  <si>
    <t>*MAV311002169</t>
  </si>
  <si>
    <t>*MAV151101878</t>
  </si>
  <si>
    <t>*MAV301002434</t>
  </si>
  <si>
    <t>*MAV100101413</t>
  </si>
  <si>
    <t>*MAV260101355</t>
  </si>
  <si>
    <t>*MAV071201102</t>
  </si>
  <si>
    <t>*MAV301201750</t>
  </si>
  <si>
    <t>*MAV201102016</t>
  </si>
  <si>
    <t>*MAV181101676</t>
  </si>
  <si>
    <t>*MAV191101542</t>
  </si>
  <si>
    <t>*MAV031201217</t>
  </si>
  <si>
    <t>*MAV191101546</t>
  </si>
  <si>
    <t>*MAV020201180</t>
  </si>
  <si>
    <t>*MAV280101138</t>
  </si>
  <si>
    <t>*MAV290101162</t>
  </si>
  <si>
    <t>*MAV031201218</t>
  </si>
  <si>
    <t>*MAV140101346</t>
  </si>
  <si>
    <t>*MAV301201753</t>
  </si>
  <si>
    <t>*MAV210101217</t>
  </si>
  <si>
    <t>*MAV220101312</t>
  </si>
  <si>
    <t>*MAV200101879</t>
  </si>
  <si>
    <t>*MAV180101070</t>
  </si>
  <si>
    <t>*MAV181201577</t>
  </si>
  <si>
    <t>*MAV021201520</t>
  </si>
  <si>
    <t>*MAV051201552</t>
  </si>
  <si>
    <t>*MAV151101879</t>
  </si>
  <si>
    <t>*MAV161101665</t>
  </si>
  <si>
    <t>*MAV301102586</t>
  </si>
  <si>
    <t>*MAV301102585</t>
  </si>
  <si>
    <t>*MAV281101687</t>
  </si>
  <si>
    <t>*MAV311002171</t>
  </si>
  <si>
    <t>*MAV211101342</t>
  </si>
  <si>
    <t>*MAV071101668</t>
  </si>
  <si>
    <t>*MAV130101384</t>
  </si>
  <si>
    <t>*MAV151101880</t>
  </si>
  <si>
    <t>*MAV041201362</t>
  </si>
  <si>
    <t>*MAV041201363</t>
  </si>
  <si>
    <t>*MAV210101218</t>
  </si>
  <si>
    <t>%DHE101100001</t>
  </si>
  <si>
    <t>%DHE281100001</t>
  </si>
  <si>
    <t>*MAV181101693</t>
  </si>
  <si>
    <t>*MAV010100526</t>
  </si>
  <si>
    <t>*MAV110101117</t>
  </si>
  <si>
    <t>*MAV110101118</t>
  </si>
  <si>
    <t>*MAV241200671</t>
  </si>
  <si>
    <t>*MAV031201221</t>
  </si>
  <si>
    <t>*MAV221201487</t>
  </si>
  <si>
    <t>*MAV021201522</t>
  </si>
  <si>
    <t>*MAV110101119</t>
  </si>
  <si>
    <t>*MAV120101702</t>
  </si>
  <si>
    <t>*MAV301201759</t>
  </si>
  <si>
    <t>*MAV181101694</t>
  </si>
  <si>
    <t>*MAV051101623</t>
  </si>
  <si>
    <t>*MAV311002172</t>
  </si>
  <si>
    <t>*MAV141101783</t>
  </si>
  <si>
    <t>*MAV271201341</t>
  </si>
  <si>
    <t>*MAV291201424</t>
  </si>
  <si>
    <t>*MAV230101267</t>
  </si>
  <si>
    <t>*MAV251200566</t>
  </si>
  <si>
    <t>*MAV270101374</t>
  </si>
  <si>
    <t>*MAV201102047</t>
  </si>
  <si>
    <t>GUATRI MARIO FEDERICO</t>
  </si>
  <si>
    <t>NOVA FUSION SRL</t>
  </si>
  <si>
    <t>PETRO ECOL SRL</t>
  </si>
  <si>
    <t>PLUMAS VERDES SA</t>
  </si>
  <si>
    <t>PROPIEDADES DE LA PATAGONIA SUR SA</t>
  </si>
  <si>
    <t>TRANSERVICE NEUQUEN SRL</t>
  </si>
  <si>
    <t>GRANARIA SA</t>
  </si>
  <si>
    <t>CINCUENTA Y NUEVE SRL</t>
  </si>
  <si>
    <t>FIDEICOMISO RESERVA TAJAMAR</t>
  </si>
  <si>
    <t>MAYOR SA</t>
  </si>
  <si>
    <t>PAPASIDERO AGUSTIN ALFREDO</t>
  </si>
  <si>
    <t>PREMECOL SRL</t>
  </si>
  <si>
    <t>ZELARAYAN RICARDO JOSE</t>
  </si>
  <si>
    <t>DELIVERY HERO E COMMERCE SA</t>
  </si>
  <si>
    <t>*MAV101201964</t>
  </si>
  <si>
    <t>*MAV060101364</t>
  </si>
  <si>
    <t>*MAV171201254</t>
  </si>
  <si>
    <t>*MAV201102050</t>
  </si>
  <si>
    <t>*MAV301201761</t>
  </si>
  <si>
    <t>*MAV100101416</t>
  </si>
  <si>
    <t>*MAV160101352</t>
  </si>
  <si>
    <t>*MAV151202213</t>
  </si>
  <si>
    <t>*MAV220101315</t>
  </si>
  <si>
    <t>*MAV190101347</t>
  </si>
  <si>
    <t>*MAV201102053</t>
  </si>
  <si>
    <t>*MAV241101681</t>
  </si>
  <si>
    <t>*MAV181101700</t>
  </si>
  <si>
    <t>*MAV031201234</t>
  </si>
  <si>
    <t>*MAV201102075</t>
  </si>
  <si>
    <t>*MAV241101685</t>
  </si>
  <si>
    <t>*MAV101201972</t>
  </si>
  <si>
    <t>*MAV111201597</t>
  </si>
  <si>
    <t>*MAV251102075</t>
  </si>
  <si>
    <t>*MAV150201200</t>
  </si>
  <si>
    <t>*MAV300101490</t>
  </si>
  <si>
    <t>*MAV120101712</t>
  </si>
  <si>
    <t>*MAV130101396</t>
  </si>
  <si>
    <t>*MAV150101824</t>
  </si>
  <si>
    <t>*MAV190101349</t>
  </si>
  <si>
    <t>*MAV140101361</t>
  </si>
  <si>
    <t>#UMV040170039</t>
  </si>
  <si>
    <t>LAS DOS A SRL</t>
  </si>
  <si>
    <t>TIRABASSI ROMAN IVAN</t>
  </si>
  <si>
    <t>HUGO COLOMBO SA</t>
  </si>
  <si>
    <t>CDG TECNOLOGIA S.R.L.</t>
  </si>
  <si>
    <t>*MAV031201240</t>
  </si>
  <si>
    <t>*MAV091201871</t>
  </si>
  <si>
    <t>*MAV261201663</t>
  </si>
  <si>
    <t>*MAV260101363</t>
  </si>
  <si>
    <t>*MAV260101364</t>
  </si>
  <si>
    <t>*MAV261201664</t>
  </si>
  <si>
    <t>*MAV150301360</t>
  </si>
  <si>
    <t>*MAV150401646</t>
  </si>
  <si>
    <t>*MAV150201206</t>
  </si>
  <si>
    <t>*MAV150702301</t>
  </si>
  <si>
    <t>*MAV150801908</t>
  </si>
  <si>
    <t>*MAV150902315</t>
  </si>
  <si>
    <t>17/09/2027</t>
  </si>
  <si>
    <t>*MAV140101363</t>
  </si>
  <si>
    <t>*MAV151101899</t>
  </si>
  <si>
    <t>*MAV151202230</t>
  </si>
  <si>
    <t>*MAV130101404</t>
  </si>
  <si>
    <t>*MAV060101372</t>
  </si>
  <si>
    <t>*MAV170101280</t>
  </si>
  <si>
    <t>*MAV300101494</t>
  </si>
  <si>
    <t>*MAV150401645</t>
  </si>
  <si>
    <t>*MAV150201205</t>
  </si>
  <si>
    <t>*MAV150301361</t>
  </si>
  <si>
    <t>*MAV150101832</t>
  </si>
  <si>
    <t>*MAV151202229</t>
  </si>
  <si>
    <t>*MAV140201278</t>
  </si>
  <si>
    <t>*MAV140301244</t>
  </si>
  <si>
    <t>*MAV140401429</t>
  </si>
  <si>
    <t>*MAV140101364</t>
  </si>
  <si>
    <t>*MAV141101793</t>
  </si>
  <si>
    <t>*MAV141201600</t>
  </si>
  <si>
    <t>*MAV130301498</t>
  </si>
  <si>
    <t>*MAV170401386</t>
  </si>
  <si>
    <t>21/04/2027</t>
  </si>
  <si>
    <t>*MAV130201291</t>
  </si>
  <si>
    <t>*MAV120401147</t>
  </si>
  <si>
    <t>*MAV110201051</t>
  </si>
  <si>
    <t>*MAV130301499</t>
  </si>
  <si>
    <t>*MAV160401189</t>
  </si>
  <si>
    <t>20/04/2027</t>
  </si>
  <si>
    <t>*MAV160301246</t>
  </si>
  <si>
    <t>*MAV160201226</t>
  </si>
  <si>
    <t>*MAV160101355</t>
  </si>
  <si>
    <t>*MAV161101701</t>
  </si>
  <si>
    <t>*MAV161201586</t>
  </si>
  <si>
    <t>*MAV180201173</t>
  </si>
  <si>
    <t>*MAV180301364</t>
  </si>
  <si>
    <t>*MAV180101086</t>
  </si>
  <si>
    <t>*MAV181201608</t>
  </si>
  <si>
    <t>*MAV231201544</t>
  </si>
  <si>
    <t>*MAV290101166</t>
  </si>
  <si>
    <t>*MAV291201435</t>
  </si>
  <si>
    <t>*MAV050301134</t>
  </si>
  <si>
    <t>*MAV050401014</t>
  </si>
  <si>
    <t>*MAV050101397</t>
  </si>
  <si>
    <t>*MAV050201122</t>
  </si>
  <si>
    <t>*MAV311201394</t>
  </si>
  <si>
    <t>*MAV190201003</t>
  </si>
  <si>
    <t>*MAV200101894</t>
  </si>
  <si>
    <t>*MAV211101384</t>
  </si>
  <si>
    <t>*MAV211201257</t>
  </si>
  <si>
    <t>*MAV181101717</t>
  </si>
  <si>
    <t>*MAV241101704</t>
  </si>
  <si>
    <t>*MAV251102093</t>
  </si>
  <si>
    <t>*MAV031101825</t>
  </si>
  <si>
    <t>*MAV031101826</t>
  </si>
  <si>
    <t>*MAV180101089</t>
  </si>
  <si>
    <t>*MAV181201612</t>
  </si>
  <si>
    <t>*MAV231201545</t>
  </si>
  <si>
    <t>*MAV170301339</t>
  </si>
  <si>
    <t>*MAV200201455</t>
  </si>
  <si>
    <t>*MAV160301247</t>
  </si>
  <si>
    <t>*MAV240300795</t>
  </si>
  <si>
    <t>*MAV310301602</t>
  </si>
  <si>
    <t>*MAV130101405</t>
  </si>
  <si>
    <t>*MAV311201395</t>
  </si>
  <si>
    <t>*MAV250101096</t>
  </si>
  <si>
    <t>*MAV191201409</t>
  </si>
  <si>
    <t>*MAV091101484</t>
  </si>
  <si>
    <t>*MAV041201393</t>
  </si>
  <si>
    <t>*MAV191101603</t>
  </si>
  <si>
    <t>*MAV301002519</t>
  </si>
  <si>
    <t>*MAV301102651</t>
  </si>
  <si>
    <t>*MAV041201392</t>
  </si>
  <si>
    <t>*MAV201102110</t>
  </si>
  <si>
    <t>*MAV171101824</t>
  </si>
  <si>
    <t>*MAV211101390</t>
  </si>
  <si>
    <t>*MAV291001780</t>
  </si>
  <si>
    <t>*MAV101201979</t>
  </si>
  <si>
    <t>*MAV121101887</t>
  </si>
  <si>
    <t>*MAV261101498</t>
  </si>
  <si>
    <t>*MAV291001782</t>
  </si>
  <si>
    <t>*MAV031101827</t>
  </si>
  <si>
    <t>*MAV121101885</t>
  </si>
  <si>
    <t>*MAV031201243</t>
  </si>
  <si>
    <t>*MAV061101620</t>
  </si>
  <si>
    <t>*MAV040200916</t>
  </si>
  <si>
    <t>*MAV060101375</t>
  </si>
  <si>
    <t>*MAV110201053</t>
  </si>
  <si>
    <t>*MAV111201607</t>
  </si>
  <si>
    <t>*MAV130101406</t>
  </si>
  <si>
    <t>*MAV080101335</t>
  </si>
  <si>
    <t>%YAG181100001</t>
  </si>
  <si>
    <t>*MAV301002540</t>
  </si>
  <si>
    <t>*MAV301201787</t>
  </si>
  <si>
    <t>*MAV221201509</t>
  </si>
  <si>
    <t>*MAV160101361</t>
  </si>
  <si>
    <t>*MAV230101273</t>
  </si>
  <si>
    <t>*MAV290101170</t>
  </si>
  <si>
    <t>*MAV110101132</t>
  </si>
  <si>
    <t>*MAV040100926</t>
  </si>
  <si>
    <t>*MAV041201398</t>
  </si>
  <si>
    <t>*MAV111201613</t>
  </si>
  <si>
    <t>*MAV181201620</t>
  </si>
  <si>
    <t>*MAV081200826</t>
  </si>
  <si>
    <t>*MAV170101281</t>
  </si>
  <si>
    <t>*MAV170101282</t>
  </si>
  <si>
    <t>*MAV071201123</t>
  </si>
  <si>
    <t>*MAV110101133</t>
  </si>
  <si>
    <t>*MAV140101368</t>
  </si>
  <si>
    <t>*MAV150101839</t>
  </si>
  <si>
    <t>*MAV171201276</t>
  </si>
  <si>
    <t>*MAV180101095</t>
  </si>
  <si>
    <t>*MAV120101720</t>
  </si>
  <si>
    <t>*MAV211201294</t>
  </si>
  <si>
    <t>*MAV181201621</t>
  </si>
  <si>
    <t>*MAV111201612</t>
  </si>
  <si>
    <t>*MAV301201789</t>
  </si>
  <si>
    <t>CFN SRL</t>
  </si>
  <si>
    <t>IMPRECOM S.A.</t>
  </si>
  <si>
    <t>VELVET COMFORT &amp; DESIGN S.R.L.</t>
  </si>
  <si>
    <t>GRUPO BE S.A.</t>
  </si>
  <si>
    <t>SUPERMERCADOS MAYORISTAS YAGUAR SOCIEDAD ANONIMA</t>
  </si>
  <si>
    <t>FEIBA SOCIEDAD ANONIMA</t>
  </si>
  <si>
    <t>INDUQUIMICA ARGENTINA SA</t>
  </si>
  <si>
    <t>INMIX SA</t>
  </si>
  <si>
    <t>JONES Y HANDLEY SRL</t>
  </si>
  <si>
    <t>NORWAN GROUP SRL</t>
  </si>
  <si>
    <t>TRES BORDES SA</t>
  </si>
  <si>
    <t>MURIEL MUEBLES SRL</t>
  </si>
  <si>
    <t>PLANARCO SRL</t>
  </si>
  <si>
    <t>AL MUNDO NEGOCIOS EMPRESARIALES SRL</t>
  </si>
  <si>
    <t>BARRUTIA VANESA ELISABET</t>
  </si>
  <si>
    <t>CENTRALDENARO SAS</t>
  </si>
  <si>
    <t>GALLARDO NORMA BEATRIZ</t>
  </si>
  <si>
    <t>LEMES RAMON ALEJANDRO</t>
  </si>
  <si>
    <t>RUTA 81 SRL</t>
  </si>
  <si>
    <t>AESA ASEO Y ECOLOGIA SA</t>
  </si>
  <si>
    <t>AGROSERVICIOS ENTRE RIOS SRL</t>
  </si>
  <si>
    <t>ARAUCOTTON INDUSTRIA PAPELERA SRL</t>
  </si>
  <si>
    <t>BIO FAB SRL</t>
  </si>
  <si>
    <t>AGROPECUARIA SAN NICOLAS SRL</t>
  </si>
  <si>
    <t>ALT SA</t>
  </si>
  <si>
    <t>CLUB ATLETICO ROSARIO CENTRAL</t>
  </si>
  <si>
    <t>ECHEGARAY ANABELLA JAQUELINE</t>
  </si>
  <si>
    <t>ENCENAR SA</t>
  </si>
  <si>
    <t>ESTANCIAS LOS BAGUALES SA</t>
  </si>
  <si>
    <t>FEBOLO JOSE ERNESTO</t>
  </si>
  <si>
    <t>GARCIA CARLOS ALBERTO</t>
  </si>
  <si>
    <t>INDUSTRIAS MADERERAS HECIMOVIC S.A.</t>
  </si>
  <si>
    <t>OSCAR PEMAN Y ASOCIADOS S.A.</t>
  </si>
  <si>
    <t>TALLERES GRAFICOS PORTER S.R.L.</t>
  </si>
  <si>
    <t>FORMATO GRAFICO S R L</t>
  </si>
  <si>
    <t>DISTRIBUIDORA LEO SRL</t>
  </si>
  <si>
    <t>*MAV120101722</t>
  </si>
  <si>
    <t>*MAV080101337</t>
  </si>
  <si>
    <t>*MAV110101135</t>
  </si>
  <si>
    <t>*MAV260101368</t>
  </si>
  <si>
    <t>*MAV280101150</t>
  </si>
  <si>
    <t>*MAV250101102</t>
  </si>
  <si>
    <t>*MAV270101384</t>
  </si>
  <si>
    <t>*MAV290101171</t>
  </si>
  <si>
    <t>*MAV290101172</t>
  </si>
  <si>
    <t>%YAG191100001</t>
  </si>
  <si>
    <t>%YAG191100002</t>
  </si>
  <si>
    <t>*MAV301102662</t>
  </si>
  <si>
    <t>*MAV301201790</t>
  </si>
  <si>
    <t>*MAV241101718</t>
  </si>
  <si>
    <t>*MAV251102104</t>
  </si>
  <si>
    <t>*MAV261101507</t>
  </si>
  <si>
    <t>*MAV280201848</t>
  </si>
  <si>
    <t>*MAV171201286</t>
  </si>
  <si>
    <t>*MAV050101406</t>
  </si>
  <si>
    <t>*MAV250101106</t>
  </si>
  <si>
    <t>*MAV261201675</t>
  </si>
  <si>
    <t>*MAV150101849</t>
  </si>
  <si>
    <t>*MAV101201989</t>
  </si>
  <si>
    <t>*MAV121201780</t>
  </si>
  <si>
    <t>*MAV161101732</t>
  </si>
  <si>
    <t>*MAV181201629</t>
  </si>
  <si>
    <t>*MAV201102151</t>
  </si>
  <si>
    <t>*MAV211201322</t>
  </si>
  <si>
    <t>*MAV201102149</t>
  </si>
  <si>
    <t>*MAV111101838</t>
  </si>
  <si>
    <t>*MAV281101713</t>
  </si>
  <si>
    <t>*MAV051101673</t>
  </si>
  <si>
    <t>*MAV191201418</t>
  </si>
  <si>
    <t>*MAV200201459</t>
  </si>
  <si>
    <t>*MAV281201282</t>
  </si>
  <si>
    <t>*MAV240201272</t>
  </si>
  <si>
    <t>*MAV211201323</t>
  </si>
  <si>
    <t>*MAV161201599</t>
  </si>
  <si>
    <t>*MAV161101734</t>
  </si>
  <si>
    <t>*MAV301201792</t>
  </si>
  <si>
    <t>*MAV091201889</t>
  </si>
  <si>
    <t>*MAV161201600</t>
  </si>
  <si>
    <t>*MAV191201419</t>
  </si>
  <si>
    <t>*MAV291101415</t>
  </si>
  <si>
    <t>*MAV011201819</t>
  </si>
  <si>
    <t>*MAV181101735</t>
  </si>
  <si>
    <t>*MAV301102687</t>
  </si>
  <si>
    <t>*MAV131201274</t>
  </si>
  <si>
    <t>*MAV261101515</t>
  </si>
  <si>
    <t>*MAV091201890</t>
  </si>
  <si>
    <t>*MAV151101920</t>
  </si>
  <si>
    <t>*MAV171201288</t>
  </si>
  <si>
    <t>*MAV201102153</t>
  </si>
  <si>
    <t>*MAV271101767</t>
  </si>
  <si>
    <t>%AUU131100001</t>
  </si>
  <si>
    <t>*MAV100101425</t>
  </si>
  <si>
    <t>*MAV200101916</t>
  </si>
  <si>
    <t>*MAV200201460</t>
  </si>
  <si>
    <t>*MAV010300918</t>
  </si>
  <si>
    <t>*MAV120201265</t>
  </si>
  <si>
    <t>*MAV220200957</t>
  </si>
  <si>
    <t>*MAV230201172</t>
  </si>
  <si>
    <t>25/02/2027</t>
  </si>
  <si>
    <t>*MAV020301103</t>
  </si>
  <si>
    <t>*MAV030301198</t>
  </si>
  <si>
    <t>*MAV040301197</t>
  </si>
  <si>
    <t>*MAV150201212</t>
  </si>
  <si>
    <t>*MAV160201232</t>
  </si>
  <si>
    <t>*MAV170201221</t>
  </si>
  <si>
    <t>*MAV180201185</t>
  </si>
  <si>
    <t>*MAV190201010</t>
  </si>
  <si>
    <t>*MAV240201273</t>
  </si>
  <si>
    <t>*MAV250201230</t>
  </si>
  <si>
    <t>*MAV260201156</t>
  </si>
  <si>
    <t>*MAV090101257</t>
  </si>
  <si>
    <t>*MAV160101367</t>
  </si>
  <si>
    <t>*MAV280101154</t>
  </si>
  <si>
    <t>*MAV070101067</t>
  </si>
  <si>
    <t>*MAV140101372</t>
  </si>
  <si>
    <t>*MAV210101236</t>
  </si>
  <si>
    <t>*MAV230101276</t>
  </si>
  <si>
    <t>*MAV150101853</t>
  </si>
  <si>
    <t>*MAV150101852</t>
  </si>
  <si>
    <t>*MAV110101138</t>
  </si>
  <si>
    <t>*MAV050101408</t>
  </si>
  <si>
    <t>*MAV070101065</t>
  </si>
  <si>
    <t>*MAV120201266</t>
  </si>
  <si>
    <t>*MAV270101389</t>
  </si>
  <si>
    <t>*MAV150101854</t>
  </si>
  <si>
    <t>*MAV220101335</t>
  </si>
  <si>
    <t>*MAV070101066</t>
  </si>
  <si>
    <t>*MAV150101851</t>
  </si>
  <si>
    <t>*MAV150101855</t>
  </si>
  <si>
    <t>*MAV220101336</t>
  </si>
  <si>
    <t>*MAV111101841</t>
  </si>
  <si>
    <t>*MAV241101730</t>
  </si>
  <si>
    <t>*MAV261101518</t>
  </si>
  <si>
    <t>*MAV271101769</t>
  </si>
  <si>
    <t>*MAV250101108</t>
  </si>
  <si>
    <t>*MAV190101361</t>
  </si>
  <si>
    <t>*MAV250101111</t>
  </si>
  <si>
    <t>*MAV220101339</t>
  </si>
  <si>
    <t>*MAV250101110</t>
  </si>
  <si>
    <t>*MAV260101374</t>
  </si>
  <si>
    <t>*MAV250101107</t>
  </si>
  <si>
    <t>*MAV270101390</t>
  </si>
  <si>
    <t>*MAV301102692</t>
  </si>
  <si>
    <t>*MAV210101238</t>
  </si>
  <si>
    <t>*MAV220101340</t>
  </si>
  <si>
    <t>*MAV310101619</t>
  </si>
  <si>
    <t>*MAV220101338</t>
  </si>
  <si>
    <t>*MAV190101362</t>
  </si>
  <si>
    <t>*MAV200101917</t>
  </si>
  <si>
    <t>*MAV250101109</t>
  </si>
  <si>
    <t>*MAV260101373</t>
  </si>
  <si>
    <t>*MAV301102691</t>
  </si>
  <si>
    <t>*MAV311201407</t>
  </si>
  <si>
    <t>*MAV151202254</t>
  </si>
  <si>
    <t>*MAV101201991</t>
  </si>
  <si>
    <t>*MAV271201347</t>
  </si>
  <si>
    <t>*MAV191101646</t>
  </si>
  <si>
    <t>*MAV221201541</t>
  </si>
  <si>
    <t>*MAV261201677</t>
  </si>
  <si>
    <t>*MAV231201564</t>
  </si>
  <si>
    <t>*MAV191101647</t>
  </si>
  <si>
    <t>*MAV191201423</t>
  </si>
  <si>
    <t>*MAV101201992</t>
  </si>
  <si>
    <t>*MAV111201624</t>
  </si>
  <si>
    <t>*MAV181201635</t>
  </si>
  <si>
    <t>*MAV141201627</t>
  </si>
  <si>
    <t>*MAV110101140</t>
  </si>
  <si>
    <t>*MAV041201417</t>
  </si>
  <si>
    <t>*MAV251200595</t>
  </si>
  <si>
    <t>*MAV041101737</t>
  </si>
  <si>
    <t>*MAV011101481</t>
  </si>
  <si>
    <t>*MAV121101909</t>
  </si>
  <si>
    <t>*MAV121101910</t>
  </si>
  <si>
    <t>*MAV240101237</t>
  </si>
  <si>
    <t>*MAV181201632</t>
  </si>
  <si>
    <t>*MAV220101334</t>
  </si>
  <si>
    <t>*MAV261101519</t>
  </si>
  <si>
    <t>*MAV261201676</t>
  </si>
  <si>
    <t>*MAV060201235</t>
  </si>
  <si>
    <t>*MAV230101275</t>
  </si>
  <si>
    <t>*MAV040100931</t>
  </si>
  <si>
    <t>*MAV040200920</t>
  </si>
  <si>
    <t>*MAV210101235</t>
  </si>
  <si>
    <t>*MAV161201602</t>
  </si>
  <si>
    <t>*MAV160101368</t>
  </si>
  <si>
    <t>*MAV130201298</t>
  </si>
  <si>
    <t>*MAV301102690</t>
  </si>
  <si>
    <t>*MAV101202000</t>
  </si>
  <si>
    <t>*MAV171201321</t>
  </si>
  <si>
    <t>*MAV261201679</t>
  </si>
  <si>
    <t>*MAV121201782</t>
  </si>
  <si>
    <t>*MAV061201229</t>
  </si>
  <si>
    <t>*MAV081200836</t>
  </si>
  <si>
    <t>*MAV070201091</t>
  </si>
  <si>
    <t>*MAV210201185</t>
  </si>
  <si>
    <t>*MAV300101502</t>
  </si>
  <si>
    <t>*MAV140201280</t>
  </si>
  <si>
    <t>*MAV221201547</t>
  </si>
  <si>
    <t>*MAV281201294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</si>
  <si>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</si>
  <si>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LABORATORIO SAN PABLO PRODUCTOS BIOLOGICOS S.R.L.</t>
  </si>
  <si>
    <t>HERSAPEL SRL</t>
  </si>
  <si>
    <t>RODRIGUEZ MARIA LAURA</t>
  </si>
  <si>
    <t>Mm Teamwork S. R. L.</t>
  </si>
  <si>
    <t>NAVIC SRL</t>
  </si>
  <si>
    <t>CASA HUTTON SAU</t>
  </si>
  <si>
    <t>Grupo Grafico del Norte SA</t>
  </si>
  <si>
    <t>GRUPO PLEYART SA</t>
  </si>
  <si>
    <t>DENITA MADERAS S R L</t>
  </si>
  <si>
    <t>BELCAGUY MARIA LUCIANA</t>
  </si>
  <si>
    <t>COMERCIALIZADORA G Y C SRL</t>
  </si>
  <si>
    <t>COMA GRUPO IMPRESOR SRL</t>
  </si>
  <si>
    <t>PRODUCTOS ROME SRL</t>
  </si>
  <si>
    <t>ARIDOS MOSCONI SRL</t>
  </si>
  <si>
    <t>BLUE TOP CLEANING SA</t>
  </si>
  <si>
    <t>TRESPANDO NESTOR GABRIEL</t>
  </si>
  <si>
    <t>ARGENTINA GLOBAL SA</t>
  </si>
  <si>
    <t>SAN JOSE MAURO ALEJANDRO</t>
  </si>
  <si>
    <t>ROMAGNOLO CARLOS RAUL</t>
  </si>
  <si>
    <t>K VA CONSTRUCCIONES SA</t>
  </si>
  <si>
    <t>GHEZZI CARLOS ALBERTO</t>
  </si>
  <si>
    <t>CLUB ATLETICO BIBLIOTECA Y MUTUAL ARGENTINO</t>
  </si>
  <si>
    <t>NORLIT SRL</t>
  </si>
  <si>
    <t>PANIZ AGUSTIN</t>
  </si>
  <si>
    <t>SIRIAGRO SAS</t>
  </si>
  <si>
    <t>SOBRERO ROBERTO PEDRO CARMEN</t>
  </si>
  <si>
    <t>VILCA CRISTIAN</t>
  </si>
  <si>
    <t>LA ERNESTINA SA</t>
  </si>
  <si>
    <t>GRUPO MARTIZ SAS</t>
  </si>
  <si>
    <t>CASA MIA SRL</t>
  </si>
  <si>
    <t>COMPAÑIA PARINI SRL</t>
  </si>
  <si>
    <t>*MAV210101254</t>
  </si>
  <si>
    <t>*MAV050201134</t>
  </si>
  <si>
    <t>*MAV050201135</t>
  </si>
  <si>
    <t>*MAV080101354</t>
  </si>
  <si>
    <t>*MAV150101872</t>
  </si>
  <si>
    <t>*MAV280101164</t>
  </si>
  <si>
    <t>*MAV311201417</t>
  </si>
  <si>
    <t>*MAV190201016</t>
  </si>
  <si>
    <t>*MAV060301361</t>
  </si>
  <si>
    <t>*MAV200201463</t>
  </si>
  <si>
    <t>*MAV040301200</t>
  </si>
  <si>
    <t>*MAV210201186</t>
  </si>
  <si>
    <t>*MAV160201235</t>
  </si>
  <si>
    <t>AGRO SUPPLIES SRL S. R. L.</t>
  </si>
  <si>
    <t>*MAV220101350</t>
  </si>
  <si>
    <t>*MAV220200960</t>
  </si>
  <si>
    <t>*MAV221101402</t>
  </si>
  <si>
    <t>*MAV221201550</t>
  </si>
  <si>
    <t>HARVEST S.A.</t>
  </si>
  <si>
    <t>14/10/2027</t>
  </si>
  <si>
    <t>*MAV111001160</t>
  </si>
  <si>
    <t>Lastcall SA</t>
  </si>
  <si>
    <t>*MAV140101386</t>
  </si>
  <si>
    <t>*MAV270101394</t>
  </si>
  <si>
    <t>*MAV011201828</t>
  </si>
  <si>
    <t>*MAV261101528</t>
  </si>
  <si>
    <t>*MAV271101808</t>
  </si>
  <si>
    <t>#UMV010270024</t>
  </si>
  <si>
    <t>*MAV141101835</t>
  </si>
  <si>
    <t>*MAV241200696</t>
  </si>
  <si>
    <t>*MAV251102149</t>
  </si>
  <si>
    <t>*MAV281201329</t>
  </si>
  <si>
    <t>*MAV240201275</t>
  </si>
  <si>
    <t>14/06/2027</t>
  </si>
  <si>
    <t>*MAV100602060</t>
  </si>
  <si>
    <t>*MAV200101935</t>
  </si>
  <si>
    <t>*MAV200101937</t>
  </si>
  <si>
    <t>*MAV111201646</t>
  </si>
  <si>
    <t>*MAV120101741</t>
  </si>
  <si>
    <t>*MAV130101433</t>
  </si>
  <si>
    <t>*MAV140101387</t>
  </si>
  <si>
    <t>*MAV150101875</t>
  </si>
  <si>
    <t>*MAV190101374</t>
  </si>
  <si>
    <t>*MAV120101740</t>
  </si>
  <si>
    <t>*MAV130101432</t>
  </si>
  <si>
    <t>*MAV200101936</t>
  </si>
  <si>
    <t>*MAV210101255</t>
  </si>
  <si>
    <t>*MAV200101931</t>
  </si>
  <si>
    <t>*MAV211201351</t>
  </si>
  <si>
    <t>1 BNA = 1560,0000998400 $</t>
  </si>
  <si>
    <t>#MAV201160058</t>
  </si>
  <si>
    <t>CAUCION</t>
  </si>
  <si>
    <t>#MAV250370017</t>
  </si>
  <si>
    <t>30/03/2027</t>
  </si>
  <si>
    <t>#MAV291260026</t>
  </si>
  <si>
    <t>*AGV170300001</t>
  </si>
  <si>
    <t>*AGV240200001</t>
  </si>
  <si>
    <t>*AGV250100002</t>
  </si>
  <si>
    <t>*INP041200067</t>
  </si>
  <si>
    <t>*INP211100072</t>
  </si>
  <si>
    <t>*MAV011201851</t>
  </si>
  <si>
    <t>*MAV271101838</t>
  </si>
  <si>
    <t>*MAV281101726</t>
  </si>
  <si>
    <t>*MAV041101767</t>
  </si>
  <si>
    <t>*MAV231201588</t>
  </si>
  <si>
    <t>*MAV231101302</t>
  </si>
  <si>
    <t>*MAV061101728</t>
  </si>
  <si>
    <t>*TRD111100036</t>
  </si>
  <si>
    <t>*MAV050201136</t>
  </si>
  <si>
    <t>*MAV281201336</t>
  </si>
  <si>
    <t>*MAV050101423</t>
  </si>
  <si>
    <t>*MAV250101127</t>
  </si>
  <si>
    <t>*MAV101102439</t>
  </si>
  <si>
    <t>*MAV071101719</t>
  </si>
  <si>
    <t>*PRO240100013</t>
  </si>
  <si>
    <t>*MAV150101880</t>
  </si>
  <si>
    <t>*MAV080101362</t>
  </si>
  <si>
    <t>#MAV301160085</t>
  </si>
  <si>
    <t>#MAV301160084</t>
  </si>
  <si>
    <t>*MAV161002065</t>
  </si>
  <si>
    <t>20/10/2027</t>
  </si>
  <si>
    <t>*MAV160901879</t>
  </si>
  <si>
    <t>20/09/2027</t>
  </si>
  <si>
    <t>*PRO121100030</t>
  </si>
  <si>
    <t>*MAV141201648</t>
  </si>
  <si>
    <t>*MAV161201634</t>
  </si>
  <si>
    <t>*MAV181201659</t>
  </si>
  <si>
    <t>*MAV100101428</t>
  </si>
  <si>
    <t>MENHIR SRL</t>
  </si>
  <si>
    <t>RTM LOGISTICA SRL</t>
  </si>
  <si>
    <t>ELORTEGUI JULIO CESAR GUSTAVO EDUARDO Y MARIO MARCELO SH</t>
  </si>
  <si>
    <t>BICHO NORTEÑO SAS</t>
  </si>
  <si>
    <t>Agroaval S.G.R.</t>
  </si>
  <si>
    <t>*MAV280201864</t>
  </si>
  <si>
    <t>*MAV280201865</t>
  </si>
  <si>
    <t>*MAV310101636</t>
  </si>
  <si>
    <t>*MAV310101635</t>
  </si>
  <si>
    <t>*MAV280201866</t>
  </si>
  <si>
    <t>*TRD040100023</t>
  </si>
  <si>
    <t>*TRD050100036</t>
  </si>
  <si>
    <t>*TRD060100033</t>
  </si>
  <si>
    <t>*TRD070100040</t>
  </si>
  <si>
    <t>*TRD080100031</t>
  </si>
  <si>
    <t>*TRD110100021</t>
  </si>
  <si>
    <t>*TRD120100029</t>
  </si>
  <si>
    <t>*TRD290100030</t>
  </si>
  <si>
    <t>*TRD110200026</t>
  </si>
  <si>
    <t>*TRD100200036</t>
  </si>
  <si>
    <t>*TRD090200019</t>
  </si>
  <si>
    <t>*TRD050200043</t>
  </si>
  <si>
    <t>*TRD050200042</t>
  </si>
  <si>
    <t>*TRD040200027</t>
  </si>
  <si>
    <t>*TRD040200026</t>
  </si>
  <si>
    <t>*TRD030200029</t>
  </si>
  <si>
    <t>*TRD221200028</t>
  </si>
  <si>
    <t>*TRD211200033</t>
  </si>
  <si>
    <t>*TRD201100040</t>
  </si>
  <si>
    <t>*TRD120200024</t>
  </si>
  <si>
    <t>*TRD220100032</t>
  </si>
  <si>
    <t>*TRD210100048</t>
  </si>
  <si>
    <t>*TRD200100048</t>
  </si>
  <si>
    <t>*TRD140100028</t>
  </si>
  <si>
    <t>*TRD130100035</t>
  </si>
  <si>
    <t>*TRD060100034</t>
  </si>
  <si>
    <t>*TRD121100028</t>
  </si>
  <si>
    <t>*TRD130100034</t>
  </si>
  <si>
    <t>*TRD131100040</t>
  </si>
  <si>
    <t>*TRD140100027</t>
  </si>
  <si>
    <t>*TRD301200064</t>
  </si>
  <si>
    <t>*TRD291200044</t>
  </si>
  <si>
    <t>*TRD231200035</t>
  </si>
  <si>
    <t>*TRD160200032</t>
  </si>
  <si>
    <t>*TRD150100045</t>
  </si>
  <si>
    <t>*TRD101200053</t>
  </si>
  <si>
    <t>*TRD111200044</t>
  </si>
  <si>
    <t>*TRD141200031</t>
  </si>
  <si>
    <t>*TRD161100032</t>
  </si>
  <si>
    <t>*TRD181200033</t>
  </si>
  <si>
    <t>*MOV270300075</t>
  </si>
  <si>
    <t>*MOV270200079</t>
  </si>
  <si>
    <t>*MOV270400061</t>
  </si>
  <si>
    <t>29/04/2027</t>
  </si>
  <si>
    <t>*MOV271200068</t>
  </si>
  <si>
    <t>*MOV271100091</t>
  </si>
  <si>
    <t>*MOV271100090</t>
  </si>
  <si>
    <t>*MOV270100070</t>
  </si>
  <si>
    <t>*MOV270100069</t>
  </si>
  <si>
    <t>*MOV270100068</t>
  </si>
  <si>
    <t>*MOV271200066</t>
  </si>
  <si>
    <t>*MOV271100092</t>
  </si>
  <si>
    <t>*MOV271200067</t>
  </si>
  <si>
    <t>*PRO250100013</t>
  </si>
  <si>
    <t>*MAV201201812</t>
  </si>
  <si>
    <t>*MAV200101954</t>
  </si>
  <si>
    <t>*MAV180201192</t>
  </si>
  <si>
    <t>*MAV101202043</t>
  </si>
  <si>
    <t>*MAV100201755</t>
  </si>
  <si>
    <t>*MAV100101438</t>
  </si>
  <si>
    <t>*MAV280201870</t>
  </si>
  <si>
    <t>*MAV300101511</t>
  </si>
  <si>
    <t>*MAV301201821</t>
  </si>
  <si>
    <t>*MAV250201235</t>
  </si>
  <si>
    <t>*MAV060101405</t>
  </si>
  <si>
    <t>*MAV250101143</t>
  </si>
  <si>
    <t>*MAV281201350</t>
  </si>
  <si>
    <t>*MAV021201606</t>
  </si>
  <si>
    <t>*MAV031201289</t>
  </si>
  <si>
    <t>*MAV011201876</t>
  </si>
  <si>
    <t>*MAV041201452</t>
  </si>
  <si>
    <t>*MAV250101144</t>
  </si>
  <si>
    <t>*MAV260301240</t>
  </si>
  <si>
    <t>*MAV281201356</t>
  </si>
  <si>
    <t>*MAV100501441</t>
  </si>
  <si>
    <t>12/05/2027</t>
  </si>
  <si>
    <t>*MAV240201281</t>
  </si>
  <si>
    <t>*MAV261101578</t>
  </si>
  <si>
    <t>*MAV201201815</t>
  </si>
  <si>
    <t>*MAV301102787</t>
  </si>
  <si>
    <t>*MAV301201822</t>
  </si>
  <si>
    <t>*MAV171201353</t>
  </si>
  <si>
    <t>*MAV031201290</t>
  </si>
  <si>
    <t>*MAV181201681</t>
  </si>
  <si>
    <t>*MAV181201682</t>
  </si>
  <si>
    <t>*MAV141201679</t>
  </si>
  <si>
    <t>*MAV151202294</t>
  </si>
  <si>
    <t>*MAV191201437</t>
  </si>
  <si>
    <t>*PRO131200015</t>
  </si>
  <si>
    <t>*MAV041101795</t>
  </si>
  <si>
    <t>*MAV050201141</t>
  </si>
  <si>
    <t>*MAV061101770</t>
  </si>
  <si>
    <t>*MAV080200802</t>
  </si>
  <si>
    <t>*MAV200501935</t>
  </si>
  <si>
    <t>24/05/2027</t>
  </si>
  <si>
    <t>*MAV230501282</t>
  </si>
  <si>
    <t>*MAV300402074</t>
  </si>
  <si>
    <t>04/05/2027</t>
  </si>
  <si>
    <t>*MAV290701612</t>
  </si>
  <si>
    <t>02/08/2027</t>
  </si>
  <si>
    <t>*MAV281201361</t>
  </si>
  <si>
    <t>*MAV190101389</t>
  </si>
  <si>
    <t>*MAV041201456</t>
  </si>
  <si>
    <t>*MAV281201363</t>
  </si>
  <si>
    <t>*MAV141201683</t>
  </si>
  <si>
    <t>*MAV281201364</t>
  </si>
  <si>
    <t>*MAV281201365</t>
  </si>
  <si>
    <t>*MAV100501442</t>
  </si>
  <si>
    <t>*MAV240201282</t>
  </si>
  <si>
    <t>*MAV250101149</t>
  </si>
  <si>
    <t>*MAV260301241</t>
  </si>
  <si>
    <t>*INP120500083</t>
  </si>
  <si>
    <t>*INP070400059</t>
  </si>
  <si>
    <t>09/04/2027</t>
  </si>
  <si>
    <t>*CVA150100023</t>
  </si>
  <si>
    <t>*CVA180100016</t>
  </si>
  <si>
    <t>*CVA190100018</t>
  </si>
  <si>
    <t>*CVA200100031</t>
  </si>
  <si>
    <t>*CVA210100014</t>
  </si>
  <si>
    <t>*CVA220100016</t>
  </si>
  <si>
    <t>*CVA250100016</t>
  </si>
  <si>
    <t>*AFB181200014</t>
  </si>
  <si>
    <t>*AFB171200019</t>
  </si>
  <si>
    <t>*AFB161200021</t>
  </si>
  <si>
    <t>*AAR230300025</t>
  </si>
  <si>
    <t>*AAR250300047</t>
  </si>
  <si>
    <t>*INP170500058</t>
  </si>
  <si>
    <t>*INP150200083</t>
  </si>
  <si>
    <t>*INP200200089</t>
  </si>
  <si>
    <t>*AAR300400036</t>
  </si>
  <si>
    <t>*INP100200081</t>
  </si>
  <si>
    <t>#MAV050170049</t>
  </si>
  <si>
    <t>*MAV271101837</t>
  </si>
  <si>
    <t>*MAV251102155</t>
  </si>
  <si>
    <t>*MAV201102226</t>
  </si>
  <si>
    <t>*MAV171101871</t>
  </si>
  <si>
    <t>*MAV161201637</t>
  </si>
  <si>
    <t>*MAV141201656</t>
  </si>
  <si>
    <t>*MAV101202022</t>
  </si>
  <si>
    <t>*MAV071201155</t>
  </si>
  <si>
    <t>*MAV031201275</t>
  </si>
  <si>
    <t>*MAV011201850</t>
  </si>
  <si>
    <t>*INP260100064</t>
  </si>
  <si>
    <t>*MAV250500782</t>
  </si>
  <si>
    <t>BIONEFRO SRL</t>
  </si>
  <si>
    <t>ANJOR SA</t>
  </si>
  <si>
    <t>SAMPIETRO HNOS SA</t>
  </si>
  <si>
    <t>ALEJANDRO J GARCIA Y CIA SRL</t>
  </si>
  <si>
    <t>CID MADERAS SRL</t>
  </si>
  <si>
    <t>FLORES SERVIAN CONSTRUCCIONES SRL</t>
  </si>
  <si>
    <t>GRUPO FUENTE DE LAS SIERRAS SA</t>
  </si>
  <si>
    <t>SALVADOR CONSTRUCCIONES SA</t>
  </si>
  <si>
    <t>DISTRIBUIDORA DE REPUESTOS Z SRL</t>
  </si>
  <si>
    <t>ROLCKA SRL</t>
  </si>
  <si>
    <t>BERSAMP SA</t>
  </si>
  <si>
    <t>POGGIO HNOS SAS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</si>
  <si>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10:19:45</t>
  </si>
  <si>
    <t xml:space="preserve">                                                                                                                Informe de Gestión al 29/10/2026</t>
  </si>
  <si>
    <t>*AFB270300007</t>
  </si>
  <si>
    <t>*NEU250100029</t>
  </si>
  <si>
    <t>*NEU270100024</t>
  </si>
  <si>
    <t>*INP180300071</t>
  </si>
  <si>
    <t>*INP160300056</t>
  </si>
  <si>
    <t>*INP220300065</t>
  </si>
  <si>
    <t>*INP170300068</t>
  </si>
  <si>
    <t>*NEU041200012</t>
  </si>
  <si>
    <t>*NEU071200013</t>
  </si>
  <si>
    <t>*NEU280200044</t>
  </si>
  <si>
    <t>*NEU050300027</t>
  </si>
  <si>
    <t>*ACI310300509</t>
  </si>
  <si>
    <t>*ACI301200547</t>
  </si>
  <si>
    <t>*ACI300100460</t>
  </si>
  <si>
    <t>*ACI290100313</t>
  </si>
  <si>
    <t>*ACI250100333</t>
  </si>
  <si>
    <t>*ACI210200246</t>
  </si>
  <si>
    <t>*ACI210100349</t>
  </si>
  <si>
    <t>*ACI200100470</t>
  </si>
  <si>
    <t>*ACI200100469</t>
  </si>
  <si>
    <t>*ACI050200315</t>
  </si>
  <si>
    <t>*ACI050200314</t>
  </si>
  <si>
    <t>*ACI280200581</t>
  </si>
  <si>
    <t>*ACI140200320</t>
  </si>
  <si>
    <t>*ACI280300246</t>
  </si>
  <si>
    <t>*ACI140300245</t>
  </si>
  <si>
    <t>*NEU270200027</t>
  </si>
  <si>
    <t>*SOL301100026</t>
  </si>
  <si>
    <t>*SOL260200004</t>
  </si>
  <si>
    <t>*ACI200200473</t>
  </si>
  <si>
    <t>*ACI291100226</t>
  </si>
  <si>
    <t>*ACI050300289</t>
  </si>
  <si>
    <t>*AGV150400011</t>
  </si>
  <si>
    <t>*AGV140500006</t>
  </si>
  <si>
    <t>18/05/2027</t>
  </si>
  <si>
    <t>*AGV150300001</t>
  </si>
  <si>
    <t>*AGV150600008</t>
  </si>
  <si>
    <t>17/06/2027</t>
  </si>
  <si>
    <t>*NEU100200028</t>
  </si>
  <si>
    <t>*NEU030100018</t>
  </si>
  <si>
    <t>*NEU301200031</t>
  </si>
  <si>
    <t>*NEU251200014</t>
  </si>
  <si>
    <t>*NEU211200027</t>
  </si>
  <si>
    <t>#MAV260470013</t>
  </si>
  <si>
    <t>27/04/2027</t>
  </si>
  <si>
    <t>*MAV301201826</t>
  </si>
  <si>
    <t>*MAV301201827</t>
  </si>
  <si>
    <t>*MAV150201248</t>
  </si>
  <si>
    <t>*CVA260300021</t>
  </si>
  <si>
    <t>*MAV030201201</t>
  </si>
  <si>
    <t>*MAV280101189</t>
  </si>
  <si>
    <t>MAVR080600072</t>
  </si>
  <si>
    <t>10/06/2027</t>
  </si>
  <si>
    <t>MAVR080800051</t>
  </si>
  <si>
    <t>11/08/2027</t>
  </si>
  <si>
    <t>MAVR080600073</t>
  </si>
  <si>
    <t>MAVR190700140</t>
  </si>
  <si>
    <t>MAVR190600071</t>
  </si>
  <si>
    <t>24/06/2027</t>
  </si>
  <si>
    <t>MAVR100600109</t>
  </si>
  <si>
    <t>*MAV021201615</t>
  </si>
  <si>
    <t>*MAV031201299</t>
  </si>
  <si>
    <t>*MAV010100558</t>
  </si>
  <si>
    <t>*MAV040100988</t>
  </si>
  <si>
    <t>*MAV050101438</t>
  </si>
  <si>
    <t>*MAV060101416</t>
  </si>
  <si>
    <t>*MAV070101104</t>
  </si>
  <si>
    <t>*MAV120101770</t>
  </si>
  <si>
    <t>*MAV280201880</t>
  </si>
  <si>
    <t>*MAV280201881</t>
  </si>
  <si>
    <t>*MAV280201882</t>
  </si>
  <si>
    <t>*MAV310101652</t>
  </si>
  <si>
    <t>#MAV221260078</t>
  </si>
  <si>
    <t>#MAV221260079</t>
  </si>
  <si>
    <t>#MAV221260080</t>
  </si>
  <si>
    <t>*MAV051201606</t>
  </si>
  <si>
    <t>*MAV211201408</t>
  </si>
  <si>
    <t>*MAV261201709</t>
  </si>
  <si>
    <t>*MAV181201699</t>
  </si>
  <si>
    <t>*MAV031201305</t>
  </si>
  <si>
    <t>*MAV071201178</t>
  </si>
  <si>
    <t>*MAV301102815</t>
  </si>
  <si>
    <t>*MAV250101159</t>
  </si>
  <si>
    <t>*MAV310101654</t>
  </si>
  <si>
    <t>*MAV280101194</t>
  </si>
  <si>
    <t>*MAV281101750</t>
  </si>
  <si>
    <t>*MAV281201384</t>
  </si>
  <si>
    <t>*MAV280101195</t>
  </si>
  <si>
    <t>*MAV281201383</t>
  </si>
  <si>
    <t>*MAV111101895</t>
  </si>
  <si>
    <t>*MAV020301110</t>
  </si>
  <si>
    <t>*MAV080300984</t>
  </si>
  <si>
    <t>*MAV150301379</t>
  </si>
  <si>
    <t>*MAV190301090</t>
  </si>
  <si>
    <t>*MAV300301238</t>
  </si>
  <si>
    <t>*MAV230101293</t>
  </si>
  <si>
    <t>*MAV300101522</t>
  </si>
  <si>
    <t>*MAV250101160</t>
  </si>
  <si>
    <t>*MAV300101523</t>
  </si>
  <si>
    <t>*MAV220101379</t>
  </si>
  <si>
    <t>*MAV290101208</t>
  </si>
  <si>
    <t>%UQQ110200001</t>
  </si>
  <si>
    <t>%UQQ110200002</t>
  </si>
  <si>
    <t xml:space="preserve">La Duration del Fondo es de 6 días </t>
  </si>
  <si>
    <t>1 US3 = 1539,5930209017 $</t>
  </si>
  <si>
    <t>TRIVENTO BODEGAS Y VI EDOS S.A.</t>
  </si>
  <si>
    <t>TECSAN INGENIERIA AMBIENTAL</t>
  </si>
  <si>
    <t>QUIMICA ROS I C SA</t>
  </si>
  <si>
    <t>CNF SA</t>
  </si>
  <si>
    <t>DUEL SRL</t>
  </si>
  <si>
    <t>NARVAJA JORGE OSVALDO Y NARVAJA JOSE OSVALDO SH</t>
  </si>
  <si>
    <t>TRANSPORTE LA CARLOTA SAS</t>
  </si>
  <si>
    <t>CONO SA</t>
  </si>
  <si>
    <t>MAROPOR SRL</t>
  </si>
  <si>
    <t>SICOT FACUNDO PAUL</t>
  </si>
  <si>
    <t>MECANIZADOS KOKE SRL</t>
  </si>
  <si>
    <t>COINCER SACIFA</t>
  </si>
  <si>
    <t>DUCRI ARGENTINA SRL</t>
  </si>
  <si>
    <t>AGRONASAJA SRL</t>
  </si>
  <si>
    <t>DREAMCO S. A.</t>
  </si>
  <si>
    <t>Patagonia S.G.R.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</si>
</sst>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-* #,##0.00\ _€_-;\-* #,##0.00\ _€_-;_-* &quot;-&quot;??\ _€_-;_-@_-"/>
    <numFmt numFmtId="176" formatCode="_-* #,##0.00000000\ _€_-;\-* #,##0.00000000\ _€_-;_-* &quot;-&quot;????????\ _€_-;_-@_-"/>
    <numFmt numFmtId="177" formatCode="_ * #,##0_ ;_ * \-#,##0_ ;_ * &quot;-&quot;??_ ;_ @_ "/>
    <numFmt numFmtId="178" formatCode="_(&quot;$&quot;* #,##0.00_);_(&quot;$&quot;* \(#,##0.00\);_(&quot;$&quot;* &quot;-&quot;??_);_(@_)"/>
    <numFmt numFmtId="179" formatCode="_-* #,##0_-;\-* #,##0_-;_-* &quot;-&quot;??_-;_-@_-"/>
    <numFmt numFmtId="180" formatCode="_ * #,##0.00000_ ;_ * \-#,##0.00000_ ;_ * &quot;-&quot;??_ ;_ @_ "/>
    <numFmt numFmtId="181" formatCode="dd/mm/yyyy"/>
    <numFmt numFmtId="182" formatCode="#,##0.0000000"/>
    <numFmt numFmtId="183" formatCode="0.000%"/>
    <numFmt numFmtId="184" formatCode="#,##0.00000"/>
  </numFmts>
  <fonts count="37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Arial"/>
      <family val="2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86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0" fontId="5" fillId="0" borderId="0" xfId="0" applyFon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4" fontId="12" fillId="0" borderId="0" xfId="0" applyNumberFormat="1" applyFont="1"/>
    <xf numFmtId="164" fontId="4" fillId="0" borderId="0" xfId="2" applyFont="1"/>
    <xf numFmtId="10" fontId="12" fillId="0" borderId="0" xfId="0" applyNumberFormat="1" applyFont="1"/>
    <xf numFmtId="164" fontId="12" fillId="0" borderId="0" xfId="2" applyFon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3" fontId="0" fillId="5" borderId="0" xfId="0" applyNumberFormat="1" applyFill="1"/>
    <xf numFmtId="0" fontId="0" fillId="5" borderId="1" xfId="0" applyFill="1" applyBorder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6" fontId="0" fillId="5" borderId="0" xfId="0" applyNumberFormat="1" applyFill="1"/>
    <xf numFmtId="175" fontId="0" fillId="5" borderId="0" xfId="0" applyNumberFormat="1" applyFill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7" fontId="0" fillId="0" borderId="2" xfId="21" applyNumberFormat="1" applyFont="1" applyFill="1" applyBorder="1" applyAlignment="1">
      <alignment horizontal="center"/>
    </xf>
    <xf numFmtId="177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8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7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8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0" fontId="4" fillId="5" borderId="0" xfId="20" applyNumberFormat="1" applyFont="1" applyFill="1"/>
    <xf numFmtId="0" fontId="12" fillId="0" borderId="2" xfId="0" applyFont="1" applyBorder="1"/>
    <xf numFmtId="180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79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79" fontId="5" fillId="5" borderId="21" xfId="0" applyNumberFormat="1" applyFont="1" applyFill="1" applyBorder="1"/>
    <xf numFmtId="181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0" fontId="0" fillId="5" borderId="2" xfId="0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3" fontId="30" fillId="0" borderId="0" xfId="0" applyNumberFormat="1" applyFont="1"/>
    <xf numFmtId="0" fontId="0" fillId="0" borderId="22" xfId="0" pivotButton="1" applyBorder="1"/>
    <xf numFmtId="0" fontId="0" fillId="0" borderId="22" xfId="0" applyBorder="1"/>
    <xf numFmtId="0" fontId="0" fillId="0" borderId="24" xfId="0" applyBorder="1"/>
    <xf numFmtId="0" fontId="0" fillId="0" borderId="26" xfId="0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4" fontId="0" fillId="0" borderId="0" xfId="0" applyNumberFormat="1" applyAlignment="1">
      <alignment vertical="center" wrapText="1"/>
    </xf>
    <xf numFmtId="14" fontId="0" fillId="5" borderId="0" xfId="0" applyNumberFormat="1" applyFill="1"/>
    <xf numFmtId="165" fontId="14" fillId="5" borderId="0" xfId="0" applyNumberFormat="1" applyFont="1" applyFill="1"/>
    <xf numFmtId="0" fontId="12" fillId="5" borderId="0" xfId="0" applyFont="1" applyFill="1" applyAlignment="1">
      <alignment horizontal="right"/>
    </xf>
    <xf numFmtId="171" fontId="11" fillId="5" borderId="0" xfId="2" applyNumberFormat="1" applyFont="1" applyFill="1"/>
    <xf numFmtId="4" fontId="32" fillId="5" borderId="0" xfId="0" applyNumberFormat="1" applyFont="1" applyFill="1"/>
    <xf numFmtId="4" fontId="5" fillId="5" borderId="0" xfId="0" applyNumberFormat="1" applyFont="1" applyFill="1"/>
    <xf numFmtId="164" fontId="5" fillId="5" borderId="0" xfId="0" applyNumberFormat="1" applyFont="1" applyFill="1"/>
    <xf numFmtId="165" fontId="36" fillId="5" borderId="0" xfId="0" applyNumberFormat="1" applyFont="1" applyFill="1"/>
    <xf numFmtId="4" fontId="30" fillId="5" borderId="0" xfId="0" applyNumberFormat="1" applyFont="1" applyFill="1"/>
    <xf numFmtId="4" fontId="9" fillId="5" borderId="0" xfId="0" applyNumberFormat="1" applyFont="1" applyFill="1"/>
    <xf numFmtId="165" fontId="12" fillId="0" borderId="0" xfId="0" applyNumberFormat="1" applyFont="1"/>
    <xf numFmtId="173" fontId="12" fillId="0" borderId="0" xfId="0" applyNumberFormat="1" applyFont="1"/>
    <xf numFmtId="166" fontId="12" fillId="0" borderId="0" xfId="0" applyNumberFormat="1" applyFont="1"/>
    <xf numFmtId="182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0" fontId="5" fillId="8" borderId="4" xfId="0" applyFont="1" applyFill="1" applyBorder="1" applyAlignment="1">
      <alignment horizontal="center"/>
    </xf>
    <xf numFmtId="4" fontId="5" fillId="8" borderId="4" xfId="0" applyNumberFormat="1" applyFont="1" applyFill="1" applyBorder="1"/>
    <xf numFmtId="0" fontId="0" fillId="5" borderId="28" xfId="0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4" fontId="5" fillId="5" borderId="2" xfId="0" applyNumberFormat="1" applyFont="1" applyFill="1" applyBorder="1" applyAlignment="1">
      <alignment horizontal="center"/>
    </xf>
    <xf numFmtId="164" fontId="5" fillId="5" borderId="2" xfId="0" applyNumberFormat="1" applyFont="1" applyFill="1" applyBorder="1" applyAlignment="1">
      <alignment horizontal="center"/>
    </xf>
    <xf numFmtId="4" fontId="0" fillId="5" borderId="2" xfId="0" applyNumberFormat="1" applyFill="1" applyBorder="1"/>
    <xf numFmtId="9" fontId="0" fillId="5" borderId="2" xfId="20" applyFont="1" applyFill="1" applyBorder="1" applyAlignment="1">
      <alignment horizontal="center"/>
    </xf>
    <xf numFmtId="164" fontId="12" fillId="5" borderId="2" xfId="2" applyFont="1" applyFill="1" applyBorder="1"/>
    <xf numFmtId="9" fontId="0" fillId="0" borderId="2" xfId="20" applyFont="1" applyBorder="1" applyAlignment="1">
      <alignment horizontal="center" vertical="center" wrapText="1"/>
    </xf>
    <xf numFmtId="4" fontId="12" fillId="5" borderId="2" xfId="0" applyNumberFormat="1" applyFont="1" applyFill="1" applyBorder="1"/>
    <xf numFmtId="0" fontId="0" fillId="7" borderId="16" xfId="0" applyFill="1" applyBorder="1"/>
    <xf numFmtId="0" fontId="0" fillId="7" borderId="29" xfId="0" applyFill="1" applyBorder="1"/>
    <xf numFmtId="164" fontId="0" fillId="7" borderId="17" xfId="0" applyNumberFormat="1" applyFill="1" applyBorder="1"/>
    <xf numFmtId="10" fontId="5" fillId="3" borderId="31" xfId="20" applyNumberFormat="1" applyFont="1" applyFill="1" applyBorder="1"/>
    <xf numFmtId="0" fontId="0" fillId="5" borderId="30" xfId="0" applyFill="1" applyBorder="1"/>
    <xf numFmtId="0" fontId="0" fillId="5" borderId="18" xfId="0" applyFill="1" applyBorder="1"/>
    <xf numFmtId="43" fontId="0" fillId="7" borderId="6" xfId="0" applyNumberFormat="1" applyFill="1" applyBorder="1"/>
    <xf numFmtId="183" fontId="0" fillId="0" borderId="23" xfId="0" applyNumberFormat="1" applyBorder="1"/>
    <xf numFmtId="183" fontId="0" fillId="0" borderId="25" xfId="0" applyNumberFormat="1" applyBorder="1"/>
    <xf numFmtId="183" fontId="0" fillId="0" borderId="27" xfId="0" applyNumberFormat="1" applyBorder="1"/>
    <xf numFmtId="183" fontId="4" fillId="0" borderId="0" xfId="20" applyNumberFormat="1" applyFont="1"/>
    <xf numFmtId="4" fontId="0" fillId="5" borderId="6" xfId="0" applyNumberFormat="1" applyFill="1" applyBorder="1"/>
    <xf numFmtId="4" fontId="0" fillId="5" borderId="31" xfId="0" applyNumberFormat="1" applyFill="1" applyBorder="1"/>
    <xf numFmtId="0" fontId="0" fillId="0" borderId="23" xfId="0" applyBorder="1"/>
    <xf numFmtId="0" fontId="35" fillId="5" borderId="0" xfId="0" applyFont="1" applyFill="1" applyAlignment="1">
      <alignment horizontal="center"/>
    </xf>
    <xf numFmtId="184" fontId="12" fillId="0" borderId="0" xfId="0" applyNumberFormat="1" applyFont="1"/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29">
    <dxf>
      <numFmt numFmtId="183" formatCode="0.000%"/>
    </dxf>
    <dxf>
      <numFmt numFmtId="183" formatCode="0.000%"/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F2B3"/>
        </patternFill>
      </fill>
    </dxf>
    <dxf>
      <fill>
        <patternFill patternType="solid">
          <fgColor indexed="64"/>
          <bgColor rgb="FFF8CBCB"/>
        </patternFill>
      </fill>
    </dxf>
    <dxf>
      <font>
        <color rgb="FF9C0006"/>
      </font>
      <fill>
        <patternFill>
          <bgColor rgb="FFFFC7CE"/>
        </patternFill>
      </fill>
    </dxf>
    <dxf>
      <numFmt numFmtId="183" formatCode="0.000%"/>
    </dxf>
    <dxf>
      <numFmt numFmtId="183" formatCode="0.000%"/>
    </dxf>
    <dxf>
      <numFmt numFmtId="183" formatCode="0.000%"/>
    </dxf>
    <dxf>
      <numFmt numFmtId="183" formatCode="0.000%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/yyyy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/yyyy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325.439306018518" createdVersion="8" refreshedVersion="8" recordCount="2983" xr:uid="{2ADC35D0-82AB-4BD0-826C-8651D6F55B87}">
  <cacheSource type="worksheet">
    <worksheetSource ref="A3:W65221" sheet="Reporte de Cheques"/>
  </cacheSource>
  <cacheFields count="23">
    <cacheField name="Sociedad de Garantía Recíproca / Librador" numFmtId="0">
      <sharedItems containsBlank="1" count="1099">
        <s v="TREND SGR"/>
        <s v="Vinculos S.G.R."/>
        <s v="PAMPA VIDA S.R.L."/>
        <s v="Movil SGR"/>
        <s v="ELI SA"/>
        <s v="EPU VISION SA"/>
        <s v="CRECER S.G.R."/>
        <s v="MSVMUEBLERIA SAS"/>
        <s v="FRISVA SOCIEDAD ANONIMA"/>
        <s v="DEL CERRO SRL"/>
        <s v="FGF TRAPANI"/>
        <s v="HENDEL HOGAR SA"/>
        <s v="CELULOSA CAMPANA SA"/>
        <s v="REGCEN S.R.L."/>
        <s v="GRUB SA"/>
        <s v="MOBEL SOCIEDAD ANONIMA"/>
        <s v="BERARDO AGROPECUARIA SRL"/>
        <s v="A M F A Y S ASOCIACION MUTUAL"/>
        <s v="DRACONIS S.A."/>
        <s v="ENTRENUTS SRL"/>
        <s v="DOSAM SOCIEDAD DE RESPONSABILIDAD LIMITADA"/>
        <s v="Union S.G.R."/>
        <s v="S.E.S. S.A. - CONSTRUERE INGENIERIA S.A."/>
        <s v="LAGAVULIN S.A."/>
        <s v="PECAM"/>
        <s v="Neuquén Pymes S.G.R. "/>
        <s v="ESPECIALIDADES AGROPECUARIAS S.A."/>
        <s v="PINTURAS SAN AGUSTIN SRL"/>
        <s v="EDYCO SRL"/>
        <s v="MILLS S.G.R."/>
        <s v="LA MANTOVANA DE SERVICIOS GENERALES SA"/>
        <s v="TECNOMADERA SRL"/>
        <s v="IMPRESORES SO MI AL SRL"/>
        <s v="COIRINI SA"/>
        <s v="WTS DEL SUR SRL"/>
        <s v="CONSTRUCTORA SAN JOSE SRL"/>
        <s v="CENTRO DE DIAGNOSTICO MOLECULAR S A"/>
        <s v="JYV LOGISTICA Y TRANSPORTE SRL"/>
        <s v="AUTOPISTAS URBANAS SA"/>
        <s v="MAIOCCO CEREALES SA"/>
        <s v="BUROMAHTIK SA"/>
        <s v="GOBIERNO DE LA CUIDAD DE BUENOS AIRES"/>
        <s v="YAGUA COLI S.A."/>
        <s v="CONSTRUCCIONES &amp; MADERAS SRL"/>
        <s v="TEXTUM SA"/>
        <s v="CONTIMEDIOS S R L"/>
        <s v="GOMEZ ROCO Y CIA SRL"/>
        <s v="RED OROZA MULTIMARCA SA"/>
        <s v="EVALDO BOSSE E HIJOS SRL"/>
        <s v="GRUPO PETBA SA."/>
        <s v="MAIDANA ANDREA FLAVIA"/>
        <s v="KOMPASS SRL"/>
        <s v="PEREZ RIVERA E HIJOS SRL"/>
        <s v="SERVICIOS L&amp;A SRL"/>
        <s v="INTEGRA PYMES SGR"/>
        <s v="LOS GROBO SGR"/>
        <s v="CAPDEVILA MADERAS SRL"/>
        <s v="AMOROSO COPELLO MARCOS"/>
        <s v="SES SA"/>
        <s v="LEMES RAMON ALEJANDRO"/>
        <s v="RUTA 81 SRL"/>
        <s v="COM &amp; LOG SA"/>
        <s v="LAROCCA NEUMATICOS S A"/>
        <s v="LUBRE SRL"/>
        <s v="ZUBIRI HECTOR ARIEL"/>
        <s v="CONAVAL SGR"/>
        <s v="SOUTH MANAGEMENT REGION PATAGONICA SAU"/>
        <s v="GRAFICA OFFSET SRL"/>
        <s v="NVX SAS"/>
        <s v="CE.BE.CO."/>
        <s v="CHACRAS GREENS S. A."/>
        <s v="CASA SILVIA SA"/>
        <s v="AGL S.A."/>
        <s v="LOS 7 OMBUES SA"/>
        <s v="NAKU CONSTRUCCIONES SRL ALTOTE RODNEY SAUT"/>
        <s v="ABRIL AMOBLAMIENTOS SRL"/>
        <s v="WAL MART ARGENTINA SRL"/>
        <s v="INC SOCIEDAD ANONIMA"/>
        <s v="COARD S A"/>
        <s v="WORK PROJECT GROUP SA"/>
        <s v="IRIBERRI Y MOLINERO S A C I"/>
        <s v="C P S COMUNICACIONES S.A.U."/>
        <s v="LIPSA SRL"/>
        <s v="DISTRIBUIDORA HERMAR S R L"/>
        <s v="SNAP ARGENTINA S.R.L."/>
        <s v="METALFOR SA"/>
        <s v="LA COLONIA SA"/>
        <s v="BROADBANDTECH SA"/>
        <s v="CENTRALDENARO SAS"/>
        <s v="PETRO ECOL SRL"/>
        <s v="CEMEYKA SRL"/>
        <s v="COOPERATIVA DE VIVIENDA CREDITO Y CONSUMO PARA EL DESARROLLO LIMITADA"/>
        <s v="Fidus S.G.R."/>
        <s v="OSCAR PEMAN Y ASOCIADOS S.A."/>
        <s v="GOODENERGY SRL"/>
        <s v="COSECHAR SA"/>
        <s v="JYK SRL"/>
        <s v="BEROLI SAS"/>
        <s v="BGL CARGO Y LOGISTICA SRL"/>
        <s v="PACKLAND ARGENTINA"/>
        <s v="BORTOLUZZI CARLOS HILARIO"/>
        <s v="GRUPO MATT MDQ DISTRIBUCION Y LOGISTICA SA"/>
        <s v="ISIDORA SRL"/>
        <s v="SINERGY SA"/>
        <s v="SRB OBRAS Y SERVICIOS SRL"/>
        <s v="Casa Hutton SA"/>
        <s v="METALURGICA DEL CENTRO SRL"/>
        <s v="GO SERVICIOS DIGITALES SAS SAS"/>
        <s v="NEXTRANS SRL"/>
        <s v="GIVA LOGISTIC SRL"/>
        <s v="PROLIB SAS"/>
        <s v="BELONA PRIETTO S.R.L."/>
        <s v="V Y V ALIMENTOS S.A."/>
        <s v="C&amp;E CONSTRUCCIONES SA"/>
        <s v="SUSANA SUAREZ E HIJOS SOCIEDAD DEL CAPITULO I SECCION IV DE LA LGS"/>
        <s v="ALLIANCE ONE TOBACCO ARGENTINA"/>
        <s v="GHEZZI CARLOS ALBERTO"/>
        <s v="SALTAPOR S.R.L."/>
        <s v="NOVA FUSION SRL"/>
        <s v="PREMECOL SRL"/>
        <s v="BSP LARTI SA"/>
        <s v="COOPERATIVA DE TABACALEROS DE JUJUY LTDA"/>
        <s v="SURSEM SOCIEDAD ANONIMA"/>
        <s v="LW GROUP SRL"/>
        <s v="RUBBO GUSTAVO ALEJANDRO MARIO"/>
        <s v="NELIO RAUL PIGNATTA Y CIA SA"/>
        <s v="DE DOMINGO FRANCISCO JORGE ESTEBAN"/>
        <s v="CORTONA Y PAUTASSO SA"/>
        <s v="ATERMICOS SRL"/>
        <s v="BAHIA GRANDE LN SA"/>
        <s v="AGROPECUARIA ROSA AMARILLA SA"/>
        <s v="SAN JACINTO SAAGI"/>
        <s v="DESVIO FUNKE SRL"/>
        <s v="SUAREZ FILABE SA"/>
        <s v="MADERERA NEWTON SA"/>
        <s v="AVAL FERTIL SGR"/>
        <s v="DE LAS MISIONES S.A."/>
        <s v="DEMAGRO SRL"/>
        <s v="QUILMES"/>
        <s v="FGC FUELS MARKETING SA"/>
        <s v="DROG SRL"/>
        <s v="CFN SRL"/>
        <s v="VILLAGAS SA"/>
        <s v="SECAR SRL"/>
        <s v="DHN DESARROLLADORA SRL"/>
        <s v="VELVET COMFORT &amp; DESIGN S.R.L."/>
        <s v="SIGMA AGRO S.A."/>
        <s v="Argenpymes S.G.R."/>
        <s v="AGRO CONECTA SAS"/>
        <s v="TROMBETTA AVIACION AGRICOLA SRL"/>
        <s v="SAKE SOCIEDAD DE RESPONSABILIDAD LIMITADA"/>
        <s v="DON ANTONIO COMBUSTIBLES SRL"/>
        <s v="LOS INCAS DESARROLLOS"/>
        <s v="MADETEC SA"/>
        <s v="LOGICA CONSULTING GROUP SAU"/>
        <s v="BODEGAS Y VIÑEDOS SANTA ELENA SRL"/>
        <s v="SERVICIOS DE PRODUCCIONES ARTISTICAS SRL"/>
        <s v="SZULDINER JAVIER HECTOR"/>
        <s v="WHITE SUN TECNOLOGIA SRL"/>
        <s v="VAZQUEZ SACII"/>
        <s v="FULLCREDIT S.A."/>
        <s v="VALTOR SA"/>
        <s v="AVAL AR SGR"/>
        <s v="OTA SOLUCIONES SAS"/>
        <s v="BARRIONUEVO ESTEBAN MANUEL"/>
        <s v="CARLOS E ENRIQUEZ SA"/>
        <s v="AGREFERTAR SA"/>
        <s v="QUITRAL COM SA"/>
        <s v="KUCHEN BAZAR SRL"/>
        <s v="MINEIRO SRL"/>
        <s v="RANGITATA EXPLOTACIONES SA"/>
        <s v="EL FIERRO SRL"/>
        <s v="GENERAC TECHNOLOGY MANAGEMENT"/>
        <s v="LOGISVET S.R.L."/>
        <s v="RHS TECNOLOGIA EN CONSTRUCCIONES S.A."/>
        <s v="COOPERATIVA SALTE A DE TAMBEROS LTDA"/>
        <s v="MENHIR SRL"/>
        <s v="COOPERATIVA LIMITADA AGRICOLA GANADERA DE SUNCHALES"/>
        <s v="S A BUCCOLINI C I F I A"/>
        <s v="BAYIT EMPRESA CONSTRUCTORA SRL"/>
        <s v="BiBank S.A."/>
        <s v="AVAL FEDERAL S.G.R."/>
        <s v="HERGENRETHER WALTER DANIEL"/>
        <s v="DE MARE LUCIANO"/>
        <s v="CONSTRUCTORA ALMAJO NORTE SRL"/>
        <s v="JVG GASTROPAN SRL"/>
        <s v="QSAND"/>
        <s v="BANESTO SA"/>
        <s v="GPV SA"/>
        <s v="INDUSTRIAS ERCA S A"/>
        <s v="DELIVERY HERO E COMMERCE SA"/>
        <s v="GRUPO PEÑAFLOR"/>
        <s v="AGROTECNOLOGIA Y SERVICIOS SA"/>
        <s v="GRANJAS DORADAS SRL"/>
        <s v="INAP S R L"/>
        <s v="INDUSTRIAS EL TUCAN SRL"/>
        <s v="COOPERATIVA DE TRABAJO ECOPILAR LIMITADA"/>
        <s v="DON HENRY SAS"/>
        <s v="ENERGIAS PATAGONICAS SRL"/>
        <s v="NEWPANEL SA"/>
        <s v="RTM LOGISTICA SRL"/>
        <s v="SICOT FACUNDO PAUL"/>
        <s v="PARDO S A"/>
        <s v="AL MUNDO NEGOCIOS EMPRESARIALES SRL"/>
        <s v="BILOROOM"/>
        <s v="C Y V EMBALAJES Y SERVICIOS SA"/>
        <s v="SOMOS INTEGRA SRL"/>
        <s v="TETRA DE ARGENTINA S.R.L."/>
        <s v="VENANZONI MIGUEL PACIFICO"/>
        <s v="MINERA ZLATO SRL"/>
        <s v="MENDOZA TEL CAR SA"/>
        <s v="TECNO FUNDACIONES SRL"/>
        <s v="LIMPOL SA"/>
        <s v="MADERAS TABAY SRL"/>
        <s v="ALDANES BAHIA SRL"/>
        <s v="DIEMINGER DAVINA DEL CARMEN ELIZABETH"/>
        <s v="KONEVKY MARINA GABRIELA"/>
        <s v="SANTA LETICIA SA"/>
        <s v="ALUSTIZA JOSE MARIA BAUTISTA"/>
        <s v="ZUBIAT JORGE OMAR"/>
        <s v="JACK CARS S.A"/>
        <s v="MONDELEZ ARG SA"/>
        <s v="TARJETA NARANJA SA"/>
        <s v="SIBIU PRODUCCIONES S.A.S."/>
        <s v="GASTRONOMIA EN MOVIMIENTO SRL"/>
        <s v="KEY TECHNOLOGY SRL"/>
        <s v="COMA CONSTRUCCIONES SA"/>
        <s v="RAMSES SRL"/>
        <s v="POLARIS NETWORK SAS"/>
        <s v="CALIZA CONSTRUCTORA SRL"/>
        <s v="DISTRIBUIDORA DE ALIMENTOS BALANCEADOS SRL"/>
        <s v="FIDEICOMISO TERRAL AL MAR"/>
        <s v="CEIBO CREDITOS S.A."/>
        <s v="PUNTO PACK SRL"/>
        <s v="BAIRES QUIMICA SA"/>
        <s v="ESTACION FERREYRA SRL SRL"/>
        <s v="SERVICIOS VERTUA S.A."/>
        <s v="JOSE LUIS GORBEÑA SRL"/>
        <s v="EL TRIANGULO SA"/>
        <s v="R&amp;F EXTINCION SA"/>
        <s v="PETROLIDER SRL"/>
        <s v="SUPERLIGA PROFESIONAL DEL FUTBOL ARGENTINO ASOCIACION CIVIL"/>
        <s v="SAP SRL"/>
        <s v="ALARCIA GUILLERMO ADRIAN"/>
        <s v="GUATRI MARIO FEDERICO"/>
        <s v="AGRONEGOCIOS DEL PLATA SRL"/>
        <s v="MAYOR SA"/>
        <s v="CLUB ATLETICO ROSARIO CENTRAL"/>
        <s v="ESTANCIAS LOS BAGUALES SA"/>
        <s v="GARCIA CARLOS ALBERTO"/>
        <s v="BULECEVICH SRL"/>
        <s v="LABORATORIOS PEYTE SA"/>
        <s v="AGROLAKAR SRL"/>
        <s v="CETA CEREALES SA"/>
        <s v="GUTIERREZ CARLOS MARIA"/>
        <s v="PINTUCCI Y GUIZZO SA SA"/>
        <s v="SANTORO CHRISTIAN GABRIEL"/>
        <s v="SALAZAR ANGEL HUMBERTO"/>
        <s v="MOREL VULLIEZ S A."/>
        <s v="BELLUNO BIM SRL"/>
        <s v="AGRO CHACO SRL"/>
        <s v="SHUSTER S.A."/>
        <s v="FALABELLA S A "/>
        <s v="SUPERMERCADOS MAYORISTAS YAGUAR SOCIEDAD ANONIMA"/>
        <s v="GALLARDO NORMA BEATRIZ"/>
        <s v="YUHMAK S A"/>
        <s v="DISTGRAF SRL"/>
        <s v="ANGEL ESTRADA Y CIA SA"/>
        <s v="TEVECOA SRL"/>
        <s v="SION S A"/>
        <s v="CENTRO DE DIAGNOSTICO ECOGRAFICO SRL"/>
        <s v="CERAS SAN JUAN SOC ANONIMA"/>
        <s v="GABRIEL E KELLY Y COMPANIA S.A."/>
        <s v="ANDALUCIA SRL"/>
        <s v="PAY PER TIC SA"/>
        <s v="BARRUTIA VANESA ELISABET"/>
        <s v="GRANARIA SA"/>
        <s v="VITALCAN S.A."/>
        <s v="EMEPA S A"/>
        <s v="MACER SA"/>
        <s v="TUMINI JORGE CESAR"/>
        <s v="CHIARAVIGLIO HNOS SRL"/>
        <s v="VIDELA DORNA MARTIN"/>
        <s v="SOLIDUM SGR"/>
        <s v="WRIGHT FERNANDEZ URSINI SA"/>
        <s v="PAGANI GUILLERMO CARLOS"/>
        <s v="FERNANDO RUEDA SA"/>
        <s v="REMOLQUES OMBU S.A"/>
        <s v="ALBENS SA"/>
        <s v="LE SYVAN S R L"/>
        <s v="AMERICA PAMPA AGROINDUSTRIAL S.A."/>
        <s v="CDG TECNOLOGIA S.R.L."/>
        <s v="RODRIGUEZ ELIO MATIAS"/>
        <s v="JEIFETZ ISAIAS ABRAHAM"/>
        <s v="REZUC DANIEL ALEJANDRO"/>
        <s v="PAMISA SRL"/>
        <s v="LIBRA HERNAN JESUS"/>
        <s v="TEKUN SA"/>
        <s v="COOPERATIVA AGROPECUARIA CORONEL BOGADO LIMITADA"/>
        <s v="EXPLOTACION PESQUERA DE LA PATAGONIA SA"/>
        <s v="GRUPO BE S.A."/>
        <s v="MANGIATERRA JUANA MARIA"/>
        <s v="KRALICEK OBRAS CIVILES S.A."/>
        <s v="EDUCACION POPULAR ASOCIACION CIVIL"/>
        <s v="AGRO SUPPLIES SRL S. R. L."/>
        <s v="ASOCIACION DEL FUTBOL ARGENTINO"/>
        <s v="LARRAURI JOSE ANTONIO"/>
        <s v="TRES BORDES SA"/>
        <s v="CABAÑA LA VERDE SA"/>
        <s v="SALBACO SA"/>
        <s v="CORRAL DE PIEDRA SA"/>
        <s v="BRIDAS RUFINO SA"/>
        <s v="OBRAPLUS SA"/>
        <s v="TRAN SER SA"/>
        <s v="HORIZON TRADING SA"/>
        <s v="JORGE BIANCO E HIJOS DE JORGE OMAR BIANCO SILVINA VERONICA Y BIANCO JOSE LUIS SH"/>
        <s v="POTENCIAR SGR"/>
        <s v="MULTITRAVEL SA"/>
        <s v="ASSERCA SRL"/>
        <s v="ALEJANDRO J GARCIA Y CIA SRL"/>
        <s v="LUJAN LOURDES ANALIA"/>
        <s v="CASTEL BARONIA SRL"/>
        <s v="LA PRIMAVERA GILARDI NICOLAS Y GILARDI MAURICIO RODRIGO SH"/>
        <s v="BUENAR WALTER R BUENAR MATIAS NICOLAS Y BUENAR SEBASTIAN E SH"/>
        <s v="MAQUINARIAS HYM SA"/>
        <s v="SEGOVIA DIEGO HERNAN"/>
        <s v="JOMALI SRL"/>
        <s v="AUTOVIA DEL MERCOSUR"/>
        <s v="CENTRO BEBIDAS SRL"/>
        <s v="ESEVERRI BARBARA ALEJANDRA"/>
        <s v="PELLISA S.A.S."/>
        <s v="GARCIA BORGHES EDUARDO"/>
        <s v="EL SUPER HORMIGON SA"/>
        <s v="ACINDAR PYMES SGR"/>
        <s v="HUINCUL LICAN SA"/>
        <s v="OJEDA ARIEL RUBEN"/>
        <s v="TRANSPORTE ZAVIOLA"/>
        <s v="LA ERNESTINA SA"/>
        <s v="CID MADERAS SRL"/>
        <s v="MAROPOR SRL"/>
        <s v="BILOMAT"/>
        <s v="TRESPANDO NESTOR GABRIEL"/>
        <s v="ARGENTINA GLOBAL SA"/>
        <s v="PAPASIDERO AGUSTIN ALFREDO"/>
        <s v="LOS LALO SA"/>
        <s v="AZKENA SA"/>
        <s v="GRAU Y WEISS SA"/>
        <s v="COOPERATIVA FEDERAL AGRICOLA GANADERA DE MARIA SUSANA LIMITADA"/>
        <s v="AGROSER SRL"/>
        <s v="ESTACION EL BAJO SA"/>
        <s v="CONYLOG SRL"/>
        <s v="DEL SOL CONSTRUCTORA SADSCONSA PARQUE REGIONAL SUR UT"/>
        <s v="GRUPO SILAMAC SA"/>
        <s v="PLASTICOS IPAR S.R.L."/>
        <s v="TALLERES METALURGICOS CRUCIANELLI SA"/>
        <s v="ARINCO SA"/>
        <s v="CAMPO CUATRO SA"/>
        <s v="POCHETTINO CRISTIAN MARIANO"/>
        <s v="CINCUENTA Y NUEVE SRL"/>
        <s v="EDITORIAL GUADAL S.A."/>
        <s v="ROJAS VANINA GRISEL"/>
        <s v="LOSLOQUE SRL"/>
        <s v="Transportes Gral Bartolome Mitre S R L"/>
        <s v="FLORES SERVIAN CONSTRUCCIONES SRL"/>
        <s v="VITIVINICOLA ROCAL SRL"/>
        <s v="BIO FAB SRL"/>
        <s v="CARDOSO DANIEL ENRIQUE CARDOSO MARIA INES SALCEDO SUSANA MARIA CARDOSO ARIADNA"/>
        <s v="ZELARAYAN RICARDO JOSE"/>
        <s v="DISTRIBUIDORA LEO SRL"/>
        <s v="LES SAS"/>
        <s v="MAGALLANES MIGUEL ANGEL"/>
        <s v="LOS MOROS SRL"/>
        <s v="RUIZ DIAZ CHRISTIAN LEANDRO"/>
        <s v="HERSAPEL SRL"/>
        <s v="BELTRAMINO RAUL TITO"/>
        <s v="SECUAZ SRL"/>
        <s v="PAPEL IMPORTANTE SA"/>
        <s v="TRIVENTO BODEGAS Y VI EDOS S.A."/>
        <s v="GRAFICA IGMA S.R.L"/>
        <s v="PROPIEDADES DE LA PATAGONIA SUR SA"/>
        <s v="FIDEICOMISO RESERVA TAJAMAR"/>
        <s v="COMPAÑIA PARINI SRL"/>
        <s v="AGRO EMCODI SA"/>
        <s v="GRAFICA EMEDE SRL"/>
        <s v="FORMATO GRAFICO S R L"/>
        <s v="BIONEFRO SRL"/>
        <s v="HESAR HNOS SA"/>
        <s v="BELCAGUY MARIA LUCIANA"/>
        <s v="ROMAGNOLO CARLOS RAUL"/>
        <s v="K VA CONSTRUCCIONES SA"/>
        <s v="COMERCIAL TERRA SA"/>
        <s v="REDUCTO PATAGONICO SRL"/>
        <s v="COOPERATIVA AGRICOLA GANADERA DE JUSTINIANO POSSE LIMITADA"/>
        <s v="VIGER S.R.L."/>
        <s v="LIZZI HNOS AGROPECUARIA SRL"/>
        <s v="CUYO AVAL SGR"/>
        <s v="TALLERES GRAFICOS PORTER S.R.L."/>
        <s v="SES SA CONSTRUERE INGENIERIA SA SARMIENTO - UTE"/>
        <s v="BUNKERPRESS S.A."/>
        <s v="GRUPO MARTIZ SAS"/>
        <s v="SOSA ADRIAN OSCAR"/>
        <s v="TALLERES GRAFICOS POL DE PRADELLA EDUARDO LUIS Y CENDON NOEMI SH"/>
        <s v="DENITA MADERAS S R L"/>
        <s v="TRAMONTIN HERNAN ANDRES"/>
        <s v="VICTORIO PODESTA Y CIA S.A."/>
        <s v="NEUMATICOS NUÑEZ SRL"/>
        <s v="GRAFICOS SRL SRL"/>
        <s v="GRUPO FUENTE DE LAS SIERRAS SA"/>
        <s v="SAN JOSE MAURO ALEJANDRO"/>
        <s v="TIRABASSI ROMAN IVAN"/>
        <s v="ENCENAR SA"/>
        <s v="BAULETTO SRL"/>
        <s v="SERVISUR SRL"/>
        <s v="INNOVA S.G.R."/>
        <s v="SOBRERO ROBERTO PEDRO CARMEN"/>
        <s v="AGROSERVICIOS SRL"/>
        <s v="IMPRECOM S.A."/>
        <s v="CASA MIA SRL"/>
        <s v="TECSAN INGENIERIA AMBIENTAL"/>
        <s v="CLUB ATLETICO BIBLIOTECA Y MUTUAL ARGENTINO"/>
        <s v="OFFIDESK SRL"/>
        <s v="INDUQUIMICA ARGENTINA SA"/>
        <s v="ASOCIACION MUTUAL PERSONAL SANCOR"/>
        <s v="PLANJAR ALEXIS DANIEL"/>
        <s v="BASTIAAN SRL"/>
        <s v="SOUBELET ROBERTO MIGUEL"/>
        <s v="SALVADOR CONSTRUCCIONES SA"/>
        <s v="PLANARCO SRL"/>
        <s v="DREAMCO S. A."/>
        <s v="DELYAR SA"/>
        <s v="CAROSELLA Y BARBA SA"/>
        <s v="CERAMICA CENTRO SA"/>
        <s v="I2 PRODUCTORA SRL"/>
        <s v="LA RESMA DEL NORTE SA"/>
        <s v="COMERCIALIZADORA MARA SA"/>
        <s v="INMIX SA"/>
        <s v="LA MORALEJA S.A."/>
        <s v="2020 ESTRATEGIAS SRL"/>
        <s v="MARAL AGROPECUARIA SRL"/>
        <s v="MARKETVET SA"/>
        <s v="MASTELLONE HNOS SA"/>
        <s v="MAFER DISTRIBUIDORA SA"/>
        <s v="CASA HUTTON SAU"/>
        <s v="SAMPIETRO HNOS SA"/>
        <s v="BERSAMP SA"/>
        <s v="PORPAL3 SAS"/>
        <s v="JONES Y HANDLEY SRL"/>
        <s v="MC LASER SRL"/>
        <s v="CONSTRUCCIONES S&amp;C SAS"/>
        <s v="AGROSERVICIOS ENTRE RIOS SRL"/>
        <s v="TRANSERVICE NEUQUEN SRL"/>
        <s v="ALIMENTOS CASEROS SA"/>
        <s v="GUERRERO NATALIA ANDREA"/>
        <s v="JONFER S.R.L."/>
        <s v="RUTA SUR TRUCKS SA"/>
        <s v="DEL TURISTA SOCIEDAD ANONIMA COMERCIAL E INDUSTRIAL"/>
        <s v="PANIZ AGUSTIN"/>
        <s v="PINTURERIAS LAZARO SA"/>
        <s v="WEBER HERMANOS SRL"/>
        <s v="ESTABLECIMIENTO EL AMANECER SRL"/>
        <s v="INDUSTRIAS MADERERAS HECIMOVIC S.A."/>
        <s v="CARNES DE HACIENDA SAS"/>
        <s v="RIOS GUSTAVO FABIAN"/>
        <s v="DON DELFINO SA"/>
        <s v="NORWAN GROUP SRL"/>
        <s v="ECHEGARAY ANABELLA JAQUELINE"/>
        <s v="RODRIGUEZ MARIA LAURA"/>
        <s v="LABORATORIO SAN PABLO PRODUCTOS BIOLOGICOS S.R.L."/>
        <s v="AESA ASEO Y ECOLOGIA SA"/>
        <s v="2GARETTO SRL"/>
        <s v="CONRERO SILVIO TADEO"/>
        <s v="AGROPECUARIA LA MOROCHA S. R. L."/>
        <s v="BICHO NORTEÑO SAS"/>
        <s v="COMERCIALIZADORA G Y C SRL"/>
        <s v="PLUMAS VERDES SA"/>
        <s v="LAS DOS A SRL"/>
        <s v="GABETTA TOMAS"/>
        <s v="GODOY HECTOR OMAR"/>
        <s v="MERCADO SANITARIO MDQ SA"/>
        <s v="PLEM AGRO SRL"/>
        <s v="SILVIA LOMBARDI SRL"/>
        <s v="Lastcall SA"/>
        <s v="CAVALLERO HENRY SANTIAGO"/>
        <s v="Mm Teamwork S. R. L."/>
        <s v="GRUPO PLEYART SA"/>
        <s v="COMA GRUPO IMPRESOR SRL"/>
        <s v="PRODUCTOS ROME SRL"/>
        <s v="AMAVET HORACIO EDUARDO"/>
        <s v="ARAUCOTTON INDUSTRIA PAPELERA SRL"/>
        <s v="NAVIC SRL"/>
        <s v="ARIDOS MOSCONI SRL"/>
        <s v="SIRIAGRO SAS"/>
        <s v="DUCRI ARGENTINA SRL"/>
        <s v="THE CRAZY COW S.R.L."/>
        <s v="AGRONASAJA SRL"/>
        <s v="MURIEL MUEBLES SRL"/>
        <s v="BLUE TOP CLEANING SA"/>
        <s v="NORLIT SRL"/>
        <s v="Agroaval S.G.R."/>
        <s v="AGROPECUARIA LA CONCEPCION SA"/>
        <s v="HRUZA DARIO ESTEBAN"/>
        <s v="POLIMEROS EXPRESS SA"/>
        <s v="ANJOR SA"/>
        <s v="CONO SA"/>
        <s v="COINCER SACIFA"/>
        <s v="HUGO COLOMBO SA"/>
        <s v="STOCK DE CARNES"/>
        <s v="CIMBRA SAS"/>
        <s v="LOS ARMINIOS SAS"/>
        <s v="FEIBA SOCIEDAD ANONIMA"/>
        <s v="COMPAÑIA DESARROLLADORA DE INMUEBLES SA"/>
        <s v="Grupo Grafico del Norte SA"/>
        <s v="VILCA CRISTIAN"/>
        <s v="QUIMICA ROS I C SA"/>
        <s v="AGROPECUARIA SAN NICOLAS SRL"/>
        <s v="FEBOLO JOSE ERNESTO"/>
        <s v="ASOCIACION COOPERATIVA TRANSPORTADORA DE GAS DEL SUR DE CORDOBA LTDA"/>
        <s v="CALATRONI LEONARDO JAVIER"/>
        <s v="MECANIZADOS KOKE SRL"/>
        <s v="KLUG HECTOR RAMON Y KLUG SEBASTIAN ANDRES S CAP I SECC IV SOC SIMPLE (en"/>
        <s v="AGRICOLA NOROESTE S R L"/>
        <s v="CHAPARRO PEDRO LUIS"/>
        <s v="PETROGUAZZ SA"/>
        <s v="Patagonia S.G.R."/>
        <s v="DISTRIBUIDORA DE REPUESTOS Z SRL"/>
        <s v="FIDEICOMISO DORREGO Y LIBERTADOR"/>
        <s v="NUEVAS TIERRAS S.A."/>
        <s v="POGGIO HNOS SAS"/>
        <s v="CNF SA"/>
        <s v="DUEL SRL"/>
        <s v="TRANSPORTE LA CARLOTA SAS"/>
        <s v="NARVAJA JORGE OSVALDO Y NARVAJA JOSE OSVALDO SH"/>
        <s v="PAJIN MAQUINARIAS SA"/>
        <s v="ALT SA"/>
        <s v="R51 MH AGRO Y CIA SA"/>
        <s v="ROLCKA SRL"/>
        <s v="ELORTEGUI JULIO CESAR GUSTAVO EDUARDO Y MARIO MARCELO SH"/>
        <s v="WALTER ELLENA SA"/>
        <s v="HARVEST S.A."/>
        <m/>
        <s v="CEFAC LUCEMA SRL" u="1"/>
        <s v="C Y W COMBUSTIBLES SRL" u="1"/>
        <s v="GEOPOLIS SA" u="1"/>
        <s v="SORBA S.R.L." u="1"/>
        <s v="CLADAN SA" u="1"/>
        <s v="TRAFFO MONTAJES ELECTROMECANICOS SAS" u="1"/>
        <s v="S &amp; D OBRAS Y SERVICIOS SA" u="1"/>
        <s v="TESSIO PAULINA MARIA AMELIA" u="1"/>
        <s v="ANTHORS CONSTRUCCIONES SAS" u="1"/>
        <s v="CAC SA" u="1"/>
        <s v="EDIFICIOS COMAHUE SRL" u="1"/>
        <s v="ALDAC SRL" u="1"/>
        <s v="IRAZABAL HERMANOS CONSIGNATARIA S.A." u="1"/>
        <s v="CAMPORA AYELEN NATALI" u="1"/>
        <s v="MADERAS SAN BLAS SRL" u="1"/>
        <s v="DROGUERIA SUMED SA" u="1"/>
        <s v="GRUPO MODERN HOME SAS" u="1"/>
        <s v="SIMPSON SAS" u="1"/>
        <s v="DROGUERIA GARZON SA" u="1"/>
        <s v="CANTERAS EL ALTO S.R.L." u="1"/>
        <s v="AGU S. A. S" u="1"/>
        <s v="TECNOGRAFIC" u="1"/>
        <s v="TALLERES GRAFICOS DEL NORTE SRL" u="1"/>
        <s v="AMARANTE DAMARIS LUCIA" u="1"/>
        <s v="LATINI EMILIANO Y LATINI RUBEN SH" u="1"/>
        <s v="EDGAR E PASTORE Y CIA S R L" u="1"/>
        <s v="RAKIDUAMN SRL" u="1"/>
        <s v="TRANSPORTE OTLA SAS" u="1"/>
        <s v="ULAN SRL" u="1"/>
        <s v="MARTIN SANDOVAL E HIJOS SRL" u="1"/>
        <s v="DILCAR SA" u="1"/>
        <s v="BOECHI JUAN" u="1"/>
        <s v="DANBURY S. A" u="1"/>
        <s v="SUPERMERCADOS LA ECONOMIA SA" u="1"/>
        <s v="ARQUINERING SRL" u="1"/>
        <s v="DROGUERIA DISVAL S R L" u="1"/>
        <s v="CENTRO OPTICO CATRIEL SAS" u="1"/>
        <s v="I-LED ARGENTINA S.A." u="1"/>
        <s v="ECOSUR BAHIA SOCIEDAD ANONIMA" u="1"/>
        <s v="GUAYACAN DE ANTA S.A." u="1"/>
        <s v="ZENI LIZ ESTEFANIA" u="1"/>
        <s v="CAMPOS ORGANICOS S.A" u="1"/>
        <s v="ESPERT SA" u="1"/>
        <s v="FERTIL FINANZAS S.A." u="1"/>
        <s v="VILLALBA ZALAZAR SEBASTIAN EDUARDO" u="1"/>
        <s v="TIENDA LA LUNA SEMACENDI SRL" u="1"/>
        <s v="MADECO SACI" u="1"/>
        <s v="BED COLLECTION SA" u="1"/>
        <s v="ETCHEVEHERE RURAL S. R. L." u="1"/>
        <s v="RECIWORLD SRL" u="1"/>
        <s v="ENJONOR SA" u="1"/>
        <s v="CAL/WEST SEEDS SRL" u="1"/>
        <s v="LEIVA HERMANOS SA" u="1"/>
        <s v="CARNICELLINI SRL" u="1"/>
        <s v="TRANSPORTES C Y S 2011 SRL" u="1"/>
        <s v="PVP INTEGRAL S. R. L." u="1"/>
        <s v="TRANS BOX SRL" u="1"/>
        <s v="PETROLEOS SUDAMERICANOS SA" u="1"/>
        <s v="CARPAS D ANGIOLA SRL" u="1"/>
        <s v="SANCHEZ RUBEN ALBERTO" u="1"/>
        <s v="MUEBLERIA TORCA SA" u="1"/>
        <s v="MERCADO DE LOS COLCHONES SA" u="1"/>
        <s v="APEXAR TECHNOLOGIES SA" u="1"/>
        <s v="RIVERSIDE AGENCY SAC" u="1"/>
        <s v="MARANSI SA" u="1"/>
        <s v="IDERO SRL" u="1"/>
        <s v="PERALTA CLAUDIO SANTIAGO" u="1"/>
        <s v="HV COLON SA" u="1"/>
        <s v="SERVILLETAS PALLMAR S.R.L." u="1"/>
        <s v="TRAYECTO SRL" u="1"/>
        <s v="PELAYO ANTONIO MIGUEL" u="1"/>
        <s v="ECOSUYANA SAS" u="1"/>
        <s v="GABRIELLI CARLOS MATIAS" u="1"/>
        <s v="SERVICIOS Y PRODUCTOS PARA BEBIDAS REFRESCANTES SRL" u="1"/>
        <s v="COAMA SUD AMERICA SA" u="1"/>
        <s v="FILOSHEN SA" u="1"/>
        <s v="FIDEICOMISO IMPRESORES" u="1"/>
        <s v="ALPARGATAS SAIC" u="1"/>
        <s v="SODA MONICA SRL" u="1"/>
        <s v="LIFERNI SRL" u="1"/>
        <s v="LIBRERIA SAN PABLO S.R.L" u="1"/>
        <s v="LORENZO ANNECCHINI S A" u="1"/>
        <s v="MDL SRL" u="1"/>
        <s v="ALFA LACTEA SRL" u="1"/>
        <s v="GASMERAGRO SA" u="1"/>
        <s v="SOLUCIONES TECNOLOGICAS SA" u="1"/>
        <s v="GONDEL SERVICIO INTEGRAL DE LIMPIEZA SA" u="1"/>
        <s v="HARTMANN SA" u="1"/>
        <s v="EL CERRO SRL" u="1"/>
        <s v="RAICES BA" u="1"/>
        <s v="TAO SOLUCIONES" u="1"/>
        <s v="LOGISTICA MARANATHA SAS" u="1"/>
        <s v="SISFRIENDS SA" u="1"/>
        <s v="ENRIQUE REYES SA" u="1"/>
        <s v="TOYOS CASIMIRO FELIX E HIJOS" u="1"/>
        <s v="PAPEZOPP S.A.S." u="1"/>
        <s v="LIBRERIAS IMPULSO SAS" u="1"/>
        <s v="LIHUE INGENIERIA SA" u="1"/>
        <s v="HERA SRL" u="1"/>
        <s v="SOCIEDAD ITALIANA DE BENEFICENCIA EN BUENOS AIRES" u="1"/>
        <s v="MARCHETTI MARCELO DAMIAN" u="1"/>
        <s v="NOVA OLLIARI DISTRIBUIDORA SRL" u="1"/>
        <s v="CUATRO ASES SA" u="1"/>
        <s v="EDITAR SRL" u="1"/>
        <s v="CAMPUZANO ANDREA CAROLINA" u="1"/>
        <s v="SOLUCIONES FISCALES SAS" u="1"/>
        <s v="LA AGRICOLA REGIONAL COOPERATIVA LIMITADA" u="1"/>
        <s v="JURY &amp; ASOCIADOS SA" u="1"/>
        <s v="GRUPO VIJOSA S.R.L." u="1"/>
        <s v="EDICIONES URANO S A" u="1"/>
        <s v="AVICOLA LUJAN DE CUYO SA" u="1"/>
        <s v="BAZURCO FACILITY SERVICES SRL" u="1"/>
        <s v="TERRASPORT SAS" u="1"/>
        <s v="DANIEL BLANCO Y CIA SA" u="1"/>
        <s v="ALMACEN DE SUEÑOS SAS" u="1"/>
        <s v="ALVEZ CLAUDIO FABIAN" u="1"/>
        <s v="NUEVAS CARTULINAS SRL" u="1"/>
        <s v="INSMYS SAS" u="1"/>
        <s v="VITALI CAROLINA Y TOSSO MELISA NADIA SOC SIMPLE" u="1"/>
        <s v="ZUÑIGA PAOLA KARINA" u="1"/>
        <s v="F P IMPRESORA SA" u="1"/>
        <s v="PEPSICO DE ARGE" u="1"/>
        <s v="VINOX SRL" u="1"/>
        <s v="JOSE MORETTA S.A." u="1"/>
        <s v="BODEGAS Y VIÑEDOS HUGO Y EDUARDO PULENTA SA" u="1"/>
        <s v="EL CIPRES HOGAR SRL" u="1"/>
        <s v="EL AUDITOR SA" u="1"/>
        <s v="EL TALAR AGROINDUSTRIAL SA" u="1"/>
        <s v="GRUPO REPUNTE GRAFICA SA" u="1"/>
        <s v="ACERIAS 4 C SA" u="1"/>
        <s v="PLANTIUM S.A." u="1"/>
        <s v="TRADICION HOGAR SA" u="1"/>
        <s v="TITO GONZALEZ AUTOMOTORES SA" u="1"/>
        <s v="AGROINDUSTRIAS CIALPIL SA" u="1"/>
        <s v="NESTOR TRIVISONNO SRL" u="1"/>
        <s v="TORO DIGITAL SA" u="1"/>
        <s v="LINEA PUNTO CERO SRL" u="1"/>
        <s v="DON JOSE HOGAR SA" u="1"/>
        <s v="MINIGRAF SRL" u="1"/>
        <s v="EMPRESA DIST SUR S.A. EDESUR S.A." u="1"/>
        <s v="LSG ARGENTINA SRL" u="1"/>
        <s v="CASA REIG S.A." u="1"/>
        <s v="MA SEOANE RIERA SRL" u="1"/>
        <s v="IMPRENTA SANTA ROSA S R L" u="1"/>
        <s v="PECOM SERVICIOS ENERGIA" u="1"/>
        <s v="LITTLE BLUE SRL" u="1"/>
        <s v="LAMA GRAFICA SA" u="1"/>
        <s v="LA EMANCIPACION SOCIEDAD COOPERATIVA MIXTA DE CONSUMO PROVISION TRANSFORMACION Y" u="1"/>
        <s v="GUARROCHENA FRANCISCO JOSE" u="1"/>
        <s v="DIA ARGENTINA S.A" u="1"/>
        <s v="CASSAB HNOS S.R.L." u="1"/>
        <s v="E VIDAURRETA SAIC" u="1"/>
        <s v="ZEVEN AGUIRRE" u="1"/>
        <s v="MENENDEZ Y ARTICA SA" u="1"/>
        <s v="HARJUICE SRL" u="1"/>
        <s v="AGROPECUARIA SAN IGNACIO SA" u="1"/>
        <s v="AGROPECUARIA EL 16 SA" u="1"/>
        <s v="MA CONSTRUCTORA" u="1"/>
        <s v="POOL SEIS S.A" u="1"/>
        <s v="LINAL SA" u="1"/>
        <s v="INTERTEXTIL SRL" u="1"/>
        <s v="FINES SOCIEDAD DE RESPONSABILIDAD LIMITADA" u="1"/>
        <s v="DI MEGLIO SHIP SUPPLIER SRL" u="1"/>
        <s v="BRICK S.R.L." u="1"/>
        <s v="VIACART SA" u="1"/>
        <s v="VIVIENDAS DON PALACIOS SRL" u="1"/>
        <s v="INTANSIA S.R.L" u="1"/>
        <s v="MADERAS 25 DE MAYO S.A.S" u="1"/>
        <s v="AGROTRANSPORTE ALDAO S.A." u="1"/>
        <s v="FAGA CORP SA" u="1"/>
        <s v="INGENIERIA MULTIPIPING SAS" u="1"/>
        <s v="EL HINOJO SA" u="1"/>
        <s v="FRACCAROLLI Y RONCONI SRL" u="1"/>
        <s v="S.N.M.Y. S.A.S." u="1"/>
        <s v="CHATEAU DEL PORTAL SA" u="1"/>
        <s v="LA CASA DEL REY S A." u="1"/>
        <s v="VERCELLINO Y ASOCIADO S.R.L." u="1"/>
        <s v="PRIETO Y VITA SRL" u="1"/>
        <s v="VM METALURGICA SRL" u="1"/>
        <s v="FIDEOS DEL SUR S.A." u="1"/>
        <s v="EMOVA MOVILIDAD S.A." u="1"/>
        <s v="BARRANCAS PASO DEL REY S.A." u="1"/>
        <s v="DIMARIA SA" u="1"/>
        <s v="SALVADOR MARINARO E HIJO S R L" u="1"/>
        <s v="VERTICE URBANO SA" u="1"/>
        <s v="DOMAINE BOUSQUET S.A." u="1"/>
        <s v="CENTRO ESTANT S.A." u="1"/>
        <s v="LIBRERIA DEL SUR SH" u="1"/>
        <s v="SKAARUP MATIAS NICOLAS" u="1"/>
        <s v="2 VASCOS SRL" u="1"/>
        <s v="LOS CEDROS DE BOUSQUET FABIO JAVIER Y ADRIAN MAURO" u="1"/>
        <s v="MUTUAL 12 DE SEPTIEMBRE" u="1"/>
        <s v="GLYCINMAX SRL" u="1"/>
        <s v="GRUPO AVINEA S.A." u="1"/>
        <s v="CASANO GRAFICA SA" u="1"/>
        <s v="CASA BODE SRL" u="1"/>
        <s v="YPF SOCIEDAD ANONIMA" u="1"/>
        <s v="INKPAPER SA" u="1"/>
        <s v="Arco SRL" u="1"/>
        <s v="RAPEJU SA" u="1"/>
        <s v="SANDYPACK SRL" u="1"/>
        <s v="IGAR SRL" u="1"/>
        <s v="NORTEALIM" u="1"/>
        <s v="FORESTADORA TAPEBICUA" u="1"/>
        <s v="PREAR PRETENSADOS ARGENTINOS S A" u="1"/>
        <s v="TECNO AGRIC RIO CUARTO SAS" u="1"/>
        <s v="RIVAS LUIS HECTOR Y RIVAS FABIAN HECTOR SH" u="1"/>
        <s v="CATALEIA SA" u="1"/>
        <s v="AKIAN GRAFICA EDITORA SOCIEDAD ANONIMA" u="1"/>
        <s v="TU HOGAR PATAGONIA SRL" u="1"/>
        <s v="UNCIPRES IMPORTACIONES SA" u="1"/>
        <s v="AGROREDES SRL" u="1"/>
        <s v="385 COMERCIAL SA" u="1"/>
        <s v="LIBRERIA HELIOS SRL" u="1"/>
        <s v="FORESTAL ELDORADO SRL" u="1"/>
        <s v="VIA PRINT SRL" u="1"/>
        <s v="ANDRIMARSIL SRL" u="1"/>
        <s v="LITORAL CLEAN SRL" u="1"/>
        <s v="COLLEVECCHIO HNOS SA" u="1"/>
        <s v="SALLEO SRL" u="1"/>
        <s v="PROYECCION GRAFICA SRL" u="1"/>
        <s v="INDUSTRIA GRAFICA MARTIN SA" u="1"/>
        <s v="LA GRAFICA SRL" u="1"/>
        <s v="TECPETROL S A" u="1"/>
        <s v="ABANS PROCESOS SRL" u="1"/>
        <s v="G&amp;T LOGISTICA SA" u="1"/>
        <s v="LA PAMPAGONIA SRL" u="1"/>
        <s v="NEW ARRECIFE S.A." u="1"/>
        <s v="SERVIPLAST S A" u="1"/>
        <s v="LAS 6 EMES SAS" u="1"/>
        <s v="INDUSTRIAS J A M SOCIEDAD ANONIMA INDUSTRIAL Y COMERCIAL" u="1"/>
        <s v="VEO VISUAL" u="1"/>
        <s v="BLACKFOX SRL" u="1"/>
        <s v="VENTIMIGLIA SRL" u="1"/>
        <s v="QUALITET SA" u="1"/>
        <s v="AGRO JONES SRL" u="1"/>
        <s v="GRUPO 88 S.A." u="1"/>
        <s v="AGROPECUARIA LA PODEROSA SA" u="1"/>
        <s v="LEIDA S.A." u="1"/>
        <s v="G7 SOLUCIONES INTEGRALES SRL" u="1"/>
        <s v="DELPINO FRANCO MATIAS" u="1"/>
        <s v="QUELEER SA" u="1"/>
        <s v="QUINTANA ENERGY INVESTMENTS" u="1"/>
        <s v="PEREZ SEBASTIAN LEONEL" u="1"/>
        <s v="DESDE EL MAR S.A." u="1"/>
        <s v="ROTATIVOS UNICOM SRL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ANKAS DEL SUR SRL" u="1"/>
        <s v="BUENA ONDA TELEVISORA COLOR SRL" u="1"/>
        <s v="AYVU S.A.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ILSA SA" u="1"/>
        <s v="OLLIARI ENVASES SRL" u="1"/>
        <s v="BP FAMILY S.R.L." u="1"/>
        <s v="ARROLLAR SA" u="1"/>
        <s v="NEO-ONE SOCIEDAD ANONIMA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PEZZELATTO JORGE FACUNDO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CELULOSA CANNING SA" u="1"/>
        <s v="ASOCIACION MUTUAL DE PROTECCION FAMILIAR" u="1"/>
        <s v="PLANETA JUGUETES S.A." u="1"/>
        <s v="SAN BENITO ENERGIA MINERA Y DE SERVICIOS GENERALES SA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NATIONAL SERVICE ARGENTINA SA" u="1"/>
        <s v="EL CACIQUE SA" u="1"/>
        <s v="STARK DESARROLLOS SRL" u="1"/>
        <s v="EULE GRAPHICS SRL" u="1"/>
        <s v="NISTAL MARTA" u="1"/>
        <s v="DIVERFIESTAS S.A.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PRONIPOTI S.A" u="1"/>
        <s v="AMTRADE S.R.L." u="1"/>
        <s v="DISTRIBUIDORA CA ON SRL" u="1"/>
        <s v="EDERA S. A. S." u="1"/>
        <s v="JORGE LUIS SUAREZ Y CIA S R L" u="1"/>
        <s v="EDITORIAL DUNKEN S.R.L." u="1"/>
        <s v="Grupo Ruddys S.a.s" u="1"/>
        <s v="LEPORATI Y COMPAÑIA SOCIEDAD ANONIM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JANOS GROUP SRL" u="1"/>
        <s v="PINAS S.R.L." u="1"/>
        <s v="ELECTRO PREMIUM HOME S.R.L." u="1"/>
        <s v="SOLA JUAN DOMINGO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COARCO SA" u="1"/>
        <s v="NIRO CONSTRUYE S. A." u="1"/>
        <s v="FADICAD S A" u="1"/>
        <s v="MONASTERIO TATTESALL SA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10-29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75650821000000001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18.52" maxValue="2134101769.0799999"/>
    </cacheField>
    <cacheField name="Importe Actual" numFmtId="0">
      <sharedItems containsString="0" containsBlank="1" containsNumber="1" minValue="18.18" maxValue="2010186314.8599999"/>
    </cacheField>
    <cacheField name="Importe Nominal2" numFmtId="0">
      <sharedItems containsString="0" containsBlank="1" containsNumber="1" minValue="18.52" maxValue="2134101769.0799999"/>
    </cacheField>
    <cacheField name="Importe Actual2" numFmtId="0">
      <sharedItems containsString="0" containsBlank="1" containsNumber="1" minValue="18.18" maxValue="2010186314.8599999"/>
    </cacheField>
    <cacheField name="Nro. de Operación" numFmtId="0">
      <sharedItems containsString="0" containsBlank="1" containsNumber="1" containsInteger="1" minValue="1" maxValue="99803231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8" maxValue="40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2.2249857990046853E-10" maxValue="2.460195821736557E-2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83">
  <r>
    <x v="0"/>
    <s v="Pesos"/>
    <d v="2026-10-29T00:00:00"/>
    <s v="29/10/2026"/>
    <n v="1"/>
    <m/>
    <n v="15000000"/>
    <n v="15000000"/>
    <n v="15000000"/>
    <n v="15000000"/>
    <n v="69911131"/>
    <s v="AMOMPY"/>
    <s v="Momentum Capital Investment S.A."/>
    <s v="23/09/2026"/>
    <s v="23/09/2026"/>
    <n v="25"/>
    <s v="No"/>
    <s v=""/>
    <m/>
    <m/>
    <s v="*TRD271000035"/>
    <s v="*TRD271000035"/>
    <n v="1.8357968638652518E-4"/>
  </r>
  <r>
    <x v="1"/>
    <s v="Pesos"/>
    <d v="2026-10-29T00:00:00"/>
    <s v="29/10/2026"/>
    <n v="1"/>
    <m/>
    <n v="3000000"/>
    <n v="3000000"/>
    <n v="3000000"/>
    <n v="3000000"/>
    <n v="3792078"/>
    <s v="AMOMPY"/>
    <s v="Momentum Capital Investment S.A."/>
    <s v="18/08/2026"/>
    <s v="18/08/2026"/>
    <n v="30"/>
    <s v="No"/>
    <s v=""/>
    <m/>
    <m/>
    <s v="*AFB271000007"/>
    <s v="*AFB271000007"/>
    <n v="3.6715937277305041E-5"/>
  </r>
  <r>
    <x v="1"/>
    <s v="Pesos"/>
    <d v="2026-10-29T00:00:00"/>
    <s v="29/10/2026"/>
    <n v="1"/>
    <m/>
    <n v="31628755.989999998"/>
    <n v="31628755.989999998"/>
    <n v="31628755.989999998"/>
    <n v="31628755.989999998"/>
    <n v="22295"/>
    <s v="AMOMPY"/>
    <s v="Momentum Capital Investment S.A."/>
    <s v="15/09/2026"/>
    <s v="15/09/2026"/>
    <n v="30"/>
    <s v="No"/>
    <s v=""/>
    <m/>
    <m/>
    <s v="*AFB271000013"/>
    <s v="*AFB271000013"/>
    <n v="3.8709314036267534E-4"/>
  </r>
  <r>
    <x v="2"/>
    <s v="Pesos"/>
    <d v="2026-10-29T00:00:00"/>
    <s v="29/10/2026"/>
    <n v="1"/>
    <m/>
    <n v="3625698.78"/>
    <n v="3625698.78"/>
    <n v="3625698.78"/>
    <n v="3625698.78"/>
    <n v="3346"/>
    <s v="AMOMPY"/>
    <s v="Momentum Capital Investment S.A."/>
    <s v="28/08/2026"/>
    <s v="28/08/2026"/>
    <n v="36"/>
    <s v="No"/>
    <s v=""/>
    <m/>
    <m/>
    <s v="*MAV271001495"/>
    <s v="*MAV271001495"/>
    <n v="4.4373642997627131E-5"/>
  </r>
  <r>
    <x v="2"/>
    <s v="Pesos"/>
    <d v="2026-10-29T00:00:00"/>
    <s v="29/10/2026"/>
    <n v="1"/>
    <m/>
    <n v="2502550.36"/>
    <n v="2502550.36"/>
    <n v="2502550.36"/>
    <n v="2502550.36"/>
    <n v="3140"/>
    <s v="AMOMPY"/>
    <s v="Momentum Capital Investment S.A."/>
    <s v="23/07/2026"/>
    <s v="23/07/2026"/>
    <n v="33"/>
    <s v="No"/>
    <s v=""/>
    <m/>
    <m/>
    <s v="*MAV271001362"/>
    <s v="*MAV271001362"/>
    <n v="3.0627827350352382E-5"/>
  </r>
  <r>
    <x v="2"/>
    <s v="Pesos"/>
    <d v="2026-10-29T00:00:00"/>
    <s v="29/10/2026"/>
    <n v="1"/>
    <m/>
    <n v="2502550.36"/>
    <n v="2502550.36"/>
    <n v="2502550.36"/>
    <n v="2502550.36"/>
    <n v="3130"/>
    <s v="AMOMPY"/>
    <s v="Momentum Capital Investment S.A."/>
    <s v="23/07/2026"/>
    <s v="23/07/2026"/>
    <n v="33"/>
    <s v="No"/>
    <s v=""/>
    <m/>
    <m/>
    <s v="*MAV271001363"/>
    <s v="*MAV271001363"/>
    <n v="3.0627827350352382E-5"/>
  </r>
  <r>
    <x v="2"/>
    <s v="Pesos"/>
    <d v="2026-10-29T00:00:00"/>
    <s v="29/10/2026"/>
    <n v="1"/>
    <m/>
    <n v="1020845.65"/>
    <n v="1020845.65"/>
    <n v="1020845.65"/>
    <n v="1020845.65"/>
    <n v="2906"/>
    <s v="AMOMPY"/>
    <s v="Momentum Capital Investment S.A."/>
    <s v="15/07/2026"/>
    <s v="15/07/2026"/>
    <n v="34"/>
    <s v="No"/>
    <s v=""/>
    <m/>
    <m/>
    <s v="*MAV271001341"/>
    <s v="*MAV271001341"/>
    <n v="1.2493768285069899E-5"/>
  </r>
  <r>
    <x v="2"/>
    <s v="Pesos"/>
    <d v="2026-10-29T00:00:00"/>
    <s v="29/10/2026"/>
    <n v="1"/>
    <m/>
    <n v="990902.64"/>
    <n v="990902.64"/>
    <n v="990902.64"/>
    <n v="990902.64"/>
    <n v="2956"/>
    <s v="AMOMPY"/>
    <s v="Momentum Capital Investment S.A."/>
    <s v="15/07/2026"/>
    <s v="15/07/2026"/>
    <n v="34"/>
    <s v="No"/>
    <s v=""/>
    <m/>
    <m/>
    <s v="*MAV271001342"/>
    <s v="*MAV271001342"/>
    <n v="1.2127306392718659E-5"/>
  </r>
  <r>
    <x v="3"/>
    <s v="Pesos"/>
    <d v="2026-10-29T00:00:00"/>
    <s v="29/10/2026"/>
    <n v="1"/>
    <m/>
    <n v="20000000"/>
    <n v="20000000"/>
    <n v="20000000"/>
    <n v="20000000"/>
    <n v="22803"/>
    <s v="AMOMPY"/>
    <s v="Momentum Capital Investment S.A."/>
    <s v="28/09/2026"/>
    <s v="28/09/2026"/>
    <n v="26"/>
    <s v="No"/>
    <s v=""/>
    <m/>
    <m/>
    <s v="*MOV271000087"/>
    <s v="*MOV271000087"/>
    <n v="2.447729151820336E-4"/>
  </r>
  <r>
    <x v="3"/>
    <s v="Pesos"/>
    <d v="2026-10-29T00:00:00"/>
    <s v="29/10/2026"/>
    <n v="1"/>
    <m/>
    <n v="2500000"/>
    <n v="2500000"/>
    <n v="2500000"/>
    <n v="2500000"/>
    <n v="90031823"/>
    <s v="AMOMPY"/>
    <s v="Momentum Capital Investment S.A."/>
    <s v="22/04/2026"/>
    <s v="22/04/2026"/>
    <n v="28"/>
    <s v="No"/>
    <s v=""/>
    <m/>
    <m/>
    <s v="*MOV271000069"/>
    <s v="*MOV271000069"/>
    <n v="3.05966143977542E-5"/>
  </r>
  <r>
    <x v="0"/>
    <s v="Pesos"/>
    <d v="2026-10-29T00:00:00"/>
    <s v="29/10/2026"/>
    <n v="1"/>
    <m/>
    <n v="1572269.73"/>
    <n v="1572269.73"/>
    <n v="1572269.73"/>
    <n v="1572269.73"/>
    <n v="22513"/>
    <s v="AMOMPY"/>
    <s v="Momentum Capital Investment S.A."/>
    <s v="25/09/2026"/>
    <s v="25/09/2026"/>
    <n v="26"/>
    <s v="No"/>
    <s v=""/>
    <m/>
    <m/>
    <s v="*TRD271000036"/>
    <s v="*TRD271000036"/>
    <n v="1.9242452263228444E-5"/>
  </r>
  <r>
    <x v="4"/>
    <s v="Pesos"/>
    <d v="2026-10-29T00:00:00"/>
    <s v="29/10/2026"/>
    <n v="1"/>
    <m/>
    <n v="6535955.1900000004"/>
    <n v="6535955.1900000004"/>
    <n v="6535955.1900000004"/>
    <n v="6535955.1900000004"/>
    <n v="30000338"/>
    <s v="AMOMPY"/>
    <s v="Momentum Capital Investment S.A."/>
    <s v="04/09/2026"/>
    <s v="04/09/2026"/>
    <n v="32"/>
    <s v="No"/>
    <s v=""/>
    <m/>
    <m/>
    <s v="*MAV271001542"/>
    <s v="*MAV271001542"/>
    <n v="7.9991240267772123E-5"/>
  </r>
  <r>
    <x v="5"/>
    <s v="Pesos"/>
    <d v="2026-10-29T00:00:00"/>
    <s v="29/10/2026"/>
    <n v="1"/>
    <m/>
    <n v="1330000"/>
    <n v="1330000"/>
    <n v="1330000"/>
    <n v="1330000"/>
    <n v="69652334"/>
    <s v="AMOMPY"/>
    <s v="Momentum Capital Investment S.A."/>
    <s v="11/09/2026"/>
    <s v="11/09/2026"/>
    <n v="30"/>
    <s v="No"/>
    <s v=""/>
    <m/>
    <m/>
    <s v="*MAV271001597"/>
    <s v="*MAV271001597"/>
    <n v="1.6277398859605233E-5"/>
  </r>
  <r>
    <x v="6"/>
    <s v="Pesos"/>
    <d v="2026-10-29T00:00:00"/>
    <s v="29/10/2026"/>
    <n v="1"/>
    <m/>
    <n v="300694.57"/>
    <n v="300694.57"/>
    <n v="300694.57"/>
    <n v="300694.57"/>
    <n v="40954177"/>
    <s v="AMOMPY"/>
    <s v="Momentum Capital Investment S.A."/>
    <s v="16/10/2026"/>
    <s v="16/10/2026"/>
    <n v="27.99"/>
    <s v="No"/>
    <s v=""/>
    <m/>
    <m/>
    <s v="*CRE271000155"/>
    <s v="*CRE271000155"/>
    <n v="3.6800943239154033E-6"/>
  </r>
  <r>
    <x v="2"/>
    <s v="Pesos"/>
    <d v="2026-10-29T00:00:00"/>
    <s v="29/10/2026"/>
    <n v="1"/>
    <m/>
    <n v="2510000.36"/>
    <n v="2510000.36"/>
    <n v="2510000.36"/>
    <n v="2510000.36"/>
    <n v="3153"/>
    <s v="AMOMPY"/>
    <s v="Momentum Capital Investment S.A."/>
    <s v="25/09/2026"/>
    <s v="25/09/2026"/>
    <n v="35"/>
    <s v="No"/>
    <s v=""/>
    <m/>
    <m/>
    <s v="*MAV271001721"/>
    <s v="*MAV271001721"/>
    <n v="3.0719005261257686E-5"/>
  </r>
  <r>
    <x v="7"/>
    <s v="Pesos"/>
    <d v="2026-10-29T00:00:00"/>
    <s v="29/10/2026"/>
    <n v="1"/>
    <m/>
    <n v="5225722"/>
    <n v="5225722"/>
    <n v="5225722"/>
    <n v="5225722"/>
    <n v="3176"/>
    <s v="AMOMPY"/>
    <s v="Momentum Capital Investment S.A."/>
    <s v="10/08/2026"/>
    <s v="10/08/2026"/>
    <n v="28"/>
    <s v="No"/>
    <s v=""/>
    <m/>
    <m/>
    <s v="*MAV271001409"/>
    <s v="*MAV271001409"/>
    <n v="6.3955760393544347E-5"/>
  </r>
  <r>
    <x v="7"/>
    <s v="Pesos"/>
    <d v="2026-10-29T00:00:00"/>
    <s v="29/10/2026"/>
    <n v="1"/>
    <m/>
    <n v="5444206"/>
    <n v="5444206"/>
    <n v="5444206"/>
    <n v="5444206"/>
    <n v="3442"/>
    <s v="AMOMPY"/>
    <s v="Momentum Capital Investment S.A."/>
    <s v="25/08/2026"/>
    <s v="25/08/2026"/>
    <n v="32"/>
    <s v="No"/>
    <s v=""/>
    <m/>
    <m/>
    <s v="*MAV271001467"/>
    <s v="*MAV271001467"/>
    <n v="6.6629708673575919E-5"/>
  </r>
  <r>
    <x v="8"/>
    <s v="Pesos"/>
    <d v="2026-10-29T00:00:00"/>
    <s v="29/10/2026"/>
    <n v="1"/>
    <m/>
    <n v="7000000"/>
    <n v="7000000"/>
    <n v="7000000"/>
    <n v="7000000"/>
    <n v="69017468"/>
    <s v="AMOMPY"/>
    <s v="Momentum Capital Investment S.A."/>
    <s v="13/08/2026"/>
    <s v="13/08/2026"/>
    <n v="34"/>
    <s v="No"/>
    <s v=""/>
    <m/>
    <m/>
    <s v="*MAV271001423"/>
    <s v="*MAV271001423"/>
    <n v="8.5670520313711765E-5"/>
  </r>
  <r>
    <x v="9"/>
    <s v="Pesos"/>
    <d v="2026-10-29T00:00:00"/>
    <s v="29/10/2026"/>
    <n v="1"/>
    <m/>
    <n v="1234401.02"/>
    <n v="1234401.02"/>
    <n v="1234401.02"/>
    <n v="1234401.02"/>
    <n v="788"/>
    <s v="AMOMPY"/>
    <s v="Momentum Capital Investment S.A."/>
    <s v="02/09/2026"/>
    <s v="02/09/2026"/>
    <n v="31"/>
    <s v="No"/>
    <s v=""/>
    <m/>
    <m/>
    <s v="*MAV271001526"/>
    <s v="*MAV271001526"/>
    <n v="1.5107396808453788E-5"/>
  </r>
  <r>
    <x v="10"/>
    <s v="Pesos"/>
    <d v="2026-10-29T00:00:00"/>
    <s v="29/10/2026"/>
    <n v="1"/>
    <m/>
    <n v="50000000"/>
    <n v="50000000"/>
    <n v="50000000"/>
    <n v="50000000"/>
    <n v="68035"/>
    <s v="AMOMPY"/>
    <s v="Momentum Capital Investment S.A."/>
    <s v="14/08/2026"/>
    <s v="14/08/2026"/>
    <n v="28"/>
    <s v="No"/>
    <s v=""/>
    <m/>
    <m/>
    <s v="*MAV271001426"/>
    <s v="*MAV271001426"/>
    <n v="6.1193228795508397E-4"/>
  </r>
  <r>
    <x v="11"/>
    <s v="Pesos"/>
    <d v="2026-10-29T00:00:00"/>
    <s v="29/10/2026"/>
    <n v="1"/>
    <m/>
    <n v="13560000"/>
    <n v="13560000"/>
    <n v="13560000"/>
    <n v="13560000"/>
    <n v="10881213"/>
    <s v="AMOMPY"/>
    <s v="Momentum Capital Investment S.A."/>
    <s v="01/09/2026"/>
    <s v="01/09/2026"/>
    <n v="31"/>
    <s v="No"/>
    <s v=""/>
    <m/>
    <m/>
    <s v="*MAV271001520"/>
    <s v="*MAV271001520"/>
    <n v="1.6595603649341878E-4"/>
  </r>
  <r>
    <x v="12"/>
    <s v="Pesos"/>
    <d v="2026-10-29T00:00:00"/>
    <s v="29/10/2026"/>
    <n v="1"/>
    <m/>
    <n v="10655603.279999999"/>
    <n v="10655603.279999999"/>
    <n v="10655603.279999999"/>
    <n v="10655603.279999999"/>
    <n v="30832"/>
    <s v="AMOMPY"/>
    <s v="Momentum Capital Investment S.A."/>
    <s v="14/07/2026"/>
    <s v="14/07/2026"/>
    <n v="32"/>
    <s v="No"/>
    <s v=""/>
    <m/>
    <m/>
    <s v="*MAV271001336"/>
    <s v="*MAV271001336"/>
    <n v="1.3041015389344193E-4"/>
  </r>
  <r>
    <x v="13"/>
    <s v="Pesos"/>
    <d v="2026-10-29T00:00:00"/>
    <s v="29/10/2026"/>
    <n v="1"/>
    <m/>
    <n v="3750000"/>
    <n v="3750000"/>
    <n v="3750000"/>
    <n v="3750000"/>
    <n v="66918205"/>
    <s v="AMOMPY"/>
    <s v="Momentum Capital Investment S.A."/>
    <s v="13/05/2026"/>
    <s v="13/05/2026"/>
    <n v="39"/>
    <s v="No"/>
    <s v=""/>
    <m/>
    <m/>
    <s v="*MAV271001267"/>
    <s v="*MAV271001267"/>
    <n v="4.5894921596631296E-5"/>
  </r>
  <r>
    <x v="14"/>
    <s v="Pesos"/>
    <d v="2026-10-29T00:00:00"/>
    <s v="29/10/2026"/>
    <n v="1"/>
    <m/>
    <n v="362000000"/>
    <n v="362000000"/>
    <n v="362000000"/>
    <n v="362000000"/>
    <n v="159275"/>
    <s v="AMOMPY"/>
    <s v="Momentum Capital Investment S.A."/>
    <s v="03/08/2026"/>
    <s v="03/08/2026"/>
    <n v="18"/>
    <s v="No"/>
    <s v=""/>
    <m/>
    <m/>
    <s v="#MAV281060019"/>
    <s v="#MAV281060019"/>
    <n v="4.4303897647948081E-3"/>
  </r>
  <r>
    <x v="15"/>
    <s v="Pesos"/>
    <d v="2026-10-29T00:00:00"/>
    <s v="29/10/2026"/>
    <n v="1"/>
    <m/>
    <n v="15000000"/>
    <n v="15000000"/>
    <n v="15000000"/>
    <n v="15000000"/>
    <n v="67448999"/>
    <s v="AMOMPY"/>
    <s v="Momentum Capital Investment S.A."/>
    <s v="05/06/2026"/>
    <s v="05/06/2026"/>
    <n v="32"/>
    <s v="No"/>
    <s v=""/>
    <m/>
    <m/>
    <s v="*MAV271001273"/>
    <s v="*MAV271001273"/>
    <n v="1.8357968638652518E-4"/>
  </r>
  <r>
    <x v="16"/>
    <s v="Pesos"/>
    <d v="2026-10-29T00:00:00"/>
    <s v="29/10/2026"/>
    <n v="1"/>
    <m/>
    <n v="3388376.86"/>
    <n v="3388376.86"/>
    <n v="3388376.86"/>
    <n v="3388376.86"/>
    <n v="10123"/>
    <s v="AMOMPY"/>
    <s v="Momentum Capital Investment S.A."/>
    <s v="01/10/2026"/>
    <s v="01/10/2026"/>
    <n v="31"/>
    <s v="No"/>
    <s v=""/>
    <m/>
    <m/>
    <s v="*MAV271001795"/>
    <s v="*MAV271001795"/>
    <n v="4.1469144087877262E-5"/>
  </r>
  <r>
    <x v="16"/>
    <s v="Pesos"/>
    <d v="2026-10-29T00:00:00"/>
    <s v="29/10/2026"/>
    <n v="1"/>
    <m/>
    <n v="2802160.1"/>
    <n v="2802160.1"/>
    <n v="2802160.1"/>
    <n v="2802160.1"/>
    <n v="10147"/>
    <s v="AMOMPY"/>
    <s v="Momentum Capital Investment S.A."/>
    <s v="01/10/2026"/>
    <s v="01/10/2026"/>
    <n v="31"/>
    <s v="No"/>
    <s v=""/>
    <m/>
    <m/>
    <s v="*MAV271001796"/>
    <s v="*MAV271001796"/>
    <n v="3.4294644824188939E-5"/>
  </r>
  <r>
    <x v="16"/>
    <s v="Pesos"/>
    <d v="2026-10-29T00:00:00"/>
    <s v="29/10/2026"/>
    <n v="1"/>
    <m/>
    <n v="3200000"/>
    <n v="3200000"/>
    <n v="3200000"/>
    <n v="3200000"/>
    <n v="10122"/>
    <s v="AMOMPY"/>
    <s v="Momentum Capital Investment S.A."/>
    <s v="01/10/2026"/>
    <s v="01/10/2026"/>
    <n v="31"/>
    <s v="No"/>
    <s v=""/>
    <m/>
    <m/>
    <s v="*MAV271001797"/>
    <s v="*MAV271001797"/>
    <n v="3.9163666429125376E-5"/>
  </r>
  <r>
    <x v="17"/>
    <s v="Pesos"/>
    <d v="2026-10-29T00:00:00"/>
    <s v="29/10/2026"/>
    <n v="1"/>
    <m/>
    <n v="580000000"/>
    <n v="580000000"/>
    <n v="580000000"/>
    <n v="580000000"/>
    <n v="166485"/>
    <s v="AMOMPY"/>
    <s v="Momentum Capital Investment S.A."/>
    <s v="25/09/2026"/>
    <s v="25/09/2026"/>
    <n v="38"/>
    <s v="No"/>
    <s v=""/>
    <m/>
    <m/>
    <s v="#MAV281060037"/>
    <s v="#MAV281060037"/>
    <n v="7.0984145402789743E-3"/>
  </r>
  <r>
    <x v="18"/>
    <s v="Pesos"/>
    <d v="2026-10-29T00:00:00"/>
    <s v="29/10/2026"/>
    <n v="1"/>
    <m/>
    <n v="90000000"/>
    <n v="90000000"/>
    <n v="90000000"/>
    <n v="90000000"/>
    <n v="922"/>
    <s v="AMOMPY"/>
    <s v="Momentum Capital Investment S.A."/>
    <s v="07/09/2026"/>
    <s v="07/09/2026"/>
    <n v="33"/>
    <s v="No"/>
    <s v=""/>
    <m/>
    <m/>
    <s v="*MAV271001558"/>
    <s v="*MAV271001558"/>
    <n v="1.1014781183191513E-3"/>
  </r>
  <r>
    <x v="19"/>
    <s v="Pesos"/>
    <d v="2026-10-29T00:00:00"/>
    <s v="29/10/2026"/>
    <n v="1"/>
    <m/>
    <n v="4549416.66"/>
    <n v="4549416.66"/>
    <n v="4549416.66"/>
    <n v="4549416.66"/>
    <n v="50456547"/>
    <s v="AMOMPY"/>
    <s v="Momentum Capital Investment S.A."/>
    <s v="15/07/2026"/>
    <s v="15/07/2026"/>
    <n v="34"/>
    <s v="No"/>
    <s v=""/>
    <m/>
    <m/>
    <s v="*MAV271001343"/>
    <s v="*MAV271001343"/>
    <n v="5.5678698912295529E-5"/>
  </r>
  <r>
    <x v="20"/>
    <s v="Pesos"/>
    <d v="2026-10-29T00:00:00"/>
    <s v="29/10/2026"/>
    <n v="1"/>
    <m/>
    <n v="10000000"/>
    <n v="10000000"/>
    <n v="10000000"/>
    <n v="10000000"/>
    <n v="16854861"/>
    <s v="AMOMPY"/>
    <s v="Momentum Capital Investment S.A."/>
    <s v="02/09/2026"/>
    <s v="02/09/2026"/>
    <n v="37"/>
    <s v="No"/>
    <s v=""/>
    <m/>
    <m/>
    <s v="*MAV271001525"/>
    <s v="*MAV271001525"/>
    <n v="1.223864575910168E-4"/>
  </r>
  <r>
    <x v="21"/>
    <s v="Pesos"/>
    <d v="2026-10-29T00:00:00"/>
    <s v="29/10/2026"/>
    <n v="1"/>
    <m/>
    <n v="3000000"/>
    <n v="3000000"/>
    <n v="3000000"/>
    <n v="3000000"/>
    <n v="90023130"/>
    <s v="AMOMPY"/>
    <s v="Momentum Capital Investment S.A."/>
    <s v="24/09/2026"/>
    <s v="24/09/2026"/>
    <n v="27"/>
    <s v="No"/>
    <s v=""/>
    <m/>
    <m/>
    <s v="*NIO271000035"/>
    <s v="*NIO271000035"/>
    <n v="3.6715937277305041E-5"/>
  </r>
  <r>
    <x v="22"/>
    <s v="Pesos"/>
    <d v="2026-10-29T00:00:00"/>
    <s v="29/10/2026"/>
    <n v="1"/>
    <m/>
    <n v="147500000"/>
    <n v="147500000"/>
    <n v="147500000"/>
    <n v="147500000"/>
    <n v="70408102"/>
    <s v="AMOMPY"/>
    <s v="Momentum Capital Investment S.A."/>
    <s v="04/09/2026"/>
    <s v="04/09/2026"/>
    <n v="40"/>
    <s v="No"/>
    <s v=""/>
    <m/>
    <m/>
    <s v="*MAV271001545"/>
    <s v="*MAV271001545"/>
    <n v="1.8052002494674977E-3"/>
  </r>
  <r>
    <x v="23"/>
    <s v="Pesos"/>
    <d v="2026-10-29T00:00:00"/>
    <s v="29/10/2026"/>
    <n v="1"/>
    <m/>
    <n v="100000000"/>
    <n v="100000000"/>
    <n v="100000000"/>
    <n v="100000000"/>
    <n v="163"/>
    <s v="AMOMPY"/>
    <s v="Momentum Capital Investment S.A."/>
    <s v="29/07/2026"/>
    <s v="29/07/2026"/>
    <n v="32"/>
    <s v="No"/>
    <s v=""/>
    <m/>
    <m/>
    <s v="*MAV271001384"/>
    <s v="*MAV271001384"/>
    <n v="1.2238645759101679E-3"/>
  </r>
  <r>
    <x v="24"/>
    <s v="Pesos"/>
    <d v="2026-10-29T00:00:00"/>
    <s v="29/10/2026"/>
    <n v="1"/>
    <m/>
    <n v="6813654.1900000004"/>
    <n v="6813654.1900000004"/>
    <n v="6813654.1900000004"/>
    <n v="6813654.1900000004"/>
    <n v="74091873"/>
    <s v="AMOMPY"/>
    <s v="Momentum Capital Investment S.A."/>
    <s v="15/09/2026"/>
    <s v="15/09/2026"/>
    <n v="33"/>
    <s v="No"/>
    <s v=""/>
    <m/>
    <m/>
    <s v="*MAV271001608"/>
    <s v="*MAV271001608"/>
    <n v="8.3389899956428902E-5"/>
  </r>
  <r>
    <x v="25"/>
    <s v="Pesos"/>
    <d v="2026-10-29T00:00:00"/>
    <s v="29/10/2026"/>
    <n v="1"/>
    <m/>
    <n v="24000000"/>
    <n v="24000000"/>
    <n v="24000000"/>
    <n v="24000000"/>
    <n v="129"/>
    <s v="AMOMPY"/>
    <s v="Momentum Capital Investment S.A."/>
    <s v="22/09/2026"/>
    <s v="22/09/2026"/>
    <n v="25"/>
    <s v="No"/>
    <s v=""/>
    <m/>
    <m/>
    <s v="*NEU271000022"/>
    <s v="*NEU271000022"/>
    <n v="2.9372749821844033E-4"/>
  </r>
  <r>
    <x v="26"/>
    <s v="Pesos"/>
    <d v="2026-10-29T00:00:00"/>
    <s v="29/10/2026"/>
    <n v="1"/>
    <m/>
    <n v="5000000"/>
    <n v="5000000"/>
    <n v="5000000"/>
    <n v="5000000"/>
    <n v="1303"/>
    <s v="AMOMPY"/>
    <s v="Momentum Capital Investment S.A."/>
    <s v="25/09/2026"/>
    <s v="25/09/2026"/>
    <n v="30"/>
    <s v="No"/>
    <s v=""/>
    <m/>
    <m/>
    <s v="*MAV271001722"/>
    <s v="*MAV271001722"/>
    <n v="6.1193228795508399E-5"/>
  </r>
  <r>
    <x v="27"/>
    <s v="Pesos"/>
    <d v="2026-10-29T00:00:00"/>
    <s v="29/10/2026"/>
    <n v="1"/>
    <m/>
    <n v="2000000"/>
    <n v="2000000"/>
    <n v="2000000"/>
    <n v="2000000"/>
    <n v="70158534"/>
    <s v="AMOMPY"/>
    <s v="Momentum Capital Investment S.A."/>
    <s v="02/10/2026"/>
    <s v="02/10/2026"/>
    <n v="32"/>
    <s v="No"/>
    <s v=""/>
    <m/>
    <m/>
    <s v="*MAV271001816"/>
    <s v="*MAV271001816"/>
    <n v="2.4477291518203358E-5"/>
  </r>
  <r>
    <x v="28"/>
    <s v="Pesos"/>
    <d v="2026-10-29T00:00:00"/>
    <s v="29/10/2026"/>
    <n v="1"/>
    <m/>
    <n v="3090000"/>
    <n v="3090000"/>
    <n v="3090000"/>
    <n v="3090000"/>
    <n v="11137651"/>
    <s v="AMOMPY"/>
    <s v="Momentum Capital Investment S.A."/>
    <s v="06/10/2026"/>
    <s v="06/10/2026"/>
    <n v="32"/>
    <s v="No"/>
    <s v=""/>
    <m/>
    <m/>
    <s v="*MAV271001835"/>
    <s v="*MAV271001835"/>
    <n v="3.7817415395624189E-5"/>
  </r>
  <r>
    <x v="29"/>
    <s v="Pesos"/>
    <d v="2026-10-29T00:00:00"/>
    <s v="29/10/2026"/>
    <n v="1"/>
    <m/>
    <n v="4000000"/>
    <n v="4000000"/>
    <n v="4000000"/>
    <n v="4000000"/>
    <n v="90002223"/>
    <s v="AMOMPY"/>
    <s v="Momentum Capital Investment S.A."/>
    <s v="22/09/2026"/>
    <s v="22/09/2026"/>
    <n v="26"/>
    <s v="No"/>
    <s v=""/>
    <m/>
    <m/>
    <s v="*MIL271000044"/>
    <s v="*MIL271000044"/>
    <n v="4.8954583036406717E-5"/>
  </r>
  <r>
    <x v="30"/>
    <s v="Pesos"/>
    <d v="2026-10-29T00:00:00"/>
    <s v="29/10/2026"/>
    <n v="1"/>
    <m/>
    <n v="851000000"/>
    <n v="851000000"/>
    <n v="851000000"/>
    <n v="851000000"/>
    <n v="159265"/>
    <s v="AMOMPY"/>
    <s v="Momentum Capital Investment S.A."/>
    <s v="31/07/2026"/>
    <s v="31/07/2026"/>
    <n v="18"/>
    <s v="No"/>
    <s v=""/>
    <m/>
    <m/>
    <s v="#MAV281060018"/>
    <s v="#MAV281060018"/>
    <n v="1.041508754099553E-2"/>
  </r>
  <r>
    <x v="26"/>
    <s v="Pesos"/>
    <d v="2026-10-29T00:00:00"/>
    <s v="29/10/2026"/>
    <n v="1"/>
    <m/>
    <n v="5000000"/>
    <n v="5000000"/>
    <n v="5000000"/>
    <n v="5000000"/>
    <n v="1198"/>
    <s v="AMOMPY"/>
    <s v="Momentum Capital Investment S.A."/>
    <s v="08/09/2026"/>
    <s v="08/09/2026"/>
    <n v="30"/>
    <s v="No"/>
    <s v=""/>
    <m/>
    <m/>
    <s v="*MAV271001568"/>
    <s v="*MAV271001568"/>
    <n v="6.1193228795508399E-5"/>
  </r>
  <r>
    <x v="26"/>
    <s v="Pesos"/>
    <d v="2026-10-29T00:00:00"/>
    <s v="29/10/2026"/>
    <n v="1"/>
    <m/>
    <n v="4000000"/>
    <n v="4000000"/>
    <n v="4000000"/>
    <n v="4000000"/>
    <n v="1149"/>
    <s v="AMOMPY"/>
    <s v="Momentum Capital Investment S.A."/>
    <s v="04/09/2026"/>
    <s v="04/09/2026"/>
    <n v="32"/>
    <s v="No"/>
    <s v=""/>
    <m/>
    <m/>
    <s v="*MAV271001516"/>
    <s v="*MAV271001516"/>
    <n v="4.8954583036406717E-5"/>
  </r>
  <r>
    <x v="26"/>
    <s v="Pesos"/>
    <d v="2026-10-29T00:00:00"/>
    <s v="29/10/2026"/>
    <n v="1"/>
    <m/>
    <n v="5000000"/>
    <n v="5000000"/>
    <n v="5000000"/>
    <n v="5000000"/>
    <n v="1224"/>
    <s v="AMOMPY"/>
    <s v="Momentum Capital Investment S.A."/>
    <s v="14/09/2026"/>
    <s v="14/09/2026"/>
    <n v="30"/>
    <s v="No"/>
    <s v=""/>
    <m/>
    <m/>
    <s v="*MAV271001599"/>
    <s v="*MAV271001599"/>
    <n v="6.1193228795508399E-5"/>
  </r>
  <r>
    <x v="26"/>
    <s v="Pesos"/>
    <d v="2026-10-29T00:00:00"/>
    <s v="29/10/2026"/>
    <n v="1"/>
    <m/>
    <n v="2000000"/>
    <n v="2000000"/>
    <n v="2000000"/>
    <n v="2000000"/>
    <n v="1076"/>
    <s v="AMOMPY"/>
    <s v="Momentum Capital Investment S.A."/>
    <s v="26/08/2026"/>
    <s v="26/08/2026"/>
    <n v="32"/>
    <s v="No"/>
    <s v=""/>
    <m/>
    <m/>
    <s v="*MAV271001470"/>
    <s v="*MAV271001470"/>
    <n v="2.4477291518203358E-5"/>
  </r>
  <r>
    <x v="26"/>
    <s v="Pesos"/>
    <d v="2026-10-29T00:00:00"/>
    <s v="29/10/2026"/>
    <n v="1"/>
    <m/>
    <n v="3000000"/>
    <n v="3000000"/>
    <n v="3000000"/>
    <n v="3000000"/>
    <n v="1045"/>
    <s v="AMOMPY"/>
    <s v="Momentum Capital Investment S.A."/>
    <s v="25/08/2026"/>
    <s v="25/08/2026"/>
    <n v="32"/>
    <s v="No"/>
    <s v=""/>
    <m/>
    <m/>
    <s v="*MAV271001463"/>
    <s v="*MAV271001463"/>
    <n v="3.6715937277305041E-5"/>
  </r>
  <r>
    <x v="26"/>
    <s v="Pesos"/>
    <d v="2026-10-29T00:00:00"/>
    <s v="29/10/2026"/>
    <n v="1"/>
    <m/>
    <n v="10000000"/>
    <n v="10000000"/>
    <n v="10000000"/>
    <n v="10000000"/>
    <n v="728"/>
    <s v="AMOMPY"/>
    <s v="Momentum Capital Investment S.A."/>
    <s v="30/06/2026"/>
    <s v="30/06/2026"/>
    <n v="30"/>
    <s v="No"/>
    <s v=""/>
    <m/>
    <m/>
    <s v="*MAV271001297"/>
    <s v="*MAV271001297"/>
    <n v="1.223864575910168E-4"/>
  </r>
  <r>
    <x v="26"/>
    <s v="Pesos"/>
    <d v="2026-10-29T00:00:00"/>
    <s v="29/10/2026"/>
    <n v="1"/>
    <m/>
    <n v="6500000"/>
    <n v="6500000"/>
    <n v="6500000"/>
    <n v="6500000"/>
    <n v="746"/>
    <s v="AMOMPY"/>
    <s v="Momentum Capital Investment S.A."/>
    <s v="08/07/2026"/>
    <s v="08/07/2026"/>
    <n v="30"/>
    <s v="No"/>
    <s v=""/>
    <m/>
    <m/>
    <s v="*MAV271001316"/>
    <s v="*MAV271001316"/>
    <n v="7.9551197434160923E-5"/>
  </r>
  <r>
    <x v="26"/>
    <s v="Pesos"/>
    <d v="2026-10-29T00:00:00"/>
    <s v="29/10/2026"/>
    <n v="1"/>
    <m/>
    <n v="5000000"/>
    <n v="5000000"/>
    <n v="5000000"/>
    <n v="5000000"/>
    <n v="796"/>
    <s v="AMOMPY"/>
    <s v="Momentum Capital Investment S.A."/>
    <s v="14/07/2026"/>
    <s v="14/07/2026"/>
    <n v="30"/>
    <s v="No"/>
    <s v=""/>
    <m/>
    <m/>
    <s v="*MAV271001338"/>
    <s v="*MAV271001338"/>
    <n v="6.1193228795508399E-5"/>
  </r>
  <r>
    <x v="26"/>
    <s v="Pesos"/>
    <d v="2026-10-29T00:00:00"/>
    <s v="29/10/2026"/>
    <n v="1"/>
    <m/>
    <n v="2500000"/>
    <n v="2500000"/>
    <n v="2500000"/>
    <n v="2500000"/>
    <n v="885"/>
    <s v="AMOMPY"/>
    <s v="Momentum Capital Investment S.A."/>
    <s v="06/08/2026"/>
    <s v="06/08/2026"/>
    <n v="30"/>
    <s v="No"/>
    <s v=""/>
    <m/>
    <m/>
    <s v="*MAV271001403"/>
    <s v="*MAV271001403"/>
    <n v="3.05966143977542E-5"/>
  </r>
  <r>
    <x v="0"/>
    <s v="Pesos"/>
    <d v="2026-10-30T00:00:00"/>
    <s v="29/10/2026"/>
    <n v="0.99928817999999997"/>
    <m/>
    <n v="25000000"/>
    <n v="24982204.559999999"/>
    <n v="25000000"/>
    <n v="24982204.559999999"/>
    <n v="88274454"/>
    <s v="AMOMPY"/>
    <s v="Momentum Capital Investment S.A."/>
    <s v="22/09/2026"/>
    <s v="22/09/2026"/>
    <n v="26"/>
    <s v="No"/>
    <s v=""/>
    <m/>
    <m/>
    <s v="*TRD281000044"/>
    <s v="*TRD281000044"/>
    <n v="3.0574835189125463E-4"/>
  </r>
  <r>
    <x v="0"/>
    <s v="Pesos"/>
    <d v="2026-10-30T00:00:00"/>
    <s v="29/10/2026"/>
    <n v="0.99928817999999997"/>
    <m/>
    <n v="25000000"/>
    <n v="24982204.559999999"/>
    <n v="25000000"/>
    <n v="24982204.559999999"/>
    <n v="88274456"/>
    <s v="AMOMPY"/>
    <s v="Momentum Capital Investment S.A."/>
    <s v="22/09/2026"/>
    <s v="22/09/2026"/>
    <n v="26"/>
    <s v="No"/>
    <s v=""/>
    <m/>
    <m/>
    <s v="*TRD281000043"/>
    <s v="*TRD281000043"/>
    <n v="3.0574835189125463E-4"/>
  </r>
  <r>
    <x v="2"/>
    <s v="Pesos"/>
    <d v="2026-10-30T00:00:00"/>
    <s v="29/10/2026"/>
    <n v="0.99901468000000004"/>
    <m/>
    <n v="3625698.78"/>
    <n v="3622126.29"/>
    <n v="3625698.78"/>
    <n v="3622126.29"/>
    <n v="3347"/>
    <s v="AMOMPY"/>
    <s v="Momentum Capital Investment S.A."/>
    <s v="28/08/2026"/>
    <s v="28/08/2026"/>
    <n v="36"/>
    <s v="No"/>
    <s v=""/>
    <m/>
    <m/>
    <s v="*MAV281001402"/>
    <s v="*MAV281001402"/>
    <n v="4.4329920558039202E-5"/>
  </r>
  <r>
    <x v="2"/>
    <s v="Pesos"/>
    <d v="2026-10-30T00:00:00"/>
    <s v="29/10/2026"/>
    <n v="0.99909671"/>
    <m/>
    <n v="2502550.36"/>
    <n v="2500289.83"/>
    <n v="2502550.36"/>
    <n v="2500289.83"/>
    <n v="3131"/>
    <s v="AMOMPY"/>
    <s v="Momentum Capital Investment S.A."/>
    <s v="23/07/2026"/>
    <s v="23/07/2026"/>
    <n v="33"/>
    <s v="No"/>
    <s v=""/>
    <m/>
    <m/>
    <s v="*MAV281001231"/>
    <s v="*MAV281001231"/>
    <n v="3.0600161524454563E-5"/>
  </r>
  <r>
    <x v="2"/>
    <s v="Pesos"/>
    <d v="2026-10-30T00:00:00"/>
    <s v="29/10/2026"/>
    <n v="0.99909671"/>
    <m/>
    <n v="2502550.36"/>
    <n v="2500289.84"/>
    <n v="2502550.36"/>
    <n v="2500289.84"/>
    <n v="3141"/>
    <s v="AMOMPY"/>
    <s v="Momentum Capital Investment S.A."/>
    <s v="27/07/2026"/>
    <s v="27/07/2026"/>
    <n v="33"/>
    <s v="No"/>
    <s v=""/>
    <m/>
    <m/>
    <s v="*MAV281001238"/>
    <s v="*MAV281001238"/>
    <n v="3.0600161646841019E-5"/>
  </r>
  <r>
    <x v="2"/>
    <s v="Pesos"/>
    <d v="2026-10-30T00:00:00"/>
    <s v="29/10/2026"/>
    <n v="0.99906936000000002"/>
    <m/>
    <n v="990902.64"/>
    <n v="989980.47"/>
    <n v="990902.64"/>
    <n v="989980.47"/>
    <n v="2957"/>
    <s v="AMOMPY"/>
    <s v="Momentum Capital Investment S.A."/>
    <s v="15/07/2026"/>
    <s v="15/07/2026"/>
    <n v="34"/>
    <s v="No"/>
    <s v=""/>
    <m/>
    <m/>
    <s v="*MAV281001203"/>
    <s v="*MAV281001203"/>
    <n v="1.2116020280758988E-5"/>
  </r>
  <r>
    <x v="2"/>
    <s v="Pesos"/>
    <d v="2026-10-30T00:00:00"/>
    <s v="29/10/2026"/>
    <n v="0.99906936000000002"/>
    <m/>
    <n v="1020845.65"/>
    <n v="1019895.61"/>
    <n v="1020845.65"/>
    <n v="1019895.61"/>
    <n v="2907"/>
    <s v="AMOMPY"/>
    <s v="Momentum Capital Investment S.A."/>
    <s v="15/07/2026"/>
    <s v="15/07/2026"/>
    <n v="34"/>
    <s v="No"/>
    <s v=""/>
    <m/>
    <m/>
    <s v="*MAV281001204"/>
    <s v="*MAV281001204"/>
    <n v="1.2482141082052921E-5"/>
  </r>
  <r>
    <x v="31"/>
    <s v="Pesos"/>
    <d v="2026-10-30T00:00:00"/>
    <s v="29/10/2026"/>
    <n v="0.99917876000000005"/>
    <m/>
    <n v="1852533.42"/>
    <n v="1851012.05"/>
    <n v="1852533.42"/>
    <n v="1851012.05"/>
    <n v="20521666"/>
    <s v="AMOMPY"/>
    <s v="Momentum Capital Investment S.A."/>
    <s v="11/09/2026"/>
    <s v="11/09/2026"/>
    <n v="30"/>
    <s v="No"/>
    <s v=""/>
    <m/>
    <m/>
    <s v="*MAV281001510"/>
    <s v="*MAV281001510"/>
    <n v="2.2653880775778607E-5"/>
  </r>
  <r>
    <x v="32"/>
    <s v="Pesos"/>
    <d v="2026-10-30T00:00:00"/>
    <s v="29/10/2026"/>
    <n v="0.99909671"/>
    <m/>
    <n v="5300000"/>
    <n v="5295212.57"/>
    <n v="5300000"/>
    <n v="5295212.57"/>
    <n v="8175670"/>
    <s v="AMOMPY"/>
    <s v="Momentum Capital Investment S.A."/>
    <s v="15/09/2026"/>
    <s v="15/09/2026"/>
    <n v="33"/>
    <s v="No"/>
    <s v=""/>
    <m/>
    <m/>
    <s v="*MAV281001530"/>
    <s v="*MAV281001530"/>
    <n v="6.4806230863372408E-5"/>
  </r>
  <r>
    <x v="33"/>
    <s v="Pesos"/>
    <d v="2026-10-30T00:00:00"/>
    <s v="29/10/2026"/>
    <n v="0.99909672000000005"/>
    <m/>
    <n v="684028.33"/>
    <n v="683410.46"/>
    <n v="684028.33"/>
    <n v="683410.46"/>
    <n v="69287864"/>
    <s v="AMOMPY"/>
    <s v="Momentum Capital Investment S.A."/>
    <s v="15/09/2026"/>
    <s v="15/09/2026"/>
    <n v="33"/>
    <s v="No"/>
    <s v=""/>
    <m/>
    <m/>
    <s v="*MAV281001529"/>
    <s v="*MAV281001529"/>
    <n v="8.3640185280047275E-6"/>
  </r>
  <r>
    <x v="34"/>
    <s v="Pesos"/>
    <d v="2026-10-30T00:00:00"/>
    <s v="29/10/2026"/>
    <n v="0.99909671"/>
    <m/>
    <n v="95000000"/>
    <n v="94914187.219999999"/>
    <n v="95000000"/>
    <n v="94914187.219999999"/>
    <n v="3099"/>
    <s v="AMOMPY"/>
    <s v="Momentum Capital Investment S.A."/>
    <s v="01/10/2026"/>
    <s v="01/10/2026"/>
    <n v="33"/>
    <s v="No"/>
    <s v=""/>
    <m/>
    <m/>
    <s v="*MAV281001720"/>
    <s v="*MAV281001720"/>
    <n v="1.1616211148986358E-3"/>
  </r>
  <r>
    <x v="34"/>
    <s v="Pesos"/>
    <d v="2026-10-30T00:00:00"/>
    <s v="29/10/2026"/>
    <n v="0.99909671"/>
    <m/>
    <n v="80000000"/>
    <n v="79927736.75"/>
    <n v="80000000"/>
    <n v="79927736.75"/>
    <n v="3038"/>
    <s v="AMOMPY"/>
    <s v="Momentum Capital Investment S.A."/>
    <s v="28/09/2026"/>
    <s v="28/09/2026"/>
    <n v="33"/>
    <s v="No"/>
    <s v=""/>
    <m/>
    <m/>
    <s v="*MAV281001689"/>
    <s v="*MAV281001689"/>
    <n v="9.7820725640998291E-4"/>
  </r>
  <r>
    <x v="7"/>
    <s v="Pesos"/>
    <d v="2026-10-30T00:00:00"/>
    <s v="29/10/2026"/>
    <n v="0.99912405999999998"/>
    <m/>
    <n v="5444206"/>
    <n v="5439437.2000000002"/>
    <n v="5444206"/>
    <n v="5439437.2000000002"/>
    <n v="3443"/>
    <s v="AMOMPY"/>
    <s v="Momentum Capital Investment S.A."/>
    <s v="25/08/2026"/>
    <s v="25/08/2026"/>
    <n v="32"/>
    <s v="No"/>
    <s v=""/>
    <m/>
    <m/>
    <s v="*MAV281001373"/>
    <s v="*MAV281001373"/>
    <n v="6.6571345019679923E-5"/>
  </r>
  <r>
    <x v="35"/>
    <s v="Pesos"/>
    <d v="2026-10-30T00:00:00"/>
    <s v="29/10/2026"/>
    <n v="0.99906936999999996"/>
    <m/>
    <n v="12000000"/>
    <n v="11988832.380000001"/>
    <n v="12000000"/>
    <n v="11988832.380000001"/>
    <n v="14330927"/>
    <s v="AMOMPY"/>
    <s v="Momentum Capital Investment S.A."/>
    <s v="25/08/2026"/>
    <s v="25/08/2026"/>
    <n v="34"/>
    <s v="No"/>
    <s v=""/>
    <m/>
    <m/>
    <s v="*MAV281001371"/>
    <s v="*MAV281001371"/>
    <n v="1.4672707256406791E-4"/>
  </r>
  <r>
    <x v="36"/>
    <s v="Pesos"/>
    <d v="2026-10-30T00:00:00"/>
    <s v="29/10/2026"/>
    <n v="0.99909671"/>
    <m/>
    <n v="20000000"/>
    <n v="19981934.190000001"/>
    <n v="20000000"/>
    <n v="19981934.190000001"/>
    <n v="174"/>
    <s v="AMOMPY"/>
    <s v="Momentum Capital Investment S.A."/>
    <s v="28/09/2026"/>
    <s v="28/09/2026"/>
    <n v="33"/>
    <s v="No"/>
    <s v=""/>
    <m/>
    <m/>
    <s v="*MAV281001675"/>
    <s v="*MAV281001675"/>
    <n v="2.445518141330924E-4"/>
  </r>
  <r>
    <x v="37"/>
    <s v="Pesos"/>
    <d v="2026-10-30T00:00:00"/>
    <s v="29/10/2026"/>
    <n v="0.99906936000000002"/>
    <m/>
    <n v="12000000"/>
    <n v="11988832.35"/>
    <n v="12000000"/>
    <n v="11988832.35"/>
    <n v="151"/>
    <s v="AMOMPY"/>
    <s v="Momentum Capital Investment S.A."/>
    <s v="03/09/2026"/>
    <s v="03/09/2026"/>
    <n v="34"/>
    <s v="No"/>
    <s v=""/>
    <m/>
    <m/>
    <s v="*MAV281001443"/>
    <s v="*MAV281001443"/>
    <n v="1.4672707219690853E-4"/>
  </r>
  <r>
    <x v="38"/>
    <s v="Pesos"/>
    <d v="2026-10-30T00:00:00"/>
    <s v="29/10/2026"/>
    <n v="0.99917876000000005"/>
    <m/>
    <n v="806741321.13"/>
    <n v="806078795.47000003"/>
    <n v="806741321.13"/>
    <n v="806078795.47000003"/>
    <n v="67"/>
    <s v="AMOMPY"/>
    <s v="Momentum Capital Investment S.A."/>
    <s v="13/10/2026"/>
    <s v="13/10/2026"/>
    <n v="30"/>
    <s v="No"/>
    <s v=""/>
    <m/>
    <m/>
    <s v="%AUU291000001"/>
    <s v="%AUU291000001"/>
    <n v="9.8653128316807063E-3"/>
  </r>
  <r>
    <x v="11"/>
    <s v="Pesos"/>
    <d v="2026-10-30T00:00:00"/>
    <s v="29/10/2026"/>
    <n v="0.99915140999999996"/>
    <m/>
    <n v="13560000"/>
    <n v="13548493.119999999"/>
    <n v="13560000"/>
    <n v="13548493.119999999"/>
    <n v="10881212"/>
    <s v="AMOMPY"/>
    <s v="Momentum Capital Investment S.A."/>
    <s v="01/09/2026"/>
    <s v="01/09/2026"/>
    <n v="31"/>
    <s v="No"/>
    <s v=""/>
    <m/>
    <m/>
    <s v="*MAV281001424"/>
    <s v="*MAV281001424"/>
    <n v="1.6581520786530628E-4"/>
  </r>
  <r>
    <x v="39"/>
    <s v="Pesos"/>
    <d v="2026-10-30T00:00:00"/>
    <s v="29/10/2026"/>
    <n v="0.99912405999999998"/>
    <m/>
    <n v="766335.31"/>
    <n v="765664.05"/>
    <n v="766335.31"/>
    <n v="765664.05"/>
    <n v="50492550"/>
    <s v="AMOMPY"/>
    <s v="Momentum Capital Investment S.A."/>
    <s v="05/10/2026"/>
    <s v="05/10/2026"/>
    <n v="32"/>
    <s v="No"/>
    <s v=""/>
    <m/>
    <m/>
    <s v="*MAV281001768"/>
    <s v="*MAV281001768"/>
    <n v="9.370691078429117E-6"/>
  </r>
  <r>
    <x v="40"/>
    <s v="Pesos"/>
    <d v="2026-10-30T00:00:00"/>
    <s v="29/10/2026"/>
    <n v="0.99904201000000004"/>
    <m/>
    <n v="6500000"/>
    <n v="6493773.0899999999"/>
    <n v="6500000"/>
    <n v="6493773.0899999999"/>
    <n v="40773810"/>
    <s v="AMOMPY"/>
    <s v="Momentum Capital Investment S.A."/>
    <s v="18/08/2026"/>
    <s v="18/08/2026"/>
    <n v="35"/>
    <s v="No"/>
    <s v=""/>
    <m/>
    <m/>
    <s v="*MAV281001331"/>
    <s v="*MAV281001331"/>
    <n v="7.9474988488497115E-5"/>
  </r>
  <r>
    <x v="41"/>
    <s v="Pesos"/>
    <d v="2026-10-30T00:00:00"/>
    <s v="29/10/2026"/>
    <n v="0.99923346999999996"/>
    <m/>
    <n v="13004266.5"/>
    <n v="12994298.310000001"/>
    <n v="13004266.5"/>
    <n v="12994298.310000001"/>
    <n v="40294399"/>
    <s v="AMOMPY"/>
    <s v="Momentum Capital Investment S.A."/>
    <s v="31/08/2026"/>
    <s v="31/08/2026"/>
    <n v="28"/>
    <s v="No"/>
    <s v=""/>
    <m/>
    <m/>
    <s v="*MAV281001410"/>
    <s v="*MAV281001410"/>
    <n v="1.5903261390418362E-4"/>
  </r>
  <r>
    <x v="41"/>
    <s v="Pesos"/>
    <d v="2026-10-30T00:00:00"/>
    <s v="29/10/2026"/>
    <n v="0.99923346999999996"/>
    <m/>
    <n v="41120279.869999997"/>
    <n v="41088759.829999998"/>
    <n v="41120279.869999997"/>
    <n v="41088759.829999998"/>
    <n v="40294400"/>
    <s v="AMOMPY"/>
    <s v="Momentum Capital Investment S.A."/>
    <s v="31/08/2026"/>
    <s v="31/08/2026"/>
    <n v="28"/>
    <s v="No"/>
    <s v=""/>
    <m/>
    <m/>
    <s v="*MAV281001411"/>
    <s v="*MAV281001411"/>
    <n v="5.0287077624017694E-4"/>
  </r>
  <r>
    <x v="41"/>
    <s v="Pesos"/>
    <d v="2026-10-30T00:00:00"/>
    <s v="29/10/2026"/>
    <n v="0.99923346999999996"/>
    <m/>
    <n v="41120279.880000003"/>
    <n v="41088759.840000004"/>
    <n v="41120279.880000003"/>
    <n v="41088759.840000004"/>
    <n v="40294370"/>
    <s v="AMOMPY"/>
    <s v="Momentum Capital Investment S.A."/>
    <s v="31/08/2026"/>
    <s v="31/08/2026"/>
    <n v="28"/>
    <s v="No"/>
    <s v=""/>
    <m/>
    <m/>
    <s v="*MAV281001412"/>
    <s v="*MAV281001412"/>
    <n v="5.0287077636256342E-4"/>
  </r>
  <r>
    <x v="12"/>
    <s v="Pesos"/>
    <d v="2026-10-30T00:00:00"/>
    <s v="29/10/2026"/>
    <n v="0.99912405999999998"/>
    <m/>
    <n v="10655603.279999999"/>
    <n v="10646269.58"/>
    <n v="10655603.279999999"/>
    <n v="10646269.58"/>
    <n v="30833"/>
    <s v="AMOMPY"/>
    <s v="Momentum Capital Investment S.A."/>
    <s v="14/07/2026"/>
    <s v="14/07/2026"/>
    <n v="32"/>
    <s v="No"/>
    <s v=""/>
    <m/>
    <m/>
    <s v="*MAV281001194"/>
    <s v="*MAV281001194"/>
    <n v="1.3029592204552023E-4"/>
  </r>
  <r>
    <x v="42"/>
    <s v="Pesos"/>
    <d v="2026-10-30T00:00:00"/>
    <s v="29/10/2026"/>
    <n v="0.99912405999999998"/>
    <m/>
    <n v="50000000"/>
    <n v="49956202.899999999"/>
    <n v="50000000"/>
    <n v="49956202.899999999"/>
    <n v="6691"/>
    <s v="AMOMPY"/>
    <s v="Momentum Capital Investment S.A."/>
    <s v="27/08/2026"/>
    <s v="27/08/2026"/>
    <n v="32"/>
    <s v="No"/>
    <s v=""/>
    <m/>
    <m/>
    <s v="*MAV281001384"/>
    <s v="*MAV281001384"/>
    <n v="6.1139627076290802E-4"/>
  </r>
  <r>
    <x v="42"/>
    <s v="Pesos"/>
    <d v="2026-10-30T00:00:00"/>
    <s v="29/10/2026"/>
    <n v="0.99912405999999998"/>
    <m/>
    <n v="50000000"/>
    <n v="49956202.899999999"/>
    <n v="50000000"/>
    <n v="49956202.899999999"/>
    <n v="6690"/>
    <s v="AMOMPY"/>
    <s v="Momentum Capital Investment S.A."/>
    <s v="27/08/2026"/>
    <s v="27/08/2026"/>
    <n v="32"/>
    <s v="No"/>
    <s v=""/>
    <m/>
    <m/>
    <s v="*MAV281001385"/>
    <s v="*MAV281001385"/>
    <n v="6.1139627076290802E-4"/>
  </r>
  <r>
    <x v="43"/>
    <s v="Pesos"/>
    <d v="2026-10-30T00:00:00"/>
    <s v="29/10/2026"/>
    <n v="0.99917876999999999"/>
    <m/>
    <n v="525551.4"/>
    <n v="525119.80000000005"/>
    <n v="525551.4"/>
    <n v="525119.80000000005"/>
    <n v="1202"/>
    <s v="AMOMPY"/>
    <s v="Momentum Capital Investment S.A."/>
    <s v="13/10/2026"/>
    <s v="13/10/2026"/>
    <n v="30"/>
    <s v="No"/>
    <s v=""/>
    <m/>
    <m/>
    <s v="*MAV281001824"/>
    <s v="*MAV281001824"/>
    <n v="6.4267552132903232E-6"/>
  </r>
  <r>
    <x v="44"/>
    <s v="Pesos"/>
    <d v="2026-10-30T00:00:00"/>
    <s v="29/10/2026"/>
    <n v="0.99909671"/>
    <m/>
    <n v="25000000"/>
    <n v="24977417.699999999"/>
    <n v="25000000"/>
    <n v="24977417.699999999"/>
    <n v="14422593"/>
    <s v="AMOMPY"/>
    <s v="Momentum Capital Investment S.A."/>
    <s v="02/09/2026"/>
    <s v="02/09/2026"/>
    <n v="33"/>
    <s v="No"/>
    <s v=""/>
    <m/>
    <m/>
    <s v="*MAV281001429"/>
    <s v="*MAV281001429"/>
    <n v="3.0568976720741624E-4"/>
  </r>
  <r>
    <x v="44"/>
    <s v="Pesos"/>
    <d v="2026-10-30T00:00:00"/>
    <s v="29/10/2026"/>
    <n v="0.99912405999999998"/>
    <m/>
    <n v="10000000"/>
    <n v="9991240.5999999996"/>
    <n v="10000000"/>
    <n v="9991240.5999999996"/>
    <n v="14422570"/>
    <s v="AMOMPY"/>
    <s v="Momentum Capital Investment S.A."/>
    <s v="01/09/2026"/>
    <s v="01/09/2026"/>
    <n v="32"/>
    <s v="No"/>
    <s v=""/>
    <m/>
    <m/>
    <s v="*MAV281001416"/>
    <s v="*MAV281001416"/>
    <n v="1.2227925439735451E-4"/>
  </r>
  <r>
    <x v="20"/>
    <s v="Pesos"/>
    <d v="2026-10-30T00:00:00"/>
    <s v="29/10/2026"/>
    <n v="0.99898732999999995"/>
    <m/>
    <n v="10000000"/>
    <n v="9989873.2899999991"/>
    <n v="10000000"/>
    <n v="9989873.2899999991"/>
    <n v="16854860"/>
    <s v="AMOMPY"/>
    <s v="Momentum Capital Investment S.A."/>
    <s v="02/09/2026"/>
    <s v="02/09/2026"/>
    <n v="37"/>
    <s v="No"/>
    <s v=""/>
    <m/>
    <m/>
    <s v="*MAV281001435"/>
    <s v="*MAV281001435"/>
    <n v="1.2226252037462164E-4"/>
  </r>
  <r>
    <x v="23"/>
    <s v="Pesos"/>
    <d v="2026-10-30T00:00:00"/>
    <s v="29/10/2026"/>
    <n v="0.99912405999999998"/>
    <m/>
    <n v="100000000"/>
    <n v="99912405.829999998"/>
    <n v="100000000"/>
    <n v="99912405.829999998"/>
    <n v="164"/>
    <s v="AMOMPY"/>
    <s v="Momentum Capital Investment S.A."/>
    <s v="30/07/2026"/>
    <s v="30/07/2026"/>
    <n v="32"/>
    <s v="No"/>
    <s v=""/>
    <m/>
    <m/>
    <s v="*MAV281001256"/>
    <s v="*MAV281001256"/>
    <n v="1.2227925418929755E-3"/>
  </r>
  <r>
    <x v="45"/>
    <s v="Pesos"/>
    <d v="2026-10-30T00:00:00"/>
    <s v="29/10/2026"/>
    <n v="0.99909671"/>
    <m/>
    <n v="5556718.4800000004"/>
    <n v="5551699.1600000001"/>
    <n v="5556718.4800000004"/>
    <n v="5551699.1600000001"/>
    <n v="10568414"/>
    <s v="AMOMPY"/>
    <s v="Momentum Capital Investment S.A."/>
    <s v="15/09/2026"/>
    <s v="15/09/2026"/>
    <n v="33"/>
    <s v="No"/>
    <s v=""/>
    <m/>
    <m/>
    <s v="*MAV281001531"/>
    <s v="*MAV281001531"/>
    <n v="6.7945279380342361E-5"/>
  </r>
  <r>
    <x v="46"/>
    <s v="Pesos"/>
    <d v="2026-10-30T00:00:00"/>
    <s v="29/10/2026"/>
    <n v="0.99915140999999996"/>
    <m/>
    <n v="19271560.989999998"/>
    <n v="19255207.43"/>
    <n v="19271560.989999998"/>
    <n v="19255207.43"/>
    <n v="82628377"/>
    <s v="AMOMPY"/>
    <s v="Momentum Capital Investment S.A."/>
    <s v="07/10/2026"/>
    <s v="07/10/2026"/>
    <n v="31"/>
    <s v="No"/>
    <s v=""/>
    <m/>
    <m/>
    <s v="*MAV281001789"/>
    <s v="*MAV281001789"/>
    <n v="2.3565766275379264E-4"/>
  </r>
  <r>
    <x v="47"/>
    <s v="Pesos"/>
    <d v="2026-10-30T00:00:00"/>
    <s v="29/10/2026"/>
    <n v="0.99912405999999998"/>
    <m/>
    <n v="15350000"/>
    <n v="15336554.34"/>
    <n v="15350000"/>
    <n v="15336554.34"/>
    <n v="1666"/>
    <s v="AMOMPY"/>
    <s v="Momentum Capital Investment S.A."/>
    <s v="06/10/2026"/>
    <s v="06/10/2026"/>
    <n v="32"/>
    <s v="No"/>
    <s v=""/>
    <m/>
    <m/>
    <s v="*MAV281001785"/>
    <s v="*MAV281001785"/>
    <n v="1.8769865573247345E-4"/>
  </r>
  <r>
    <x v="48"/>
    <s v="Pesos"/>
    <d v="2026-10-30T00:00:00"/>
    <s v="29/10/2026"/>
    <n v="0.99917876999999999"/>
    <m/>
    <n v="3930000"/>
    <n v="3926772.56"/>
    <n v="3930000"/>
    <n v="3926772.56"/>
    <n v="90000100"/>
    <s v="AMOMPY"/>
    <s v="Momentum Capital Investment S.A."/>
    <s v="14/10/2026"/>
    <s v="14/10/2026"/>
    <n v="30"/>
    <s v="No"/>
    <s v=""/>
    <m/>
    <m/>
    <s v="*MAV281001833"/>
    <s v="*MAV281001833"/>
    <n v="4.805837833840085E-5"/>
  </r>
  <r>
    <x v="29"/>
    <s v="Pesos"/>
    <d v="2026-10-30T00:00:00"/>
    <s v="29/10/2026"/>
    <n v="0.99928817999999997"/>
    <m/>
    <n v="4000000"/>
    <n v="3997152.73"/>
    <n v="4000000"/>
    <n v="3997152.73"/>
    <n v="90002228"/>
    <s v="AMOMPY"/>
    <s v="Momentum Capital Investment S.A."/>
    <s v="22/09/2026"/>
    <s v="22/09/2026"/>
    <n v="26"/>
    <s v="No"/>
    <s v=""/>
    <m/>
    <m/>
    <s v="*MIL281000038"/>
    <s v="*MIL281000038"/>
    <n v="4.8919736307496199E-5"/>
  </r>
  <r>
    <x v="49"/>
    <s v="Pesos"/>
    <d v="2026-10-30T00:00:00"/>
    <s v="29/10/2026"/>
    <n v="0.99898732999999995"/>
    <m/>
    <n v="15000000"/>
    <n v="14984809.98"/>
    <n v="15000000"/>
    <n v="14984809.98"/>
    <n v="2591"/>
    <s v="AMOMPY"/>
    <s v="Momentum Capital Investment S.A."/>
    <s v="07/08/2026"/>
    <s v="07/08/2026"/>
    <n v="37"/>
    <s v="No"/>
    <s v=""/>
    <m/>
    <m/>
    <s v="*MAV281001299"/>
    <s v="*MAV281001299"/>
    <n v="1.8339378111267154E-4"/>
  </r>
  <r>
    <x v="26"/>
    <s v="Pesos"/>
    <d v="2026-10-30T00:00:00"/>
    <s v="29/10/2026"/>
    <n v="0.99917876000000005"/>
    <m/>
    <n v="5000000"/>
    <n v="4995893.79"/>
    <n v="5000000"/>
    <n v="4995893.79"/>
    <n v="1203"/>
    <s v="AMOMPY"/>
    <s v="Momentum Capital Investment S.A."/>
    <s v="09/09/2026"/>
    <s v="09/09/2026"/>
    <n v="30"/>
    <s v="No"/>
    <s v=""/>
    <m/>
    <m/>
    <s v="*MAV281001487"/>
    <s v="*MAV281001487"/>
    <n v="6.1142974345905924E-5"/>
  </r>
  <r>
    <x v="26"/>
    <s v="Pesos"/>
    <d v="2026-10-30T00:00:00"/>
    <s v="29/10/2026"/>
    <n v="0.99917876000000005"/>
    <m/>
    <n v="4000000"/>
    <n v="3996715.04"/>
    <n v="4000000"/>
    <n v="3996715.04"/>
    <n v="1150"/>
    <s v="AMOMPY"/>
    <s v="Momentum Capital Investment S.A."/>
    <s v="08/09/2026"/>
    <s v="08/09/2026"/>
    <n v="30"/>
    <s v="No"/>
    <s v=""/>
    <m/>
    <m/>
    <s v="*MAV281001421"/>
    <s v="*MAV281001421"/>
    <n v="4.8914379574633904E-5"/>
  </r>
  <r>
    <x v="26"/>
    <s v="Pesos"/>
    <d v="2026-10-30T00:00:00"/>
    <s v="29/10/2026"/>
    <n v="0.99912405000000004"/>
    <m/>
    <n v="2000000"/>
    <n v="1998248.11"/>
    <n v="2000000"/>
    <n v="1998248.11"/>
    <n v="1077"/>
    <s v="AMOMPY"/>
    <s v="Momentum Capital Investment S.A."/>
    <s v="26/08/2026"/>
    <s v="26/08/2026"/>
    <n v="32"/>
    <s v="No"/>
    <s v=""/>
    <m/>
    <m/>
    <s v="*MAV281001376"/>
    <s v="*MAV281001376"/>
    <n v="2.4455850757084449E-5"/>
  </r>
  <r>
    <x v="26"/>
    <s v="Pesos"/>
    <d v="2026-10-30T00:00:00"/>
    <s v="29/10/2026"/>
    <n v="0.99912405999999998"/>
    <m/>
    <n v="3000000"/>
    <n v="2997372.18"/>
    <n v="3000000"/>
    <n v="2997372.18"/>
    <n v="1046"/>
    <s v="AMOMPY"/>
    <s v="Momentum Capital Investment S.A."/>
    <s v="25/08/2026"/>
    <s v="25/08/2026"/>
    <n v="32"/>
    <s v="No"/>
    <s v=""/>
    <m/>
    <m/>
    <s v="*MAV281001368"/>
    <s v="*MAV281001368"/>
    <n v="3.6683776319206362E-5"/>
  </r>
  <r>
    <x v="26"/>
    <s v="Pesos"/>
    <d v="2026-10-30T00:00:00"/>
    <s v="29/10/2026"/>
    <n v="0.99909671"/>
    <m/>
    <n v="2500000"/>
    <n v="2497741.77"/>
    <n v="2500000"/>
    <n v="2497741.77"/>
    <n v="1010"/>
    <s v="AMOMPY"/>
    <s v="Momentum Capital Investment S.A."/>
    <s v="19/08/2026"/>
    <s v="19/08/2026"/>
    <n v="33"/>
    <s v="No"/>
    <s v=""/>
    <m/>
    <m/>
    <s v="*MAV281001335"/>
    <s v="*MAV281001335"/>
    <n v="3.0568976720741622E-5"/>
  </r>
  <r>
    <x v="26"/>
    <s v="Pesos"/>
    <d v="2026-10-30T00:00:00"/>
    <s v="29/10/2026"/>
    <n v="0.99917876000000005"/>
    <m/>
    <n v="5000000"/>
    <n v="4995893.79"/>
    <n v="5000000"/>
    <n v="4995893.79"/>
    <n v="797"/>
    <s v="AMOMPY"/>
    <s v="Momentum Capital Investment S.A."/>
    <s v="14/07/2026"/>
    <s v="14/07/2026"/>
    <n v="30"/>
    <s v="No"/>
    <s v=""/>
    <m/>
    <m/>
    <s v="*MAV281001197"/>
    <s v="*MAV281001197"/>
    <n v="6.1142974345905924E-5"/>
  </r>
  <r>
    <x v="26"/>
    <s v="Pesos"/>
    <d v="2026-10-30T00:00:00"/>
    <s v="29/10/2026"/>
    <n v="0.99917876000000005"/>
    <m/>
    <n v="2500000"/>
    <n v="2497946.91"/>
    <n v="2500000"/>
    <n v="2497946.91"/>
    <n v="909"/>
    <s v="AMOMPY"/>
    <s v="Momentum Capital Investment S.A."/>
    <s v="07/08/2026"/>
    <s v="07/08/2026"/>
    <n v="30"/>
    <s v="No"/>
    <s v=""/>
    <m/>
    <m/>
    <s v="*MAV281001300"/>
    <s v="*MAV281001300"/>
    <n v="3.0571487356532649E-5"/>
  </r>
  <r>
    <x v="26"/>
    <s v="Pesos"/>
    <d v="2026-10-30T00:00:00"/>
    <s v="29/10/2026"/>
    <n v="0.99917876000000005"/>
    <m/>
    <n v="2500000"/>
    <n v="2497946.9"/>
    <n v="2500000"/>
    <n v="2497946.9"/>
    <n v="886"/>
    <s v="AMOMPY"/>
    <s v="Momentum Capital Investment S.A."/>
    <s v="06/08/2026"/>
    <s v="06/08/2026"/>
    <n v="30"/>
    <s v="No"/>
    <s v=""/>
    <m/>
    <m/>
    <s v="*MAV281001290"/>
    <s v="*MAV281001290"/>
    <n v="3.0571487234146186E-5"/>
  </r>
  <r>
    <x v="50"/>
    <s v="Pesos"/>
    <d v="2026-10-30T00:00:00"/>
    <s v="29/10/2026"/>
    <n v="0.99917876000000005"/>
    <m/>
    <n v="2270000"/>
    <n v="2268135.79"/>
    <n v="2270000"/>
    <n v="2268135.79"/>
    <n v="10287265"/>
    <s v="AMOMPY"/>
    <s v="Momentum Capital Investment S.A."/>
    <s v="25/09/2026"/>
    <s v="25/09/2026"/>
    <n v="30"/>
    <s v="No"/>
    <s v=""/>
    <m/>
    <m/>
    <s v="*MAV281001650"/>
    <s v="*MAV281001650"/>
    <n v="2.7758910467350239E-5"/>
  </r>
  <r>
    <x v="51"/>
    <s v="Pesos"/>
    <d v="2026-10-30T00:00:00"/>
    <s v="29/10/2026"/>
    <n v="0.99909671"/>
    <m/>
    <n v="60000000"/>
    <n v="59945802.57"/>
    <n v="60000000"/>
    <n v="59945802.57"/>
    <n v="20863"/>
    <s v="AMOMPY"/>
    <s v="Momentum Capital Investment S.A."/>
    <s v="28/09/2026"/>
    <s v="28/09/2026"/>
    <n v="33"/>
    <s v="No"/>
    <s v=""/>
    <m/>
    <m/>
    <s v="*MAV281001681"/>
    <s v="*MAV281001681"/>
    <n v="7.3365544239927709E-4"/>
  </r>
  <r>
    <x v="52"/>
    <s v="Pesos"/>
    <d v="2026-10-30T00:00:00"/>
    <s v="29/10/2026"/>
    <n v="0.99917876000000005"/>
    <m/>
    <n v="5930000"/>
    <n v="5925130.0599999996"/>
    <n v="5930000"/>
    <n v="5925130.0599999996"/>
    <n v="1025"/>
    <s v="AMOMPY"/>
    <s v="Momentum Capital Investment S.A."/>
    <s v="29/09/2026"/>
    <s v="29/09/2026"/>
    <n v="30"/>
    <s v="No"/>
    <s v=""/>
    <m/>
    <m/>
    <s v="*MAV281001702"/>
    <s v="*MAV281001702"/>
    <n v="7.2515567880944871E-5"/>
  </r>
  <r>
    <x v="53"/>
    <s v="Pesos"/>
    <d v="2026-10-30T00:00:00"/>
    <s v="29/10/2026"/>
    <n v="0.99912405999999998"/>
    <m/>
    <n v="90000000"/>
    <n v="89921165.340000004"/>
    <n v="90000000"/>
    <n v="89921165.340000004"/>
    <n v="572"/>
    <s v="AMOMPY"/>
    <s v="Momentum Capital Investment S.A."/>
    <s v="02/10/2026"/>
    <s v="02/10/2026"/>
    <n v="32"/>
    <s v="No"/>
    <s v=""/>
    <m/>
    <m/>
    <s v="*MAV281001750"/>
    <s v="*MAV281001750"/>
    <n v="1.1005132888418721E-3"/>
  </r>
  <r>
    <x v="2"/>
    <s v="Pesos"/>
    <d v="2026-11-02T00:00:00"/>
    <s v="29/10/2026"/>
    <n v="0.99607031999999995"/>
    <m/>
    <n v="3625698.78"/>
    <n v="3611450.93"/>
    <n v="3625698.78"/>
    <n v="3611450.93"/>
    <n v="3348"/>
    <s v="AMOMPY"/>
    <s v="Momentum Capital Investment S.A."/>
    <s v="28/08/2026"/>
    <s v="28/08/2026"/>
    <n v="36"/>
    <s v="No"/>
    <s v=""/>
    <m/>
    <m/>
    <s v="*MAV291001264"/>
    <s v="*MAV291001264"/>
    <n v="4.4199268608648319E-5"/>
  </r>
  <r>
    <x v="2"/>
    <s v="Pesos"/>
    <d v="2026-11-02T00:00:00"/>
    <s v="29/10/2026"/>
    <n v="0.99607031999999995"/>
    <m/>
    <n v="1874176.47"/>
    <n v="1866811.55"/>
    <n v="1874176.47"/>
    <n v="1866811.55"/>
    <n v="3467"/>
    <s v="AMOMPY"/>
    <s v="Momentum Capital Investment S.A."/>
    <s v="08/09/2026"/>
    <s v="08/09/2026"/>
    <n v="36"/>
    <s v="No"/>
    <s v=""/>
    <m/>
    <m/>
    <s v="*MAV291001351"/>
    <s v="*MAV291001351"/>
    <n v="2.2847245259449533E-5"/>
  </r>
  <r>
    <x v="2"/>
    <s v="Pesos"/>
    <d v="2026-11-02T00:00:00"/>
    <s v="29/10/2026"/>
    <n v="0.99639659000000003"/>
    <m/>
    <n v="2502550.36"/>
    <n v="2493532.65"/>
    <n v="2502550.36"/>
    <n v="2493532.65"/>
    <n v="3132"/>
    <s v="AMOMPY"/>
    <s v="Momentum Capital Investment S.A."/>
    <s v="27/07/2026"/>
    <s v="27/07/2026"/>
    <n v="33"/>
    <s v="No"/>
    <s v=""/>
    <m/>
    <m/>
    <s v="*MAV291001138"/>
    <s v="*MAV291001138"/>
    <n v="3.0517462792104073E-5"/>
  </r>
  <r>
    <x v="2"/>
    <s v="Pesos"/>
    <d v="2026-11-02T00:00:00"/>
    <s v="29/10/2026"/>
    <n v="0.99639659000000003"/>
    <m/>
    <n v="2502550.36"/>
    <n v="2493532.65"/>
    <n v="2502550.36"/>
    <n v="2493532.65"/>
    <n v="3142"/>
    <s v="AMOMPY"/>
    <s v="Momentum Capital Investment S.A."/>
    <s v="27/07/2026"/>
    <s v="27/07/2026"/>
    <n v="33"/>
    <s v="No"/>
    <s v=""/>
    <m/>
    <m/>
    <s v="*MAV291001139"/>
    <s v="*MAV291001139"/>
    <n v="3.0517462792104073E-5"/>
  </r>
  <r>
    <x v="2"/>
    <s v="Pesos"/>
    <d v="2026-11-02T00:00:00"/>
    <s v="29/10/2026"/>
    <n v="0.99628781"/>
    <m/>
    <n v="1020845.65"/>
    <n v="1017056.08"/>
    <n v="1020845.65"/>
    <n v="1017056.08"/>
    <n v="2908"/>
    <s v="AMOMPY"/>
    <s v="Momentum Capital Investment S.A."/>
    <s v="15/07/2026"/>
    <s v="15/07/2026"/>
    <n v="34"/>
    <s v="No"/>
    <s v=""/>
    <m/>
    <m/>
    <s v="*MAV291001115"/>
    <s v="*MAV291001115"/>
    <n v="1.2447389080260578E-5"/>
  </r>
  <r>
    <x v="2"/>
    <s v="Pesos"/>
    <d v="2026-11-02T00:00:00"/>
    <s v="29/10/2026"/>
    <n v="0.99628781"/>
    <m/>
    <n v="990902.64"/>
    <n v="987224.22"/>
    <n v="990902.64"/>
    <n v="987224.22"/>
    <n v="2958"/>
    <s v="AMOMPY"/>
    <s v="Momentum Capital Investment S.A."/>
    <s v="15/07/2026"/>
    <s v="15/07/2026"/>
    <n v="34"/>
    <s v="No"/>
    <s v=""/>
    <m/>
    <m/>
    <s v="*MAV291001116"/>
    <s v="*MAV291001116"/>
    <n v="1.2082287513385464E-5"/>
  </r>
  <r>
    <x v="54"/>
    <s v="Pesos"/>
    <d v="2026-11-02T00:00:00"/>
    <s v="29/10/2026"/>
    <n v="0.99694090000000002"/>
    <m/>
    <n v="7000000"/>
    <n v="6978586.3200000003"/>
    <n v="7000000"/>
    <n v="6978586.3200000003"/>
    <n v="6488"/>
    <s v="AMOMPY"/>
    <s v="Momentum Capital Investment S.A."/>
    <s v="17/09/2026"/>
    <s v="17/09/2026"/>
    <n v="28"/>
    <s v="No"/>
    <s v=""/>
    <m/>
    <m/>
    <s v="*INP291000060"/>
    <s v="*INP291000060"/>
    <n v="8.5408445869792997E-5"/>
  </r>
  <r>
    <x v="3"/>
    <s v="Pesos"/>
    <d v="2026-11-02T00:00:00"/>
    <s v="29/10/2026"/>
    <n v="0.99694090000000002"/>
    <m/>
    <n v="2500000"/>
    <n v="2492352.2400000002"/>
    <n v="2500000"/>
    <n v="2492352.2400000002"/>
    <n v="90031824"/>
    <s v="AMOMPY"/>
    <s v="Momentum Capital Investment S.A."/>
    <s v="22/04/2026"/>
    <s v="22/04/2026"/>
    <n v="28"/>
    <s v="No"/>
    <s v=""/>
    <m/>
    <m/>
    <s v="*MOV291000063"/>
    <s v="*MOV291000063"/>
    <n v="3.0503016172263574E-5"/>
  </r>
  <r>
    <x v="32"/>
    <s v="Pesos"/>
    <d v="2026-11-02T00:00:00"/>
    <s v="29/10/2026"/>
    <n v="0.99639661999999996"/>
    <m/>
    <n v="5300000"/>
    <n v="5280902.0599999996"/>
    <n v="5300000"/>
    <n v="5280902.0599999996"/>
    <n v="8175671"/>
    <s v="AMOMPY"/>
    <s v="Momentum Capital Investment S.A."/>
    <s v="15/09/2026"/>
    <s v="15/09/2026"/>
    <n v="33"/>
    <s v="No"/>
    <s v=""/>
    <m/>
    <m/>
    <s v="*MAV291001376"/>
    <s v="*MAV291001376"/>
    <n v="6.4631089600850324E-5"/>
  </r>
  <r>
    <x v="6"/>
    <s v="Pesos"/>
    <d v="2026-11-02T00:00:00"/>
    <s v="29/10/2026"/>
    <n v="0.99694092999999995"/>
    <m/>
    <n v="131291.41"/>
    <n v="130889.78"/>
    <n v="131291.41"/>
    <n v="130889.78"/>
    <n v="595"/>
    <s v="AMOMPY"/>
    <s v="Momentum Capital Investment S.A."/>
    <s v="08/10/2026"/>
    <s v="08/10/2026"/>
    <n v="28"/>
    <s v="No"/>
    <s v=""/>
    <m/>
    <m/>
    <s v="*CRE291000166"/>
    <s v="*CRE291000166"/>
    <n v="1.6019136509067518E-6"/>
  </r>
  <r>
    <x v="55"/>
    <s v="Pesos"/>
    <d v="2026-11-02T00:00:00"/>
    <s v="29/10/2026"/>
    <n v="0.99704983000000003"/>
    <m/>
    <n v="15000000"/>
    <n v="14955747.41"/>
    <n v="15000000"/>
    <n v="14955747.41"/>
    <n v="235"/>
    <s v="AMOMPY"/>
    <s v="Momentum Capital Investment S.A."/>
    <s v="02/07/2026"/>
    <s v="02/07/2026"/>
    <n v="27"/>
    <s v="No"/>
    <s v=""/>
    <m/>
    <m/>
    <s v="*PRO291000023"/>
    <s v="*PRO291000023"/>
    <n v="1.8303809461359244E-4"/>
  </r>
  <r>
    <x v="55"/>
    <s v="Pesos"/>
    <d v="2026-11-02T00:00:00"/>
    <s v="29/10/2026"/>
    <n v="0.99715878999999996"/>
    <m/>
    <n v="15000000"/>
    <n v="14957381.83"/>
    <n v="15000000"/>
    <n v="14957381.83"/>
    <n v="68218060"/>
    <s v="AMOMPY"/>
    <s v="Momentum Capital Investment S.A."/>
    <s v="08/07/2026"/>
    <s v="08/07/2026"/>
    <n v="26"/>
    <s v="No"/>
    <s v=""/>
    <m/>
    <m/>
    <s v="*PRO291000024"/>
    <s v="*PRO291000024"/>
    <n v="1.8305809770099402E-4"/>
  </r>
  <r>
    <x v="55"/>
    <s v="Pesos"/>
    <d v="2026-11-02T00:00:00"/>
    <s v="29/10/2026"/>
    <n v="0.99726775999999995"/>
    <m/>
    <n v="32000000"/>
    <n v="31912568.34"/>
    <n v="32000000"/>
    <n v="31912568.34"/>
    <n v="5313"/>
    <s v="AMOMPY"/>
    <s v="Momentum Capital Investment S.A."/>
    <s v="16/07/2026"/>
    <s v="16/07/2026"/>
    <n v="25"/>
    <s v="No"/>
    <s v=""/>
    <m/>
    <m/>
    <s v="*PRO291000025"/>
    <s v="*PRO291000025"/>
    <n v="3.9056661917638352E-4"/>
  </r>
  <r>
    <x v="34"/>
    <s v="Pesos"/>
    <d v="2026-11-02T00:00:00"/>
    <s v="29/10/2026"/>
    <n v="0.99639659999999997"/>
    <m/>
    <n v="55000000"/>
    <n v="54801813.149999999"/>
    <n v="55000000"/>
    <n v="54801813.149999999"/>
    <n v="3110"/>
    <s v="AMOMPY"/>
    <s v="Momentum Capital Investment S.A."/>
    <s v="01/10/2026"/>
    <s v="01/10/2026"/>
    <n v="33"/>
    <s v="No"/>
    <s v=""/>
    <m/>
    <m/>
    <s v="*MAV291001543"/>
    <s v="*MAV291001543"/>
    <n v="6.7069997809933012E-4"/>
  </r>
  <r>
    <x v="7"/>
    <s v="Pesos"/>
    <d v="2026-11-02T00:00:00"/>
    <s v="29/10/2026"/>
    <n v="0.99650539999999999"/>
    <m/>
    <n v="5444206"/>
    <n v="5425180.7000000002"/>
    <n v="5444206"/>
    <n v="5425180.7000000002"/>
    <n v="3444"/>
    <s v="AMOMPY"/>
    <s v="Momentum Capital Investment S.A."/>
    <s v="25/08/2026"/>
    <s v="25/08/2026"/>
    <n v="32"/>
    <s v="No"/>
    <s v=""/>
    <m/>
    <m/>
    <s v="*MAV291001239"/>
    <s v="*MAV291001239"/>
    <n v="6.6396864766415288E-5"/>
  </r>
  <r>
    <x v="56"/>
    <s v="Pesos"/>
    <d v="2026-11-02T00:00:00"/>
    <s v="29/10/2026"/>
    <n v="0.99672311000000002"/>
    <m/>
    <n v="530000"/>
    <n v="528263.25"/>
    <n v="530000"/>
    <n v="528263.25"/>
    <n v="10711239"/>
    <s v="AMOMPY"/>
    <s v="Momentum Capital Investment S.A."/>
    <s v="25/09/2026"/>
    <s v="25/09/2026"/>
    <n v="30"/>
    <s v="No"/>
    <s v=""/>
    <m/>
    <m/>
    <s v="*MAV291001491"/>
    <s v="*MAV291001491"/>
    <n v="6.46522678430177E-6"/>
  </r>
  <r>
    <x v="57"/>
    <s v="Pesos"/>
    <d v="2026-11-02T00:00:00"/>
    <s v="29/10/2026"/>
    <n v="0.99639659999999997"/>
    <m/>
    <n v="333534247"/>
    <n v="332332389.43000001"/>
    <n v="333534247"/>
    <n v="332332389.43000001"/>
    <n v="155636"/>
    <s v="AMOMPY"/>
    <s v="Momentum Capital Investment S.A."/>
    <s v="03/07/2026"/>
    <s v="03/07/2026"/>
    <n v="33"/>
    <s v="No"/>
    <s v=""/>
    <m/>
    <m/>
    <s v="#MAV301060025"/>
    <s v="#MAV301060025"/>
    <n v="4.0672983885095973E-3"/>
  </r>
  <r>
    <x v="12"/>
    <s v="Pesos"/>
    <d v="2026-11-02T00:00:00"/>
    <s v="29/10/2026"/>
    <n v="0.99650541000000004"/>
    <m/>
    <n v="11829797.539999999"/>
    <n v="11788457.300000001"/>
    <n v="11829797.539999999"/>
    <n v="11788457.300000001"/>
    <n v="30888"/>
    <s v="AMOMPY"/>
    <s v="Momentum Capital Investment S.A."/>
    <s v="22/07/2026"/>
    <s v="22/07/2026"/>
    <n v="32"/>
    <s v="No"/>
    <s v=""/>
    <m/>
    <m/>
    <s v="*MAV291001129"/>
    <s v="*MAV291001129"/>
    <n v="1.4427475294099623E-4"/>
  </r>
  <r>
    <x v="12"/>
    <s v="Pesos"/>
    <d v="2026-11-02T00:00:00"/>
    <s v="29/10/2026"/>
    <n v="0.99650541000000004"/>
    <m/>
    <n v="10655603.279999999"/>
    <n v="10618366.34"/>
    <n v="10655603.279999999"/>
    <n v="10618366.34"/>
    <n v="30834"/>
    <s v="AMOMPY"/>
    <s v="Momentum Capital Investment S.A."/>
    <s v="14/07/2026"/>
    <s v="14/07/2026"/>
    <n v="32"/>
    <s v="No"/>
    <s v=""/>
    <m/>
    <m/>
    <s v="*MAV291001113"/>
    <s v="*MAV291001113"/>
    <n v="1.2995442417562903E-4"/>
  </r>
  <r>
    <x v="42"/>
    <s v="Pesos"/>
    <d v="2026-11-02T00:00:00"/>
    <s v="29/10/2026"/>
    <n v="0.99650541999999998"/>
    <m/>
    <n v="50000000"/>
    <n v="49825270.899999999"/>
    <n v="50000000"/>
    <n v="49825270.899999999"/>
    <n v="6688"/>
    <s v="AMOMPY"/>
    <s v="Momentum Capital Investment S.A."/>
    <s v="27/08/2026"/>
    <s v="27/08/2026"/>
    <n v="32"/>
    <s v="No"/>
    <s v=""/>
    <m/>
    <m/>
    <s v="*MAV291001253"/>
    <s v="*MAV291001253"/>
    <n v="6.0979384039637735E-4"/>
  </r>
  <r>
    <x v="42"/>
    <s v="Pesos"/>
    <d v="2026-11-02T00:00:00"/>
    <s v="29/10/2026"/>
    <n v="0.99650541999999998"/>
    <m/>
    <n v="50000000"/>
    <n v="49825270.899999999"/>
    <n v="50000000"/>
    <n v="49825270.899999999"/>
    <n v="6692"/>
    <s v="AMOMPY"/>
    <s v="Momentum Capital Investment S.A."/>
    <s v="27/08/2026"/>
    <s v="27/08/2026"/>
    <n v="32"/>
    <s v="No"/>
    <s v=""/>
    <m/>
    <m/>
    <s v="*MAV291001254"/>
    <s v="*MAV291001254"/>
    <n v="6.0979384039637735E-4"/>
  </r>
  <r>
    <x v="13"/>
    <s v="Pesos"/>
    <d v="2026-11-02T00:00:00"/>
    <s v="29/10/2026"/>
    <n v="0.99574421999999996"/>
    <m/>
    <n v="3750000"/>
    <n v="3734040.82"/>
    <n v="3750000"/>
    <n v="3734040.82"/>
    <n v="66918247"/>
    <s v="AMOMPY"/>
    <s v="Momentum Capital Investment S.A."/>
    <s v="13/05/2026"/>
    <s v="13/05/2026"/>
    <n v="39"/>
    <s v="No"/>
    <s v=""/>
    <m/>
    <m/>
    <s v="*MAV291001079"/>
    <s v="*MAV291001079"/>
    <n v="4.5699602846005555E-5"/>
  </r>
  <r>
    <x v="58"/>
    <s v="Pesos"/>
    <d v="2026-11-02T00:00:00"/>
    <s v="29/10/2026"/>
    <n v="0.99585290000000004"/>
    <m/>
    <n v="247000000"/>
    <n v="245975667.34"/>
    <n v="247000000"/>
    <n v="245975667.34"/>
    <n v="70403676"/>
    <s v="AMOMPY"/>
    <s v="Momentum Capital Investment S.A."/>
    <s v="24/08/2026"/>
    <s v="24/08/2026"/>
    <n v="38"/>
    <s v="No"/>
    <s v=""/>
    <m/>
    <m/>
    <s v="*MAV291001226"/>
    <s v="*MAV291001226"/>
    <n v="3.0104090579328967E-3"/>
  </r>
  <r>
    <x v="18"/>
    <s v="Pesos"/>
    <d v="2026-11-02T00:00:00"/>
    <s v="29/10/2026"/>
    <n v="0.99650543000000003"/>
    <m/>
    <n v="50000000"/>
    <n v="49825271.579999998"/>
    <n v="50000000"/>
    <n v="49825271.579999998"/>
    <n v="958"/>
    <s v="AMOMPY"/>
    <s v="Momentum Capital Investment S.A."/>
    <s v="29/09/2026"/>
    <s v="29/09/2026"/>
    <n v="32"/>
    <s v="No"/>
    <s v=""/>
    <m/>
    <m/>
    <s v="*MAV291001531"/>
    <s v="*MAV291001531"/>
    <n v="6.0979384871865641E-4"/>
  </r>
  <r>
    <x v="59"/>
    <s v="Pesos"/>
    <d v="2026-11-02T00:00:00"/>
    <s v="29/10/2026"/>
    <n v="0.99672316999999999"/>
    <m/>
    <n v="671045.38"/>
    <n v="668846.48"/>
    <n v="671045.38"/>
    <n v="668846.48"/>
    <n v="636"/>
    <s v="AMOMPY"/>
    <s v="Momentum Capital Investment S.A."/>
    <s v="21/10/2026"/>
    <s v="21/10/2026"/>
    <n v="30"/>
    <s v="No"/>
    <s v=""/>
    <m/>
    <m/>
    <s v="*MAV291001780"/>
    <s v="*MAV291001780"/>
    <n v="8.1857751359420867E-6"/>
  </r>
  <r>
    <x v="60"/>
    <s v="Pesos"/>
    <d v="2026-11-02T00:00:00"/>
    <s v="29/10/2026"/>
    <n v="0.99672315"/>
    <m/>
    <n v="131098.48000000001"/>
    <n v="130668.89"/>
    <n v="131098.48000000001"/>
    <n v="130668.89"/>
    <n v="98252883"/>
    <s v="AMOMPY"/>
    <s v="Momentum Capital Investment S.A."/>
    <s v="21/10/2026"/>
    <s v="21/10/2026"/>
    <n v="30"/>
    <s v="No"/>
    <s v=""/>
    <m/>
    <m/>
    <s v="*MAV291001782"/>
    <s v="*MAV291001782"/>
    <n v="1.5992102564450239E-6"/>
  </r>
  <r>
    <x v="61"/>
    <s v="Pesos"/>
    <d v="2026-11-02T00:00:00"/>
    <s v="29/10/2026"/>
    <n v="0.99650541000000004"/>
    <m/>
    <n v="475000000"/>
    <n v="473340070.56"/>
    <n v="475000000"/>
    <n v="473340070.56"/>
    <n v="1222"/>
    <s v="AMOMPY"/>
    <s v="Momentum Capital Investment S.A."/>
    <s v="02/09/2026"/>
    <s v="02/09/2026"/>
    <n v="32"/>
    <s v="No"/>
    <s v=""/>
    <m/>
    <m/>
    <s v="*MAV291001300"/>
    <s v="*MAV291001300"/>
    <n v="5.7930414471720343E-3"/>
  </r>
  <r>
    <x v="62"/>
    <s v="Pesos"/>
    <d v="2026-11-02T00:00:00"/>
    <s v="29/10/2026"/>
    <n v="0.99650541000000004"/>
    <m/>
    <n v="50000000"/>
    <n v="49825270.460000001"/>
    <n v="50000000"/>
    <n v="49825270.460000001"/>
    <n v="5357"/>
    <s v="AMOMPY"/>
    <s v="Momentum Capital Investment S.A."/>
    <s v="16/09/2026"/>
    <s v="16/09/2026"/>
    <n v="32"/>
    <s v="No"/>
    <s v=""/>
    <m/>
    <m/>
    <s v="*MAV291001384"/>
    <s v="*MAV291001384"/>
    <n v="6.0979383501137316E-4"/>
  </r>
  <r>
    <x v="20"/>
    <s v="Pesos"/>
    <d v="2026-11-02T00:00:00"/>
    <s v="29/10/2026"/>
    <n v="0.99596158999999995"/>
    <m/>
    <n v="10000000"/>
    <n v="9959615.8800000008"/>
    <n v="10000000"/>
    <n v="9959615.8800000008"/>
    <n v="16854859"/>
    <s v="AMOMPY"/>
    <s v="Momentum Capital Investment S.A."/>
    <s v="02/09/2026"/>
    <s v="02/09/2026"/>
    <n v="37"/>
    <s v="No"/>
    <s v=""/>
    <m/>
    <m/>
    <s v="*MAV291001295"/>
    <s v="*MAV291001295"/>
    <n v="1.2189221065204376E-4"/>
  </r>
  <r>
    <x v="23"/>
    <s v="Pesos"/>
    <d v="2026-11-02T00:00:00"/>
    <s v="29/10/2026"/>
    <n v="0.99650541999999998"/>
    <m/>
    <n v="100000000"/>
    <n v="99650541.890000001"/>
    <n v="100000000"/>
    <n v="99650541.890000001"/>
    <n v="165"/>
    <s v="AMOMPY"/>
    <s v="Momentum Capital Investment S.A."/>
    <s v="30/07/2026"/>
    <s v="30/07/2026"/>
    <n v="32"/>
    <s v="No"/>
    <s v=""/>
    <m/>
    <m/>
    <s v="*MAV291001158"/>
    <s v="*MAV291001158"/>
    <n v="1.2195876818942328E-3"/>
  </r>
  <r>
    <x v="26"/>
    <s v="Pesos"/>
    <d v="2026-11-02T00:00:00"/>
    <s v="29/10/2026"/>
    <n v="0.99672311999999996"/>
    <m/>
    <n v="5000000"/>
    <n v="4983615.5999999996"/>
    <n v="5000000"/>
    <n v="4983615.5999999996"/>
    <n v="1304"/>
    <s v="AMOMPY"/>
    <s v="Momentum Capital Investment S.A."/>
    <s v="25/09/2026"/>
    <s v="25/09/2026"/>
    <n v="30"/>
    <s v="No"/>
    <s v=""/>
    <m/>
    <m/>
    <s v="*MAV291001488"/>
    <s v="*MAV291001488"/>
    <n v="6.0992705927932966E-5"/>
  </r>
  <r>
    <x v="63"/>
    <s v="Pesos"/>
    <d v="2026-11-02T00:00:00"/>
    <s v="29/10/2026"/>
    <n v="0.99650543000000003"/>
    <m/>
    <n v="513679.69"/>
    <n v="511884.6"/>
    <n v="513679.69"/>
    <n v="511884.6"/>
    <n v="5286"/>
    <s v="AMOMPY"/>
    <s v="Momentum Capital Investment S.A."/>
    <s v="05/10/2026"/>
    <s v="05/10/2026"/>
    <n v="32"/>
    <s v="No"/>
    <s v=""/>
    <m/>
    <m/>
    <s v="*MAV291001589"/>
    <s v="*MAV291001589"/>
    <n v="6.2647742889394591E-6"/>
  </r>
  <r>
    <x v="64"/>
    <s v="Pesos"/>
    <d v="2026-11-02T00:00:00"/>
    <s v="29/10/2026"/>
    <n v="0.99650543000000003"/>
    <m/>
    <n v="4795000"/>
    <n v="4778243.5599999996"/>
    <n v="4795000"/>
    <n v="4778243.5599999996"/>
    <n v="29"/>
    <s v="AMOMPY"/>
    <s v="Momentum Capital Investment S.A."/>
    <s v="06/10/2026"/>
    <s v="06/10/2026"/>
    <n v="32"/>
    <s v="No"/>
    <s v=""/>
    <m/>
    <m/>
    <s v="*MAV291001600"/>
    <s v="*MAV291001600"/>
    <n v="5.847923028154891E-5"/>
  </r>
  <r>
    <x v="26"/>
    <s v="Pesos"/>
    <d v="2026-11-02T00:00:00"/>
    <s v="29/10/2026"/>
    <n v="0.99672311999999996"/>
    <m/>
    <n v="4000000"/>
    <n v="3986892.49"/>
    <n v="4000000"/>
    <n v="3986892.49"/>
    <n v="1151"/>
    <s v="AMOMPY"/>
    <s v="Momentum Capital Investment S.A."/>
    <s v="08/09/2026"/>
    <s v="08/09/2026"/>
    <n v="30"/>
    <s v="No"/>
    <s v=""/>
    <m/>
    <m/>
    <s v="*MAV291001283"/>
    <s v="*MAV291001283"/>
    <n v="4.8794164864732842E-5"/>
  </r>
  <r>
    <x v="26"/>
    <s v="Pesos"/>
    <d v="2026-11-02T00:00:00"/>
    <s v="29/10/2026"/>
    <n v="0.99672311000000002"/>
    <m/>
    <n v="5000000"/>
    <n v="4983615.5599999996"/>
    <n v="5000000"/>
    <n v="4983615.5599999996"/>
    <n v="1241"/>
    <s v="AMOMPY"/>
    <s v="Momentum Capital Investment S.A."/>
    <s v="17/09/2026"/>
    <s v="17/09/2026"/>
    <n v="30"/>
    <s v="No"/>
    <s v=""/>
    <m/>
    <m/>
    <s v="*MAV291001393"/>
    <s v="*MAV291001393"/>
    <n v="6.0992705438387137E-5"/>
  </r>
  <r>
    <x v="26"/>
    <s v="Pesos"/>
    <d v="2026-11-02T00:00:00"/>
    <s v="29/10/2026"/>
    <n v="0.99650541000000004"/>
    <m/>
    <n v="2000000"/>
    <n v="1993010.82"/>
    <n v="2000000"/>
    <n v="1993010.82"/>
    <n v="1079"/>
    <s v="AMOMPY"/>
    <s v="Momentum Capital Investment S.A."/>
    <s v="26/08/2026"/>
    <s v="26/08/2026"/>
    <n v="32"/>
    <s v="No"/>
    <s v=""/>
    <m/>
    <m/>
    <s v="*MAV291001243"/>
    <s v="*MAV291001243"/>
    <n v="2.4391753420036761E-5"/>
  </r>
  <r>
    <x v="26"/>
    <s v="Pesos"/>
    <d v="2026-11-02T00:00:00"/>
    <s v="29/10/2026"/>
    <n v="0.99650541000000004"/>
    <m/>
    <n v="3000000"/>
    <n v="2989516.22"/>
    <n v="3000000"/>
    <n v="2989516.22"/>
    <n v="1047"/>
    <s v="AMOMPY"/>
    <s v="Momentum Capital Investment S.A."/>
    <s v="25/08/2026"/>
    <s v="25/08/2026"/>
    <n v="32"/>
    <s v="No"/>
    <s v=""/>
    <m/>
    <m/>
    <s v="*MAV291001238"/>
    <s v="*MAV291001238"/>
    <n v="3.6587630007668688E-5"/>
  </r>
  <r>
    <x v="26"/>
    <s v="Pesos"/>
    <d v="2026-11-02T00:00:00"/>
    <s v="29/10/2026"/>
    <n v="0.99639659999999997"/>
    <m/>
    <n v="2500000"/>
    <n v="2490991.5099999998"/>
    <n v="2500000"/>
    <n v="2490991.5099999998"/>
    <n v="1009"/>
    <s v="AMOMPY"/>
    <s v="Momentum Capital Investment S.A."/>
    <s v="19/08/2026"/>
    <s v="19/08/2026"/>
    <n v="33"/>
    <s v="No"/>
    <s v=""/>
    <m/>
    <m/>
    <s v="*MAV291001215"/>
    <s v="*MAV291001215"/>
    <n v="3.0486362679819786E-5"/>
  </r>
  <r>
    <x v="26"/>
    <s v="Pesos"/>
    <d v="2026-11-02T00:00:00"/>
    <s v="29/10/2026"/>
    <n v="0.99672311000000002"/>
    <m/>
    <n v="3800000"/>
    <n v="3787547.81"/>
    <n v="3800000"/>
    <n v="3787547.81"/>
    <n v="929"/>
    <s v="AMOMPY"/>
    <s v="Momentum Capital Investment S.A."/>
    <s v="11/08/2026"/>
    <s v="11/08/2026"/>
    <n v="30"/>
    <s v="No"/>
    <s v=""/>
    <m/>
    <m/>
    <s v="*MAV291001196"/>
    <s v="*MAV291001196"/>
    <n v="4.6354455942251358E-5"/>
  </r>
  <r>
    <x v="26"/>
    <s v="Pesos"/>
    <d v="2026-11-02T00:00:00"/>
    <s v="29/10/2026"/>
    <n v="0.99672311999999996"/>
    <m/>
    <n v="2500000"/>
    <n v="2491807.79"/>
    <n v="2500000"/>
    <n v="2491807.79"/>
    <n v="887"/>
    <s v="AMOMPY"/>
    <s v="Momentum Capital Investment S.A."/>
    <s v="06/08/2026"/>
    <s v="06/08/2026"/>
    <n v="30"/>
    <s v="No"/>
    <s v=""/>
    <m/>
    <m/>
    <s v="*MAV291001181"/>
    <s v="*MAV291001181"/>
    <n v="3.0496352841580031E-5"/>
  </r>
  <r>
    <x v="65"/>
    <s v="Pesos"/>
    <d v="2026-11-03T00:00:00"/>
    <s v="29/10/2026"/>
    <n v="0.99617904000000002"/>
    <m/>
    <n v="12500000"/>
    <n v="12452238"/>
    <n v="12500000"/>
    <n v="12452238"/>
    <n v="90027773"/>
    <s v="AMOMPY"/>
    <s v="Momentum Capital Investment S.A."/>
    <s v="24/09/2026"/>
    <s v="24/09/2026"/>
    <n v="28"/>
    <s v="No"/>
    <s v=""/>
    <m/>
    <m/>
    <s v="*CVA301000021"/>
    <s v="*CVA301000021"/>
    <n v="1.5239852979002477E-4"/>
  </r>
  <r>
    <x v="1"/>
    <s v="Pesos"/>
    <d v="2026-11-03T00:00:00"/>
    <s v="29/10/2026"/>
    <n v="0.99590725000000002"/>
    <m/>
    <n v="4649844.34"/>
    <n v="4630813.68"/>
    <n v="4649844.34"/>
    <n v="4630813.68"/>
    <n v="22296"/>
    <s v="AMOMPY"/>
    <s v="Momentum Capital Investment S.A."/>
    <s v="15/09/2026"/>
    <s v="15/09/2026"/>
    <n v="30"/>
    <s v="No"/>
    <s v=""/>
    <m/>
    <m/>
    <s v="*AFB301000021"/>
    <s v="*AFB301000021"/>
    <n v="5.667488820592204E-5"/>
  </r>
  <r>
    <x v="2"/>
    <s v="Pesos"/>
    <d v="2026-11-03T00:00:00"/>
    <s v="29/10/2026"/>
    <n v="0.99509270999999999"/>
    <m/>
    <n v="3625698.78"/>
    <n v="3607906.43"/>
    <n v="3625698.78"/>
    <n v="3607906.43"/>
    <n v="3349"/>
    <s v="AMOMPY"/>
    <s v="Momentum Capital Investment S.A."/>
    <s v="28/08/2026"/>
    <s v="28/08/2026"/>
    <n v="36"/>
    <s v="No"/>
    <s v=""/>
    <m/>
    <m/>
    <s v="*MAV301001599"/>
    <s v="*MAV301001599"/>
    <n v="4.4155888728755187E-5"/>
  </r>
  <r>
    <x v="2"/>
    <s v="Pesos"/>
    <d v="2026-11-03T00:00:00"/>
    <s v="29/10/2026"/>
    <n v="0.99509272000000004"/>
    <m/>
    <n v="1874176.47"/>
    <n v="1864979.36"/>
    <n v="1874176.47"/>
    <n v="1864979.36"/>
    <n v="3468"/>
    <s v="AMOMPY"/>
    <s v="Momentum Capital Investment S.A."/>
    <s v="08/09/2026"/>
    <s v="08/09/2026"/>
    <n v="36"/>
    <s v="No"/>
    <s v=""/>
    <m/>
    <m/>
    <s v="*MAV301001726"/>
    <s v="*MAV301001726"/>
    <n v="2.2824821735076167E-5"/>
  </r>
  <r>
    <x v="2"/>
    <s v="Pesos"/>
    <d v="2026-11-03T00:00:00"/>
    <s v="29/10/2026"/>
    <n v="0.99549980999999998"/>
    <m/>
    <n v="2502550.36"/>
    <n v="2491288.42"/>
    <n v="2502550.36"/>
    <n v="2491288.42"/>
    <n v="3143"/>
    <s v="AMOMPY"/>
    <s v="Momentum Capital Investment S.A."/>
    <s v="27/07/2026"/>
    <s v="27/07/2026"/>
    <n v="33"/>
    <s v="No"/>
    <s v=""/>
    <m/>
    <m/>
    <s v="*MAV301001349"/>
    <s v="*MAV301001349"/>
    <n v="3.0489996456132125E-5"/>
  </r>
  <r>
    <x v="2"/>
    <s v="Pesos"/>
    <d v="2026-11-03T00:00:00"/>
    <s v="29/10/2026"/>
    <n v="0.99549980999999998"/>
    <m/>
    <n v="2502550.36"/>
    <n v="2491288.42"/>
    <n v="2502550.36"/>
    <n v="2491288.42"/>
    <n v="3133"/>
    <s v="AMOMPY"/>
    <s v="Momentum Capital Investment S.A."/>
    <s v="27/07/2026"/>
    <s v="27/07/2026"/>
    <n v="33"/>
    <s v="No"/>
    <s v=""/>
    <m/>
    <m/>
    <s v="*MAV301001350"/>
    <s v="*MAV301001350"/>
    <n v="3.0489996456132125E-5"/>
  </r>
  <r>
    <x v="2"/>
    <s v="Pesos"/>
    <d v="2026-11-03T00:00:00"/>
    <s v="29/10/2026"/>
    <n v="0.99536407000000005"/>
    <m/>
    <n v="990902.64"/>
    <n v="986308.88"/>
    <n v="990902.64"/>
    <n v="986308.88"/>
    <n v="2959"/>
    <s v="AMOMPY"/>
    <s v="Momentum Capital Investment S.A."/>
    <s v="15/07/2026"/>
    <s v="15/07/2026"/>
    <n v="34"/>
    <s v="No"/>
    <s v=""/>
    <m/>
    <m/>
    <s v="*MAV301001301"/>
    <s v="*MAV301001301"/>
    <n v="1.2071084991376328E-5"/>
  </r>
  <r>
    <x v="2"/>
    <s v="Pesos"/>
    <d v="2026-11-03T00:00:00"/>
    <s v="29/10/2026"/>
    <n v="0.99536407000000005"/>
    <m/>
    <n v="1020845.65"/>
    <n v="1016113.08"/>
    <n v="1020845.65"/>
    <n v="1016113.08"/>
    <n v="2909"/>
    <s v="AMOMPY"/>
    <s v="Momentum Capital Investment S.A."/>
    <s v="15/07/2026"/>
    <s v="15/07/2026"/>
    <n v="34"/>
    <s v="No"/>
    <s v=""/>
    <m/>
    <m/>
    <s v="*MAV301001302"/>
    <s v="*MAV301001302"/>
    <n v="1.2435848037309745E-5"/>
  </r>
  <r>
    <x v="66"/>
    <s v="Pesos"/>
    <d v="2026-11-03T00:00:00"/>
    <s v="29/10/2026"/>
    <n v="0.99577139000000003"/>
    <m/>
    <n v="102281981.31999999"/>
    <n v="101849470.29000001"/>
    <n v="102281981.31999999"/>
    <n v="101849470.29000001"/>
    <n v="6311"/>
    <s v="AMOMPY"/>
    <s v="Momentum Capital Investment S.A."/>
    <s v="17/09/2026"/>
    <s v="17/09/2026"/>
    <n v="31"/>
    <s v="No"/>
    <s v=""/>
    <m/>
    <m/>
    <s v="*MAV301001838"/>
    <s v="*MAV301001838"/>
    <n v="1.2464995876314612E-3"/>
  </r>
  <r>
    <x v="3"/>
    <s v="Pesos"/>
    <d v="2026-11-03T00:00:00"/>
    <s v="29/10/2026"/>
    <n v="0.99645099999999998"/>
    <m/>
    <n v="20000000"/>
    <n v="19929020.030000001"/>
    <n v="20000000"/>
    <n v="19929020.030000001"/>
    <n v="22804"/>
    <s v="AMOMPY"/>
    <s v="Momentum Capital Investment S.A."/>
    <s v="28/09/2026"/>
    <s v="28/09/2026"/>
    <n v="26"/>
    <s v="No"/>
    <s v=""/>
    <m/>
    <m/>
    <s v="*MOV301000100"/>
    <s v="*MOV301000100"/>
    <n v="2.4390421647321194E-4"/>
  </r>
  <r>
    <x v="32"/>
    <s v="Pesos"/>
    <d v="2026-11-03T00:00:00"/>
    <s v="29/10/2026"/>
    <n v="0.99549980999999998"/>
    <m/>
    <n v="5300000"/>
    <n v="5276149.01"/>
    <n v="5300000"/>
    <n v="5276149.01"/>
    <n v="8175672"/>
    <s v="AMOMPY"/>
    <s v="Momentum Capital Investment S.A."/>
    <s v="15/09/2026"/>
    <s v="15/09/2026"/>
    <n v="33"/>
    <s v="No"/>
    <s v=""/>
    <m/>
    <m/>
    <s v="*MAV301001800"/>
    <s v="*MAV301001800"/>
    <n v="6.4572918705625021E-5"/>
  </r>
  <r>
    <x v="67"/>
    <s v="Pesos"/>
    <d v="2026-11-03T00:00:00"/>
    <s v="29/10/2026"/>
    <n v="0.99549986000000001"/>
    <m/>
    <n v="155452.9"/>
    <n v="154753.34"/>
    <n v="155452.9"/>
    <n v="154753.34"/>
    <n v="348"/>
    <s v="AMOMPY"/>
    <s v="Momentum Capital Investment S.A."/>
    <s v="15/09/2026"/>
    <s v="15/09/2026"/>
    <n v="33"/>
    <s v="No"/>
    <s v=""/>
    <m/>
    <m/>
    <s v="*MAV301001801"/>
    <s v="*MAV301001801"/>
    <n v="1.8939713082978203E-6"/>
  </r>
  <r>
    <x v="6"/>
    <s v="Pesos"/>
    <d v="2026-11-03T00:00:00"/>
    <s v="29/10/2026"/>
    <n v="0.99618041000000002"/>
    <m/>
    <n v="634421.24"/>
    <n v="631998.01"/>
    <n v="634421.24"/>
    <n v="631998.01"/>
    <n v="3184"/>
    <s v="AMOMPY"/>
    <s v="Momentum Capital Investment S.A."/>
    <s v="16/10/2026"/>
    <s v="16/10/2026"/>
    <n v="27.99"/>
    <s v="No"/>
    <s v=""/>
    <m/>
    <m/>
    <s v="*CRE301000295"/>
    <s v="*CRE301000295"/>
    <n v="7.7347997648472003E-6"/>
  </r>
  <r>
    <x v="6"/>
    <s v="Pesos"/>
    <d v="2026-11-03T00:00:00"/>
    <s v="29/10/2026"/>
    <n v="0.99618039000000003"/>
    <m/>
    <n v="168854.79"/>
    <n v="168209.83"/>
    <n v="168854.79"/>
    <n v="168209.83"/>
    <n v="10273950"/>
    <s v="AMOMPY"/>
    <s v="Momentum Capital Investment S.A."/>
    <s v="16/10/2026"/>
    <s v="16/10/2026"/>
    <n v="27.99"/>
    <s v="No"/>
    <s v=""/>
    <m/>
    <m/>
    <s v="*CRE301000296"/>
    <s v="*CRE301000296"/>
    <n v="2.0586605225687145E-6"/>
  </r>
  <r>
    <x v="6"/>
    <s v="Pesos"/>
    <d v="2026-11-03T00:00:00"/>
    <s v="29/10/2026"/>
    <n v="0.99617907999999999"/>
    <m/>
    <n v="2750000"/>
    <n v="2739492.48"/>
    <n v="2750000"/>
    <n v="2739492.48"/>
    <n v="1769517"/>
    <s v="AMOMPY"/>
    <s v="Momentum Capital Investment S.A."/>
    <s v="08/10/2026"/>
    <s v="08/10/2026"/>
    <n v="28"/>
    <s v="No"/>
    <s v=""/>
    <m/>
    <m/>
    <s v="*CRE301000292"/>
    <s v="*CRE301000292"/>
    <n v="3.3527678022442945E-5"/>
  </r>
  <r>
    <x v="6"/>
    <s v="Pesos"/>
    <d v="2026-11-03T00:00:00"/>
    <s v="29/10/2026"/>
    <n v="0.99617909999999998"/>
    <m/>
    <n v="502360.99"/>
    <n v="500441.52"/>
    <n v="502360.99"/>
    <n v="500441.52"/>
    <n v="738"/>
    <s v="AMOMPY"/>
    <s v="Momentum Capital Investment S.A."/>
    <s v="08/10/2026"/>
    <s v="08/10/2026"/>
    <n v="28"/>
    <s v="No"/>
    <s v=""/>
    <m/>
    <m/>
    <s v="*CRE301000293"/>
    <s v="*CRE301000293"/>
    <n v="6.1247264864263986E-6"/>
  </r>
  <r>
    <x v="68"/>
    <s v="Pesos"/>
    <d v="2026-11-03T00:00:00"/>
    <s v="29/10/2026"/>
    <n v="0.99536407000000005"/>
    <m/>
    <n v="20000000"/>
    <n v="19907281.399999999"/>
    <n v="20000000"/>
    <n v="19907281.399999999"/>
    <n v="58"/>
    <s v="AMOMPY"/>
    <s v="Momentum Capital Investment S.A."/>
    <s v="30/07/2026"/>
    <s v="30/07/2026"/>
    <n v="34"/>
    <s v="No"/>
    <s v=""/>
    <m/>
    <m/>
    <s v="*MAV301001368"/>
    <s v="*MAV301001368"/>
    <n v="2.4363816508135374E-4"/>
  </r>
  <r>
    <x v="2"/>
    <s v="Pesos"/>
    <d v="2026-11-03T00:00:00"/>
    <s v="29/10/2026"/>
    <n v="0.99522836999999997"/>
    <m/>
    <n v="2510000.36"/>
    <n v="2498023.5699999998"/>
    <n v="2510000.36"/>
    <n v="2498023.5699999998"/>
    <n v="3156"/>
    <s v="AMOMPY"/>
    <s v="Momentum Capital Investment S.A."/>
    <s v="25/09/2026"/>
    <s v="25/09/2026"/>
    <n v="35"/>
    <s v="No"/>
    <s v=""/>
    <m/>
    <m/>
    <s v="*MAV301001950"/>
    <s v="*MAV301001950"/>
    <n v="3.0572425571116539E-5"/>
  </r>
  <r>
    <x v="69"/>
    <s v="Pesos"/>
    <d v="2026-11-03T00:00:00"/>
    <s v="29/10/2026"/>
    <n v="0.99590723000000003"/>
    <m/>
    <n v="4957748.6399999997"/>
    <n v="4937457.72"/>
    <n v="4957748.6399999997"/>
    <n v="4937457.72"/>
    <n v="68735252"/>
    <s v="AMOMPY"/>
    <s v="Momentum Capital Investment S.A."/>
    <s v="04/08/2026"/>
    <s v="04/08/2026"/>
    <n v="30"/>
    <s v="No"/>
    <s v=""/>
    <m/>
    <m/>
    <s v="*MAV301001397"/>
    <s v="*MAV301001397"/>
    <n v="6.0427795985621846E-5"/>
  </r>
  <r>
    <x v="70"/>
    <s v="Pesos"/>
    <d v="2026-11-03T00:00:00"/>
    <s v="29/10/2026"/>
    <n v="0.99590723999999997"/>
    <m/>
    <n v="12000000"/>
    <n v="11950886.880000001"/>
    <n v="12000000"/>
    <n v="11950886.880000001"/>
    <n v="374"/>
    <s v="AMOMPY"/>
    <s v="Momentum Capital Investment S.A."/>
    <s v="06/08/2026"/>
    <s v="06/08/2026"/>
    <n v="30"/>
    <s v="No"/>
    <s v=""/>
    <m/>
    <m/>
    <s v="*MAV301001422"/>
    <s v="*MAV301001422"/>
    <n v="1.462626710314159E-4"/>
  </r>
  <r>
    <x v="7"/>
    <s v="Pesos"/>
    <d v="2026-11-03T00:00:00"/>
    <s v="29/10/2026"/>
    <n v="0.99563559000000001"/>
    <m/>
    <n v="5444206"/>
    <n v="5420445.25"/>
    <n v="5444206"/>
    <n v="5420445.25"/>
    <n v="3445"/>
    <s v="AMOMPY"/>
    <s v="Momentum Capital Investment S.A."/>
    <s v="25/08/2026"/>
    <s v="25/08/2026"/>
    <n v="32"/>
    <s v="No"/>
    <s v=""/>
    <m/>
    <m/>
    <s v="*MAV301001555"/>
    <s v="*MAV301001555"/>
    <n v="6.633890927135534E-5"/>
  </r>
  <r>
    <x v="71"/>
    <s v="Pesos"/>
    <d v="2026-11-03T00:00:00"/>
    <s v="29/10/2026"/>
    <n v="0.99549980000000005"/>
    <m/>
    <n v="44921898.869999997"/>
    <n v="44719741.299999997"/>
    <n v="44921898.869999997"/>
    <n v="44719741.299999997"/>
    <n v="72662198"/>
    <s v="AMOMPY"/>
    <s v="Momentum Capital Investment S.A."/>
    <s v="19/08/2026"/>
    <s v="19/08/2026"/>
    <n v="33"/>
    <s v="No"/>
    <s v=""/>
    <m/>
    <m/>
    <s v="*MAV301001501"/>
    <s v="*MAV301001501"/>
    <n v="5.4730907220936918E-4"/>
  </r>
  <r>
    <x v="72"/>
    <s v="Pesos"/>
    <d v="2026-11-03T00:00:00"/>
    <s v="29/10/2026"/>
    <n v="0.99563557999999996"/>
    <m/>
    <n v="100000000"/>
    <n v="99563557.879999995"/>
    <n v="100000000"/>
    <n v="99563557.879999995"/>
    <n v="1240"/>
    <s v="AMOMPY"/>
    <s v="Momentum Capital Investment S.A."/>
    <s v="27/08/2026"/>
    <s v="27/08/2026"/>
    <n v="32"/>
    <s v="No"/>
    <s v=""/>
    <m/>
    <m/>
    <s v="*MAV301001585"/>
    <s v="*MAV301001585"/>
    <n v="1.2185231154091367E-3"/>
  </r>
  <r>
    <x v="72"/>
    <s v="Pesos"/>
    <d v="2026-11-03T00:00:00"/>
    <s v="29/10/2026"/>
    <n v="0.99563557999999996"/>
    <m/>
    <n v="100000000"/>
    <n v="99563557.879999995"/>
    <n v="100000000"/>
    <n v="99563557.879999995"/>
    <n v="1241"/>
    <s v="AMOMPY"/>
    <s v="Momentum Capital Investment S.A."/>
    <s v="27/08/2026"/>
    <s v="27/08/2026"/>
    <n v="32"/>
    <s v="No"/>
    <s v=""/>
    <m/>
    <m/>
    <s v="*MAV301001589"/>
    <s v="*MAV301001589"/>
    <n v="1.2185231154091367E-3"/>
  </r>
  <r>
    <x v="72"/>
    <s v="Pesos"/>
    <d v="2026-11-03T00:00:00"/>
    <s v="29/10/2026"/>
    <n v="0.99563557999999996"/>
    <m/>
    <n v="100000000"/>
    <n v="99563557.879999995"/>
    <n v="100000000"/>
    <n v="99563557.879999995"/>
    <n v="1239"/>
    <s v="AMOMPY"/>
    <s v="Momentum Capital Investment S.A."/>
    <s v="27/08/2026"/>
    <s v="27/08/2026"/>
    <n v="32"/>
    <s v="No"/>
    <s v=""/>
    <m/>
    <m/>
    <s v="*MAV301001590"/>
    <s v="*MAV301001590"/>
    <n v="1.2185231154091367E-3"/>
  </r>
  <r>
    <x v="73"/>
    <s v="Pesos"/>
    <d v="2026-11-03T00:00:00"/>
    <s v="29/10/2026"/>
    <n v="0.99563559000000001"/>
    <m/>
    <n v="1217387.51"/>
    <n v="1212074.33"/>
    <n v="1217387.51"/>
    <n v="1212074.33"/>
    <n v="1808"/>
    <s v="AMOMPY"/>
    <s v="Momentum Capital Investment S.A."/>
    <s v="01/09/2026"/>
    <s v="01/09/2026"/>
    <n v="32"/>
    <s v="No"/>
    <s v=""/>
    <m/>
    <m/>
    <s v="*MAV301001645"/>
    <s v="*MAV301001645"/>
    <n v="1.4834148358570511E-5"/>
  </r>
  <r>
    <x v="74"/>
    <s v="Pesos"/>
    <d v="2026-11-03T00:00:00"/>
    <s v="29/10/2026"/>
    <n v="0.99522836000000003"/>
    <m/>
    <n v="10867742.35"/>
    <n v="10815885.41"/>
    <n v="10867742.35"/>
    <n v="10815885.41"/>
    <n v="40603614"/>
    <s v="AMOMPY"/>
    <s v="Momentum Capital Investment S.A."/>
    <s v="03/07/2026"/>
    <s v="03/07/2026"/>
    <n v="35"/>
    <s v="No"/>
    <s v=""/>
    <m/>
    <m/>
    <s v="*MAV301001275"/>
    <s v="*MAV301001275"/>
    <n v="1.3237179010402623E-4"/>
  </r>
  <r>
    <x v="75"/>
    <s v="Pesos"/>
    <d v="2026-11-03T00:00:00"/>
    <s v="29/10/2026"/>
    <n v="0.99563559000000001"/>
    <m/>
    <n v="6714705.04"/>
    <n v="6685399.2999999998"/>
    <n v="6714705.04"/>
    <n v="6685399.2999999998"/>
    <n v="198202"/>
    <s v="AMOMPY"/>
    <s v="Momentum Capital Investment S.A."/>
    <s v="25/08/2026"/>
    <s v="25/08/2026"/>
    <n v="32"/>
    <s v="No"/>
    <s v=""/>
    <m/>
    <m/>
    <s v="*MAV301001554"/>
    <s v="*MAV301001554"/>
    <n v="8.1820233790846341E-5"/>
  </r>
  <r>
    <x v="76"/>
    <s v="Pesos"/>
    <d v="2026-11-03T00:00:00"/>
    <s v="29/10/2026"/>
    <n v="0.99563559000000001"/>
    <m/>
    <n v="43185942.649999999"/>
    <n v="42997461.439999998"/>
    <n v="43185942.649999999"/>
    <n v="42997461.439999998"/>
    <n v="40085351"/>
    <s v="AMOMPY"/>
    <s v="Momentum Capital Investment S.A."/>
    <s v="25/08/2026"/>
    <s v="25/08/2026"/>
    <n v="32"/>
    <s v="No"/>
    <s v=""/>
    <m/>
    <m/>
    <s v="*MAV301001556"/>
    <s v="*MAV301001556"/>
    <n v="5.2623069910479395E-4"/>
  </r>
  <r>
    <x v="77"/>
    <s v="Pesos"/>
    <d v="2026-11-03T00:00:00"/>
    <s v="29/10/2026"/>
    <n v="0.99577139000000003"/>
    <m/>
    <n v="20344755.739999998"/>
    <n v="20258725.68"/>
    <n v="20344755.739999998"/>
    <n v="20258725.68"/>
    <n v="30418492"/>
    <s v="AMOMPY"/>
    <s v="Momentum Capital Investment S.A."/>
    <s v="03/09/2026"/>
    <s v="03/09/2026"/>
    <n v="31"/>
    <s v="No"/>
    <s v=""/>
    <m/>
    <m/>
    <s v="*MAV301001686"/>
    <s v="*MAV301001686"/>
    <n v="2.4793936712833628E-4"/>
  </r>
  <r>
    <x v="12"/>
    <s v="Pesos"/>
    <d v="2026-11-03T00:00:00"/>
    <s v="29/10/2026"/>
    <n v="0.99563557999999996"/>
    <m/>
    <n v="11829797.539999999"/>
    <n v="11778167.310000001"/>
    <n v="11829797.539999999"/>
    <n v="11778167.310000001"/>
    <n v="30889"/>
    <s v="AMOMPY"/>
    <s v="Momentum Capital Investment S.A."/>
    <s v="22/07/2026"/>
    <s v="22/07/2026"/>
    <n v="32"/>
    <s v="No"/>
    <s v=""/>
    <m/>
    <m/>
    <s v="*MAV301001333"/>
    <s v="*MAV301001333"/>
    <n v="1.4414881739852154E-4"/>
  </r>
  <r>
    <x v="12"/>
    <s v="Pesos"/>
    <d v="2026-11-03T00:00:00"/>
    <s v="29/10/2026"/>
    <n v="0.99563557999999996"/>
    <m/>
    <n v="16498838.289999999"/>
    <n v="16426830.4"/>
    <n v="16498838.289999999"/>
    <n v="16426830.4"/>
    <n v="30845"/>
    <s v="AMOMPY"/>
    <s v="Momentum Capital Investment S.A."/>
    <s v="22/07/2026"/>
    <s v="22/07/2026"/>
    <n v="32"/>
    <s v="No"/>
    <s v=""/>
    <m/>
    <m/>
    <s v="*MAV301001334"/>
    <s v="*MAV301001334"/>
    <n v="2.0104215821044257E-4"/>
  </r>
  <r>
    <x v="12"/>
    <s v="Pesos"/>
    <d v="2026-11-03T00:00:00"/>
    <s v="29/10/2026"/>
    <n v="0.99563557999999996"/>
    <m/>
    <n v="10655603.279999999"/>
    <n v="10609097.699999999"/>
    <n v="10655603.279999999"/>
    <n v="10609097.699999999"/>
    <n v="30835"/>
    <s v="AMOMPY"/>
    <s v="Momentum Capital Investment S.A."/>
    <s v="14/07/2026"/>
    <s v="14/07/2026"/>
    <n v="32"/>
    <s v="No"/>
    <s v=""/>
    <m/>
    <m/>
    <s v="*MAV301001295"/>
    <s v="*MAV301001295"/>
    <n v="1.2984098857400037E-4"/>
  </r>
  <r>
    <x v="42"/>
    <s v="Pesos"/>
    <d v="2026-11-03T00:00:00"/>
    <s v="29/10/2026"/>
    <n v="0.99563557999999996"/>
    <m/>
    <n v="50000000"/>
    <n v="49781778.939999998"/>
    <n v="50000000"/>
    <n v="49781778.939999998"/>
    <n v="6693"/>
    <s v="AMOMPY"/>
    <s v="Momentum Capital Investment S.A."/>
    <s v="27/08/2026"/>
    <s v="27/08/2026"/>
    <n v="32"/>
    <s v="No"/>
    <s v=""/>
    <m/>
    <m/>
    <s v="*MAV301001586"/>
    <s v="*MAV301001586"/>
    <n v="6.0926155770456834E-4"/>
  </r>
  <r>
    <x v="42"/>
    <s v="Pesos"/>
    <d v="2026-11-03T00:00:00"/>
    <s v="29/10/2026"/>
    <n v="0.99563557999999996"/>
    <m/>
    <n v="50000000"/>
    <n v="49781778.939999998"/>
    <n v="50000000"/>
    <n v="49781778.939999998"/>
    <n v="6689"/>
    <s v="AMOMPY"/>
    <s v="Momentum Capital Investment S.A."/>
    <s v="27/08/2026"/>
    <s v="27/08/2026"/>
    <n v="32"/>
    <s v="No"/>
    <s v=""/>
    <m/>
    <m/>
    <s v="*MAV301001587"/>
    <s v="*MAV301001587"/>
    <n v="6.0926155770456834E-4"/>
  </r>
  <r>
    <x v="78"/>
    <s v="Pesos"/>
    <d v="2026-11-03T00:00:00"/>
    <s v="29/10/2026"/>
    <n v="0.99482148999999997"/>
    <m/>
    <n v="750000000"/>
    <n v="746116118.10000002"/>
    <n v="750000000"/>
    <n v="746116118.10000002"/>
    <n v="163014"/>
    <s v="AMOMPY"/>
    <s v="Momentum Capital Investment S.A."/>
    <s v="31/08/2026"/>
    <s v="31/08/2026"/>
    <n v="38"/>
    <s v="No"/>
    <s v=""/>
    <m/>
    <m/>
    <s v="#MAV021160038"/>
    <s v="#MAV021160038"/>
    <n v="9.131450864581973E-3"/>
  </r>
  <r>
    <x v="79"/>
    <s v="Pesos"/>
    <d v="2026-11-03T00:00:00"/>
    <s v="29/10/2026"/>
    <n v="0.99549980999999998"/>
    <m/>
    <n v="1655023.2"/>
    <n v="1647575.28"/>
    <n v="1655023.2"/>
    <n v="1647575.28"/>
    <n v="610"/>
    <s v="AMOMPY"/>
    <s v="Momentum Capital Investment S.A."/>
    <s v="02/06/2026"/>
    <s v="02/06/2026"/>
    <n v="33"/>
    <s v="No"/>
    <s v=""/>
    <m/>
    <m/>
    <s v="*MAV301001239"/>
    <s v="*MAV301001239"/>
    <n v="2.0164090213372765E-5"/>
  </r>
  <r>
    <x v="79"/>
    <s v="Pesos"/>
    <d v="2026-11-03T00:00:00"/>
    <s v="29/10/2026"/>
    <n v="0.99549980000000005"/>
    <m/>
    <n v="3772034.12"/>
    <n v="3755059.22"/>
    <n v="3772034.12"/>
    <n v="3755059.22"/>
    <n v="639"/>
    <s v="AMOMPY"/>
    <s v="Momentum Capital Investment S.A."/>
    <s v="02/06/2026"/>
    <s v="02/06/2026"/>
    <n v="33"/>
    <s v="No"/>
    <s v=""/>
    <m/>
    <m/>
    <s v="*MAV301001240"/>
    <s v="*MAV301001240"/>
    <n v="4.5956839598028666E-5"/>
  </r>
  <r>
    <x v="80"/>
    <s v="Pesos"/>
    <d v="2026-11-03T00:00:00"/>
    <s v="29/10/2026"/>
    <n v="0.99590723999999997"/>
    <m/>
    <n v="2500000"/>
    <n v="2489768.11"/>
    <n v="2500000"/>
    <n v="2489768.11"/>
    <n v="360"/>
    <s v="AMOMPY"/>
    <s v="Momentum Capital Investment S.A."/>
    <s v="25/09/2026"/>
    <s v="25/09/2026"/>
    <n v="30"/>
    <s v="No"/>
    <s v=""/>
    <m/>
    <m/>
    <s v="*MAV301001957"/>
    <s v="*MAV301001957"/>
    <n v="3.0471389920598102E-5"/>
  </r>
  <r>
    <x v="81"/>
    <s v="Pesos"/>
    <d v="2026-11-03T00:00:00"/>
    <s v="29/10/2026"/>
    <n v="0.99455044999999997"/>
    <m/>
    <n v="28794267.34"/>
    <n v="28637351.620000001"/>
    <n v="28794267.34"/>
    <n v="28637351.620000001"/>
    <n v="63"/>
    <s v="AMOMPY"/>
    <s v="Momentum Capital Investment S.A."/>
    <s v="07/10/2026"/>
    <s v="07/10/2026"/>
    <n v="40"/>
    <s v="No"/>
    <s v=""/>
    <m/>
    <m/>
    <s v="%CP1011100002"/>
    <s v="%CP1011100002"/>
    <n v="3.5048240195601664E-4"/>
  </r>
  <r>
    <x v="82"/>
    <s v="Pesos"/>
    <d v="2026-11-03T00:00:00"/>
    <s v="29/10/2026"/>
    <n v="0.99563559000000001"/>
    <m/>
    <n v="200000000"/>
    <n v="199127117.13999999"/>
    <n v="200000000"/>
    <n v="199127117.13999999"/>
    <n v="9779581"/>
    <s v="AMOMPY"/>
    <s v="Momentum Capital Investment S.A."/>
    <s v="21/08/2026"/>
    <s v="21/08/2026"/>
    <n v="32"/>
    <s v="No"/>
    <s v=""/>
    <m/>
    <m/>
    <s v="*MAV301001538"/>
    <s v="*MAV301001538"/>
    <n v="2.4370462477076044E-3"/>
  </r>
  <r>
    <x v="82"/>
    <s v="Pesos"/>
    <d v="2026-11-03T00:00:00"/>
    <s v="29/10/2026"/>
    <n v="0.99590723999999997"/>
    <m/>
    <n v="100000000"/>
    <n v="99590723.840000004"/>
    <n v="100000000"/>
    <n v="99590723.840000004"/>
    <n v="6716"/>
    <s v="AMOMPY"/>
    <s v="Momentum Capital Investment S.A."/>
    <s v="15/07/2026"/>
    <s v="15/07/2026"/>
    <n v="30"/>
    <s v="No"/>
    <s v=""/>
    <m/>
    <m/>
    <s v="*MAV301001299"/>
    <s v="*MAV301001299"/>
    <n v="1.2188555899702825E-3"/>
  </r>
  <r>
    <x v="83"/>
    <s v="Pesos"/>
    <d v="2026-11-03T00:00:00"/>
    <s v="29/10/2026"/>
    <n v="0.99577139999999997"/>
    <m/>
    <n v="18034893.329999998"/>
    <n v="17958630.969999999"/>
    <n v="18034893.329999998"/>
    <n v="17958630.969999999"/>
    <n v="69809585"/>
    <s v="AMOMPY"/>
    <s v="Momentum Capital Investment S.A."/>
    <s v="06/10/2026"/>
    <s v="06/10/2026"/>
    <n v="31"/>
    <s v="No"/>
    <s v=""/>
    <m/>
    <m/>
    <s v="*MAV301002188"/>
    <s v="*MAV301002188"/>
    <n v="2.1978932276026257E-4"/>
  </r>
  <r>
    <x v="84"/>
    <s v="Pesos"/>
    <d v="2026-11-03T00:00:00"/>
    <s v="29/10/2026"/>
    <n v="0.99563557999999996"/>
    <m/>
    <n v="716184.35"/>
    <n v="713058.62"/>
    <n v="716184.35"/>
    <n v="713058.62"/>
    <n v="6716"/>
    <s v="AMOMPY"/>
    <s v="Momentum Capital Investment S.A."/>
    <s v="05/10/2026"/>
    <s v="05/10/2026"/>
    <n v="32"/>
    <s v="No"/>
    <s v=""/>
    <m/>
    <m/>
    <s v="*MAV301002154"/>
    <s v="*MAV301002154"/>
    <n v="8.7268718556538962E-6"/>
  </r>
  <r>
    <x v="85"/>
    <s v="Pesos"/>
    <d v="2026-11-03T00:00:00"/>
    <s v="29/10/2026"/>
    <n v="0.99699536"/>
    <m/>
    <n v="13000000"/>
    <n v="12960939.689999999"/>
    <n v="13000000"/>
    <n v="12960939.689999999"/>
    <n v="34115"/>
    <s v="AMOMPY"/>
    <s v="Momentum Capital Investment S.A."/>
    <s v="30/06/2026"/>
    <s v="30/06/2026"/>
    <n v="22"/>
    <s v="No"/>
    <s v=""/>
    <m/>
    <m/>
    <s v="*MAV301001261"/>
    <s v="*MAV301001261"/>
    <n v="1.5862434957099114E-4"/>
  </r>
  <r>
    <x v="18"/>
    <s v="Pesos"/>
    <d v="2026-11-03T00:00:00"/>
    <s v="29/10/2026"/>
    <n v="0.99563559000000001"/>
    <m/>
    <n v="50000000"/>
    <n v="49781779.439999998"/>
    <n v="50000000"/>
    <n v="49781779.439999998"/>
    <n v="959"/>
    <s v="AMOMPY"/>
    <s v="Momentum Capital Investment S.A."/>
    <s v="29/09/2026"/>
    <s v="29/09/2026"/>
    <n v="32"/>
    <s v="No"/>
    <s v=""/>
    <m/>
    <m/>
    <s v="*MAV301002041"/>
    <s v="*MAV301002041"/>
    <n v="6.0926156382389116E-4"/>
  </r>
  <r>
    <x v="86"/>
    <s v="Pesos"/>
    <d v="2026-11-03T00:00:00"/>
    <s v="29/10/2026"/>
    <n v="0.99577139000000003"/>
    <m/>
    <n v="48042680.460000001"/>
    <n v="47839526.649999999"/>
    <n v="48042680.460000001"/>
    <n v="47839526.649999999"/>
    <n v="70667890"/>
    <s v="AMOMPY"/>
    <s v="Momentum Capital Investment S.A."/>
    <s v="03/09/2026"/>
    <s v="03/09/2026"/>
    <n v="31"/>
    <s v="No"/>
    <s v=""/>
    <m/>
    <m/>
    <s v="*MAV301001672"/>
    <s v="*MAV301001672"/>
    <n v="5.8549101995245423E-4"/>
  </r>
  <r>
    <x v="87"/>
    <s v="Pesos"/>
    <d v="2026-11-03T00:00:00"/>
    <s v="29/10/2026"/>
    <n v="0.99563557999999996"/>
    <m/>
    <n v="20000000"/>
    <n v="19912711.57"/>
    <n v="20000000"/>
    <n v="19912711.57"/>
    <n v="721"/>
    <s v="AMOMPY"/>
    <s v="Momentum Capital Investment S.A."/>
    <s v="21/09/2026"/>
    <s v="21/09/2026"/>
    <n v="32"/>
    <s v="No"/>
    <s v=""/>
    <m/>
    <m/>
    <s v="*MAV301001864"/>
    <s v="*MAV301001864"/>
    <n v="2.4370462300839547E-4"/>
  </r>
  <r>
    <x v="44"/>
    <s v="Pesos"/>
    <d v="2026-11-03T00:00:00"/>
    <s v="29/10/2026"/>
    <n v="0.99549980000000005"/>
    <m/>
    <n v="25000000"/>
    <n v="24887495.079999998"/>
    <n v="25000000"/>
    <n v="24887495.079999998"/>
    <n v="14422654"/>
    <s v="AMOMPY"/>
    <s v="Momentum Capital Investment S.A."/>
    <s v="03/09/2026"/>
    <s v="03/09/2026"/>
    <n v="33"/>
    <s v="No"/>
    <s v=""/>
    <m/>
    <m/>
    <s v="*MAV301001675"/>
    <s v="*MAV301001675"/>
    <n v="3.0458923611550591E-4"/>
  </r>
  <r>
    <x v="44"/>
    <s v="Pesos"/>
    <d v="2026-11-03T00:00:00"/>
    <s v="29/10/2026"/>
    <n v="0.99563559000000001"/>
    <m/>
    <n v="10000000"/>
    <n v="9956355.8900000006"/>
    <n v="10000000"/>
    <n v="9956355.8900000006"/>
    <n v="14422571"/>
    <s v="AMOMPY"/>
    <s v="Momentum Capital Investment S.A."/>
    <s v="01/09/2026"/>
    <s v="01/09/2026"/>
    <n v="32"/>
    <s v="No"/>
    <s v=""/>
    <m/>
    <m/>
    <s v="*MAV301001635"/>
    <s v="*MAV301001635"/>
    <n v="1.2185231278925554E-4"/>
  </r>
  <r>
    <x v="88"/>
    <s v="Pesos"/>
    <d v="2026-11-03T00:00:00"/>
    <s v="29/10/2026"/>
    <n v="0.99590729"/>
    <m/>
    <n v="490000"/>
    <n v="487994.57"/>
    <n v="490000"/>
    <n v="487994.57"/>
    <n v="11181522"/>
    <s v="AMOMPY"/>
    <s v="Momentum Capital Investment S.A."/>
    <s v="21/10/2026"/>
    <s v="21/10/2026"/>
    <n v="30"/>
    <s v="No"/>
    <s v=""/>
    <m/>
    <m/>
    <s v="*MAV301002519"/>
    <s v="*MAV301002519"/>
    <n v="5.9723926745951483E-6"/>
  </r>
  <r>
    <x v="62"/>
    <s v="Pesos"/>
    <d v="2026-11-03T00:00:00"/>
    <s v="29/10/2026"/>
    <n v="0.99563557999999996"/>
    <m/>
    <n v="50000000"/>
    <n v="49781778.780000001"/>
    <n v="50000000"/>
    <n v="49781778.780000001"/>
    <n v="5166"/>
    <s v="AMOMPY"/>
    <s v="Momentum Capital Investment S.A."/>
    <s v="12/08/2026"/>
    <s v="12/08/2026"/>
    <n v="32"/>
    <s v="No"/>
    <s v=""/>
    <m/>
    <m/>
    <s v="*MAV301001464"/>
    <s v="*MAV301001464"/>
    <n v="6.0926155574638505E-4"/>
  </r>
  <r>
    <x v="20"/>
    <s v="Pesos"/>
    <d v="2026-11-03T00:00:00"/>
    <s v="29/10/2026"/>
    <n v="0.99495707"/>
    <m/>
    <n v="10000000"/>
    <n v="9949570.6699999999"/>
    <n v="10000000"/>
    <n v="9949570.6699999999"/>
    <n v="16854858"/>
    <s v="AMOMPY"/>
    <s v="Momentum Capital Investment S.A."/>
    <s v="02/09/2026"/>
    <s v="02/09/2026"/>
    <n v="37"/>
    <s v="No"/>
    <s v=""/>
    <m/>
    <m/>
    <s v="*MAV301001663"/>
    <s v="*MAV301001663"/>
    <n v="1.2176927088527796E-4"/>
  </r>
  <r>
    <x v="89"/>
    <s v="Pesos"/>
    <d v="2026-11-03T00:00:00"/>
    <s v="29/10/2026"/>
    <n v="0.99590732000000004"/>
    <m/>
    <n v="3750000"/>
    <n v="3734652.45"/>
    <n v="3750000"/>
    <n v="3734652.45"/>
    <n v="70"/>
    <s v="AMOMPY"/>
    <s v="Momentum Capital Investment S.A."/>
    <s v="19/10/2026"/>
    <s v="19/10/2026"/>
    <n v="30"/>
    <s v="No"/>
    <s v=""/>
    <m/>
    <m/>
    <s v="*MAV301002434"/>
    <s v="*MAV301002434"/>
    <n v="4.5707088368911202E-5"/>
  </r>
  <r>
    <x v="45"/>
    <s v="Pesos"/>
    <d v="2026-11-03T00:00:00"/>
    <s v="29/10/2026"/>
    <n v="0.99549982999999997"/>
    <m/>
    <n v="258898.86"/>
    <n v="257733.77"/>
    <n v="258898.86"/>
    <n v="257733.77"/>
    <n v="10568416"/>
    <s v="AMOMPY"/>
    <s v="Momentum Capital Investment S.A."/>
    <s v="15/09/2026"/>
    <s v="15/09/2026"/>
    <n v="33"/>
    <s v="No"/>
    <s v=""/>
    <m/>
    <m/>
    <s v="*MAV301001802"/>
    <s v="*MAV301001802"/>
    <n v="3.1543123111877875E-6"/>
  </r>
  <r>
    <x v="26"/>
    <s v="Pesos"/>
    <d v="2026-11-03T00:00:00"/>
    <s v="29/10/2026"/>
    <n v="0.99590725999999996"/>
    <m/>
    <n v="4000000"/>
    <n v="3983629.03"/>
    <n v="4000000"/>
    <n v="3983629.03"/>
    <n v="1288"/>
    <s v="AMOMPY"/>
    <s v="Momentum Capital Investment S.A."/>
    <s v="23/09/2026"/>
    <s v="23/09/2026"/>
    <n v="30"/>
    <s v="No"/>
    <s v=""/>
    <m/>
    <m/>
    <s v="*MAV301001906"/>
    <s v="*MAV301001906"/>
    <n v="4.8754224533843837E-5"/>
  </r>
  <r>
    <x v="26"/>
    <s v="Pesos"/>
    <d v="2026-11-03T00:00:00"/>
    <s v="29/10/2026"/>
    <n v="0.99590723000000003"/>
    <m/>
    <n v="4500000"/>
    <n v="4481582.54"/>
    <n v="4500000"/>
    <n v="4481582.54"/>
    <n v="1300"/>
    <s v="AMOMPY"/>
    <s v="Momentum Capital Investment S.A."/>
    <s v="24/09/2026"/>
    <s v="24/09/2026"/>
    <n v="30"/>
    <s v="No"/>
    <s v=""/>
    <m/>
    <m/>
    <s v="*MAV301001923"/>
    <s v="*MAV301001923"/>
    <n v="5.4848501147235134E-5"/>
  </r>
  <r>
    <x v="90"/>
    <s v="Pesos"/>
    <d v="2026-11-03T00:00:00"/>
    <s v="29/10/2026"/>
    <n v="0.99563557000000003"/>
    <m/>
    <n v="3517425"/>
    <n v="3502073.46"/>
    <n v="3517425"/>
    <n v="3502073.46"/>
    <n v="67525725"/>
    <s v="AMOMPY"/>
    <s v="Momentum Capital Investment S.A."/>
    <s v="12/06/2026"/>
    <s v="12/06/2026"/>
    <n v="32"/>
    <s v="No"/>
    <s v=""/>
    <m/>
    <m/>
    <s v="*MAV301001250"/>
    <s v="*MAV301001250"/>
    <n v="4.2860636499291546E-5"/>
  </r>
  <r>
    <x v="91"/>
    <s v="Pesos"/>
    <d v="2026-11-03T00:00:00"/>
    <s v="29/10/2026"/>
    <n v="0.99482150000000003"/>
    <m/>
    <n v="15000000"/>
    <n v="14922322.49"/>
    <n v="15000000"/>
    <n v="14922322.49"/>
    <n v="70219573"/>
    <s v="AMOMPY"/>
    <s v="Momentum Capital Investment S.A."/>
    <s v="01/09/2026"/>
    <s v="01/09/2026"/>
    <n v="38"/>
    <s v="No"/>
    <s v=""/>
    <m/>
    <m/>
    <s v="*MAV301001648"/>
    <s v="*MAV301001648"/>
    <n v="1.8262901885818613E-4"/>
  </r>
  <r>
    <x v="29"/>
    <s v="Pesos"/>
    <d v="2026-11-03T00:00:00"/>
    <s v="29/10/2026"/>
    <n v="0.99590725000000002"/>
    <m/>
    <n v="25000000"/>
    <n v="24897681.140000001"/>
    <n v="25000000"/>
    <n v="24897681.140000001"/>
    <n v="12742279"/>
    <s v="AMOMPY"/>
    <s v="Momentum Capital Investment S.A."/>
    <s v="14/08/2026"/>
    <s v="14/08/2026"/>
    <n v="30"/>
    <s v="No"/>
    <s v=""/>
    <m/>
    <m/>
    <s v="*MIL301000040"/>
    <s v="*MIL301000040"/>
    <n v="3.0471389969552687E-4"/>
  </r>
  <r>
    <x v="29"/>
    <s v="Pesos"/>
    <d v="2026-11-03T00:00:00"/>
    <s v="29/10/2026"/>
    <n v="0.99631501"/>
    <m/>
    <n v="10000000"/>
    <n v="9963150.0500000007"/>
    <n v="10000000"/>
    <n v="9963150.0500000007"/>
    <n v="2013"/>
    <s v="AMOMPY"/>
    <s v="Momentum Capital Investment S.A."/>
    <s v="07/07/2026"/>
    <s v="07/07/2026"/>
    <n v="27"/>
    <s v="No"/>
    <s v=""/>
    <m/>
    <m/>
    <s v="*MIL301000033"/>
    <s v="*MIL301000033"/>
    <n v="1.219354641067262E-4"/>
  </r>
  <r>
    <x v="29"/>
    <s v="Pesos"/>
    <d v="2026-11-03T00:00:00"/>
    <s v="29/10/2026"/>
    <n v="0.99645099999999998"/>
    <m/>
    <n v="15000000"/>
    <n v="14946764.970000001"/>
    <n v="15000000"/>
    <n v="14946764.970000001"/>
    <n v="9621093"/>
    <s v="AMOMPY"/>
    <s v="Momentum Capital Investment S.A."/>
    <s v="17/07/2026"/>
    <s v="17/07/2026"/>
    <n v="26"/>
    <s v="No"/>
    <s v=""/>
    <m/>
    <m/>
    <s v="*MIL301000034"/>
    <s v="*MIL301000034"/>
    <n v="1.8292816171238007E-4"/>
  </r>
  <r>
    <x v="29"/>
    <s v="Pesos"/>
    <d v="2026-11-03T00:00:00"/>
    <s v="29/10/2026"/>
    <n v="0.99645101000000003"/>
    <m/>
    <n v="4000000"/>
    <n v="3985804.04"/>
    <n v="4000000"/>
    <n v="3985804.04"/>
    <n v="90002222"/>
    <s v="AMOMPY"/>
    <s v="Momentum Capital Investment S.A."/>
    <s v="22/09/2026"/>
    <s v="22/09/2026"/>
    <n v="26"/>
    <s v="No"/>
    <s v=""/>
    <m/>
    <m/>
    <s v="*MIL301000044"/>
    <s v="*MIL301000044"/>
    <n v="4.878084371075634E-5"/>
  </r>
  <r>
    <x v="92"/>
    <s v="Pesos"/>
    <d v="2026-11-03T00:00:00"/>
    <s v="29/10/2026"/>
    <n v="0.99631499999999995"/>
    <m/>
    <n v="110000000"/>
    <n v="109594650.06"/>
    <n v="110000000"/>
    <n v="109594650.06"/>
    <n v="377"/>
    <s v="AMOMPY"/>
    <s v="Momentum Capital Investment S.A."/>
    <s v="06/07/2026"/>
    <s v="06/07/2026"/>
    <n v="27"/>
    <s v="No"/>
    <s v=""/>
    <m/>
    <m/>
    <s v="*FID301000039"/>
    <s v="*FID301000039"/>
    <n v="1.3412900991770517E-3"/>
  </r>
  <r>
    <x v="93"/>
    <s v="Pesos"/>
    <d v="2026-11-03T00:00:00"/>
    <s v="29/10/2026"/>
    <n v="0.99590727999999995"/>
    <m/>
    <n v="9751523.1999999993"/>
    <n v="9711612.9600000009"/>
    <n v="9751523.1999999993"/>
    <n v="9711612.9600000009"/>
    <n v="15816"/>
    <s v="AMOMPY"/>
    <s v="Momentum Capital Investment S.A."/>
    <s v="21/10/2026"/>
    <s v="21/10/2026"/>
    <n v="30"/>
    <s v="No"/>
    <s v=""/>
    <m/>
    <m/>
    <s v="*MAV301002540"/>
    <s v="*MAV301002540"/>
    <n v="1.1885699076694092E-4"/>
  </r>
  <r>
    <x v="49"/>
    <s v="Pesos"/>
    <d v="2026-11-03T00:00:00"/>
    <s v="29/10/2026"/>
    <n v="0.99495708999999999"/>
    <m/>
    <n v="15000000"/>
    <n v="14924356.279999999"/>
    <n v="15000000"/>
    <n v="14924356.279999999"/>
    <n v="2592"/>
    <s v="AMOMPY"/>
    <s v="Momentum Capital Investment S.A."/>
    <s v="07/08/2026"/>
    <s v="07/08/2026"/>
    <n v="37"/>
    <s v="No"/>
    <s v=""/>
    <m/>
    <m/>
    <s v="*MAV301001427"/>
    <s v="*MAV301001427"/>
    <n v="1.8265390969354452E-4"/>
  </r>
  <r>
    <x v="26"/>
    <s v="Pesos"/>
    <d v="2026-11-03T00:00:00"/>
    <s v="29/10/2026"/>
    <n v="0.99590725000000002"/>
    <m/>
    <n v="5000000"/>
    <n v="4979536.2699999996"/>
    <n v="5000000"/>
    <n v="4979536.2699999996"/>
    <n v="1205"/>
    <s v="AMOMPY"/>
    <s v="Momentum Capital Investment S.A."/>
    <s v="09/09/2026"/>
    <s v="09/09/2026"/>
    <n v="30"/>
    <s v="No"/>
    <s v=""/>
    <m/>
    <m/>
    <s v="*MAV301001731"/>
    <s v="*MAV301001731"/>
    <n v="6.0942780453128489E-5"/>
  </r>
  <r>
    <x v="26"/>
    <s v="Pesos"/>
    <d v="2026-11-03T00:00:00"/>
    <s v="29/10/2026"/>
    <n v="0.99563559000000001"/>
    <m/>
    <n v="4000000"/>
    <n v="3982542.34"/>
    <n v="4000000"/>
    <n v="3982542.34"/>
    <n v="1152"/>
    <s v="AMOMPY"/>
    <s v="Momentum Capital Investment S.A."/>
    <s v="04/09/2026"/>
    <s v="04/09/2026"/>
    <n v="32"/>
    <s v="No"/>
    <s v=""/>
    <m/>
    <m/>
    <s v="*MAV301001649"/>
    <s v="*MAV301001649"/>
    <n v="4.8740924919883878E-5"/>
  </r>
  <r>
    <x v="26"/>
    <s v="Pesos"/>
    <d v="2026-11-03T00:00:00"/>
    <s v="29/10/2026"/>
    <n v="0.99563557999999996"/>
    <m/>
    <n v="2000000"/>
    <n v="1991271.15"/>
    <n v="2000000"/>
    <n v="1991271.15"/>
    <n v="1080"/>
    <s v="AMOMPY"/>
    <s v="Momentum Capital Investment S.A."/>
    <s v="26/08/2026"/>
    <s v="26/08/2026"/>
    <n v="32"/>
    <s v="No"/>
    <s v=""/>
    <m/>
    <m/>
    <s v="*MAV301001570"/>
    <s v="*MAV301001570"/>
    <n v="2.4370462215169024E-5"/>
  </r>
  <r>
    <x v="94"/>
    <s v="Pesos"/>
    <d v="2026-11-03T00:00:00"/>
    <s v="29/10/2026"/>
    <n v="0.99563562000000005"/>
    <m/>
    <n v="6250000"/>
    <n v="6222722.5999999996"/>
    <n v="6250000"/>
    <n v="6222722.5999999996"/>
    <n v="1410"/>
    <s v="AMOMPY"/>
    <s v="Momentum Capital Investment S.A."/>
    <s v="01/10/2026"/>
    <s v="01/10/2026"/>
    <n v="32"/>
    <s v="No"/>
    <s v=""/>
    <m/>
    <m/>
    <s v="*MAV301002081"/>
    <s v="*MAV301002081"/>
    <n v="7.6157697558556175E-5"/>
  </r>
  <r>
    <x v="0"/>
    <s v="Pesos"/>
    <d v="2026-11-04T00:00:00"/>
    <s v="29/10/2026"/>
    <n v="0.99574421000000002"/>
    <m/>
    <n v="819152.75"/>
    <n v="815666.61"/>
    <n v="819152.75"/>
    <n v="815666.61"/>
    <n v="990"/>
    <s v="AMOMPY"/>
    <s v="Momentum Capital Investment S.A."/>
    <s v="25/09/2026"/>
    <s v="25/09/2026"/>
    <n v="26"/>
    <s v="No"/>
    <s v=""/>
    <m/>
    <m/>
    <s v="*TRD011100021"/>
    <s v="*TRD011100021"/>
    <n v="9.9826546973173439E-6"/>
  </r>
  <r>
    <x v="65"/>
    <s v="Pesos"/>
    <d v="2026-11-04T00:00:00"/>
    <s v="29/10/2026"/>
    <n v="0.99509270000000005"/>
    <m/>
    <n v="5580000"/>
    <n v="5552617.25"/>
    <n v="5580000"/>
    <n v="5552617.25"/>
    <n v="11415151"/>
    <s v="AMOMPY"/>
    <s v="Momentum Capital Investment S.A."/>
    <s v="18/09/2026"/>
    <s v="18/09/2026"/>
    <n v="30"/>
    <s v="No"/>
    <s v=""/>
    <m/>
    <m/>
    <s v="*CVA021100007"/>
    <s v="*CVA021100007"/>
    <n v="6.7956515558627336E-5"/>
  </r>
  <r>
    <x v="1"/>
    <s v="Pesos"/>
    <d v="2026-11-04T00:00:00"/>
    <s v="29/10/2026"/>
    <n v="0.99509270000000005"/>
    <m/>
    <n v="6377416"/>
    <n v="6346120.1299999999"/>
    <n v="6377416"/>
    <n v="6346120.1299999999"/>
    <n v="22298"/>
    <s v="AMOMPY"/>
    <s v="Momentum Capital Investment S.A."/>
    <s v="15/09/2026"/>
    <s v="15/09/2026"/>
    <n v="30"/>
    <s v="No"/>
    <s v=""/>
    <m/>
    <m/>
    <s v="*AFB021100005"/>
    <s v="*AFB021100005"/>
    <n v="7.7667916215774297E-5"/>
  </r>
  <r>
    <x v="1"/>
    <s v="Pesos"/>
    <d v="2026-11-04T00:00:00"/>
    <s v="29/10/2026"/>
    <n v="0.99509270000000005"/>
    <m/>
    <n v="6704674.6699999999"/>
    <n v="6671772.8499999996"/>
    <n v="6704674.6699999999"/>
    <n v="6671772.8499999996"/>
    <n v="21851"/>
    <s v="AMOMPY"/>
    <s v="Momentum Capital Investment S.A."/>
    <s v="15/09/2026"/>
    <s v="15/09/2026"/>
    <n v="30"/>
    <s v="No"/>
    <s v=""/>
    <m/>
    <m/>
    <s v="*AFB021100004"/>
    <s v="*AFB021100004"/>
    <n v="8.1653464496342227E-5"/>
  </r>
  <r>
    <x v="1"/>
    <s v="Pesos"/>
    <d v="2026-11-04T00:00:00"/>
    <s v="29/10/2026"/>
    <n v="0.99509270000000005"/>
    <m/>
    <n v="9655864.5399999991"/>
    <n v="9608480.3599999994"/>
    <n v="9655864.5399999991"/>
    <n v="9608480.3599999994"/>
    <n v="22534"/>
    <s v="AMOMPY"/>
    <s v="Momentum Capital Investment S.A."/>
    <s v="15/09/2026"/>
    <s v="15/09/2026"/>
    <n v="30"/>
    <s v="No"/>
    <s v=""/>
    <m/>
    <m/>
    <s v="*AFB021100006"/>
    <s v="*AFB021100006"/>
    <n v="1.1759478740932577E-4"/>
  </r>
  <r>
    <x v="2"/>
    <s v="Pesos"/>
    <d v="2026-11-04T00:00:00"/>
    <s v="29/10/2026"/>
    <n v="0.99444204000000003"/>
    <m/>
    <n v="990902.64"/>
    <n v="985395.24"/>
    <n v="990902.64"/>
    <n v="985395.24"/>
    <n v="2960"/>
    <s v="AMOMPY"/>
    <s v="Momentum Capital Investment S.A."/>
    <s v="15/07/2026"/>
    <s v="15/07/2026"/>
    <n v="34"/>
    <s v="No"/>
    <s v=""/>
    <m/>
    <m/>
    <s v="*MAV311001612"/>
    <s v="*MAV311001612"/>
    <n v="1.2059903275064982E-5"/>
  </r>
  <r>
    <x v="2"/>
    <s v="Pesos"/>
    <d v="2026-11-04T00:00:00"/>
    <s v="29/10/2026"/>
    <n v="0.99444202999999998"/>
    <m/>
    <n v="1020845.65"/>
    <n v="1015171.82"/>
    <n v="1020845.65"/>
    <n v="1015171.82"/>
    <n v="2910"/>
    <s v="AMOMPY"/>
    <s v="Momentum Capital Investment S.A."/>
    <s v="15/07/2026"/>
    <s v="15/07/2026"/>
    <n v="34"/>
    <s v="No"/>
    <s v=""/>
    <m/>
    <m/>
    <s v="*MAV311001613"/>
    <s v="*MAV311001613"/>
    <n v="1.2424328289602534E-5"/>
  </r>
  <r>
    <x v="95"/>
    <s v="Pesos"/>
    <d v="2026-11-04T00:00:00"/>
    <s v="29/10/2026"/>
    <n v="0.99460462999999999"/>
    <m/>
    <n v="3882407.02"/>
    <n v="3861460.01"/>
    <n v="3882407.02"/>
    <n v="3861460.01"/>
    <n v="1682739"/>
    <s v="AMOMPY"/>
    <s v="Momentum Capital Investment S.A."/>
    <s v="23/09/2026"/>
    <s v="23/09/2026"/>
    <n v="33"/>
    <s v="No"/>
    <s v=""/>
    <m/>
    <m/>
    <s v="*MAV021101181"/>
    <s v="*MAV021101181"/>
    <n v="4.7259041175327229E-5"/>
  </r>
  <r>
    <x v="3"/>
    <s v="Pesos"/>
    <d v="2026-11-04T00:00:00"/>
    <s v="29/10/2026"/>
    <n v="0.99574425"/>
    <m/>
    <n v="10000000"/>
    <n v="9957442.5299999993"/>
    <n v="10000000"/>
    <n v="9957442.5299999993"/>
    <n v="22805"/>
    <s v="AMOMPY"/>
    <s v="Momentum Capital Investment S.A."/>
    <s v="28/09/2026"/>
    <s v="28/09/2026"/>
    <n v="26"/>
    <s v="No"/>
    <s v=""/>
    <m/>
    <m/>
    <s v="*MOV021100066"/>
    <s v="*MOV021100066"/>
    <n v="1.2186561179128319E-4"/>
  </r>
  <r>
    <x v="3"/>
    <s v="Pesos"/>
    <d v="2026-11-04T00:00:00"/>
    <s v="29/10/2026"/>
    <n v="0.99558128000000001"/>
    <m/>
    <n v="1000000"/>
    <n v="995581.28"/>
    <n v="1000000"/>
    <n v="995581.28"/>
    <n v="11484"/>
    <s v="AMOMPY"/>
    <s v="Momentum Capital Investment S.A."/>
    <s v="23/09/2026"/>
    <s v="23/09/2026"/>
    <n v="27"/>
    <s v="No"/>
    <s v=""/>
    <m/>
    <m/>
    <s v="*MOV021100065"/>
    <s v="*MOV021100065"/>
    <n v="1.2184566610313023E-5"/>
  </r>
  <r>
    <x v="0"/>
    <s v="Pesos"/>
    <d v="2026-11-04T00:00:00"/>
    <s v="29/10/2026"/>
    <n v="0.99574421000000002"/>
    <m/>
    <n v="819152.75"/>
    <n v="815666.61"/>
    <n v="819152.75"/>
    <n v="815666.61"/>
    <n v="991"/>
    <s v="AMOMPY"/>
    <s v="Momentum Capital Investment S.A."/>
    <s v="25/09/2026"/>
    <s v="25/09/2026"/>
    <n v="26"/>
    <s v="No"/>
    <s v=""/>
    <m/>
    <m/>
    <s v="*TRD021100027"/>
    <s v="*TRD021100027"/>
    <n v="9.9826546973173439E-6"/>
  </r>
  <r>
    <x v="0"/>
    <s v="Pesos"/>
    <d v="2026-11-04T00:00:00"/>
    <s v="29/10/2026"/>
    <n v="0.99574421000000002"/>
    <m/>
    <n v="819152.75"/>
    <n v="815666.61"/>
    <n v="819152.75"/>
    <n v="815666.61"/>
    <n v="989"/>
    <s v="AMOMPY"/>
    <s v="Momentum Capital Investment S.A."/>
    <s v="25/09/2026"/>
    <s v="25/09/2026"/>
    <n v="26"/>
    <s v="No"/>
    <s v=""/>
    <m/>
    <m/>
    <s v="*TRD311000044"/>
    <s v="*TRD311000044"/>
    <n v="9.9826546973173439E-6"/>
  </r>
  <r>
    <x v="96"/>
    <s v="Pesos"/>
    <d v="2026-11-04T00:00:00"/>
    <s v="29/10/2026"/>
    <n v="0.99672309999999997"/>
    <m/>
    <n v="346488.63"/>
    <n v="345353.22"/>
    <n v="346488.63"/>
    <n v="345353.22"/>
    <n v="69480923"/>
    <s v="AMOMPY"/>
    <s v="Momentum Capital Investment S.A."/>
    <s v="08/09/2026"/>
    <s v="08/09/2026"/>
    <n v="20"/>
    <s v="No"/>
    <s v=""/>
    <m/>
    <m/>
    <s v="*MAV311001831"/>
    <s v="*MAV311001831"/>
    <n v="4.2266557213451087E-6"/>
  </r>
  <r>
    <x v="97"/>
    <s v="Pesos"/>
    <d v="2026-11-04T00:00:00"/>
    <s v="29/10/2026"/>
    <n v="0.99509270000000005"/>
    <m/>
    <n v="6150126.3399999999"/>
    <n v="6119945.8200000003"/>
    <n v="6150126.3399999999"/>
    <n v="6119945.8200000003"/>
    <n v="58"/>
    <s v="AMOMPY"/>
    <s v="Momentum Capital Investment S.A."/>
    <s v="11/09/2026"/>
    <s v="11/09/2026"/>
    <n v="30"/>
    <s v="No"/>
    <s v=""/>
    <m/>
    <m/>
    <s v="*MAV021101082"/>
    <s v="*MAV021101082"/>
    <n v="7.4899848955875057E-5"/>
  </r>
  <r>
    <x v="98"/>
    <s v="Pesos"/>
    <d v="2026-11-04T00:00:00"/>
    <s v="29/10/2026"/>
    <n v="0.99509270000000005"/>
    <m/>
    <n v="5103695.5599999996"/>
    <n v="5078650.1900000004"/>
    <n v="5103695.5599999996"/>
    <n v="5078650.1900000004"/>
    <n v="828"/>
    <s v="AMOMPY"/>
    <s v="Momentum Capital Investment S.A."/>
    <s v="11/09/2026"/>
    <s v="11/09/2026"/>
    <n v="30"/>
    <s v="No"/>
    <s v=""/>
    <m/>
    <m/>
    <s v="*MAV011101293"/>
    <s v="*MAV011101293"/>
    <n v="6.2155800609804449E-5"/>
  </r>
  <r>
    <x v="98"/>
    <s v="Pesos"/>
    <d v="2026-11-04T00:00:00"/>
    <s v="29/10/2026"/>
    <n v="0.99509270000000005"/>
    <m/>
    <n v="2500000"/>
    <n v="2487731.7400000002"/>
    <n v="2500000"/>
    <n v="2487731.7400000002"/>
    <n v="821"/>
    <s v="AMOMPY"/>
    <s v="Momentum Capital Investment S.A."/>
    <s v="11/09/2026"/>
    <s v="11/09/2026"/>
    <n v="30"/>
    <s v="No"/>
    <s v=""/>
    <m/>
    <m/>
    <s v="*MAV011101294"/>
    <s v="*MAV011101294"/>
    <n v="3.0446467509533646E-5"/>
  </r>
  <r>
    <x v="32"/>
    <s v="Pesos"/>
    <d v="2026-11-04T00:00:00"/>
    <s v="29/10/2026"/>
    <n v="0.99460462000000005"/>
    <m/>
    <n v="5300000"/>
    <n v="5271404.49"/>
    <n v="5300000"/>
    <n v="5271404.49"/>
    <n v="8175673"/>
    <s v="AMOMPY"/>
    <s v="Momentum Capital Investment S.A."/>
    <s v="15/09/2026"/>
    <s v="15/09/2026"/>
    <n v="33"/>
    <s v="No"/>
    <s v=""/>
    <m/>
    <m/>
    <s v="*MAV021101093"/>
    <s v="*MAV021101093"/>
    <n v="6.4514852206048052E-5"/>
  </r>
  <r>
    <x v="99"/>
    <s v="Pesos"/>
    <d v="2026-11-04T00:00:00"/>
    <s v="29/10/2026"/>
    <n v="0.99460462000000005"/>
    <m/>
    <n v="1428441.71"/>
    <n v="1420734.73"/>
    <n v="1428441.71"/>
    <n v="1420734.73"/>
    <n v="274"/>
    <s v="AMOMPY"/>
    <s v="Momentum Capital Investment S.A."/>
    <s v="15/09/2026"/>
    <s v="15/09/2026"/>
    <n v="33"/>
    <s v="No"/>
    <s v=""/>
    <m/>
    <m/>
    <s v="*MAV311001877"/>
    <s v="*MAV311001877"/>
    <n v="1.7387869078122969E-5"/>
  </r>
  <r>
    <x v="100"/>
    <s v="Pesos"/>
    <d v="2026-11-04T00:00:00"/>
    <s v="29/10/2026"/>
    <n v="0.99476726000000004"/>
    <m/>
    <n v="891634.28"/>
    <n v="886968.59"/>
    <n v="891634.28"/>
    <n v="886968.59"/>
    <n v="1996"/>
    <s v="AMOMPY"/>
    <s v="Momentum Capital Investment S.A."/>
    <s v="15/09/2026"/>
    <s v="15/09/2026"/>
    <n v="32"/>
    <s v="No"/>
    <s v=""/>
    <m/>
    <m/>
    <s v="*MAV311001879"/>
    <s v="*MAV311001879"/>
    <n v="1.0855294372459897E-5"/>
  </r>
  <r>
    <x v="6"/>
    <s v="Pesos"/>
    <d v="2026-11-04T00:00:00"/>
    <s v="29/10/2026"/>
    <n v="0.99542005"/>
    <m/>
    <n v="2116117.7000000002"/>
    <n v="2106425.98"/>
    <n v="2116117.7000000002"/>
    <n v="2106425.98"/>
    <n v="659"/>
    <s v="AMOMPY"/>
    <s v="Momentum Capital Investment S.A."/>
    <s v="16/10/2026"/>
    <s v="16/10/2026"/>
    <n v="27.99"/>
    <s v="No"/>
    <s v=""/>
    <m/>
    <m/>
    <s v="*CRE021100119"/>
    <s v="*CRE021100119"/>
    <n v="2.5779801386988601E-5"/>
  </r>
  <r>
    <x v="6"/>
    <s v="Pesos"/>
    <d v="2026-11-04T00:00:00"/>
    <s v="29/10/2026"/>
    <n v="0.99541838999999999"/>
    <m/>
    <n v="3392000"/>
    <n v="3376459.17"/>
    <n v="3392000"/>
    <n v="3376459.17"/>
    <n v="26351"/>
    <s v="AMOMPY"/>
    <s v="Momentum Capital Investment S.A."/>
    <s v="08/10/2026"/>
    <s v="08/10/2026"/>
    <n v="28"/>
    <s v="No"/>
    <s v=""/>
    <m/>
    <m/>
    <s v="*CRE021100111"/>
    <s v="*CRE021100111"/>
    <n v="4.132328770170048E-5"/>
  </r>
  <r>
    <x v="6"/>
    <s v="Pesos"/>
    <d v="2026-11-04T00:00:00"/>
    <s v="29/10/2026"/>
    <n v="0.99541838999999999"/>
    <m/>
    <n v="1269828.6499999999"/>
    <n v="1264010.79"/>
    <n v="1269828.6499999999"/>
    <n v="1264010.79"/>
    <n v="302272"/>
    <s v="AMOMPY"/>
    <s v="Momentum Capital Investment S.A."/>
    <s v="08/10/2026"/>
    <s v="08/10/2026"/>
    <n v="28"/>
    <s v="No"/>
    <s v=""/>
    <m/>
    <m/>
    <s v="*CRE021100112"/>
    <s v="*CRE021100112"/>
    <n v="1.5469780294492265E-5"/>
  </r>
  <r>
    <x v="6"/>
    <s v="Pesos"/>
    <d v="2026-11-04T00:00:00"/>
    <s v="29/10/2026"/>
    <n v="0.99541837"/>
    <m/>
    <n v="507127.84"/>
    <n v="504804.37"/>
    <n v="507127.84"/>
    <n v="504804.37"/>
    <n v="11023400"/>
    <s v="AMOMPY"/>
    <s v="Momentum Capital Investment S.A."/>
    <s v="08/10/2026"/>
    <s v="08/10/2026"/>
    <n v="28"/>
    <s v="No"/>
    <s v=""/>
    <m/>
    <m/>
    <s v="*CRE021100113"/>
    <s v="*CRE021100113"/>
    <n v="6.1781218620764948E-6"/>
  </r>
  <r>
    <x v="6"/>
    <s v="Pesos"/>
    <d v="2026-11-04T00:00:00"/>
    <s v="29/10/2026"/>
    <n v="0.99541838999999999"/>
    <m/>
    <n v="4094469"/>
    <n v="4075709.73"/>
    <n v="4094469"/>
    <n v="4075709.73"/>
    <n v="12"/>
    <s v="AMOMPY"/>
    <s v="Momentum Capital Investment S.A."/>
    <s v="08/10/2026"/>
    <s v="08/10/2026"/>
    <n v="28"/>
    <s v="No"/>
    <s v=""/>
    <m/>
    <m/>
    <s v="*CRE021100114"/>
    <s v="*CRE021100114"/>
    <n v="4.9881167602393951E-5"/>
  </r>
  <r>
    <x v="6"/>
    <s v="Pesos"/>
    <d v="2026-11-04T00:00:00"/>
    <s v="29/10/2026"/>
    <n v="0.99541842000000003"/>
    <m/>
    <n v="371781.84"/>
    <n v="370078.49"/>
    <n v="371781.84"/>
    <n v="370078.49"/>
    <n v="1389453"/>
    <s v="AMOMPY"/>
    <s v="Momentum Capital Investment S.A."/>
    <s v="08/10/2026"/>
    <s v="08/10/2026"/>
    <n v="28"/>
    <s v="No"/>
    <s v=""/>
    <m/>
    <m/>
    <s v="*CRE021100115"/>
    <s v="*CRE021100115"/>
    <n v="4.5292595421732529E-6"/>
  </r>
  <r>
    <x v="6"/>
    <s v="Pesos"/>
    <d v="2026-11-04T00:00:00"/>
    <s v="29/10/2026"/>
    <n v="0.99541838000000005"/>
    <m/>
    <n v="420000"/>
    <n v="418075.72"/>
    <n v="420000"/>
    <n v="418075.72"/>
    <n v="16869859"/>
    <s v="AMOMPY"/>
    <s v="Momentum Capital Investment S.A."/>
    <s v="08/10/2026"/>
    <s v="08/10/2026"/>
    <n v="28"/>
    <s v="No"/>
    <s v=""/>
    <m/>
    <m/>
    <s v="*CRE311000386"/>
    <s v="*CRE311000386"/>
    <n v="5.1166806375613809E-6"/>
  </r>
  <r>
    <x v="54"/>
    <s v="Pesos"/>
    <d v="2026-11-04T00:00:00"/>
    <s v="29/10/2026"/>
    <n v="0.99525551999999995"/>
    <m/>
    <n v="7000000"/>
    <n v="6966788.6100000003"/>
    <n v="7000000"/>
    <n v="6966788.6100000003"/>
    <n v="90000069"/>
    <s v="AMOMPY"/>
    <s v="Momentum Capital Investment S.A."/>
    <s v="02/09/2026"/>
    <s v="02/09/2026"/>
    <n v="29"/>
    <s v="No"/>
    <s v=""/>
    <m/>
    <m/>
    <s v="*INP011100051"/>
    <s v="*INP011100051"/>
    <n v="8.5264057876334397E-5"/>
  </r>
  <r>
    <x v="2"/>
    <s v="Pesos"/>
    <d v="2026-11-04T00:00:00"/>
    <s v="29/10/2026"/>
    <n v="0.99411702000000002"/>
    <m/>
    <n v="3256800.5"/>
    <n v="3237640.8"/>
    <n v="3256800.5"/>
    <n v="3237640.8"/>
    <n v="3577"/>
    <s v="AMOMPY"/>
    <s v="Momentum Capital Investment S.A."/>
    <s v="22/09/2026"/>
    <s v="22/09/2026"/>
    <n v="36"/>
    <s v="No"/>
    <s v=""/>
    <m/>
    <m/>
    <s v="*MAV311001932"/>
    <s v="*MAV311001932"/>
    <n v="3.9624338846414569E-5"/>
  </r>
  <r>
    <x v="2"/>
    <s v="Pesos"/>
    <d v="2026-11-04T00:00:00"/>
    <s v="29/10/2026"/>
    <n v="0.99427949000000004"/>
    <m/>
    <n v="3789564.21"/>
    <n v="3767885.98"/>
    <n v="3789564.21"/>
    <n v="3767885.98"/>
    <n v="3269"/>
    <s v="AMOMPY"/>
    <s v="Momentum Capital Investment S.A."/>
    <s v="25/09/2026"/>
    <s v="25/09/2026"/>
    <n v="35"/>
    <s v="No"/>
    <s v=""/>
    <m/>
    <m/>
    <s v="*MAV311001955"/>
    <s v="*MAV311001955"/>
    <n v="4.6113821769905674E-5"/>
  </r>
  <r>
    <x v="2"/>
    <s v="Pesos"/>
    <d v="2026-11-04T00:00:00"/>
    <s v="29/10/2026"/>
    <n v="0.99427949000000004"/>
    <m/>
    <n v="2510000.36"/>
    <n v="2495641.87"/>
    <n v="2510000.36"/>
    <n v="2495641.87"/>
    <n v="3157"/>
    <s v="AMOMPY"/>
    <s v="Momentum Capital Investment S.A."/>
    <s v="25/09/2026"/>
    <s v="25/09/2026"/>
    <n v="35"/>
    <s v="No"/>
    <s v=""/>
    <m/>
    <m/>
    <s v="*MAV311001956"/>
    <s v="*MAV311001956"/>
    <n v="3.0543276788512089E-5"/>
  </r>
  <r>
    <x v="101"/>
    <s v="Pesos"/>
    <d v="2026-11-04T00:00:00"/>
    <s v="29/10/2026"/>
    <n v="0.99395458999999997"/>
    <m/>
    <n v="68000000"/>
    <n v="67588912.030000001"/>
    <n v="68000000"/>
    <n v="67588912.030000001"/>
    <n v="29850239"/>
    <s v="AMOMPY"/>
    <s v="Momentum Capital Investment S.A."/>
    <s v="10/08/2026"/>
    <s v="10/08/2026"/>
    <n v="37"/>
    <s v="No"/>
    <s v=""/>
    <m/>
    <m/>
    <s v="*MAV311001698"/>
    <s v="*MAV311001698"/>
    <n v="8.27196751578256E-4"/>
  </r>
  <r>
    <x v="7"/>
    <s v="Pesos"/>
    <d v="2026-11-04T00:00:00"/>
    <s v="29/10/2026"/>
    <n v="0.99476726000000004"/>
    <m/>
    <n v="5444206"/>
    <n v="5415717.9100000001"/>
    <n v="5444206"/>
    <n v="5415717.9100000001"/>
    <n v="3446"/>
    <s v="AMOMPY"/>
    <s v="Momentum Capital Investment S.A."/>
    <s v="25/08/2026"/>
    <s v="25/08/2026"/>
    <n v="32"/>
    <s v="No"/>
    <s v=""/>
    <m/>
    <m/>
    <s v="*MAV311001756"/>
    <s v="*MAV311001756"/>
    <n v="6.628105303171251E-5"/>
  </r>
  <r>
    <x v="102"/>
    <s v="Pesos"/>
    <d v="2026-11-04T00:00:00"/>
    <s v="29/10/2026"/>
    <n v="0.99476726999999998"/>
    <m/>
    <n v="6427534.4199999999"/>
    <n v="6393900.8399999999"/>
    <n v="6427534.4199999999"/>
    <n v="6393900.8399999999"/>
    <n v="68962809"/>
    <s v="AMOMPY"/>
    <s v="Momentum Capital Investment S.A."/>
    <s v="25/08/2026"/>
    <s v="25/08/2026"/>
    <n v="32"/>
    <s v="No"/>
    <s v=""/>
    <m/>
    <m/>
    <s v="*MAV311001757"/>
    <s v="*MAV311001757"/>
    <n v="7.8252687399582672E-5"/>
  </r>
  <r>
    <x v="103"/>
    <s v="Pesos"/>
    <d v="2026-11-04T00:00:00"/>
    <s v="29/10/2026"/>
    <n v="0.99476724999999999"/>
    <m/>
    <n v="18999660.98"/>
    <n v="18900240.579999998"/>
    <n v="18999660.98"/>
    <n v="18900240.579999998"/>
    <n v="11972702"/>
    <s v="AMOMPY"/>
    <s v="Momentum Capital Investment S.A."/>
    <s v="27/08/2026"/>
    <s v="27/08/2026"/>
    <n v="32"/>
    <s v="No"/>
    <s v=""/>
    <m/>
    <m/>
    <s v="*MAV021100927"/>
    <s v="*MAV021100927"/>
    <n v="2.3131334922041845E-4"/>
  </r>
  <r>
    <x v="103"/>
    <s v="Pesos"/>
    <d v="2026-11-04T00:00:00"/>
    <s v="29/10/2026"/>
    <n v="0.99476726000000004"/>
    <m/>
    <n v="1650365.38"/>
    <n v="1641729.44"/>
    <n v="1650365.38"/>
    <n v="1641729.44"/>
    <n v="11996325"/>
    <s v="AMOMPY"/>
    <s v="Momentum Capital Investment S.A."/>
    <s v="27/08/2026"/>
    <s v="27/08/2026"/>
    <n v="32"/>
    <s v="No"/>
    <s v=""/>
    <m/>
    <m/>
    <s v="*MAV021100928"/>
    <s v="*MAV021100928"/>
    <n v="2.0092545048448375E-5"/>
  </r>
  <r>
    <x v="36"/>
    <s v="Pesos"/>
    <d v="2026-11-04T00:00:00"/>
    <s v="29/10/2026"/>
    <n v="0.99493001000000003"/>
    <m/>
    <n v="25000000"/>
    <n v="24873250.219999999"/>
    <n v="25000000"/>
    <n v="24873250.219999999"/>
    <n v="175"/>
    <s v="AMOMPY"/>
    <s v="Momentum Capital Investment S.A."/>
    <s v="09/10/2026"/>
    <s v="09/10/2026"/>
    <n v="31"/>
    <s v="No"/>
    <s v=""/>
    <m/>
    <m/>
    <s v="*MAV021101389"/>
    <s v="*MAV021101389"/>
    <n v="3.0441489832007791E-4"/>
  </r>
  <r>
    <x v="104"/>
    <s v="Pesos"/>
    <d v="2026-11-04T00:00:00"/>
    <s v="29/10/2026"/>
    <n v="0.99492997000000005"/>
    <m/>
    <n v="8523310"/>
    <n v="8480096.5500000007"/>
    <n v="8523310"/>
    <n v="8480096.5500000007"/>
    <n v="13680133"/>
    <s v="AMOMPY"/>
    <s v="Momentum Capital Investment S.A."/>
    <s v="02/09/2026"/>
    <s v="02/09/2026"/>
    <n v="31"/>
    <s v="No"/>
    <s v=""/>
    <m/>
    <m/>
    <s v="*MAV021100966"/>
    <s v="*MAV021100966"/>
    <n v="1.037848976784303E-4"/>
  </r>
  <r>
    <x v="105"/>
    <s v="Pesos"/>
    <d v="2026-11-04T00:00:00"/>
    <s v="29/10/2026"/>
    <n v="0.99476724999999999"/>
    <m/>
    <n v="40000000"/>
    <n v="39790690.100000001"/>
    <n v="40000000"/>
    <n v="39790690.100000001"/>
    <n v="13953435"/>
    <s v="AMOMPY"/>
    <s v="Momentum Capital Investment S.A."/>
    <s v="14/07/2026"/>
    <s v="14/07/2026"/>
    <n v="32"/>
    <s v="No"/>
    <s v=""/>
    <m/>
    <m/>
    <s v="*MAV021100796"/>
    <s v="*MAV021100796"/>
    <n v="4.869841606440942E-4"/>
  </r>
  <r>
    <x v="106"/>
    <s v="Pesos"/>
    <d v="2026-11-04T00:00:00"/>
    <s v="29/10/2026"/>
    <n v="0.99509270000000005"/>
    <m/>
    <n v="10900000"/>
    <n v="10846510.48"/>
    <n v="10900000"/>
    <n v="10846510.48"/>
    <n v="237"/>
    <s v="AMOMPY"/>
    <s v="Momentum Capital Investment S.A."/>
    <s v="02/07/2026"/>
    <s v="02/07/2026"/>
    <n v="30"/>
    <s v="No"/>
    <s v=""/>
    <m/>
    <m/>
    <s v="*MAV011101200"/>
    <s v="*MAV011101200"/>
    <n v="1.3274659948710394E-4"/>
  </r>
  <r>
    <x v="107"/>
    <s v="Pesos"/>
    <d v="2026-11-04T00:00:00"/>
    <s v="29/10/2026"/>
    <n v="0.99558137000000002"/>
    <m/>
    <n v="48904.31"/>
    <n v="48688.22"/>
    <n v="48904.31"/>
    <n v="48688.22"/>
    <n v="30097747"/>
    <s v="AMOMPY"/>
    <s v="Momentum Capital Investment S.A."/>
    <s v="01/09/2026"/>
    <s v="01/09/2026"/>
    <n v="27"/>
    <s v="No"/>
    <s v=""/>
    <m/>
    <m/>
    <s v="*MAV021100958"/>
    <s v="*MAV021100958"/>
    <n v="5.9587787722120963E-7"/>
  </r>
  <r>
    <x v="107"/>
    <s v="Pesos"/>
    <d v="2026-11-04T00:00:00"/>
    <s v="29/10/2026"/>
    <n v="0.99582572000000003"/>
    <m/>
    <n v="4981378.5599999996"/>
    <n v="4960584.88"/>
    <n v="4981378.5599999996"/>
    <n v="4960584.88"/>
    <n v="30098403"/>
    <s v="AMOMPY"/>
    <s v="Momentum Capital Investment S.A."/>
    <s v="03/09/2026"/>
    <s v="03/09/2026"/>
    <n v="25.5"/>
    <s v="No"/>
    <s v=""/>
    <m/>
    <m/>
    <s v="*MAV021100983"/>
    <s v="*MAV021100983"/>
    <n v="6.0710841104275916E-5"/>
  </r>
  <r>
    <x v="108"/>
    <s v="Pesos"/>
    <d v="2026-11-04T00:00:00"/>
    <s v="29/10/2026"/>
    <n v="0.99509270000000005"/>
    <m/>
    <n v="5577023.0199999996"/>
    <n v="5549654.9000000004"/>
    <n v="5577023.0199999996"/>
    <n v="5549654.9000000004"/>
    <n v="90017210"/>
    <s v="AMOMPY"/>
    <s v="Momentum Capital Investment S.A."/>
    <s v="11/09/2026"/>
    <s v="11/09/2026"/>
    <n v="30"/>
    <s v="No"/>
    <s v=""/>
    <m/>
    <m/>
    <s v="*MAV021101081"/>
    <s v="*MAV021101081"/>
    <n v="6.7920260406362855E-5"/>
  </r>
  <r>
    <x v="12"/>
    <s v="Pesos"/>
    <d v="2026-11-04T00:00:00"/>
    <s v="29/10/2026"/>
    <n v="0.99476726000000004"/>
    <m/>
    <n v="11829797.539999999"/>
    <n v="11767895.23"/>
    <n v="11829797.539999999"/>
    <n v="11767895.23"/>
    <n v="30890"/>
    <s v="AMOMPY"/>
    <s v="Momentum Capital Investment S.A."/>
    <s v="22/07/2026"/>
    <s v="22/07/2026"/>
    <n v="32"/>
    <s v="No"/>
    <s v=""/>
    <m/>
    <m/>
    <s v="*MAV021100817"/>
    <s v="*MAV021100817"/>
    <n v="1.440231010501924E-4"/>
  </r>
  <r>
    <x v="12"/>
    <s v="Pesos"/>
    <d v="2026-11-04T00:00:00"/>
    <s v="29/10/2026"/>
    <n v="0.99476726000000004"/>
    <m/>
    <n v="16498838.289999999"/>
    <n v="16412504.09"/>
    <n v="16498838.289999999"/>
    <n v="16412504.09"/>
    <n v="30846"/>
    <s v="AMOMPY"/>
    <s v="Momentum Capital Investment S.A."/>
    <s v="22/07/2026"/>
    <s v="22/07/2026"/>
    <n v="32"/>
    <s v="No"/>
    <s v=""/>
    <m/>
    <m/>
    <s v="*MAV021100818"/>
    <s v="*MAV021100818"/>
    <n v="2.0086682357731747E-4"/>
  </r>
  <r>
    <x v="12"/>
    <s v="Pesos"/>
    <d v="2026-11-04T00:00:00"/>
    <s v="29/10/2026"/>
    <n v="0.99476726000000004"/>
    <m/>
    <n v="11490967.4"/>
    <n v="11430838.1"/>
    <n v="11490967.4"/>
    <n v="11430838.1"/>
    <n v="30900"/>
    <s v="AMOMPY"/>
    <s v="Momentum Capital Investment S.A."/>
    <s v="22/07/2026"/>
    <s v="22/07/2026"/>
    <n v="32"/>
    <s v="No"/>
    <s v=""/>
    <m/>
    <m/>
    <s v="*MAV021100820"/>
    <s v="*MAV021100820"/>
    <n v="1.3989797823554291E-4"/>
  </r>
  <r>
    <x v="12"/>
    <s v="Pesos"/>
    <d v="2026-11-04T00:00:00"/>
    <s v="29/10/2026"/>
    <n v="0.99476726000000004"/>
    <m/>
    <n v="9142894.3200000003"/>
    <n v="9095051.8900000006"/>
    <n v="9142894.3200000003"/>
    <n v="9095051.8900000006"/>
    <n v="9933024"/>
    <s v="AMOMPY"/>
    <s v="Momentum Capital Investment S.A."/>
    <s v="22/07/2026"/>
    <s v="22/07/2026"/>
    <n v="32"/>
    <s v="No"/>
    <s v=""/>
    <m/>
    <m/>
    <s v="*MAV021100819"/>
    <s v="*MAV021100819"/>
    <n v="1.1131111824235823E-4"/>
  </r>
  <r>
    <x v="42"/>
    <s v="Pesos"/>
    <d v="2026-11-04T00:00:00"/>
    <s v="29/10/2026"/>
    <n v="0.99476724999999999"/>
    <m/>
    <n v="50000000"/>
    <n v="49738362.719999999"/>
    <n v="50000000"/>
    <n v="49738362.719999999"/>
    <n v="6694"/>
    <s v="AMOMPY"/>
    <s v="Momentum Capital Investment S.A."/>
    <s v="27/08/2026"/>
    <s v="27/08/2026"/>
    <n v="32"/>
    <s v="No"/>
    <s v=""/>
    <m/>
    <m/>
    <s v="*MAV311001777"/>
    <s v="*MAV311001777"/>
    <n v="6.087302019677891E-4"/>
  </r>
  <r>
    <x v="42"/>
    <s v="Pesos"/>
    <d v="2026-11-04T00:00:00"/>
    <s v="29/10/2026"/>
    <n v="0.99476724999999999"/>
    <m/>
    <n v="50000000"/>
    <n v="49738362.719999999"/>
    <n v="50000000"/>
    <n v="49738362.719999999"/>
    <n v="6695"/>
    <s v="AMOMPY"/>
    <s v="Momentum Capital Investment S.A."/>
    <s v="27/08/2026"/>
    <s v="27/08/2026"/>
    <n v="32"/>
    <s v="No"/>
    <s v=""/>
    <m/>
    <m/>
    <s v="*MAV311001779"/>
    <s v="*MAV311001779"/>
    <n v="6.087302019677891E-4"/>
  </r>
  <r>
    <x v="13"/>
    <s v="Pesos"/>
    <d v="2026-11-04T00:00:00"/>
    <s v="29/10/2026"/>
    <n v="0.99444204000000003"/>
    <m/>
    <n v="6200000"/>
    <n v="6165540.6399999997"/>
    <n v="6200000"/>
    <n v="6165540.6399999997"/>
    <n v="69261880"/>
    <s v="AMOMPY"/>
    <s v="Momentum Capital Investment S.A."/>
    <s v="25/08/2026"/>
    <s v="25/08/2026"/>
    <n v="34"/>
    <s v="No"/>
    <s v=""/>
    <m/>
    <m/>
    <s v="*MAV311001752"/>
    <s v="*MAV311001752"/>
    <n v="7.5457867806305053E-5"/>
  </r>
  <r>
    <x v="109"/>
    <s v="Pesos"/>
    <d v="2026-11-04T00:00:00"/>
    <s v="29/10/2026"/>
    <n v="0.99460462999999999"/>
    <m/>
    <n v="1300000"/>
    <n v="1292986.02"/>
    <n v="1300000"/>
    <n v="1292986.02"/>
    <n v="553"/>
    <s v="AMOMPY"/>
    <s v="Momentum Capital Investment S.A."/>
    <s v="01/09/2026"/>
    <s v="01/09/2026"/>
    <n v="33"/>
    <s v="No"/>
    <s v=""/>
    <m/>
    <m/>
    <s v="*MAV011101256"/>
    <s v="*MAV011101256"/>
    <n v="1.582439787025076E-5"/>
  </r>
  <r>
    <x v="109"/>
    <s v="Pesos"/>
    <d v="2026-11-04T00:00:00"/>
    <s v="29/10/2026"/>
    <n v="0.99460462999999999"/>
    <m/>
    <n v="1300000"/>
    <n v="1292986.02"/>
    <n v="1300000"/>
    <n v="1292986.02"/>
    <n v="554"/>
    <s v="AMOMPY"/>
    <s v="Momentum Capital Investment S.A."/>
    <s v="01/09/2026"/>
    <s v="01/09/2026"/>
    <n v="33"/>
    <s v="No"/>
    <s v=""/>
    <m/>
    <m/>
    <s v="*MAV021100950"/>
    <s v="*MAV021100950"/>
    <n v="1.582439787025076E-5"/>
  </r>
  <r>
    <x v="110"/>
    <s v="Pesos"/>
    <d v="2026-11-04T00:00:00"/>
    <s v="29/10/2026"/>
    <n v="0.99476726000000004"/>
    <m/>
    <n v="2558197.12"/>
    <n v="2544810.75"/>
    <n v="2558197.12"/>
    <n v="2544810.75"/>
    <n v="356"/>
    <s v="AMOMPY"/>
    <s v="Momentum Capital Investment S.A."/>
    <s v="31/07/2026"/>
    <s v="31/07/2026"/>
    <n v="32"/>
    <s v="No"/>
    <s v=""/>
    <m/>
    <m/>
    <s v="*MAV311001647"/>
    <s v="*MAV311001647"/>
    <n v="3.1145037293203865E-5"/>
  </r>
  <r>
    <x v="15"/>
    <s v="Pesos"/>
    <d v="2026-11-04T00:00:00"/>
    <s v="29/10/2026"/>
    <n v="0.99411700999999997"/>
    <m/>
    <n v="20408241.140000001"/>
    <n v="20288179.66"/>
    <n v="20408241.140000001"/>
    <n v="20288179.66"/>
    <n v="67998060"/>
    <s v="AMOMPY"/>
    <s v="Momentum Capital Investment S.A."/>
    <s v="30/06/2026"/>
    <s v="30/06/2026"/>
    <n v="36"/>
    <s v="No"/>
    <s v=""/>
    <m/>
    <m/>
    <s v="*MAV311001562"/>
    <s v="*MAV311001562"/>
    <n v="2.4829984395575197E-4"/>
  </r>
  <r>
    <x v="111"/>
    <s v="Pesos"/>
    <d v="2026-11-04T00:00:00"/>
    <s v="29/10/2026"/>
    <n v="0.99460462999999999"/>
    <m/>
    <n v="30000000"/>
    <n v="29838139.010000002"/>
    <n v="30000000"/>
    <n v="29838139.010000002"/>
    <n v="11405025"/>
    <s v="AMOMPY"/>
    <s v="Momentum Capital Investment S.A."/>
    <s v="09/09/2026"/>
    <s v="09/09/2026"/>
    <n v="33"/>
    <s v="No"/>
    <s v=""/>
    <m/>
    <m/>
    <s v="*MAV011101285"/>
    <s v="*MAV011101285"/>
    <n v="3.6517841345422292E-4"/>
  </r>
  <r>
    <x v="111"/>
    <s v="Pesos"/>
    <d v="2026-11-04T00:00:00"/>
    <s v="29/10/2026"/>
    <n v="0.99460462999999999"/>
    <m/>
    <n v="30000000"/>
    <n v="29838139.010000002"/>
    <n v="30000000"/>
    <n v="29838139.010000002"/>
    <n v="11405026"/>
    <s v="AMOMPY"/>
    <s v="Momentum Capital Investment S.A."/>
    <s v="09/09/2026"/>
    <s v="09/09/2026"/>
    <n v="33"/>
    <s v="No"/>
    <s v=""/>
    <m/>
    <m/>
    <s v="*MAV021101052"/>
    <s v="*MAV021101052"/>
    <n v="3.6517841345422292E-4"/>
  </r>
  <r>
    <x v="112"/>
    <s v="Pesos"/>
    <d v="2026-11-04T00:00:00"/>
    <s v="29/10/2026"/>
    <n v="0.99444202999999998"/>
    <m/>
    <n v="3000000"/>
    <n v="2983326.09"/>
    <n v="3000000"/>
    <n v="2983326.09"/>
    <n v="4565"/>
    <s v="AMOMPY"/>
    <s v="Momentum Capital Investment S.A."/>
    <s v="15/07/2026"/>
    <s v="15/07/2026"/>
    <n v="34"/>
    <s v="No"/>
    <s v=""/>
    <m/>
    <m/>
    <s v="*MAV021100799"/>
    <s v="*MAV021100799"/>
    <n v="3.6511871199395892E-5"/>
  </r>
  <r>
    <x v="113"/>
    <s v="Pesos"/>
    <d v="2026-11-04T00:00:00"/>
    <s v="29/10/2026"/>
    <n v="0.99476730000000002"/>
    <m/>
    <n v="2162998.42"/>
    <n v="2151680.1"/>
    <n v="2162998.42"/>
    <n v="2151680.1"/>
    <n v="112923"/>
    <s v="AMOMPY"/>
    <s v="Momentum Capital Investment S.A."/>
    <s v="05/10/2026"/>
    <s v="05/10/2026"/>
    <n v="32"/>
    <s v="No"/>
    <s v=""/>
    <m/>
    <m/>
    <s v="*MAV011101363"/>
    <s v="*MAV011101363"/>
    <n v="2.6333650530808478E-5"/>
  </r>
  <r>
    <x v="114"/>
    <s v="Pesos"/>
    <d v="2026-11-04T00:00:00"/>
    <s v="29/10/2026"/>
    <n v="0.99493001000000003"/>
    <m/>
    <n v="4641854"/>
    <n v="4618319.84"/>
    <n v="4641854"/>
    <n v="4618319.84"/>
    <n v="2015"/>
    <s v="AMOMPY"/>
    <s v="Momentum Capital Investment S.A."/>
    <s v="09/10/2026"/>
    <s v="09/10/2026"/>
    <n v="31"/>
    <s v="No"/>
    <s v=""/>
    <m/>
    <m/>
    <s v="*MAV311002091"/>
    <s v="*MAV311002091"/>
    <n v="5.6521980523991146E-5"/>
  </r>
  <r>
    <x v="17"/>
    <s v="Pesos"/>
    <d v="2026-11-04T00:00:00"/>
    <s v="29/10/2026"/>
    <n v="0.99379222"/>
    <m/>
    <n v="40000000"/>
    <n v="39751688.740000002"/>
    <n v="40000000"/>
    <n v="39751688.740000002"/>
    <n v="70393048"/>
    <s v="AMOMPY"/>
    <s v="Momentum Capital Investment S.A."/>
    <s v="01/09/2026"/>
    <s v="01/09/2026"/>
    <n v="38"/>
    <s v="No"/>
    <s v=""/>
    <m/>
    <m/>
    <s v="*MAV021100957"/>
    <s v="*MAV021100957"/>
    <n v="4.8650683681493104E-4"/>
  </r>
  <r>
    <x v="17"/>
    <s v="Pesos"/>
    <d v="2026-11-04T00:00:00"/>
    <s v="29/10/2026"/>
    <n v="0.99379223000000005"/>
    <m/>
    <n v="40000000"/>
    <n v="39751689.140000001"/>
    <n v="40000000"/>
    <n v="39751689.140000001"/>
    <n v="70393053"/>
    <s v="AMOMPY"/>
    <s v="Momentum Capital Investment S.A."/>
    <s v="02/09/2026"/>
    <s v="02/09/2026"/>
    <n v="38"/>
    <s v="No"/>
    <s v=""/>
    <m/>
    <m/>
    <s v="*MAV021100969"/>
    <s v="*MAV021100969"/>
    <n v="4.8650684171038932E-4"/>
  </r>
  <r>
    <x v="85"/>
    <s v="Pesos"/>
    <d v="2026-11-04T00:00:00"/>
    <s v="29/10/2026"/>
    <n v="0.99590723999999997"/>
    <m/>
    <n v="12000000"/>
    <n v="11950886.890000001"/>
    <n v="12000000"/>
    <n v="11950886.890000001"/>
    <n v="34562"/>
    <s v="AMOMPY"/>
    <s v="Momentum Capital Investment S.A."/>
    <s v="31/07/2026"/>
    <s v="31/07/2026"/>
    <n v="25"/>
    <s v="No"/>
    <s v=""/>
    <m/>
    <m/>
    <s v="*MAV011101206"/>
    <s v="*MAV011101206"/>
    <n v="1.4626267115380238E-4"/>
  </r>
  <r>
    <x v="115"/>
    <s v="Dolar 3500"/>
    <d v="2026-11-04T00:00:00"/>
    <s v="29/10/2026"/>
    <n v="0.99868665999999995"/>
    <s v="1 US3 = 1539,5930209017 $"/>
    <n v="500000"/>
    <n v="499343.33"/>
    <n v="769796510.45000005"/>
    <n v="768785505.89999998"/>
    <n v="152502"/>
    <s v="AMOMPY"/>
    <s v="Momentum Capital Investment S.A."/>
    <s v="04/06/2026"/>
    <s v="04/06/2026"/>
    <n v="8"/>
    <s v="No"/>
    <s v=""/>
    <m/>
    <m/>
    <s v="#UMV021160025"/>
    <s v="#UMV021160025"/>
    <n v="9.4088934714418749E-3"/>
  </r>
  <r>
    <x v="44"/>
    <s v="Pesos"/>
    <d v="2026-11-04T00:00:00"/>
    <s v="29/10/2026"/>
    <n v="0.99444202999999998"/>
    <m/>
    <n v="10000000"/>
    <n v="9944420.3000000007"/>
    <n v="10000000"/>
    <n v="9944420.3000000007"/>
    <n v="14284512"/>
    <s v="AMOMPY"/>
    <s v="Momentum Capital Investment S.A."/>
    <s v="24/08/2026"/>
    <s v="24/08/2026"/>
    <n v="34"/>
    <s v="No"/>
    <s v=""/>
    <m/>
    <m/>
    <s v="*MAV021100898"/>
    <s v="*MAV021100898"/>
    <n v="1.2170623733131967E-4"/>
  </r>
  <r>
    <x v="44"/>
    <s v="Pesos"/>
    <d v="2026-11-04T00:00:00"/>
    <s v="29/10/2026"/>
    <n v="0.99476728999999997"/>
    <m/>
    <n v="11000000"/>
    <n v="10942440.189999999"/>
    <n v="11000000"/>
    <n v="10942440.189999999"/>
    <n v="14651796"/>
    <s v="AMOMPY"/>
    <s v="Momentum Capital Investment S.A."/>
    <s v="01/10/2026"/>
    <s v="01/10/2026"/>
    <n v="32"/>
    <s v="No"/>
    <s v=""/>
    <m/>
    <m/>
    <s v="*MAV311001979"/>
    <s v="*MAV311001979"/>
    <n v="1.3392064922556726E-4"/>
  </r>
  <r>
    <x v="116"/>
    <s v="Pesos"/>
    <d v="2026-11-04T00:00:00"/>
    <s v="29/10/2026"/>
    <n v="0.99525560000000002"/>
    <m/>
    <n v="2289494"/>
    <n v="2278631.7200000002"/>
    <n v="2289494"/>
    <n v="2278631.7200000002"/>
    <n v="11273460"/>
    <s v="AMOMPY"/>
    <s v="Momentum Capital Investment S.A."/>
    <s v="23/10/2026"/>
    <s v="23/10/2026"/>
    <n v="29"/>
    <s v="No"/>
    <s v=""/>
    <m/>
    <m/>
    <s v="*MAV011101481"/>
    <s v="*MAV011101481"/>
    <n v="2.7887366436532568E-5"/>
  </r>
  <r>
    <x v="117"/>
    <s v="Pesos"/>
    <d v="2026-11-04T00:00:00"/>
    <s v="29/10/2026"/>
    <n v="0.99476726999999998"/>
    <m/>
    <n v="2749536.48"/>
    <n v="2735148.89"/>
    <n v="2749536.48"/>
    <n v="2735148.89"/>
    <n v="74760911"/>
    <s v="AMOMPY"/>
    <s v="Momentum Capital Investment S.A."/>
    <s v="04/09/2026"/>
    <s v="04/09/2026"/>
    <n v="32"/>
    <s v="No"/>
    <s v=""/>
    <m/>
    <m/>
    <s v="*MAV021100999"/>
    <s v="*MAV021100999"/>
    <n v="3.3474518363110165E-5"/>
  </r>
  <r>
    <x v="21"/>
    <s v="Pesos"/>
    <d v="2026-11-04T00:00:00"/>
    <s v="29/10/2026"/>
    <n v="0.99558128000000001"/>
    <m/>
    <n v="33170000"/>
    <n v="33023431.210000001"/>
    <n v="33170000"/>
    <n v="33023431.210000001"/>
    <n v="32240"/>
    <s v="AMOMPY"/>
    <s v="Momentum Capital Investment S.A."/>
    <s v="17/09/2026"/>
    <s v="17/09/2026"/>
    <n v="27"/>
    <s v="No"/>
    <s v=""/>
    <m/>
    <m/>
    <s v="*NIO021100025"/>
    <s v="*NIO021100025"/>
    <n v="4.0416207632925255E-4"/>
  </r>
  <r>
    <x v="118"/>
    <s v="Pesos"/>
    <d v="2026-11-04T00:00:00"/>
    <s v="29/10/2026"/>
    <n v="0.99509276000000002"/>
    <m/>
    <n v="161938.32"/>
    <n v="161143.65"/>
    <n v="161938.32"/>
    <n v="161143.65"/>
    <n v="70489487"/>
    <s v="AMOMPY"/>
    <s v="Momentum Capital Investment S.A."/>
    <s v="19/10/2026"/>
    <s v="19/10/2026"/>
    <n v="30"/>
    <s v="No"/>
    <s v=""/>
    <m/>
    <m/>
    <s v="*MAV311002169"/>
    <s v="*MAV311002169"/>
    <n v="1.9721800486786652E-6"/>
  </r>
  <r>
    <x v="119"/>
    <s v="Pesos"/>
    <d v="2026-11-04T00:00:00"/>
    <s v="29/10/2026"/>
    <n v="0.99476732000000001"/>
    <m/>
    <n v="5000000"/>
    <n v="4973836.62"/>
    <n v="5000000"/>
    <n v="4973836.62"/>
    <n v="40981968"/>
    <s v="AMOMPY"/>
    <s v="Momentum Capital Investment S.A."/>
    <s v="19/10/2026"/>
    <s v="19/10/2026"/>
    <n v="32"/>
    <s v="No"/>
    <s v=""/>
    <m/>
    <m/>
    <s v="*MAV311002171"/>
    <s v="*MAV311002171"/>
    <n v="6.0873024455827633E-5"/>
  </r>
  <r>
    <x v="120"/>
    <s v="Dolar 3500"/>
    <d v="2026-11-04T00:00:00"/>
    <s v="29/10/2026"/>
    <n v="0.99852269999999999"/>
    <s v="1 US3 = 1539,5930209017 $"/>
    <n v="100000"/>
    <n v="99852.27"/>
    <n v="153959302.09"/>
    <n v="153731858.00999999"/>
    <n v="155821"/>
    <s v="AMOMPY"/>
    <s v="Momentum Capital Investment S.A."/>
    <s v="02/07/2026"/>
    <s v="02/07/2026"/>
    <n v="9"/>
    <s v="No"/>
    <s v=""/>
    <m/>
    <m/>
    <s v="#UMV021160028"/>
    <s v="#UMV021160028"/>
    <n v="1.8814697520729081E-3"/>
  </r>
  <r>
    <x v="121"/>
    <s v="Dolar 3500"/>
    <d v="2026-11-04T00:00:00"/>
    <s v="29/10/2026"/>
    <n v="0.99868659999999998"/>
    <s v="1 US3 = 1539,5930209017 $"/>
    <n v="188100"/>
    <n v="187852.95"/>
    <n v="289597447.23000002"/>
    <n v="289217090.77999997"/>
    <n v="160722"/>
    <s v="AMOMPY"/>
    <s v="Momentum Capital Investment S.A."/>
    <s v="12/08/2026"/>
    <s v="12/08/2026"/>
    <n v="8"/>
    <s v="No"/>
    <s v=""/>
    <m/>
    <m/>
    <s v="#UMV021160035"/>
    <s v="#UMV021160035"/>
    <n v="3.5396255215343723E-3"/>
  </r>
  <r>
    <x v="121"/>
    <s v="Dolar 3500"/>
    <d v="2026-11-04T00:00:00"/>
    <s v="29/10/2026"/>
    <n v="0.99835890000000005"/>
    <s v="1 US3 = 1539,5930209017 $"/>
    <n v="100000"/>
    <n v="99835.89"/>
    <n v="153959302.09"/>
    <n v="153706639.47999999"/>
    <n v="165199"/>
    <s v="AMOMPY"/>
    <s v="Momentum Capital Investment S.A."/>
    <s v="15/09/2026"/>
    <s v="15/09/2026"/>
    <n v="10"/>
    <s v="No"/>
    <s v=""/>
    <m/>
    <m/>
    <s v="#UMV021160051"/>
    <s v="#UMV021160051"/>
    <n v="1.8811611114176727E-3"/>
  </r>
  <r>
    <x v="122"/>
    <s v="Pesos"/>
    <d v="2026-11-04T00:00:00"/>
    <s v="29/10/2026"/>
    <n v="0.99460466999999997"/>
    <m/>
    <n v="363101.32"/>
    <n v="361142.27"/>
    <n v="363101.32"/>
    <n v="361142.27"/>
    <n v="7241"/>
    <s v="AMOMPY"/>
    <s v="Momentum Capital Investment S.A."/>
    <s v="09/10/2026"/>
    <s v="09/10/2026"/>
    <n v="33"/>
    <s v="No"/>
    <s v=""/>
    <m/>
    <m/>
    <s v="*MAV021101384"/>
    <s v="*MAV021101384"/>
    <n v="4.4198923111678544E-6"/>
  </r>
  <r>
    <x v="26"/>
    <s v="Pesos"/>
    <d v="2026-11-04T00:00:00"/>
    <s v="29/10/2026"/>
    <n v="0.99509272999999998"/>
    <m/>
    <n v="5000000"/>
    <n v="4975463.6500000004"/>
    <n v="5000000"/>
    <n v="4975463.6500000004"/>
    <n v="1347"/>
    <s v="AMOMPY"/>
    <s v="Momentum Capital Investment S.A."/>
    <s v="01/10/2026"/>
    <s v="01/10/2026"/>
    <n v="30"/>
    <s v="No"/>
    <s v=""/>
    <m/>
    <m/>
    <s v="*MAV021101248"/>
    <s v="*MAV021101248"/>
    <n v="6.0892937099637071E-5"/>
  </r>
  <r>
    <x v="26"/>
    <s v="Pesos"/>
    <d v="2026-11-04T00:00:00"/>
    <s v="29/10/2026"/>
    <n v="0.99509274999999997"/>
    <m/>
    <n v="5000000"/>
    <n v="4975463.7300000004"/>
    <n v="5000000"/>
    <n v="4975463.7300000004"/>
    <n v="1350"/>
    <s v="AMOMPY"/>
    <s v="Momentum Capital Investment S.A."/>
    <s v="02/10/2026"/>
    <s v="02/10/2026"/>
    <n v="30"/>
    <s v="No"/>
    <s v=""/>
    <m/>
    <m/>
    <s v="*MAV021101283"/>
    <s v="*MAV021101283"/>
    <n v="6.0892938078728729E-5"/>
  </r>
  <r>
    <x v="26"/>
    <s v="Pesos"/>
    <d v="2026-11-04T00:00:00"/>
    <s v="29/10/2026"/>
    <n v="0.99509272000000004"/>
    <m/>
    <n v="4000000"/>
    <n v="3980370.86"/>
    <n v="4000000"/>
    <n v="3980370.86"/>
    <n v="1289"/>
    <s v="AMOMPY"/>
    <s v="Momentum Capital Investment S.A."/>
    <s v="23/09/2026"/>
    <s v="23/09/2026"/>
    <n v="30"/>
    <s v="No"/>
    <s v=""/>
    <m/>
    <m/>
    <s v="*MAV021101170"/>
    <s v="*MAV021101170"/>
    <n v="4.8714348945390901E-5"/>
  </r>
  <r>
    <x v="26"/>
    <s v="Pesos"/>
    <d v="2026-11-04T00:00:00"/>
    <s v="29/10/2026"/>
    <n v="0.99509270000000005"/>
    <m/>
    <n v="5000000"/>
    <n v="4975463.49"/>
    <n v="5000000"/>
    <n v="4975463.49"/>
    <n v="1307"/>
    <s v="AMOMPY"/>
    <s v="Momentum Capital Investment S.A."/>
    <s v="29/09/2026"/>
    <s v="29/09/2026"/>
    <n v="30"/>
    <s v="No"/>
    <s v=""/>
    <m/>
    <m/>
    <s v="*MAV021101220"/>
    <s v="*MAV021101220"/>
    <n v="6.0892935141453747E-5"/>
  </r>
  <r>
    <x v="46"/>
    <s v="Pesos"/>
    <d v="2026-11-04T00:00:00"/>
    <s v="29/10/2026"/>
    <n v="0.99476730000000002"/>
    <m/>
    <n v="22929529.789999999"/>
    <n v="22809546.469999999"/>
    <n v="22929529.789999999"/>
    <n v="22809546.469999999"/>
    <n v="82628359"/>
    <s v="AMOMPY"/>
    <s v="Momentum Capital Investment S.A."/>
    <s v="05/10/2026"/>
    <s v="02/10/2026"/>
    <n v="32"/>
    <s v="No"/>
    <s v=""/>
    <m/>
    <m/>
    <s v="*MAV011101364"/>
    <s v="*MAV011101364"/>
    <n v="2.7915795917209818E-4"/>
  </r>
  <r>
    <x v="123"/>
    <s v="Pesos"/>
    <d v="2026-11-04T00:00:00"/>
    <s v="29/10/2026"/>
    <n v="0.99460462000000005"/>
    <m/>
    <n v="2000000"/>
    <n v="1989209.23"/>
    <n v="2000000"/>
    <n v="1989209.23"/>
    <n v="42"/>
    <s v="AMOMPY"/>
    <s v="Momentum Capital Investment S.A."/>
    <s v="13/08/2026"/>
    <s v="13/08/2026"/>
    <n v="33"/>
    <s v="No"/>
    <s v=""/>
    <m/>
    <m/>
    <s v="*MAV311001718"/>
    <s v="*MAV311001718"/>
    <n v="2.4345227106705418E-5"/>
  </r>
  <r>
    <x v="87"/>
    <s v="Pesos"/>
    <d v="2026-11-04T00:00:00"/>
    <s v="29/10/2026"/>
    <n v="0.99476728999999997"/>
    <m/>
    <n v="20000000"/>
    <n v="19895345.850000001"/>
    <n v="20000000"/>
    <n v="19895345.850000001"/>
    <n v="724"/>
    <s v="AMOMPY"/>
    <s v="Momentum Capital Investment S.A."/>
    <s v="21/09/2026"/>
    <s v="21/09/2026"/>
    <n v="32"/>
    <s v="No"/>
    <s v=""/>
    <m/>
    <m/>
    <s v="*MAV021101140"/>
    <s v="*MAV021101140"/>
    <n v="2.4349209011296371E-4"/>
  </r>
  <r>
    <x v="27"/>
    <s v="Pesos"/>
    <d v="2026-11-04T00:00:00"/>
    <s v="29/10/2026"/>
    <n v="0.99476730999999996"/>
    <m/>
    <n v="6000000"/>
    <n v="5968603.8399999999"/>
    <n v="6000000"/>
    <n v="5968603.8399999999"/>
    <n v="70158555"/>
    <s v="AMOMPY"/>
    <s v="Momentum Capital Investment S.A."/>
    <s v="02/10/2026"/>
    <s v="02/10/2026"/>
    <n v="32"/>
    <s v="No"/>
    <s v=""/>
    <m/>
    <m/>
    <s v="*MAV311002021"/>
    <s v="*MAV311002021"/>
    <n v="7.3047628074174003E-5"/>
  </r>
  <r>
    <x v="124"/>
    <s v="Pesos"/>
    <d v="2026-11-04T00:00:00"/>
    <s v="29/10/2026"/>
    <n v="0.99476730000000002"/>
    <m/>
    <n v="1000000"/>
    <n v="994767.3"/>
    <n v="1000000"/>
    <n v="994767.3"/>
    <n v="70161997"/>
    <s v="AMOMPY"/>
    <s v="Momentum Capital Investment S.A."/>
    <s v="02/10/2026"/>
    <s v="02/10/2026"/>
    <n v="32"/>
    <s v="No"/>
    <s v=""/>
    <m/>
    <m/>
    <s v="*MAV311002020"/>
    <s v="*MAV311002020"/>
    <n v="1.2174604597438029E-5"/>
  </r>
  <r>
    <x v="125"/>
    <s v="Pesos"/>
    <d v="2026-11-04T00:00:00"/>
    <s v="29/10/2026"/>
    <n v="0.99476730000000002"/>
    <m/>
    <n v="18485149.41"/>
    <n v="18388422.190000001"/>
    <n v="18485149.41"/>
    <n v="18388422.190000001"/>
    <n v="4478"/>
    <s v="AMOMPY"/>
    <s v="Momentum Capital Investment S.A."/>
    <s v="05/10/2026"/>
    <s v="05/10/2026"/>
    <n v="32"/>
    <s v="No"/>
    <s v=""/>
    <m/>
    <m/>
    <s v="*MAV311002023"/>
    <s v="*MAV311002023"/>
    <n v="2.2504938525221474E-4"/>
  </r>
  <r>
    <x v="126"/>
    <s v="Pesos"/>
    <d v="2026-11-04T00:00:00"/>
    <s v="29/10/2026"/>
    <n v="0.99476728999999997"/>
    <m/>
    <n v="363375.5"/>
    <n v="361474.06"/>
    <n v="363375.5"/>
    <n v="361474.06"/>
    <n v="304"/>
    <s v="AMOMPY"/>
    <s v="Momentum Capital Investment S.A."/>
    <s v="06/10/2026"/>
    <s v="06/10/2026"/>
    <n v="32"/>
    <s v="No"/>
    <s v=""/>
    <m/>
    <m/>
    <s v="*MAV011101362"/>
    <s v="*MAV011101362"/>
    <n v="4.4239529714442663E-6"/>
  </r>
  <r>
    <x v="127"/>
    <s v="Pesos"/>
    <d v="2026-11-04T00:00:00"/>
    <s v="29/10/2026"/>
    <n v="0.99476726000000004"/>
    <m/>
    <n v="17889421.149999999"/>
    <n v="17795810.370000001"/>
    <n v="17889421.149999999"/>
    <n v="17795810.370000001"/>
    <n v="90000933"/>
    <s v="AMOMPY"/>
    <s v="Momentum Capital Investment S.A."/>
    <s v="06/10/2026"/>
    <s v="06/10/2026"/>
    <n v="32"/>
    <s v="No"/>
    <s v=""/>
    <m/>
    <m/>
    <s v="*MAV311002042"/>
    <s v="*MAV311002042"/>
    <n v="2.1779661911457821E-4"/>
  </r>
  <r>
    <x v="128"/>
    <s v="Pesos"/>
    <d v="2026-11-04T00:00:00"/>
    <s v="29/10/2026"/>
    <n v="0.99509272000000004"/>
    <m/>
    <n v="628847.81000000006"/>
    <n v="625761.88"/>
    <n v="628847.81000000006"/>
    <n v="625761.88"/>
    <n v="70254173"/>
    <s v="AMOMPY"/>
    <s v="Momentum Capital Investment S.A."/>
    <s v="08/10/2026"/>
    <s v="08/10/2026"/>
    <n v="30"/>
    <s v="No"/>
    <s v=""/>
    <m/>
    <m/>
    <s v="*MAV311002075"/>
    <s v="*MAV311002075"/>
    <n v="7.6584779788694937E-6"/>
  </r>
  <r>
    <x v="128"/>
    <s v="Pesos"/>
    <d v="2026-11-04T00:00:00"/>
    <s v="29/10/2026"/>
    <n v="0.99509272000000004"/>
    <m/>
    <n v="628847.81000000006"/>
    <n v="625761.88"/>
    <n v="628847.81000000006"/>
    <n v="625761.88"/>
    <n v="70254172"/>
    <s v="AMOMPY"/>
    <s v="Momentum Capital Investment S.A."/>
    <s v="08/10/2026"/>
    <s v="08/10/2026"/>
    <n v="30"/>
    <s v="No"/>
    <s v=""/>
    <m/>
    <m/>
    <s v="*MAV311002076"/>
    <s v="*MAV311002076"/>
    <n v="7.6584779788694937E-6"/>
  </r>
  <r>
    <x v="128"/>
    <s v="Pesos"/>
    <d v="2026-11-04T00:00:00"/>
    <s v="29/10/2026"/>
    <n v="0.99509272000000004"/>
    <m/>
    <n v="628847.81000000006"/>
    <n v="625761.88"/>
    <n v="628847.81000000006"/>
    <n v="625761.88"/>
    <n v="70254174"/>
    <s v="AMOMPY"/>
    <s v="Momentum Capital Investment S.A."/>
    <s v="08/10/2026"/>
    <s v="08/10/2026"/>
    <n v="30"/>
    <s v="No"/>
    <s v=""/>
    <m/>
    <m/>
    <s v="*MAV311002077"/>
    <s v="*MAV311002077"/>
    <n v="7.6584779788694937E-6"/>
  </r>
  <r>
    <x v="129"/>
    <s v="Pesos"/>
    <d v="2026-11-04T00:00:00"/>
    <s v="29/10/2026"/>
    <n v="0.99509272999999998"/>
    <m/>
    <n v="7154381.25"/>
    <n v="7119272.79"/>
    <n v="7154381.25"/>
    <n v="7119272.79"/>
    <n v="169"/>
    <s v="AMOMPY"/>
    <s v="Momentum Capital Investment S.A."/>
    <s v="08/10/2026"/>
    <s v="08/10/2026"/>
    <n v="30"/>
    <s v="No"/>
    <s v=""/>
    <m/>
    <m/>
    <s v="*MAV311002082"/>
    <s v="*MAV311002082"/>
    <n v="8.7130257739221486E-5"/>
  </r>
  <r>
    <x v="130"/>
    <s v="Pesos"/>
    <d v="2026-11-04T00:00:00"/>
    <s v="29/10/2026"/>
    <n v="0.99493001000000003"/>
    <m/>
    <n v="8200000"/>
    <n v="8158426.0700000003"/>
    <n v="8200000"/>
    <n v="8158426.0700000003"/>
    <n v="69404088"/>
    <s v="AMOMPY"/>
    <s v="Momentum Capital Investment S.A."/>
    <s v="09/10/2026"/>
    <s v="09/10/2026"/>
    <n v="31"/>
    <s v="No"/>
    <s v=""/>
    <m/>
    <m/>
    <s v="*MAV311002093"/>
    <s v="*MAV311002093"/>
    <n v="9.9848086622550086E-5"/>
  </r>
  <r>
    <x v="131"/>
    <s v="Pesos"/>
    <d v="2026-11-04T00:00:00"/>
    <s v="29/10/2026"/>
    <n v="0.99493001000000003"/>
    <m/>
    <n v="6400000"/>
    <n v="6367552.0499999998"/>
    <n v="6400000"/>
    <n v="6367552.0499999998"/>
    <n v="69291400"/>
    <s v="AMOMPY"/>
    <s v="Momentum Capital Investment S.A."/>
    <s v="09/10/2026"/>
    <s v="09/10/2026"/>
    <n v="31"/>
    <s v="No"/>
    <s v=""/>
    <m/>
    <m/>
    <s v="*MAV011101401"/>
    <s v="*MAV011101401"/>
    <n v="7.7930213892591702E-5"/>
  </r>
  <r>
    <x v="132"/>
    <s v="Pesos"/>
    <d v="2026-11-04T00:00:00"/>
    <s v="29/10/2026"/>
    <n v="0.99493001000000003"/>
    <m/>
    <n v="8674593.4800000004"/>
    <n v="8630613.3599999994"/>
    <n v="8674593.4800000004"/>
    <n v="8630613.3599999994"/>
    <n v="1974942"/>
    <s v="AMOMPY"/>
    <s v="Momentum Capital Investment S.A."/>
    <s v="09/10/2026"/>
    <s v="09/10/2026"/>
    <n v="31"/>
    <s v="No"/>
    <s v=""/>
    <m/>
    <m/>
    <s v="*MAV311002092"/>
    <s v="*MAV311002092"/>
    <n v="1.056270195968103E-4"/>
  </r>
  <r>
    <x v="133"/>
    <s v="Pesos"/>
    <d v="2026-11-04T00:00:00"/>
    <s v="29/10/2026"/>
    <n v="0.99509274000000003"/>
    <m/>
    <n v="2776829.85"/>
    <n v="2763203.22"/>
    <n v="2776829.85"/>
    <n v="2763203.22"/>
    <n v="86"/>
    <s v="AMOMPY"/>
    <s v="Momentum Capital Investment S.A."/>
    <s v="15/10/2026"/>
    <s v="15/10/2026"/>
    <n v="30"/>
    <s v="No"/>
    <s v=""/>
    <m/>
    <m/>
    <s v="*MAV021101414"/>
    <s v="*MAV021101414"/>
    <n v="3.3817865369989105E-5"/>
  </r>
  <r>
    <x v="134"/>
    <s v="Pesos"/>
    <d v="2026-11-04T00:00:00"/>
    <s v="29/10/2026"/>
    <n v="0.99509274000000003"/>
    <m/>
    <n v="5000000"/>
    <n v="4975463.7"/>
    <n v="5000000"/>
    <n v="4975463.7"/>
    <n v="969"/>
    <s v="AMOMPY"/>
    <s v="Momentum Capital Investment S.A."/>
    <s v="15/10/2026"/>
    <s v="15/10/2026"/>
    <n v="30"/>
    <s v="No"/>
    <s v=""/>
    <m/>
    <m/>
    <s v="*MAV311002132"/>
    <s v="*MAV311002132"/>
    <n v="6.0892937711569356E-5"/>
  </r>
  <r>
    <x v="29"/>
    <s v="Pesos"/>
    <d v="2026-11-04T00:00:00"/>
    <s v="29/10/2026"/>
    <n v="0.99509270000000005"/>
    <m/>
    <n v="11000000"/>
    <n v="10946019.74"/>
    <n v="11000000"/>
    <n v="10946019.74"/>
    <n v="10679147"/>
    <s v="AMOMPY"/>
    <s v="Momentum Capital Investment S.A."/>
    <s v="14/08/2026"/>
    <s v="14/08/2026"/>
    <n v="30"/>
    <s v="No"/>
    <s v=""/>
    <m/>
    <m/>
    <s v="*MIL021100019"/>
    <s v="*MIL021100019"/>
    <n v="1.3396445806999427E-4"/>
  </r>
  <r>
    <x v="29"/>
    <s v="Pesos"/>
    <d v="2026-11-04T00:00:00"/>
    <s v="29/10/2026"/>
    <n v="0.99492994999999995"/>
    <m/>
    <n v="6000000"/>
    <n v="5969579.7000000002"/>
    <n v="6000000"/>
    <n v="5969579.7000000002"/>
    <n v="12299306"/>
    <s v="AMOMPY"/>
    <s v="Momentum Capital Investment S.A."/>
    <s v="07/09/2026"/>
    <s v="07/09/2026"/>
    <n v="31"/>
    <s v="No"/>
    <s v=""/>
    <m/>
    <m/>
    <s v="*MIL011100018"/>
    <s v="*MIL011100018"/>
    <n v="7.3059571279024486E-5"/>
  </r>
  <r>
    <x v="135"/>
    <s v="Pesos"/>
    <d v="2026-11-04T00:00:00"/>
    <s v="29/10/2026"/>
    <n v="0.99590725000000002"/>
    <m/>
    <n v="18000000"/>
    <n v="17926330.469999999"/>
    <n v="18000000"/>
    <n v="17926330.469999999"/>
    <n v="20569"/>
    <s v="AMOMPY"/>
    <s v="Momentum Capital Investment S.A."/>
    <s v="23/09/2026"/>
    <s v="23/09/2026"/>
    <n v="25"/>
    <s v="No"/>
    <s v=""/>
    <m/>
    <m/>
    <s v="*FTR311000020"/>
    <s v="*FTR311000020"/>
    <n v="2.1939400838292069E-4"/>
  </r>
  <r>
    <x v="136"/>
    <s v="Pesos"/>
    <d v="2026-11-04T00:00:00"/>
    <s v="29/10/2026"/>
    <n v="0.99509270000000005"/>
    <m/>
    <n v="2700000"/>
    <n v="2686750.29"/>
    <n v="2700000"/>
    <n v="2686750.29"/>
    <n v="6910"/>
    <s v="AMOMPY"/>
    <s v="Momentum Capital Investment S.A."/>
    <s v="11/09/2026"/>
    <s v="11/09/2026"/>
    <n v="30"/>
    <s v="No"/>
    <s v=""/>
    <m/>
    <m/>
    <s v="*MAV311001868"/>
    <s v="*MAV311001868"/>
    <n v="3.2882185042473709E-5"/>
  </r>
  <r>
    <x v="137"/>
    <s v="Dolar 3500"/>
    <d v="2026-11-04T00:00:00"/>
    <s v="29/10/2026"/>
    <n v="0.99868679999999999"/>
    <s v="1 US3 = 1539,5930209017 $"/>
    <n v="50000"/>
    <n v="49934.34"/>
    <n v="76979651.049999997"/>
    <n v="76878561.370000005"/>
    <n v="158025"/>
    <s v="AMOMPY"/>
    <s v="Momentum Capital Investment S.A."/>
    <s v="23/07/2026"/>
    <s v="23/07/2026"/>
    <n v="8"/>
    <s v="No"/>
    <s v=""/>
    <m/>
    <m/>
    <s v="#UMV011160007"/>
    <s v="#UMV011160007"/>
    <n v="9.4088947907678875E-4"/>
  </r>
  <r>
    <x v="138"/>
    <s v="Pesos"/>
    <d v="2026-11-04T00:00:00"/>
    <s v="29/10/2026"/>
    <n v="0.99590723000000003"/>
    <m/>
    <n v="695186.79"/>
    <n v="692341.55"/>
    <n v="695186.79"/>
    <n v="692341.55"/>
    <n v="40014794"/>
    <s v="AMOMPY"/>
    <s v="Momentum Capital Investment S.A."/>
    <s v="31/08/2026"/>
    <s v="31/08/2026"/>
    <n v="25"/>
    <s v="No"/>
    <s v=""/>
    <m/>
    <m/>
    <s v="*MAV021100935"/>
    <s v="*MAV021100935"/>
    <n v="8.4733229747573834E-6"/>
  </r>
  <r>
    <x v="49"/>
    <s v="Pesos"/>
    <d v="2026-11-04T00:00:00"/>
    <s v="29/10/2026"/>
    <n v="0.99395458999999997"/>
    <m/>
    <n v="25000000"/>
    <n v="24848864.84"/>
    <n v="25000000"/>
    <n v="24848864.84"/>
    <n v="2593"/>
    <s v="AMOMPY"/>
    <s v="Momentum Capital Investment S.A."/>
    <s v="07/08/2026"/>
    <s v="07/08/2026"/>
    <n v="37"/>
    <s v="No"/>
    <s v=""/>
    <m/>
    <m/>
    <s v="*MAV021100857"/>
    <s v="*MAV021100857"/>
    <n v="3.0411645429255686E-4"/>
  </r>
  <r>
    <x v="26"/>
    <s v="Pesos"/>
    <d v="2026-11-04T00:00:00"/>
    <s v="29/10/2026"/>
    <n v="0.99509270999999999"/>
    <m/>
    <n v="5000000"/>
    <n v="4975463.54"/>
    <n v="5000000"/>
    <n v="4975463.54"/>
    <n v="1199"/>
    <s v="AMOMPY"/>
    <s v="Momentum Capital Investment S.A."/>
    <s v="08/09/2026"/>
    <s v="08/09/2026"/>
    <n v="30"/>
    <s v="No"/>
    <s v=""/>
    <m/>
    <m/>
    <s v="*MAV021101040"/>
    <s v="*MAV021101040"/>
    <n v="6.0892935753386032E-5"/>
  </r>
  <r>
    <x v="26"/>
    <s v="Pesos"/>
    <d v="2026-11-04T00:00:00"/>
    <s v="29/10/2026"/>
    <n v="0.99509272000000004"/>
    <m/>
    <n v="5000000"/>
    <n v="4975463.62"/>
    <n v="5000000"/>
    <n v="4975463.62"/>
    <n v="1243"/>
    <s v="AMOMPY"/>
    <s v="Momentum Capital Investment S.A."/>
    <s v="17/09/2026"/>
    <s v="17/09/2026"/>
    <n v="30"/>
    <s v="No"/>
    <s v=""/>
    <m/>
    <m/>
    <s v="*MAV021101117"/>
    <s v="*MAV021101117"/>
    <n v="6.089293673247769E-5"/>
  </r>
  <r>
    <x v="26"/>
    <s v="Pesos"/>
    <d v="2026-11-04T00:00:00"/>
    <s v="29/10/2026"/>
    <n v="0.99476726000000004"/>
    <m/>
    <n v="3000000"/>
    <n v="2984301.79"/>
    <n v="3000000"/>
    <n v="2984301.79"/>
    <n v="1048"/>
    <s v="AMOMPY"/>
    <s v="Momentum Capital Investment S.A."/>
    <s v="25/08/2026"/>
    <s v="25/08/2026"/>
    <n v="32"/>
    <s v="No"/>
    <s v=""/>
    <m/>
    <m/>
    <s v="*MAV021100906"/>
    <s v="*MAV021100906"/>
    <n v="3.6523812446063051E-5"/>
  </r>
  <r>
    <x v="26"/>
    <s v="Pesos"/>
    <d v="2026-11-04T00:00:00"/>
    <s v="29/10/2026"/>
    <n v="0.99460462999999999"/>
    <m/>
    <n v="2500000"/>
    <n v="2486511.58"/>
    <n v="2500000"/>
    <n v="2486511.58"/>
    <n v="1014"/>
    <s v="AMOMPY"/>
    <s v="Momentum Capital Investment S.A."/>
    <s v="19/08/2026"/>
    <s v="19/08/2026"/>
    <n v="33"/>
    <s v="No"/>
    <s v=""/>
    <m/>
    <m/>
    <s v="*MAV021100886"/>
    <s v="*MAV021100886"/>
    <n v="3.0431534403524217E-5"/>
  </r>
  <r>
    <x v="51"/>
    <s v="Pesos"/>
    <d v="2026-11-04T00:00:00"/>
    <s v="29/10/2026"/>
    <n v="0.99476732000000001"/>
    <m/>
    <n v="50000000"/>
    <n v="49738366.25"/>
    <n v="50000000"/>
    <n v="49738366.25"/>
    <n v="21553"/>
    <s v="AMOMPY"/>
    <s v="Momentum Capital Investment S.A."/>
    <s v="19/10/2026"/>
    <s v="19/10/2026"/>
    <n v="32"/>
    <s v="No"/>
    <s v=""/>
    <m/>
    <m/>
    <s v="*MAV311002172"/>
    <s v="*MAV311002172"/>
    <n v="6.0873024517020861E-4"/>
  </r>
  <r>
    <x v="0"/>
    <s v="Pesos"/>
    <d v="2026-11-05T00:00:00"/>
    <s v="29/10/2026"/>
    <n v="0.99522836999999997"/>
    <m/>
    <n v="15000000"/>
    <n v="14928425.49"/>
    <n v="15000000"/>
    <n v="14928425.49"/>
    <n v="69911195"/>
    <s v="AMOMPY"/>
    <s v="Momentum Capital Investment S.A."/>
    <s v="23/09/2026"/>
    <s v="23/09/2026"/>
    <n v="25"/>
    <s v="No"/>
    <s v=""/>
    <m/>
    <m/>
    <s v="*TRD031100028"/>
    <s v="*TRD031100028"/>
    <n v="1.8270371131325392E-4"/>
  </r>
  <r>
    <x v="1"/>
    <s v="Pesos"/>
    <d v="2026-11-05T00:00:00"/>
    <s v="29/10/2026"/>
    <n v="0.99427949000000004"/>
    <m/>
    <n v="5568708.9100000001"/>
    <n v="5536853.04"/>
    <n v="5568708.9100000001"/>
    <n v="5536853.04"/>
    <n v="23042"/>
    <s v="AMOMPY"/>
    <s v="Momentum Capital Investment S.A."/>
    <s v="15/09/2026"/>
    <s v="15/09/2026"/>
    <n v="30"/>
    <s v="No"/>
    <s v=""/>
    <m/>
    <m/>
    <s v="*AFB031100008"/>
    <s v="*AFB031100008"/>
    <n v="6.7763582976765246E-5"/>
  </r>
  <r>
    <x v="1"/>
    <s v="Pesos"/>
    <d v="2026-11-05T00:00:00"/>
    <s v="29/10/2026"/>
    <n v="0.99484861999999996"/>
    <m/>
    <n v="2500000"/>
    <n v="2487121.56"/>
    <n v="2500000"/>
    <n v="2487121.56"/>
    <n v="69814628"/>
    <s v="AMOMPY"/>
    <s v="Momentum Capital Investment S.A."/>
    <s v="18/09/2026"/>
    <s v="18/09/2026"/>
    <n v="27"/>
    <s v="No"/>
    <s v=""/>
    <m/>
    <m/>
    <s v="*AFB031100009"/>
    <s v="*AFB031100009"/>
    <n v="3.0438999732664355E-5"/>
  </r>
  <r>
    <x v="2"/>
    <s v="Pesos"/>
    <d v="2026-11-05T00:00:00"/>
    <s v="29/10/2026"/>
    <n v="0.99314323999999998"/>
    <m/>
    <n v="3625698.78"/>
    <n v="3600838.22"/>
    <n v="3625698.78"/>
    <n v="3600838.22"/>
    <n v="3350"/>
    <s v="AMOMPY"/>
    <s v="Momentum Capital Investment S.A."/>
    <s v="28/08/2026"/>
    <s v="28/08/2026"/>
    <n v="36"/>
    <s v="No"/>
    <s v=""/>
    <m/>
    <m/>
    <s v="*MAV031101392"/>
    <s v="*MAV031101392"/>
    <n v="4.4069383410414245E-5"/>
  </r>
  <r>
    <x v="2"/>
    <s v="Pesos"/>
    <d v="2026-11-05T00:00:00"/>
    <s v="29/10/2026"/>
    <n v="0.99333245999999997"/>
    <m/>
    <n v="3256800.5"/>
    <n v="3235085.64"/>
    <n v="3256800.5"/>
    <n v="3235085.64"/>
    <n v="3578"/>
    <s v="AMOMPY"/>
    <s v="Momentum Capital Investment S.A."/>
    <s v="17/09/2026"/>
    <s v="17/09/2026"/>
    <n v="35"/>
    <s v="No"/>
    <s v=""/>
    <m/>
    <m/>
    <s v="*MAV031101518"/>
    <s v="*MAV031101518"/>
    <n v="3.9593067148316745E-5"/>
  </r>
  <r>
    <x v="2"/>
    <s v="Pesos"/>
    <d v="2026-11-05T00:00:00"/>
    <s v="29/10/2026"/>
    <n v="0.99352169999999995"/>
    <m/>
    <n v="1020845.65"/>
    <n v="1014232.31"/>
    <n v="1020845.65"/>
    <n v="1014232.31"/>
    <n v="2911"/>
    <s v="AMOMPY"/>
    <s v="Momentum Capital Investment S.A."/>
    <s v="16/07/2026"/>
    <s v="16/07/2026"/>
    <n v="34"/>
    <s v="No"/>
    <s v=""/>
    <m/>
    <m/>
    <s v="*MAV031101243"/>
    <s v="*MAV031101243"/>
    <n v="1.2412829959525401E-5"/>
  </r>
  <r>
    <x v="2"/>
    <s v="Pesos"/>
    <d v="2026-11-05T00:00:00"/>
    <s v="29/10/2026"/>
    <n v="0.99352169000000001"/>
    <m/>
    <n v="990902.64"/>
    <n v="984483.27"/>
    <n v="990902.64"/>
    <n v="984483.27"/>
    <n v="2961"/>
    <s v="AMOMPY"/>
    <s v="Momentum Capital Investment S.A."/>
    <s v="16/07/2026"/>
    <s v="16/07/2026"/>
    <n v="34"/>
    <s v="No"/>
    <s v=""/>
    <m/>
    <m/>
    <s v="*MAV031101242"/>
    <s v="*MAV031101242"/>
    <n v="1.2048741997292055E-5"/>
  </r>
  <r>
    <x v="3"/>
    <s v="Pesos"/>
    <d v="2026-11-05T00:00:00"/>
    <s v="29/10/2026"/>
    <n v="0.99503847000000001"/>
    <m/>
    <n v="10000000"/>
    <n v="9950384.6600000001"/>
    <n v="10000000"/>
    <n v="9950384.6600000001"/>
    <n v="22806"/>
    <s v="AMOMPY"/>
    <s v="Momentum Capital Investment S.A."/>
    <s v="28/09/2026"/>
    <s v="28/09/2026"/>
    <n v="26"/>
    <s v="No"/>
    <s v=""/>
    <m/>
    <m/>
    <s v="*MOV031100058"/>
    <s v="*MOV031100058"/>
    <n v="1.2177923302053942E-4"/>
  </r>
  <r>
    <x v="3"/>
    <s v="Pesos"/>
    <d v="2026-11-05T00:00:00"/>
    <s v="29/10/2026"/>
    <n v="0.99484859999999997"/>
    <m/>
    <n v="1000000"/>
    <n v="994848.6"/>
    <n v="1000000"/>
    <n v="994848.6"/>
    <n v="11485"/>
    <s v="AMOMPY"/>
    <s v="Momentum Capital Investment S.A."/>
    <s v="23/09/2026"/>
    <s v="23/09/2026"/>
    <n v="27"/>
    <s v="No"/>
    <s v=""/>
    <m/>
    <m/>
    <s v="*MOV031100057"/>
    <s v="*MOV031100057"/>
    <n v="1.2175599599338243E-5"/>
  </r>
  <r>
    <x v="3"/>
    <s v="Pesos"/>
    <d v="2026-11-05T00:00:00"/>
    <s v="29/10/2026"/>
    <n v="0.99465884999999998"/>
    <m/>
    <n v="1500000"/>
    <n v="1491988.28"/>
    <n v="1500000"/>
    <n v="1491988.28"/>
    <n v="14315893"/>
    <s v="AMOMPY"/>
    <s v="Momentum Capital Investment S.A."/>
    <s v="18/09/2026"/>
    <s v="18/09/2026"/>
    <n v="28"/>
    <s v="No"/>
    <s v=""/>
    <m/>
    <m/>
    <s v="*MOV031100056"/>
    <s v="*MOV031100056"/>
    <n v="1.8259916035651408E-5"/>
  </r>
  <r>
    <x v="139"/>
    <s v="Pesos"/>
    <d v="2026-11-05T00:00:00"/>
    <s v="29/10/2026"/>
    <n v="0.99390045000000005"/>
    <m/>
    <n v="4758168.4800000004"/>
    <n v="4729145.7699999996"/>
    <n v="4758168.4800000004"/>
    <n v="4729145.7699999996"/>
    <n v="90022875"/>
    <s v="AMOMPY"/>
    <s v="Momentum Capital Investment S.A."/>
    <s v="04/09/2026"/>
    <s v="04/09/2026"/>
    <n v="32"/>
    <s v="No"/>
    <s v=""/>
    <m/>
    <m/>
    <s v="*MAV031101429"/>
    <s v="*MAV031101429"/>
    <n v="5.7878339822184143E-5"/>
  </r>
  <r>
    <x v="32"/>
    <s v="Pesos"/>
    <d v="2026-11-05T00:00:00"/>
    <s v="29/10/2026"/>
    <n v="0.99371103000000005"/>
    <m/>
    <n v="5300000"/>
    <n v="5266668.4800000004"/>
    <n v="5300000"/>
    <n v="5266668.4800000004"/>
    <n v="8175674"/>
    <s v="AMOMPY"/>
    <s v="Momentum Capital Investment S.A."/>
    <s v="15/09/2026"/>
    <s v="15/09/2026"/>
    <n v="33"/>
    <s v="No"/>
    <s v=""/>
    <m/>
    <m/>
    <s v="*MAV031101490"/>
    <s v="*MAV031101490"/>
    <n v="6.4456889857346494E-5"/>
  </r>
  <r>
    <x v="6"/>
    <s v="Pesos"/>
    <d v="2026-11-05T00:00:00"/>
    <s v="29/10/2026"/>
    <n v="0.99465884000000004"/>
    <m/>
    <n v="782797.4"/>
    <n v="778616.35"/>
    <n v="782797.4"/>
    <n v="778616.35"/>
    <n v="9343011"/>
    <s v="AMOMPY"/>
    <s v="Momentum Capital Investment S.A."/>
    <s v="08/10/2026"/>
    <s v="08/10/2026"/>
    <n v="28"/>
    <s v="No"/>
    <s v=""/>
    <m/>
    <m/>
    <s v="*CRE031100145"/>
    <s v="*CRE031100145"/>
    <n v="9.5292096898947286E-6"/>
  </r>
  <r>
    <x v="55"/>
    <s v="Pesos"/>
    <d v="2026-11-05T00:00:00"/>
    <s v="29/10/2026"/>
    <n v="0.99484859999999997"/>
    <m/>
    <n v="15000000"/>
    <n v="14922728.99"/>
    <n v="15000000"/>
    <n v="14922728.99"/>
    <n v="236"/>
    <s v="AMOMPY"/>
    <s v="Momentum Capital Investment S.A."/>
    <s v="02/07/2026"/>
    <s v="02/07/2026"/>
    <n v="27"/>
    <s v="No"/>
    <s v=""/>
    <m/>
    <m/>
    <s v="*PRO031100021"/>
    <s v="*PRO031100021"/>
    <n v="1.826339938676872E-4"/>
  </r>
  <r>
    <x v="55"/>
    <s v="Pesos"/>
    <d v="2026-11-05T00:00:00"/>
    <s v="29/10/2026"/>
    <n v="0.99484859999999997"/>
    <m/>
    <n v="25000000"/>
    <n v="24871215.010000002"/>
    <n v="25000000"/>
    <n v="24871215.010000002"/>
    <n v="9508922"/>
    <s v="AMOMPY"/>
    <s v="Momentum Capital Investment S.A."/>
    <s v="13/07/2026"/>
    <s v="13/07/2026"/>
    <n v="27"/>
    <s v="No"/>
    <s v=""/>
    <m/>
    <m/>
    <s v="*PRO031100022"/>
    <s v="*PRO031100022"/>
    <n v="3.0438999010584254E-4"/>
  </r>
  <r>
    <x v="140"/>
    <s v="Pesos"/>
    <d v="2026-11-05T00:00:00"/>
    <s v="29/10/2026"/>
    <n v="0.99314325000000003"/>
    <m/>
    <n v="3140560.45"/>
    <n v="3119026.41"/>
    <n v="3140560.45"/>
    <n v="3119026.41"/>
    <n v="1114"/>
    <s v="AMOMPY"/>
    <s v="Momentum Capital Investment S.A."/>
    <s v="02/09/2026"/>
    <s v="02/09/2026"/>
    <n v="36"/>
    <s v="No"/>
    <s v=""/>
    <m/>
    <m/>
    <s v="*MAV031101415"/>
    <s v="*MAV031101415"/>
    <n v="3.8172659345272641E-5"/>
  </r>
  <r>
    <x v="140"/>
    <s v="Pesos"/>
    <d v="2026-11-05T00:00:00"/>
    <s v="29/10/2026"/>
    <n v="0.99314327999999996"/>
    <m/>
    <n v="3256800.5"/>
    <n v="3234469.53"/>
    <n v="3256800.5"/>
    <n v="3234469.53"/>
    <n v="1281"/>
    <s v="AMOMPY"/>
    <s v="Momentum Capital Investment S.A."/>
    <s v="22/09/2026"/>
    <s v="22/09/2026"/>
    <n v="36"/>
    <s v="No"/>
    <s v=""/>
    <m/>
    <m/>
    <s v="*MAV031101538"/>
    <s v="*MAV031101538"/>
    <n v="3.9585526796278103E-5"/>
  </r>
  <r>
    <x v="141"/>
    <s v="Pesos"/>
    <d v="2026-11-05T00:00:00"/>
    <s v="29/10/2026"/>
    <n v="0.99333256999999997"/>
    <m/>
    <n v="800000"/>
    <n v="794666.06"/>
    <n v="800000"/>
    <n v="794666.06"/>
    <n v="88189589"/>
    <s v="AMOMPY"/>
    <s v="Momentum Capital Investment S.A."/>
    <s v="21/10/2026"/>
    <s v="21/10/2026"/>
    <n v="35"/>
    <s v="No"/>
    <s v=""/>
    <m/>
    <m/>
    <s v="*MAV031101825"/>
    <s v="*MAV031101825"/>
    <n v="9.7256364051210414E-6"/>
  </r>
  <r>
    <x v="141"/>
    <s v="Pesos"/>
    <d v="2026-11-05T00:00:00"/>
    <s v="29/10/2026"/>
    <n v="0.99333256999999997"/>
    <m/>
    <n v="400000"/>
    <n v="397333.03"/>
    <n v="400000"/>
    <n v="397333.03"/>
    <n v="88205613"/>
    <s v="AMOMPY"/>
    <s v="Momentum Capital Investment S.A."/>
    <s v="21/10/2026"/>
    <s v="21/10/2026"/>
    <n v="35"/>
    <s v="No"/>
    <s v=""/>
    <m/>
    <m/>
    <s v="*MAV031101826"/>
    <s v="*MAV031101826"/>
    <n v="4.8628182025605207E-6"/>
  </r>
  <r>
    <x v="142"/>
    <s v="Pesos"/>
    <d v="2026-11-05T00:00:00"/>
    <s v="29/10/2026"/>
    <n v="0.99390045000000005"/>
    <m/>
    <n v="9915945.7599999998"/>
    <n v="9855462.9800000004"/>
    <n v="9915945.7599999998"/>
    <n v="9855462.9800000004"/>
    <n v="69407769"/>
    <s v="AMOMPY"/>
    <s v="Momentum Capital Investment S.A."/>
    <s v="01/09/2026"/>
    <s v="01/09/2026"/>
    <n v="32"/>
    <s v="No"/>
    <s v=""/>
    <m/>
    <m/>
    <s v="*MAV031101406"/>
    <s v="*MAV031101406"/>
    <n v="1.2061752020416061E-4"/>
  </r>
  <r>
    <x v="143"/>
    <s v="Pesos"/>
    <d v="2026-11-05T00:00:00"/>
    <s v="29/10/2026"/>
    <n v="0.99408993999999995"/>
    <m/>
    <n v="1598248"/>
    <n v="1588802.26"/>
    <n v="1598248"/>
    <n v="1588802.26"/>
    <n v="11999346"/>
    <s v="AMOMPY"/>
    <s v="Momentum Capital Investment S.A."/>
    <s v="02/09/2026"/>
    <s v="02/09/2026"/>
    <n v="31"/>
    <s v="No"/>
    <s v=""/>
    <m/>
    <m/>
    <s v="*MAV031101416"/>
    <s v="*MAV031101416"/>
    <n v="1.9444788041400166E-5"/>
  </r>
  <r>
    <x v="105"/>
    <s v="Pesos"/>
    <d v="2026-11-05T00:00:00"/>
    <s v="29/10/2026"/>
    <n v="0.99390047000000004"/>
    <m/>
    <n v="40000000"/>
    <n v="39756018.670000002"/>
    <n v="40000000"/>
    <n v="39756018.670000002"/>
    <n v="13953436"/>
    <s v="AMOMPY"/>
    <s v="Momentum Capital Investment S.A."/>
    <s v="22/07/2026"/>
    <s v="22/07/2026"/>
    <n v="32"/>
    <s v="No"/>
    <s v=""/>
    <m/>
    <m/>
    <s v="*MAV031101254"/>
    <s v="*MAV031101254"/>
    <n v="4.8655982929436274E-4"/>
  </r>
  <r>
    <x v="144"/>
    <s v="Pesos"/>
    <d v="2026-11-05T00:00:00"/>
    <s v="29/10/2026"/>
    <n v="0.99333245000000003"/>
    <m/>
    <n v="50000000"/>
    <n v="49666622.729999997"/>
    <n v="50000000"/>
    <n v="49666622.729999997"/>
    <n v="69489833"/>
    <s v="AMOMPY"/>
    <s v="Momentum Capital Investment S.A."/>
    <s v="03/09/2026"/>
    <s v="03/09/2026"/>
    <n v="35"/>
    <s v="No"/>
    <s v=""/>
    <m/>
    <m/>
    <s v="*MAV031101423"/>
    <s v="*MAV031101423"/>
    <n v="6.0785220164341755E-4"/>
  </r>
  <r>
    <x v="145"/>
    <s v="Pesos"/>
    <d v="2026-11-05T00:00:00"/>
    <s v="29/10/2026"/>
    <n v="0.99427960999999998"/>
    <m/>
    <n v="1879533.11"/>
    <n v="1868781.45"/>
    <n v="1879533.11"/>
    <n v="1868781.45"/>
    <n v="669"/>
    <s v="AMOMPY"/>
    <s v="Momentum Capital Investment S.A."/>
    <s v="21/10/2026"/>
    <s v="21/10/2026"/>
    <n v="30"/>
    <s v="No"/>
    <s v=""/>
    <m/>
    <m/>
    <s v="*MAV031101827"/>
    <s v="*MAV031101827"/>
    <n v="2.2871354167730386E-5"/>
  </r>
  <r>
    <x v="146"/>
    <s v="Pesos"/>
    <d v="2026-11-05T00:00:00"/>
    <s v="29/10/2026"/>
    <n v="0.99352169000000001"/>
    <m/>
    <n v="200000000"/>
    <n v="198704338.84"/>
    <n v="200000000"/>
    <n v="198704338.84"/>
    <n v="90004087"/>
    <s v="AMOMPY"/>
    <s v="Momentum Capital Investment S.A."/>
    <s v="24/08/2026"/>
    <s v="24/08/2026"/>
    <n v="34"/>
    <s v="No"/>
    <s v=""/>
    <m/>
    <m/>
    <s v="*MAV031101373"/>
    <s v="*MAV031101373"/>
    <n v="2.4318720138592691E-3"/>
  </r>
  <r>
    <x v="13"/>
    <s v="Pesos"/>
    <d v="2026-11-05T00:00:00"/>
    <s v="29/10/2026"/>
    <n v="0.99257609000000002"/>
    <m/>
    <n v="3750000"/>
    <n v="3722160.32"/>
    <n v="3750000"/>
    <n v="3722160.32"/>
    <n v="66918287"/>
    <s v="AMOMPY"/>
    <s v="Momentum Capital Investment S.A."/>
    <s v="13/05/2026"/>
    <s v="13/05/2026"/>
    <n v="39"/>
    <s v="No"/>
    <s v=""/>
    <m/>
    <m/>
    <s v="*MAV031101211"/>
    <s v="*MAV031101211"/>
    <n v="4.5554201615064546E-5"/>
  </r>
  <r>
    <x v="109"/>
    <s v="Pesos"/>
    <d v="2026-11-05T00:00:00"/>
    <s v="29/10/2026"/>
    <n v="0.99371103999999999"/>
    <m/>
    <n v="1300000"/>
    <n v="1291824.3500000001"/>
    <n v="1300000"/>
    <n v="1291824.3500000001"/>
    <n v="555"/>
    <s v="AMOMPY"/>
    <s v="Momentum Capital Investment S.A."/>
    <s v="01/09/2026"/>
    <s v="01/09/2026"/>
    <n v="33"/>
    <s v="No"/>
    <s v=""/>
    <m/>
    <m/>
    <s v="*MAV031101400"/>
    <s v="*MAV031101400"/>
    <n v="1.5810180602631784E-5"/>
  </r>
  <r>
    <x v="111"/>
    <s v="Pesos"/>
    <d v="2026-11-05T00:00:00"/>
    <s v="29/10/2026"/>
    <n v="0.99371105000000004"/>
    <m/>
    <n v="40000000"/>
    <n v="39748441.979999997"/>
    <n v="40000000"/>
    <n v="39748441.979999997"/>
    <n v="11405027"/>
    <s v="AMOMPY"/>
    <s v="Momentum Capital Investment S.A."/>
    <s v="09/09/2026"/>
    <s v="09/09/2026"/>
    <n v="33"/>
    <s v="No"/>
    <s v=""/>
    <m/>
    <m/>
    <s v="*MAV031101468"/>
    <s v="*MAV031101468"/>
    <n v="4.8646710086942612E-4"/>
  </r>
  <r>
    <x v="147"/>
    <s v="Pesos"/>
    <d v="2026-11-05T00:00:00"/>
    <s v="29/10/2026"/>
    <n v="0.99503847000000001"/>
    <m/>
    <n v="50000000"/>
    <n v="49751923.619999997"/>
    <n v="50000000"/>
    <n v="49751923.619999997"/>
    <n v="1372559"/>
    <s v="AMOMPY"/>
    <s v="Momentum Capital Investment S.A."/>
    <s v="25/09/2026"/>
    <s v="25/09/2026"/>
    <n v="26"/>
    <s v="No"/>
    <s v=""/>
    <m/>
    <m/>
    <s v="*ARP031100237"/>
    <s v="*ARP031100237"/>
    <n v="6.0889616901906366E-4"/>
  </r>
  <r>
    <x v="58"/>
    <s v="Pesos"/>
    <d v="2026-11-05T00:00:00"/>
    <s v="29/10/2026"/>
    <n v="0.99276509000000002"/>
    <m/>
    <n v="170000000"/>
    <n v="168770064.53999999"/>
    <n v="170000000"/>
    <n v="168770064.53999999"/>
    <n v="70406571"/>
    <s v="AMOMPY"/>
    <s v="Momentum Capital Investment S.A."/>
    <s v="10/09/2026"/>
    <s v="10/09/2026"/>
    <n v="38"/>
    <s v="No"/>
    <s v=""/>
    <m/>
    <m/>
    <s v="*MAV031101476"/>
    <s v="*MAV031101476"/>
    <n v="2.0655170346457878E-3"/>
  </r>
  <r>
    <x v="17"/>
    <s v="Pesos"/>
    <d v="2026-11-05T00:00:00"/>
    <s v="29/10/2026"/>
    <n v="0.99276505999999998"/>
    <m/>
    <n v="60000000"/>
    <n v="59565903.729999997"/>
    <n v="60000000"/>
    <n v="59565903.729999997"/>
    <n v="70393049"/>
    <s v="AMOMPY"/>
    <s v="Momentum Capital Investment S.A."/>
    <s v="01/09/2026"/>
    <s v="01/09/2026"/>
    <n v="38"/>
    <s v="No"/>
    <s v=""/>
    <m/>
    <m/>
    <s v="*MAV031101409"/>
    <s v="*MAV031101409"/>
    <n v="7.2900599507222342E-4"/>
  </r>
  <r>
    <x v="44"/>
    <s v="Pesos"/>
    <d v="2026-11-05T00:00:00"/>
    <s v="29/10/2026"/>
    <n v="0.99390045000000005"/>
    <m/>
    <n v="10000000"/>
    <n v="9939004.5399999991"/>
    <n v="10000000"/>
    <n v="9939004.5399999991"/>
    <n v="14422572"/>
    <s v="AMOMPY"/>
    <s v="Momentum Capital Investment S.A."/>
    <s v="01/09/2026"/>
    <s v="01/09/2026"/>
    <n v="32"/>
    <s v="No"/>
    <s v=""/>
    <m/>
    <m/>
    <s v="*MAV031101401"/>
    <s v="*MAV031101401"/>
    <n v="1.2163995576316333E-4"/>
  </r>
  <r>
    <x v="25"/>
    <s v="Pesos"/>
    <d v="2026-11-05T00:00:00"/>
    <s v="29/10/2026"/>
    <n v="0.99427949000000004"/>
    <m/>
    <n v="11923076.92"/>
    <n v="11854870.85"/>
    <n v="11923076.92"/>
    <n v="11854870.85"/>
    <n v="90021990"/>
    <s v="AMOMPY"/>
    <s v="Momentum Capital Investment S.A."/>
    <s v="11/05/2026"/>
    <s v="11/05/2026"/>
    <n v="30"/>
    <s v="No"/>
    <s v=""/>
    <m/>
    <m/>
    <s v="*NEU031100019"/>
    <s v="*NEU031100019"/>
    <n v="1.4508756485305063E-4"/>
  </r>
  <r>
    <x v="26"/>
    <s v="Pesos"/>
    <d v="2026-11-05T00:00:00"/>
    <s v="29/10/2026"/>
    <n v="0.99427953999999996"/>
    <m/>
    <n v="6000000"/>
    <n v="5965677.25"/>
    <n v="6000000"/>
    <n v="5965677.25"/>
    <n v="1364"/>
    <s v="AMOMPY"/>
    <s v="Momentum Capital Investment S.A."/>
    <s v="06/10/2026"/>
    <s v="06/10/2026"/>
    <n v="30"/>
    <s v="No"/>
    <s v=""/>
    <m/>
    <m/>
    <s v="*MAV031101679"/>
    <s v="*MAV031101679"/>
    <n v="7.301181057588187E-5"/>
  </r>
  <r>
    <x v="26"/>
    <s v="Pesos"/>
    <d v="2026-11-05T00:00:00"/>
    <s v="29/10/2026"/>
    <n v="0.99427949000000004"/>
    <m/>
    <n v="5000000"/>
    <n v="4971397.46"/>
    <n v="5000000"/>
    <n v="4971397.46"/>
    <n v="1367"/>
    <s v="AMOMPY"/>
    <s v="Momentum Capital Investment S.A."/>
    <s v="07/10/2026"/>
    <s v="07/10/2026"/>
    <n v="30"/>
    <s v="No"/>
    <s v=""/>
    <m/>
    <m/>
    <s v="*MAV031101699"/>
    <s v="*MAV031101699"/>
    <n v="6.0843172440637859E-5"/>
  </r>
  <r>
    <x v="26"/>
    <s v="Pesos"/>
    <d v="2026-11-05T00:00:00"/>
    <s v="29/10/2026"/>
    <n v="0.99427953000000002"/>
    <m/>
    <n v="4500000"/>
    <n v="4474257.9000000004"/>
    <n v="4500000"/>
    <n v="4474257.9000000004"/>
    <n v="1265"/>
    <s v="AMOMPY"/>
    <s v="Momentum Capital Investment S.A."/>
    <s v="22/09/2026"/>
    <s v="22/09/2026"/>
    <n v="30"/>
    <s v="No"/>
    <s v=""/>
    <m/>
    <m/>
    <s v="*MAV031101536"/>
    <s v="*MAV031101536"/>
    <n v="5.4758857472962189E-5"/>
  </r>
  <r>
    <x v="26"/>
    <s v="Pesos"/>
    <d v="2026-11-05T00:00:00"/>
    <s v="29/10/2026"/>
    <n v="0.99427949999999998"/>
    <m/>
    <n v="5000000"/>
    <n v="4971397.49"/>
    <n v="5000000"/>
    <n v="4971397.49"/>
    <n v="1290"/>
    <s v="AMOMPY"/>
    <s v="Momentum Capital Investment S.A."/>
    <s v="23/09/2026"/>
    <s v="23/09/2026"/>
    <n v="30"/>
    <s v="No"/>
    <s v=""/>
    <m/>
    <m/>
    <s v="*MAV031101547"/>
    <s v="*MAV031101547"/>
    <n v="6.084317280779724E-5"/>
  </r>
  <r>
    <x v="26"/>
    <s v="Pesos"/>
    <d v="2026-11-05T00:00:00"/>
    <s v="29/10/2026"/>
    <n v="0.99427953000000002"/>
    <m/>
    <n v="5000000"/>
    <n v="4971397.67"/>
    <n v="5000000"/>
    <n v="4971397.67"/>
    <n v="1308"/>
    <s v="AMOMPY"/>
    <s v="Momentum Capital Investment S.A."/>
    <s v="29/09/2026"/>
    <s v="29/09/2026"/>
    <n v="30"/>
    <s v="No"/>
    <s v=""/>
    <m/>
    <m/>
    <s v="*MAV031101575"/>
    <s v="*MAV031101575"/>
    <n v="6.0843175010753468E-5"/>
  </r>
  <r>
    <x v="87"/>
    <s v="Pesos"/>
    <d v="2026-11-05T00:00:00"/>
    <s v="29/10/2026"/>
    <n v="0.99390047999999998"/>
    <m/>
    <n v="20000000"/>
    <n v="19878009.600000001"/>
    <n v="20000000"/>
    <n v="19878009.600000001"/>
    <n v="727"/>
    <s v="AMOMPY"/>
    <s v="Momentum Capital Investment S.A."/>
    <s v="21/09/2026"/>
    <s v="21/09/2026"/>
    <n v="32"/>
    <s v="No"/>
    <s v=""/>
    <m/>
    <m/>
    <s v="*MAV031101530"/>
    <s v="*MAV031101530"/>
    <n v="2.432799178904225E-4"/>
  </r>
  <r>
    <x v="148"/>
    <s v="Pesos"/>
    <d v="2026-11-05T00:00:00"/>
    <s v="29/10/2026"/>
    <n v="0.99408998000000004"/>
    <m/>
    <n v="18626000"/>
    <n v="18515919.949999999"/>
    <n v="18626000"/>
    <n v="18515919.949999999"/>
    <n v="2405"/>
    <s v="AMOMPY"/>
    <s v="Momentum Capital Investment S.A."/>
    <s v="09/10/2026"/>
    <s v="09/10/2026"/>
    <n v="31"/>
    <s v="No"/>
    <s v=""/>
    <m/>
    <m/>
    <s v="*MAV031101743"/>
    <s v="*MAV031101743"/>
    <n v="2.2660978517193367E-4"/>
  </r>
  <r>
    <x v="29"/>
    <s v="Pesos"/>
    <d v="2026-11-05T00:00:00"/>
    <s v="29/10/2026"/>
    <n v="0.99465882000000005"/>
    <m/>
    <n v="60000000"/>
    <n v="59679529.43"/>
    <n v="60000000"/>
    <n v="59679529.43"/>
    <n v="99"/>
    <s v="AMOMPY"/>
    <s v="Momentum Capital Investment S.A."/>
    <s v="16/07/2026"/>
    <s v="16/07/2026"/>
    <n v="28"/>
    <s v="No"/>
    <s v=""/>
    <m/>
    <m/>
    <s v="*MIL031100026"/>
    <s v="*MIL031100026"/>
    <n v="7.3039661976365339E-4"/>
  </r>
  <r>
    <x v="61"/>
    <s v="Pesos"/>
    <d v="2026-11-05T00:00:00"/>
    <s v="29/10/2026"/>
    <n v="0.99390045999999999"/>
    <m/>
    <n v="475000000"/>
    <n v="472102718.41000003"/>
    <n v="475000000"/>
    <n v="472102718.41000003"/>
    <n v="1281"/>
    <s v="AMOMPY"/>
    <s v="Momentum Capital Investment S.A."/>
    <s v="16/09/2026"/>
    <s v="16/09/2026"/>
    <n v="32"/>
    <s v="No"/>
    <s v=""/>
    <m/>
    <m/>
    <s v="*MAV031101509"/>
    <s v="*MAV031101509"/>
    <n v="5.777897932528921E-3"/>
  </r>
  <r>
    <x v="49"/>
    <s v="Pesos"/>
    <d v="2026-11-05T00:00:00"/>
    <s v="29/10/2026"/>
    <n v="0.99295412000000005"/>
    <m/>
    <n v="20000000"/>
    <n v="19859082.329999998"/>
    <n v="20000000"/>
    <n v="19859082.329999998"/>
    <n v="2594"/>
    <s v="AMOMPY"/>
    <s v="Momentum Capital Investment S.A."/>
    <s v="07/08/2026"/>
    <s v="07/08/2026"/>
    <n v="37"/>
    <s v="No"/>
    <s v=""/>
    <m/>
    <m/>
    <s v="*MAV031101304"/>
    <s v="*MAV031101304"/>
    <n v="2.4304827373770559E-4"/>
  </r>
  <r>
    <x v="26"/>
    <s v="Pesos"/>
    <d v="2026-11-05T00:00:00"/>
    <s v="29/10/2026"/>
    <n v="0.99427949999999998"/>
    <m/>
    <n v="5000000"/>
    <n v="4971397.5199999996"/>
    <n v="5000000"/>
    <n v="4971397.5199999996"/>
    <n v="1206"/>
    <s v="AMOMPY"/>
    <s v="Momentum Capital Investment S.A."/>
    <s v="09/09/2026"/>
    <s v="09/09/2026"/>
    <n v="30"/>
    <s v="No"/>
    <s v=""/>
    <m/>
    <m/>
    <s v="*MAV031101462"/>
    <s v="*MAV031101462"/>
    <n v="6.08431731749566E-5"/>
  </r>
  <r>
    <x v="26"/>
    <s v="Pesos"/>
    <d v="2026-11-05T00:00:00"/>
    <s v="29/10/2026"/>
    <n v="0.99390045000000005"/>
    <m/>
    <n v="3000000"/>
    <n v="2981701.36"/>
    <n v="3000000"/>
    <n v="2981701.36"/>
    <n v="1049"/>
    <s v="AMOMPY"/>
    <s v="Momentum Capital Investment S.A."/>
    <s v="25/08/2026"/>
    <s v="25/08/2026"/>
    <n v="32"/>
    <s v="No"/>
    <s v=""/>
    <m/>
    <m/>
    <s v="*MAV031101377"/>
    <s v="*MAV031101377"/>
    <n v="3.6491986704471709E-5"/>
  </r>
  <r>
    <x v="26"/>
    <s v="Pesos"/>
    <d v="2026-11-05T00:00:00"/>
    <s v="29/10/2026"/>
    <n v="0.99371105000000004"/>
    <m/>
    <n v="2500000"/>
    <n v="2484277.63"/>
    <n v="2500000"/>
    <n v="2484277.63"/>
    <n v="1011"/>
    <s v="AMOMPY"/>
    <s v="Momentum Capital Investment S.A."/>
    <s v="19/08/2026"/>
    <s v="19/08/2026"/>
    <n v="33"/>
    <s v="No"/>
    <s v=""/>
    <m/>
    <m/>
    <s v="*MAV031101354"/>
    <s v="*MAV031101354"/>
    <n v="3.040419388083067E-5"/>
  </r>
  <r>
    <x v="2"/>
    <s v="Pesos"/>
    <d v="2026-11-09T00:00:00"/>
    <s v="29/10/2026"/>
    <n v="0.98926712999999999"/>
    <m/>
    <n v="3625698.78"/>
    <n v="3586784.62"/>
    <n v="3625698.78"/>
    <n v="3586784.62"/>
    <n v="3351"/>
    <s v="AMOMPY"/>
    <s v="Momentum Capital Investment S.A."/>
    <s v="28/08/2026"/>
    <s v="28/08/2026"/>
    <n v="36"/>
    <s v="No"/>
    <s v=""/>
    <m/>
    <m/>
    <s v="*MAV041101251"/>
    <s v="*MAV041101251"/>
    <n v="4.389738637837413E-5"/>
  </r>
  <r>
    <x v="2"/>
    <s v="Pesos"/>
    <d v="2026-11-09T00:00:00"/>
    <s v="29/10/2026"/>
    <n v="0.98926714999999998"/>
    <m/>
    <n v="2510000.36"/>
    <n v="2483060.9"/>
    <n v="2510000.36"/>
    <n v="2483060.9"/>
    <n v="3159"/>
    <s v="AMOMPY"/>
    <s v="Momentum Capital Investment S.A."/>
    <s v="19/08/2026"/>
    <s v="19/08/2026"/>
    <n v="36"/>
    <s v="No"/>
    <s v=""/>
    <m/>
    <m/>
    <s v="*MAV041101208"/>
    <s v="*MAV041101208"/>
    <n v="3.0389302753376199E-5"/>
  </r>
  <r>
    <x v="2"/>
    <s v="Pesos"/>
    <d v="2026-11-09T00:00:00"/>
    <s v="29/10/2026"/>
    <n v="0.98956217999999996"/>
    <m/>
    <n v="1555000.5"/>
    <n v="1538769.69"/>
    <n v="1555000.5"/>
    <n v="1538769.69"/>
    <n v="3579"/>
    <s v="AMOMPY"/>
    <s v="Momentum Capital Investment S.A."/>
    <s v="17/09/2026"/>
    <s v="17/09/2026"/>
    <n v="35"/>
    <s v="No"/>
    <s v=""/>
    <m/>
    <m/>
    <s v="*MAV041101398"/>
    <s v="*MAV041101398"/>
    <n v="1.8832457140752707E-5"/>
  </r>
  <r>
    <x v="2"/>
    <s v="Pesos"/>
    <d v="2026-11-09T00:00:00"/>
    <s v="29/10/2026"/>
    <n v="0.98956217999999996"/>
    <m/>
    <n v="1250300.6499999999"/>
    <n v="1237250.24"/>
    <n v="1250300.6499999999"/>
    <n v="1237250.24"/>
    <n v="3580"/>
    <s v="AMOMPY"/>
    <s v="Momentum Capital Investment S.A."/>
    <s v="17/09/2026"/>
    <s v="17/09/2026"/>
    <n v="35"/>
    <s v="No"/>
    <s v=""/>
    <m/>
    <m/>
    <s v="*MAV041101397"/>
    <s v="*MAV041101397"/>
    <n v="1.5142267402723535E-5"/>
  </r>
  <r>
    <x v="2"/>
    <s v="Pesos"/>
    <d v="2026-11-09T00:00:00"/>
    <s v="29/10/2026"/>
    <n v="0.99015273000000004"/>
    <m/>
    <n v="2502550.36"/>
    <n v="2477907.08"/>
    <n v="2502550.36"/>
    <n v="2477907.08"/>
    <n v="3134"/>
    <s v="AMOMPY"/>
    <s v="Momentum Capital Investment S.A."/>
    <s v="27/07/2026"/>
    <s v="27/07/2026"/>
    <n v="33"/>
    <s v="No"/>
    <s v=""/>
    <m/>
    <m/>
    <s v="*MAV041101148"/>
    <s v="*MAV041101148"/>
    <n v="3.0326226976090027E-5"/>
  </r>
  <r>
    <x v="2"/>
    <s v="Pesos"/>
    <d v="2026-11-09T00:00:00"/>
    <s v="29/10/2026"/>
    <n v="0.99015273000000004"/>
    <m/>
    <n v="2502550.36"/>
    <n v="2477907.08"/>
    <n v="2502550.36"/>
    <n v="2477907.08"/>
    <n v="3144"/>
    <s v="AMOMPY"/>
    <s v="Momentum Capital Investment S.A."/>
    <s v="27/07/2026"/>
    <s v="27/07/2026"/>
    <n v="33"/>
    <s v="No"/>
    <s v=""/>
    <m/>
    <m/>
    <s v="*MAV041101149"/>
    <s v="*MAV041101149"/>
    <n v="3.0326226976090027E-5"/>
  </r>
  <r>
    <x v="2"/>
    <s v="Pesos"/>
    <d v="2026-11-09T00:00:00"/>
    <s v="29/10/2026"/>
    <n v="0.99015273000000004"/>
    <m/>
    <n v="2250000"/>
    <n v="2227843.65"/>
    <n v="2250000"/>
    <n v="2227843.65"/>
    <n v="3059"/>
    <s v="AMOMPY"/>
    <s v="Momentum Capital Investment S.A."/>
    <s v="27/07/2026"/>
    <s v="27/07/2026"/>
    <n v="33"/>
    <s v="No"/>
    <s v=""/>
    <m/>
    <m/>
    <s v="*MAV041101150"/>
    <s v="*MAV041101150"/>
    <n v="2.7265789239014106E-5"/>
  </r>
  <r>
    <x v="2"/>
    <s v="Pesos"/>
    <d v="2026-11-09T00:00:00"/>
    <s v="29/10/2026"/>
    <n v="0.98985738000000001"/>
    <m/>
    <n v="990902.64"/>
    <n v="980852.29"/>
    <n v="990902.64"/>
    <n v="980852.29"/>
    <n v="2962"/>
    <s v="AMOMPY"/>
    <s v="Momentum Capital Investment S.A."/>
    <s v="16/07/2026"/>
    <s v="16/07/2026"/>
    <n v="34"/>
    <s v="No"/>
    <s v=""/>
    <m/>
    <m/>
    <s v="*MAV041101132"/>
    <s v="*MAV041101132"/>
    <n v="1.2004303719313672E-5"/>
  </r>
  <r>
    <x v="2"/>
    <s v="Pesos"/>
    <d v="2026-11-09T00:00:00"/>
    <s v="29/10/2026"/>
    <n v="0.98985734999999997"/>
    <m/>
    <n v="1020845.65"/>
    <n v="1010491.57"/>
    <n v="1020845.65"/>
    <n v="1010491.57"/>
    <n v="2912"/>
    <s v="AMOMPY"/>
    <s v="Momentum Capital Investment S.A."/>
    <s v="16/07/2026"/>
    <s v="16/07/2026"/>
    <n v="34"/>
    <s v="No"/>
    <s v=""/>
    <m/>
    <m/>
    <s v="*MAV041101131"/>
    <s v="*MAV041101131"/>
    <n v="1.2367048367788497E-5"/>
  </r>
  <r>
    <x v="54"/>
    <s v="Pesos"/>
    <d v="2026-11-09T00:00:00"/>
    <s v="29/10/2026"/>
    <n v="0.99163228000000003"/>
    <m/>
    <n v="7000000"/>
    <n v="6941425.9800000004"/>
    <n v="7000000"/>
    <n v="6941425.9800000004"/>
    <n v="6489"/>
    <s v="AMOMPY"/>
    <s v="Momentum Capital Investment S.A."/>
    <s v="17/09/2026"/>
    <s v="17/09/2026"/>
    <n v="28"/>
    <s v="No"/>
    <s v=""/>
    <m/>
    <m/>
    <s v="*INP041100056"/>
    <s v="*INP041100056"/>
    <n v="8.4953653632245223E-5"/>
  </r>
  <r>
    <x v="3"/>
    <s v="Pesos"/>
    <d v="2026-11-09T00:00:00"/>
    <s v="29/10/2026"/>
    <n v="0.99222533999999996"/>
    <m/>
    <n v="10000000"/>
    <n v="9922253.3699999992"/>
    <n v="10000000"/>
    <n v="9922253.3699999992"/>
    <n v="22807"/>
    <s v="AMOMPY"/>
    <s v="Momentum Capital Investment S.A."/>
    <s v="28/09/2026"/>
    <s v="28/09/2026"/>
    <n v="26"/>
    <s v="No"/>
    <s v=""/>
    <m/>
    <m/>
    <s v="*MOV041100073"/>
    <s v="*MOV041100073"/>
    <n v="1.2143494412748283E-4"/>
  </r>
  <r>
    <x v="3"/>
    <s v="Pesos"/>
    <d v="2026-11-09T00:00:00"/>
    <s v="29/10/2026"/>
    <n v="0.9919287"/>
    <m/>
    <n v="1000000"/>
    <n v="991928.7"/>
    <n v="1000000"/>
    <n v="991928.7"/>
    <n v="11486"/>
    <s v="AMOMPY"/>
    <s v="Momentum Capital Investment S.A."/>
    <s v="23/09/2026"/>
    <s v="23/09/2026"/>
    <n v="27"/>
    <s v="No"/>
    <s v=""/>
    <m/>
    <m/>
    <s v="*MOV041100071"/>
    <s v="*MOV041100071"/>
    <n v="1.2139863977586241E-5"/>
  </r>
  <r>
    <x v="149"/>
    <s v="Pesos"/>
    <d v="2026-11-09T00:00:00"/>
    <s v="29/10/2026"/>
    <n v="0.99074404999999999"/>
    <m/>
    <n v="1756706.4"/>
    <n v="1740446.41"/>
    <n v="1756706.4"/>
    <n v="1740446.41"/>
    <n v="501"/>
    <s v="AMOMPY"/>
    <s v="Momentum Capital Investment S.A."/>
    <s v="07/09/2026"/>
    <s v="07/09/2026"/>
    <n v="31"/>
    <s v="No"/>
    <s v=""/>
    <m/>
    <m/>
    <s v="*MAV041101292"/>
    <s v="*MAV041101292"/>
    <n v="2.1300707074690244E-5"/>
  </r>
  <r>
    <x v="32"/>
    <s v="Pesos"/>
    <d v="2026-11-09T00:00:00"/>
    <s v="29/10/2026"/>
    <n v="0.99015279"/>
    <m/>
    <n v="5300000"/>
    <n v="5247809.7699999996"/>
    <n v="5300000"/>
    <n v="5247809.7699999996"/>
    <n v="8175675"/>
    <s v="AMOMPY"/>
    <s v="Momentum Capital Investment S.A."/>
    <s v="15/09/2026"/>
    <s v="15/09/2026"/>
    <n v="33"/>
    <s v="No"/>
    <s v=""/>
    <m/>
    <m/>
    <s v="*MAV041101372"/>
    <s v="*MAV041101372"/>
    <n v="6.4226084786182854E-5"/>
  </r>
  <r>
    <x v="140"/>
    <s v="Pesos"/>
    <d v="2026-11-09T00:00:00"/>
    <s v="29/10/2026"/>
    <n v="0.98926714999999998"/>
    <m/>
    <n v="3140560.45"/>
    <n v="3106853.29"/>
    <n v="3140560.45"/>
    <n v="3106853.29"/>
    <n v="1115"/>
    <s v="AMOMPY"/>
    <s v="Momentum Capital Investment S.A."/>
    <s v="02/09/2026"/>
    <s v="02/09/2026"/>
    <n v="36"/>
    <s v="No"/>
    <s v=""/>
    <m/>
    <m/>
    <s v="*MAV041101266"/>
    <s v="*MAV041101266"/>
    <n v="3.8023676841809601E-5"/>
  </r>
  <r>
    <x v="140"/>
    <s v="Pesos"/>
    <d v="2026-11-09T00:00:00"/>
    <s v="29/10/2026"/>
    <n v="0.98926720999999995"/>
    <m/>
    <n v="1555000.5"/>
    <n v="1538311"/>
    <n v="1555000.5"/>
    <n v="1538311"/>
    <n v="1283"/>
    <s v="AMOMPY"/>
    <s v="Momentum Capital Investment S.A."/>
    <s v="22/09/2026"/>
    <s v="22/09/2026"/>
    <n v="36"/>
    <s v="No"/>
    <s v=""/>
    <m/>
    <m/>
    <s v="*MAV041101434"/>
    <s v="*MAV041101434"/>
    <n v="1.8826843396329466E-5"/>
  </r>
  <r>
    <x v="140"/>
    <s v="Pesos"/>
    <d v="2026-11-09T00:00:00"/>
    <s v="29/10/2026"/>
    <n v="0.98926718999999996"/>
    <m/>
    <n v="1250300.6499999999"/>
    <n v="1236881.4099999999"/>
    <n v="1250300.6499999999"/>
    <n v="1236881.4099999999"/>
    <n v="1282"/>
    <s v="AMOMPY"/>
    <s v="Momentum Capital Investment S.A."/>
    <s v="22/09/2026"/>
    <s v="22/09/2026"/>
    <n v="36"/>
    <s v="No"/>
    <s v=""/>
    <m/>
    <m/>
    <s v="*MAV041101435"/>
    <s v="*MAV041101435"/>
    <n v="1.5137753423008205E-5"/>
  </r>
  <r>
    <x v="150"/>
    <s v="Pesos"/>
    <d v="2026-11-09T00:00:00"/>
    <s v="29/10/2026"/>
    <n v="0.99044829000000001"/>
    <m/>
    <n v="105000000"/>
    <n v="103997070.5"/>
    <n v="105000000"/>
    <n v="103997070.5"/>
    <n v="322"/>
    <s v="AMOMPY"/>
    <s v="Momentum Capital Investment S.A."/>
    <s v="18/08/2026"/>
    <s v="18/08/2026"/>
    <n v="32"/>
    <s v="No"/>
    <s v=""/>
    <m/>
    <m/>
    <s v="*MAV041101202"/>
    <s v="*MAV041101202"/>
    <n v="1.2727833058338233E-3"/>
  </r>
  <r>
    <x v="151"/>
    <s v="Pesos"/>
    <d v="2026-11-09T00:00:00"/>
    <s v="29/10/2026"/>
    <n v="0.99044832999999999"/>
    <m/>
    <n v="13000000"/>
    <n v="12875828.25"/>
    <n v="13000000"/>
    <n v="12875828.25"/>
    <n v="1306"/>
    <s v="AMOMPY"/>
    <s v="Momentum Capital Investment S.A."/>
    <s v="04/09/2026"/>
    <s v="04/09/2026"/>
    <n v="32"/>
    <s v="No"/>
    <s v=""/>
    <m/>
    <m/>
    <s v="*MAV041101282"/>
    <s v="*MAV041101282"/>
    <n v="1.575827008067841E-4"/>
  </r>
  <r>
    <x v="105"/>
    <s v="Pesos"/>
    <d v="2026-11-09T00:00:00"/>
    <s v="29/10/2026"/>
    <n v="0.99044831"/>
    <m/>
    <n v="40000000"/>
    <n v="39617932.270000003"/>
    <n v="40000000"/>
    <n v="39617932.270000003"/>
    <n v="13953437"/>
    <s v="AMOMPY"/>
    <s v="Momentum Capital Investment S.A."/>
    <s v="22/07/2026"/>
    <s v="22/07/2026"/>
    <n v="32"/>
    <s v="No"/>
    <s v=""/>
    <m/>
    <m/>
    <s v="*MAV041101144"/>
    <s v="*MAV041101144"/>
    <n v="4.8486983876061312E-4"/>
  </r>
  <r>
    <x v="146"/>
    <s v="Pesos"/>
    <d v="2026-11-09T00:00:00"/>
    <s v="29/10/2026"/>
    <n v="0.98985736999999996"/>
    <m/>
    <n v="200000000"/>
    <n v="197971474.84"/>
    <n v="200000000"/>
    <n v="197971474.84"/>
    <n v="90004098"/>
    <s v="AMOMPY"/>
    <s v="Momentum Capital Investment S.A."/>
    <s v="26/08/2026"/>
    <s v="26/08/2026"/>
    <n v="34"/>
    <s v="No"/>
    <s v=""/>
    <m/>
    <m/>
    <s v="*MAV041101241"/>
    <s v="*MAV041101241"/>
    <n v="2.4229027509736711E-3"/>
  </r>
  <r>
    <x v="13"/>
    <s v="Pesos"/>
    <d v="2026-11-09T00:00:00"/>
    <s v="29/10/2026"/>
    <n v="0.98985736000000002"/>
    <m/>
    <n v="6200000"/>
    <n v="6137115.6399999997"/>
    <n v="6200000"/>
    <n v="6137115.6399999997"/>
    <n v="69261919"/>
    <s v="AMOMPY"/>
    <s v="Momentum Capital Investment S.A."/>
    <s v="25/08/2026"/>
    <s v="25/08/2026"/>
    <n v="34"/>
    <s v="No"/>
    <s v=""/>
    <m/>
    <m/>
    <s v="*MAV041101230"/>
    <s v="*MAV041101230"/>
    <n v="7.5109984300602588E-5"/>
  </r>
  <r>
    <x v="152"/>
    <s v="Pesos"/>
    <d v="2026-11-09T00:00:00"/>
    <s v="29/10/2026"/>
    <n v="0.98926716000000003"/>
    <m/>
    <n v="1555000.5"/>
    <n v="1538310.93"/>
    <n v="1555000.5"/>
    <n v="1538310.93"/>
    <n v="503"/>
    <s v="AMOMPY"/>
    <s v="Momentum Capital Investment S.A."/>
    <s v="19/08/2026"/>
    <s v="19/08/2026"/>
    <n v="36"/>
    <s v="No"/>
    <s v=""/>
    <m/>
    <m/>
    <s v="*MAV041101207"/>
    <s v="*MAV041101207"/>
    <n v="1.8826842539624259E-5"/>
  </r>
  <r>
    <x v="109"/>
    <s v="Pesos"/>
    <d v="2026-11-09T00:00:00"/>
    <s v="29/10/2026"/>
    <n v="0.99015273999999998"/>
    <m/>
    <n v="1300000"/>
    <n v="1287198.56"/>
    <n v="1300000"/>
    <n v="1287198.56"/>
    <n v="556"/>
    <s v="AMOMPY"/>
    <s v="Momentum Capital Investment S.A."/>
    <s v="01/09/2026"/>
    <s v="01/09/2026"/>
    <n v="33"/>
    <s v="No"/>
    <s v=""/>
    <m/>
    <m/>
    <s v="*MAV041101258"/>
    <s v="*MAV041101258"/>
    <n v="1.575356719746579E-5"/>
  </r>
  <r>
    <x v="153"/>
    <s v="Pesos"/>
    <d v="2026-11-09T00:00:00"/>
    <s v="29/10/2026"/>
    <n v="0.99015279"/>
    <m/>
    <n v="1936748.66"/>
    <n v="1917677.09"/>
    <n v="1936748.66"/>
    <n v="1917677.09"/>
    <n v="69517547"/>
    <s v="AMOMPY"/>
    <s v="Momentum Capital Investment S.A."/>
    <s v="15/09/2026"/>
    <s v="15/09/2026"/>
    <n v="33"/>
    <s v="No"/>
    <s v=""/>
    <m/>
    <m/>
    <s v="*MAV041101371"/>
    <s v="*MAV041101371"/>
    <n v="2.346977058485495E-5"/>
  </r>
  <r>
    <x v="147"/>
    <s v="Pesos"/>
    <d v="2026-11-09T00:00:00"/>
    <s v="29/10/2026"/>
    <n v="0.99222535000000001"/>
    <m/>
    <n v="150000000"/>
    <n v="148833801.78"/>
    <n v="150000000"/>
    <n v="148833801.78"/>
    <n v="1372557"/>
    <s v="AMOMPY"/>
    <s v="Momentum Capital Investment S.A."/>
    <s v="25/09/2026"/>
    <s v="25/09/2026"/>
    <n v="26"/>
    <s v="No"/>
    <s v=""/>
    <m/>
    <m/>
    <s v="*ARP041100244"/>
    <s v="*ARP041100244"/>
    <n v="1.821524176965777E-3"/>
  </r>
  <r>
    <x v="85"/>
    <s v="Pesos"/>
    <d v="2026-11-09T00:00:00"/>
    <s v="29/10/2026"/>
    <n v="0.99252209999999996"/>
    <m/>
    <n v="12000000"/>
    <n v="11910265.23"/>
    <n v="12000000"/>
    <n v="11910265.23"/>
    <n v="34561"/>
    <s v="AMOMPY"/>
    <s v="Momentum Capital Investment S.A."/>
    <s v="31/07/2026"/>
    <s v="31/07/2026"/>
    <n v="25"/>
    <s v="No"/>
    <s v=""/>
    <m/>
    <m/>
    <s v="*MAV041101160"/>
    <s v="*MAV041101160"/>
    <n v="1.4576551704691571E-4"/>
  </r>
  <r>
    <x v="44"/>
    <s v="Pesos"/>
    <d v="2026-11-09T00:00:00"/>
    <s v="29/10/2026"/>
    <n v="0.99015275999999997"/>
    <m/>
    <n v="25000000"/>
    <n v="24753819.059999999"/>
    <n v="25000000"/>
    <n v="24753819.059999999"/>
    <n v="14422667"/>
    <s v="AMOMPY"/>
    <s v="Momentum Capital Investment S.A."/>
    <s v="03/09/2026"/>
    <s v="03/09/2026"/>
    <n v="33"/>
    <s v="No"/>
    <s v=""/>
    <m/>
    <m/>
    <s v="*MAV041101273"/>
    <s v="*MAV041101273"/>
    <n v="3.0295322266023932E-4"/>
  </r>
  <r>
    <x v="154"/>
    <s v="Pesos"/>
    <d v="2026-11-09T00:00:00"/>
    <s v="29/10/2026"/>
    <n v="0.99015277000000002"/>
    <m/>
    <n v="7954930.75"/>
    <n v="7876596.6799999997"/>
    <n v="7954930.75"/>
    <n v="7876596.6799999997"/>
    <n v="9"/>
    <s v="AMOMPY"/>
    <s v="Momentum Capital Investment S.A."/>
    <s v="06/08/2026"/>
    <s v="06/08/2026"/>
    <n v="33"/>
    <s v="No"/>
    <s v=""/>
    <m/>
    <m/>
    <s v="*MAV041101170"/>
    <s v="*MAV041101170"/>
    <n v="9.6398876553836373E-5"/>
  </r>
  <r>
    <x v="62"/>
    <s v="Pesos"/>
    <d v="2026-11-09T00:00:00"/>
    <s v="29/10/2026"/>
    <n v="0.99044829000000001"/>
    <m/>
    <n v="50000000"/>
    <n v="49522414.630000003"/>
    <n v="50000000"/>
    <n v="49522414.630000003"/>
    <n v="5358"/>
    <s v="AMOMPY"/>
    <s v="Momentum Capital Investment S.A."/>
    <s v="16/09/2026"/>
    <s v="16/09/2026"/>
    <n v="32"/>
    <s v="No"/>
    <s v=""/>
    <m/>
    <m/>
    <s v="*MAV041101388"/>
    <s v="*MAV041101388"/>
    <n v="6.0608728979192456E-4"/>
  </r>
  <r>
    <x v="155"/>
    <s v="Pesos"/>
    <d v="2026-11-09T00:00:00"/>
    <s v="29/10/2026"/>
    <n v="0.99015275000000003"/>
    <m/>
    <n v="85000000"/>
    <n v="84162983.459999993"/>
    <n v="85000000"/>
    <n v="84162983.459999993"/>
    <n v="68458957"/>
    <s v="AMOMPY"/>
    <s v="Momentum Capital Investment S.A."/>
    <s v="21/07/2026"/>
    <s v="21/07/2026"/>
    <n v="33"/>
    <s v="No"/>
    <s v=""/>
    <m/>
    <m/>
    <s v="*MAV041101142"/>
    <s v="*MAV041101142"/>
    <n v="1.0300409405960738E-3"/>
  </r>
  <r>
    <x v="26"/>
    <s v="Pesos"/>
    <d v="2026-11-09T00:00:00"/>
    <s v="29/10/2026"/>
    <n v="0.99103996999999999"/>
    <m/>
    <n v="4500000"/>
    <n v="4459679.8600000003"/>
    <n v="4500000"/>
    <n v="4459679.8600000003"/>
    <n v="1289"/>
    <s v="AMOMPY"/>
    <s v="Momentum Capital Investment S.A."/>
    <s v="22/09/2026"/>
    <s v="22/09/2026"/>
    <n v="30"/>
    <s v="No"/>
    <s v=""/>
    <m/>
    <m/>
    <s v="*MAV041101433"/>
    <s v="*MAV041101433"/>
    <n v="5.4580442005540177E-5"/>
  </r>
  <r>
    <x v="156"/>
    <s v="Pesos"/>
    <d v="2026-11-09T00:00:00"/>
    <s v="29/10/2026"/>
    <n v="0.99103993000000001"/>
    <m/>
    <n v="75000000"/>
    <n v="74327994.549999997"/>
    <n v="75000000"/>
    <n v="74327994.549999997"/>
    <n v="341"/>
    <s v="AMOMPY"/>
    <s v="Momentum Capital Investment S.A."/>
    <s v="04/08/2026"/>
    <s v="04/08/2026"/>
    <n v="30"/>
    <s v="No"/>
    <s v=""/>
    <m/>
    <m/>
    <s v="*MAV041101167"/>
    <s v="*MAV041101167"/>
    <n v="9.0967399528189027E-4"/>
  </r>
  <r>
    <x v="91"/>
    <s v="Pesos"/>
    <d v="2026-11-09T00:00:00"/>
    <s v="29/10/2026"/>
    <n v="0.98867762999999997"/>
    <m/>
    <n v="43500000"/>
    <n v="43007476.990000002"/>
    <n v="43500000"/>
    <n v="43007476.990000002"/>
    <n v="163276"/>
    <s v="AMOMPY"/>
    <s v="Momentum Capital Investment S.A."/>
    <s v="02/09/2026"/>
    <s v="02/09/2026"/>
    <n v="38"/>
    <s v="No"/>
    <s v=""/>
    <m/>
    <m/>
    <s v="#MAV051160031"/>
    <s v="#MAV051160031"/>
    <n v="5.2635327587332659E-4"/>
  </r>
  <r>
    <x v="29"/>
    <s v="Pesos"/>
    <d v="2026-11-09T00:00:00"/>
    <s v="29/10/2026"/>
    <n v="0.99103991999999996"/>
    <m/>
    <n v="10000000"/>
    <n v="9910399.1799999997"/>
    <n v="10000000"/>
    <n v="9910399.1799999997"/>
    <n v="108"/>
    <s v="AMOMPY"/>
    <s v="Momentum Capital Investment S.A."/>
    <s v="14/08/2026"/>
    <s v="14/08/2026"/>
    <n v="30"/>
    <s v="No"/>
    <s v=""/>
    <m/>
    <m/>
    <s v="*MIL041100025"/>
    <s v="*MIL041100025"/>
    <n v="1.2128986489531177E-4"/>
  </r>
  <r>
    <x v="61"/>
    <s v="Pesos"/>
    <d v="2026-11-09T00:00:00"/>
    <s v="29/10/2026"/>
    <n v="0.99044829999999995"/>
    <m/>
    <n v="475000000"/>
    <n v="470462942.06999999"/>
    <n v="475000000"/>
    <n v="470462942.06999999"/>
    <n v="931"/>
    <s v="AMOMPY"/>
    <s v="Momentum Capital Investment S.A."/>
    <s v="14/07/2026"/>
    <s v="14/07/2026"/>
    <n v="32"/>
    <s v="No"/>
    <s v=""/>
    <m/>
    <m/>
    <s v="*MAV041101126"/>
    <s v="*MAV041101126"/>
    <n v="5.7578292907795045E-3"/>
  </r>
  <r>
    <x v="49"/>
    <s v="Pesos"/>
    <d v="2026-11-09T00:00:00"/>
    <s v="29/10/2026"/>
    <n v="0.98897228999999998"/>
    <m/>
    <n v="20000000"/>
    <n v="19779445.829999998"/>
    <n v="20000000"/>
    <n v="19779445.829999998"/>
    <n v="2595"/>
    <s v="AMOMPY"/>
    <s v="Momentum Capital Investment S.A."/>
    <s v="07/08/2026"/>
    <s v="07/08/2026"/>
    <n v="37"/>
    <s v="No"/>
    <s v=""/>
    <m/>
    <m/>
    <s v="*MAV041101177"/>
    <s v="*MAV041101177"/>
    <n v="2.4207363082471089E-4"/>
  </r>
  <r>
    <x v="26"/>
    <s v="Pesos"/>
    <d v="2026-11-09T00:00:00"/>
    <s v="29/10/2026"/>
    <n v="0.99103993000000001"/>
    <m/>
    <n v="5000000"/>
    <n v="4955199.6399999997"/>
    <n v="5000000"/>
    <n v="4955199.6399999997"/>
    <n v="1207"/>
    <s v="AMOMPY"/>
    <s v="Momentum Capital Investment S.A."/>
    <s v="09/09/2026"/>
    <s v="09/09/2026"/>
    <n v="30"/>
    <s v="No"/>
    <s v=""/>
    <m/>
    <m/>
    <s v="*MAV041101338"/>
    <s v="*MAV041101338"/>
    <n v="6.0644933059588168E-5"/>
  </r>
  <r>
    <x v="26"/>
    <s v="Pesos"/>
    <d v="2026-11-09T00:00:00"/>
    <s v="29/10/2026"/>
    <n v="0.99044829000000001"/>
    <m/>
    <n v="3000000"/>
    <n v="2971344.86"/>
    <n v="3000000"/>
    <n v="2971344.86"/>
    <n v="1050"/>
    <s v="AMOMPY"/>
    <s v="Momentum Capital Investment S.A."/>
    <s v="25/08/2026"/>
    <s v="25/08/2026"/>
    <n v="32"/>
    <s v="No"/>
    <s v=""/>
    <m/>
    <m/>
    <s v="*MAV041101231"/>
    <s v="*MAV041101231"/>
    <n v="3.6365237169667574E-5"/>
  </r>
  <r>
    <x v="26"/>
    <s v="Pesos"/>
    <d v="2026-11-09T00:00:00"/>
    <s v="29/10/2026"/>
    <n v="0.99015275000000003"/>
    <m/>
    <n v="2500000"/>
    <n v="2475381.88"/>
    <n v="2500000"/>
    <n v="2475381.88"/>
    <n v="1012"/>
    <s v="AMOMPY"/>
    <s v="Momentum Capital Investment S.A."/>
    <s v="19/08/2026"/>
    <s v="19/08/2026"/>
    <n v="33"/>
    <s v="No"/>
    <s v=""/>
    <m/>
    <m/>
    <s v="*MAV041101210"/>
    <s v="*MAV041101210"/>
    <n v="3.0295321947819143E-5"/>
  </r>
  <r>
    <x v="26"/>
    <s v="Pesos"/>
    <d v="2026-11-09T00:00:00"/>
    <s v="29/10/2026"/>
    <n v="0.99103995"/>
    <m/>
    <n v="2500000"/>
    <n v="2477599.88"/>
    <n v="2500000"/>
    <n v="2477599.88"/>
    <n v="897"/>
    <s v="AMOMPY"/>
    <s v="Momentum Capital Investment S.A."/>
    <s v="06/08/2026"/>
    <s v="06/08/2026"/>
    <n v="30"/>
    <s v="No"/>
    <s v=""/>
    <m/>
    <m/>
    <s v="*MAV041101171"/>
    <s v="*MAV041101171"/>
    <n v="3.0322467264112828E-5"/>
  </r>
  <r>
    <x v="2"/>
    <s v="Pesos"/>
    <d v="2026-11-10T00:00:00"/>
    <s v="29/10/2026"/>
    <n v="0.98830287000000006"/>
    <m/>
    <n v="3625698.78"/>
    <n v="3583288.51"/>
    <n v="3625698.78"/>
    <n v="3583288.51"/>
    <n v="3352"/>
    <s v="AMOMPY"/>
    <s v="Momentum Capital Investment S.A."/>
    <s v="28/08/2026"/>
    <s v="28/08/2026"/>
    <n v="36"/>
    <s v="No"/>
    <s v=""/>
    <m/>
    <m/>
    <s v="*MAV051101165"/>
    <s v="*MAV051101165"/>
    <n v="4.3854598726549273E-5"/>
  </r>
  <r>
    <x v="2"/>
    <s v="Pesos"/>
    <d v="2026-11-10T00:00:00"/>
    <s v="29/10/2026"/>
    <n v="0.98830284000000002"/>
    <m/>
    <n v="3789564.21"/>
    <n v="3745237.07"/>
    <n v="3789564.21"/>
    <n v="3745237.07"/>
    <n v="3272"/>
    <s v="AMOMPY"/>
    <s v="Momentum Capital Investment S.A."/>
    <s v="19/08/2026"/>
    <s v="19/08/2026"/>
    <n v="36"/>
    <s v="No"/>
    <s v=""/>
    <m/>
    <m/>
    <s v="*MAV051101111"/>
    <s v="*MAV051101111"/>
    <n v="4.5836629783585897E-5"/>
  </r>
  <r>
    <x v="2"/>
    <s v="Pesos"/>
    <d v="2026-11-10T00:00:00"/>
    <s v="29/10/2026"/>
    <n v="0.98830284000000002"/>
    <m/>
    <n v="2510000.36"/>
    <n v="2480640.48"/>
    <n v="2510000.36"/>
    <n v="2480640.48"/>
    <n v="3160"/>
    <s v="AMOMPY"/>
    <s v="Momentum Capital Investment S.A."/>
    <s v="19/08/2026"/>
    <s v="19/08/2026"/>
    <n v="36"/>
    <s v="No"/>
    <s v=""/>
    <m/>
    <m/>
    <s v="*MAV051101113"/>
    <s v="*MAV051101113"/>
    <n v="3.0359680090407955E-5"/>
  </r>
  <r>
    <x v="2"/>
    <s v="Pesos"/>
    <d v="2026-11-10T00:00:00"/>
    <s v="29/10/2026"/>
    <n v="0.98862406999999997"/>
    <m/>
    <n v="1250300.6499999999"/>
    <n v="1236077.32"/>
    <n v="1250300.6499999999"/>
    <n v="1236077.32"/>
    <n v="3582"/>
    <s v="AMOMPY"/>
    <s v="Momentum Capital Investment S.A."/>
    <s v="17/09/2026"/>
    <s v="17/09/2026"/>
    <n v="35"/>
    <s v="No"/>
    <s v=""/>
    <m/>
    <m/>
    <s v="*MAV051101329"/>
    <s v="*MAV051101329"/>
    <n v="1.512791245033977E-5"/>
  </r>
  <r>
    <x v="2"/>
    <s v="Pesos"/>
    <d v="2026-11-10T00:00:00"/>
    <s v="29/10/2026"/>
    <n v="0.98862408000000002"/>
    <m/>
    <n v="1555000.5"/>
    <n v="1537310.94"/>
    <n v="1555000.5"/>
    <n v="1537310.94"/>
    <n v="3581"/>
    <s v="AMOMPY"/>
    <s v="Momentum Capital Investment S.A."/>
    <s v="17/09/2026"/>
    <s v="16/09/2026"/>
    <n v="35"/>
    <s v="No"/>
    <s v=""/>
    <m/>
    <m/>
    <s v="*MAV051101328"/>
    <s v="*MAV051101328"/>
    <n v="1.8814604016251617E-5"/>
  </r>
  <r>
    <x v="2"/>
    <s v="Pesos"/>
    <d v="2026-11-10T00:00:00"/>
    <s v="29/10/2026"/>
    <n v="0.98926716999999997"/>
    <m/>
    <n v="2502550.36"/>
    <n v="2475690.92"/>
    <n v="2502550.36"/>
    <n v="2475690.92"/>
    <n v="3145"/>
    <s v="AMOMPY"/>
    <s v="Momentum Capital Investment S.A."/>
    <s v="27/07/2026"/>
    <s v="27/07/2026"/>
    <n v="33"/>
    <s v="No"/>
    <s v=""/>
    <m/>
    <m/>
    <s v="*MAV051101036"/>
    <s v="*MAV051101036"/>
    <n v="3.0299104178904536E-5"/>
  </r>
  <r>
    <x v="2"/>
    <s v="Pesos"/>
    <d v="2026-11-10T00:00:00"/>
    <s v="29/10/2026"/>
    <n v="0.98894552999999996"/>
    <m/>
    <n v="1020845.65"/>
    <n v="1009560.74"/>
    <n v="1020845.65"/>
    <n v="1009560.74"/>
    <n v="2913"/>
    <s v="AMOMPY"/>
    <s v="Momentum Capital Investment S.A."/>
    <s v="16/07/2026"/>
    <s v="16/07/2026"/>
    <n v="34"/>
    <s v="No"/>
    <s v=""/>
    <m/>
    <m/>
    <s v="*MAV051101016"/>
    <s v="*MAV051101016"/>
    <n v="1.2355656269156553E-5"/>
  </r>
  <r>
    <x v="2"/>
    <s v="Pesos"/>
    <d v="2026-11-10T00:00:00"/>
    <s v="29/10/2026"/>
    <n v="0.98894550999999997"/>
    <m/>
    <n v="990902.64"/>
    <n v="979948.72"/>
    <n v="990902.64"/>
    <n v="979948.72"/>
    <n v="2963"/>
    <s v="AMOMPY"/>
    <s v="Momentum Capital Investment S.A."/>
    <s v="16/07/2026"/>
    <s v="16/07/2026"/>
    <n v="34"/>
    <s v="No"/>
    <s v=""/>
    <m/>
    <m/>
    <s v="*MAV051101017"/>
    <s v="*MAV051101017"/>
    <n v="1.1993245246165119E-5"/>
  </r>
  <r>
    <x v="3"/>
    <s v="Pesos"/>
    <d v="2026-11-10T00:00:00"/>
    <s v="29/10/2026"/>
    <n v="0.99120145000000004"/>
    <m/>
    <n v="1000000"/>
    <n v="991201.45"/>
    <n v="1000000"/>
    <n v="991201.45"/>
    <n v="11487"/>
    <s v="AMOMPY"/>
    <s v="Momentum Capital Investment S.A."/>
    <s v="23/09/2026"/>
    <s v="23/09/2026"/>
    <n v="27"/>
    <s v="No"/>
    <s v=""/>
    <m/>
    <m/>
    <s v="*MOV051100074"/>
    <s v="*MOV051100074"/>
    <n v="1.2130963422457935E-5"/>
  </r>
  <r>
    <x v="32"/>
    <s v="Pesos"/>
    <d v="2026-11-10T00:00:00"/>
    <s v="29/10/2026"/>
    <n v="0.98926716999999997"/>
    <m/>
    <n v="5300000"/>
    <n v="5243116.0199999996"/>
    <n v="5300000"/>
    <n v="5243116.0199999996"/>
    <n v="8175676"/>
    <s v="AMOMPY"/>
    <s v="Momentum Capital Investment S.A."/>
    <s v="15/09/2026"/>
    <s v="15/09/2026"/>
    <n v="33"/>
    <s v="No"/>
    <s v=""/>
    <m/>
    <m/>
    <s v="*MAV051101300"/>
    <s v="*MAV051101300"/>
    <n v="6.4168639642651074E-5"/>
  </r>
  <r>
    <x v="157"/>
    <s v="Pesos"/>
    <d v="2026-11-10T00:00:00"/>
    <s v="29/10/2026"/>
    <n v="0.98926716999999997"/>
    <m/>
    <n v="5561000"/>
    <n v="5501314.7599999998"/>
    <n v="5561000"/>
    <n v="5501314.7599999998"/>
    <n v="14101158"/>
    <s v="AMOMPY"/>
    <s v="Momentum Capital Investment S.A."/>
    <s v="15/09/2026"/>
    <s v="15/09/2026"/>
    <n v="33"/>
    <s v="No"/>
    <s v=""/>
    <m/>
    <m/>
    <s v="*MAV051101301"/>
    <s v="*MAV051101301"/>
    <n v="6.7328642556957474E-5"/>
  </r>
  <r>
    <x v="140"/>
    <s v="Pesos"/>
    <d v="2026-11-10T00:00:00"/>
    <s v="29/10/2026"/>
    <n v="0.98830284000000002"/>
    <m/>
    <n v="3140560.45"/>
    <n v="3103824.8"/>
    <n v="3140560.45"/>
    <n v="3103824.8"/>
    <n v="1116"/>
    <s v="AMOMPY"/>
    <s v="Momentum Capital Investment S.A."/>
    <s v="02/09/2026"/>
    <s v="02/09/2026"/>
    <n v="36"/>
    <s v="No"/>
    <s v=""/>
    <m/>
    <m/>
    <s v="*MAV051101191"/>
    <s v="*MAV051101191"/>
    <n v="3.798661222551462E-5"/>
  </r>
  <r>
    <x v="140"/>
    <s v="Pesos"/>
    <d v="2026-11-10T00:00:00"/>
    <s v="29/10/2026"/>
    <n v="0.98830287000000006"/>
    <m/>
    <n v="1555000.5"/>
    <n v="1536811.46"/>
    <n v="1555000.5"/>
    <n v="1536811.46"/>
    <n v="1284"/>
    <s v="AMOMPY"/>
    <s v="Momentum Capital Investment S.A."/>
    <s v="22/09/2026"/>
    <s v="22/09/2026"/>
    <n v="36"/>
    <s v="No"/>
    <s v=""/>
    <m/>
    <m/>
    <s v="*MAV051101355"/>
    <s v="*MAV051101355"/>
    <n v="1.8808491057467862E-5"/>
  </r>
  <r>
    <x v="158"/>
    <s v="Pesos"/>
    <d v="2026-11-10T00:00:00"/>
    <s v="29/10/2026"/>
    <n v="0.99281907999999996"/>
    <m/>
    <n v="5300000"/>
    <n v="5261941.0999999996"/>
    <n v="5300000"/>
    <n v="5261941.0999999996"/>
    <n v="3"/>
    <s v="AMOMPY"/>
    <s v="Momentum Capital Investment S.A."/>
    <s v="05/08/2026"/>
    <s v="05/08/2026"/>
    <n v="22"/>
    <s v="No"/>
    <s v=""/>
    <m/>
    <m/>
    <s v="*MAV051101051"/>
    <s v="*MAV051101051"/>
    <n v="6.4399033128157828E-5"/>
  </r>
  <r>
    <x v="159"/>
    <s v="Pesos"/>
    <d v="2026-11-10T00:00:00"/>
    <s v="29/10/2026"/>
    <n v="0.98958902999999998"/>
    <m/>
    <n v="5082311.97"/>
    <n v="5029400.1500000004"/>
    <n v="5082311.97"/>
    <n v="5029400.1500000004"/>
    <n v="69012952"/>
    <s v="AMOMPY"/>
    <s v="Momentum Capital Investment S.A."/>
    <s v="25/08/2026"/>
    <s v="25/08/2026"/>
    <n v="32"/>
    <s v="No"/>
    <s v=""/>
    <m/>
    <m/>
    <s v="*MAV051101136"/>
    <s v="*MAV051101136"/>
    <n v="6.1553046816622856E-5"/>
  </r>
  <r>
    <x v="105"/>
    <s v="Pesos"/>
    <d v="2026-11-10T00:00:00"/>
    <s v="29/10/2026"/>
    <n v="0.98958900000000005"/>
    <m/>
    <n v="40000000"/>
    <n v="39583560.060000002"/>
    <n v="40000000"/>
    <n v="39583560.060000002"/>
    <n v="13953438"/>
    <s v="AMOMPY"/>
    <s v="Momentum Capital Investment S.A."/>
    <s v="22/07/2026"/>
    <s v="22/07/2026"/>
    <n v="32"/>
    <s v="No"/>
    <s v=""/>
    <m/>
    <m/>
    <s v="*MAV051101031"/>
    <s v="*MAV051101031"/>
    <n v="4.8444916945846567E-4"/>
  </r>
  <r>
    <x v="146"/>
    <s v="Pesos"/>
    <d v="2026-11-10T00:00:00"/>
    <s v="29/10/2026"/>
    <n v="0.98958902999999998"/>
    <m/>
    <n v="200000000"/>
    <n v="197917805.16"/>
    <n v="200000000"/>
    <n v="197917805.16"/>
    <n v="90004113"/>
    <s v="AMOMPY"/>
    <s v="Momentum Capital Investment S.A."/>
    <s v="01/09/2026"/>
    <s v="01/09/2026"/>
    <n v="32"/>
    <s v="No"/>
    <s v=""/>
    <m/>
    <m/>
    <s v="*MAV051101178"/>
    <s v="*MAV051101178"/>
    <n v="2.4222459067721465E-3"/>
  </r>
  <r>
    <x v="13"/>
    <s v="Pesos"/>
    <d v="2026-11-10T00:00:00"/>
    <s v="29/10/2026"/>
    <n v="0.98734042"/>
    <m/>
    <n v="3750000"/>
    <n v="3702526.56"/>
    <n v="3750000"/>
    <n v="3702526.56"/>
    <n v="66918815"/>
    <s v="AMOMPY"/>
    <s v="Momentum Capital Investment S.A."/>
    <s v="13/05/2026"/>
    <s v="13/05/2026"/>
    <n v="39"/>
    <s v="No"/>
    <s v=""/>
    <m/>
    <m/>
    <s v="*MAV051100975"/>
    <s v="*MAV051100975"/>
    <n v="4.531391098150533E-5"/>
  </r>
  <r>
    <x v="152"/>
    <s v="Pesos"/>
    <d v="2026-11-10T00:00:00"/>
    <s v="29/10/2026"/>
    <n v="0.98830284000000002"/>
    <m/>
    <n v="4213657.9800000004"/>
    <n v="4164370.15"/>
    <n v="4213657.9800000004"/>
    <n v="4164370.15"/>
    <n v="425"/>
    <s v="AMOMPY"/>
    <s v="Momentum Capital Investment S.A."/>
    <s v="19/08/2026"/>
    <s v="19/08/2026"/>
    <n v="36"/>
    <s v="No"/>
    <s v=""/>
    <m/>
    <m/>
    <s v="*MAV051101110"/>
    <s v="*MAV051101110"/>
    <n v="5.0966251075627126E-5"/>
  </r>
  <r>
    <x v="152"/>
    <s v="Pesos"/>
    <d v="2026-11-10T00:00:00"/>
    <s v="29/10/2026"/>
    <n v="0.98830282999999997"/>
    <m/>
    <n v="1555000.5"/>
    <n v="1536811.4"/>
    <n v="1555000.5"/>
    <n v="1536811.4"/>
    <n v="504"/>
    <s v="AMOMPY"/>
    <s v="Momentum Capital Investment S.A."/>
    <s v="19/08/2026"/>
    <s v="19/08/2026"/>
    <n v="36"/>
    <s v="No"/>
    <s v=""/>
    <m/>
    <m/>
    <s v="*MAV051101112"/>
    <s v="*MAV051101112"/>
    <n v="1.8808490323149114E-5"/>
  </r>
  <r>
    <x v="109"/>
    <s v="Pesos"/>
    <d v="2026-11-10T00:00:00"/>
    <s v="29/10/2026"/>
    <n v="0.98926718000000002"/>
    <m/>
    <n v="1300000"/>
    <n v="1286047.33"/>
    <n v="1300000"/>
    <n v="1286047.33"/>
    <n v="557"/>
    <s v="AMOMPY"/>
    <s v="Momentum Capital Investment S.A."/>
    <s v="01/09/2026"/>
    <s v="01/09/2026"/>
    <n v="33"/>
    <s v="No"/>
    <s v=""/>
    <m/>
    <m/>
    <s v="*MAV051101175"/>
    <s v="*MAV051101175"/>
    <n v="1.573947770130854E-5"/>
  </r>
  <r>
    <x v="17"/>
    <s v="Pesos"/>
    <d v="2026-11-10T00:00:00"/>
    <s v="29/10/2026"/>
    <n v="0.98766100999999995"/>
    <m/>
    <n v="60000000"/>
    <n v="59259660.5"/>
    <n v="60000000"/>
    <n v="59259660.5"/>
    <n v="70393050"/>
    <s v="AMOMPY"/>
    <s v="Momentum Capital Investment S.A."/>
    <s v="02/09/2026"/>
    <s v="02/09/2026"/>
    <n v="38"/>
    <s v="No"/>
    <s v=""/>
    <m/>
    <m/>
    <s v="*MAV051101193"/>
    <s v="*MAV051101193"/>
    <n v="7.2525799266413035E-4"/>
  </r>
  <r>
    <x v="17"/>
    <s v="Pesos"/>
    <d v="2026-11-10T00:00:00"/>
    <s v="29/10/2026"/>
    <n v="0.98766105000000004"/>
    <m/>
    <n v="25000000"/>
    <n v="24691526.129999999"/>
    <n v="25000000"/>
    <n v="24691526.129999999"/>
    <n v="70393074"/>
    <s v="AMOMPY"/>
    <s v="Momentum Capital Investment S.A."/>
    <s v="04/09/2026"/>
    <s v="04/09/2026"/>
    <n v="38"/>
    <s v="No"/>
    <s v=""/>
    <m/>
    <m/>
    <s v="*MAV051101203"/>
    <s v="*MAV051101203"/>
    <n v="3.021908415566728E-4"/>
  </r>
  <r>
    <x v="17"/>
    <s v="Pesos"/>
    <d v="2026-11-10T00:00:00"/>
    <s v="29/10/2026"/>
    <n v="0.98766105000000004"/>
    <m/>
    <n v="25000000"/>
    <n v="24691526.129999999"/>
    <n v="25000000"/>
    <n v="24691526.129999999"/>
    <n v="70393075"/>
    <s v="AMOMPY"/>
    <s v="Momentum Capital Investment S.A."/>
    <s v="04/09/2026"/>
    <s v="04/09/2026"/>
    <n v="38"/>
    <s v="No"/>
    <s v=""/>
    <m/>
    <m/>
    <s v="*MAV051101204"/>
    <s v="*MAV051101204"/>
    <n v="3.021908415566728E-4"/>
  </r>
  <r>
    <x v="17"/>
    <s v="Pesos"/>
    <d v="2026-11-10T00:00:00"/>
    <s v="29/10/2026"/>
    <n v="0.98766105000000004"/>
    <m/>
    <n v="25000000"/>
    <n v="24691526.129999999"/>
    <n v="25000000"/>
    <n v="24691526.129999999"/>
    <n v="70393076"/>
    <s v="AMOMPY"/>
    <s v="Momentum Capital Investment S.A."/>
    <s v="04/09/2026"/>
    <s v="04/09/2026"/>
    <n v="38"/>
    <s v="No"/>
    <s v=""/>
    <m/>
    <m/>
    <s v="*MAV051101205"/>
    <s v="*MAV051101205"/>
    <n v="3.021908415566728E-4"/>
  </r>
  <r>
    <x v="160"/>
    <s v="Pesos"/>
    <d v="2026-11-10T00:00:00"/>
    <s v="29/10/2026"/>
    <n v="0.98702000999999995"/>
    <m/>
    <n v="40000000"/>
    <n v="39480800.57"/>
    <n v="40000000"/>
    <n v="39480800.57"/>
    <n v="160531"/>
    <s v="AMOMPY"/>
    <s v="Momentum Capital Investment S.A."/>
    <s v="11/08/2026"/>
    <s v="11/08/2026"/>
    <n v="40"/>
    <s v="No"/>
    <s v=""/>
    <m/>
    <m/>
    <s v="#MAV091160021"/>
    <s v="#MAV091160021"/>
    <n v="4.831915324619697E-4"/>
  </r>
  <r>
    <x v="87"/>
    <s v="Pesos"/>
    <d v="2026-11-10T00:00:00"/>
    <s v="29/10/2026"/>
    <n v="0.98958900000000005"/>
    <m/>
    <n v="20000000"/>
    <n v="19791780.079999998"/>
    <n v="20000000"/>
    <n v="19791780.079999998"/>
    <n v="730"/>
    <s v="AMOMPY"/>
    <s v="Momentum Capital Investment S.A."/>
    <s v="21/09/2026"/>
    <s v="21/09/2026"/>
    <n v="32"/>
    <s v="No"/>
    <s v=""/>
    <m/>
    <m/>
    <s v="*MAV051101343"/>
    <s v="*MAV051101343"/>
    <n v="2.4222458534116508E-4"/>
  </r>
  <r>
    <x v="44"/>
    <s v="Pesos"/>
    <d v="2026-11-10T00:00:00"/>
    <s v="29/10/2026"/>
    <n v="0.98894552000000002"/>
    <m/>
    <n v="10000000"/>
    <n v="9889455.1999999993"/>
    <n v="10000000"/>
    <n v="9889455.1999999993"/>
    <n v="14284513"/>
    <s v="AMOMPY"/>
    <s v="Momentum Capital Investment S.A."/>
    <s v="24/08/2026"/>
    <s v="24/08/2026"/>
    <n v="34"/>
    <s v="No"/>
    <s v=""/>
    <m/>
    <m/>
    <s v="*MAV051101129"/>
    <s v="*MAV051101129"/>
    <n v="1.2103353894330604E-4"/>
  </r>
  <r>
    <x v="154"/>
    <s v="Pesos"/>
    <d v="2026-11-10T00:00:00"/>
    <s v="29/10/2026"/>
    <n v="0.98926716000000003"/>
    <m/>
    <n v="7954930.75"/>
    <n v="7869551.7300000004"/>
    <n v="7954930.75"/>
    <n v="7869551.7300000004"/>
    <n v="60"/>
    <s v="AMOMPY"/>
    <s v="Momentum Capital Investment S.A."/>
    <s v="06/08/2026"/>
    <s v="06/08/2026"/>
    <n v="33"/>
    <s v="No"/>
    <s v=""/>
    <m/>
    <m/>
    <s v="*MAV051101055"/>
    <s v="*MAV051101055"/>
    <n v="9.6312655906395788E-5"/>
  </r>
  <r>
    <x v="22"/>
    <s v="Pesos"/>
    <d v="2026-11-10T00:00:00"/>
    <s v="29/10/2026"/>
    <n v="0.98702005000000004"/>
    <m/>
    <n v="148000000"/>
    <n v="146078968.09999999"/>
    <n v="148000000"/>
    <n v="146078968.09999999"/>
    <n v="70408118"/>
    <s v="AMOMPY"/>
    <s v="Momentum Capital Investment S.A."/>
    <s v="11/09/2026"/>
    <s v="11/09/2026"/>
    <n v="40"/>
    <s v="No"/>
    <s v=""/>
    <m/>
    <m/>
    <s v="*MAV051101286"/>
    <s v="*MAV051101286"/>
    <n v="1.7878087434310146E-3"/>
  </r>
  <r>
    <x v="25"/>
    <s v="Pesos"/>
    <d v="2026-11-10T00:00:00"/>
    <s v="29/10/2026"/>
    <n v="0.99120142"/>
    <m/>
    <n v="2500000"/>
    <n v="2478003.54"/>
    <n v="2500000"/>
    <n v="2478003.54"/>
    <n v="53553933"/>
    <s v="AMOMPY"/>
    <s v="Momentum Capital Investment S.A."/>
    <s v="25/09/2026"/>
    <s v="25/09/2026"/>
    <n v="27"/>
    <s v="No"/>
    <s v=""/>
    <m/>
    <m/>
    <s v="*NEU051100034"/>
    <s v="*NEU051100034"/>
    <n v="3.0327407515859951E-5"/>
  </r>
  <r>
    <x v="26"/>
    <s v="Pesos"/>
    <d v="2026-11-10T00:00:00"/>
    <s v="29/10/2026"/>
    <n v="0.99023338000000005"/>
    <m/>
    <n v="5000000"/>
    <n v="4951166.88"/>
    <n v="5000000"/>
    <n v="4951166.88"/>
    <n v="1291"/>
    <s v="AMOMPY"/>
    <s v="Momentum Capital Investment S.A."/>
    <s v="23/09/2026"/>
    <s v="23/09/2026"/>
    <n v="30"/>
    <s v="No"/>
    <s v=""/>
    <m/>
    <m/>
    <s v="*MAV051101362"/>
    <s v="*MAV051101362"/>
    <n v="6.0595577538516697E-5"/>
  </r>
  <r>
    <x v="1"/>
    <s v="Pesos"/>
    <d v="2026-11-10T00:00:00"/>
    <s v="29/10/2026"/>
    <n v="0.99120143000000005"/>
    <m/>
    <n v="40000000"/>
    <n v="39648057.119999997"/>
    <n v="40000000"/>
    <n v="39648057.119999997"/>
    <n v="42634"/>
    <s v="AMOMPY"/>
    <s v="Momentum Capital Investment S.A."/>
    <s v="22/09/2026"/>
    <s v="22/09/2026"/>
    <n v="27"/>
    <s v="No"/>
    <s v=""/>
    <m/>
    <m/>
    <s v="*AFB051100015"/>
    <s v="*AFB051100015"/>
    <n v="4.8523852612830914E-4"/>
  </r>
  <r>
    <x v="29"/>
    <s v="Pesos"/>
    <d v="2026-11-10T00:00:00"/>
    <s v="29/10/2026"/>
    <n v="0.99023335000000001"/>
    <m/>
    <n v="10000000"/>
    <n v="9902333.5099999998"/>
    <n v="10000000"/>
    <n v="9902333.5099999998"/>
    <n v="68856195"/>
    <s v="AMOMPY"/>
    <s v="Momentum Capital Investment S.A."/>
    <s v="14/08/2026"/>
    <s v="14/08/2026"/>
    <n v="30"/>
    <s v="No"/>
    <s v=""/>
    <m/>
    <m/>
    <s v="*MIL051100025"/>
    <s v="*MIL051100025"/>
    <n v="1.2119115201737194E-4"/>
  </r>
  <r>
    <x v="29"/>
    <s v="Pesos"/>
    <d v="2026-11-10T00:00:00"/>
    <s v="29/10/2026"/>
    <n v="0.99023335000000001"/>
    <m/>
    <n v="3000000"/>
    <n v="2970700.06"/>
    <n v="3000000"/>
    <n v="2970700.06"/>
    <n v="12759460"/>
    <s v="AMOMPY"/>
    <s v="Momentum Capital Investment S.A."/>
    <s v="14/08/2026"/>
    <s v="14/08/2026"/>
    <n v="30"/>
    <s v="No"/>
    <s v=""/>
    <m/>
    <m/>
    <s v="*MIL051100026"/>
    <s v="*MIL051100026"/>
    <n v="3.6357345690882106E-5"/>
  </r>
  <r>
    <x v="136"/>
    <s v="Pesos"/>
    <d v="2026-11-10T00:00:00"/>
    <s v="29/10/2026"/>
    <n v="0.99023335000000001"/>
    <m/>
    <n v="2700000"/>
    <n v="2673630.04"/>
    <n v="2700000"/>
    <n v="2673630.04"/>
    <n v="6911"/>
    <s v="AMOMPY"/>
    <s v="Momentum Capital Investment S.A."/>
    <s v="11/09/2026"/>
    <s v="11/09/2026"/>
    <n v="30"/>
    <s v="No"/>
    <s v=""/>
    <m/>
    <m/>
    <s v="*MAV051101285"/>
    <s v="*MAV051101285"/>
    <n v="3.2721610950452854E-5"/>
  </r>
  <r>
    <x v="49"/>
    <s v="Pesos"/>
    <d v="2026-11-10T00:00:00"/>
    <s v="29/10/2026"/>
    <n v="0.98798185000000005"/>
    <m/>
    <n v="25000000"/>
    <n v="24699546.370000001"/>
    <n v="25000000"/>
    <n v="24699546.370000001"/>
    <n v="2596"/>
    <s v="AMOMPY"/>
    <s v="Momentum Capital Investment S.A."/>
    <s v="07/08/2026"/>
    <s v="07/08/2026"/>
    <n v="37"/>
    <s v="No"/>
    <s v=""/>
    <m/>
    <m/>
    <s v="*MAV051101060"/>
    <s v="*MAV051101060"/>
    <n v="3.0228899843293578E-4"/>
  </r>
  <r>
    <x v="26"/>
    <s v="Pesos"/>
    <d v="2026-11-10T00:00:00"/>
    <s v="29/10/2026"/>
    <n v="0.99023335000000001"/>
    <m/>
    <n v="5000000"/>
    <n v="4951166.7300000004"/>
    <n v="5000000"/>
    <n v="4951166.7300000004"/>
    <n v="1251"/>
    <s v="AMOMPY"/>
    <s v="Momentum Capital Investment S.A."/>
    <s v="18/09/2026"/>
    <s v="18/09/2026"/>
    <n v="30"/>
    <s v="No"/>
    <s v=""/>
    <m/>
    <m/>
    <s v="*MAV051101333"/>
    <s v="*MAV051101333"/>
    <n v="6.0595575702719836E-5"/>
  </r>
  <r>
    <x v="26"/>
    <s v="Pesos"/>
    <d v="2026-11-10T00:00:00"/>
    <s v="29/10/2026"/>
    <n v="0.99023333000000002"/>
    <m/>
    <n v="5000000"/>
    <n v="4951166.63"/>
    <n v="5000000"/>
    <n v="4951166.63"/>
    <n v="1244"/>
    <s v="AMOMPY"/>
    <s v="Momentum Capital Investment S.A."/>
    <s v="17/09/2026"/>
    <s v="17/09/2026"/>
    <n v="30"/>
    <s v="No"/>
    <s v=""/>
    <m/>
    <m/>
    <s v="*MAV051101325"/>
    <s v="*MAV051101325"/>
    <n v="6.0595574478855252E-5"/>
  </r>
  <r>
    <x v="26"/>
    <s v="Pesos"/>
    <d v="2026-11-10T00:00:00"/>
    <s v="29/10/2026"/>
    <n v="0.98958902000000004"/>
    <m/>
    <n v="3000000"/>
    <n v="2968767.07"/>
    <n v="3000000"/>
    <n v="2968767.07"/>
    <n v="1051"/>
    <s v="AMOMPY"/>
    <s v="Momentum Capital Investment S.A."/>
    <s v="25/08/2026"/>
    <s v="25/08/2026"/>
    <n v="32"/>
    <s v="No"/>
    <s v=""/>
    <m/>
    <m/>
    <s v="*MAV051101135"/>
    <s v="*MAV051101135"/>
    <n v="3.6333688511016218E-5"/>
  </r>
  <r>
    <x v="26"/>
    <s v="Pesos"/>
    <d v="2026-11-10T00:00:00"/>
    <s v="29/10/2026"/>
    <n v="0.98926714999999998"/>
    <m/>
    <n v="2500000"/>
    <n v="2473167.87"/>
    <n v="2500000"/>
    <n v="2473167.87"/>
    <n v="1013"/>
    <s v="AMOMPY"/>
    <s v="Momentum Capital Investment S.A."/>
    <s v="19/08/2026"/>
    <s v="19/08/2026"/>
    <n v="33"/>
    <s v="No"/>
    <s v=""/>
    <m/>
    <m/>
    <s v="*MAV051101116"/>
    <s v="*MAV051101116"/>
    <n v="3.0268225463722035E-5"/>
  </r>
  <r>
    <x v="26"/>
    <s v="Pesos"/>
    <d v="2026-11-10T00:00:00"/>
    <s v="29/10/2026"/>
    <n v="0.99023333999999996"/>
    <m/>
    <n v="2500000"/>
    <n v="2475583.34"/>
    <n v="2500000"/>
    <n v="2475583.34"/>
    <n v="898"/>
    <s v="AMOMPY"/>
    <s v="Momentum Capital Investment S.A."/>
    <s v="06/08/2026"/>
    <s v="06/08/2026"/>
    <n v="30"/>
    <s v="No"/>
    <s v=""/>
    <m/>
    <m/>
    <s v="*MAV051101057"/>
    <s v="*MAV051101057"/>
    <n v="3.0297787545393769E-5"/>
  </r>
  <r>
    <x v="161"/>
    <s v="Pesos"/>
    <d v="2026-11-10T00:00:00"/>
    <s v="29/10/2026"/>
    <n v="0.98926716000000003"/>
    <m/>
    <n v="16250000"/>
    <n v="16075591.4"/>
    <n v="16250000"/>
    <n v="16075591.4"/>
    <n v="70007274"/>
    <s v="AMOMPY"/>
    <s v="Momentum Capital Investment S.A."/>
    <s v="25/09/2026"/>
    <s v="25/09/2026"/>
    <n v="33"/>
    <s v="No"/>
    <s v=""/>
    <m/>
    <m/>
    <s v="*MAV041101469"/>
    <s v="*MAV041101469"/>
    <n v="1.9674346851266143E-4"/>
  </r>
  <r>
    <x v="162"/>
    <s v="Pesos"/>
    <d v="2026-11-11T00:00:00"/>
    <s v="29/10/2026"/>
    <n v="0.99082471000000005"/>
    <m/>
    <n v="13638775.050000001"/>
    <n v="13513635.359999999"/>
    <n v="13638775.050000001"/>
    <n v="13513635.359999999"/>
    <n v="90001961"/>
    <s v="AMOMPY"/>
    <s v="Momentum Capital Investment S.A."/>
    <s v="22/09/2026"/>
    <s v="22/09/2026"/>
    <n v="26"/>
    <s v="No"/>
    <s v=""/>
    <m/>
    <m/>
    <s v="*AAR071100017"/>
    <s v="*AAR071100017"/>
    <n v="1.6538859608871049E-4"/>
  </r>
  <r>
    <x v="162"/>
    <s v="Pesos"/>
    <d v="2026-11-11T00:00:00"/>
    <s v="29/10/2026"/>
    <n v="0.98734040999999995"/>
    <m/>
    <n v="8560000"/>
    <n v="8451633.9299999997"/>
    <n v="8560000"/>
    <n v="8451633.9299999997"/>
    <n v="13054211"/>
    <s v="AMOMPY"/>
    <s v="Momentum Capital Investment S.A."/>
    <s v="22/04/2026"/>
    <s v="22/04/2026"/>
    <n v="36"/>
    <s v="No"/>
    <s v=""/>
    <m/>
    <m/>
    <s v="*AAR091100027"/>
    <s v="*AAR091100027"/>
    <n v="1.0343655375487436E-4"/>
  </r>
  <r>
    <x v="1"/>
    <s v="Pesos"/>
    <d v="2026-11-11T00:00:00"/>
    <s v="29/10/2026"/>
    <n v="0.98942805"/>
    <m/>
    <n v="12008751.93"/>
    <n v="11881796.029999999"/>
    <n v="12008751.93"/>
    <n v="11881796.029999999"/>
    <n v="23044"/>
    <s v="AMOMPY"/>
    <s v="Momentum Capital Investment S.A."/>
    <s v="15/09/2026"/>
    <s v="15/09/2026"/>
    <n v="30"/>
    <s v="No"/>
    <s v=""/>
    <m/>
    <m/>
    <s v="*AFB091100004"/>
    <s v="*AFB091100004"/>
    <n v="1.4541709259307067E-4"/>
  </r>
  <r>
    <x v="1"/>
    <s v="Pesos"/>
    <d v="2026-11-11T00:00:00"/>
    <s v="29/10/2026"/>
    <n v="0.98942806000000005"/>
    <m/>
    <n v="3554233.32"/>
    <n v="3516658.17"/>
    <n v="3554233.32"/>
    <n v="3516658.17"/>
    <n v="23043"/>
    <s v="AMOMPY"/>
    <s v="Momentum Capital Investment S.A."/>
    <s v="15/09/2026"/>
    <s v="15/09/2026"/>
    <n v="30"/>
    <s v="No"/>
    <s v=""/>
    <m/>
    <m/>
    <s v="*AFB061100010"/>
    <s v="*AFB061100010"/>
    <n v="4.3039133598480774E-5"/>
  </r>
  <r>
    <x v="1"/>
    <s v="Pesos"/>
    <d v="2026-11-11T00:00:00"/>
    <s v="29/10/2026"/>
    <n v="0.98942805"/>
    <m/>
    <n v="8141903.9699999997"/>
    <n v="8055828.2000000002"/>
    <n v="8141903.9699999997"/>
    <n v="8055828.2000000002"/>
    <n v="23097"/>
    <s v="AMOMPY"/>
    <s v="Momentum Capital Investment S.A."/>
    <s v="15/09/2026"/>
    <s v="15/09/2026"/>
    <n v="30"/>
    <s v="No"/>
    <s v=""/>
    <m/>
    <m/>
    <s v="*AFB091100006"/>
    <s v="*AFB091100006"/>
    <n v="9.8592427635981728E-5"/>
  </r>
  <r>
    <x v="1"/>
    <s v="Pesos"/>
    <d v="2026-11-11T00:00:00"/>
    <s v="29/10/2026"/>
    <n v="0.98942805"/>
    <m/>
    <n v="14376774.91"/>
    <n v="14224784.43"/>
    <n v="14376774.91"/>
    <n v="14224784.43"/>
    <n v="22795"/>
    <s v="AMOMPY"/>
    <s v="Momentum Capital Investment S.A."/>
    <s v="15/09/2026"/>
    <s v="15/09/2026"/>
    <n v="30"/>
    <s v="No"/>
    <s v=""/>
    <m/>
    <m/>
    <s v="*AFB061100011"/>
    <s v="*AFB061100011"/>
    <n v="1.740920976383551E-4"/>
  </r>
  <r>
    <x v="1"/>
    <s v="Pesos"/>
    <d v="2026-11-11T00:00:00"/>
    <s v="29/10/2026"/>
    <n v="0.98942805"/>
    <m/>
    <n v="21728976.760000002"/>
    <n v="21499259.210000001"/>
    <n v="21728976.760000002"/>
    <n v="21499259.210000001"/>
    <n v="23058"/>
    <s v="AMOMPY"/>
    <s v="Momentum Capital Investment S.A."/>
    <s v="15/09/2026"/>
    <s v="15/09/2026"/>
    <n v="30"/>
    <s v="No"/>
    <s v=""/>
    <m/>
    <m/>
    <s v="*AFB091100005"/>
    <s v="*AFB091100005"/>
    <n v="2.6312181755429423E-4"/>
  </r>
  <r>
    <x v="2"/>
    <s v="Pesos"/>
    <d v="2026-11-11T00:00:00"/>
    <s v="29/10/2026"/>
    <n v="0.98734045999999998"/>
    <m/>
    <n v="3105640.28"/>
    <n v="3066324.3"/>
    <n v="3105640.28"/>
    <n v="3066324.3"/>
    <n v="3375"/>
    <s v="AMOMPY"/>
    <s v="Momentum Capital Investment S.A."/>
    <s v="02/09/2026"/>
    <s v="02/09/2026"/>
    <n v="36"/>
    <s v="No"/>
    <s v=""/>
    <m/>
    <m/>
    <s v="*MAV061101118"/>
    <s v="*MAV061101118"/>
    <n v="3.7527656890225423E-5"/>
  </r>
  <r>
    <x v="2"/>
    <s v="Pesos"/>
    <d v="2026-11-11T00:00:00"/>
    <s v="29/10/2026"/>
    <n v="0.98734043000000005"/>
    <m/>
    <n v="3625698.78"/>
    <n v="3579798.98"/>
    <n v="3625698.78"/>
    <n v="3579798.98"/>
    <n v="3353"/>
    <s v="AMOMPY"/>
    <s v="Momentum Capital Investment S.A."/>
    <s v="28/08/2026"/>
    <s v="28/08/2026"/>
    <n v="36"/>
    <s v="No"/>
    <s v=""/>
    <m/>
    <m/>
    <s v="*MAV061101102"/>
    <s v="*MAV061101102"/>
    <n v="4.3811891605013518E-5"/>
  </r>
  <r>
    <x v="2"/>
    <s v="Pesos"/>
    <d v="2026-11-11T00:00:00"/>
    <s v="29/10/2026"/>
    <n v="0.98734045999999998"/>
    <m/>
    <n v="2510000.36"/>
    <n v="2478224.9"/>
    <n v="2510000.36"/>
    <n v="2478224.9"/>
    <n v="3161"/>
    <s v="AMOMPY"/>
    <s v="Momentum Capital Investment S.A."/>
    <s v="19/08/2026"/>
    <s v="19/08/2026"/>
    <n v="36"/>
    <s v="No"/>
    <s v=""/>
    <m/>
    <m/>
    <s v="*MAV061101044"/>
    <s v="*MAV061101044"/>
    <n v="3.0330116662485183E-5"/>
  </r>
  <r>
    <x v="2"/>
    <s v="Pesos"/>
    <d v="2026-11-11T00:00:00"/>
    <s v="29/10/2026"/>
    <n v="0.98734045999999998"/>
    <m/>
    <n v="2510000.36"/>
    <n v="2478224.9"/>
    <n v="2510000.36"/>
    <n v="2478224.9"/>
    <n v="3162"/>
    <s v="AMOMPY"/>
    <s v="Momentum Capital Investment S.A."/>
    <s v="19/08/2026"/>
    <s v="19/08/2026"/>
    <n v="36"/>
    <s v="No"/>
    <s v=""/>
    <m/>
    <m/>
    <s v="*MAV071101383"/>
    <s v="*MAV071101383"/>
    <n v="3.0330116662485183E-5"/>
  </r>
  <r>
    <x v="2"/>
    <s v="Pesos"/>
    <d v="2026-11-11T00:00:00"/>
    <s v="29/10/2026"/>
    <n v="0.9876878"/>
    <m/>
    <n v="3256800.5"/>
    <n v="3216702.13"/>
    <n v="3256800.5"/>
    <n v="3216702.13"/>
    <n v="3584"/>
    <s v="AMOMPY"/>
    <s v="Momentum Capital Investment S.A."/>
    <s v="17/09/2026"/>
    <s v="17/09/2026"/>
    <n v="35"/>
    <s v="No"/>
    <s v=""/>
    <m/>
    <m/>
    <s v="*MAV071101486"/>
    <s v="*MAV071101486"/>
    <n v="3.9368077881617842E-5"/>
  </r>
  <r>
    <x v="2"/>
    <s v="Pesos"/>
    <d v="2026-11-11T00:00:00"/>
    <s v="29/10/2026"/>
    <n v="0.9876878"/>
    <m/>
    <n v="3256800.5"/>
    <n v="3216702.13"/>
    <n v="3256800.5"/>
    <n v="3216702.13"/>
    <n v="3583"/>
    <s v="AMOMPY"/>
    <s v="Momentum Capital Investment S.A."/>
    <s v="17/09/2026"/>
    <s v="17/09/2026"/>
    <n v="35"/>
    <s v="No"/>
    <s v=""/>
    <m/>
    <m/>
    <s v="*MAV061101294"/>
    <s v="*MAV061101294"/>
    <n v="3.9368077881617842E-5"/>
  </r>
  <r>
    <x v="2"/>
    <s v="Pesos"/>
    <d v="2026-11-11T00:00:00"/>
    <s v="29/10/2026"/>
    <n v="0.98838316000000004"/>
    <m/>
    <n v="990902.64"/>
    <n v="979391.48"/>
    <n v="990902.64"/>
    <n v="979391.48"/>
    <n v="2965"/>
    <s v="AMOMPY"/>
    <s v="Momentum Capital Investment S.A."/>
    <s v="28/07/2026"/>
    <s v="28/07/2026"/>
    <n v="33"/>
    <s v="No"/>
    <s v=""/>
    <m/>
    <m/>
    <s v="*MAV071101350"/>
    <s v="*MAV071101350"/>
    <n v="1.1986425383202318E-5"/>
  </r>
  <r>
    <x v="2"/>
    <s v="Pesos"/>
    <d v="2026-11-11T00:00:00"/>
    <s v="29/10/2026"/>
    <n v="0.98803532000000005"/>
    <m/>
    <n v="990902.64"/>
    <n v="979046.81"/>
    <n v="990902.64"/>
    <n v="979046.81"/>
    <n v="2964"/>
    <s v="AMOMPY"/>
    <s v="Momentum Capital Investment S.A."/>
    <s v="16/07/2026"/>
    <s v="16/07/2026"/>
    <n v="34"/>
    <s v="No"/>
    <s v=""/>
    <m/>
    <m/>
    <s v="*MAV061100971"/>
    <s v="*MAV061100971"/>
    <n v="1.1982207089168528E-5"/>
  </r>
  <r>
    <x v="2"/>
    <s v="Pesos"/>
    <d v="2026-11-11T00:00:00"/>
    <s v="29/10/2026"/>
    <n v="0.98803532999999999"/>
    <m/>
    <n v="1020845.65"/>
    <n v="1008631.57"/>
    <n v="1020845.65"/>
    <n v="1008631.57"/>
    <n v="2915"/>
    <s v="AMOMPY"/>
    <s v="Momentum Capital Investment S.A."/>
    <s v="16/07/2026"/>
    <s v="16/07/2026"/>
    <n v="34"/>
    <s v="No"/>
    <s v=""/>
    <m/>
    <m/>
    <s v="*MAV071101344"/>
    <s v="*MAV071101344"/>
    <n v="1.2344284486676569E-5"/>
  </r>
  <r>
    <x v="2"/>
    <s v="Pesos"/>
    <d v="2026-11-11T00:00:00"/>
    <s v="29/10/2026"/>
    <n v="0.98803532999999999"/>
    <m/>
    <n v="1020845.65"/>
    <n v="1008631.57"/>
    <n v="1020845.65"/>
    <n v="1008631.57"/>
    <n v="2914"/>
    <s v="AMOMPY"/>
    <s v="Momentum Capital Investment S.A."/>
    <s v="16/07/2026"/>
    <s v="16/07/2026"/>
    <n v="34"/>
    <s v="No"/>
    <s v=""/>
    <m/>
    <m/>
    <s v="*MAV061100972"/>
    <s v="*MAV061100972"/>
    <n v="1.2344284486676569E-5"/>
  </r>
  <r>
    <x v="163"/>
    <s v="Pesos"/>
    <d v="2026-11-11T00:00:00"/>
    <s v="29/10/2026"/>
    <n v="0.98838311999999995"/>
    <m/>
    <n v="3600000"/>
    <n v="3558179.23"/>
    <n v="3600000"/>
    <n v="3558179.23"/>
    <n v="13870042"/>
    <s v="AMOMPY"/>
    <s v="Momentum Capital Investment S.A."/>
    <s v="21/09/2026"/>
    <s v="21/09/2026"/>
    <n v="33"/>
    <s v="No"/>
    <s v=""/>
    <m/>
    <m/>
    <s v="*MAV091101151"/>
    <s v="*MAV091101151"/>
    <n v="4.3547295143363181E-5"/>
  </r>
  <r>
    <x v="164"/>
    <s v="Pesos"/>
    <d v="2026-11-11T00:00:00"/>
    <s v="29/10/2026"/>
    <n v="0.98838322000000001"/>
    <m/>
    <n v="130311.45"/>
    <n v="128797.65"/>
    <n v="130311.45"/>
    <n v="128797.65"/>
    <n v="2438"/>
    <s v="AMOMPY"/>
    <s v="Momentum Capital Investment S.A."/>
    <s v="22/09/2026"/>
    <s v="22/09/2026"/>
    <n v="33"/>
    <s v="No"/>
    <s v=""/>
    <m/>
    <m/>
    <s v="*MAV081101264"/>
    <s v="*MAV081101264"/>
    <n v="1.5763088129547625E-6"/>
  </r>
  <r>
    <x v="165"/>
    <s v="Pesos"/>
    <d v="2026-11-11T00:00:00"/>
    <s v="29/10/2026"/>
    <n v="0.98838314000000005"/>
    <m/>
    <n v="8574172.7400000002"/>
    <n v="8474567.7599999998"/>
    <n v="8574172.7400000002"/>
    <n v="8474567.7599999998"/>
    <n v="81454507"/>
    <s v="AMOMPY"/>
    <s v="Momentum Capital Investment S.A."/>
    <s v="22/09/2026"/>
    <s v="22/09/2026"/>
    <n v="33"/>
    <s v="No"/>
    <s v=""/>
    <m/>
    <m/>
    <s v="*MAV081101265"/>
    <s v="*MAV081101265"/>
    <n v="1.0371723277614382E-4"/>
  </r>
  <r>
    <x v="54"/>
    <s v="Pesos"/>
    <d v="2026-11-11T00:00:00"/>
    <s v="29/10/2026"/>
    <n v="0.99012593000000004"/>
    <m/>
    <n v="7000000"/>
    <n v="6930881.4900000002"/>
    <n v="7000000"/>
    <n v="6930881.4900000002"/>
    <n v="6490"/>
    <s v="AMOMPY"/>
    <s v="Momentum Capital Investment S.A."/>
    <s v="17/09/2026"/>
    <s v="17/09/2026"/>
    <n v="28"/>
    <s v="No"/>
    <s v=""/>
    <m/>
    <m/>
    <s v="*INP091100049"/>
    <s v="*INP091100049"/>
    <n v="8.4824603354424839E-5"/>
  </r>
  <r>
    <x v="54"/>
    <s v="Pesos"/>
    <d v="2026-11-11T00:00:00"/>
    <s v="29/10/2026"/>
    <n v="0.98942808999999998"/>
    <m/>
    <n v="5000000"/>
    <n v="4947140.47"/>
    <n v="5000000"/>
    <n v="4947140.47"/>
    <n v="40810972"/>
    <s v="AMOMPY"/>
    <s v="Momentum Capital Investment S.A."/>
    <s v="24/09/2026"/>
    <s v="24/09/2026"/>
    <n v="30"/>
    <s v="No"/>
    <s v=""/>
    <m/>
    <m/>
    <s v="*INP061100059"/>
    <s v="*INP061100059"/>
    <n v="6.0546299732845788E-5"/>
  </r>
  <r>
    <x v="166"/>
    <s v="Pesos"/>
    <d v="2026-11-11T00:00:00"/>
    <s v="29/10/2026"/>
    <n v="0.98907951000000005"/>
    <m/>
    <n v="9990457.7799999993"/>
    <n v="9881357.0700000003"/>
    <n v="9990457.7799999993"/>
    <n v="9881357.0700000003"/>
    <n v="3022"/>
    <s v="AMOMPY"/>
    <s v="Momentum Capital Investment S.A."/>
    <s v="08/09/2026"/>
    <s v="08/09/2026"/>
    <n v="31"/>
    <s v="No"/>
    <s v=""/>
    <m/>
    <m/>
    <s v="*MAV061101156"/>
    <s v="*MAV061101156"/>
    <n v="1.2093442879892491E-4"/>
  </r>
  <r>
    <x v="167"/>
    <s v="Pesos"/>
    <d v="2026-11-11T00:00:00"/>
    <s v="29/10/2026"/>
    <n v="0.98907951000000005"/>
    <m/>
    <n v="20398741.449999999"/>
    <n v="20175977.140000001"/>
    <n v="20398741.449999999"/>
    <n v="20175977.140000001"/>
    <n v="69586114"/>
    <s v="AMOMPY"/>
    <s v="Momentum Capital Investment S.A."/>
    <s v="08/09/2026"/>
    <s v="08/09/2026"/>
    <n v="31"/>
    <s v="No"/>
    <s v=""/>
    <m/>
    <m/>
    <s v="*MAV081101227"/>
    <s v="*MAV081101227"/>
    <n v="2.4692663706019346E-4"/>
  </r>
  <r>
    <x v="5"/>
    <s v="Pesos"/>
    <d v="2026-11-11T00:00:00"/>
    <s v="29/10/2026"/>
    <n v="0.98942803999999995"/>
    <m/>
    <n v="1340000"/>
    <n v="1325833.58"/>
    <n v="1340000"/>
    <n v="1325833.58"/>
    <n v="69652371"/>
    <s v="AMOMPY"/>
    <s v="Momentum Capital Investment S.A."/>
    <s v="11/09/2026"/>
    <s v="11/09/2026"/>
    <n v="30"/>
    <s v="No"/>
    <s v=""/>
    <m/>
    <m/>
    <s v="*MAV091101071"/>
    <s v="*MAV091101071"/>
    <n v="1.6226407521141598E-5"/>
  </r>
  <r>
    <x v="168"/>
    <s v="Pesos"/>
    <d v="2026-11-11T00:00:00"/>
    <s v="29/10/2026"/>
    <n v="0.98873118999999998"/>
    <m/>
    <n v="4000000"/>
    <n v="3954924.74"/>
    <n v="4000000"/>
    <n v="3954924.74"/>
    <n v="722"/>
    <s v="AMOMPY"/>
    <s v="Momentum Capital Investment S.A."/>
    <s v="14/09/2026"/>
    <s v="14/09/2026"/>
    <n v="32"/>
    <s v="No"/>
    <s v=""/>
    <m/>
    <m/>
    <s v="*MAV061101255"/>
    <s v="*MAV061101255"/>
    <n v="4.8402922896767317E-5"/>
  </r>
  <r>
    <x v="32"/>
    <s v="Pesos"/>
    <d v="2026-11-11T00:00:00"/>
    <s v="29/10/2026"/>
    <n v="0.98838314000000005"/>
    <m/>
    <n v="5300000"/>
    <n v="5238430.6500000004"/>
    <n v="5300000"/>
    <n v="5238430.6500000004"/>
    <n v="8175677"/>
    <s v="AMOMPY"/>
    <s v="Momentum Capital Investment S.A."/>
    <s v="15/09/2026"/>
    <s v="15/09/2026"/>
    <n v="33"/>
    <s v="No"/>
    <s v=""/>
    <m/>
    <m/>
    <s v="*MAV061101266"/>
    <s v="*MAV061101266"/>
    <n v="6.4111297058970761E-5"/>
  </r>
  <r>
    <x v="32"/>
    <s v="Pesos"/>
    <d v="2026-11-11T00:00:00"/>
    <s v="29/10/2026"/>
    <n v="0.98838314000000005"/>
    <m/>
    <n v="5300000"/>
    <n v="5238430.6500000004"/>
    <n v="5300000"/>
    <n v="5238430.6500000004"/>
    <n v="8175678"/>
    <s v="AMOMPY"/>
    <s v="Momentum Capital Investment S.A."/>
    <s v="15/09/2026"/>
    <s v="15/09/2026"/>
    <n v="33"/>
    <s v="No"/>
    <s v=""/>
    <m/>
    <m/>
    <s v="*MAV091101103"/>
    <s v="*MAV091101103"/>
    <n v="6.4111297058970761E-5"/>
  </r>
  <r>
    <x v="169"/>
    <s v="Pesos"/>
    <d v="2026-11-11T00:00:00"/>
    <s v="29/10/2026"/>
    <n v="0.98873120000000003"/>
    <m/>
    <n v="2073150"/>
    <n v="2049788.08"/>
    <n v="2073150"/>
    <n v="2049788.08"/>
    <n v="90000247"/>
    <s v="AMOMPY"/>
    <s v="Momentum Capital Investment S.A."/>
    <s v="15/09/2026"/>
    <s v="15/09/2026"/>
    <n v="32"/>
    <s v="No"/>
    <s v=""/>
    <m/>
    <m/>
    <s v="*MAV091101108"/>
    <s v="*MAV091101108"/>
    <n v="2.5086630192349175E-5"/>
  </r>
  <r>
    <x v="170"/>
    <s v="Pesos"/>
    <d v="2026-11-11T00:00:00"/>
    <s v="29/10/2026"/>
    <n v="0.98838314000000005"/>
    <m/>
    <n v="4296661.99"/>
    <n v="4246748.29"/>
    <n v="4296661.99"/>
    <n v="4246748.29"/>
    <n v="1541"/>
    <s v="AMOMPY"/>
    <s v="Momentum Capital Investment S.A."/>
    <s v="24/07/2026"/>
    <s v="24/07/2026"/>
    <n v="33"/>
    <s v="No"/>
    <s v=""/>
    <m/>
    <m/>
    <s v="*MAV061100982"/>
    <s v="*MAV061100982"/>
    <n v="5.1974447949380809E-5"/>
  </r>
  <r>
    <x v="55"/>
    <s v="Pesos"/>
    <d v="2026-11-11T00:00:00"/>
    <s v="29/10/2026"/>
    <n v="0.98977683999999999"/>
    <m/>
    <n v="35000000"/>
    <n v="34642189.299999997"/>
    <n v="35000000"/>
    <n v="34642189.299999997"/>
    <n v="65"/>
    <s v="AMOMPY"/>
    <s v="Momentum Capital Investment S.A."/>
    <s v="29/05/2026"/>
    <s v="29/05/2026"/>
    <n v="29"/>
    <s v="No"/>
    <s v=""/>
    <m/>
    <m/>
    <s v="*PRO061100023"/>
    <s v="*PRO061100023"/>
    <n v="4.2397348316244258E-4"/>
  </r>
  <r>
    <x v="171"/>
    <s v="Pesos"/>
    <d v="2026-11-11T00:00:00"/>
    <s v="29/10/2026"/>
    <n v="0.98838311999999995"/>
    <m/>
    <n v="2170000"/>
    <n v="2144791.38"/>
    <n v="2170000"/>
    <n v="2144791.38"/>
    <n v="260729"/>
    <s v="AMOMPY"/>
    <s v="Momentum Capital Investment S.A."/>
    <s v="27/08/2026"/>
    <s v="27/08/2026"/>
    <n v="33"/>
    <s v="No"/>
    <s v=""/>
    <m/>
    <m/>
    <s v="*MAV061101077"/>
    <s v="*MAV061101077"/>
    <n v="2.6249341926994838E-5"/>
  </r>
  <r>
    <x v="172"/>
    <s v="Pesos"/>
    <d v="2026-11-11T00:00:00"/>
    <s v="29/10/2026"/>
    <n v="0.99012586999999996"/>
    <m/>
    <n v="150000000"/>
    <n v="148518880.62"/>
    <n v="150000000"/>
    <n v="148518880.62"/>
    <n v="80"/>
    <s v="AMOMPY"/>
    <s v="Momentum Capital Investment S.A."/>
    <s v="12/08/2026"/>
    <s v="12/08/2026"/>
    <n v="28"/>
    <s v="No"/>
    <s v=""/>
    <m/>
    <m/>
    <s v="*MAV061101031"/>
    <s v="*MAV061101031"/>
    <n v="1.8176699684464917E-3"/>
  </r>
  <r>
    <x v="140"/>
    <s v="Pesos"/>
    <d v="2026-11-11T00:00:00"/>
    <s v="29/10/2026"/>
    <n v="0.98734045000000004"/>
    <m/>
    <n v="3140560.45"/>
    <n v="3100802.38"/>
    <n v="3140560.45"/>
    <n v="3100802.38"/>
    <n v="1117"/>
    <s v="AMOMPY"/>
    <s v="Momentum Capital Investment S.A."/>
    <s v="02/09/2026"/>
    <s v="02/09/2026"/>
    <n v="36"/>
    <s v="No"/>
    <s v=""/>
    <m/>
    <m/>
    <s v="*MAV061101117"/>
    <s v="*MAV061101117"/>
    <n v="3.7949621897799397E-5"/>
  </r>
  <r>
    <x v="140"/>
    <s v="Pesos"/>
    <d v="2026-11-11T00:00:00"/>
    <s v="29/10/2026"/>
    <n v="0.98734043000000005"/>
    <m/>
    <n v="3256800.5"/>
    <n v="3215570.81"/>
    <n v="3256800.5"/>
    <n v="3215570.81"/>
    <n v="1286"/>
    <s v="AMOMPY"/>
    <s v="Momentum Capital Investment S.A."/>
    <s v="22/09/2026"/>
    <s v="22/09/2026"/>
    <n v="36"/>
    <s v="No"/>
    <s v=""/>
    <m/>
    <m/>
    <s v="*MAV061101318"/>
    <s v="*MAV061101318"/>
    <n v="3.9354232056897654E-5"/>
  </r>
  <r>
    <x v="140"/>
    <s v="Pesos"/>
    <d v="2026-11-11T00:00:00"/>
    <s v="29/10/2026"/>
    <n v="0.98734043000000005"/>
    <m/>
    <n v="3256800.5"/>
    <n v="3215570.81"/>
    <n v="3256800.5"/>
    <n v="3215570.81"/>
    <n v="1287"/>
    <s v="AMOMPY"/>
    <s v="Momentum Capital Investment S.A."/>
    <s v="22/09/2026"/>
    <s v="22/09/2026"/>
    <n v="36"/>
    <s v="No"/>
    <s v=""/>
    <m/>
    <m/>
    <s v="*MAV071101500"/>
    <s v="*MAV071101500"/>
    <n v="3.9354232056897654E-5"/>
  </r>
  <r>
    <x v="173"/>
    <s v="Pesos"/>
    <d v="2026-11-11T00:00:00"/>
    <s v="29/10/2026"/>
    <n v="0.98838314000000005"/>
    <m/>
    <n v="20000000"/>
    <n v="19767662.899999999"/>
    <n v="20000000"/>
    <n v="19767662.899999999"/>
    <n v="40663540"/>
    <s v="AMOMPY"/>
    <s v="Momentum Capital Investment S.A."/>
    <s v="31/07/2026"/>
    <s v="31/07/2026"/>
    <n v="33"/>
    <s v="No"/>
    <s v=""/>
    <m/>
    <m/>
    <s v="*MAV081101197"/>
    <s v="*MAV081101197"/>
    <n v="2.4192942371843661E-4"/>
  </r>
  <r>
    <x v="174"/>
    <s v="Pesos"/>
    <d v="2026-11-11T00:00:00"/>
    <s v="29/10/2026"/>
    <n v="0.98838313"/>
    <m/>
    <n v="8951101"/>
    <n v="8847117.2200000007"/>
    <n v="8951101"/>
    <n v="8847117.2200000007"/>
    <n v="14046167"/>
    <s v="AMOMPY"/>
    <s v="Momentum Capital Investment S.A."/>
    <s v="06/08/2026"/>
    <s v="06/08/2026"/>
    <n v="33"/>
    <s v="No"/>
    <s v=""/>
    <m/>
    <m/>
    <s v="*MAV091100864"/>
    <s v="*MAV091100864"/>
    <n v="1.0827673364482845E-4"/>
  </r>
  <r>
    <x v="174"/>
    <s v="Pesos"/>
    <d v="2026-11-11T00:00:00"/>
    <s v="29/10/2026"/>
    <n v="0.98838311999999995"/>
    <m/>
    <n v="7500000"/>
    <n v="7412873.4000000004"/>
    <n v="7500000"/>
    <n v="7412873.4000000004"/>
    <n v="14437225"/>
    <s v="AMOMPY"/>
    <s v="Momentum Capital Investment S.A."/>
    <s v="14/09/2026"/>
    <s v="14/09/2026"/>
    <n v="33"/>
    <s v="No"/>
    <s v=""/>
    <m/>
    <m/>
    <s v="*MAV091101091"/>
    <s v="*MAV091101091"/>
    <n v="9.0723531599667652E-5"/>
  </r>
  <r>
    <x v="175"/>
    <s v="Pesos"/>
    <d v="2026-11-11T00:00:00"/>
    <s v="29/10/2026"/>
    <n v="0.98873120000000003"/>
    <m/>
    <n v="14627728.42"/>
    <n v="14462891.43"/>
    <n v="14627728.42"/>
    <n v="14462891.43"/>
    <n v="69296586"/>
    <s v="AMOMPY"/>
    <s v="Momentum Capital Investment S.A."/>
    <s v="28/08/2026"/>
    <s v="28/08/2026"/>
    <n v="32"/>
    <s v="No"/>
    <s v=""/>
    <m/>
    <m/>
    <s v="*MAV061101083"/>
    <s v="*MAV061101083"/>
    <n v="1.7700620486411754E-4"/>
  </r>
  <r>
    <x v="105"/>
    <s v="Pesos"/>
    <d v="2026-11-11T00:00:00"/>
    <s v="29/10/2026"/>
    <n v="0.98873120000000003"/>
    <m/>
    <n v="40000000"/>
    <n v="39549248.18"/>
    <n v="40000000"/>
    <n v="39549248.18"/>
    <n v="13953440"/>
    <s v="AMOMPY"/>
    <s v="Momentum Capital Investment S.A."/>
    <s v="31/07/2026"/>
    <s v="31/07/2026"/>
    <n v="32"/>
    <s v="No"/>
    <s v=""/>
    <m/>
    <m/>
    <s v="*MAV091100847"/>
    <s v="*MAV091100847"/>
    <n v="4.8402923851381685E-4"/>
  </r>
  <r>
    <x v="107"/>
    <s v="Pesos"/>
    <d v="2026-11-11T00:00:00"/>
    <s v="29/10/2026"/>
    <n v="0.98838287999999996"/>
    <m/>
    <n v="3890.81"/>
    <n v="3845.61"/>
    <n v="3890.81"/>
    <n v="3845.61"/>
    <n v="121964"/>
    <s v="AMOMPY"/>
    <s v="Momentum Capital Investment S.A."/>
    <s v="14/09/2026"/>
    <s v="14/09/2026"/>
    <n v="33"/>
    <s v="No"/>
    <s v=""/>
    <m/>
    <m/>
    <s v="*MAV091101079"/>
    <s v="*MAV091101079"/>
    <n v="4.7065058517659014E-8"/>
  </r>
  <r>
    <x v="107"/>
    <s v="Pesos"/>
    <d v="2026-11-11T00:00:00"/>
    <s v="29/10/2026"/>
    <n v="0.98838285000000003"/>
    <m/>
    <n v="28964.94"/>
    <n v="28628.45"/>
    <n v="28964.94"/>
    <n v="28628.45"/>
    <n v="121296"/>
    <s v="AMOMPY"/>
    <s v="Momentum Capital Investment S.A."/>
    <s v="14/09/2026"/>
    <s v="14/09/2026"/>
    <n v="33"/>
    <s v="No"/>
    <s v=""/>
    <m/>
    <m/>
    <s v="*MAV091101078"/>
    <s v="*MAV091101078"/>
    <n v="3.5037345818215452E-7"/>
  </r>
  <r>
    <x v="146"/>
    <s v="Pesos"/>
    <d v="2026-11-11T00:00:00"/>
    <s v="29/10/2026"/>
    <n v="0.98873120000000003"/>
    <m/>
    <n v="200000000"/>
    <n v="197746240.96000001"/>
    <n v="200000000"/>
    <n v="197746240.96000001"/>
    <n v="90004114"/>
    <s v="AMOMPY"/>
    <s v="Momentum Capital Investment S.A."/>
    <s v="01/09/2026"/>
    <s v="01/09/2026"/>
    <n v="32"/>
    <s v="No"/>
    <s v=""/>
    <m/>
    <m/>
    <s v="*MAV061101113"/>
    <s v="*MAV061101113"/>
    <n v="2.420146193303403E-3"/>
  </r>
  <r>
    <x v="41"/>
    <s v="Pesos"/>
    <d v="2026-11-11T00:00:00"/>
    <s v="29/10/2026"/>
    <n v="0.98942803999999995"/>
    <m/>
    <n v="60027851.850000001"/>
    <n v="59393239.829999998"/>
    <n v="60027851.850000001"/>
    <n v="59393239.829999998"/>
    <n v="40294868"/>
    <s v="AMOMPY"/>
    <s v="Momentum Capital Investment S.A."/>
    <s v="07/09/2026"/>
    <s v="07/09/2026"/>
    <n v="30"/>
    <s v="No"/>
    <s v=""/>
    <m/>
    <m/>
    <s v="*MAV061101144"/>
    <s v="*MAV061101144"/>
    <n v="7.2689282276473843E-4"/>
  </r>
  <r>
    <x v="152"/>
    <s v="Pesos"/>
    <d v="2026-11-11T00:00:00"/>
    <s v="29/10/2026"/>
    <n v="0.98734045000000004"/>
    <m/>
    <n v="3256800.5"/>
    <n v="3215570.88"/>
    <n v="3256800.5"/>
    <n v="3215570.88"/>
    <n v="505"/>
    <s v="AMOMPY"/>
    <s v="Momentum Capital Investment S.A."/>
    <s v="19/08/2026"/>
    <s v="19/08/2026"/>
    <n v="36"/>
    <s v="No"/>
    <s v=""/>
    <m/>
    <m/>
    <s v="*MAV061101045"/>
    <s v="*MAV061101045"/>
    <n v="3.9354232913602857E-5"/>
  </r>
  <r>
    <x v="109"/>
    <s v="Pesos"/>
    <d v="2026-11-11T00:00:00"/>
    <s v="29/10/2026"/>
    <n v="0.98838314999999999"/>
    <m/>
    <n v="1300000"/>
    <n v="1284898.0900000001"/>
    <n v="1300000"/>
    <n v="1284898.0900000001"/>
    <n v="558"/>
    <s v="AMOMPY"/>
    <s v="Momentum Capital Investment S.A."/>
    <s v="01/09/2026"/>
    <s v="01/09/2026"/>
    <n v="33"/>
    <s v="No"/>
    <s v=""/>
    <m/>
    <m/>
    <s v="*MAV061101110"/>
    <s v="*MAV061101110"/>
    <n v="1.5725412560056348E-5"/>
  </r>
  <r>
    <x v="176"/>
    <s v="Pesos"/>
    <d v="2026-11-11T00:00:00"/>
    <s v="29/10/2026"/>
    <n v="0.98977705000000005"/>
    <m/>
    <n v="1043946.75"/>
    <n v="1033274.53"/>
    <n v="1043946.75"/>
    <n v="1033274.53"/>
    <n v="90000259"/>
    <s v="AMOMPY"/>
    <s v="Momentum Capital Investment S.A."/>
    <s v="27/10/2026"/>
    <s v="27/10/2026"/>
    <n v="29"/>
    <s v="No"/>
    <s v=""/>
    <m/>
    <m/>
    <s v="*MAV041101767"/>
    <s v="*MAV041101767"/>
    <n v="1.2645880944572282E-5"/>
  </r>
  <r>
    <x v="177"/>
    <s v="Pesos"/>
    <d v="2026-11-11T00:00:00"/>
    <s v="29/10/2026"/>
    <n v="0.98873118999999998"/>
    <m/>
    <n v="445000"/>
    <n v="439985.38"/>
    <n v="445000"/>
    <n v="439985.38"/>
    <n v="69609968"/>
    <s v="AMOMPY"/>
    <s v="Momentum Capital Investment S.A."/>
    <s v="15/09/2026"/>
    <s v="15/09/2026"/>
    <n v="32"/>
    <s v="No"/>
    <s v=""/>
    <m/>
    <m/>
    <s v="*MAV061101273"/>
    <s v="*MAV061101273"/>
    <n v="5.3848252050037409E-6"/>
  </r>
  <r>
    <x v="178"/>
    <s v="Pesos"/>
    <d v="2026-11-11T00:00:00"/>
    <s v="29/10/2026"/>
    <n v="0.98838316000000004"/>
    <m/>
    <n v="70000000"/>
    <n v="69186821.379999995"/>
    <n v="70000000"/>
    <n v="69186821.379999995"/>
    <n v="9795700"/>
    <s v="AMOMPY"/>
    <s v="Momentum Capital Investment S.A."/>
    <s v="23/09/2026"/>
    <s v="23/09/2026"/>
    <n v="33"/>
    <s v="No"/>
    <s v=""/>
    <m/>
    <m/>
    <s v="*MAV071101507"/>
    <s v="*MAV071101507"/>
    <n v="8.4675299806806232E-4"/>
  </r>
  <r>
    <x v="17"/>
    <s v="Pesos"/>
    <d v="2026-11-11T00:00:00"/>
    <s v="29/10/2026"/>
    <n v="0.98664651000000003"/>
    <m/>
    <n v="60000000"/>
    <n v="59198790.549999997"/>
    <n v="60000000"/>
    <n v="59198790.549999997"/>
    <n v="70393051"/>
    <s v="AMOMPY"/>
    <s v="Momentum Capital Investment S.A."/>
    <s v="04/09/2026"/>
    <s v="04/09/2026"/>
    <n v="38"/>
    <s v="No"/>
    <s v=""/>
    <m/>
    <m/>
    <s v="*MAV061101131"/>
    <s v="*MAV061101131"/>
    <n v="7.2451302690870604E-4"/>
  </r>
  <r>
    <x v="17"/>
    <s v="Pesos"/>
    <d v="2026-11-11T00:00:00"/>
    <s v="29/10/2026"/>
    <n v="0.98664651000000003"/>
    <m/>
    <n v="60000000"/>
    <n v="59198790.549999997"/>
    <n v="60000000"/>
    <n v="59198790.549999997"/>
    <n v="70393052"/>
    <s v="AMOMPY"/>
    <s v="Momentum Capital Investment S.A."/>
    <s v="04/09/2026"/>
    <s v="04/09/2026"/>
    <n v="38"/>
    <s v="No"/>
    <s v=""/>
    <m/>
    <m/>
    <s v="*MAV091100992"/>
    <s v="*MAV091100992"/>
    <n v="7.2451302690870604E-4"/>
  </r>
  <r>
    <x v="17"/>
    <s v="Pesos"/>
    <d v="2026-11-11T00:00:00"/>
    <s v="29/10/2026"/>
    <n v="0.98664651000000003"/>
    <m/>
    <n v="30000000"/>
    <n v="29599395.280000001"/>
    <n v="30000000"/>
    <n v="29599395.280000001"/>
    <n v="70393077"/>
    <s v="AMOMPY"/>
    <s v="Momentum Capital Investment S.A."/>
    <s v="04/09/2026"/>
    <s v="04/09/2026"/>
    <n v="38"/>
    <s v="No"/>
    <s v=""/>
    <m/>
    <m/>
    <s v="*MAV061101134"/>
    <s v="*MAV061101134"/>
    <n v="3.6225651351554631E-4"/>
  </r>
  <r>
    <x v="17"/>
    <s v="Pesos"/>
    <d v="2026-11-11T00:00:00"/>
    <s v="29/10/2026"/>
    <n v="0.98664651000000003"/>
    <m/>
    <n v="15000000"/>
    <n v="14799697.720000001"/>
    <n v="15000000"/>
    <n v="14799697.720000001"/>
    <n v="70393078"/>
    <s v="AMOMPY"/>
    <s v="Momentum Capital Investment S.A."/>
    <s v="15/09/2026"/>
    <s v="15/09/2026"/>
    <n v="38"/>
    <s v="No"/>
    <s v=""/>
    <m/>
    <m/>
    <s v="*MAV091101106"/>
    <s v="*MAV091101106"/>
    <n v="1.811282577368648E-4"/>
  </r>
  <r>
    <x v="44"/>
    <s v="Pesos"/>
    <d v="2026-11-11T00:00:00"/>
    <s v="29/10/2026"/>
    <n v="0.98803532000000005"/>
    <m/>
    <n v="10000000"/>
    <n v="9880353.1899999995"/>
    <n v="10000000"/>
    <n v="9880353.1899999995"/>
    <n v="14284514"/>
    <s v="AMOMPY"/>
    <s v="Momentum Capital Investment S.A."/>
    <s v="24/08/2026"/>
    <s v="24/08/2026"/>
    <n v="34"/>
    <s v="No"/>
    <s v=""/>
    <m/>
    <m/>
    <s v="*MAV091100916"/>
    <s v="*MAV091100916"/>
    <n v="1.2092214266722025E-4"/>
  </r>
  <r>
    <x v="44"/>
    <s v="Pesos"/>
    <d v="2026-11-11T00:00:00"/>
    <s v="29/10/2026"/>
    <n v="0.98838316000000004"/>
    <m/>
    <n v="25000000"/>
    <n v="24709579.07"/>
    <n v="25000000"/>
    <n v="24709579.07"/>
    <n v="14422594"/>
    <s v="AMOMPY"/>
    <s v="Momentum Capital Investment S.A."/>
    <s v="02/09/2026"/>
    <s v="02/09/2026"/>
    <n v="33"/>
    <s v="No"/>
    <s v=""/>
    <m/>
    <m/>
    <s v="*MAV091100971"/>
    <s v="*MAV091100971"/>
    <n v="3.0241178509424313E-4"/>
  </r>
  <r>
    <x v="44"/>
    <s v="Pesos"/>
    <d v="2026-11-11T00:00:00"/>
    <s v="29/10/2026"/>
    <n v="0.98873120000000003"/>
    <m/>
    <n v="10000000"/>
    <n v="9887312.0399999991"/>
    <n v="10000000"/>
    <n v="9887312.0399999991"/>
    <n v="14422573"/>
    <s v="AMOMPY"/>
    <s v="Momentum Capital Investment S.A."/>
    <s v="01/09/2026"/>
    <s v="01/09/2026"/>
    <n v="32"/>
    <s v="No"/>
    <s v=""/>
    <m/>
    <m/>
    <s v="*MAV061101111"/>
    <s v="*MAV061101111"/>
    <n v="1.2100730956726096E-4"/>
  </r>
  <r>
    <x v="44"/>
    <s v="Pesos"/>
    <d v="2026-11-11T00:00:00"/>
    <s v="29/10/2026"/>
    <n v="0.98873122000000002"/>
    <m/>
    <n v="10000000"/>
    <n v="9887312.2100000009"/>
    <n v="10000000"/>
    <n v="9887312.2100000009"/>
    <n v="14822643"/>
    <s v="AMOMPY"/>
    <s v="Momentum Capital Investment S.A."/>
    <s v="28/10/2026"/>
    <s v="28/10/2026"/>
    <n v="32"/>
    <s v="No"/>
    <s v=""/>
    <m/>
    <m/>
    <s v="*MAV041101795"/>
    <s v="*MAV041101795"/>
    <n v="1.2100731164783077E-4"/>
  </r>
  <r>
    <x v="21"/>
    <s v="Pesos"/>
    <d v="2026-11-11T00:00:00"/>
    <s v="29/10/2026"/>
    <n v="0.99047521999999999"/>
    <m/>
    <n v="33580000"/>
    <n v="33260157.719999999"/>
    <n v="33580000"/>
    <n v="33260157.719999999"/>
    <n v="32241"/>
    <s v="AMOMPY"/>
    <s v="Momentum Capital Investment S.A."/>
    <s v="17/09/2026"/>
    <s v="17/09/2026"/>
    <n v="27"/>
    <s v="No"/>
    <s v=""/>
    <m/>
    <m/>
    <s v="*NIO061100042"/>
    <s v="*NIO061100042"/>
    <n v="4.0705928822693096E-4"/>
  </r>
  <r>
    <x v="179"/>
    <s v="Pesos"/>
    <d v="2026-11-11T00:00:00"/>
    <s v="29/10/2026"/>
    <n v="0.98838313"/>
    <m/>
    <n v="5448062.4299999997"/>
    <n v="5384772.9900000002"/>
    <n v="5448062.4299999997"/>
    <n v="5384772.9900000002"/>
    <n v="90000595"/>
    <s v="AMOMPY"/>
    <s v="Momentum Capital Investment S.A."/>
    <s v="02/06/2026"/>
    <s v="02/06/2026"/>
    <n v="33"/>
    <s v="No"/>
    <s v=""/>
    <m/>
    <m/>
    <s v="*MAV091100786"/>
    <s v="*MAV091100786"/>
    <n v="6.5902329117788775E-5"/>
  </r>
  <r>
    <x v="26"/>
    <s v="Pesos"/>
    <d v="2026-11-11T00:00:00"/>
    <s v="29/10/2026"/>
    <n v="0.98942805"/>
    <m/>
    <n v="6000000"/>
    <n v="5936568.2699999996"/>
    <n v="6000000"/>
    <n v="5936568.2699999996"/>
    <n v="1365"/>
    <s v="AMOMPY"/>
    <s v="Momentum Capital Investment S.A."/>
    <s v="06/10/2026"/>
    <s v="06/10/2026"/>
    <n v="30"/>
    <s v="No"/>
    <s v=""/>
    <m/>
    <m/>
    <s v="*MAV041101561"/>
    <s v="*MAV041101561"/>
    <n v="7.2655556081253095E-5"/>
  </r>
  <r>
    <x v="26"/>
    <s v="Pesos"/>
    <d v="2026-11-11T00:00:00"/>
    <s v="29/10/2026"/>
    <n v="0.98942810000000003"/>
    <m/>
    <n v="5000000"/>
    <n v="4947140.49"/>
    <n v="5000000"/>
    <n v="4947140.49"/>
    <n v="1348"/>
    <s v="AMOMPY"/>
    <s v="Momentum Capital Investment S.A."/>
    <s v="01/10/2026"/>
    <s v="01/10/2026"/>
    <n v="30"/>
    <s v="No"/>
    <s v=""/>
    <m/>
    <m/>
    <s v="*MAV041101500"/>
    <s v="*MAV041101500"/>
    <n v="6.0546299977618706E-5"/>
  </r>
  <r>
    <x v="26"/>
    <s v="Pesos"/>
    <d v="2026-11-11T00:00:00"/>
    <s v="29/10/2026"/>
    <n v="0.98942810000000003"/>
    <m/>
    <n v="4500000"/>
    <n v="4452426.43"/>
    <n v="4500000"/>
    <n v="4452426.43"/>
    <n v="1301"/>
    <s v="AMOMPY"/>
    <s v="Momentum Capital Investment S.A."/>
    <s v="24/09/2026"/>
    <s v="24/09/2026"/>
    <n v="30"/>
    <s v="No"/>
    <s v=""/>
    <m/>
    <m/>
    <s v="*MAV061101338"/>
    <s v="*MAV061101338"/>
    <n v="5.4491669845231729E-5"/>
  </r>
  <r>
    <x v="26"/>
    <s v="Pesos"/>
    <d v="2026-11-11T00:00:00"/>
    <s v="29/10/2026"/>
    <n v="0.98942810000000003"/>
    <m/>
    <n v="4500000"/>
    <n v="4452426.43"/>
    <n v="4500000"/>
    <n v="4452426.43"/>
    <n v="1302"/>
    <s v="AMOMPY"/>
    <s v="Momentum Capital Investment S.A."/>
    <s v="24/09/2026"/>
    <s v="24/09/2026"/>
    <n v="30"/>
    <s v="No"/>
    <s v=""/>
    <m/>
    <m/>
    <s v="*MAV091101175"/>
    <s v="*MAV091101175"/>
    <n v="5.4491669845231729E-5"/>
  </r>
  <r>
    <x v="26"/>
    <s v="Pesos"/>
    <d v="2026-11-11T00:00:00"/>
    <s v="29/10/2026"/>
    <n v="0.98942803999999995"/>
    <m/>
    <n v="5000000"/>
    <n v="4947140.1900000004"/>
    <n v="5000000"/>
    <n v="4947140.1900000004"/>
    <n v="1306"/>
    <s v="AMOMPY"/>
    <s v="Momentum Capital Investment S.A."/>
    <s v="25/09/2026"/>
    <s v="25/09/2026"/>
    <n v="30"/>
    <s v="No"/>
    <s v=""/>
    <m/>
    <m/>
    <s v="*MAV061101349"/>
    <s v="*MAV061101349"/>
    <n v="6.0546296306024983E-5"/>
  </r>
  <r>
    <x v="26"/>
    <s v="Pesos"/>
    <d v="2026-11-11T00:00:00"/>
    <s v="29/10/2026"/>
    <n v="0.98942803999999995"/>
    <m/>
    <n v="5000000"/>
    <n v="4947140.1900000004"/>
    <n v="5000000"/>
    <n v="4947140.1900000004"/>
    <n v="1305"/>
    <s v="AMOMPY"/>
    <s v="Momentum Capital Investment S.A."/>
    <s v="25/09/2026"/>
    <s v="25/09/2026"/>
    <n v="30"/>
    <s v="No"/>
    <s v=""/>
    <m/>
    <m/>
    <s v="*MAV091101188"/>
    <s v="*MAV091101188"/>
    <n v="6.0546296306024983E-5"/>
  </r>
  <r>
    <x v="26"/>
    <s v="Pesos"/>
    <d v="2026-11-11T00:00:00"/>
    <s v="29/10/2026"/>
    <n v="0.98942808000000004"/>
    <m/>
    <n v="4250000"/>
    <n v="4205069.32"/>
    <n v="4250000"/>
    <n v="4205069.32"/>
    <n v="1329"/>
    <s v="AMOMPY"/>
    <s v="Momentum Capital Investment S.A."/>
    <s v="30/09/2026"/>
    <s v="30/09/2026"/>
    <n v="30"/>
    <s v="No"/>
    <s v=""/>
    <m/>
    <m/>
    <s v="*MAV041101488"/>
    <s v="*MAV041101488"/>
    <n v="5.1464353799946589E-5"/>
  </r>
  <r>
    <x v="87"/>
    <s v="Pesos"/>
    <d v="2026-11-11T00:00:00"/>
    <s v="29/10/2026"/>
    <n v="0.98873116999999999"/>
    <m/>
    <n v="20000000"/>
    <n v="19774623.5"/>
    <n v="20000000"/>
    <n v="19774623.5"/>
    <n v="736"/>
    <s v="AMOMPY"/>
    <s v="Momentum Capital Investment S.A."/>
    <s v="21/09/2026"/>
    <s v="21/09/2026"/>
    <n v="32"/>
    <s v="No"/>
    <s v=""/>
    <m/>
    <m/>
    <s v="*MAV091101150"/>
    <s v="*MAV091101150"/>
    <n v="2.4201461203610743E-4"/>
  </r>
  <r>
    <x v="87"/>
    <s v="Pesos"/>
    <d v="2026-11-11T00:00:00"/>
    <s v="29/10/2026"/>
    <n v="0.98873116999999999"/>
    <m/>
    <n v="20000000"/>
    <n v="19774623.5"/>
    <n v="20000000"/>
    <n v="19774623.5"/>
    <n v="733"/>
    <s v="AMOMPY"/>
    <s v="Momentum Capital Investment S.A."/>
    <s v="21/09/2026"/>
    <s v="21/09/2026"/>
    <n v="32"/>
    <s v="No"/>
    <s v=""/>
    <m/>
    <m/>
    <s v="*MAV061101306"/>
    <s v="*MAV061101306"/>
    <n v="2.4201461203610743E-4"/>
  </r>
  <r>
    <x v="180"/>
    <s v="Pesos"/>
    <d v="2026-11-11T00:00:00"/>
    <s v="29/10/2026"/>
    <n v="0.98942806999999999"/>
    <m/>
    <n v="100000000"/>
    <n v="98942807.430000007"/>
    <n v="100000000"/>
    <n v="98942807.430000007"/>
    <n v="90004129"/>
    <s v="AMOMPY"/>
    <s v="Momentum Capital Investment S.A."/>
    <s v="02/09/2026"/>
    <s v="02/09/2026"/>
    <n v="30"/>
    <s v="No"/>
    <s v=""/>
    <m/>
    <m/>
    <s v="*BIF091100005"/>
    <s v="*BIF091100005"/>
    <n v="1.2109259705467838E-3"/>
  </r>
  <r>
    <x v="180"/>
    <s v="Pesos"/>
    <d v="2026-11-11T00:00:00"/>
    <s v="29/10/2026"/>
    <n v="0.98942806999999999"/>
    <m/>
    <n v="100000000"/>
    <n v="98942807.430000007"/>
    <n v="100000000"/>
    <n v="98942807.430000007"/>
    <n v="90004130"/>
    <s v="AMOMPY"/>
    <s v="Momentum Capital Investment S.A."/>
    <s v="02/09/2026"/>
    <s v="02/09/2026"/>
    <n v="30"/>
    <s v="No"/>
    <s v=""/>
    <m/>
    <m/>
    <s v="*BIF091100004"/>
    <s v="*BIF091100004"/>
    <n v="1.2109259705467838E-3"/>
  </r>
  <r>
    <x v="29"/>
    <s v="Pesos"/>
    <d v="2026-11-11T00:00:00"/>
    <s v="29/10/2026"/>
    <n v="0.98942806000000005"/>
    <m/>
    <n v="10000000"/>
    <n v="9894280.5700000003"/>
    <n v="10000000"/>
    <n v="9894280.5700000003"/>
    <n v="68856220"/>
    <s v="AMOMPY"/>
    <s v="Momentum Capital Investment S.A."/>
    <s v="14/08/2026"/>
    <s v="14/08/2026"/>
    <n v="30"/>
    <s v="No"/>
    <s v=""/>
    <m/>
    <m/>
    <s v="*MIL091100018"/>
    <s v="*MIL091100018"/>
    <n v="1.2109259493739266E-4"/>
  </r>
  <r>
    <x v="29"/>
    <s v="Pesos"/>
    <d v="2026-11-11T00:00:00"/>
    <s v="29/10/2026"/>
    <n v="0.98942806000000005"/>
    <m/>
    <n v="11000000"/>
    <n v="10883708.609999999"/>
    <n v="11000000"/>
    <n v="10883708.609999999"/>
    <n v="10679146"/>
    <s v="AMOMPY"/>
    <s v="Momentum Capital Investment S.A."/>
    <s v="14/08/2026"/>
    <s v="14/08/2026"/>
    <n v="30"/>
    <s v="No"/>
    <s v=""/>
    <m/>
    <m/>
    <s v="*MIL091100020"/>
    <s v="*MIL091100020"/>
    <n v="1.3320185422307493E-4"/>
  </r>
  <r>
    <x v="29"/>
    <s v="Pesos"/>
    <d v="2026-11-11T00:00:00"/>
    <s v="29/10/2026"/>
    <n v="0.99012588999999995"/>
    <m/>
    <n v="60000000"/>
    <n v="59407553.299999997"/>
    <n v="60000000"/>
    <n v="59407553.299999997"/>
    <n v="100"/>
    <s v="AMOMPY"/>
    <s v="Momentum Capital Investment S.A."/>
    <s v="16/07/2026"/>
    <s v="16/07/2026"/>
    <n v="28"/>
    <s v="No"/>
    <s v=""/>
    <m/>
    <m/>
    <s v="*MIL061100020"/>
    <s v="*MIL061100020"/>
    <n v="7.2706800025365201E-4"/>
  </r>
  <r>
    <x v="29"/>
    <s v="Pesos"/>
    <d v="2026-11-11T00:00:00"/>
    <s v="29/10/2026"/>
    <n v="0.99047516000000002"/>
    <m/>
    <n v="10000000"/>
    <n v="9904751.6199999992"/>
    <n v="10000000"/>
    <n v="9904751.6199999992"/>
    <n v="2014"/>
    <s v="AMOMPY"/>
    <s v="Momentum Capital Investment S.A."/>
    <s v="07/07/2026"/>
    <s v="07/07/2026"/>
    <n v="27"/>
    <s v="No"/>
    <s v=""/>
    <m/>
    <m/>
    <s v="*MIL061100019"/>
    <s v="*MIL061100019"/>
    <n v="1.2122074640906849E-4"/>
  </r>
  <r>
    <x v="135"/>
    <s v="Pesos"/>
    <d v="2026-11-11T00:00:00"/>
    <s v="29/10/2026"/>
    <n v="0.99117451000000001"/>
    <m/>
    <n v="18000000"/>
    <n v="17841141.210000001"/>
    <n v="18000000"/>
    <n v="17841141.210000001"/>
    <n v="90025470"/>
    <s v="AMOMPY"/>
    <s v="Momentum Capital Investment S.A."/>
    <s v="23/09/2026"/>
    <s v="23/09/2026"/>
    <n v="25"/>
    <s v="No"/>
    <s v=""/>
    <m/>
    <m/>
    <s v="*FTR071100013"/>
    <s v="*FTR071100013"/>
    <n v="2.1835140720730071E-4"/>
  </r>
  <r>
    <x v="181"/>
    <s v="Pesos"/>
    <d v="2026-11-11T00:00:00"/>
    <s v="29/10/2026"/>
    <n v="0.98977683000000005"/>
    <m/>
    <n v="5109127.71"/>
    <n v="5056896.22"/>
    <n v="5109127.71"/>
    <n v="5056896.22"/>
    <n v="90000654"/>
    <s v="AMOMPY"/>
    <s v="Momentum Capital Investment S.A."/>
    <s v="03/07/2026"/>
    <s v="03/07/2026"/>
    <n v="29"/>
    <s v="No"/>
    <s v=""/>
    <m/>
    <m/>
    <s v="*FED091100055"/>
    <s v="*FED091100055"/>
    <n v="6.1889561477120308E-5"/>
  </r>
  <r>
    <x v="26"/>
    <s v="Pesos"/>
    <d v="2026-11-11T00:00:00"/>
    <s v="29/10/2026"/>
    <n v="0.98942803999999995"/>
    <m/>
    <n v="5000000"/>
    <n v="4947140.21"/>
    <n v="5000000"/>
    <n v="4947140.21"/>
    <n v="1250"/>
    <s v="AMOMPY"/>
    <s v="Momentum Capital Investment S.A."/>
    <s v="18/09/2026"/>
    <s v="18/09/2026"/>
    <n v="30"/>
    <s v="No"/>
    <s v=""/>
    <m/>
    <m/>
    <s v="*MAV091101140"/>
    <s v="*MAV091101140"/>
    <n v="6.0546296550797894E-5"/>
  </r>
  <r>
    <x v="26"/>
    <s v="Pesos"/>
    <d v="2026-11-11T00:00:00"/>
    <s v="29/10/2026"/>
    <n v="0.98873120000000003"/>
    <m/>
    <n v="3000000"/>
    <n v="2966193.61"/>
    <n v="3000000"/>
    <n v="2966193.61"/>
    <n v="1052"/>
    <s v="AMOMPY"/>
    <s v="Momentum Capital Investment S.A."/>
    <s v="25/08/2026"/>
    <s v="25/08/2026"/>
    <n v="32"/>
    <s v="No"/>
    <s v=""/>
    <m/>
    <m/>
    <s v="*MAV061101059"/>
    <s v="*MAV061101059"/>
    <n v="3.6302192845701002E-5"/>
  </r>
  <r>
    <x v="26"/>
    <s v="Pesos"/>
    <d v="2026-11-11T00:00:00"/>
    <s v="29/10/2026"/>
    <n v="0.98873120000000003"/>
    <m/>
    <n v="3000000"/>
    <n v="2966193.61"/>
    <n v="3000000"/>
    <n v="2966193.61"/>
    <n v="1053"/>
    <s v="AMOMPY"/>
    <s v="Momentum Capital Investment S.A."/>
    <s v="25/08/2026"/>
    <s v="25/08/2026"/>
    <n v="32"/>
    <s v="No"/>
    <s v=""/>
    <m/>
    <m/>
    <s v="*MAV091100925"/>
    <s v="*MAV091100925"/>
    <n v="3.6302192845701002E-5"/>
  </r>
  <r>
    <x v="26"/>
    <s v="Pesos"/>
    <d v="2026-11-11T00:00:00"/>
    <s v="29/10/2026"/>
    <n v="0.98838316999999998"/>
    <m/>
    <n v="2500000"/>
    <n v="2470957.92"/>
    <n v="2500000"/>
    <n v="2470957.92"/>
    <n v="1015"/>
    <s v="AMOMPY"/>
    <s v="Momentum Capital Investment S.A."/>
    <s v="19/08/2026"/>
    <s v="19/08/2026"/>
    <n v="33"/>
    <s v="No"/>
    <s v=""/>
    <m/>
    <m/>
    <s v="*MAV061101050"/>
    <s v="*MAV061101050"/>
    <n v="3.0241178668526707E-5"/>
  </r>
  <r>
    <x v="26"/>
    <s v="Pesos"/>
    <d v="2026-11-11T00:00:00"/>
    <s v="29/10/2026"/>
    <n v="0.98838316999999998"/>
    <m/>
    <n v="2500000"/>
    <n v="2470957.92"/>
    <n v="2500000"/>
    <n v="2470957.92"/>
    <n v="1016"/>
    <s v="AMOMPY"/>
    <s v="Momentum Capital Investment S.A."/>
    <s v="19/08/2026"/>
    <s v="19/08/2026"/>
    <n v="33"/>
    <s v="No"/>
    <s v=""/>
    <m/>
    <m/>
    <s v="*MAV091100907"/>
    <s v="*MAV091100907"/>
    <n v="3.0241178668526707E-5"/>
  </r>
  <r>
    <x v="182"/>
    <s v="Pesos"/>
    <d v="2026-11-11T00:00:00"/>
    <s v="29/10/2026"/>
    <n v="0.98977696999999998"/>
    <m/>
    <n v="476000"/>
    <n v="471133.84"/>
    <n v="476000"/>
    <n v="471133.84"/>
    <n v="11204216"/>
    <s v="AMOMPY"/>
    <s v="Momentum Capital Investment S.A."/>
    <s v="23/10/2026"/>
    <s v="23/10/2026"/>
    <n v="29"/>
    <s v="No"/>
    <s v=""/>
    <m/>
    <m/>
    <s v="*MAV041101737"/>
    <s v="*MAV041101737"/>
    <n v="5.76604017288529E-6"/>
  </r>
  <r>
    <x v="0"/>
    <s v="Pesos"/>
    <d v="2026-11-12T00:00:00"/>
    <s v="29/10/2026"/>
    <n v="0.99050205999999996"/>
    <m/>
    <n v="15000000"/>
    <n v="14857530.84"/>
    <n v="15000000"/>
    <n v="14857530.84"/>
    <n v="69911238"/>
    <s v="AMOMPY"/>
    <s v="Momentum Capital Investment S.A."/>
    <s v="23/09/2026"/>
    <s v="23/09/2026"/>
    <n v="25"/>
    <s v="No"/>
    <s v=""/>
    <m/>
    <m/>
    <s v="*TRD101100037"/>
    <s v="*TRD101100037"/>
    <n v="1.8183605680568841E-4"/>
  </r>
  <r>
    <x v="162"/>
    <s v="Pesos"/>
    <d v="2026-11-12T00:00:00"/>
    <s v="29/10/2026"/>
    <n v="0.98975005000000005"/>
    <m/>
    <n v="8000000"/>
    <n v="7918000.4199999999"/>
    <n v="8000000"/>
    <n v="7918000.4199999999"/>
    <n v="761091"/>
    <s v="AMOMPY"/>
    <s v="Momentum Capital Investment S.A."/>
    <s v="25/09/2026"/>
    <s v="25/09/2026"/>
    <n v="27"/>
    <s v="No"/>
    <s v=""/>
    <m/>
    <m/>
    <s v="*AAR101100038"/>
    <s v="*AAR101100038"/>
    <n v="9.6905602260798315E-5"/>
  </r>
  <r>
    <x v="162"/>
    <s v="Pesos"/>
    <d v="2026-11-12T00:00:00"/>
    <s v="29/10/2026"/>
    <n v="0.98637984999999995"/>
    <m/>
    <n v="8560000"/>
    <n v="8443411.5399999991"/>
    <n v="8560000"/>
    <n v="8443411.5399999991"/>
    <n v="13054212"/>
    <s v="AMOMPY"/>
    <s v="Momentum Capital Investment S.A."/>
    <s v="22/04/2026"/>
    <s v="22/04/2026"/>
    <n v="36"/>
    <s v="No"/>
    <s v=""/>
    <m/>
    <m/>
    <s v="*AAR101100035"/>
    <s v="*AAR101100035"/>
    <n v="1.0333592283637118E-4"/>
  </r>
  <r>
    <x v="2"/>
    <s v="Pesos"/>
    <d v="2026-11-12T00:00:00"/>
    <s v="29/10/2026"/>
    <n v="0.98637987999999999"/>
    <m/>
    <n v="3105640.28"/>
    <n v="3063341.1"/>
    <n v="3105640.28"/>
    <n v="3063341.1"/>
    <n v="3376"/>
    <s v="AMOMPY"/>
    <s v="Momentum Capital Investment S.A."/>
    <s v="02/09/2026"/>
    <s v="02/09/2026"/>
    <n v="36"/>
    <s v="No"/>
    <s v=""/>
    <m/>
    <m/>
    <s v="*MAV101101848"/>
    <s v="*MAV101101848"/>
    <n v="3.7491146562196879E-5"/>
  </r>
  <r>
    <x v="2"/>
    <s v="Pesos"/>
    <d v="2026-11-12T00:00:00"/>
    <s v="29/10/2026"/>
    <n v="0.98637986"/>
    <m/>
    <n v="3625698.78"/>
    <n v="3576316.26"/>
    <n v="3625698.78"/>
    <n v="3576316.26"/>
    <n v="3354"/>
    <s v="AMOMPY"/>
    <s v="Momentum Capital Investment S.A."/>
    <s v="28/08/2026"/>
    <s v="28/08/2026"/>
    <n v="36"/>
    <s v="No"/>
    <s v=""/>
    <m/>
    <m/>
    <s v="*MAV101101827"/>
    <s v="*MAV101101827"/>
    <n v="4.3769267828655379E-5"/>
  </r>
  <r>
    <x v="2"/>
    <s v="Pesos"/>
    <d v="2026-11-12T00:00:00"/>
    <s v="29/10/2026"/>
    <n v="0.98637989000000004"/>
    <m/>
    <n v="2510000.36"/>
    <n v="2475813.89"/>
    <n v="2510000.36"/>
    <n v="2475813.89"/>
    <n v="3163"/>
    <s v="AMOMPY"/>
    <s v="Momentum Capital Investment S.A."/>
    <s v="19/08/2026"/>
    <s v="19/08/2026"/>
    <n v="36"/>
    <s v="No"/>
    <s v=""/>
    <m/>
    <m/>
    <s v="*MAV101101772"/>
    <s v="*MAV101101772"/>
    <n v="3.0300609165173533E-5"/>
  </r>
  <r>
    <x v="2"/>
    <s v="Pesos"/>
    <d v="2026-11-12T00:00:00"/>
    <s v="29/10/2026"/>
    <n v="0.98637986"/>
    <m/>
    <n v="2874176.47"/>
    <n v="2835029.79"/>
    <n v="2874176.47"/>
    <n v="2835029.79"/>
    <n v="3424"/>
    <s v="AMOMPY"/>
    <s v="Momentum Capital Investment S.A."/>
    <s v="08/09/2026"/>
    <s v="08/09/2026"/>
    <n v="36"/>
    <s v="No"/>
    <s v=""/>
    <m/>
    <m/>
    <s v="*MAV101101891"/>
    <s v="*MAV101101891"/>
    <n v="3.4696925316310425E-5"/>
  </r>
  <r>
    <x v="2"/>
    <s v="Pesos"/>
    <d v="2026-11-12T00:00:00"/>
    <s v="29/10/2026"/>
    <n v="0.98675323999999998"/>
    <m/>
    <n v="1250300.6499999999"/>
    <n v="1233738.22"/>
    <n v="1250300.6499999999"/>
    <n v="1233738.22"/>
    <n v="3586"/>
    <s v="AMOMPY"/>
    <s v="Momentum Capital Investment S.A."/>
    <s v="17/09/2026"/>
    <s v="17/09/2026"/>
    <n v="35"/>
    <s v="No"/>
    <s v=""/>
    <m/>
    <m/>
    <s v="*MAV101102002"/>
    <s v="*MAV101102002"/>
    <n v="1.5099285034044655E-5"/>
  </r>
  <r>
    <x v="2"/>
    <s v="Pesos"/>
    <d v="2026-11-12T00:00:00"/>
    <s v="29/10/2026"/>
    <n v="0.98675323000000004"/>
    <m/>
    <n v="1555000.5"/>
    <n v="1534401.77"/>
    <n v="1555000.5"/>
    <n v="1534401.77"/>
    <n v="3585"/>
    <s v="AMOMPY"/>
    <s v="Momentum Capital Investment S.A."/>
    <s v="17/09/2026"/>
    <s v="16/09/2026"/>
    <n v="35"/>
    <s v="No"/>
    <s v=""/>
    <m/>
    <m/>
    <s v="*MAV101102001"/>
    <s v="*MAV101102001"/>
    <n v="1.8778999715168611E-5"/>
  </r>
  <r>
    <x v="183"/>
    <s v="Pesos"/>
    <d v="2026-11-12T00:00:00"/>
    <s v="29/10/2026"/>
    <n v="0.98750070000000001"/>
    <m/>
    <n v="437966.99"/>
    <n v="432492.71"/>
    <n v="437966.99"/>
    <n v="432492.71"/>
    <n v="2303621"/>
    <s v="AMOMPY"/>
    <s v="Momentum Capital Investment S.A."/>
    <s v="16/09/2026"/>
    <s v="16/09/2026"/>
    <n v="33"/>
    <s v="No"/>
    <s v=""/>
    <m/>
    <m/>
    <s v="*MAV101101989"/>
    <s v="*MAV101101989"/>
    <n v="5.2931250710838929E-6"/>
  </r>
  <r>
    <x v="163"/>
    <s v="Pesos"/>
    <d v="2026-11-12T00:00:00"/>
    <s v="29/10/2026"/>
    <n v="0.98750073999999999"/>
    <m/>
    <n v="3600000"/>
    <n v="3555002.67"/>
    <n v="3600000"/>
    <n v="3555002.67"/>
    <n v="13870043"/>
    <s v="AMOMPY"/>
    <s v="Momentum Capital Investment S.A."/>
    <s v="21/09/2026"/>
    <s v="21/09/2026"/>
    <n v="33"/>
    <s v="No"/>
    <s v=""/>
    <m/>
    <m/>
    <s v="*MAV101102021"/>
    <s v="*MAV101102021"/>
    <n v="4.3508418350790646E-5"/>
  </r>
  <r>
    <x v="54"/>
    <s v="Pesos"/>
    <d v="2026-11-12T00:00:00"/>
    <s v="29/10/2026"/>
    <n v="0.98899908999999997"/>
    <m/>
    <n v="11000000"/>
    <n v="10878990.039999999"/>
    <n v="11000000"/>
    <n v="10878990.039999999"/>
    <n v="90000056"/>
    <s v="AMOMPY"/>
    <s v="Momentum Capital Investment S.A."/>
    <s v="02/07/2026"/>
    <s v="02/07/2026"/>
    <n v="29"/>
    <s v="No"/>
    <s v=""/>
    <m/>
    <m/>
    <s v="*INP101100071"/>
    <s v="*INP101100071"/>
    <n v="1.3314410531635541E-4"/>
  </r>
  <r>
    <x v="32"/>
    <s v="Pesos"/>
    <d v="2026-11-12T00:00:00"/>
    <s v="29/10/2026"/>
    <n v="0.98750068000000002"/>
    <m/>
    <n v="5300000"/>
    <n v="5233753.62"/>
    <n v="5300000"/>
    <n v="5233753.62"/>
    <n v="8175679"/>
    <s v="AMOMPY"/>
    <s v="Momentum Capital Investment S.A."/>
    <s v="15/09/2026"/>
    <s v="15/09/2026"/>
    <n v="33"/>
    <s v="No"/>
    <s v=""/>
    <m/>
    <m/>
    <s v="*MAV101101970"/>
    <s v="*MAV101101970"/>
    <n v="6.4054056545596066E-5"/>
  </r>
  <r>
    <x v="184"/>
    <s v="Pesos"/>
    <d v="2026-11-12T00:00:00"/>
    <s v="29/10/2026"/>
    <n v="0.98787486000000002"/>
    <m/>
    <n v="8123170.71"/>
    <n v="8024676.1299999999"/>
    <n v="8123170.71"/>
    <n v="8024676.1299999999"/>
    <n v="11244"/>
    <s v="AMOMPY"/>
    <s v="Momentum Capital Investment S.A."/>
    <s v="15/09/2026"/>
    <s v="15/09/2026"/>
    <n v="32"/>
    <s v="No"/>
    <s v=""/>
    <m/>
    <m/>
    <s v="*MAV101101981"/>
    <s v="*MAV101101981"/>
    <n v="9.8211168486588978E-5"/>
  </r>
  <r>
    <x v="185"/>
    <s v="Pesos"/>
    <d v="2026-11-12T00:00:00"/>
    <s v="29/10/2026"/>
    <n v="0.98787486000000002"/>
    <m/>
    <n v="428767.71"/>
    <n v="423568.84"/>
    <n v="428767.71"/>
    <n v="423568.84"/>
    <n v="1975205"/>
    <s v="AMOMPY"/>
    <s v="Momentum Capital Investment S.A."/>
    <s v="15/09/2026"/>
    <s v="15/09/2026"/>
    <n v="32"/>
    <s v="No"/>
    <s v=""/>
    <m/>
    <m/>
    <s v="*MAV101101980"/>
    <s v="*MAV101101980"/>
    <n v="5.1839089873536186E-6"/>
  </r>
  <r>
    <x v="186"/>
    <s v="Pesos"/>
    <d v="2026-11-12T00:00:00"/>
    <s v="29/10/2026"/>
    <n v="0.98787486000000002"/>
    <m/>
    <n v="17763197.079999998"/>
    <n v="17547815.82"/>
    <n v="17763197.079999998"/>
    <n v="17547815.82"/>
    <n v="1313"/>
    <s v="AMOMPY"/>
    <s v="Momentum Capital Investment S.A."/>
    <s v="15/09/2026"/>
    <s v="15/09/2026"/>
    <n v="32"/>
    <s v="No"/>
    <s v=""/>
    <m/>
    <m/>
    <s v="*MAV101101979"/>
    <s v="*MAV101101979"/>
    <n v="2.1476150166694036E-4"/>
  </r>
  <r>
    <x v="187"/>
    <s v="Pesos"/>
    <d v="2026-11-12T00:00:00"/>
    <s v="29/10/2026"/>
    <n v="0.98787488000000001"/>
    <m/>
    <n v="37348528.700000003"/>
    <n v="36895673.329999998"/>
    <n v="37348528.700000003"/>
    <n v="36895673.329999998"/>
    <n v="259"/>
    <s v="AMOMPY"/>
    <s v="Momentum Capital Investment S.A."/>
    <s v="16/09/2026"/>
    <s v="16/09/2026"/>
    <n v="32"/>
    <s v="No"/>
    <s v=""/>
    <m/>
    <m/>
    <s v="*MAV101101988"/>
    <s v="*MAV101101988"/>
    <n v="4.5155307592940544E-4"/>
  </r>
  <r>
    <x v="6"/>
    <s v="Pesos"/>
    <d v="2026-11-12T00:00:00"/>
    <s v="29/10/2026"/>
    <n v="0.98937443000000003"/>
    <m/>
    <n v="1105641.8600000001"/>
    <n v="1093893.79"/>
    <n v="1105641.8600000001"/>
    <n v="1093893.79"/>
    <n v="70204268"/>
    <s v="AMOMPY"/>
    <s v="Momentum Capital Investment S.A."/>
    <s v="08/10/2026"/>
    <s v="08/10/2026"/>
    <n v="28"/>
    <s v="No"/>
    <s v=""/>
    <m/>
    <m/>
    <s v="*CRE051100156"/>
    <s v="*CRE051100156"/>
    <n v="1.3387778593891165E-5"/>
  </r>
  <r>
    <x v="6"/>
    <s v="Pesos"/>
    <d v="2026-11-12T00:00:00"/>
    <s v="29/10/2026"/>
    <n v="0.98937443000000003"/>
    <m/>
    <n v="1421910.06"/>
    <n v="1406801.46"/>
    <n v="1421910.06"/>
    <n v="1406801.46"/>
    <n v="27"/>
    <s v="AMOMPY"/>
    <s v="Momentum Capital Investment S.A."/>
    <s v="08/10/2026"/>
    <s v="08/10/2026"/>
    <n v="28"/>
    <s v="No"/>
    <s v=""/>
    <m/>
    <m/>
    <s v="*CRE051100157"/>
    <s v="*CRE051100157"/>
    <n v="1.721734472232705E-5"/>
  </r>
  <r>
    <x v="6"/>
    <s v="Pesos"/>
    <d v="2026-11-12T00:00:00"/>
    <s v="29/10/2026"/>
    <n v="0.98937443000000003"/>
    <m/>
    <n v="609847.96"/>
    <n v="603367.98"/>
    <n v="609847.96"/>
    <n v="603367.98"/>
    <n v="142"/>
    <s v="AMOMPY"/>
    <s v="Momentum Capital Investment S.A."/>
    <s v="08/10/2026"/>
    <s v="08/10/2026"/>
    <n v="28"/>
    <s v="No"/>
    <s v=""/>
    <m/>
    <m/>
    <s v="*CRE051100158"/>
    <s v="*CRE051100158"/>
    <n v="7.384406969604747E-6"/>
  </r>
  <r>
    <x v="6"/>
    <s v="Pesos"/>
    <d v="2026-11-12T00:00:00"/>
    <s v="29/10/2026"/>
    <n v="0.98937443000000003"/>
    <m/>
    <n v="944731.7"/>
    <n v="934693.39"/>
    <n v="944731.7"/>
    <n v="934693.39"/>
    <n v="2013205"/>
    <s v="AMOMPY"/>
    <s v="Momentum Capital Investment S.A."/>
    <s v="08/10/2026"/>
    <s v="08/10/2026"/>
    <n v="28"/>
    <s v="No"/>
    <s v=""/>
    <m/>
    <m/>
    <s v="*CRE051100159"/>
    <s v="*CRE051100159"/>
    <n v="1.1439381293583873E-5"/>
  </r>
  <r>
    <x v="171"/>
    <s v="Pesos"/>
    <d v="2026-11-12T00:00:00"/>
    <s v="29/10/2026"/>
    <n v="0.98750073000000005"/>
    <m/>
    <n v="2170000"/>
    <n v="2142876.58"/>
    <n v="2170000"/>
    <n v="2142876.58"/>
    <n v="260730"/>
    <s v="AMOMPY"/>
    <s v="Momentum Capital Investment S.A."/>
    <s v="27/08/2026"/>
    <s v="27/08/2026"/>
    <n v="33"/>
    <s v="No"/>
    <s v=""/>
    <m/>
    <m/>
    <s v="*MAV101101816"/>
    <s v="*MAV101101816"/>
    <n v="2.6225907368095313E-5"/>
  </r>
  <r>
    <x v="140"/>
    <s v="Pesos"/>
    <d v="2026-11-12T00:00:00"/>
    <s v="29/10/2026"/>
    <n v="0.98637989000000004"/>
    <m/>
    <n v="3140560.45"/>
    <n v="3097785.66"/>
    <n v="3140560.45"/>
    <n v="3097785.66"/>
    <n v="1118"/>
    <s v="AMOMPY"/>
    <s v="Momentum Capital Investment S.A."/>
    <s v="02/09/2026"/>
    <s v="02/09/2026"/>
    <n v="36"/>
    <s v="No"/>
    <s v=""/>
    <m/>
    <m/>
    <s v="*MAV101101849"/>
    <s v="*MAV101101849"/>
    <n v="3.7912701330364997E-5"/>
  </r>
  <r>
    <x v="188"/>
    <s v="Pesos"/>
    <d v="2026-11-12T00:00:00"/>
    <s v="29/10/2026"/>
    <n v="0.98937441999999998"/>
    <m/>
    <n v="50000000"/>
    <n v="49468721.159999996"/>
    <n v="50000000"/>
    <n v="49468721.159999996"/>
    <n v="30"/>
    <s v="AMOMPY"/>
    <s v="Momentum Capital Investment S.A."/>
    <s v="12/08/2026"/>
    <s v="12/08/2026"/>
    <n v="28"/>
    <s v="No"/>
    <s v=""/>
    <m/>
    <m/>
    <s v="*MAV101101709"/>
    <s v="*MAV101101709"/>
    <n v="6.0543015443301749E-4"/>
  </r>
  <r>
    <x v="105"/>
    <s v="Pesos"/>
    <d v="2026-11-12T00:00:00"/>
    <s v="29/10/2026"/>
    <n v="0.98787486999999996"/>
    <m/>
    <n v="40000000"/>
    <n v="39514994.899999999"/>
    <n v="40000000"/>
    <n v="39514994.899999999"/>
    <n v="13953441"/>
    <s v="AMOMPY"/>
    <s v="Momentum Capital Investment S.A."/>
    <s v="31/07/2026"/>
    <s v="31/07/2026"/>
    <n v="32"/>
    <s v="No"/>
    <s v=""/>
    <m/>
    <m/>
    <s v="*MAV101101649"/>
    <s v="*MAV101101649"/>
    <n v="4.836100247538095E-4"/>
  </r>
  <r>
    <x v="107"/>
    <s v="Pesos"/>
    <d v="2026-11-12T00:00:00"/>
    <s v="29/10/2026"/>
    <n v="0.98750088000000003"/>
    <m/>
    <n v="14698.63"/>
    <n v="14514.91"/>
    <n v="14698.63"/>
    <n v="14514.91"/>
    <n v="122352"/>
    <s v="AMOMPY"/>
    <s v="Momentum Capital Investment S.A."/>
    <s v="14/09/2026"/>
    <s v="14/09/2026"/>
    <n v="33"/>
    <s v="No"/>
    <s v=""/>
    <m/>
    <m/>
    <s v="*MAV101101947"/>
    <s v="*MAV101101947"/>
    <n v="1.7764284171524257E-7"/>
  </r>
  <r>
    <x v="189"/>
    <s v="Pesos"/>
    <d v="2026-11-12T00:00:00"/>
    <s v="29/10/2026"/>
    <n v="0.98750070000000001"/>
    <m/>
    <n v="30000000"/>
    <n v="29625020.890000001"/>
    <n v="30000000"/>
    <n v="29625020.890000001"/>
    <n v="475883"/>
    <s v="AMOMPY"/>
    <s v="Momentum Capital Investment S.A."/>
    <s v="07/08/2026"/>
    <s v="07/08/2026"/>
    <n v="33"/>
    <s v="No"/>
    <s v=""/>
    <m/>
    <m/>
    <s v="*MAV101101680"/>
    <s v="*MAV101101680"/>
    <n v="3.625701362786972E-4"/>
  </r>
  <r>
    <x v="12"/>
    <s v="Pesos"/>
    <d v="2026-11-12T00:00:00"/>
    <s v="29/10/2026"/>
    <n v="0.98787486999999996"/>
    <m/>
    <n v="16498838.289999999"/>
    <n v="16298787.77"/>
    <n v="16498838.289999999"/>
    <n v="16298787.77"/>
    <n v="30851"/>
    <s v="AMOMPY"/>
    <s v="Momentum Capital Investment S.A."/>
    <s v="31/07/2026"/>
    <s v="31/07/2026"/>
    <n v="32"/>
    <s v="No"/>
    <s v=""/>
    <m/>
    <m/>
    <s v="*MAV101101648"/>
    <s v="*MAV101101648"/>
    <n v="1.9947508981980883E-4"/>
  </r>
  <r>
    <x v="12"/>
    <s v="Pesos"/>
    <d v="2026-11-12T00:00:00"/>
    <s v="29/10/2026"/>
    <n v="0.98787486999999996"/>
    <m/>
    <n v="11829797.539999999"/>
    <n v="11686359.74"/>
    <n v="11829797.539999999"/>
    <n v="11686359.74"/>
    <n v="30895"/>
    <s v="AMOMPY"/>
    <s v="Momentum Capital Investment S.A."/>
    <s v="31/07/2026"/>
    <s v="31/07/2026"/>
    <n v="32"/>
    <s v="No"/>
    <s v=""/>
    <m/>
    <m/>
    <s v="*MAV101101650"/>
    <s v="*MAV101101650"/>
    <n v="1.4302521707128761E-4"/>
  </r>
  <r>
    <x v="13"/>
    <s v="Pesos"/>
    <d v="2026-11-12T00:00:00"/>
    <s v="29/10/2026"/>
    <n v="0.98526159000000002"/>
    <m/>
    <n v="3750000"/>
    <n v="3694730.96"/>
    <n v="3750000"/>
    <n v="3694730.96"/>
    <n v="66918856"/>
    <s v="AMOMPY"/>
    <s v="Momentum Capital Investment S.A."/>
    <s v="13/05/2026"/>
    <s v="13/05/2026"/>
    <n v="39"/>
    <s v="No"/>
    <s v=""/>
    <m/>
    <m/>
    <s v="*MAV101101561"/>
    <s v="*MAV101101561"/>
    <n v="4.521850339462568E-5"/>
  </r>
  <r>
    <x v="152"/>
    <s v="Pesos"/>
    <d v="2026-11-12T00:00:00"/>
    <s v="29/10/2026"/>
    <n v="0.98637989000000004"/>
    <m/>
    <n v="1555000.5"/>
    <n v="1533821.23"/>
    <n v="1555000.5"/>
    <n v="1533821.23"/>
    <n v="507"/>
    <s v="AMOMPY"/>
    <s v="Momentum Capital Investment S.A."/>
    <s v="19/08/2026"/>
    <s v="19/08/2026"/>
    <n v="36"/>
    <s v="No"/>
    <s v=""/>
    <m/>
    <m/>
    <s v="*MAV101101773"/>
    <s v="*MAV101101773"/>
    <n v="1.8771894691759624E-5"/>
  </r>
  <r>
    <x v="80"/>
    <s v="Pesos"/>
    <d v="2026-11-12T00:00:00"/>
    <s v="29/10/2026"/>
    <n v="0.98862412"/>
    <m/>
    <n v="2500000"/>
    <n v="2471560.31"/>
    <n v="2500000"/>
    <n v="2471560.31"/>
    <n v="361"/>
    <s v="AMOMPY"/>
    <s v="Momentum Capital Investment S.A."/>
    <s v="25/09/2026"/>
    <s v="25/09/2026"/>
    <n v="30"/>
    <s v="No"/>
    <s v=""/>
    <m/>
    <m/>
    <s v="*MAV061101354"/>
    <s v="*MAV061101354"/>
    <n v="3.0248551106345535E-5"/>
  </r>
  <r>
    <x v="25"/>
    <s v="Pesos"/>
    <d v="2026-11-12T00:00:00"/>
    <s v="29/10/2026"/>
    <n v="0.98899908999999997"/>
    <m/>
    <n v="17118303"/>
    <n v="16929986.010000002"/>
    <n v="17118303"/>
    <n v="16929986.010000002"/>
    <n v="27672"/>
    <s v="AMOMPY"/>
    <s v="Momentum Capital Investment S.A."/>
    <s v="30/04/2026"/>
    <s v="30/04/2026"/>
    <n v="29"/>
    <s v="No"/>
    <s v=""/>
    <m/>
    <m/>
    <s v="*NEU101100035"/>
    <s v="*NEU101100035"/>
    <n v="2.0720010148293728E-4"/>
  </r>
  <r>
    <x v="178"/>
    <s v="Pesos"/>
    <d v="2026-11-12T00:00:00"/>
    <s v="29/10/2026"/>
    <n v="0.98750073000000005"/>
    <m/>
    <n v="40000000"/>
    <n v="39500029.159999996"/>
    <n v="40000000"/>
    <n v="39500029.159999996"/>
    <n v="9795687"/>
    <s v="AMOMPY"/>
    <s v="Momentum Capital Investment S.A."/>
    <s v="10/09/2026"/>
    <s v="10/09/2026"/>
    <n v="33"/>
    <s v="No"/>
    <s v=""/>
    <m/>
    <m/>
    <s v="*MAV101101917"/>
    <s v="*MAV101101917"/>
    <n v="4.8342686436342666E-4"/>
  </r>
  <r>
    <x v="58"/>
    <s v="Pesos"/>
    <d v="2026-11-12T00:00:00"/>
    <s v="29/10/2026"/>
    <n v="0.98563411000000001"/>
    <m/>
    <n v="155000000"/>
    <n v="152773286.59"/>
    <n v="155000000"/>
    <n v="152773286.59"/>
    <n v="70411289"/>
    <s v="AMOMPY"/>
    <s v="Momentum Capital Investment S.A."/>
    <s v="24/09/2026"/>
    <s v="24/09/2026"/>
    <n v="38"/>
    <s v="No"/>
    <s v=""/>
    <m/>
    <m/>
    <s v="*MAV101102059"/>
    <s v="*MAV101102059"/>
    <n v="1.869738136028729E-3"/>
  </r>
  <r>
    <x v="58"/>
    <s v="Pesos"/>
    <d v="2026-11-12T00:00:00"/>
    <s v="29/10/2026"/>
    <n v="0.98563411999999995"/>
    <m/>
    <n v="150000000"/>
    <n v="147845117.72"/>
    <n v="150000000"/>
    <n v="147845117.72"/>
    <n v="70406569"/>
    <s v="AMOMPY"/>
    <s v="Momentum Capital Investment S.A."/>
    <s v="07/09/2026"/>
    <s v="07/09/2026"/>
    <n v="38"/>
    <s v="No"/>
    <s v=""/>
    <m/>
    <m/>
    <s v="*MAV101101881"/>
    <s v="*MAV101101881"/>
    <n v="1.8094240229877667E-3"/>
  </r>
  <r>
    <x v="44"/>
    <s v="Pesos"/>
    <d v="2026-11-12T00:00:00"/>
    <s v="29/10/2026"/>
    <n v="0.98787486999999996"/>
    <m/>
    <n v="10000000"/>
    <n v="9878748.6899999995"/>
    <n v="10000000"/>
    <n v="9878748.6899999995"/>
    <n v="14422574"/>
    <s v="AMOMPY"/>
    <s v="Momentum Capital Investment S.A."/>
    <s v="01/09/2026"/>
    <s v="01/09/2026"/>
    <n v="32"/>
    <s v="No"/>
    <s v=""/>
    <m/>
    <m/>
    <s v="*MAV101101833"/>
    <s v="*MAV101101833"/>
    <n v="1.2090250576009976E-4"/>
  </r>
  <r>
    <x v="190"/>
    <s v="Pesos"/>
    <d v="2026-11-12T00:00:00"/>
    <s v="29/10/2026"/>
    <n v="0.98675325999999997"/>
    <m/>
    <n v="13171884.07"/>
    <n v="12997399.560000001"/>
    <n v="13171884.07"/>
    <n v="12997399.560000001"/>
    <n v="60"/>
    <s v="AMOMPY"/>
    <s v="Momentum Capital Investment S.A."/>
    <s v="19/10/2026"/>
    <s v="19/10/2026"/>
    <n v="35"/>
    <s v="No"/>
    <s v=""/>
    <m/>
    <m/>
    <s v="%DHE101100001"/>
    <s v="%DHE101100001"/>
    <n v="1.5907056900434406E-4"/>
  </r>
  <r>
    <x v="191"/>
    <s v="Pesos"/>
    <d v="2026-11-12T00:00:00"/>
    <s v="29/10/2026"/>
    <n v="0.98824933999999998"/>
    <m/>
    <n v="4753002.9800000004"/>
    <n v="4697152.04"/>
    <n v="4753002.9800000004"/>
    <n v="4697152.04"/>
    <n v="113295"/>
    <s v="AMOMPY"/>
    <s v="Momentum Capital Investment S.A."/>
    <s v="23/09/2026"/>
    <s v="23/09/2026"/>
    <n v="31"/>
    <s v="No"/>
    <s v=""/>
    <m/>
    <m/>
    <s v="*MAV101102045"/>
    <s v="*MAV101102045"/>
    <n v="5.7486779894201802E-5"/>
  </r>
  <r>
    <x v="26"/>
    <s v="Pesos"/>
    <d v="2026-11-12T00:00:00"/>
    <s v="29/10/2026"/>
    <n v="0.98862406999999997"/>
    <m/>
    <n v="5000000"/>
    <n v="4943120.33"/>
    <n v="5000000"/>
    <n v="4943120.33"/>
    <n v="1368"/>
    <s v="AMOMPY"/>
    <s v="Momentum Capital Investment S.A."/>
    <s v="07/10/2026"/>
    <s v="07/10/2026"/>
    <n v="30"/>
    <s v="No"/>
    <s v=""/>
    <m/>
    <m/>
    <s v="*MAV041101578"/>
    <s v="*MAV041101578"/>
    <n v="6.0497098663483796E-5"/>
  </r>
  <r>
    <x v="26"/>
    <s v="Pesos"/>
    <d v="2026-11-12T00:00:00"/>
    <s v="29/10/2026"/>
    <n v="0.98862413000000005"/>
    <m/>
    <n v="5000000"/>
    <n v="4943120.6399999997"/>
    <n v="5000000"/>
    <n v="4943120.6399999997"/>
    <n v="1351"/>
    <s v="AMOMPY"/>
    <s v="Momentum Capital Investment S.A."/>
    <s v="02/10/2026"/>
    <s v="02/10/2026"/>
    <n v="30"/>
    <s v="No"/>
    <s v=""/>
    <m/>
    <m/>
    <s v="*MAV051101425"/>
    <s v="*MAV051101425"/>
    <n v="6.0497102457463975E-5"/>
  </r>
  <r>
    <x v="26"/>
    <s v="Pesos"/>
    <d v="2026-11-12T00:00:00"/>
    <s v="29/10/2026"/>
    <n v="0.98862412"/>
    <m/>
    <n v="6000000"/>
    <n v="5931744.6900000004"/>
    <n v="6000000"/>
    <n v="5931744.6900000004"/>
    <n v="1356"/>
    <s v="AMOMPY"/>
    <s v="Momentum Capital Investment S.A."/>
    <s v="05/10/2026"/>
    <s v="05/10/2026"/>
    <n v="30"/>
    <s v="No"/>
    <s v=""/>
    <m/>
    <m/>
    <s v="*MAV051101439"/>
    <s v="*MAV051101439"/>
    <n v="7.2596521994342412E-5"/>
  </r>
  <r>
    <x v="26"/>
    <s v="Pesos"/>
    <d v="2026-11-12T00:00:00"/>
    <s v="29/10/2026"/>
    <n v="0.98862406999999997"/>
    <m/>
    <n v="4250000"/>
    <n v="4201652.3"/>
    <n v="4250000"/>
    <n v="4201652.3"/>
    <n v="1330"/>
    <s v="AMOMPY"/>
    <s v="Momentum Capital Investment S.A."/>
    <s v="30/09/2026"/>
    <s v="30/09/2026"/>
    <n v="30"/>
    <s v="No"/>
    <s v=""/>
    <m/>
    <m/>
    <s v="*MAV051101398"/>
    <s v="*MAV051101398"/>
    <n v="5.1422534102614813E-5"/>
  </r>
  <r>
    <x v="192"/>
    <s v="Pesos"/>
    <d v="2026-11-12T00:00:00"/>
    <s v="29/10/2026"/>
    <n v="0.98824933999999998"/>
    <m/>
    <n v="694088.77"/>
    <n v="685932.77"/>
    <n v="694088.77"/>
    <n v="685932.77"/>
    <n v="37825"/>
    <s v="AMOMPY"/>
    <s v="Momentum Capital Investment S.A."/>
    <s v="23/09/2026"/>
    <s v="23/09/2026"/>
    <n v="31"/>
    <s v="No"/>
    <s v=""/>
    <m/>
    <m/>
    <s v="*MAV101102040"/>
    <s v="*MAV101102040"/>
    <n v="8.3948881865893681E-6"/>
  </r>
  <r>
    <x v="123"/>
    <s v="Pesos"/>
    <d v="2026-11-12T00:00:00"/>
    <s v="29/10/2026"/>
    <n v="0.98712681000000002"/>
    <m/>
    <n v="4000000"/>
    <n v="3948507.24"/>
    <n v="4000000"/>
    <n v="3948507.24"/>
    <n v="90000052"/>
    <s v="AMOMPY"/>
    <s v="Momentum Capital Investment S.A."/>
    <s v="11/06/2026"/>
    <s v="11/06/2026"/>
    <n v="34"/>
    <s v="No"/>
    <s v=""/>
    <m/>
    <m/>
    <s v="*MAV101101571"/>
    <s v="*MAV101101571"/>
    <n v="4.8324381387608283E-5"/>
  </r>
  <r>
    <x v="87"/>
    <s v="Pesos"/>
    <d v="2026-11-12T00:00:00"/>
    <s v="29/10/2026"/>
    <n v="0.98787491000000005"/>
    <m/>
    <n v="20000000"/>
    <n v="19757498.280000001"/>
    <n v="20000000"/>
    <n v="19757498.280000001"/>
    <n v="739"/>
    <s v="AMOMPY"/>
    <s v="Momentum Capital Investment S.A."/>
    <s v="21/09/2026"/>
    <s v="21/09/2026"/>
    <n v="32"/>
    <s v="No"/>
    <s v=""/>
    <m/>
    <m/>
    <s v="*MAV101102020"/>
    <s v="*MAV101102020"/>
    <n v="2.4180502253498074E-4"/>
  </r>
  <r>
    <x v="193"/>
    <s v="Pesos"/>
    <d v="2026-11-12T00:00:00"/>
    <s v="29/10/2026"/>
    <n v="0.98750079000000002"/>
    <m/>
    <n v="1826115"/>
    <n v="1803290.01"/>
    <n v="1826115"/>
    <n v="1803290.01"/>
    <n v="68788642"/>
    <s v="AMOMPY"/>
    <s v="Momentum Capital Investment S.A."/>
    <s v="13/10/2026"/>
    <s v="13/10/2026"/>
    <n v="33"/>
    <s v="No"/>
    <s v=""/>
    <m/>
    <m/>
    <s v="*MAV051101557"/>
    <s v="*MAV051101557"/>
    <n v="2.2069827633316926E-5"/>
  </r>
  <r>
    <x v="134"/>
    <s v="Pesos"/>
    <d v="2026-11-12T00:00:00"/>
    <s v="29/10/2026"/>
    <n v="0.98862410000000001"/>
    <m/>
    <n v="5000000"/>
    <n v="4943120.5"/>
    <n v="5000000"/>
    <n v="4943120.5"/>
    <n v="970"/>
    <s v="AMOMPY"/>
    <s v="Momentum Capital Investment S.A."/>
    <s v="15/10/2026"/>
    <s v="15/10/2026"/>
    <n v="30"/>
    <s v="No"/>
    <s v=""/>
    <m/>
    <m/>
    <s v="*MAV051101582"/>
    <s v="*MAV051101582"/>
    <n v="6.0497100744053576E-5"/>
  </r>
  <r>
    <x v="1"/>
    <s v="Pesos"/>
    <d v="2026-11-12T00:00:00"/>
    <s v="29/10/2026"/>
    <n v="0.98974998999999997"/>
    <m/>
    <n v="17861208.649999999"/>
    <n v="17678131.050000001"/>
    <n v="17861208.649999999"/>
    <n v="17678131.050000001"/>
    <n v="23266"/>
    <s v="AMOMPY"/>
    <s v="Momentum Capital Investment S.A."/>
    <s v="22/09/2026"/>
    <s v="22/09/2026"/>
    <n v="27"/>
    <s v="No"/>
    <s v=""/>
    <m/>
    <m/>
    <s v="*AFB101100013"/>
    <s v="*AFB101100013"/>
    <n v="2.1635638360392623E-4"/>
  </r>
  <r>
    <x v="29"/>
    <s v="Pesos"/>
    <d v="2026-11-12T00:00:00"/>
    <s v="29/10/2026"/>
    <n v="0.98862406999999997"/>
    <m/>
    <n v="10000000"/>
    <n v="9886240.6799999997"/>
    <n v="10000000"/>
    <n v="9886240.6799999997"/>
    <n v="68856243"/>
    <s v="AMOMPY"/>
    <s v="Momentum Capital Investment S.A."/>
    <s v="14/08/2026"/>
    <s v="14/08/2026"/>
    <n v="30"/>
    <s v="No"/>
    <s v=""/>
    <m/>
    <m/>
    <s v="*MIL101100039"/>
    <s v="*MIL101100039"/>
    <n v="1.209941975717405E-4"/>
  </r>
  <r>
    <x v="136"/>
    <s v="Pesos"/>
    <d v="2026-11-12T00:00:00"/>
    <s v="29/10/2026"/>
    <n v="0.98862404999999998"/>
    <m/>
    <n v="2700000"/>
    <n v="2669284.94"/>
    <n v="2700000"/>
    <n v="2669284.94"/>
    <n v="6912"/>
    <s v="AMOMPY"/>
    <s v="Momentum Capital Investment S.A."/>
    <s v="11/09/2026"/>
    <s v="11/09/2026"/>
    <n v="30"/>
    <s v="No"/>
    <s v=""/>
    <m/>
    <m/>
    <s v="*MAV101101936"/>
    <s v="*MAV101101936"/>
    <n v="3.2668432810764983E-5"/>
  </r>
  <r>
    <x v="194"/>
    <s v="Pesos"/>
    <d v="2026-11-12T00:00:00"/>
    <s v="29/10/2026"/>
    <n v="0.98712679999999997"/>
    <m/>
    <n v="5400000"/>
    <n v="5330484.72"/>
    <n v="5400000"/>
    <n v="5330484.72"/>
    <n v="162799"/>
    <s v="AMOMPY"/>
    <s v="Momentum Capital Investment S.A."/>
    <s v="28/08/2026"/>
    <s v="28/08/2026"/>
    <n v="34"/>
    <s v="No"/>
    <s v=""/>
    <m/>
    <m/>
    <s v="#MAV111160034"/>
    <s v="#MAV111160034"/>
    <n v="6.5237914212384302E-5"/>
  </r>
  <r>
    <x v="194"/>
    <s v="Pesos"/>
    <d v="2026-11-12T00:00:00"/>
    <s v="29/10/2026"/>
    <n v="0.98750079000000002"/>
    <m/>
    <n v="5700000"/>
    <n v="5628754.5199999996"/>
    <n v="5700000"/>
    <n v="5628754.5199999996"/>
    <n v="168841"/>
    <s v="AMOMPY"/>
    <s v="Momentum Capital Investment S.A."/>
    <s v="13/10/2026"/>
    <s v="13/10/2026"/>
    <n v="33"/>
    <s v="No"/>
    <s v=""/>
    <m/>
    <m/>
    <s v="#MAV091160057"/>
    <s v="#MAV091160057"/>
    <n v="6.8888332635222408E-5"/>
  </r>
  <r>
    <x v="26"/>
    <s v="Pesos"/>
    <d v="2026-11-12T00:00:00"/>
    <s v="29/10/2026"/>
    <n v="0.98787486999999996"/>
    <m/>
    <n v="3000000"/>
    <n v="2963624.61"/>
    <n v="3000000"/>
    <n v="2963624.61"/>
    <n v="1054"/>
    <s v="AMOMPY"/>
    <s v="Momentum Capital Investment S.A."/>
    <s v="25/08/2026"/>
    <s v="25/08/2026"/>
    <n v="32"/>
    <s v="No"/>
    <s v=""/>
    <m/>
    <m/>
    <s v="*MAV101101799"/>
    <s v="*MAV101101799"/>
    <n v="3.6270751764745869E-5"/>
  </r>
  <r>
    <x v="26"/>
    <s v="Pesos"/>
    <d v="2026-11-12T00:00:00"/>
    <s v="29/10/2026"/>
    <n v="0.98750070999999995"/>
    <m/>
    <n v="2500000"/>
    <n v="2468751.77"/>
    <n v="2500000"/>
    <n v="2468751.77"/>
    <n v="1017"/>
    <s v="AMOMPY"/>
    <s v="Momentum Capital Investment S.A."/>
    <s v="19/08/2026"/>
    <s v="19/08/2026"/>
    <n v="33"/>
    <s v="No"/>
    <s v=""/>
    <m/>
    <m/>
    <s v="*MAV101101776"/>
    <s v="*MAV101101776"/>
    <n v="3.0214178380185266E-5"/>
  </r>
  <r>
    <x v="26"/>
    <s v="Pesos"/>
    <d v="2026-11-12T00:00:00"/>
    <s v="29/10/2026"/>
    <n v="0.98862406000000003"/>
    <m/>
    <n v="2500000"/>
    <n v="2471560.15"/>
    <n v="2500000"/>
    <n v="2471560.15"/>
    <n v="888"/>
    <s v="AMOMPY"/>
    <s v="Momentum Capital Investment S.A."/>
    <s v="06/08/2026"/>
    <s v="06/08/2026"/>
    <n v="30"/>
    <s v="No"/>
    <s v=""/>
    <m/>
    <m/>
    <s v="*MAV101101674"/>
    <s v="*MAV101101674"/>
    <n v="3.0248549148162211E-5"/>
  </r>
  <r>
    <x v="195"/>
    <s v="Pesos"/>
    <d v="2026-11-12T00:00:00"/>
    <s v="29/10/2026"/>
    <n v="0.98862412"/>
    <m/>
    <n v="500000"/>
    <n v="494312.06"/>
    <n v="500000"/>
    <n v="494312.06"/>
    <n v="200"/>
    <s v="AMOMPY"/>
    <s v="Momentum Capital Investment S.A."/>
    <s v="25/09/2026"/>
    <s v="25/09/2026"/>
    <n v="30"/>
    <s v="No"/>
    <s v=""/>
    <m/>
    <m/>
    <s v="*MAV061101353"/>
    <s v="*MAV061101353"/>
    <n v="6.0497101967918149E-6"/>
  </r>
  <r>
    <x v="51"/>
    <s v="Pesos"/>
    <d v="2026-11-12T00:00:00"/>
    <s v="29/10/2026"/>
    <n v="0.98787493000000004"/>
    <m/>
    <n v="50000000"/>
    <n v="49393746.420000002"/>
    <n v="50000000"/>
    <n v="49393746.420000002"/>
    <n v="21552"/>
    <s v="AMOMPY"/>
    <s v="Momentum Capital Investment S.A."/>
    <s v="19/10/2026"/>
    <s v="19/10/2026"/>
    <n v="32"/>
    <s v="No"/>
    <s v=""/>
    <m/>
    <m/>
    <s v="*MAV051101623"/>
    <s v="*MAV051101623"/>
    <n v="6.0451256514927685E-4"/>
  </r>
  <r>
    <x v="51"/>
    <s v="Pesos"/>
    <d v="2026-11-12T00:00:00"/>
    <s v="29/10/2026"/>
    <n v="0.9878749"/>
    <m/>
    <n v="75000000"/>
    <n v="74090617.680000007"/>
    <n v="75000000"/>
    <n v="74090617.680000007"/>
    <n v="21569"/>
    <s v="AMOMPY"/>
    <s v="Momentum Capital Investment S.A."/>
    <s v="22/10/2026"/>
    <s v="22/10/2026"/>
    <n v="32"/>
    <s v="No"/>
    <s v=""/>
    <m/>
    <m/>
    <s v="*MAV051101673"/>
    <s v="*MAV051101673"/>
    <n v="9.0676882385855599E-4"/>
  </r>
  <r>
    <x v="0"/>
    <s v="Pesos"/>
    <d v="2026-11-13T00:00:00"/>
    <s v="29/10/2026"/>
    <n v="0.98902595999999998"/>
    <m/>
    <n v="100000000"/>
    <n v="98902595.680000007"/>
    <n v="100000000"/>
    <n v="98902595.680000007"/>
    <n v="112"/>
    <s v="AMOMPY"/>
    <s v="Momentum Capital Investment S.A."/>
    <s v="27/10/2026"/>
    <s v="27/10/2026"/>
    <n v="27"/>
    <s v="No"/>
    <s v=""/>
    <m/>
    <m/>
    <s v="*TRD111100036"/>
    <s v="*TRD111100036"/>
    <n v="1.2104338331831801E-3"/>
  </r>
  <r>
    <x v="162"/>
    <s v="Pesos"/>
    <d v="2026-11-13T00:00:00"/>
    <s v="29/10/2026"/>
    <n v="0.98902592"/>
    <m/>
    <n v="8000000"/>
    <n v="7912207.3799999999"/>
    <n v="8000000"/>
    <n v="7912207.3799999999"/>
    <n v="761092"/>
    <s v="AMOMPY"/>
    <s v="Momentum Capital Investment S.A."/>
    <s v="25/09/2026"/>
    <s v="25/09/2026"/>
    <n v="27"/>
    <s v="No"/>
    <s v=""/>
    <m/>
    <m/>
    <s v="*AAR111100043"/>
    <s v="*AAR111100043"/>
    <n v="9.6834703296370009E-5"/>
  </r>
  <r>
    <x v="2"/>
    <s v="Pesos"/>
    <d v="2026-11-13T00:00:00"/>
    <s v="29/10/2026"/>
    <n v="0.98542118999999995"/>
    <m/>
    <n v="3105640.28"/>
    <n v="3060363.73"/>
    <n v="3105640.28"/>
    <n v="3060363.73"/>
    <n v="3377"/>
    <s v="AMOMPY"/>
    <s v="Momentum Capital Investment S.A."/>
    <s v="02/09/2026"/>
    <s v="02/09/2026"/>
    <n v="36"/>
    <s v="No"/>
    <s v=""/>
    <m/>
    <m/>
    <s v="*MAV111101424"/>
    <s v="*MAV111101424"/>
    <n v="3.7454707585473095E-5"/>
  </r>
  <r>
    <x v="2"/>
    <s v="Pesos"/>
    <d v="2026-11-13T00:00:00"/>
    <s v="29/10/2026"/>
    <n v="0.98542123999999998"/>
    <m/>
    <n v="2874176.47"/>
    <n v="2832274.54"/>
    <n v="2874176.47"/>
    <n v="2832274.54"/>
    <n v="3425"/>
    <s v="AMOMPY"/>
    <s v="Momentum Capital Investment S.A."/>
    <s v="08/09/2026"/>
    <s v="08/09/2026"/>
    <n v="36"/>
    <s v="No"/>
    <s v=""/>
    <m/>
    <m/>
    <s v="*MAV111101458"/>
    <s v="*MAV111101458"/>
    <n v="3.4663204787582661E-5"/>
  </r>
  <r>
    <x v="163"/>
    <s v="Pesos"/>
    <d v="2026-11-13T00:00:00"/>
    <s v="29/10/2026"/>
    <n v="0.98661986000000002"/>
    <m/>
    <n v="3600000"/>
    <n v="3551831.49"/>
    <n v="3600000"/>
    <n v="3551831.49"/>
    <n v="13870044"/>
    <s v="AMOMPY"/>
    <s v="Momentum Capital Investment S.A."/>
    <s v="21/09/2026"/>
    <s v="21/09/2026"/>
    <n v="33"/>
    <s v="No"/>
    <s v=""/>
    <m/>
    <m/>
    <s v="*MAV111101563"/>
    <s v="*MAV111101563"/>
    <n v="4.3469607402132301E-5"/>
  </r>
  <r>
    <x v="196"/>
    <s v="Pesos"/>
    <d v="2026-11-13T00:00:00"/>
    <s v="29/10/2026"/>
    <n v="0.98661984000000003"/>
    <m/>
    <n v="11255045.75"/>
    <n v="11104451.41"/>
    <n v="11255045.75"/>
    <n v="11104451.41"/>
    <n v="90001621"/>
    <s v="AMOMPY"/>
    <s v="Momentum Capital Investment S.A."/>
    <s v="01/10/2026"/>
    <s v="01/10/2026"/>
    <n v="33"/>
    <s v="No"/>
    <s v=""/>
    <m/>
    <m/>
    <s v="*MAV091101228"/>
    <s v="*MAV091101228"/>
    <n v="1.3590344715614717E-4"/>
  </r>
  <r>
    <x v="32"/>
    <s v="Pesos"/>
    <d v="2026-11-13T00:00:00"/>
    <s v="29/10/2026"/>
    <n v="0.98661988"/>
    <m/>
    <n v="5300000"/>
    <n v="5229085.38"/>
    <n v="5300000"/>
    <n v="5229085.38"/>
    <n v="8175680"/>
    <s v="AMOMPY"/>
    <s v="Momentum Capital Investment S.A."/>
    <s v="15/09/2026"/>
    <s v="15/09/2026"/>
    <n v="33"/>
    <s v="No"/>
    <s v=""/>
    <m/>
    <m/>
    <s v="*MAV111101514"/>
    <s v="*MAV111101514"/>
    <n v="6.3996923609917593E-5"/>
  </r>
  <r>
    <x v="197"/>
    <s v="Pesos"/>
    <d v="2026-11-13T00:00:00"/>
    <s v="29/10/2026"/>
    <n v="0.98702007000000003"/>
    <m/>
    <n v="1129854.56"/>
    <n v="1115189.1299999999"/>
    <n v="1129854.56"/>
    <n v="1115189.1299999999"/>
    <n v="1026"/>
    <s v="AMOMPY"/>
    <s v="Momentum Capital Investment S.A."/>
    <s v="15/09/2026"/>
    <s v="15/09/2026"/>
    <n v="32"/>
    <s v="No"/>
    <s v=""/>
    <m/>
    <m/>
    <s v="*MAV111101516"/>
    <s v="*MAV111101516"/>
    <n v="1.3648404716470791E-5"/>
  </r>
  <r>
    <x v="198"/>
    <s v="Pesos"/>
    <d v="2026-11-13T00:00:00"/>
    <s v="29/10/2026"/>
    <n v="0.98702005000000004"/>
    <m/>
    <n v="5325299.2"/>
    <n v="5256177.07"/>
    <n v="5325299.2"/>
    <n v="5256177.07"/>
    <n v="52046619"/>
    <s v="AMOMPY"/>
    <s v="Momentum Capital Investment S.A."/>
    <s v="05/10/2026"/>
    <s v="02/10/2026"/>
    <n v="32"/>
    <s v="No"/>
    <s v=""/>
    <m/>
    <m/>
    <s v="*MAV091101285"/>
    <s v="*MAV091101285"/>
    <n v="6.4328489206843002E-5"/>
  </r>
  <r>
    <x v="6"/>
    <s v="Pesos"/>
    <d v="2026-11-13T00:00:00"/>
    <s v="29/10/2026"/>
    <n v="0.98862810000000001"/>
    <m/>
    <n v="720984.93"/>
    <n v="712785.96"/>
    <n v="720984.93"/>
    <n v="712785.96"/>
    <n v="83366844"/>
    <s v="AMOMPY"/>
    <s v="Momentum Capital Investment S.A."/>
    <s v="16/10/2026"/>
    <s v="16/10/2026"/>
    <n v="27.99"/>
    <s v="No"/>
    <s v=""/>
    <m/>
    <m/>
    <s v="*CRE091100122"/>
    <s v="*CRE091100122"/>
    <n v="8.7235348665012187E-6"/>
  </r>
  <r>
    <x v="6"/>
    <s v="Pesos"/>
    <d v="2026-11-13T00:00:00"/>
    <s v="29/10/2026"/>
    <n v="0.98862824999999999"/>
    <m/>
    <n v="85103"/>
    <n v="84135.23"/>
    <n v="85103"/>
    <n v="84135.23"/>
    <n v="72594380"/>
    <s v="AMOMPY"/>
    <s v="Momentum Capital Investment S.A."/>
    <s v="16/10/2026"/>
    <s v="16/10/2026"/>
    <n v="27.99"/>
    <s v="No"/>
    <s v=""/>
    <m/>
    <m/>
    <s v="*CRE061100135"/>
    <s v="*CRE061100135"/>
    <n v="1.0297012758305443E-6"/>
  </r>
  <r>
    <x v="6"/>
    <s v="Pesos"/>
    <d v="2026-11-13T00:00:00"/>
    <s v="29/10/2026"/>
    <n v="0.98862813999999999"/>
    <m/>
    <n v="505705.48"/>
    <n v="499954.67"/>
    <n v="505705.48"/>
    <n v="499954.67"/>
    <n v="83427111"/>
    <s v="AMOMPY"/>
    <s v="Momentum Capital Investment S.A."/>
    <s v="16/10/2026"/>
    <s v="16/10/2026"/>
    <n v="27.99"/>
    <s v="No"/>
    <s v=""/>
    <m/>
    <m/>
    <s v="*CRE101100214"/>
    <s v="*CRE101100214"/>
    <n v="6.1187681017385797E-6"/>
  </r>
  <r>
    <x v="6"/>
    <s v="Pesos"/>
    <d v="2026-11-13T00:00:00"/>
    <s v="29/10/2026"/>
    <n v="0.98942803000000001"/>
    <m/>
    <n v="476066.3"/>
    <n v="471033.34"/>
    <n v="476066.3"/>
    <n v="471033.34"/>
    <n v="33"/>
    <s v="AMOMPY"/>
    <s v="Momentum Capital Investment S.A."/>
    <s v="08/10/2026"/>
    <s v="08/10/2026"/>
    <n v="26"/>
    <s v="No"/>
    <s v=""/>
    <m/>
    <m/>
    <s v="*CRE071100161"/>
    <s v="*CRE071100161"/>
    <n v="5.7648101889864998E-6"/>
  </r>
  <r>
    <x v="6"/>
    <s v="Pesos"/>
    <d v="2026-11-13T00:00:00"/>
    <s v="29/10/2026"/>
    <n v="0.98862402000000005"/>
    <m/>
    <n v="254258.48"/>
    <n v="251366.04"/>
    <n v="254258.48"/>
    <n v="251366.04"/>
    <n v="379"/>
    <s v="AMOMPY"/>
    <s v="Momentum Capital Investment S.A."/>
    <s v="08/10/2026"/>
    <s v="08/10/2026"/>
    <n v="28"/>
    <s v="No"/>
    <s v=""/>
    <m/>
    <m/>
    <s v="*CRE061100120"/>
    <s v="*CRE061100120"/>
    <n v="3.0763799194281832E-6"/>
  </r>
  <r>
    <x v="6"/>
    <s v="Pesos"/>
    <d v="2026-11-13T00:00:00"/>
    <s v="29/10/2026"/>
    <n v="0.98862406999999997"/>
    <m/>
    <n v="3392957.4"/>
    <n v="3354359.34"/>
    <n v="3392957.4"/>
    <n v="3354359.34"/>
    <n v="5517"/>
    <s v="AMOMPY"/>
    <s v="Momentum Capital Investment S.A."/>
    <s v="08/10/2026"/>
    <s v="08/10/2026"/>
    <n v="28"/>
    <s v="No"/>
    <s v=""/>
    <m/>
    <m/>
    <s v="*CRE061100121"/>
    <s v="*CRE061100121"/>
    <n v="4.1052815710994105E-5"/>
  </r>
  <r>
    <x v="6"/>
    <s v="Pesos"/>
    <d v="2026-11-13T00:00:00"/>
    <s v="29/10/2026"/>
    <n v="0.98862406999999997"/>
    <m/>
    <n v="655097"/>
    <n v="647644.66"/>
    <n v="655097"/>
    <n v="647644.66"/>
    <n v="45"/>
    <s v="AMOMPY"/>
    <s v="Momentum Capital Investment S.A."/>
    <s v="08/10/2026"/>
    <s v="08/10/2026"/>
    <n v="28"/>
    <s v="No"/>
    <s v=""/>
    <m/>
    <m/>
    <s v="*CRE071100159"/>
    <s v="*CRE071100159"/>
    <n v="7.9262935715138495E-6"/>
  </r>
  <r>
    <x v="6"/>
    <s v="Pesos"/>
    <d v="2026-11-13T00:00:00"/>
    <s v="29/10/2026"/>
    <n v="0.98862406000000003"/>
    <m/>
    <n v="175597.86"/>
    <n v="173600.27"/>
    <n v="175597.86"/>
    <n v="173600.27"/>
    <n v="4"/>
    <s v="AMOMPY"/>
    <s v="Momentum Capital Investment S.A."/>
    <s v="08/10/2026"/>
    <s v="08/10/2026"/>
    <n v="28"/>
    <s v="No"/>
    <s v=""/>
    <m/>
    <m/>
    <s v="*CRE071100160"/>
    <s v="*CRE071100160"/>
    <n v="2.1246322082144064E-6"/>
  </r>
  <r>
    <x v="6"/>
    <s v="Pesos"/>
    <d v="2026-11-13T00:00:00"/>
    <s v="29/10/2026"/>
    <n v="0.98862406999999997"/>
    <m/>
    <n v="533194.13"/>
    <n v="527128.55000000005"/>
    <n v="533194.13"/>
    <n v="527128.55000000005"/>
    <n v="90019433"/>
    <s v="AMOMPY"/>
    <s v="Momentum Capital Investment S.A."/>
    <s v="08/10/2026"/>
    <s v="08/10/2026"/>
    <n v="28"/>
    <s v="No"/>
    <s v=""/>
    <m/>
    <m/>
    <s v="*CRE071100162"/>
    <s v="*CRE071100162"/>
    <n v="6.4513395929589184E-6"/>
  </r>
  <r>
    <x v="6"/>
    <s v="Pesos"/>
    <d v="2026-11-13T00:00:00"/>
    <s v="29/10/2026"/>
    <n v="0.98862406999999997"/>
    <m/>
    <n v="1500000"/>
    <n v="1482936.11"/>
    <n v="1500000"/>
    <n v="1482936.11"/>
    <n v="40902626"/>
    <s v="AMOMPY"/>
    <s v="Momentum Capital Investment S.A."/>
    <s v="08/10/2026"/>
    <s v="08/10/2026"/>
    <n v="28"/>
    <s v="No"/>
    <s v=""/>
    <m/>
    <m/>
    <s v="*CRE101100206"/>
    <s v="*CRE101100206"/>
    <n v="1.8149129733670243E-5"/>
  </r>
  <r>
    <x v="54"/>
    <s v="Pesos"/>
    <d v="2026-11-13T00:00:00"/>
    <s v="29/10/2026"/>
    <n v="0.98782141000000001"/>
    <m/>
    <n v="30000000"/>
    <n v="29634642.300000001"/>
    <n v="30000000"/>
    <n v="29634642.300000001"/>
    <n v="398"/>
    <s v="AMOMPY"/>
    <s v="Momentum Capital Investment S.A."/>
    <s v="17/09/2026"/>
    <s v="17/09/2026"/>
    <n v="30"/>
    <s v="No"/>
    <s v=""/>
    <m/>
    <m/>
    <s v="*INP111100075"/>
    <s v="*INP111100075"/>
    <n v="3.6268788930739025E-4"/>
  </r>
  <r>
    <x v="34"/>
    <s v="Pesos"/>
    <d v="2026-11-13T00:00:00"/>
    <s v="29/10/2026"/>
    <n v="0.98661986000000002"/>
    <m/>
    <n v="80000000"/>
    <n v="78929588.409999996"/>
    <n v="80000000"/>
    <n v="78929588.409999996"/>
    <n v="3034"/>
    <s v="AMOMPY"/>
    <s v="Momentum Capital Investment S.A."/>
    <s v="28/09/2026"/>
    <s v="28/09/2026"/>
    <n v="33"/>
    <s v="No"/>
    <s v=""/>
    <m/>
    <m/>
    <s v="*MAV071101534"/>
    <s v="*MAV071101534"/>
    <n v="9.6599127246168757E-4"/>
  </r>
  <r>
    <x v="140"/>
    <s v="Pesos"/>
    <d v="2026-11-13T00:00:00"/>
    <s v="29/10/2026"/>
    <n v="0.98542118999999995"/>
    <m/>
    <n v="3140560.45"/>
    <n v="3094774.81"/>
    <n v="3140560.45"/>
    <n v="3094774.81"/>
    <n v="1119"/>
    <s v="AMOMPY"/>
    <s v="Momentum Capital Investment S.A."/>
    <s v="02/09/2026"/>
    <s v="02/09/2026"/>
    <n v="36"/>
    <s v="No"/>
    <s v=""/>
    <m/>
    <m/>
    <s v="*MAV111101425"/>
    <s v="*MAV111101425"/>
    <n v="3.7875852603781209E-5"/>
  </r>
  <r>
    <x v="141"/>
    <s v="Pesos"/>
    <d v="2026-11-13T00:00:00"/>
    <s v="29/10/2026"/>
    <n v="0.98622003999999996"/>
    <m/>
    <n v="700000"/>
    <n v="690354.03"/>
    <n v="700000"/>
    <n v="690354.03"/>
    <n v="88190053"/>
    <s v="AMOMPY"/>
    <s v="Momentum Capital Investment S.A."/>
    <s v="27/10/2026"/>
    <s v="27/10/2026"/>
    <n v="34"/>
    <s v="No"/>
    <s v=""/>
    <m/>
    <m/>
    <s v="*MAV101102439"/>
    <s v="*MAV101102439"/>
    <n v="8.4489984215382547E-6"/>
  </r>
  <r>
    <x v="141"/>
    <s v="Pesos"/>
    <d v="2026-11-13T00:00:00"/>
    <s v="29/10/2026"/>
    <n v="0.98622003000000003"/>
    <m/>
    <n v="300000"/>
    <n v="295866.01"/>
    <n v="300000"/>
    <n v="295866.01"/>
    <n v="88210395"/>
    <s v="AMOMPY"/>
    <s v="Momentum Capital Investment S.A."/>
    <s v="27/10/2026"/>
    <s v="27/10/2026"/>
    <n v="34"/>
    <s v="No"/>
    <s v=""/>
    <m/>
    <m/>
    <s v="*MAV071101719"/>
    <s v="*MAV071101719"/>
    <n v="3.6209992885488351E-6"/>
  </r>
  <r>
    <x v="199"/>
    <s v="Pesos"/>
    <d v="2026-11-13T00:00:00"/>
    <s v="29/10/2026"/>
    <n v="0.98782144999999999"/>
    <m/>
    <n v="4394673.9800000004"/>
    <n v="4341153.24"/>
    <n v="4394673.9800000004"/>
    <n v="4341153.24"/>
    <n v="6405482"/>
    <s v="AMOMPY"/>
    <s v="Momentum Capital Investment S.A."/>
    <s v="13/10/2026"/>
    <s v="13/10/2026"/>
    <n v="30"/>
    <s v="No"/>
    <s v=""/>
    <m/>
    <m/>
    <s v="*MAV101102302"/>
    <s v="*MAV101102302"/>
    <n v="5.312983669033652E-5"/>
  </r>
  <r>
    <x v="145"/>
    <s v="Pesos"/>
    <d v="2026-11-13T00:00:00"/>
    <s v="29/10/2026"/>
    <n v="0.98782152000000001"/>
    <m/>
    <n v="2006000"/>
    <n v="1981569.96"/>
    <n v="2006000"/>
    <n v="1981569.96"/>
    <n v="70555842"/>
    <s v="AMOMPY"/>
    <s v="Momentum Capital Investment S.A."/>
    <s v="21/10/2026"/>
    <s v="21/10/2026"/>
    <n v="30"/>
    <s v="No"/>
    <s v=""/>
    <m/>
    <m/>
    <s v="*MAV061101620"/>
    <s v="*MAV061101620"/>
    <n v="2.4251732787317285E-5"/>
  </r>
  <r>
    <x v="12"/>
    <s v="Pesos"/>
    <d v="2026-11-13T00:00:00"/>
    <s v="29/10/2026"/>
    <n v="0.98702000999999995"/>
    <m/>
    <n v="3742647.36"/>
    <n v="3694067.85"/>
    <n v="3742647.36"/>
    <n v="3694067.85"/>
    <n v="10559629"/>
    <s v="AMOMPY"/>
    <s v="Momentum Capital Investment S.A."/>
    <s v="31/07/2026"/>
    <s v="31/07/2026"/>
    <n v="32"/>
    <s v="No"/>
    <s v=""/>
    <m/>
    <m/>
    <s v="*MAV111101310"/>
    <s v="*MAV111101310"/>
    <n v="4.5210387826236358E-5"/>
  </r>
  <r>
    <x v="12"/>
    <s v="Pesos"/>
    <d v="2026-11-13T00:00:00"/>
    <s v="29/10/2026"/>
    <n v="0.98702002"/>
    <m/>
    <n v="11829797.539999999"/>
    <n v="11676247.02"/>
    <n v="11829797.539999999"/>
    <n v="11676247.02"/>
    <n v="30896"/>
    <s v="AMOMPY"/>
    <s v="Momentum Capital Investment S.A."/>
    <s v="31/07/2026"/>
    <s v="31/07/2026"/>
    <n v="32"/>
    <s v="No"/>
    <s v=""/>
    <m/>
    <m/>
    <s v="*MAV111101311"/>
    <s v="*MAV111101311"/>
    <n v="1.4290145107354662E-4"/>
  </r>
  <r>
    <x v="12"/>
    <s v="Pesos"/>
    <d v="2026-11-13T00:00:00"/>
    <s v="29/10/2026"/>
    <n v="0.98702002"/>
    <m/>
    <n v="11490967.439999999"/>
    <n v="11341814.92"/>
    <n v="11490967.439999999"/>
    <n v="11341814.92"/>
    <n v="30906"/>
    <s v="AMOMPY"/>
    <s v="Momentum Capital Investment S.A."/>
    <s v="31/07/2026"/>
    <s v="31/07/2026"/>
    <n v="32"/>
    <s v="No"/>
    <s v=""/>
    <m/>
    <m/>
    <s v="*MAV111101312"/>
    <s v="*MAV111101312"/>
    <n v="1.3880845507117416E-4"/>
  </r>
  <r>
    <x v="12"/>
    <s v="Pesos"/>
    <d v="2026-11-13T00:00:00"/>
    <s v="29/10/2026"/>
    <n v="0.98702002"/>
    <m/>
    <n v="11229494.109999999"/>
    <n v="11083735.52"/>
    <n v="11229494.109999999"/>
    <n v="11083735.52"/>
    <n v="30919"/>
    <s v="AMOMPY"/>
    <s v="Momentum Capital Investment S.A."/>
    <s v="31/07/2026"/>
    <s v="31/07/2026"/>
    <n v="32"/>
    <s v="No"/>
    <s v=""/>
    <m/>
    <m/>
    <s v="*MAV111101313"/>
    <s v="*MAV111101313"/>
    <n v="1.3564991271685265E-4"/>
  </r>
  <r>
    <x v="200"/>
    <s v="Pesos"/>
    <d v="2026-11-13T00:00:00"/>
    <s v="29/10/2026"/>
    <n v="0.98822264000000004"/>
    <m/>
    <n v="3388903.56"/>
    <n v="3348991.21"/>
    <n v="3388903.56"/>
    <n v="3348991.21"/>
    <n v="10174818"/>
    <s v="AMOMPY"/>
    <s v="Momentum Capital Investment S.A."/>
    <s v="27/10/2026"/>
    <s v="27/10/2026"/>
    <n v="29"/>
    <s v="No"/>
    <s v=""/>
    <m/>
    <m/>
    <s v="*MAV061101728"/>
    <s v="*MAV061101728"/>
    <n v="4.0987117069535305E-5"/>
  </r>
  <r>
    <x v="201"/>
    <s v="Pesos"/>
    <d v="2026-11-13T00:00:00"/>
    <s v="29/10/2026"/>
    <n v="0.9866201"/>
    <m/>
    <n v="13514592"/>
    <n v="13333768.1"/>
    <n v="13514592"/>
    <n v="13333768.1"/>
    <n v="420"/>
    <s v="AMOMPY"/>
    <s v="Momentum Capital Investment S.A."/>
    <s v="29/10/2026"/>
    <s v="29/10/2026"/>
    <n v="33"/>
    <s v="No"/>
    <s v=""/>
    <m/>
    <m/>
    <s v="*MAV111101895"/>
    <s v="*MAV111101895"/>
    <n v="1.6318726440991025E-4"/>
  </r>
  <r>
    <x v="202"/>
    <s v="Pesos"/>
    <d v="2026-11-13T00:00:00"/>
    <s v="29/10/2026"/>
    <n v="0.98661984000000003"/>
    <m/>
    <n v="100071435.06999999"/>
    <n v="98732463.049999997"/>
    <n v="100071435.06999999"/>
    <n v="98732463.049999997"/>
    <n v="10434104"/>
    <s v="AMOMPY"/>
    <s v="Momentum Capital Investment S.A."/>
    <s v="19/08/2026"/>
    <s v="19/08/2026"/>
    <n v="33"/>
    <s v="No"/>
    <s v=""/>
    <m/>
    <m/>
    <s v="*MAV111101373"/>
    <s v="*MAV111101373"/>
    <n v="1.2083516401925458E-3"/>
  </r>
  <r>
    <x v="58"/>
    <s v="Pesos"/>
    <d v="2026-11-13T00:00:00"/>
    <s v="29/10/2026"/>
    <n v="0.98462373000000003"/>
    <m/>
    <n v="315500000"/>
    <n v="310648787.67000002"/>
    <n v="315500000"/>
    <n v="310648787.67000002"/>
    <n v="70418828"/>
    <s v="AMOMPY"/>
    <s v="Momentum Capital Investment S.A."/>
    <s v="28/09/2026"/>
    <s v="28/09/2026"/>
    <n v="38"/>
    <s v="No"/>
    <s v=""/>
    <m/>
    <m/>
    <s v="*MAV101102086"/>
    <s v="*MAV101102086"/>
    <n v="3.8019204677875239E-3"/>
  </r>
  <r>
    <x v="87"/>
    <s v="Pesos"/>
    <d v="2026-11-13T00:00:00"/>
    <s v="29/10/2026"/>
    <n v="0.98702005000000004"/>
    <m/>
    <n v="30000000"/>
    <n v="29610601.600000001"/>
    <n v="30000000"/>
    <n v="29610601.600000001"/>
    <n v="697"/>
    <s v="AMOMPY"/>
    <s v="Momentum Capital Investment S.A."/>
    <s v="21/09/2026"/>
    <s v="21/09/2026"/>
    <n v="32"/>
    <s v="No"/>
    <s v=""/>
    <m/>
    <m/>
    <s v="*MAV111101561"/>
    <s v="*MAV111101561"/>
    <n v="3.6239366369628941E-4"/>
  </r>
  <r>
    <x v="87"/>
    <s v="Pesos"/>
    <d v="2026-11-13T00:00:00"/>
    <s v="29/10/2026"/>
    <n v="0.98702005000000004"/>
    <m/>
    <n v="30000000"/>
    <n v="29610601.600000001"/>
    <n v="30000000"/>
    <n v="29610601.600000001"/>
    <n v="693"/>
    <s v="AMOMPY"/>
    <s v="Momentum Capital Investment S.A."/>
    <s v="21/09/2026"/>
    <s v="21/09/2026"/>
    <n v="32"/>
    <s v="No"/>
    <s v=""/>
    <m/>
    <m/>
    <s v="*MAV111101562"/>
    <s v="*MAV111101562"/>
    <n v="3.6239366369628941E-4"/>
  </r>
  <r>
    <x v="44"/>
    <s v="Pesos"/>
    <d v="2026-11-13T00:00:00"/>
    <s v="29/10/2026"/>
    <n v="0.98661984999999996"/>
    <m/>
    <n v="25000000"/>
    <n v="24665496.27"/>
    <n v="25000000"/>
    <n v="24665496.27"/>
    <n v="14422655"/>
    <s v="AMOMPY"/>
    <s v="Momentum Capital Investment S.A."/>
    <s v="03/09/2026"/>
    <s v="03/09/2026"/>
    <n v="33"/>
    <s v="No"/>
    <s v=""/>
    <m/>
    <m/>
    <s v="*MAV111101432"/>
    <s v="*MAV111101432"/>
    <n v="3.0187227132097378E-4"/>
  </r>
  <r>
    <x v="44"/>
    <s v="Pesos"/>
    <d v="2026-11-13T00:00:00"/>
    <s v="29/10/2026"/>
    <n v="0.98702003000000005"/>
    <m/>
    <n v="11000000"/>
    <n v="10857220.380000001"/>
    <n v="11000000"/>
    <n v="10857220.380000001"/>
    <n v="14651797"/>
    <s v="AMOMPY"/>
    <s v="Momentum Capital Investment S.A."/>
    <s v="01/10/2026"/>
    <s v="01/10/2026"/>
    <n v="32"/>
    <s v="No"/>
    <s v=""/>
    <m/>
    <m/>
    <s v="*MAV111101621"/>
    <s v="*MAV111101621"/>
    <n v="1.3287767415931935E-4"/>
  </r>
  <r>
    <x v="44"/>
    <s v="Pesos"/>
    <d v="2026-11-13T00:00:00"/>
    <s v="29/10/2026"/>
    <n v="0.98702018999999996"/>
    <m/>
    <n v="10000000"/>
    <n v="9870201.9100000001"/>
    <n v="10000000"/>
    <n v="9870201.9100000001"/>
    <n v="14822644"/>
    <s v="AMOMPY"/>
    <s v="Momentum Capital Investment S.A."/>
    <s v="28/10/2026"/>
    <s v="28/10/2026"/>
    <n v="32"/>
    <s v="No"/>
    <s v=""/>
    <m/>
    <m/>
    <s v="*MAV061101770"/>
    <s v="*MAV061101770"/>
    <n v="1.207979047472988E-4"/>
  </r>
  <r>
    <x v="203"/>
    <s v="Pesos"/>
    <d v="2026-11-13T00:00:00"/>
    <s v="29/10/2026"/>
    <n v="0.98782150999999996"/>
    <m/>
    <n v="2700000"/>
    <n v="2667118.08"/>
    <n v="2700000"/>
    <n v="2667118.08"/>
    <n v="333"/>
    <s v="AMOMPY"/>
    <s v="Momentum Capital Investment S.A."/>
    <s v="21/10/2026"/>
    <s v="21/10/2026"/>
    <n v="30"/>
    <s v="No"/>
    <s v=""/>
    <m/>
    <m/>
    <s v="*MAV091101484"/>
    <s v="*MAV091101484"/>
    <n v="3.2641913378815413E-5"/>
  </r>
  <r>
    <x v="62"/>
    <s v="Pesos"/>
    <d v="2026-11-13T00:00:00"/>
    <s v="29/10/2026"/>
    <n v="0.98702002"/>
    <m/>
    <n v="50000000"/>
    <n v="49351000.979999997"/>
    <n v="50000000"/>
    <n v="49351000.979999997"/>
    <n v="5359"/>
    <s v="AMOMPY"/>
    <s v="Momentum Capital Investment S.A."/>
    <s v="16/09/2026"/>
    <s v="16/09/2026"/>
    <n v="32"/>
    <s v="No"/>
    <s v=""/>
    <m/>
    <m/>
    <s v="*MAV111101528"/>
    <s v="*MAV111101528"/>
    <n v="6.0398941885129976E-4"/>
  </r>
  <r>
    <x v="62"/>
    <s v="Pesos"/>
    <d v="2026-11-13T00:00:00"/>
    <s v="29/10/2026"/>
    <n v="0.98702003999999999"/>
    <m/>
    <n v="50000000"/>
    <n v="49351001.840000004"/>
    <n v="50000000"/>
    <n v="49351001.840000004"/>
    <n v="5165"/>
    <s v="AMOMPY"/>
    <s v="Momentum Capital Investment S.A."/>
    <s v="12/08/2026"/>
    <s v="12/08/2026"/>
    <n v="32"/>
    <s v="No"/>
    <s v=""/>
    <m/>
    <m/>
    <s v="*MAV111101347"/>
    <s v="*MAV111101347"/>
    <n v="6.0398942937653528E-4"/>
  </r>
  <r>
    <x v="62"/>
    <s v="Pesos"/>
    <d v="2026-11-13T00:00:00"/>
    <s v="29/10/2026"/>
    <n v="0.98702007999999997"/>
    <m/>
    <n v="50000000"/>
    <n v="49351004.030000001"/>
    <n v="50000000"/>
    <n v="49351004.030000001"/>
    <n v="5405"/>
    <s v="AMOMPY"/>
    <s v="Momentum Capital Investment S.A."/>
    <s v="29/09/2026"/>
    <s v="29/09/2026"/>
    <n v="32"/>
    <s v="No"/>
    <s v=""/>
    <m/>
    <m/>
    <s v="*MAV061101395"/>
    <s v="*MAV061101395"/>
    <n v="6.039894561791694E-4"/>
  </r>
  <r>
    <x v="204"/>
    <s v="Pesos"/>
    <d v="2026-11-13T00:00:00"/>
    <s v="29/10/2026"/>
    <n v="0.98661988"/>
    <m/>
    <n v="2500000"/>
    <n v="2466549.71"/>
    <n v="2500000"/>
    <n v="2466549.71"/>
    <n v="83"/>
    <s v="AMOMPY"/>
    <s v="Momentum Capital Investment S.A."/>
    <s v="22/09/2026"/>
    <s v="22/09/2026"/>
    <n v="33"/>
    <s v="No"/>
    <s v=""/>
    <m/>
    <m/>
    <s v="*MAV111101570"/>
    <s v="*MAV111101570"/>
    <n v="3.0187228147904978E-5"/>
  </r>
  <r>
    <x v="119"/>
    <s v="Pesos"/>
    <d v="2026-11-13T00:00:00"/>
    <s v="29/10/2026"/>
    <n v="0.98702003999999999"/>
    <m/>
    <n v="4996789.67"/>
    <n v="4931931.53"/>
    <n v="4996789.67"/>
    <n v="4931931.53"/>
    <n v="40981973"/>
    <s v="AMOMPY"/>
    <s v="Momentum Capital Investment S.A."/>
    <s v="19/10/2026"/>
    <s v="19/10/2026"/>
    <n v="32"/>
    <s v="No"/>
    <s v=""/>
    <m/>
    <m/>
    <s v="*MAV071101668"/>
    <s v="*MAV071101668"/>
    <n v="6.0360162903814365E-5"/>
  </r>
  <r>
    <x v="205"/>
    <s v="Pesos"/>
    <d v="2026-11-13T00:00:00"/>
    <s v="29/10/2026"/>
    <n v="0.98782139999999996"/>
    <m/>
    <n v="1500000"/>
    <n v="1481732.1"/>
    <n v="1500000"/>
    <n v="1481732.1"/>
    <n v="10793612"/>
    <s v="AMOMPY"/>
    <s v="Momentum Capital Investment S.A."/>
    <s v="19/10/2026"/>
    <s v="19/10/2026"/>
    <n v="30"/>
    <s v="No"/>
    <s v=""/>
    <m/>
    <m/>
    <s v="*MAV091101457"/>
    <s v="*MAV091101457"/>
    <n v="1.8134394281789827E-5"/>
  </r>
  <r>
    <x v="206"/>
    <s v="Pesos"/>
    <d v="2026-11-13T00:00:00"/>
    <s v="29/10/2026"/>
    <n v="0.98782139999999996"/>
    <m/>
    <n v="5852286"/>
    <n v="5781013.3300000001"/>
    <n v="5852286"/>
    <n v="5781013.3300000001"/>
    <n v="90045243"/>
    <s v="AMOMPY"/>
    <s v="Momentum Capital Investment S.A."/>
    <s v="08/10/2026"/>
    <s v="08/10/2026"/>
    <n v="30"/>
    <s v="No"/>
    <s v=""/>
    <m/>
    <m/>
    <s v="*MAV101102253"/>
    <s v="*MAV101102253"/>
    <n v="7.0751774274514784E-5"/>
  </r>
  <r>
    <x v="206"/>
    <s v="Pesos"/>
    <d v="2026-11-13T00:00:00"/>
    <s v="29/10/2026"/>
    <n v="0.98782141999999995"/>
    <m/>
    <n v="5359454"/>
    <n v="5294183.4400000004"/>
    <n v="5359454"/>
    <n v="5294183.4400000004"/>
    <n v="90045196"/>
    <s v="AMOMPY"/>
    <s v="Momentum Capital Investment S.A."/>
    <s v="05/10/2026"/>
    <s v="05/10/2026"/>
    <n v="30"/>
    <s v="No"/>
    <s v=""/>
    <m/>
    <m/>
    <s v="*MAV101102164"/>
    <s v="*MAV101102164"/>
    <n v="6.4793635705862342E-5"/>
  </r>
  <r>
    <x v="207"/>
    <s v="Pesos"/>
    <d v="2026-11-13T00:00:00"/>
    <s v="29/10/2026"/>
    <n v="0.98782144999999999"/>
    <m/>
    <n v="42421940.549999997"/>
    <n v="41905302.909999996"/>
    <n v="42421940.549999997"/>
    <n v="41905302.909999996"/>
    <n v="3883497"/>
    <s v="AMOMPY"/>
    <s v="Momentum Capital Investment S.A."/>
    <s v="13/10/2026"/>
    <s v="13/10/2026"/>
    <n v="30"/>
    <s v="No"/>
    <s v=""/>
    <m/>
    <m/>
    <s v="*MAV061101527"/>
    <s v="*MAV061101527"/>
    <n v="5.1286415774334272E-4"/>
  </r>
  <r>
    <x v="25"/>
    <s v="Pesos"/>
    <d v="2026-11-13T00:00:00"/>
    <s v="29/10/2026"/>
    <n v="0.98902592"/>
    <m/>
    <n v="2500000"/>
    <n v="2472564.79"/>
    <n v="2500000"/>
    <n v="2472564.79"/>
    <n v="53553934"/>
    <s v="AMOMPY"/>
    <s v="Momentum Capital Investment S.A."/>
    <s v="25/09/2026"/>
    <s v="25/09/2026"/>
    <n v="27"/>
    <s v="No"/>
    <s v=""/>
    <m/>
    <m/>
    <s v="*NEU111100019"/>
    <s v="*NEU111100019"/>
    <n v="3.0260844581237637E-5"/>
  </r>
  <r>
    <x v="26"/>
    <s v="Pesos"/>
    <d v="2026-11-13T00:00:00"/>
    <s v="29/10/2026"/>
    <n v="0.98782143"/>
    <m/>
    <n v="8000000"/>
    <n v="7902571.4500000002"/>
    <n v="8000000"/>
    <n v="7902571.4500000002"/>
    <n v="1428"/>
    <s v="AMOMPY"/>
    <s v="Momentum Capital Investment S.A."/>
    <s v="23/10/2026"/>
    <s v="23/10/2026"/>
    <n v="30"/>
    <s v="No"/>
    <s v=""/>
    <m/>
    <m/>
    <s v="*MAV111101841"/>
    <s v="*MAV111101841"/>
    <n v="9.6716772562540512E-5"/>
  </r>
  <r>
    <x v="26"/>
    <s v="Pesos"/>
    <d v="2026-11-13T00:00:00"/>
    <s v="29/10/2026"/>
    <n v="0.98782143"/>
    <m/>
    <n v="12500000"/>
    <n v="12347767.91"/>
    <n v="12500000"/>
    <n v="12347767.91"/>
    <n v="1380"/>
    <s v="AMOMPY"/>
    <s v="Momentum Capital Investment S.A."/>
    <s v="09/10/2026"/>
    <s v="09/10/2026"/>
    <n v="30"/>
    <s v="No"/>
    <s v=""/>
    <m/>
    <m/>
    <s v="*MAV091101400"/>
    <s v="*MAV091101400"/>
    <n v="1.5111995736609332E-4"/>
  </r>
  <r>
    <x v="26"/>
    <s v="Pesos"/>
    <d v="2026-11-13T00:00:00"/>
    <s v="29/10/2026"/>
    <n v="0.98782144999999999"/>
    <m/>
    <n v="6000000"/>
    <n v="5926928.6799999997"/>
    <n v="6000000"/>
    <n v="5926928.6799999997"/>
    <n v="1366"/>
    <s v="AMOMPY"/>
    <s v="Momentum Capital Investment S.A."/>
    <s v="06/10/2026"/>
    <s v="06/10/2026"/>
    <n v="30"/>
    <s v="No"/>
    <s v=""/>
    <m/>
    <m/>
    <s v="*MAV111101700"/>
    <s v="*MAV111101700"/>
    <n v="7.2537580553980107E-5"/>
  </r>
  <r>
    <x v="26"/>
    <s v="Pesos"/>
    <d v="2026-11-13T00:00:00"/>
    <s v="29/10/2026"/>
    <n v="0.98782148000000003"/>
    <m/>
    <n v="5000000"/>
    <n v="4939107.42"/>
    <n v="5000000"/>
    <n v="4939107.42"/>
    <n v="1369"/>
    <s v="AMOMPY"/>
    <s v="Momentum Capital Investment S.A."/>
    <s v="07/10/2026"/>
    <s v="07/10/2026"/>
    <n v="30"/>
    <s v="No"/>
    <s v=""/>
    <m/>
    <m/>
    <s v="*MAV061101471"/>
    <s v="*MAV061101471"/>
    <n v="6.0447986079530637E-5"/>
  </r>
  <r>
    <x v="26"/>
    <s v="Pesos"/>
    <d v="2026-11-13T00:00:00"/>
    <s v="29/10/2026"/>
    <n v="0.98782148000000003"/>
    <m/>
    <n v="5000000"/>
    <n v="4939107.42"/>
    <n v="5000000"/>
    <n v="4939107.42"/>
    <n v="1370"/>
    <s v="AMOMPY"/>
    <s v="Momentum Capital Investment S.A."/>
    <s v="07/10/2026"/>
    <s v="07/10/2026"/>
    <n v="30"/>
    <s v="No"/>
    <s v=""/>
    <m/>
    <m/>
    <s v="*MAV111101712"/>
    <s v="*MAV111101712"/>
    <n v="6.0447986079530637E-5"/>
  </r>
  <r>
    <x v="26"/>
    <s v="Pesos"/>
    <d v="2026-11-13T00:00:00"/>
    <s v="29/10/2026"/>
    <n v="0.98782143"/>
    <m/>
    <n v="5000000"/>
    <n v="4939107.16"/>
    <n v="5000000"/>
    <n v="4939107.16"/>
    <n v="1352"/>
    <s v="AMOMPY"/>
    <s v="Momentum Capital Investment S.A."/>
    <s v="02/10/2026"/>
    <s v="02/10/2026"/>
    <n v="30"/>
    <s v="No"/>
    <s v=""/>
    <m/>
    <m/>
    <s v="*MAV101102128"/>
    <s v="*MAV101102128"/>
    <n v="6.0447982897482743E-5"/>
  </r>
  <r>
    <x v="26"/>
    <s v="Pesos"/>
    <d v="2026-11-13T00:00:00"/>
    <s v="29/10/2026"/>
    <n v="0.98782141999999995"/>
    <m/>
    <n v="6000000"/>
    <n v="5926928.4900000002"/>
    <n v="6000000"/>
    <n v="5926928.4900000002"/>
    <n v="1357"/>
    <s v="AMOMPY"/>
    <s v="Momentum Capital Investment S.A."/>
    <s v="05/10/2026"/>
    <s v="05/10/2026"/>
    <n v="30"/>
    <s v="No"/>
    <s v=""/>
    <m/>
    <m/>
    <s v="*MAV101102143"/>
    <s v="*MAV101102143"/>
    <n v="7.253757822863743E-5"/>
  </r>
  <r>
    <x v="26"/>
    <s v="Pesos"/>
    <d v="2026-11-13T00:00:00"/>
    <s v="29/10/2026"/>
    <n v="0.98782144999999999"/>
    <m/>
    <n v="5000000"/>
    <n v="4939107.2300000004"/>
    <n v="5000000"/>
    <n v="4939107.2300000004"/>
    <n v="1309"/>
    <s v="AMOMPY"/>
    <s v="Momentum Capital Investment S.A."/>
    <s v="29/09/2026"/>
    <s v="29/09/2026"/>
    <n v="30"/>
    <s v="No"/>
    <s v=""/>
    <m/>
    <m/>
    <s v="*MAV091101216"/>
    <s v="*MAV091101216"/>
    <n v="6.0447983754187953E-5"/>
  </r>
  <r>
    <x v="26"/>
    <s v="Pesos"/>
    <d v="2026-11-13T00:00:00"/>
    <s v="29/10/2026"/>
    <n v="0.98782144999999999"/>
    <m/>
    <n v="5000000"/>
    <n v="4939107.2300000004"/>
    <n v="5000000"/>
    <n v="4939107.2300000004"/>
    <n v="1310"/>
    <s v="AMOMPY"/>
    <s v="Momentum Capital Investment S.A."/>
    <s v="29/09/2026"/>
    <s v="29/09/2026"/>
    <n v="30"/>
    <s v="No"/>
    <s v=""/>
    <m/>
    <m/>
    <s v="*MAV111101609"/>
    <s v="*MAV111101609"/>
    <n v="6.0447983754187953E-5"/>
  </r>
  <r>
    <x v="27"/>
    <s v="Pesos"/>
    <d v="2026-11-13T00:00:00"/>
    <s v="29/10/2026"/>
    <n v="0.98702007000000003"/>
    <m/>
    <n v="3635465.26"/>
    <n v="3588277.16"/>
    <n v="3635465.26"/>
    <n v="3588277.16"/>
    <n v="70158536"/>
    <s v="AMOMPY"/>
    <s v="Momentum Capital Investment S.A."/>
    <s v="02/10/2026"/>
    <s v="02/10/2026"/>
    <n v="32"/>
    <s v="No"/>
    <s v=""/>
    <m/>
    <m/>
    <s v="*MAV061101427"/>
    <s v="*MAV061101427"/>
    <n v="4.3915653046715421E-5"/>
  </r>
  <r>
    <x v="124"/>
    <s v="Pesos"/>
    <d v="2026-11-13T00:00:00"/>
    <s v="29/10/2026"/>
    <n v="0.98702007000000003"/>
    <m/>
    <n v="1000000"/>
    <n v="987020.07"/>
    <n v="1000000"/>
    <n v="987020.07"/>
    <n v="70162079"/>
    <s v="AMOMPY"/>
    <s v="Momentum Capital Investment S.A."/>
    <s v="02/10/2026"/>
    <s v="02/10/2026"/>
    <n v="32"/>
    <s v="No"/>
    <s v=""/>
    <m/>
    <m/>
    <s v="*MAV071101555"/>
    <s v="*MAV071101555"/>
    <n v="1.2079788993853743E-5"/>
  </r>
  <r>
    <x v="124"/>
    <s v="Pesos"/>
    <d v="2026-11-13T00:00:00"/>
    <s v="29/10/2026"/>
    <n v="0.98702007000000003"/>
    <m/>
    <n v="1000000"/>
    <n v="987020.07"/>
    <n v="1000000"/>
    <n v="987020.07"/>
    <n v="70162066"/>
    <s v="AMOMPY"/>
    <s v="Momentum Capital Investment S.A."/>
    <s v="02/10/2026"/>
    <s v="02/10/2026"/>
    <n v="32"/>
    <s v="No"/>
    <s v=""/>
    <m/>
    <m/>
    <s v="*MAV071101556"/>
    <s v="*MAV071101556"/>
    <n v="1.2079788993853743E-5"/>
  </r>
  <r>
    <x v="208"/>
    <s v="Pesos"/>
    <d v="2026-11-13T00:00:00"/>
    <s v="29/10/2026"/>
    <n v="0.98702005999999998"/>
    <m/>
    <n v="3145244.05"/>
    <n v="3104418.98"/>
    <n v="3145244.05"/>
    <n v="3104418.98"/>
    <n v="353"/>
    <s v="AMOMPY"/>
    <s v="Momentum Capital Investment S.A."/>
    <s v="02/10/2026"/>
    <s v="02/10/2026"/>
    <n v="32"/>
    <s v="No"/>
    <s v=""/>
    <m/>
    <m/>
    <s v="*MAV101102132"/>
    <s v="*MAV101102132"/>
    <n v="3.799388418405176E-5"/>
  </r>
  <r>
    <x v="209"/>
    <s v="Pesos"/>
    <d v="2026-11-13T00:00:00"/>
    <s v="29/10/2026"/>
    <n v="0.98742063999999996"/>
    <m/>
    <n v="16948758.629999999"/>
    <n v="16735554.08"/>
    <n v="16948758.629999999"/>
    <n v="16735554.08"/>
    <n v="2020"/>
    <s v="AMOMPY"/>
    <s v="Momentum Capital Investment S.A."/>
    <s v="07/10/2026"/>
    <s v="07/10/2026"/>
    <n v="31"/>
    <s v="No"/>
    <s v=""/>
    <m/>
    <m/>
    <s v="*MAV061101469"/>
    <s v="*MAV061101469"/>
    <n v="2.0482051796740883E-4"/>
  </r>
  <r>
    <x v="210"/>
    <s v="Pesos"/>
    <d v="2026-11-13T00:00:00"/>
    <s v="29/10/2026"/>
    <n v="0.98782144999999999"/>
    <m/>
    <n v="485700"/>
    <n v="479784.88"/>
    <n v="485700"/>
    <n v="479784.88"/>
    <n v="388"/>
    <s v="AMOMPY"/>
    <s v="Momentum Capital Investment S.A."/>
    <s v="13/10/2026"/>
    <s v="13/10/2026"/>
    <n v="30"/>
    <s v="No"/>
    <s v=""/>
    <m/>
    <m/>
    <s v="*MAV071101629"/>
    <s v="*MAV071101629"/>
    <n v="5.8719171868931081E-6"/>
  </r>
  <r>
    <x v="211"/>
    <s v="Pesos"/>
    <d v="2026-11-13T00:00:00"/>
    <s v="29/10/2026"/>
    <n v="0.98782146000000004"/>
    <m/>
    <n v="2624182.96"/>
    <n v="2592224.23"/>
    <n v="2624182.96"/>
    <n v="2592224.23"/>
    <n v="13908034"/>
    <s v="AMOMPY"/>
    <s v="Momentum Capital Investment S.A."/>
    <s v="13/10/2026"/>
    <s v="13/10/2026"/>
    <n v="30"/>
    <s v="No"/>
    <s v=""/>
    <m/>
    <m/>
    <s v="*MAV061101529"/>
    <s v="*MAV061101529"/>
    <n v="3.172531407913012E-5"/>
  </r>
  <r>
    <x v="134"/>
    <s v="Pesos"/>
    <d v="2026-11-13T00:00:00"/>
    <s v="29/10/2026"/>
    <n v="0.98782139000000002"/>
    <m/>
    <n v="4000000"/>
    <n v="3951285.55"/>
    <n v="4000000"/>
    <n v="3951285.55"/>
    <n v="971"/>
    <s v="AMOMPY"/>
    <s v="Momentum Capital Investment S.A."/>
    <s v="15/10/2026"/>
    <s v="15/10/2026"/>
    <n v="30"/>
    <s v="No"/>
    <s v=""/>
    <m/>
    <m/>
    <s v="*MAV091101426"/>
    <s v="*MAV091101426"/>
    <n v="4.8358384139507245E-5"/>
  </r>
  <r>
    <x v="180"/>
    <s v="Pesos"/>
    <d v="2026-11-13T00:00:00"/>
    <s v="29/10/2026"/>
    <n v="0.98782139999999996"/>
    <m/>
    <n v="100000000"/>
    <n v="98782139.709999993"/>
    <n v="100000000"/>
    <n v="98782139.709999993"/>
    <n v="90004134"/>
    <s v="AMOMPY"/>
    <s v="Momentum Capital Investment S.A."/>
    <s v="02/09/2026"/>
    <s v="02/09/2026"/>
    <n v="30"/>
    <s v="No"/>
    <s v=""/>
    <m/>
    <m/>
    <s v="*BIF111100007"/>
    <s v="*BIF111100007"/>
    <n v="1.2089596152367811E-3"/>
  </r>
  <r>
    <x v="29"/>
    <s v="Pesos"/>
    <d v="2026-11-13T00:00:00"/>
    <s v="29/10/2026"/>
    <n v="0.98742057999999999"/>
    <m/>
    <n v="5000000"/>
    <n v="4937102.8899999997"/>
    <n v="5000000"/>
    <n v="4937102.8899999997"/>
    <n v="8806"/>
    <s v="AMOMPY"/>
    <s v="Momentum Capital Investment S.A."/>
    <s v="07/09/2026"/>
    <s v="07/09/2026"/>
    <n v="31"/>
    <s v="No"/>
    <s v=""/>
    <m/>
    <m/>
    <s v="*MIL111100040"/>
    <s v="*MIL111100040"/>
    <n v="6.0423453346947141E-5"/>
  </r>
  <r>
    <x v="29"/>
    <s v="Pesos"/>
    <d v="2026-11-13T00:00:00"/>
    <s v="29/10/2026"/>
    <n v="0.98942803999999995"/>
    <m/>
    <n v="15000000"/>
    <n v="14841420.630000001"/>
    <n v="15000000"/>
    <n v="14841420.630000001"/>
    <n v="9621094"/>
    <s v="AMOMPY"/>
    <s v="Momentum Capital Investment S.A."/>
    <s v="17/07/2026"/>
    <s v="17/07/2026"/>
    <n v="26"/>
    <s v="No"/>
    <s v=""/>
    <m/>
    <m/>
    <s v="*MIL111100036"/>
    <s v="*MIL111100036"/>
    <n v="1.8163888965239369E-4"/>
  </r>
  <r>
    <x v="26"/>
    <s v="Pesos"/>
    <d v="2026-11-13T00:00:00"/>
    <s v="29/10/2026"/>
    <n v="0.98702002"/>
    <m/>
    <n v="3000000"/>
    <n v="2961060.06"/>
    <n v="3000000"/>
    <n v="2961060.06"/>
    <n v="1055"/>
    <s v="AMOMPY"/>
    <s v="Momentum Capital Investment S.A."/>
    <s v="25/08/2026"/>
    <s v="25/08/2026"/>
    <n v="32"/>
    <s v="No"/>
    <s v=""/>
    <m/>
    <m/>
    <s v="*MAV111101387"/>
    <s v="*MAV111101387"/>
    <n v="3.6239365145764363E-5"/>
  </r>
  <r>
    <x v="26"/>
    <s v="Pesos"/>
    <d v="2026-11-13T00:00:00"/>
    <s v="29/10/2026"/>
    <n v="0.98661984000000003"/>
    <m/>
    <n v="2500000"/>
    <n v="2466549.6"/>
    <n v="2500000"/>
    <n v="2466549.6"/>
    <n v="1018"/>
    <s v="AMOMPY"/>
    <s v="Momentum Capital Investment S.A."/>
    <s v="19/08/2026"/>
    <s v="19/08/2026"/>
    <n v="33"/>
    <s v="No"/>
    <s v=""/>
    <m/>
    <m/>
    <s v="*MAV111101370"/>
    <s v="*MAV111101370"/>
    <n v="3.0187226801653946E-5"/>
  </r>
  <r>
    <x v="51"/>
    <s v="Pesos"/>
    <d v="2026-11-13T00:00:00"/>
    <s v="29/10/2026"/>
    <n v="0.98702022"/>
    <m/>
    <n v="75000000"/>
    <n v="74026516.310000002"/>
    <n v="75000000"/>
    <n v="74026516.310000002"/>
    <n v="21574"/>
    <s v="AMOMPY"/>
    <s v="Momentum Capital Investment S.A."/>
    <s v="22/10/2026"/>
    <s v="22/10/2026"/>
    <n v="32"/>
    <s v="No"/>
    <s v=""/>
    <m/>
    <m/>
    <s v="*MAV111101838"/>
    <s v="*MAV111101838"/>
    <n v="9.0598430989845291E-4"/>
  </r>
  <r>
    <x v="212"/>
    <s v="Pesos"/>
    <d v="2026-11-13T00:00:00"/>
    <s v="29/10/2026"/>
    <n v="0.98661989000000005"/>
    <m/>
    <n v="65000000"/>
    <n v="64130292.560000002"/>
    <n v="65000000"/>
    <n v="64130292.560000002"/>
    <n v="38498314"/>
    <s v="AMOMPY"/>
    <s v="Momentum Capital Investment S.A."/>
    <s v="29/09/2026"/>
    <s v="29/09/2026"/>
    <n v="33"/>
    <s v="No"/>
    <s v=""/>
    <m/>
    <m/>
    <s v="*MAV101102087"/>
    <s v="*MAV101102087"/>
    <n v="7.8486793306939407E-4"/>
  </r>
  <r>
    <x v="213"/>
    <s v="Pesos"/>
    <d v="2026-11-13T00:00:00"/>
    <s v="29/10/2026"/>
    <n v="0.98782143"/>
    <m/>
    <n v="409929.9"/>
    <n v="404937.54"/>
    <n v="409929.9"/>
    <n v="404937.54"/>
    <n v="229"/>
    <s v="AMOMPY"/>
    <s v="Momentum Capital Investment S.A."/>
    <s v="29/09/2026"/>
    <s v="29/09/2026"/>
    <n v="30"/>
    <s v="No"/>
    <s v=""/>
    <m/>
    <m/>
    <s v="*MAV111101617"/>
    <s v="*MAV111101617"/>
    <n v="4.9558871066220668E-6"/>
  </r>
  <r>
    <x v="214"/>
    <s v="Pesos"/>
    <d v="2026-11-13T00:00:00"/>
    <s v="29/10/2026"/>
    <n v="0.98702007000000003"/>
    <m/>
    <n v="1500000"/>
    <n v="1480530.1"/>
    <n v="1500000"/>
    <n v="1480530.1"/>
    <n v="11212949"/>
    <s v="AMOMPY"/>
    <s v="Momentum Capital Investment S.A."/>
    <s v="02/10/2026"/>
    <s v="01/10/2026"/>
    <n v="32"/>
    <s v="No"/>
    <s v=""/>
    <m/>
    <m/>
    <s v="*MAV111101672"/>
    <s v="*MAV111101672"/>
    <n v="1.8119683429587388E-5"/>
  </r>
  <r>
    <x v="215"/>
    <s v="Pesos"/>
    <d v="2026-11-13T00:00:00"/>
    <s v="29/10/2026"/>
    <n v="0.98702007000000003"/>
    <m/>
    <n v="8338377.5999999996"/>
    <n v="8230146.0099999998"/>
    <n v="8338377.5999999996"/>
    <n v="8230146.0099999998"/>
    <n v="437"/>
    <s v="AMOMPY"/>
    <s v="Momentum Capital Investment S.A."/>
    <s v="02/10/2026"/>
    <s v="02/10/2026"/>
    <n v="32"/>
    <s v="No"/>
    <s v=""/>
    <m/>
    <m/>
    <s v="*MAV091101265"/>
    <s v="*MAV091101265"/>
    <n v="1.0072584156207411E-4"/>
  </r>
  <r>
    <x v="216"/>
    <s v="Pesos"/>
    <d v="2026-11-13T00:00:00"/>
    <s v="29/10/2026"/>
    <n v="0.98702000000000001"/>
    <m/>
    <n v="75141"/>
    <n v="74165.67"/>
    <n v="75141"/>
    <n v="74165.67"/>
    <n v="423"/>
    <s v="AMOMPY"/>
    <s v="Momentum Capital Investment S.A."/>
    <s v="02/10/2026"/>
    <s v="02/10/2026"/>
    <n v="32"/>
    <s v="No"/>
    <s v=""/>
    <m/>
    <m/>
    <s v="*MAV101102133"/>
    <s v="*MAV101102133"/>
    <n v="9.076873626164347E-7"/>
  </r>
  <r>
    <x v="0"/>
    <s v="Pesos"/>
    <d v="2026-11-16T00:00:00"/>
    <s v="29/10/2026"/>
    <n v="0.98590049000000002"/>
    <m/>
    <n v="4000000"/>
    <n v="3943601.95"/>
    <n v="4000000"/>
    <n v="3943601.95"/>
    <n v="90005006"/>
    <s v="AMOMPY"/>
    <s v="Momentum Capital Investment S.A."/>
    <s v="28/10/2026"/>
    <s v="28/10/2026"/>
    <n v="29"/>
    <s v="No"/>
    <s v=""/>
    <m/>
    <m/>
    <s v="*TRD121100028"/>
    <s v="*TRD121100028"/>
    <n v="4.8264347280952616E-5"/>
  </r>
  <r>
    <x v="2"/>
    <s v="Pesos"/>
    <d v="2026-11-16T00:00:00"/>
    <s v="29/10/2026"/>
    <n v="0.98303260000000003"/>
    <m/>
    <n v="3625698.78"/>
    <n v="3564180.11"/>
    <n v="3625698.78"/>
    <n v="3564180.11"/>
    <n v="3356"/>
    <s v="AMOMPY"/>
    <s v="Momentum Capital Investment S.A."/>
    <s v="01/09/2026"/>
    <s v="01/09/2026"/>
    <n v="35"/>
    <s v="No"/>
    <s v=""/>
    <m/>
    <m/>
    <s v="*MAV121101369"/>
    <s v="*MAV121101369"/>
    <n v="4.3620737787926055E-5"/>
  </r>
  <r>
    <x v="163"/>
    <s v="Pesos"/>
    <d v="2026-11-16T00:00:00"/>
    <s v="29/10/2026"/>
    <n v="0.98398669000000005"/>
    <m/>
    <n v="3600000"/>
    <n v="3542352.09"/>
    <n v="3600000"/>
    <n v="3542352.09"/>
    <n v="13870045"/>
    <s v="AMOMPY"/>
    <s v="Momentum Capital Investment S.A."/>
    <s v="21/09/2026"/>
    <s v="21/09/2026"/>
    <n v="33"/>
    <s v="No"/>
    <s v=""/>
    <m/>
    <m/>
    <s v="*MAV121101563"/>
    <s v="*MAV121101563"/>
    <n v="4.335359238352347E-5"/>
  </r>
  <r>
    <x v="217"/>
    <s v="Pesos"/>
    <d v="2026-11-16T00:00:00"/>
    <s v="29/10/2026"/>
    <n v="0.98542123999999998"/>
    <m/>
    <n v="5925436.6100000003"/>
    <n v="5839051.0899999999"/>
    <n v="5925436.6100000003"/>
    <n v="5839051.0899999999"/>
    <n v="694"/>
    <s v="AMOMPY"/>
    <s v="Momentum Capital Investment S.A."/>
    <s v="11/09/2026"/>
    <s v="11/09/2026"/>
    <n v="30"/>
    <s v="No"/>
    <s v=""/>
    <m/>
    <m/>
    <s v="*MAV121101478"/>
    <s v="*MAV121101478"/>
    <n v="7.1462077859806535E-5"/>
  </r>
  <r>
    <x v="32"/>
    <s v="Pesos"/>
    <d v="2026-11-16T00:00:00"/>
    <s v="29/10/2026"/>
    <n v="0.98398662999999997"/>
    <m/>
    <n v="5300000"/>
    <n v="5215129.13"/>
    <n v="5300000"/>
    <n v="5215129.13"/>
    <n v="8175681"/>
    <s v="AMOMPY"/>
    <s v="Momentum Capital Investment S.A."/>
    <s v="15/09/2026"/>
    <s v="15/09/2026"/>
    <n v="33"/>
    <s v="No"/>
    <s v=""/>
    <m/>
    <m/>
    <s v="*MAV121101499"/>
    <s v="*MAV121101499"/>
    <n v="6.3826118010042136E-5"/>
  </r>
  <r>
    <x v="218"/>
    <s v="Pesos"/>
    <d v="2026-11-16T00:00:00"/>
    <s v="29/10/2026"/>
    <n v="0.98446434999999999"/>
    <m/>
    <n v="1869225"/>
    <n v="1840185.38"/>
    <n v="1869225"/>
    <n v="1840185.38"/>
    <n v="5"/>
    <s v="AMOMPY"/>
    <s v="Momentum Capital Investment S.A."/>
    <s v="15/09/2026"/>
    <s v="15/09/2026"/>
    <n v="32"/>
    <s v="No"/>
    <s v=""/>
    <m/>
    <m/>
    <s v="*MAV121101513"/>
    <s v="*MAV121101513"/>
    <n v="2.2521376996897913E-5"/>
  </r>
  <r>
    <x v="55"/>
    <s v="Pesos"/>
    <d v="2026-11-16T00:00:00"/>
    <s v="29/10/2026"/>
    <n v="0.98686001999999995"/>
    <m/>
    <n v="60000000"/>
    <n v="59211600.950000003"/>
    <n v="60000000"/>
    <n v="59211600.950000003"/>
    <n v="116"/>
    <s v="AMOMPY"/>
    <s v="Momentum Capital Investment S.A."/>
    <s v="27/10/2026"/>
    <s v="27/10/2026"/>
    <n v="27"/>
    <s v="No"/>
    <s v=""/>
    <m/>
    <m/>
    <s v="*PRO121100030"/>
    <s v="*PRO121100030"/>
    <n v="7.2466980885633851E-4"/>
  </r>
  <r>
    <x v="219"/>
    <s v="Pesos"/>
    <d v="2026-11-16T00:00:00"/>
    <s v="29/10/2026"/>
    <n v="0.98398666000000001"/>
    <m/>
    <n v="5468322.6299999999"/>
    <n v="5380756.5"/>
    <n v="5468322.6299999999"/>
    <n v="5380756.5"/>
    <n v="762870"/>
    <s v="AMOMPY"/>
    <s v="Momentum Capital Investment S.A."/>
    <s v="28/07/2026"/>
    <s v="28/07/2026"/>
    <n v="33"/>
    <s v="No"/>
    <s v=""/>
    <m/>
    <m/>
    <s v="*MAV121101206"/>
    <s v="*MAV121101206"/>
    <n v="6.5853172719483797E-5"/>
  </r>
  <r>
    <x v="171"/>
    <s v="Pesos"/>
    <d v="2026-11-16T00:00:00"/>
    <s v="29/10/2026"/>
    <n v="0.98398669000000005"/>
    <m/>
    <n v="2170000"/>
    <n v="2135251.11"/>
    <n v="2170000"/>
    <n v="2135251.11"/>
    <n v="260731"/>
    <s v="AMOMPY"/>
    <s v="Momentum Capital Investment S.A."/>
    <s v="27/08/2026"/>
    <s v="27/08/2026"/>
    <n v="33"/>
    <s v="No"/>
    <s v=""/>
    <m/>
    <m/>
    <s v="*MAV121101347"/>
    <s v="*MAV121101347"/>
    <n v="2.6132581942018652E-5"/>
  </r>
  <r>
    <x v="140"/>
    <s v="Pesos"/>
    <d v="2026-11-16T00:00:00"/>
    <s v="29/10/2026"/>
    <n v="0.98255630000000005"/>
    <m/>
    <n v="3140560.45"/>
    <n v="3085777.45"/>
    <n v="3140560.45"/>
    <n v="3085777.45"/>
    <n v="1120"/>
    <s v="AMOMPY"/>
    <s v="Momentum Capital Investment S.A."/>
    <s v="02/09/2026"/>
    <s v="02/09/2026"/>
    <n v="36"/>
    <s v="No"/>
    <s v=""/>
    <m/>
    <m/>
    <s v="*MAV121101391"/>
    <s v="*MAV121101391"/>
    <n v="3.7765737101974098E-5"/>
  </r>
  <r>
    <x v="174"/>
    <s v="Pesos"/>
    <d v="2026-11-16T00:00:00"/>
    <s v="29/10/2026"/>
    <n v="0.98398669999999999"/>
    <m/>
    <n v="7500000"/>
    <n v="7379900.2199999997"/>
    <n v="7500000"/>
    <n v="7379900.2199999997"/>
    <n v="14437226"/>
    <s v="AMOMPY"/>
    <s v="Momentum Capital Investment S.A."/>
    <s v="14/09/2026"/>
    <s v="14/09/2026"/>
    <n v="33"/>
    <s v="No"/>
    <s v=""/>
    <m/>
    <m/>
    <s v="*MAV121101495"/>
    <s v="*MAV121101495"/>
    <n v="9.0319984530096555E-5"/>
  </r>
  <r>
    <x v="220"/>
    <s v="Pesos"/>
    <d v="2026-11-16T00:00:00"/>
    <s v="29/10/2026"/>
    <n v="0.98398664000000002"/>
    <m/>
    <n v="25000000"/>
    <n v="24599666.100000001"/>
    <n v="25000000"/>
    <n v="24599666.100000001"/>
    <n v="90016069"/>
    <s v="AMOMPY"/>
    <s v="Momentum Capital Investment S.A."/>
    <s v="14/08/2026"/>
    <s v="14/08/2026"/>
    <n v="33"/>
    <s v="No"/>
    <s v=""/>
    <m/>
    <m/>
    <s v="*MAV121101299"/>
    <s v="*MAV121101299"/>
    <n v="3.0106659919008238E-4"/>
  </r>
  <r>
    <x v="38"/>
    <s v="Pesos"/>
    <d v="2026-11-16T00:00:00"/>
    <s v="29/10/2026"/>
    <n v="0.98494261999999999"/>
    <m/>
    <n v="1638560052.79"/>
    <n v="1613887628.47"/>
    <n v="1638560052.79"/>
    <n v="1613887628.47"/>
    <n v="90"/>
    <s v="AMOMPY"/>
    <s v="Momentum Capital Investment S.A."/>
    <s v="23/10/2026"/>
    <s v="23/10/2026"/>
    <n v="31"/>
    <s v="No"/>
    <s v=""/>
    <m/>
    <m/>
    <s v="%AUU131100001"/>
    <s v="%AUU131100001"/>
    <n v="1.9751798979841032E-2"/>
  </r>
  <r>
    <x v="221"/>
    <s v="Dolar Link"/>
    <d v="2026-11-16T00:00:00"/>
    <s v="29/10/2026"/>
    <n v="0.98975009999999997"/>
    <s v="1 BNA = 1560,0000998400 $"/>
    <n v="136308.70000000001"/>
    <n v="134911.54999999999"/>
    <n v="212641585.61000001"/>
    <n v="210462031.47"/>
    <n v="60"/>
    <s v="AMOMPY"/>
    <s v="Momentum Capital Investment S.A."/>
    <s v="16/10/2026"/>
    <s v="16/10/2026"/>
    <n v="21"/>
    <s v="No"/>
    <s v=""/>
    <m/>
    <m/>
    <s v="%UON131100001"/>
    <s v="%UON131100001"/>
    <n v="2.5757702489022398E-3"/>
  </r>
  <r>
    <x v="222"/>
    <s v="Pesos"/>
    <d v="2026-11-16T00:00:00"/>
    <s v="29/10/2026"/>
    <n v="0.98782144999999999"/>
    <m/>
    <n v="3915102.27"/>
    <n v="3867421.99"/>
    <n v="3915102.27"/>
    <n v="3867421.99"/>
    <n v="681630"/>
    <s v="AMOMPY"/>
    <s v="Momentum Capital Investment S.A."/>
    <s v="18/09/2026"/>
    <s v="18/09/2026"/>
    <n v="25"/>
    <s v="No"/>
    <s v=""/>
    <m/>
    <m/>
    <s v="*MAV121101549"/>
    <s v="*MAV121101549"/>
    <n v="4.7332007736570079E-5"/>
  </r>
  <r>
    <x v="222"/>
    <s v="Pesos"/>
    <d v="2026-11-16T00:00:00"/>
    <s v="29/10/2026"/>
    <n v="0.98782144999999999"/>
    <m/>
    <n v="973870.43"/>
    <n v="962010.1"/>
    <n v="973870.43"/>
    <n v="962010.1"/>
    <n v="681511"/>
    <s v="AMOMPY"/>
    <s v="Momentum Capital Investment S.A."/>
    <s v="18/09/2026"/>
    <s v="18/09/2026"/>
    <n v="25"/>
    <s v="No"/>
    <s v=""/>
    <m/>
    <m/>
    <s v="*MAV121101550"/>
    <s v="*MAV121101550"/>
    <n v="1.1773700830577983E-5"/>
  </r>
  <r>
    <x v="222"/>
    <s v="Pesos"/>
    <d v="2026-11-16T00:00:00"/>
    <s v="29/10/2026"/>
    <n v="0.98782144000000005"/>
    <m/>
    <n v="1029426.04"/>
    <n v="1016889.11"/>
    <n v="1029426.04"/>
    <n v="1016889.11"/>
    <n v="681498"/>
    <s v="AMOMPY"/>
    <s v="Momentum Capital Investment S.A."/>
    <s v="18/09/2026"/>
    <s v="18/09/2026"/>
    <n v="25"/>
    <s v="No"/>
    <s v=""/>
    <m/>
    <m/>
    <s v="*MAV121101551"/>
    <s v="*MAV121101551"/>
    <n v="1.2445345593578181E-5"/>
  </r>
  <r>
    <x v="222"/>
    <s v="Pesos"/>
    <d v="2026-11-16T00:00:00"/>
    <s v="29/10/2026"/>
    <n v="0.98782143"/>
    <m/>
    <n v="1351574.42"/>
    <n v="1335114.18"/>
    <n v="1351574.42"/>
    <n v="1335114.18"/>
    <n v="681634"/>
    <s v="AMOMPY"/>
    <s v="Momentum Capital Investment S.A."/>
    <s v="18/09/2026"/>
    <s v="18/09/2026"/>
    <n v="25"/>
    <s v="No"/>
    <s v=""/>
    <m/>
    <m/>
    <s v="*MAV121101552"/>
    <s v="*MAV121101552"/>
    <n v="1.6339989496973515E-5"/>
  </r>
  <r>
    <x v="222"/>
    <s v="Pesos"/>
    <d v="2026-11-16T00:00:00"/>
    <s v="29/10/2026"/>
    <n v="0.98782135000000004"/>
    <m/>
    <n v="188938.02"/>
    <n v="186637.01"/>
    <n v="188938.02"/>
    <n v="186637.01"/>
    <n v="681548"/>
    <s v="AMOMPY"/>
    <s v="Momentum Capital Investment S.A."/>
    <s v="18/09/2026"/>
    <s v="18/09/2026"/>
    <n v="25"/>
    <s v="No"/>
    <s v=""/>
    <m/>
    <m/>
    <s v="*MAV121101553"/>
    <s v="*MAV121101553"/>
    <n v="2.2841842509279177E-6"/>
  </r>
  <r>
    <x v="222"/>
    <s v="Pesos"/>
    <d v="2026-11-16T00:00:00"/>
    <s v="29/10/2026"/>
    <n v="0.98782143"/>
    <m/>
    <n v="1351574.42"/>
    <n v="1335114.18"/>
    <n v="1351574.42"/>
    <n v="1335114.18"/>
    <n v="681632"/>
    <s v="AMOMPY"/>
    <s v="Momentum Capital Investment S.A."/>
    <s v="18/09/2026"/>
    <s v="18/09/2026"/>
    <n v="25"/>
    <s v="No"/>
    <s v=""/>
    <m/>
    <m/>
    <s v="*MAV121101554"/>
    <s v="*MAV121101554"/>
    <n v="1.6339989496973515E-5"/>
  </r>
  <r>
    <x v="145"/>
    <s v="Pesos"/>
    <d v="2026-11-16T00:00:00"/>
    <s v="29/10/2026"/>
    <n v="0.98542134999999997"/>
    <m/>
    <n v="2006000"/>
    <n v="1976755.22"/>
    <n v="2006000"/>
    <n v="1976755.22"/>
    <n v="70555885"/>
    <s v="AMOMPY"/>
    <s v="Momentum Capital Investment S.A."/>
    <s v="21/10/2026"/>
    <s v="21/10/2026"/>
    <n v="30"/>
    <s v="No"/>
    <s v=""/>
    <m/>
    <m/>
    <s v="*MAV121101885"/>
    <s v="*MAV121101885"/>
    <n v="2.4192806890035109E-5"/>
  </r>
  <r>
    <x v="223"/>
    <s v="Pesos"/>
    <d v="2026-11-16T00:00:00"/>
    <s v="29/10/2026"/>
    <n v="0.98398662000000003"/>
    <m/>
    <n v="686128.26"/>
    <n v="675141.03"/>
    <n v="686128.26"/>
    <n v="675141.03"/>
    <n v="19384"/>
    <s v="AMOMPY"/>
    <s v="Momentum Capital Investment S.A."/>
    <s v="15/09/2026"/>
    <s v="15/09/2026"/>
    <n v="33"/>
    <s v="No"/>
    <s v=""/>
    <m/>
    <m/>
    <s v="*MAV121101505"/>
    <s v="*MAV121101505"/>
    <n v="8.2628119036050411E-6"/>
  </r>
  <r>
    <x v="41"/>
    <s v="Pesos"/>
    <d v="2026-11-16T00:00:00"/>
    <s v="29/10/2026"/>
    <n v="0.98542125999999997"/>
    <m/>
    <n v="19275533.640000001"/>
    <n v="18994520.629999999"/>
    <n v="19275533.640000001"/>
    <n v="18994520.629999999"/>
    <n v="40800772"/>
    <s v="AMOMPY"/>
    <s v="Momentum Capital Investment S.A."/>
    <s v="23/10/2026"/>
    <s v="23/10/2026"/>
    <n v="30"/>
    <s v="No"/>
    <s v=""/>
    <m/>
    <m/>
    <s v="*MAV121101909"/>
    <s v="*MAV121101909"/>
    <n v="2.3246720935451886E-4"/>
  </r>
  <r>
    <x v="41"/>
    <s v="Pesos"/>
    <d v="2026-11-16T00:00:00"/>
    <s v="29/10/2026"/>
    <n v="0.98542125999999997"/>
    <m/>
    <n v="20775704.66"/>
    <n v="20472821.039999999"/>
    <n v="20775704.66"/>
    <n v="20472821.039999999"/>
    <n v="40298602"/>
    <s v="AMOMPY"/>
    <s v="Momentum Capital Investment S.A."/>
    <s v="23/10/2026"/>
    <s v="23/10/2026"/>
    <n v="30"/>
    <s v="No"/>
    <s v=""/>
    <m/>
    <m/>
    <s v="*MAV121101910"/>
    <s v="*MAV121101910"/>
    <n v="2.5055960439804363E-4"/>
  </r>
  <r>
    <x v="12"/>
    <s v="Pesos"/>
    <d v="2026-11-16T00:00:00"/>
    <s v="29/10/2026"/>
    <n v="0.98446436999999998"/>
    <m/>
    <n v="11829797.539999999"/>
    <n v="11646014.140000001"/>
    <n v="11829797.539999999"/>
    <n v="11646014.140000001"/>
    <n v="30897"/>
    <s v="AMOMPY"/>
    <s v="Momentum Capital Investment S.A."/>
    <s v="31/07/2026"/>
    <s v="31/07/2026"/>
    <n v="32"/>
    <s v="No"/>
    <s v=""/>
    <m/>
    <m/>
    <s v="*MAV121101212"/>
    <s v="*MAV121101212"/>
    <n v="1.425314415649492E-4"/>
  </r>
  <r>
    <x v="12"/>
    <s v="Pesos"/>
    <d v="2026-11-16T00:00:00"/>
    <s v="29/10/2026"/>
    <n v="0.98446436999999998"/>
    <m/>
    <n v="11229494.109999999"/>
    <n v="11055036.789999999"/>
    <n v="11229494.109999999"/>
    <n v="11055036.789999999"/>
    <n v="30920"/>
    <s v="AMOMPY"/>
    <s v="Momentum Capital Investment S.A."/>
    <s v="31/07/2026"/>
    <s v="31/07/2026"/>
    <n v="32"/>
    <s v="No"/>
    <s v=""/>
    <m/>
    <m/>
    <s v="*MAV121101210"/>
    <s v="*MAV121101210"/>
    <n v="1.3529867912664653E-4"/>
  </r>
  <r>
    <x v="12"/>
    <s v="Pesos"/>
    <d v="2026-11-16T00:00:00"/>
    <s v="29/10/2026"/>
    <n v="0.98446436000000004"/>
    <m/>
    <n v="11490967.439999999"/>
    <n v="11312447.960000001"/>
    <n v="11490967.439999999"/>
    <n v="11312447.960000001"/>
    <n v="30907"/>
    <s v="AMOMPY"/>
    <s v="Momentum Capital Investment S.A."/>
    <s v="31/07/2026"/>
    <s v="31/07/2026"/>
    <n v="32"/>
    <s v="No"/>
    <s v=""/>
    <m/>
    <m/>
    <s v="*MAV121101211"/>
    <s v="*MAV121101211"/>
    <n v="1.3844904325071246E-4"/>
  </r>
  <r>
    <x v="13"/>
    <s v="Pesos"/>
    <d v="2026-11-16T00:00:00"/>
    <s v="29/10/2026"/>
    <n v="0.98113006999999997"/>
    <m/>
    <n v="3750000"/>
    <n v="3679237.78"/>
    <n v="3750000"/>
    <n v="3679237.78"/>
    <n v="66918897"/>
    <s v="AMOMPY"/>
    <s v="Momentum Capital Investment S.A."/>
    <s v="13/05/2026"/>
    <s v="13/05/2026"/>
    <n v="39"/>
    <s v="No"/>
    <s v=""/>
    <m/>
    <m/>
    <s v="*MAV121101139"/>
    <s v="*MAV121101139"/>
    <n v="4.5028887852923678E-5"/>
  </r>
  <r>
    <x v="224"/>
    <s v="Pesos"/>
    <d v="2026-11-16T00:00:00"/>
    <s v="29/10/2026"/>
    <n v="0.98446434999999999"/>
    <m/>
    <n v="30000000"/>
    <n v="29533930.48"/>
    <n v="30000000"/>
    <n v="29533930.48"/>
    <n v="10505"/>
    <s v="AMOMPY"/>
    <s v="Momentum Capital Investment S.A."/>
    <s v="28/08/2026"/>
    <s v="28/08/2026"/>
    <n v="32"/>
    <s v="No"/>
    <s v=""/>
    <m/>
    <m/>
    <s v="*MAV121101353"/>
    <s v="*MAV121101353"/>
    <n v="3.6145531301865586E-4"/>
  </r>
  <r>
    <x v="202"/>
    <s v="Pesos"/>
    <d v="2026-11-16T00:00:00"/>
    <s v="29/10/2026"/>
    <n v="0.98446436000000004"/>
    <m/>
    <n v="38054448.590000004"/>
    <n v="37463248.420000002"/>
    <n v="38054448.590000004"/>
    <n v="37463248.420000002"/>
    <n v="10434108"/>
    <s v="AMOMPY"/>
    <s v="Momentum Capital Investment S.A."/>
    <s v="25/08/2026"/>
    <s v="25/08/2026"/>
    <n v="32"/>
    <s v="No"/>
    <s v=""/>
    <m/>
    <m/>
    <s v="*MAV121101332"/>
    <s v="*MAV121101332"/>
    <n v="4.5849942639760572E-4"/>
  </r>
  <r>
    <x v="87"/>
    <s v="Pesos"/>
    <d v="2026-11-16T00:00:00"/>
    <s v="29/10/2026"/>
    <n v="0.98446440999999996"/>
    <m/>
    <n v="20000000"/>
    <n v="19689288.18"/>
    <n v="20000000"/>
    <n v="19689288.18"/>
    <n v="742"/>
    <s v="AMOMPY"/>
    <s v="Momentum Capital Investment S.A."/>
    <s v="21/09/2026"/>
    <s v="21/09/2026"/>
    <n v="32"/>
    <s v="No"/>
    <s v=""/>
    <m/>
    <m/>
    <s v="*MAV121101562"/>
    <s v="*MAV121101562"/>
    <n v="2.4097022328388782E-4"/>
  </r>
  <r>
    <x v="44"/>
    <s v="Pesos"/>
    <d v="2026-11-16T00:00:00"/>
    <s v="29/10/2026"/>
    <n v="0.98446436000000004"/>
    <m/>
    <n v="10000000"/>
    <n v="9844643.5700000003"/>
    <n v="10000000"/>
    <n v="9844643.5700000003"/>
    <n v="14422575"/>
    <s v="AMOMPY"/>
    <s v="Momentum Capital Investment S.A."/>
    <s v="01/09/2026"/>
    <s v="01/09/2026"/>
    <n v="32"/>
    <s v="No"/>
    <s v=""/>
    <m/>
    <m/>
    <s v="*MAV121101368"/>
    <s v="*MAV121101368"/>
    <n v="1.2048510527784812E-4"/>
  </r>
  <r>
    <x v="44"/>
    <s v="Pesos"/>
    <d v="2026-11-16T00:00:00"/>
    <s v="29/10/2026"/>
    <n v="0.98398669999999999"/>
    <m/>
    <n v="36666666"/>
    <n v="36079511.530000001"/>
    <n v="36666666"/>
    <n v="36079511.530000001"/>
    <n v="14537770"/>
    <s v="AMOMPY"/>
    <s v="Momentum Capital Investment S.A."/>
    <s v="14/09/2026"/>
    <s v="14/09/2026"/>
    <n v="33"/>
    <s v="No"/>
    <s v=""/>
    <m/>
    <m/>
    <s v="*MAV121101496"/>
    <s v="*MAV121101496"/>
    <n v="4.415643607770947E-4"/>
  </r>
  <r>
    <x v="225"/>
    <s v="Pesos"/>
    <d v="2026-11-16T00:00:00"/>
    <s v="29/10/2026"/>
    <n v="0.98398662999999997"/>
    <m/>
    <n v="4069364.15"/>
    <n v="4004199.93"/>
    <n v="4069364.15"/>
    <n v="4004199.93"/>
    <n v="39543"/>
    <s v="AMOMPY"/>
    <s v="Momentum Capital Investment S.A."/>
    <s v="06/08/2026"/>
    <s v="06/08/2026"/>
    <n v="33"/>
    <s v="No"/>
    <s v=""/>
    <m/>
    <m/>
    <s v="*MAV121101263"/>
    <s v="*MAV121101263"/>
    <n v="4.9005984491889747E-5"/>
  </r>
  <r>
    <x v="59"/>
    <s v="Pesos"/>
    <d v="2026-11-16T00:00:00"/>
    <s v="29/10/2026"/>
    <n v="0.98542134000000003"/>
    <m/>
    <n v="671045.38"/>
    <n v="661262.43999999994"/>
    <n v="671045.38"/>
    <n v="661262.43999999994"/>
    <n v="635"/>
    <s v="AMOMPY"/>
    <s v="Momentum Capital Investment S.A."/>
    <s v="21/10/2026"/>
    <s v="21/10/2026"/>
    <n v="30"/>
    <s v="No"/>
    <s v=""/>
    <m/>
    <m/>
    <s v="*MAV121101887"/>
    <s v="*MAV121101887"/>
    <n v="8.0929567569592281E-6"/>
  </r>
  <r>
    <x v="21"/>
    <s v="Pesos"/>
    <d v="2026-11-16T00:00:00"/>
    <s v="29/10/2026"/>
    <n v="0.98685993999999999"/>
    <m/>
    <n v="3000000"/>
    <n v="2960579.82"/>
    <n v="3000000"/>
    <n v="2960579.82"/>
    <n v="90023131"/>
    <s v="AMOMPY"/>
    <s v="Momentum Capital Investment S.A."/>
    <s v="24/09/2026"/>
    <s v="24/09/2026"/>
    <n v="27"/>
    <s v="No"/>
    <s v=""/>
    <m/>
    <m/>
    <s v="*NIO121100033"/>
    <s v="*NIO121100033"/>
    <n v="3.6233487658525015E-5"/>
  </r>
  <r>
    <x v="26"/>
    <s v="Pesos"/>
    <d v="2026-11-16T00:00:00"/>
    <s v="29/10/2026"/>
    <n v="0.98542125000000003"/>
    <m/>
    <n v="12500000"/>
    <n v="12317765.59"/>
    <n v="12500000"/>
    <n v="12317765.59"/>
    <n v="1381"/>
    <s v="AMOMPY"/>
    <s v="Momentum Capital Investment S.A."/>
    <s v="09/10/2026"/>
    <s v="09/10/2026"/>
    <n v="30"/>
    <s v="No"/>
    <s v=""/>
    <m/>
    <m/>
    <s v="*MAV121101732"/>
    <s v="*MAV121101732"/>
    <n v="1.5075276959966211E-4"/>
  </r>
  <r>
    <x v="26"/>
    <s v="Pesos"/>
    <d v="2026-11-16T00:00:00"/>
    <s v="29/10/2026"/>
    <n v="0.98542116999999996"/>
    <m/>
    <n v="5000000"/>
    <n v="4927105.8600000003"/>
    <n v="5000000"/>
    <n v="4927105.8600000003"/>
    <n v="1371"/>
    <s v="AMOMPY"/>
    <s v="Momentum Capital Investment S.A."/>
    <s v="07/10/2026"/>
    <s v="07/10/2026"/>
    <n v="30"/>
    <s v="No"/>
    <s v=""/>
    <m/>
    <m/>
    <s v="*MAV121101698"/>
    <s v="*MAV121101698"/>
    <n v="6.0301103238134036E-5"/>
  </r>
  <r>
    <x v="26"/>
    <s v="Pesos"/>
    <d v="2026-11-16T00:00:00"/>
    <s v="29/10/2026"/>
    <n v="0.98542123000000004"/>
    <m/>
    <n v="6000000"/>
    <n v="5912527.3700000001"/>
    <n v="6000000"/>
    <n v="5912527.3700000001"/>
    <n v="1358"/>
    <s v="AMOMPY"/>
    <s v="Momentum Capital Investment S.A."/>
    <s v="05/10/2026"/>
    <s v="05/10/2026"/>
    <n v="30"/>
    <s v="No"/>
    <s v=""/>
    <m/>
    <m/>
    <s v="*MAV121101650"/>
    <s v="*MAV121101650"/>
    <n v="7.2361328022423115E-5"/>
  </r>
  <r>
    <x v="26"/>
    <s v="Pesos"/>
    <d v="2026-11-16T00:00:00"/>
    <s v="29/10/2026"/>
    <n v="0.98542125999999997"/>
    <m/>
    <n v="5000000"/>
    <n v="4927106.28"/>
    <n v="5000000"/>
    <n v="4927106.28"/>
    <n v="1311"/>
    <s v="AMOMPY"/>
    <s v="Momentum Capital Investment S.A."/>
    <s v="29/09/2026"/>
    <s v="29/09/2026"/>
    <n v="30"/>
    <s v="No"/>
    <s v=""/>
    <m/>
    <m/>
    <s v="*MAV121101606"/>
    <s v="*MAV121101606"/>
    <n v="6.030110837836526E-5"/>
  </r>
  <r>
    <x v="91"/>
    <s v="Pesos"/>
    <d v="2026-11-16T00:00:00"/>
    <s v="29/10/2026"/>
    <n v="0.98160502999999999"/>
    <m/>
    <n v="42000000"/>
    <n v="41227411.310000002"/>
    <n v="42000000"/>
    <n v="41227411.310000002"/>
    <n v="163277"/>
    <s v="AMOMPY"/>
    <s v="Momentum Capital Investment S.A."/>
    <s v="02/09/2026"/>
    <s v="02/09/2026"/>
    <n v="38"/>
    <s v="No"/>
    <s v=""/>
    <m/>
    <m/>
    <s v="#MAV131160032"/>
    <s v="#MAV131160032"/>
    <n v="5.0456768258787211E-4"/>
  </r>
  <r>
    <x v="226"/>
    <s v="Pesos"/>
    <d v="2026-11-16T00:00:00"/>
    <s v="29/10/2026"/>
    <n v="0.9854212"/>
    <m/>
    <n v="5320358.03"/>
    <n v="5242793.62"/>
    <n v="5320358.03"/>
    <n v="5242793.62"/>
    <n v="2921"/>
    <s v="AMOMPY"/>
    <s v="Momentum Capital Investment S.A."/>
    <s v="15/10/2026"/>
    <s v="15/10/2026"/>
    <n v="30"/>
    <s v="No"/>
    <s v=""/>
    <m/>
    <m/>
    <s v="*MAV121101828"/>
    <s v="*MAV121101828"/>
    <n v="6.4164693903258344E-5"/>
  </r>
  <r>
    <x v="29"/>
    <s v="Pesos"/>
    <d v="2026-11-16T00:00:00"/>
    <s v="29/10/2026"/>
    <n v="0.98542118000000001"/>
    <m/>
    <n v="40000000"/>
    <n v="39416847.210000001"/>
    <n v="40000000"/>
    <n v="39416847.210000001"/>
    <n v="4374"/>
    <s v="AMOMPY"/>
    <s v="Momentum Capital Investment S.A."/>
    <s v="14/08/2026"/>
    <s v="14/08/2026"/>
    <n v="30"/>
    <s v="No"/>
    <s v=""/>
    <m/>
    <m/>
    <s v="*MIL121100036"/>
    <s v="*MIL121100036"/>
    <n v="4.824088299438254E-4"/>
  </r>
  <r>
    <x v="29"/>
    <s v="Pesos"/>
    <d v="2026-11-16T00:00:00"/>
    <s v="29/10/2026"/>
    <n v="0.98734047999999996"/>
    <m/>
    <n v="4000000"/>
    <n v="3949361.92"/>
    <n v="4000000"/>
    <n v="3949361.92"/>
    <n v="90002236"/>
    <s v="AMOMPY"/>
    <s v="Momentum Capital Investment S.A."/>
    <s v="22/09/2026"/>
    <s v="22/09/2026"/>
    <n v="26"/>
    <s v="No"/>
    <s v=""/>
    <m/>
    <m/>
    <s v="*MIL121100039"/>
    <s v="*MIL121100039"/>
    <n v="4.8334841513365665E-5"/>
  </r>
  <r>
    <x v="26"/>
    <s v="Pesos"/>
    <d v="2026-11-16T00:00:00"/>
    <s v="29/10/2026"/>
    <n v="0.98446436000000004"/>
    <m/>
    <n v="3000000"/>
    <n v="2953393.08"/>
    <n v="3000000"/>
    <n v="2953393.08"/>
    <n v="1056"/>
    <s v="AMOMPY"/>
    <s v="Momentum Capital Investment S.A."/>
    <s v="25/08/2026"/>
    <s v="25/08/2026"/>
    <n v="32"/>
    <s v="No"/>
    <s v=""/>
    <m/>
    <m/>
    <s v="*MAV121101331"/>
    <s v="*MAV121101331"/>
    <n v="3.6145531693502248E-5"/>
  </r>
  <r>
    <x v="26"/>
    <s v="Pesos"/>
    <d v="2026-11-16T00:00:00"/>
    <s v="29/10/2026"/>
    <n v="0.98398666999999995"/>
    <m/>
    <n v="2500000"/>
    <n v="2459966.67"/>
    <n v="2500000"/>
    <n v="2459966.67"/>
    <n v="1019"/>
    <s v="AMOMPY"/>
    <s v="Momentum Capital Investment S.A."/>
    <s v="19/08/2026"/>
    <s v="19/08/2026"/>
    <n v="33"/>
    <s v="No"/>
    <s v=""/>
    <m/>
    <m/>
    <s v="*MAV121101312"/>
    <s v="*MAV121101312"/>
    <n v="3.010666065332698E-5"/>
  </r>
  <r>
    <x v="26"/>
    <s v="Pesos"/>
    <d v="2026-11-16T00:00:00"/>
    <s v="29/10/2026"/>
    <n v="0.98542116999999996"/>
    <m/>
    <n v="2500000"/>
    <n v="2463552.92"/>
    <n v="2500000"/>
    <n v="2463552.92"/>
    <n v="889"/>
    <s v="AMOMPY"/>
    <s v="Momentum Capital Investment S.A."/>
    <s v="06/08/2026"/>
    <s v="06/08/2026"/>
    <n v="30"/>
    <s v="No"/>
    <s v=""/>
    <m/>
    <m/>
    <s v="*MAV121101264"/>
    <s v="*MAV121101264"/>
    <n v="3.0150551496680559E-5"/>
  </r>
  <r>
    <x v="51"/>
    <s v="Pesos"/>
    <d v="2026-11-16T00:00:00"/>
    <s v="29/10/2026"/>
    <n v="0.98398669999999999"/>
    <m/>
    <n v="60000000"/>
    <n v="59039201.75"/>
    <n v="60000000"/>
    <n v="59039201.75"/>
    <n v="20866"/>
    <s v="AMOMPY"/>
    <s v="Momentum Capital Investment S.A."/>
    <s v="28/09/2026"/>
    <s v="28/09/2026"/>
    <n v="33"/>
    <s v="No"/>
    <s v=""/>
    <m/>
    <m/>
    <s v="*MAV121101604"/>
    <s v="*MAV121101604"/>
    <n v="7.2255987611838596E-4"/>
  </r>
  <r>
    <x v="52"/>
    <s v="Pesos"/>
    <d v="2026-11-16T00:00:00"/>
    <s v="29/10/2026"/>
    <n v="0.98542125999999997"/>
    <m/>
    <n v="5920000"/>
    <n v="5833693.8499999996"/>
    <n v="5920000"/>
    <n v="5833693.8499999996"/>
    <n v="1026"/>
    <s v="AMOMPY"/>
    <s v="Momentum Capital Investment S.A."/>
    <s v="29/09/2026"/>
    <s v="29/09/2026"/>
    <n v="30"/>
    <s v="No"/>
    <s v=""/>
    <m/>
    <m/>
    <s v="*MAV121101610"/>
    <s v="*MAV121101610"/>
    <n v="7.1396512497200052E-5"/>
  </r>
  <r>
    <x v="0"/>
    <s v="Pesos"/>
    <d v="2026-11-17T00:00:00"/>
    <s v="29/10/2026"/>
    <n v="0.98512873999999995"/>
    <m/>
    <n v="4000000"/>
    <n v="3940514.98"/>
    <n v="4000000"/>
    <n v="3940514.98"/>
    <n v="90005007"/>
    <s v="AMOMPY"/>
    <s v="Momentum Capital Investment S.A."/>
    <s v="28/10/2026"/>
    <s v="28/10/2026"/>
    <n v="29"/>
    <s v="No"/>
    <s v=""/>
    <m/>
    <m/>
    <s v="*TRD131100040"/>
    <s v="*TRD131100040"/>
    <n v="4.8226566948653642E-5"/>
  </r>
  <r>
    <x v="162"/>
    <s v="Pesos"/>
    <d v="2026-11-17T00:00:00"/>
    <s v="29/10/2026"/>
    <n v="0.98160501"/>
    <m/>
    <n v="9450000"/>
    <n v="9276167.3599999994"/>
    <n v="9450000"/>
    <n v="9276167.3599999994"/>
    <n v="66335143"/>
    <s v="AMOMPY"/>
    <s v="Momentum Capital Investment S.A."/>
    <s v="22/04/2026"/>
    <s v="22/04/2026"/>
    <n v="36"/>
    <s v="No"/>
    <s v=""/>
    <m/>
    <m/>
    <s v="*AAR131100017"/>
    <s v="*AAR131100017"/>
    <n v="1.1352772632118142E-4"/>
  </r>
  <r>
    <x v="2"/>
    <s v="Pesos"/>
    <d v="2026-11-17T00:00:00"/>
    <s v="29/10/2026"/>
    <n v="0.9821069"/>
    <m/>
    <n v="3625698.78"/>
    <n v="3560823.78"/>
    <n v="3625698.78"/>
    <n v="3560823.78"/>
    <n v="3357"/>
    <s v="AMOMPY"/>
    <s v="Momentum Capital Investment S.A."/>
    <s v="01/09/2026"/>
    <s v="01/09/2026"/>
    <n v="35"/>
    <s v="No"/>
    <s v=""/>
    <m/>
    <m/>
    <s v="*MAV131101236"/>
    <s v="*MAV131101236"/>
    <n v="4.3579660854005414E-5"/>
  </r>
  <r>
    <x v="2"/>
    <s v="Pesos"/>
    <d v="2026-11-17T00:00:00"/>
    <s v="29/10/2026"/>
    <n v="0.98160506999999997"/>
    <m/>
    <n v="2874176.47"/>
    <n v="2821306.2"/>
    <n v="2874176.47"/>
    <n v="2821306.2"/>
    <n v="3427"/>
    <s v="AMOMPY"/>
    <s v="Momentum Capital Investment S.A."/>
    <s v="08/09/2026"/>
    <s v="08/09/2026"/>
    <n v="36"/>
    <s v="No"/>
    <s v=""/>
    <m/>
    <m/>
    <s v="*MAV131101288"/>
    <s v="*MAV131101288"/>
    <n v="3.4528967159757275E-5"/>
  </r>
  <r>
    <x v="163"/>
    <s v="Pesos"/>
    <d v="2026-11-17T00:00:00"/>
    <s v="29/10/2026"/>
    <n v="0.98311207"/>
    <m/>
    <n v="3600000"/>
    <n v="3539203.44"/>
    <n v="3600000"/>
    <n v="3539203.44"/>
    <n v="13870046"/>
    <s v="AMOMPY"/>
    <s v="Momentum Capital Investment S.A."/>
    <s v="21/09/2026"/>
    <s v="21/09/2026"/>
    <n v="33"/>
    <s v="No"/>
    <s v=""/>
    <m/>
    <m/>
    <s v="*MAV131101395"/>
    <s v="*MAV131101395"/>
    <n v="4.3315057171554073E-5"/>
  </r>
  <r>
    <x v="227"/>
    <s v="Pesos"/>
    <d v="2026-11-17T00:00:00"/>
    <s v="29/10/2026"/>
    <n v="0.98311210000000004"/>
    <m/>
    <n v="2169517.4900000002"/>
    <n v="2132878.89"/>
    <n v="2169517.4900000002"/>
    <n v="2132878.89"/>
    <n v="90000461"/>
    <s v="AMOMPY"/>
    <s v="Momentum Capital Investment S.A."/>
    <s v="22/09/2026"/>
    <s v="22/09/2026"/>
    <n v="33"/>
    <s v="No"/>
    <s v=""/>
    <m/>
    <m/>
    <s v="*MAV131101411"/>
    <s v="*MAV131101411"/>
    <n v="2.6103549181776E-5"/>
  </r>
  <r>
    <x v="168"/>
    <s v="Pesos"/>
    <d v="2026-11-17T00:00:00"/>
    <s v="29/10/2026"/>
    <n v="0.98361544000000001"/>
    <m/>
    <n v="4000000"/>
    <n v="3934461.75"/>
    <n v="4000000"/>
    <n v="3934461.75"/>
    <n v="723"/>
    <s v="AMOMPY"/>
    <s v="Momentum Capital Investment S.A."/>
    <s v="14/09/2026"/>
    <s v="14/09/2026"/>
    <n v="32"/>
    <s v="No"/>
    <s v=""/>
    <m/>
    <m/>
    <s v="*MAV131101336"/>
    <s v="*MAV131101336"/>
    <n v="4.8152483610985272E-5"/>
  </r>
  <r>
    <x v="32"/>
    <s v="Pesos"/>
    <d v="2026-11-17T00:00:00"/>
    <s v="29/10/2026"/>
    <n v="0.98311208999999999"/>
    <m/>
    <n v="5300000"/>
    <n v="5210494.08"/>
    <n v="5300000"/>
    <n v="5210494.08"/>
    <n v="8175682"/>
    <s v="AMOMPY"/>
    <s v="Momentum Capital Investment S.A."/>
    <s v="15/09/2026"/>
    <s v="15/09/2026"/>
    <n v="33"/>
    <s v="No"/>
    <s v=""/>
    <m/>
    <m/>
    <s v="*MAV131101341"/>
    <s v="*MAV131101341"/>
    <n v="6.3769391275016407E-5"/>
  </r>
  <r>
    <x v="228"/>
    <s v="Pesos"/>
    <d v="2026-11-17T00:00:00"/>
    <s v="29/10/2026"/>
    <n v="0.98311203999999996"/>
    <m/>
    <n v="25000000"/>
    <n v="24577800.949999999"/>
    <n v="25000000"/>
    <n v="24577800.949999999"/>
    <n v="68636415"/>
    <s v="AMOMPY"/>
    <s v="Momentum Capital Investment S.A."/>
    <s v="28/07/2026"/>
    <s v="28/07/2026"/>
    <n v="33"/>
    <s v="No"/>
    <s v=""/>
    <m/>
    <m/>
    <s v="*MAV131101091"/>
    <s v="*MAV131101091"/>
    <n v="3.0079899936476273E-4"/>
  </r>
  <r>
    <x v="55"/>
    <s v="Pesos"/>
    <d v="2026-11-17T00:00:00"/>
    <s v="29/10/2026"/>
    <n v="0.98715348000000003"/>
    <m/>
    <n v="32000000"/>
    <n v="31588911.460000001"/>
    <n v="32000000"/>
    <n v="31588911.460000001"/>
    <n v="5314"/>
    <s v="AMOMPY"/>
    <s v="Momentum Capital Investment S.A."/>
    <s v="16/07/2026"/>
    <s v="16/07/2026"/>
    <n v="25"/>
    <s v="No"/>
    <s v=""/>
    <m/>
    <m/>
    <s v="*PRO131100019"/>
    <s v="*PRO131100019"/>
    <n v="3.8660549727456749E-4"/>
  </r>
  <r>
    <x v="55"/>
    <s v="Pesos"/>
    <d v="2026-11-17T00:00:00"/>
    <s v="29/10/2026"/>
    <n v="0.98512862999999995"/>
    <m/>
    <n v="35000000"/>
    <n v="34479502.18"/>
    <n v="35000000"/>
    <n v="34479502.18"/>
    <n v="66"/>
    <s v="AMOMPY"/>
    <s v="Momentum Capital Investment S.A."/>
    <s v="29/05/2026"/>
    <s v="29/05/2026"/>
    <n v="29"/>
    <s v="No"/>
    <s v=""/>
    <m/>
    <m/>
    <s v="*PRO131100018"/>
    <s v="*PRO131100018"/>
    <n v="4.2198241313119413E-4"/>
  </r>
  <r>
    <x v="171"/>
    <s v="Pesos"/>
    <d v="2026-11-17T00:00:00"/>
    <s v="29/10/2026"/>
    <n v="0.98311205999999995"/>
    <m/>
    <n v="2170000"/>
    <n v="2133353.1800000002"/>
    <n v="2170000"/>
    <n v="2133353.1800000002"/>
    <n v="260732"/>
    <s v="AMOMPY"/>
    <s v="Momentum Capital Investment S.A."/>
    <s v="27/08/2026"/>
    <s v="27/08/2026"/>
    <n v="33"/>
    <s v="No"/>
    <s v=""/>
    <m/>
    <m/>
    <s v="*MAV131101218"/>
    <s v="*MAV131101218"/>
    <n v="2.6109353849073083E-5"/>
  </r>
  <r>
    <x v="68"/>
    <s v="Pesos"/>
    <d v="2026-11-17T00:00:00"/>
    <s v="29/10/2026"/>
    <n v="0.98210686999999997"/>
    <m/>
    <n v="25000000"/>
    <n v="24552671.690000001"/>
    <n v="25000000"/>
    <n v="24552671.690000001"/>
    <n v="123"/>
    <s v="AMOMPY"/>
    <s v="Momentum Capital Investment S.A."/>
    <s v="13/08/2026"/>
    <s v="13/08/2026"/>
    <n v="35"/>
    <s v="No"/>
    <s v=""/>
    <m/>
    <m/>
    <s v="*MAV131101141"/>
    <s v="*MAV131101141"/>
    <n v="3.0049145125343437E-4"/>
  </r>
  <r>
    <x v="172"/>
    <s v="Pesos"/>
    <d v="2026-11-17T00:00:00"/>
    <s v="29/10/2026"/>
    <n v="0.98563407000000003"/>
    <m/>
    <n v="150000000"/>
    <n v="147845110.34999999"/>
    <n v="150000000"/>
    <n v="147845110.34999999"/>
    <n v="79"/>
    <s v="AMOMPY"/>
    <s v="Momentum Capital Investment S.A."/>
    <s v="12/08/2026"/>
    <s v="12/08/2026"/>
    <n v="28"/>
    <s v="No"/>
    <s v=""/>
    <m/>
    <m/>
    <s v="*MAV131101138"/>
    <s v="*MAV131101138"/>
    <n v="1.8094239327889473E-3"/>
  </r>
  <r>
    <x v="229"/>
    <s v="Pesos"/>
    <d v="2026-11-17T00:00:00"/>
    <s v="29/10/2026"/>
    <n v="0.98210688000000002"/>
    <m/>
    <n v="3087576.27"/>
    <n v="3032329.89"/>
    <n v="3087576.27"/>
    <n v="3032329.89"/>
    <n v="1507"/>
    <s v="AMOMPY"/>
    <s v="Momentum Capital Investment S.A."/>
    <s v="24/08/2026"/>
    <s v="24/08/2026"/>
    <n v="35"/>
    <s v="No"/>
    <s v=""/>
    <m/>
    <m/>
    <s v="*MAV131101199"/>
    <s v="*MAV131101199"/>
    <n v="3.7111611348445762E-5"/>
  </r>
  <r>
    <x v="230"/>
    <s v="Pesos"/>
    <d v="2026-11-17T00:00:00"/>
    <s v="29/10/2026"/>
    <n v="0.98210686000000003"/>
    <m/>
    <n v="35000000"/>
    <n v="34373740.090000004"/>
    <n v="35000000"/>
    <n v="34373740.090000004"/>
    <n v="324"/>
    <s v="AMOMPY"/>
    <s v="Momentum Capital Investment S.A."/>
    <s v="03/09/2026"/>
    <s v="03/09/2026"/>
    <n v="35"/>
    <s v="No"/>
    <s v=""/>
    <m/>
    <m/>
    <s v="*MAV131101250"/>
    <s v="*MAV131101250"/>
    <n v="4.2068802837694192E-4"/>
  </r>
  <r>
    <x v="231"/>
    <s v="Pesos"/>
    <d v="2026-11-17T00:00:00"/>
    <s v="29/10/2026"/>
    <n v="0.98462384000000003"/>
    <m/>
    <n v="4175312.5"/>
    <n v="4111112.23"/>
    <n v="4175312.5"/>
    <n v="4111112.23"/>
    <n v="40952707"/>
    <s v="AMOMPY"/>
    <s v="Momentum Capital Investment S.A."/>
    <s v="15/10/2026"/>
    <s v="15/10/2026"/>
    <n v="30"/>
    <s v="No"/>
    <s v=""/>
    <m/>
    <m/>
    <s v="*MAV131101711"/>
    <s v="*MAV131101711"/>
    <n v="5.031444625888055E-5"/>
  </r>
  <r>
    <x v="107"/>
    <s v="Pesos"/>
    <d v="2026-11-17T00:00:00"/>
    <s v="29/10/2026"/>
    <n v="0.98210679000000001"/>
    <m/>
    <n v="29431.84"/>
    <n v="28905.21"/>
    <n v="29431.84"/>
    <n v="28905.21"/>
    <n v="30099837"/>
    <s v="AMOMPY"/>
    <s v="Momentum Capital Investment S.A."/>
    <s v="16/09/2026"/>
    <s v="16/09/2026"/>
    <n v="35"/>
    <s v="No"/>
    <s v=""/>
    <m/>
    <m/>
    <s v="*MAV131101350"/>
    <s v="*MAV131101350"/>
    <n v="3.5376062578244346E-7"/>
  </r>
  <r>
    <x v="223"/>
    <s v="Pesos"/>
    <d v="2026-11-17T00:00:00"/>
    <s v="29/10/2026"/>
    <n v="0.98311208000000005"/>
    <m/>
    <n v="686128.26"/>
    <n v="674540.98"/>
    <n v="686128.26"/>
    <n v="674540.98"/>
    <n v="19385"/>
    <s v="AMOMPY"/>
    <s v="Momentum Capital Investment S.A."/>
    <s v="15/09/2026"/>
    <s v="15/09/2026"/>
    <n v="33"/>
    <s v="No"/>
    <s v=""/>
    <m/>
    <m/>
    <s v="*MAV131101342"/>
    <s v="*MAV131101342"/>
    <n v="8.2554681042172905E-6"/>
  </r>
  <r>
    <x v="223"/>
    <s v="Pesos"/>
    <d v="2026-11-17T00:00:00"/>
    <s v="29/10/2026"/>
    <n v="0.98311210000000004"/>
    <m/>
    <n v="685128.94"/>
    <n v="673558.55"/>
    <n v="685128.94"/>
    <n v="673558.55"/>
    <n v="19401"/>
    <s v="AMOMPY"/>
    <s v="Momentum Capital Investment S.A."/>
    <s v="15/09/2026"/>
    <s v="15/09/2026"/>
    <n v="33"/>
    <s v="No"/>
    <s v=""/>
    <m/>
    <m/>
    <s v="*MAV131101343"/>
    <s v="*MAV131101343"/>
    <n v="8.2434444914641777E-6"/>
  </r>
  <r>
    <x v="15"/>
    <s v="Pesos"/>
    <d v="2026-11-17T00:00:00"/>
    <s v="29/10/2026"/>
    <n v="0.98361542000000002"/>
    <m/>
    <n v="15000000"/>
    <n v="14754231.32"/>
    <n v="15000000"/>
    <n v="14754231.32"/>
    <n v="67449055"/>
    <s v="AMOMPY"/>
    <s v="Momentum Capital Investment S.A."/>
    <s v="05/06/2026"/>
    <s v="05/06/2026"/>
    <n v="32"/>
    <s v="No"/>
    <s v=""/>
    <m/>
    <m/>
    <s v="*MAV131101027"/>
    <s v="*MAV131101027"/>
    <n v="1.8057181057332317E-4"/>
  </r>
  <r>
    <x v="80"/>
    <s v="Pesos"/>
    <d v="2026-11-17T00:00:00"/>
    <s v="29/10/2026"/>
    <n v="0.98462373999999997"/>
    <m/>
    <n v="2500000"/>
    <n v="2461559.35"/>
    <n v="2500000"/>
    <n v="2461559.35"/>
    <n v="362"/>
    <s v="AMOMPY"/>
    <s v="Momentum Capital Investment S.A."/>
    <s v="25/09/2026"/>
    <s v="25/09/2026"/>
    <n v="30"/>
    <s v="No"/>
    <s v=""/>
    <m/>
    <m/>
    <s v="*MAV131101435"/>
    <s v="*MAV131101435"/>
    <n v="3.012615289965459E-5"/>
  </r>
  <r>
    <x v="58"/>
    <s v="Pesos"/>
    <d v="2026-11-17T00:00:00"/>
    <s v="29/10/2026"/>
    <n v="0.98060290000000006"/>
    <m/>
    <n v="162500000"/>
    <n v="159347972.03"/>
    <n v="162500000"/>
    <n v="159347972.03"/>
    <n v="70418882"/>
    <s v="AMOMPY"/>
    <s v="Momentum Capital Investment S.A."/>
    <s v="05/10/2026"/>
    <s v="05/10/2026"/>
    <n v="38"/>
    <s v="No"/>
    <s v=""/>
    <m/>
    <m/>
    <s v="*MAV131101548"/>
    <s v="*MAV131101548"/>
    <n v="1.9502033821064127E-3"/>
  </r>
  <r>
    <x v="232"/>
    <s v="Pesos"/>
    <d v="2026-11-17T00:00:00"/>
    <s v="29/10/2026"/>
    <n v="0.98462380000000005"/>
    <m/>
    <n v="50000000"/>
    <n v="49231189.829999998"/>
    <n v="50000000"/>
    <n v="49231189.829999998"/>
    <n v="16836871"/>
    <s v="AMOMPY"/>
    <s v="Momentum Capital Investment S.A."/>
    <s v="14/10/2026"/>
    <s v="14/10/2026"/>
    <n v="30"/>
    <s v="No"/>
    <s v=""/>
    <m/>
    <m/>
    <s v="*MAV131101704"/>
    <s v="*MAV131101704"/>
    <n v="6.0252309262845926E-4"/>
  </r>
  <r>
    <x v="233"/>
    <s v="Dolar 3500"/>
    <d v="2026-11-17T00:00:00"/>
    <s v="29/10/2026"/>
    <n v="0.99585409000000003"/>
    <s v="1 US3 = 1539,5930209017 $"/>
    <n v="18230"/>
    <n v="18154.419999999998"/>
    <n v="28066780.77"/>
    <n v="27950418.329999998"/>
    <n v="146446"/>
    <s v="AMOMPY"/>
    <s v="Momentum Capital Investment S.A."/>
    <s v="17/04/2026"/>
    <s v="17/04/2026"/>
    <n v="8"/>
    <s v="No"/>
    <s v=""/>
    <m/>
    <m/>
    <s v="#UMV131160016"/>
    <s v="#UMV131160016"/>
    <n v="3.4207526875957233E-4"/>
  </r>
  <r>
    <x v="44"/>
    <s v="Pesos"/>
    <d v="2026-11-17T00:00:00"/>
    <s v="29/10/2026"/>
    <n v="0.98260921999999995"/>
    <m/>
    <n v="10000000"/>
    <n v="9826092.1699999999"/>
    <n v="10000000"/>
    <n v="9826092.1699999999"/>
    <n v="14284515"/>
    <s v="AMOMPY"/>
    <s v="Momentum Capital Investment S.A."/>
    <s v="24/08/2026"/>
    <s v="24/08/2026"/>
    <n v="34"/>
    <s v="No"/>
    <s v=""/>
    <m/>
    <m/>
    <s v="*MAV131101195"/>
    <s v="*MAV131101195"/>
    <n v="1.2025806126491273E-4"/>
  </r>
  <r>
    <x v="62"/>
    <s v="Pesos"/>
    <d v="2026-11-17T00:00:00"/>
    <s v="29/10/2026"/>
    <n v="0.98361538999999998"/>
    <m/>
    <n v="50000000"/>
    <n v="49180769.719999999"/>
    <n v="50000000"/>
    <n v="49180769.719999999"/>
    <n v="5360"/>
    <s v="AMOMPY"/>
    <s v="Momentum Capital Investment S.A."/>
    <s v="16/09/2026"/>
    <s v="16/09/2026"/>
    <n v="32"/>
    <s v="No"/>
    <s v=""/>
    <m/>
    <m/>
    <s v="*MAV131101362"/>
    <s v="*MAV131101362"/>
    <n v="6.0190601876303435E-4"/>
  </r>
  <r>
    <x v="22"/>
    <s v="Pesos"/>
    <d v="2026-11-17T00:00:00"/>
    <s v="29/10/2026"/>
    <n v="0.97960283000000004"/>
    <m/>
    <n v="197500000"/>
    <n v="193471558.56999999"/>
    <n v="197500000"/>
    <n v="193471558.56999999"/>
    <n v="70408191"/>
    <s v="AMOMPY"/>
    <s v="Momentum Capital Investment S.A."/>
    <s v="05/10/2026"/>
    <s v="05/10/2026"/>
    <n v="40"/>
    <s v="No"/>
    <s v=""/>
    <m/>
    <m/>
    <s v="*MAV131101550"/>
    <s v="*MAV131101550"/>
    <n v="2.3678298697995225E-3"/>
  </r>
  <r>
    <x v="204"/>
    <s v="Pesos"/>
    <d v="2026-11-17T00:00:00"/>
    <s v="29/10/2026"/>
    <n v="0.98311210000000004"/>
    <m/>
    <n v="2500000"/>
    <n v="2457780.25"/>
    <n v="2500000"/>
    <n v="2457780.25"/>
    <n v="98"/>
    <s v="AMOMPY"/>
    <s v="Momentum Capital Investment S.A."/>
    <s v="22/09/2026"/>
    <s v="22/09/2026"/>
    <n v="33"/>
    <s v="No"/>
    <s v=""/>
    <m/>
    <m/>
    <s v="*MAV131101407"/>
    <s v="*MAV131101407"/>
    <n v="3.0079901833466365E-5"/>
  </r>
  <r>
    <x v="26"/>
    <s v="Pesos"/>
    <d v="2026-11-17T00:00:00"/>
    <s v="29/10/2026"/>
    <n v="0.98462380000000005"/>
    <m/>
    <n v="3500000"/>
    <n v="3446183.29"/>
    <n v="3500000"/>
    <n v="3446183.29"/>
    <n v="1387"/>
    <s v="AMOMPY"/>
    <s v="Momentum Capital Investment S.A."/>
    <s v="14/10/2026"/>
    <s v="14/10/2026"/>
    <n v="30"/>
    <s v="No"/>
    <s v=""/>
    <m/>
    <m/>
    <s v="*MAV131101678"/>
    <s v="*MAV131101678"/>
    <n v="4.2176616507245575E-5"/>
  </r>
  <r>
    <x v="26"/>
    <s v="Pesos"/>
    <d v="2026-11-17T00:00:00"/>
    <s v="29/10/2026"/>
    <n v="0.98462384999999997"/>
    <m/>
    <n v="7500000"/>
    <n v="7384678.8399999999"/>
    <n v="7500000"/>
    <n v="7384678.8399999999"/>
    <n v="1388"/>
    <s v="AMOMPY"/>
    <s v="Momentum Capital Investment S.A."/>
    <s v="15/10/2026"/>
    <s v="15/10/2026"/>
    <n v="30"/>
    <s v="No"/>
    <s v=""/>
    <m/>
    <m/>
    <s v="*MAV131101722"/>
    <s v="*MAV131101722"/>
    <n v="9.0378468367493912E-5"/>
  </r>
  <r>
    <x v="26"/>
    <s v="Pesos"/>
    <d v="2026-11-17T00:00:00"/>
    <s v="29/10/2026"/>
    <n v="0.98462375000000002"/>
    <m/>
    <n v="6500000"/>
    <n v="6400054.3799999999"/>
    <n v="6500000"/>
    <n v="6400054.3799999999"/>
    <n v="1383"/>
    <s v="AMOMPY"/>
    <s v="Momentum Capital Investment S.A."/>
    <s v="13/10/2026"/>
    <s v="13/10/2026"/>
    <n v="30"/>
    <s v="No"/>
    <s v=""/>
    <m/>
    <m/>
    <s v="*MAV131101629"/>
    <s v="*MAV131101629"/>
    <n v="7.8327998395807133E-5"/>
  </r>
  <r>
    <x v="26"/>
    <s v="Pesos"/>
    <d v="2026-11-17T00:00:00"/>
    <s v="29/10/2026"/>
    <n v="0.98462369999999999"/>
    <m/>
    <n v="5000000"/>
    <n v="4923118.5"/>
    <n v="5000000"/>
    <n v="4923118.5"/>
    <n v="1349"/>
    <s v="AMOMPY"/>
    <s v="Momentum Capital Investment S.A."/>
    <s v="01/10/2026"/>
    <s v="01/10/2026"/>
    <n v="30"/>
    <s v="No"/>
    <s v=""/>
    <m/>
    <m/>
    <s v="*MAV131101499"/>
    <s v="*MAV131101499"/>
    <n v="6.0252303351580026E-5"/>
  </r>
  <r>
    <x v="26"/>
    <s v="Pesos"/>
    <d v="2026-11-17T00:00:00"/>
    <s v="29/10/2026"/>
    <n v="0.98462377999999995"/>
    <m/>
    <n v="4250000"/>
    <n v="4184651.06"/>
    <n v="4250000"/>
    <n v="4184651.06"/>
    <n v="1331"/>
    <s v="AMOMPY"/>
    <s v="Momentum Capital Investment S.A."/>
    <s v="30/09/2026"/>
    <s v="30/09/2026"/>
    <n v="30"/>
    <s v="No"/>
    <s v=""/>
    <m/>
    <m/>
    <s v="*MAV131101487"/>
    <s v="*MAV131101487"/>
    <n v="5.1214461948789349E-5"/>
  </r>
  <r>
    <x v="91"/>
    <s v="Pesos"/>
    <d v="2026-11-17T00:00:00"/>
    <s v="29/10/2026"/>
    <n v="0.98060294000000003"/>
    <m/>
    <n v="45200000"/>
    <n v="44323252.770000003"/>
    <n v="45200000"/>
    <n v="44323252.770000003"/>
    <n v="163278"/>
    <s v="AMOMPY"/>
    <s v="Momentum Capital Investment S.A."/>
    <s v="04/09/2026"/>
    <s v="04/09/2026"/>
    <n v="38"/>
    <s v="No"/>
    <s v=""/>
    <m/>
    <m/>
    <s v="#MAV161160038"/>
    <s v="#MAV161160038"/>
    <n v="5.4245658954315233E-4"/>
  </r>
  <r>
    <x v="91"/>
    <s v="Pesos"/>
    <d v="2026-11-17T00:00:00"/>
    <s v="29/10/2026"/>
    <n v="0.98060294000000003"/>
    <m/>
    <n v="25000000"/>
    <n v="24515073.43"/>
    <n v="25000000"/>
    <n v="24515073.43"/>
    <n v="163279"/>
    <s v="AMOMPY"/>
    <s v="Momentum Capital Investment S.A."/>
    <s v="04/09/2026"/>
    <s v="04/09/2026"/>
    <n v="38"/>
    <s v="No"/>
    <s v=""/>
    <m/>
    <m/>
    <s v="#MAV161160039"/>
    <s v="#MAV161160039"/>
    <n v="3.0003129946813576E-4"/>
  </r>
  <r>
    <x v="234"/>
    <s v="Pesos"/>
    <d v="2026-11-17T00:00:00"/>
    <s v="29/10/2026"/>
    <n v="0.98361542999999996"/>
    <m/>
    <n v="1858362"/>
    <n v="1827913.53"/>
    <n v="1858362"/>
    <n v="1827913.53"/>
    <n v="1484"/>
    <s v="AMOMPY"/>
    <s v="Momentum Capital Investment S.A."/>
    <s v="05/10/2026"/>
    <s v="05/10/2026"/>
    <n v="32"/>
    <s v="No"/>
    <s v=""/>
    <m/>
    <m/>
    <s v="*MAV131101523"/>
    <s v="*MAV131101523"/>
    <n v="2.2371186171939081E-5"/>
  </r>
  <r>
    <x v="48"/>
    <s v="Pesos"/>
    <d v="2026-11-17T00:00:00"/>
    <s v="29/10/2026"/>
    <n v="0.98462379"/>
    <m/>
    <n v="3930000"/>
    <n v="3869571.51"/>
    <n v="3930000"/>
    <n v="3869571.51"/>
    <n v="90000101"/>
    <s v="AMOMPY"/>
    <s v="Momentum Capital Investment S.A."/>
    <s v="14/10/2026"/>
    <s v="14/10/2026"/>
    <n v="30"/>
    <s v="No"/>
    <s v=""/>
    <m/>
    <m/>
    <s v="*MAV131101667"/>
    <s v="*MAV131101667"/>
    <n v="4.735831495040218E-5"/>
  </r>
  <r>
    <x v="1"/>
    <s v="Pesos"/>
    <d v="2026-11-17T00:00:00"/>
    <s v="29/10/2026"/>
    <n v="0.98614005999999998"/>
    <m/>
    <n v="7411283.71"/>
    <n v="7308563.79"/>
    <n v="7411283.71"/>
    <n v="7308563.79"/>
    <n v="23242"/>
    <s v="AMOMPY"/>
    <s v="Momentum Capital Investment S.A."/>
    <s v="22/09/2026"/>
    <s v="22/09/2026"/>
    <n v="27"/>
    <s v="No"/>
    <s v=""/>
    <m/>
    <m/>
    <s v="*AFB131100012"/>
    <s v="*AFB131100012"/>
    <n v="8.9446923233607603E-5"/>
  </r>
  <r>
    <x v="1"/>
    <s v="Pesos"/>
    <d v="2026-11-17T00:00:00"/>
    <s v="29/10/2026"/>
    <n v="0.98614005999999998"/>
    <m/>
    <n v="7869664.6799999997"/>
    <n v="7760591.6200000001"/>
    <n v="7869664.6799999997"/>
    <n v="7760591.6200000001"/>
    <n v="23267"/>
    <s v="AMOMPY"/>
    <s v="Momentum Capital Investment S.A."/>
    <s v="22/09/2026"/>
    <s v="22/09/2026"/>
    <n v="27"/>
    <s v="No"/>
    <s v=""/>
    <m/>
    <m/>
    <s v="*AFB131100011"/>
    <s v="*AFB131100011"/>
    <n v="9.4979131718233041E-5"/>
  </r>
  <r>
    <x v="29"/>
    <s v="Pesos"/>
    <d v="2026-11-17T00:00:00"/>
    <s v="29/10/2026"/>
    <n v="0.98462373999999997"/>
    <m/>
    <n v="25000000"/>
    <n v="24615593.539999999"/>
    <n v="25000000"/>
    <n v="24615593.539999999"/>
    <n v="12742280"/>
    <s v="AMOMPY"/>
    <s v="Momentum Capital Investment S.A."/>
    <s v="14/08/2026"/>
    <s v="14/08/2026"/>
    <n v="30"/>
    <s v="No"/>
    <s v=""/>
    <m/>
    <m/>
    <s v="*MIL131100037"/>
    <s v="*MIL131100037"/>
    <n v="3.0126152948609168E-4"/>
  </r>
  <r>
    <x v="29"/>
    <s v="Pesos"/>
    <d v="2026-11-17T00:00:00"/>
    <s v="29/10/2026"/>
    <n v="0.98361544000000001"/>
    <m/>
    <n v="10000000"/>
    <n v="9836154.3699999992"/>
    <n v="10000000"/>
    <n v="9836154.3699999992"/>
    <n v="2198"/>
    <s v="AMOMPY"/>
    <s v="Momentum Capital Investment S.A."/>
    <s v="07/09/2026"/>
    <s v="07/09/2026"/>
    <n v="32"/>
    <s v="No"/>
    <s v=""/>
    <m/>
    <m/>
    <s v="*MIL131100041"/>
    <s v="*MIL131100041"/>
    <n v="1.2038120896626995E-4"/>
  </r>
  <r>
    <x v="29"/>
    <s v="Pesos"/>
    <d v="2026-11-17T00:00:00"/>
    <s v="29/10/2026"/>
    <n v="0.98664653999999996"/>
    <m/>
    <n v="4000000"/>
    <n v="3946586.15"/>
    <n v="4000000"/>
    <n v="3946586.15"/>
    <n v="90002235"/>
    <s v="AMOMPY"/>
    <s v="Momentum Capital Investment S.A."/>
    <s v="22/09/2026"/>
    <s v="22/09/2026"/>
    <n v="26"/>
    <s v="No"/>
    <s v=""/>
    <m/>
    <m/>
    <s v="*MIL131100042"/>
    <s v="*MIL131100042"/>
    <n v="4.8300869847626926E-5"/>
  </r>
  <r>
    <x v="194"/>
    <s v="Pesos"/>
    <d v="2026-11-17T00:00:00"/>
    <s v="29/10/2026"/>
    <n v="0.98311214000000002"/>
    <m/>
    <n v="13000000"/>
    <n v="12780457.85"/>
    <n v="13000000"/>
    <n v="12780457.85"/>
    <n v="169213"/>
    <s v="AMOMPY"/>
    <s v="Momentum Capital Investment S.A."/>
    <s v="14/10/2026"/>
    <s v="14/10/2026"/>
    <n v="33"/>
    <s v="No"/>
    <s v=""/>
    <m/>
    <m/>
    <s v="#MAV161160065"/>
    <s v="#MAV161160065"/>
    <n v="1.5641549626528028E-4"/>
  </r>
  <r>
    <x v="26"/>
    <s v="Pesos"/>
    <d v="2026-11-17T00:00:00"/>
    <s v="29/10/2026"/>
    <n v="0.98361546"/>
    <m/>
    <n v="3000000"/>
    <n v="2950846.38"/>
    <n v="3000000"/>
    <n v="2950846.38"/>
    <n v="1057"/>
    <s v="AMOMPY"/>
    <s v="Momentum Capital Investment S.A."/>
    <s v="25/08/2026"/>
    <s v="25/08/2026"/>
    <n v="32"/>
    <s v="No"/>
    <s v=""/>
    <m/>
    <m/>
    <s v="*MAV131101205"/>
    <s v="*MAV131101205"/>
    <n v="3.6114363534347543E-5"/>
  </r>
  <r>
    <x v="26"/>
    <s v="Pesos"/>
    <d v="2026-11-17T00:00:00"/>
    <s v="29/10/2026"/>
    <n v="0.98311205000000002"/>
    <m/>
    <n v="2500000"/>
    <n v="2457780.12"/>
    <n v="2500000"/>
    <n v="2457780.12"/>
    <n v="1020"/>
    <s v="AMOMPY"/>
    <s v="Momentum Capital Investment S.A."/>
    <s v="19/08/2026"/>
    <s v="19/08/2026"/>
    <n v="33"/>
    <s v="No"/>
    <s v=""/>
    <m/>
    <m/>
    <s v="*MAV131101163"/>
    <s v="*MAV131101163"/>
    <n v="3.0079900242442418E-5"/>
  </r>
  <r>
    <x v="51"/>
    <s v="Pesos"/>
    <d v="2026-11-17T00:00:00"/>
    <s v="29/10/2026"/>
    <n v="0.98311212999999997"/>
    <m/>
    <n v="80000000"/>
    <n v="78648970.25"/>
    <n v="80000000"/>
    <n v="78648970.25"/>
    <n v="20884"/>
    <s v="AMOMPY"/>
    <s v="Momentum Capital Investment S.A."/>
    <s v="30/09/2026"/>
    <s v="30/09/2026"/>
    <n v="33"/>
    <s v="No"/>
    <s v=""/>
    <m/>
    <m/>
    <s v="*MAV131101482"/>
    <s v="*MAV131101482"/>
    <n v="9.6255688620787666E-4"/>
  </r>
  <r>
    <x v="0"/>
    <s v="Pesos"/>
    <d v="2026-11-18T00:00:00"/>
    <s v="29/10/2026"/>
    <n v="0.98435821000000001"/>
    <m/>
    <n v="4490893.1100000003"/>
    <n v="4420647.51"/>
    <n v="4490893.1100000003"/>
    <n v="4420647.51"/>
    <n v="9808133"/>
    <s v="AMOMPY"/>
    <s v="Momentum Capital Investment S.A."/>
    <s v="28/10/2026"/>
    <s v="28/10/2026"/>
    <n v="29"/>
    <s v="No"/>
    <s v=""/>
    <m/>
    <m/>
    <s v="*TRD161100032"/>
    <s v="*TRD161100032"/>
    <n v="5.4102738900744896E-5"/>
  </r>
  <r>
    <x v="162"/>
    <s v="Pesos"/>
    <d v="2026-11-18T00:00:00"/>
    <s v="29/10/2026"/>
    <n v="0.98065557999999997"/>
    <m/>
    <n v="9450000"/>
    <n v="9267195.1999999993"/>
    <n v="9450000"/>
    <n v="9267195.1999999993"/>
    <n v="66335193"/>
    <s v="AMOMPY"/>
    <s v="Momentum Capital Investment S.A."/>
    <s v="22/04/2026"/>
    <s v="22/04/2026"/>
    <n v="36"/>
    <s v="No"/>
    <s v=""/>
    <m/>
    <m/>
    <s v="*AAR161100027"/>
    <s v="*AAR161100027"/>
    <n v="1.1341791923324744E-4"/>
  </r>
  <r>
    <x v="65"/>
    <s v="Pesos"/>
    <d v="2026-11-18T00:00:00"/>
    <s v="29/10/2026"/>
    <n v="0.98329743999999997"/>
    <m/>
    <n v="2500000"/>
    <n v="2458243.6"/>
    <n v="2500000"/>
    <n v="2458243.6"/>
    <n v="90003663"/>
    <s v="AMOMPY"/>
    <s v="Momentum Capital Investment S.A."/>
    <s v="01/07/2026"/>
    <s v="01/07/2026"/>
    <n v="31"/>
    <s v="No"/>
    <s v=""/>
    <m/>
    <m/>
    <s v="*CVA161100008"/>
    <s v="*CVA161100008"/>
    <n v="3.0085572609978846E-5"/>
  </r>
  <r>
    <x v="65"/>
    <s v="Pesos"/>
    <d v="2026-11-18T00:00:00"/>
    <s v="29/10/2026"/>
    <n v="0.98382751999999996"/>
    <m/>
    <n v="5580000"/>
    <n v="5489757.5599999996"/>
    <n v="5580000"/>
    <n v="5489757.5599999996"/>
    <n v="11415150"/>
    <s v="AMOMPY"/>
    <s v="Momentum Capital Investment S.A."/>
    <s v="18/09/2026"/>
    <s v="18/09/2026"/>
    <n v="30"/>
    <s v="No"/>
    <s v=""/>
    <m/>
    <m/>
    <s v="*CVA161100012"/>
    <s v="*CVA161100012"/>
    <n v="6.7187198080190385E-5"/>
  </r>
  <r>
    <x v="235"/>
    <s v="Pesos"/>
    <d v="2026-11-18T00:00:00"/>
    <s v="29/10/2026"/>
    <n v="0.98276797999999999"/>
    <m/>
    <n v="1027513.96"/>
    <n v="1009807.82"/>
    <n v="1027513.96"/>
    <n v="1009807.82"/>
    <n v="3585515"/>
    <s v="AMOMPY"/>
    <s v="Momentum Capital Investment S.A."/>
    <s v="16/09/2026"/>
    <s v="16/09/2026"/>
    <n v="32"/>
    <s v="No"/>
    <s v=""/>
    <m/>
    <m/>
    <s v="*MAV151101692"/>
    <s v="*MAV151101692"/>
    <n v="1.2358680193750712E-5"/>
  </r>
  <r>
    <x v="236"/>
    <s v="Pesos"/>
    <d v="2026-11-18T00:00:00"/>
    <s v="29/10/2026"/>
    <n v="0.98382767000000004"/>
    <m/>
    <n v="25000000"/>
    <n v="24595691.73"/>
    <n v="25000000"/>
    <n v="24595691.73"/>
    <n v="52835"/>
    <s v="AMOMPY"/>
    <s v="Momentum Capital Investment S.A."/>
    <s v="26/10/2026"/>
    <s v="26/10/2026"/>
    <n v="30"/>
    <s v="No"/>
    <s v=""/>
    <m/>
    <m/>
    <s v="*MAV141101835"/>
    <s v="*MAV141101835"/>
    <n v="3.0101795828353677E-4"/>
  </r>
  <r>
    <x v="165"/>
    <s v="Pesos"/>
    <d v="2026-11-18T00:00:00"/>
    <s v="29/10/2026"/>
    <n v="0.98223901000000002"/>
    <m/>
    <n v="8574172.7400000002"/>
    <n v="8421886.9299999997"/>
    <n v="8574172.7400000002"/>
    <n v="8421886.9299999997"/>
    <n v="81454508"/>
    <s v="AMOMPY"/>
    <s v="Momentum Capital Investment S.A."/>
    <s v="22/09/2026"/>
    <s v="22/09/2026"/>
    <n v="33"/>
    <s v="No"/>
    <s v=""/>
    <m/>
    <m/>
    <s v="*MAV161101260"/>
    <s v="*MAV161101260"/>
    <n v="1.0307249075947836E-4"/>
  </r>
  <r>
    <x v="237"/>
    <s v="Pesos"/>
    <d v="2026-11-18T00:00:00"/>
    <s v="29/10/2026"/>
    <n v="0.98223901000000002"/>
    <m/>
    <n v="1885862.4"/>
    <n v="1852367.61"/>
    <n v="1885862.4"/>
    <n v="1852367.61"/>
    <n v="565"/>
    <s v="AMOMPY"/>
    <s v="Momentum Capital Investment S.A."/>
    <s v="22/09/2026"/>
    <s v="22/09/2026"/>
    <n v="33"/>
    <s v="No"/>
    <s v=""/>
    <m/>
    <m/>
    <s v="*MAV151101722"/>
    <s v="*MAV151101722"/>
    <n v="2.2670470994423816E-5"/>
  </r>
  <r>
    <x v="54"/>
    <s v="Pesos"/>
    <d v="2026-11-18T00:00:00"/>
    <s v="29/10/2026"/>
    <n v="0.98488936999999999"/>
    <m/>
    <n v="8000000"/>
    <n v="7879114.96"/>
    <n v="8000000"/>
    <n v="7879114.96"/>
    <n v="6491"/>
    <s v="AMOMPY"/>
    <s v="Momentum Capital Investment S.A."/>
    <s v="17/09/2026"/>
    <s v="17/09/2026"/>
    <n v="28"/>
    <s v="No"/>
    <s v=""/>
    <m/>
    <m/>
    <s v="*INP141100067"/>
    <s v="*INP141100067"/>
    <n v="9.6429696890678595E-5"/>
  </r>
  <r>
    <x v="196"/>
    <s v="Pesos"/>
    <d v="2026-11-18T00:00:00"/>
    <s v="29/10/2026"/>
    <n v="0.98223908000000004"/>
    <m/>
    <n v="11255045.75"/>
    <n v="11055145.77"/>
    <n v="11255045.75"/>
    <n v="11055145.77"/>
    <n v="90001622"/>
    <s v="AMOMPY"/>
    <s v="Momentum Capital Investment S.A."/>
    <s v="01/10/2026"/>
    <s v="01/10/2026"/>
    <n v="33"/>
    <s v="No"/>
    <s v=""/>
    <m/>
    <m/>
    <s v="*MAV161101329"/>
    <s v="*MAV161101329"/>
    <n v="1.3530001289426138E-4"/>
  </r>
  <r>
    <x v="32"/>
    <s v="Pesos"/>
    <d v="2026-11-18T00:00:00"/>
    <s v="29/10/2026"/>
    <n v="0.98223901999999996"/>
    <m/>
    <n v="5300000"/>
    <n v="5205866.78"/>
    <n v="5300000"/>
    <n v="5205866.78"/>
    <n v="8175683"/>
    <s v="AMOMPY"/>
    <s v="Momentum Capital Investment S.A."/>
    <s v="15/09/2026"/>
    <s v="15/09/2026"/>
    <n v="33"/>
    <s v="No"/>
    <s v=""/>
    <m/>
    <m/>
    <s v="*MAV161101203"/>
    <s v="*MAV161101203"/>
    <n v="6.3712759389495326E-5"/>
  </r>
  <r>
    <x v="238"/>
    <s v="Pesos"/>
    <d v="2026-11-18T00:00:00"/>
    <s v="29/10/2026"/>
    <n v="0.98276796"/>
    <m/>
    <n v="2112204.7400000002"/>
    <n v="2075807.14"/>
    <n v="2112204.7400000002"/>
    <n v="2075807.14"/>
    <n v="213"/>
    <s v="AMOMPY"/>
    <s v="Momentum Capital Investment S.A."/>
    <s v="15/09/2026"/>
    <s v="15/09/2026"/>
    <n v="32"/>
    <s v="No"/>
    <s v=""/>
    <m/>
    <m/>
    <s v="*MAV141101582"/>
    <s v="*MAV141101582"/>
    <n v="2.5405068250673984E-5"/>
  </r>
  <r>
    <x v="239"/>
    <s v="Pesos"/>
    <d v="2026-11-18T00:00:00"/>
    <s v="29/10/2026"/>
    <n v="0.98276794000000001"/>
    <m/>
    <n v="1566916.35"/>
    <n v="1539915.15"/>
    <n v="1566916.35"/>
    <n v="1539915.15"/>
    <n v="1181"/>
    <s v="AMOMPY"/>
    <s v="Momentum Capital Investment S.A."/>
    <s v="15/09/2026"/>
    <s v="15/09/2026"/>
    <n v="32"/>
    <s v="No"/>
    <s v=""/>
    <m/>
    <m/>
    <s v="*MAV141101583"/>
    <s v="*MAV141101583"/>
    <n v="1.8846476019923927E-5"/>
  </r>
  <r>
    <x v="240"/>
    <s v="Pesos"/>
    <d v="2026-11-18T00:00:00"/>
    <s v="29/10/2026"/>
    <n v="0.98276794999999995"/>
    <m/>
    <n v="5000000"/>
    <n v="4913839.75"/>
    <n v="5000000"/>
    <n v="4913839.75"/>
    <n v="1268"/>
    <s v="AMOMPY"/>
    <s v="Momentum Capital Investment S.A."/>
    <s v="15/09/2026"/>
    <s v="15/09/2026"/>
    <n v="32"/>
    <s v="No"/>
    <s v=""/>
    <m/>
    <m/>
    <s v="*MAV161101207"/>
    <s v="*MAV161101207"/>
    <n v="6.0138744017242759E-5"/>
  </r>
  <r>
    <x v="241"/>
    <s v="Pesos"/>
    <d v="2026-11-18T00:00:00"/>
    <s v="29/10/2026"/>
    <n v="0.98223901000000002"/>
    <m/>
    <n v="375000000"/>
    <n v="368339629.94999999"/>
    <n v="375000000"/>
    <n v="368339629.94999999"/>
    <n v="91648903"/>
    <s v="AMOMPY"/>
    <s v="Momentum Capital Investment S.A."/>
    <s v="15/09/2026"/>
    <s v="15/09/2026"/>
    <n v="33"/>
    <s v="No"/>
    <s v=""/>
    <m/>
    <m/>
    <s v="MAVR151100183"/>
    <s v="MAVR151100183"/>
    <n v="4.5079782499966494E-3"/>
  </r>
  <r>
    <x v="6"/>
    <s v="Pesos"/>
    <d v="2026-11-18T00:00:00"/>
    <s v="29/10/2026"/>
    <n v="0.98489483"/>
    <m/>
    <n v="621969.84"/>
    <n v="612574.88"/>
    <n v="621969.84"/>
    <n v="612574.88"/>
    <n v="34"/>
    <s v="AMOMPY"/>
    <s v="Momentum Capital Investment S.A."/>
    <s v="16/10/2026"/>
    <s v="16/10/2026"/>
    <n v="27.99"/>
    <s v="No"/>
    <s v=""/>
    <m/>
    <m/>
    <s v="*CRE151100278"/>
    <s v="*CRE151100278"/>
    <n v="7.4970869572442205E-6"/>
  </r>
  <r>
    <x v="6"/>
    <s v="Pesos"/>
    <d v="2026-11-18T00:00:00"/>
    <s v="29/10/2026"/>
    <n v="0.98489483"/>
    <m/>
    <n v="534217"/>
    <n v="526147.56000000006"/>
    <n v="534217"/>
    <n v="526147.56000000006"/>
    <n v="70434854"/>
    <s v="AMOMPY"/>
    <s v="Momentum Capital Investment S.A."/>
    <s v="16/10/2026"/>
    <s v="16/10/2026"/>
    <n v="27.99"/>
    <s v="No"/>
    <s v=""/>
    <m/>
    <m/>
    <s v="*CRE141100177"/>
    <s v="*CRE141100177"/>
    <n v="6.4393336038556976E-6"/>
  </r>
  <r>
    <x v="55"/>
    <s v="Pesos"/>
    <d v="2026-11-18T00:00:00"/>
    <s v="29/10/2026"/>
    <n v="0.98542118999999995"/>
    <m/>
    <n v="26231345.640000001"/>
    <n v="25848923.73"/>
    <n v="26231345.640000001"/>
    <n v="25848923.73"/>
    <n v="14072118"/>
    <s v="AMOMPY"/>
    <s v="Momentum Capital Investment S.A."/>
    <s v="25/09/2026"/>
    <s v="25/09/2026"/>
    <n v="27"/>
    <s v="No"/>
    <s v=""/>
    <m/>
    <m/>
    <s v="*PRO151100021"/>
    <s v="*PRO151100021"/>
    <n v="3.1635582078550726E-4"/>
  </r>
  <r>
    <x v="55"/>
    <s v="Pesos"/>
    <d v="2026-11-18T00:00:00"/>
    <s v="29/10/2026"/>
    <n v="0.98542116999999996"/>
    <m/>
    <n v="25000000"/>
    <n v="24635529.190000001"/>
    <n v="25000000"/>
    <n v="24635529.190000001"/>
    <n v="895"/>
    <s v="AMOMPY"/>
    <s v="Momentum Capital Investment S.A."/>
    <s v="17/09/2026"/>
    <s v="17/09/2026"/>
    <n v="27"/>
    <s v="No"/>
    <s v=""/>
    <m/>
    <m/>
    <s v="*PRO151100020"/>
    <s v="*PRO151100020"/>
    <n v="3.0150551484441914E-4"/>
  </r>
  <r>
    <x v="55"/>
    <s v="Pesos"/>
    <d v="2026-11-18T00:00:00"/>
    <s v="29/10/2026"/>
    <n v="0.98542116999999996"/>
    <m/>
    <n v="25000000"/>
    <n v="24635529.190000001"/>
    <n v="25000000"/>
    <n v="24635529.190000001"/>
    <n v="894"/>
    <s v="AMOMPY"/>
    <s v="Momentum Capital Investment S.A."/>
    <s v="17/09/2026"/>
    <s v="17/09/2026"/>
    <n v="27"/>
    <s v="No"/>
    <s v=""/>
    <m/>
    <m/>
    <s v="*PRO161100014"/>
    <s v="*PRO161100014"/>
    <n v="3.0150551484441914E-4"/>
  </r>
  <r>
    <x v="242"/>
    <s v="Pesos"/>
    <d v="2026-11-18T00:00:00"/>
    <s v="29/10/2026"/>
    <n v="0.98223899999999997"/>
    <m/>
    <n v="24730000"/>
    <n v="24290770.510000002"/>
    <n v="24730000"/>
    <n v="24290770.510000002"/>
    <n v="195"/>
    <s v="AMOMPY"/>
    <s v="Momentum Capital Investment S.A."/>
    <s v="11/09/2026"/>
    <s v="11/09/2026"/>
    <n v="33"/>
    <s v="No"/>
    <s v=""/>
    <m/>
    <m/>
    <s v="*MAV141101560"/>
    <s v="*MAV141101560"/>
    <n v="2.9728613548752367E-4"/>
  </r>
  <r>
    <x v="243"/>
    <s v="Pesos"/>
    <d v="2026-11-18T00:00:00"/>
    <s v="29/10/2026"/>
    <n v="0.98223895000000006"/>
    <m/>
    <n v="735765"/>
    <n v="722697.04"/>
    <n v="735765"/>
    <n v="722697.04"/>
    <n v="262870"/>
    <s v="AMOMPY"/>
    <s v="Momentum Capital Investment S.A."/>
    <s v="28/07/2026"/>
    <s v="28/07/2026"/>
    <n v="33"/>
    <s v="No"/>
    <s v=""/>
    <m/>
    <m/>
    <s v="*MAV141101452"/>
    <s v="*MAV141101452"/>
    <n v="8.8448330637113372E-6"/>
  </r>
  <r>
    <x v="55"/>
    <s v="Pesos"/>
    <d v="2026-11-18T00:00:00"/>
    <s v="29/10/2026"/>
    <n v="0.98542116999999996"/>
    <m/>
    <n v="25000000"/>
    <n v="24635529.190000001"/>
    <n v="25000000"/>
    <n v="24635529.190000001"/>
    <n v="896"/>
    <s v="AMOMPY"/>
    <s v="Momentum Capital Investment S.A."/>
    <s v="17/09/2026"/>
    <s v="17/09/2026"/>
    <n v="27"/>
    <s v="No"/>
    <s v=""/>
    <m/>
    <m/>
    <s v="*PRO141100016"/>
    <s v="*PRO141100016"/>
    <n v="3.0150551484441914E-4"/>
  </r>
  <r>
    <x v="171"/>
    <s v="Pesos"/>
    <d v="2026-11-18T00:00:00"/>
    <s v="29/10/2026"/>
    <n v="0.98223899000000003"/>
    <m/>
    <n v="2170000"/>
    <n v="2131458.6"/>
    <n v="2170000"/>
    <n v="2131458.6"/>
    <n v="260733"/>
    <s v="AMOMPY"/>
    <s v="Momentum Capital Investment S.A."/>
    <s v="27/08/2026"/>
    <s v="27/08/2026"/>
    <n v="33"/>
    <s v="No"/>
    <s v=""/>
    <m/>
    <m/>
    <s v="*MAV161101082"/>
    <s v="*MAV161101082"/>
    <n v="2.6086166755590805E-5"/>
  </r>
  <r>
    <x v="68"/>
    <s v="Pesos"/>
    <d v="2026-11-18T00:00:00"/>
    <s v="29/10/2026"/>
    <n v="0.98118280000000002"/>
    <m/>
    <n v="15000000"/>
    <n v="14717742.01"/>
    <n v="15000000"/>
    <n v="14717742.01"/>
    <n v="148"/>
    <s v="AMOMPY"/>
    <s v="Momentum Capital Investment S.A."/>
    <s v="19/08/2026"/>
    <s v="19/08/2026"/>
    <n v="35"/>
    <s v="No"/>
    <s v=""/>
    <m/>
    <m/>
    <s v="*MAV161101030"/>
    <s v="*MAV161101030"/>
    <n v="1.8012523083423912E-4"/>
  </r>
  <r>
    <x v="34"/>
    <s v="Pesos"/>
    <d v="2026-11-18T00:00:00"/>
    <s v="29/10/2026"/>
    <n v="0.98276803999999995"/>
    <m/>
    <n v="75000000"/>
    <n v="73707603.260000005"/>
    <n v="75000000"/>
    <n v="73707603.260000005"/>
    <n v="3500"/>
    <s v="AMOMPY"/>
    <s v="Momentum Capital Investment S.A."/>
    <s v="22/10/2026"/>
    <s v="22/10/2026"/>
    <n v="32"/>
    <s v="No"/>
    <s v=""/>
    <m/>
    <m/>
    <s v="*MAV151101920"/>
    <s v="*MAV151101920"/>
    <n v="9.0208124605154817E-4"/>
  </r>
  <r>
    <x v="35"/>
    <s v="Pesos"/>
    <d v="2026-11-18T00:00:00"/>
    <s v="29/10/2026"/>
    <n v="0.98171065000000002"/>
    <m/>
    <n v="13000000"/>
    <n v="12762238.48"/>
    <n v="13000000"/>
    <n v="12762238.48"/>
    <n v="14330928"/>
    <s v="AMOMPY"/>
    <s v="Momentum Capital Investment S.A."/>
    <s v="25/08/2026"/>
    <s v="25/08/2026"/>
    <n v="34"/>
    <s v="No"/>
    <s v=""/>
    <m/>
    <m/>
    <s v="*MAV151101608"/>
    <s v="*MAV151101608"/>
    <n v="1.5619251584989628E-4"/>
  </r>
  <r>
    <x v="244"/>
    <s v="Pesos"/>
    <d v="2026-11-18T00:00:00"/>
    <s v="29/10/2026"/>
    <n v="0.98276806999999999"/>
    <m/>
    <n v="1807987.1"/>
    <n v="1776831.99"/>
    <n v="1807987.1"/>
    <n v="1776831.99"/>
    <n v="5900410"/>
    <s v="AMOMPY"/>
    <s v="Momentum Capital Investment S.A."/>
    <s v="19/10/2026"/>
    <s v="19/10/2026"/>
    <n v="32"/>
    <s v="No"/>
    <s v=""/>
    <m/>
    <m/>
    <s v="*MAV151101879"/>
    <s v="*MAV151101879"/>
    <n v="2.17460172990497E-5"/>
  </r>
  <r>
    <x v="222"/>
    <s v="Pesos"/>
    <d v="2026-11-18T00:00:00"/>
    <s v="29/10/2026"/>
    <n v="0.98382753000000001"/>
    <m/>
    <n v="98736.93"/>
    <n v="97140.11"/>
    <n v="98736.93"/>
    <n v="97140.11"/>
    <n v="692212"/>
    <s v="AMOMPY"/>
    <s v="Momentum Capital Investment S.A."/>
    <s v="13/10/2026"/>
    <s v="13/10/2026"/>
    <n v="30"/>
    <s v="No"/>
    <s v=""/>
    <m/>
    <m/>
    <s v="*MAV161101508"/>
    <s v="*MAV161101508"/>
    <n v="1.1888633952901707E-6"/>
  </r>
  <r>
    <x v="222"/>
    <s v="Pesos"/>
    <d v="2026-11-18T00:00:00"/>
    <s v="29/10/2026"/>
    <n v="0.98382753000000001"/>
    <m/>
    <n v="98736.93"/>
    <n v="97140.11"/>
    <n v="98736.93"/>
    <n v="97140.11"/>
    <n v="692186"/>
    <s v="AMOMPY"/>
    <s v="Momentum Capital Investment S.A."/>
    <s v="13/10/2026"/>
    <s v="13/10/2026"/>
    <n v="30"/>
    <s v="No"/>
    <s v=""/>
    <m/>
    <m/>
    <s v="*MAV161101509"/>
    <s v="*MAV161101509"/>
    <n v="1.1888633952901707E-6"/>
  </r>
  <r>
    <x v="222"/>
    <s v="Pesos"/>
    <d v="2026-11-18T00:00:00"/>
    <s v="29/10/2026"/>
    <n v="0.98382753000000001"/>
    <m/>
    <n v="98736.93"/>
    <n v="97140.11"/>
    <n v="98736.93"/>
    <n v="97140.11"/>
    <n v="692221"/>
    <s v="AMOMPY"/>
    <s v="Momentum Capital Investment S.A."/>
    <s v="13/10/2026"/>
    <s v="13/10/2026"/>
    <n v="30"/>
    <s v="No"/>
    <s v=""/>
    <m/>
    <m/>
    <s v="*MAV161101510"/>
    <s v="*MAV161101510"/>
    <n v="1.1888633952901707E-6"/>
  </r>
  <r>
    <x v="222"/>
    <s v="Pesos"/>
    <d v="2026-11-18T00:00:00"/>
    <s v="29/10/2026"/>
    <n v="0.98382753000000001"/>
    <m/>
    <n v="98736.93"/>
    <n v="97140.11"/>
    <n v="98736.93"/>
    <n v="97140.11"/>
    <n v="692197"/>
    <s v="AMOMPY"/>
    <s v="Momentum Capital Investment S.A."/>
    <s v="13/10/2026"/>
    <s v="13/10/2026"/>
    <n v="30"/>
    <s v="No"/>
    <s v=""/>
    <m/>
    <m/>
    <s v="*MAV161101511"/>
    <s v="*MAV161101511"/>
    <n v="1.1888633952901707E-6"/>
  </r>
  <r>
    <x v="222"/>
    <s v="Pesos"/>
    <d v="2026-11-18T00:00:00"/>
    <s v="29/10/2026"/>
    <n v="0.98542118000000001"/>
    <m/>
    <n v="918585.17"/>
    <n v="905193.28"/>
    <n v="918585.17"/>
    <n v="905193.28"/>
    <n v="677250"/>
    <s v="AMOMPY"/>
    <s v="Momentum Capital Investment S.A."/>
    <s v="07/09/2026"/>
    <s v="07/09/2026"/>
    <n v="27"/>
    <s v="No"/>
    <s v=""/>
    <m/>
    <m/>
    <s v="*MAV141101533"/>
    <s v="*MAV141101533"/>
    <n v="1.107833989743934E-5"/>
  </r>
  <r>
    <x v="222"/>
    <s v="Pesos"/>
    <d v="2026-11-18T00:00:00"/>
    <s v="29/10/2026"/>
    <n v="0.98542118000000001"/>
    <m/>
    <n v="918585.17"/>
    <n v="905193.28"/>
    <n v="918585.17"/>
    <n v="905193.28"/>
    <n v="677264"/>
    <s v="AMOMPY"/>
    <s v="Momentum Capital Investment S.A."/>
    <s v="07/09/2026"/>
    <s v="07/09/2026"/>
    <n v="27"/>
    <s v="No"/>
    <s v=""/>
    <m/>
    <m/>
    <s v="*MAV141101534"/>
    <s v="*MAV141101534"/>
    <n v="1.107833989743934E-5"/>
  </r>
  <r>
    <x v="222"/>
    <s v="Pesos"/>
    <d v="2026-11-18T00:00:00"/>
    <s v="29/10/2026"/>
    <n v="0.98542118000000001"/>
    <m/>
    <n v="918585.17"/>
    <n v="905193.28"/>
    <n v="918585.17"/>
    <n v="905193.28"/>
    <n v="670020"/>
    <s v="AMOMPY"/>
    <s v="Momentum Capital Investment S.A."/>
    <s v="07/09/2026"/>
    <s v="07/09/2026"/>
    <n v="27"/>
    <s v="No"/>
    <s v=""/>
    <m/>
    <m/>
    <s v="*MAV141101531"/>
    <s v="*MAV141101531"/>
    <n v="1.107833989743934E-5"/>
  </r>
  <r>
    <x v="222"/>
    <s v="Pesos"/>
    <d v="2026-11-18T00:00:00"/>
    <s v="29/10/2026"/>
    <n v="0.98542118000000001"/>
    <m/>
    <n v="918585.17"/>
    <n v="905193.28"/>
    <n v="918585.17"/>
    <n v="905193.28"/>
    <n v="677274"/>
    <s v="AMOMPY"/>
    <s v="Momentum Capital Investment S.A."/>
    <s v="07/09/2026"/>
    <s v="07/09/2026"/>
    <n v="27"/>
    <s v="No"/>
    <s v=""/>
    <m/>
    <m/>
    <s v="*MAV141101532"/>
    <s v="*MAV141101532"/>
    <n v="1.107833989743934E-5"/>
  </r>
  <r>
    <x v="222"/>
    <s v="Pesos"/>
    <d v="2026-11-18T00:00:00"/>
    <s v="29/10/2026"/>
    <n v="0.98488940000000003"/>
    <m/>
    <n v="16797939.449999999"/>
    <n v="16544112.529999999"/>
    <n v="16797939.449999999"/>
    <n v="16544112.529999999"/>
    <n v="598437"/>
    <s v="AMOMPY"/>
    <s v="Momentum Capital Investment S.A."/>
    <s v="10/08/2026"/>
    <s v="10/08/2026"/>
    <n v="28"/>
    <s v="No"/>
    <s v=""/>
    <m/>
    <m/>
    <s v="*MAV161100997"/>
    <s v="*MAV161100997"/>
    <n v="2.0247753265338546E-4"/>
  </r>
  <r>
    <x v="222"/>
    <s v="Pesos"/>
    <d v="2026-11-18T00:00:00"/>
    <s v="29/10/2026"/>
    <n v="0.98488940000000003"/>
    <m/>
    <n v="7158904.5"/>
    <n v="7050729.1600000001"/>
    <n v="7158904.5"/>
    <n v="7050729.1600000001"/>
    <n v="654496"/>
    <s v="AMOMPY"/>
    <s v="Momentum Capital Investment S.A."/>
    <s v="10/08/2026"/>
    <s v="10/08/2026"/>
    <n v="28"/>
    <s v="No"/>
    <s v=""/>
    <m/>
    <m/>
    <s v="*MAV161100996"/>
    <s v="*MAV161100996"/>
    <n v="8.629137653260855E-5"/>
  </r>
  <r>
    <x v="222"/>
    <s v="Pesos"/>
    <d v="2026-11-18T00:00:00"/>
    <s v="29/10/2026"/>
    <n v="0.98488940000000003"/>
    <m/>
    <n v="15011972.220000001"/>
    <n v="14785132.34"/>
    <n v="15011972.220000001"/>
    <n v="14785132.34"/>
    <n v="654215"/>
    <s v="AMOMPY"/>
    <s v="Momentum Capital Investment S.A."/>
    <s v="10/08/2026"/>
    <s v="10/08/2026"/>
    <n v="28"/>
    <s v="No"/>
    <s v=""/>
    <m/>
    <m/>
    <s v="*MAV161100999"/>
    <s v="*MAV161100999"/>
    <n v="1.809499972106981E-4"/>
  </r>
  <r>
    <x v="222"/>
    <s v="Pesos"/>
    <d v="2026-11-18T00:00:00"/>
    <s v="29/10/2026"/>
    <n v="0.98488940000000003"/>
    <m/>
    <n v="8829623.3000000007"/>
    <n v="8696202.4100000001"/>
    <n v="8829623.3000000007"/>
    <n v="8696202.4100000001"/>
    <n v="636510"/>
    <s v="AMOMPY"/>
    <s v="Momentum Capital Investment S.A."/>
    <s v="10/08/2026"/>
    <s v="10/08/2026"/>
    <n v="28"/>
    <s v="No"/>
    <s v=""/>
    <m/>
    <m/>
    <s v="*MAV161100998"/>
    <s v="*MAV161100998"/>
    <n v="1.0642974074543631E-4"/>
  </r>
  <r>
    <x v="10"/>
    <s v="Pesos"/>
    <d v="2026-11-18T00:00:00"/>
    <s v="29/10/2026"/>
    <n v="0.98382751000000002"/>
    <m/>
    <n v="50000000"/>
    <n v="49191375.490000002"/>
    <n v="50000000"/>
    <n v="49191375.490000002"/>
    <n v="68016"/>
    <s v="AMOMPY"/>
    <s v="Momentum Capital Investment S.A."/>
    <s v="29/07/2026"/>
    <s v="29/07/2026"/>
    <n v="30"/>
    <s v="No"/>
    <s v=""/>
    <m/>
    <m/>
    <s v="*MAV161100954"/>
    <s v="*MAV161100954"/>
    <n v="6.0203581902506685E-4"/>
  </r>
  <r>
    <x v="107"/>
    <s v="Pesos"/>
    <d v="2026-11-18T00:00:00"/>
    <s v="29/10/2026"/>
    <n v="0.98223864999999999"/>
    <m/>
    <n v="12839.68"/>
    <n v="12611.63"/>
    <n v="12839.68"/>
    <n v="12611.63"/>
    <n v="30101604"/>
    <s v="AMOMPY"/>
    <s v="Momentum Capital Investment S.A."/>
    <s v="21/09/2026"/>
    <s v="21/09/2026"/>
    <n v="33"/>
    <s v="No"/>
    <s v=""/>
    <m/>
    <m/>
    <s v="*MAV161101250"/>
    <s v="*MAV161101250"/>
    <n v="1.5434927201485951E-7"/>
  </r>
  <r>
    <x v="107"/>
    <s v="Pesos"/>
    <d v="2026-11-18T00:00:00"/>
    <s v="29/10/2026"/>
    <n v="0.98223890000000003"/>
    <m/>
    <n v="165489.23000000001"/>
    <n v="162549.96"/>
    <n v="165489.23000000001"/>
    <n v="162549.96"/>
    <n v="30101248"/>
    <s v="AMOMPY"/>
    <s v="Momentum Capital Investment S.A."/>
    <s v="17/09/2026"/>
    <s v="17/09/2026"/>
    <n v="33"/>
    <s v="No"/>
    <s v=""/>
    <m/>
    <m/>
    <s v="*MAV161101232"/>
    <s v="*MAV161101232"/>
    <n v="1.9893913785961475E-6"/>
  </r>
  <r>
    <x v="40"/>
    <s v="Pesos"/>
    <d v="2026-11-18T00:00:00"/>
    <s v="29/10/2026"/>
    <n v="0.98223899000000003"/>
    <m/>
    <n v="6500000"/>
    <n v="6384553.4100000001"/>
    <n v="6500000"/>
    <n v="6384553.4100000001"/>
    <n v="50791"/>
    <s v="AMOMPY"/>
    <s v="Momentum Capital Investment S.A."/>
    <s v="14/09/2026"/>
    <s v="14/09/2026"/>
    <n v="33"/>
    <s v="No"/>
    <s v=""/>
    <m/>
    <m/>
    <s v="*MAV161101187"/>
    <s v="*MAV161101187"/>
    <n v="7.8138287515054668E-5"/>
  </r>
  <r>
    <x v="189"/>
    <s v="Pesos"/>
    <d v="2026-11-18T00:00:00"/>
    <s v="29/10/2026"/>
    <n v="0.98223901000000002"/>
    <m/>
    <n v="25000000"/>
    <n v="24555975.370000001"/>
    <n v="25000000"/>
    <n v="24555975.370000001"/>
    <n v="475884"/>
    <s v="AMOMPY"/>
    <s v="Momentum Capital Investment S.A."/>
    <s v="07/08/2026"/>
    <s v="07/08/2026"/>
    <n v="33"/>
    <s v="No"/>
    <s v=""/>
    <m/>
    <m/>
    <s v="*MAV161100990"/>
    <s v="*MAV161100990"/>
    <n v="3.0053188382265584E-4"/>
  </r>
  <r>
    <x v="223"/>
    <s v="Pesos"/>
    <d v="2026-11-18T00:00:00"/>
    <s v="29/10/2026"/>
    <n v="0.98223901000000002"/>
    <m/>
    <n v="685128.94"/>
    <n v="672960.37"/>
    <n v="685128.94"/>
    <n v="672960.37"/>
    <n v="19403"/>
    <s v="AMOMPY"/>
    <s v="Momentum Capital Investment S.A."/>
    <s v="15/09/2026"/>
    <s v="15/09/2026"/>
    <n v="33"/>
    <s v="No"/>
    <s v=""/>
    <m/>
    <m/>
    <s v="*MAV151101687"/>
    <s v="*MAV151101687"/>
    <n v="8.2361235783439966E-6"/>
  </r>
  <r>
    <x v="223"/>
    <s v="Pesos"/>
    <d v="2026-11-18T00:00:00"/>
    <s v="29/10/2026"/>
    <n v="0.98223901000000002"/>
    <m/>
    <n v="685128.94"/>
    <n v="672960.37"/>
    <n v="685128.94"/>
    <n v="672960.37"/>
    <n v="19402"/>
    <s v="AMOMPY"/>
    <s v="Momentum Capital Investment S.A."/>
    <s v="15/09/2026"/>
    <s v="15/09/2026"/>
    <n v="33"/>
    <s v="No"/>
    <s v=""/>
    <m/>
    <m/>
    <s v="*MAV141101579"/>
    <s v="*MAV141101579"/>
    <n v="8.2361235783439966E-6"/>
  </r>
  <r>
    <x v="223"/>
    <s v="Pesos"/>
    <d v="2026-11-18T00:00:00"/>
    <s v="29/10/2026"/>
    <n v="0.98223899000000003"/>
    <m/>
    <n v="686128.26"/>
    <n v="673941.93"/>
    <n v="686128.26"/>
    <n v="673941.93"/>
    <n v="19386"/>
    <s v="AMOMPY"/>
    <s v="Momentum Capital Investment S.A."/>
    <s v="15/09/2026"/>
    <s v="15/09/2026"/>
    <n v="33"/>
    <s v="No"/>
    <s v=""/>
    <m/>
    <m/>
    <s v="*MAV141101580"/>
    <s v="*MAV141101580"/>
    <n v="8.2481365434753023E-6"/>
  </r>
  <r>
    <x v="223"/>
    <s v="Pesos"/>
    <d v="2026-11-18T00:00:00"/>
    <s v="29/10/2026"/>
    <n v="0.98223899000000003"/>
    <m/>
    <n v="686128.26"/>
    <n v="673941.93"/>
    <n v="686128.26"/>
    <n v="673941.93"/>
    <n v="19387"/>
    <s v="AMOMPY"/>
    <s v="Momentum Capital Investment S.A."/>
    <s v="15/09/2026"/>
    <s v="15/09/2026"/>
    <n v="33"/>
    <s v="No"/>
    <s v=""/>
    <m/>
    <m/>
    <s v="*MAV151101686"/>
    <s v="*MAV151101686"/>
    <n v="8.2481365434753023E-6"/>
  </r>
  <r>
    <x v="245"/>
    <s v="Pesos"/>
    <d v="2026-11-18T00:00:00"/>
    <s v="29/10/2026"/>
    <n v="0.98065561999999995"/>
    <m/>
    <n v="30000000"/>
    <n v="29419668.52"/>
    <n v="30000000"/>
    <n v="29419668.52"/>
    <n v="10978198"/>
    <s v="AMOMPY"/>
    <s v="Momentum Capital Investment S.A."/>
    <s v="01/09/2026"/>
    <s v="01/09/2026"/>
    <n v="36"/>
    <s v="No"/>
    <s v=""/>
    <m/>
    <m/>
    <s v="*MAV161101098"/>
    <s v="*MAV161101098"/>
    <n v="3.600569013664752E-4"/>
  </r>
  <r>
    <x v="17"/>
    <s v="Pesos"/>
    <d v="2026-11-18T00:00:00"/>
    <s v="29/10/2026"/>
    <n v="0.97960283999999997"/>
    <m/>
    <n v="42000000"/>
    <n v="41143319.460000001"/>
    <n v="42000000"/>
    <n v="41143319.460000001"/>
    <n v="163282"/>
    <s v="AMOMPY"/>
    <s v="Momentum Capital Investment S.A."/>
    <s v="15/09/2026"/>
    <s v="15/09/2026"/>
    <n v="38"/>
    <s v="No"/>
    <s v=""/>
    <m/>
    <m/>
    <s v="#MAV171160044"/>
    <s v="#MAV171160044"/>
    <n v="5.0353851222449458E-4"/>
  </r>
  <r>
    <x v="232"/>
    <s v="Pesos"/>
    <d v="2026-11-18T00:00:00"/>
    <s v="29/10/2026"/>
    <n v="0.98382760999999996"/>
    <m/>
    <n v="50000000"/>
    <n v="49191380.530000001"/>
    <n v="50000000"/>
    <n v="49191380.530000001"/>
    <n v="16836872"/>
    <s v="AMOMPY"/>
    <s v="Momentum Capital Investment S.A."/>
    <s v="15/10/2026"/>
    <s v="15/10/2026"/>
    <n v="30"/>
    <s v="No"/>
    <s v=""/>
    <m/>
    <m/>
    <s v="*MAV161101610"/>
    <s v="*MAV161101610"/>
    <n v="6.020358807078414E-4"/>
  </r>
  <r>
    <x v="44"/>
    <s v="Pesos"/>
    <d v="2026-11-18T00:00:00"/>
    <s v="29/10/2026"/>
    <n v="0.98223903999999995"/>
    <m/>
    <n v="25000000"/>
    <n v="24555976.030000001"/>
    <n v="25000000"/>
    <n v="24555976.030000001"/>
    <n v="14422595"/>
    <s v="AMOMPY"/>
    <s v="Momentum Capital Investment S.A."/>
    <s v="02/09/2026"/>
    <s v="02/09/2026"/>
    <n v="33"/>
    <s v="No"/>
    <s v=""/>
    <m/>
    <m/>
    <s v="*MAV161101104"/>
    <s v="*MAV161101104"/>
    <n v="3.00531891900162E-4"/>
  </r>
  <r>
    <x v="44"/>
    <s v="Pesos"/>
    <d v="2026-11-18T00:00:00"/>
    <s v="29/10/2026"/>
    <n v="0.98276796"/>
    <m/>
    <n v="10000000"/>
    <n v="9827679.5600000005"/>
    <n v="10000000"/>
    <n v="9827679.5600000005"/>
    <n v="14422576"/>
    <s v="AMOMPY"/>
    <s v="Momentum Capital Investment S.A."/>
    <s v="01/09/2026"/>
    <s v="01/09/2026"/>
    <n v="32"/>
    <s v="No"/>
    <s v=""/>
    <m/>
    <m/>
    <s v="*MAV161101096"/>
    <s v="*MAV161101096"/>
    <n v="1.2027748876880427E-4"/>
  </r>
  <r>
    <x v="44"/>
    <s v="Pesos"/>
    <d v="2026-11-18T00:00:00"/>
    <s v="29/10/2026"/>
    <n v="0.98223908000000004"/>
    <m/>
    <n v="12500000"/>
    <n v="12277988.5"/>
    <n v="12500000"/>
    <n v="12277988.5"/>
    <n v="14651810"/>
    <s v="AMOMPY"/>
    <s v="Momentum Capital Investment S.A."/>
    <s v="01/10/2026"/>
    <s v="01/10/2026"/>
    <n v="33"/>
    <s v="No"/>
    <s v=""/>
    <m/>
    <m/>
    <s v="*MAV161101346"/>
    <s v="*MAV161101346"/>
    <n v="1.5026595188582419E-4"/>
  </r>
  <r>
    <x v="118"/>
    <s v="Pesos"/>
    <d v="2026-11-18T00:00:00"/>
    <s v="29/10/2026"/>
    <n v="0.98382764"/>
    <m/>
    <n v="5345228.12"/>
    <n v="5258783.1900000004"/>
    <n v="5345228.12"/>
    <n v="5258783.1900000004"/>
    <n v="70489489"/>
    <s v="AMOMPY"/>
    <s v="Momentum Capital Investment S.A."/>
    <s v="19/10/2026"/>
    <s v="19/10/2026"/>
    <n v="30"/>
    <s v="No"/>
    <s v=""/>
    <m/>
    <m/>
    <s v="*MAV151101878"/>
    <s v="*MAV151101878"/>
    <n v="6.4360384586328713E-5"/>
  </r>
  <r>
    <x v="246"/>
    <s v="Pesos"/>
    <d v="2026-11-18T00:00:00"/>
    <s v="29/10/2026"/>
    <n v="0.98276806999999999"/>
    <m/>
    <n v="1300000"/>
    <n v="1277598.49"/>
    <n v="1300000"/>
    <n v="1277598.49"/>
    <n v="70470919"/>
    <s v="AMOMPY"/>
    <s v="Momentum Capital Investment S.A."/>
    <s v="19/10/2026"/>
    <s v="19/10/2026"/>
    <n v="32"/>
    <s v="No"/>
    <s v=""/>
    <m/>
    <m/>
    <s v="*MAV161101665"/>
    <s v="*MAV161101665"/>
    <n v="1.5636075341473211E-5"/>
  </r>
  <r>
    <x v="247"/>
    <s v="Pesos"/>
    <d v="2026-11-18T00:00:00"/>
    <s v="29/10/2026"/>
    <n v="0.98171067999999995"/>
    <m/>
    <n v="1260746.6599999999"/>
    <n v="1237688.46"/>
    <n v="1260746.6599999999"/>
    <n v="1237688.46"/>
    <n v="70472499"/>
    <s v="AMOMPY"/>
    <s v="Momentum Capital Investment S.A."/>
    <s v="21/10/2026"/>
    <s v="21/10/2026"/>
    <n v="34"/>
    <s v="No"/>
    <s v=""/>
    <m/>
    <m/>
    <s v="*MAV151101899"/>
    <s v="*MAV151101899"/>
    <n v="1.5147630622068089E-5"/>
  </r>
  <r>
    <x v="248"/>
    <s v="Pesos"/>
    <d v="2026-11-18T00:00:00"/>
    <s v="29/10/2026"/>
    <n v="0.98171065999999996"/>
    <m/>
    <n v="1416494.71"/>
    <n v="1390587.96"/>
    <n v="1416494.71"/>
    <n v="1390587.96"/>
    <n v="254"/>
    <s v="AMOMPY"/>
    <s v="Momentum Capital Investment S.A."/>
    <s v="21/10/2026"/>
    <s v="21/10/2026"/>
    <n v="34"/>
    <s v="No"/>
    <s v=""/>
    <m/>
    <m/>
    <s v="*MAV141101793"/>
    <s v="*MAV141101793"/>
    <n v="1.7018913439311855E-5"/>
  </r>
  <r>
    <x v="249"/>
    <s v="Pesos"/>
    <d v="2026-11-18T00:00:00"/>
    <s v="29/10/2026"/>
    <n v="0.98171065999999996"/>
    <m/>
    <n v="618696.5"/>
    <n v="607380.94999999995"/>
    <n v="618696.5"/>
    <n v="607380.94999999995"/>
    <n v="70496669"/>
    <s v="AMOMPY"/>
    <s v="Momentum Capital Investment S.A."/>
    <s v="21/10/2026"/>
    <s v="21/10/2026"/>
    <n v="34"/>
    <s v="No"/>
    <s v=""/>
    <m/>
    <m/>
    <s v="*MAV161101701"/>
    <s v="*MAV161101701"/>
    <n v="7.4335202878766491E-6"/>
  </r>
  <r>
    <x v="205"/>
    <s v="Pesos"/>
    <d v="2026-11-18T00:00:00"/>
    <s v="29/10/2026"/>
    <n v="0.98382765000000005"/>
    <m/>
    <n v="1500000"/>
    <n v="1475741.47"/>
    <n v="1500000"/>
    <n v="1475741.47"/>
    <n v="10793611"/>
    <s v="AMOMPY"/>
    <s v="Momentum Capital Investment S.A."/>
    <s v="19/10/2026"/>
    <s v="19/10/2026"/>
    <n v="30"/>
    <s v="No"/>
    <s v=""/>
    <m/>
    <m/>
    <s v="*MAV161101662"/>
    <s v="*MAV161101662"/>
    <n v="1.8061077083345978E-5"/>
  </r>
  <r>
    <x v="26"/>
    <s v="Pesos"/>
    <d v="2026-11-18T00:00:00"/>
    <s v="29/10/2026"/>
    <n v="0.98382756000000005"/>
    <m/>
    <n v="3500000"/>
    <n v="3443396.46"/>
    <n v="3500000"/>
    <n v="3443396.46"/>
    <n v="1386"/>
    <s v="AMOMPY"/>
    <s v="Momentum Capital Investment S.A."/>
    <s v="14/10/2026"/>
    <s v="14/10/2026"/>
    <n v="30"/>
    <s v="No"/>
    <s v=""/>
    <m/>
    <m/>
    <s v="*MAV161101531"/>
    <s v="*MAV161101531"/>
    <n v="4.2142509482084739E-5"/>
  </r>
  <r>
    <x v="26"/>
    <s v="Pesos"/>
    <d v="2026-11-18T00:00:00"/>
    <s v="29/10/2026"/>
    <n v="0.98382760999999996"/>
    <m/>
    <n v="7500000"/>
    <n v="7378707.0899999999"/>
    <n v="7500000"/>
    <n v="7378707.0899999999"/>
    <n v="1389"/>
    <s v="AMOMPY"/>
    <s v="Momentum Capital Investment S.A."/>
    <s v="15/10/2026"/>
    <s v="15/10/2026"/>
    <n v="30"/>
    <s v="No"/>
    <s v=""/>
    <m/>
    <m/>
    <s v="*MAV161101583"/>
    <s v="*MAV161101583"/>
    <n v="9.0305382234682E-5"/>
  </r>
  <r>
    <x v="26"/>
    <s v="Pesos"/>
    <d v="2026-11-18T00:00:00"/>
    <s v="29/10/2026"/>
    <n v="0.98382751000000002"/>
    <m/>
    <n v="5000000"/>
    <n v="4919137.54"/>
    <n v="5000000"/>
    <n v="4919137.54"/>
    <n v="1353"/>
    <s v="AMOMPY"/>
    <s v="Momentum Capital Investment S.A."/>
    <s v="02/10/2026"/>
    <s v="02/10/2026"/>
    <n v="30"/>
    <s v="No"/>
    <s v=""/>
    <m/>
    <m/>
    <s v="*MAV161101371"/>
    <s v="*MAV161101371"/>
    <n v="6.020358179235887E-5"/>
  </r>
  <r>
    <x v="26"/>
    <s v="Pesos"/>
    <d v="2026-11-18T00:00:00"/>
    <s v="29/10/2026"/>
    <n v="0.98382756000000005"/>
    <m/>
    <n v="4250000"/>
    <n v="4181267.14"/>
    <n v="4250000"/>
    <n v="4181267.14"/>
    <n v="1332"/>
    <s v="AMOMPY"/>
    <s v="Momentum Capital Investment S.A."/>
    <s v="30/09/2026"/>
    <s v="30/09/2026"/>
    <n v="30"/>
    <s v="No"/>
    <s v=""/>
    <m/>
    <m/>
    <s v="*MAV161101323"/>
    <s v="*MAV161101323"/>
    <n v="5.117304735063221E-5"/>
  </r>
  <r>
    <x v="123"/>
    <s v="Pesos"/>
    <d v="2026-11-18T00:00:00"/>
    <s v="29/10/2026"/>
    <n v="0.98118280999999996"/>
    <m/>
    <n v="1500000"/>
    <n v="1471774.22"/>
    <n v="1500000"/>
    <n v="1471774.22"/>
    <n v="5"/>
    <s v="AMOMPY"/>
    <s v="Momentum Capital Investment S.A."/>
    <s v="23/04/2026"/>
    <s v="23/04/2026"/>
    <n v="35"/>
    <s v="No"/>
    <s v=""/>
    <m/>
    <m/>
    <s v="*MAV151101538"/>
    <s v="*MAV151101538"/>
    <n v="1.8012523315958184E-5"/>
  </r>
  <r>
    <x v="208"/>
    <s v="Pesos"/>
    <d v="2026-11-18T00:00:00"/>
    <s v="29/10/2026"/>
    <n v="0.98276806999999999"/>
    <m/>
    <n v="8000000"/>
    <n v="7862144.5199999996"/>
    <n v="8000000"/>
    <n v="7862144.5199999996"/>
    <n v="358"/>
    <s v="AMOMPY"/>
    <s v="Momentum Capital Investment S.A."/>
    <s v="19/10/2026"/>
    <s v="19/10/2026"/>
    <n v="32"/>
    <s v="No"/>
    <s v=""/>
    <m/>
    <m/>
    <s v="*MAV151101880"/>
    <s v="*MAV151101880"/>
    <n v="9.6222001687142506E-5"/>
  </r>
  <r>
    <x v="250"/>
    <s v="Pesos"/>
    <d v="2026-11-18T00:00:00"/>
    <s v="29/10/2026"/>
    <n v="0.98382751999999996"/>
    <m/>
    <n v="239396.87"/>
    <n v="235525.23"/>
    <n v="239396.87"/>
    <n v="235525.23"/>
    <n v="40821344"/>
    <s v="AMOMPY"/>
    <s v="Momentum Capital Investment S.A."/>
    <s v="13/10/2026"/>
    <s v="13/10/2026"/>
    <n v="30"/>
    <s v="No"/>
    <s v=""/>
    <m/>
    <m/>
    <s v="*MAV151101817"/>
    <s v="*MAV151101817"/>
    <n v="2.8825098573009478E-6"/>
  </r>
  <r>
    <x v="251"/>
    <s v="Pesos"/>
    <d v="2026-11-18T00:00:00"/>
    <s v="29/10/2026"/>
    <n v="0.98223899000000003"/>
    <m/>
    <n v="388235.2"/>
    <n v="381339.75"/>
    <n v="388235.2"/>
    <n v="381339.75"/>
    <n v="4322"/>
    <s v="AMOMPY"/>
    <s v="Momentum Capital Investment S.A."/>
    <s v="13/10/2026"/>
    <s v="13/10/2026"/>
    <n v="33"/>
    <s v="No"/>
    <s v=""/>
    <m/>
    <m/>
    <s v="*MAV161101507"/>
    <s v="*MAV161101507"/>
    <n v="4.6670821141143951E-6"/>
  </r>
  <r>
    <x v="252"/>
    <s v="Pesos"/>
    <d v="2026-11-18T00:00:00"/>
    <s v="29/10/2026"/>
    <n v="0.98223903999999995"/>
    <m/>
    <n v="5000000"/>
    <n v="4911195.21"/>
    <n v="5000000"/>
    <n v="4911195.21"/>
    <n v="367"/>
    <s v="AMOMPY"/>
    <s v="Momentum Capital Investment S.A."/>
    <s v="14/10/2026"/>
    <s v="14/10/2026"/>
    <n v="33"/>
    <s v="No"/>
    <s v=""/>
    <m/>
    <m/>
    <s v="*MAV151101827"/>
    <s v="*MAV151101827"/>
    <n v="6.0106378428986983E-5"/>
  </r>
  <r>
    <x v="253"/>
    <s v="Pesos"/>
    <d v="2026-11-18T00:00:00"/>
    <s v="29/10/2026"/>
    <n v="0.98223903999999995"/>
    <m/>
    <n v="31830956.550000001"/>
    <n v="31265608.260000002"/>
    <n v="31830956.550000001"/>
    <n v="31265608.260000002"/>
    <n v="6193"/>
    <s v="AMOMPY"/>
    <s v="Momentum Capital Investment S.A."/>
    <s v="14/10/2026"/>
    <s v="14/10/2026"/>
    <n v="33"/>
    <s v="No"/>
    <s v=""/>
    <m/>
    <m/>
    <s v="*MAV151101828"/>
    <s v="*MAV151101828"/>
    <n v="3.8264870393698349E-4"/>
  </r>
  <r>
    <x v="254"/>
    <s v="Pesos"/>
    <d v="2026-11-18T00:00:00"/>
    <s v="29/10/2026"/>
    <n v="0.98382760999999996"/>
    <m/>
    <n v="2872100"/>
    <n v="2825651.28"/>
    <n v="2872100"/>
    <n v="2825651.28"/>
    <n v="70425772"/>
    <s v="AMOMPY"/>
    <s v="Momentum Capital Investment S.A."/>
    <s v="15/10/2026"/>
    <s v="15/10/2026"/>
    <n v="30"/>
    <s v="No"/>
    <s v=""/>
    <m/>
    <m/>
    <s v="*MAV151101842"/>
    <s v="*MAV151101842"/>
    <n v="3.4582145054672228E-5"/>
  </r>
  <r>
    <x v="255"/>
    <s v="Pesos"/>
    <d v="2026-11-18T00:00:00"/>
    <s v="29/10/2026"/>
    <n v="0.98382765999999999"/>
    <m/>
    <n v="37500000"/>
    <n v="36893537.32"/>
    <n v="37500000"/>
    <n v="36893537.32"/>
    <n v="70430900"/>
    <s v="AMOMPY"/>
    <s v="Momentum Capital Investment S.A."/>
    <s v="16/10/2026"/>
    <s v="16/10/2026"/>
    <n v="30"/>
    <s v="No"/>
    <s v=""/>
    <m/>
    <m/>
    <s v="*MAV141101765"/>
    <s v="*MAV141101765"/>
    <n v="4.5152693405967753E-4"/>
  </r>
  <r>
    <x v="255"/>
    <s v="Pesos"/>
    <d v="2026-11-18T00:00:00"/>
    <s v="29/10/2026"/>
    <n v="0.98382765999999999"/>
    <m/>
    <n v="37500000"/>
    <n v="36893537.32"/>
    <n v="37500000"/>
    <n v="36893537.32"/>
    <n v="70430905"/>
    <s v="AMOMPY"/>
    <s v="Momentum Capital Investment S.A."/>
    <s v="16/10/2026"/>
    <s v="16/10/2026"/>
    <n v="30"/>
    <s v="No"/>
    <s v=""/>
    <m/>
    <m/>
    <s v="*MAV141101764"/>
    <s v="*MAV141101764"/>
    <n v="4.5152693405967753E-4"/>
  </r>
  <r>
    <x v="255"/>
    <s v="Pesos"/>
    <d v="2026-11-18T00:00:00"/>
    <s v="29/10/2026"/>
    <n v="0.98382765999999999"/>
    <m/>
    <n v="37500000"/>
    <n v="36893537.32"/>
    <n v="37500000"/>
    <n v="36893537.32"/>
    <n v="70430902"/>
    <s v="AMOMPY"/>
    <s v="Momentum Capital Investment S.A."/>
    <s v="16/10/2026"/>
    <s v="16/10/2026"/>
    <n v="30"/>
    <s v="No"/>
    <s v=""/>
    <m/>
    <m/>
    <s v="*MAV141101766"/>
    <s v="*MAV141101766"/>
    <n v="4.5152693405967753E-4"/>
  </r>
  <r>
    <x v="255"/>
    <s v="Pesos"/>
    <d v="2026-11-18T00:00:00"/>
    <s v="29/10/2026"/>
    <n v="0.98382765999999999"/>
    <m/>
    <n v="37500000"/>
    <n v="36893537.32"/>
    <n v="37500000"/>
    <n v="36893537.32"/>
    <n v="70430904"/>
    <s v="AMOMPY"/>
    <s v="Momentum Capital Investment S.A."/>
    <s v="16/10/2026"/>
    <s v="16/10/2026"/>
    <n v="30"/>
    <s v="No"/>
    <s v=""/>
    <m/>
    <m/>
    <s v="*MAV141101767"/>
    <s v="*MAV141101767"/>
    <n v="4.5152693405967753E-4"/>
  </r>
  <r>
    <x v="1"/>
    <s v="Pesos"/>
    <d v="2026-11-18T00:00:00"/>
    <s v="29/10/2026"/>
    <n v="0.98488938000000004"/>
    <m/>
    <n v="12983989.119999999"/>
    <n v="12787792.98"/>
    <n v="12983989.119999999"/>
    <n v="12787792.98"/>
    <n v="652703"/>
    <s v="AMOMPY"/>
    <s v="Momentum Capital Investment S.A."/>
    <s v="21/09/2026"/>
    <s v="21/09/2026"/>
    <n v="28"/>
    <s v="No"/>
    <s v=""/>
    <m/>
    <m/>
    <s v="*AFB151100010"/>
    <s v="*AFB151100010"/>
    <n v="1.5650526832294723E-4"/>
  </r>
  <r>
    <x v="1"/>
    <s v="Pesos"/>
    <d v="2026-11-18T00:00:00"/>
    <s v="29/10/2026"/>
    <n v="0.9854212"/>
    <m/>
    <n v="40000000"/>
    <n v="39416848.060000002"/>
    <n v="40000000"/>
    <n v="39416848.060000002"/>
    <n v="42635"/>
    <s v="AMOMPY"/>
    <s v="Momentum Capital Investment S.A."/>
    <s v="22/09/2026"/>
    <s v="22/09/2026"/>
    <n v="27"/>
    <s v="No"/>
    <s v=""/>
    <m/>
    <m/>
    <s v="*AFB151100012"/>
    <s v="*AFB151100012"/>
    <n v="4.8240884034667428E-4"/>
  </r>
  <r>
    <x v="29"/>
    <s v="Pesos"/>
    <d v="2026-11-18T00:00:00"/>
    <s v="29/10/2026"/>
    <n v="0.98329745999999996"/>
    <m/>
    <n v="15000000"/>
    <n v="14749461.859999999"/>
    <n v="15000000"/>
    <n v="14749461.859999999"/>
    <n v="2438"/>
    <s v="AMOMPY"/>
    <s v="Momentum Capital Investment S.A."/>
    <s v="14/08/2026"/>
    <s v="14/08/2026"/>
    <n v="31"/>
    <s v="No"/>
    <s v=""/>
    <m/>
    <m/>
    <s v="*MIL141100051"/>
    <s v="*MIL141100051"/>
    <n v="1.8051343884192096E-4"/>
  </r>
  <r>
    <x v="29"/>
    <s v="Pesos"/>
    <d v="2026-11-18T00:00:00"/>
    <s v="29/10/2026"/>
    <n v="0.98382753999999994"/>
    <m/>
    <n v="3000000"/>
    <n v="2951482.62"/>
    <n v="3000000"/>
    <n v="2951482.62"/>
    <n v="12759461"/>
    <s v="AMOMPY"/>
    <s v="Momentum Capital Investment S.A."/>
    <s v="14/08/2026"/>
    <s v="14/08/2026"/>
    <n v="30"/>
    <s v="No"/>
    <s v=""/>
    <m/>
    <m/>
    <s v="*MIL161100019"/>
    <s v="*MIL161100019"/>
    <n v="3.6122150250325315E-5"/>
  </r>
  <r>
    <x v="29"/>
    <s v="Pesos"/>
    <d v="2026-11-18T00:00:00"/>
    <s v="29/10/2026"/>
    <n v="0.98595354000000002"/>
    <m/>
    <n v="15000000"/>
    <n v="14789303.1"/>
    <n v="15000000"/>
    <n v="14789303.1"/>
    <n v="9621095"/>
    <s v="AMOMPY"/>
    <s v="Momentum Capital Investment S.A."/>
    <s v="17/07/2026"/>
    <s v="17/07/2026"/>
    <n v="26"/>
    <s v="No"/>
    <s v=""/>
    <m/>
    <m/>
    <s v="*MIL151100042"/>
    <s v="*MIL151100042"/>
    <n v="1.8100104166488432E-4"/>
  </r>
  <r>
    <x v="135"/>
    <s v="Pesos"/>
    <d v="2026-11-18T00:00:00"/>
    <s v="29/10/2026"/>
    <n v="0.98595359999999999"/>
    <m/>
    <n v="150000000"/>
    <n v="147893039.66999999"/>
    <n v="150000000"/>
    <n v="147893039.66999999"/>
    <n v="360"/>
    <s v="AMOMPY"/>
    <s v="Momentum Capital Investment S.A."/>
    <s v="23/09/2026"/>
    <s v="23/09/2026"/>
    <n v="26"/>
    <s v="No"/>
    <s v=""/>
    <m/>
    <m/>
    <s v="*FTR161100013"/>
    <s v="*FTR161100013"/>
    <n v="1.8100105227579018E-3"/>
  </r>
  <r>
    <x v="136"/>
    <s v="Pesos"/>
    <d v="2026-11-18T00:00:00"/>
    <s v="29/10/2026"/>
    <n v="0.98382753000000001"/>
    <m/>
    <n v="2700000"/>
    <n v="2656334.3199999998"/>
    <n v="2700000"/>
    <n v="2656334.3199999998"/>
    <n v="6913"/>
    <s v="AMOMPY"/>
    <s v="Momentum Capital Investment S.A."/>
    <s v="11/09/2026"/>
    <s v="11/09/2026"/>
    <n v="30"/>
    <s v="No"/>
    <s v=""/>
    <m/>
    <m/>
    <s v="*MAV151101677"/>
    <s v="*MAV151101677"/>
    <n v="3.2509934760224245E-5"/>
  </r>
  <r>
    <x v="49"/>
    <s v="Pesos"/>
    <d v="2026-11-18T00:00:00"/>
    <s v="29/10/2026"/>
    <n v="0.98012893000000001"/>
    <m/>
    <n v="25000000"/>
    <n v="24503223.25"/>
    <n v="25000000"/>
    <n v="24503223.25"/>
    <n v="2659"/>
    <s v="AMOMPY"/>
    <s v="Momentum Capital Investment S.A."/>
    <s v="24/08/2026"/>
    <s v="24/08/2026"/>
    <n v="37"/>
    <s v="No"/>
    <s v=""/>
    <m/>
    <m/>
    <s v="*MAV161101059"/>
    <s v="*MAV161101059"/>
    <n v="2.9988626931293417E-4"/>
  </r>
  <r>
    <x v="26"/>
    <s v="Pesos"/>
    <d v="2026-11-18T00:00:00"/>
    <s v="29/10/2026"/>
    <n v="0.98276796"/>
    <m/>
    <n v="3000000"/>
    <n v="2948303.87"/>
    <n v="3000000"/>
    <n v="2948303.87"/>
    <n v="1058"/>
    <s v="AMOMPY"/>
    <s v="Momentum Capital Investment S.A."/>
    <s v="25/08/2026"/>
    <s v="25/08/2026"/>
    <n v="32"/>
    <s v="No"/>
    <s v=""/>
    <m/>
    <m/>
    <s v="*MAV161101067"/>
    <s v="*MAV161101067"/>
    <n v="3.6083246655118571E-5"/>
  </r>
  <r>
    <x v="26"/>
    <s v="Pesos"/>
    <d v="2026-11-18T00:00:00"/>
    <s v="29/10/2026"/>
    <n v="0.98223897999999998"/>
    <m/>
    <n v="2500000"/>
    <n v="2455597.44"/>
    <n v="2500000"/>
    <n v="2455597.44"/>
    <n v="1021"/>
    <s v="AMOMPY"/>
    <s v="Momentum Capital Investment S.A."/>
    <s v="19/08/2026"/>
    <s v="19/08/2026"/>
    <n v="33"/>
    <s v="No"/>
    <s v=""/>
    <m/>
    <m/>
    <s v="*MAV161101032"/>
    <s v="*MAV161101032"/>
    <n v="3.005318719511694E-5"/>
  </r>
  <r>
    <x v="256"/>
    <s v="Pesos"/>
    <d v="2026-11-18T00:00:00"/>
    <s v="29/10/2026"/>
    <n v="0.98382751000000002"/>
    <m/>
    <n v="9087933.1199999992"/>
    <n v="8940958.6400000006"/>
    <n v="9087933.1199999992"/>
    <n v="8940958.6400000006"/>
    <n v="20619376"/>
    <s v="AMOMPY"/>
    <s v="Momentum Capital Investment S.A."/>
    <s v="25/09/2026"/>
    <s v="25/09/2026"/>
    <n v="30"/>
    <s v="No"/>
    <s v=""/>
    <m/>
    <m/>
    <s v="*MAV161101299"/>
    <s v="*MAV161101299"/>
    <n v="1.0942522554173953E-4"/>
  </r>
  <r>
    <x v="161"/>
    <s v="Pesos"/>
    <d v="2026-11-18T00:00:00"/>
    <s v="29/10/2026"/>
    <n v="0.98223899000000003"/>
    <m/>
    <n v="13250000"/>
    <n v="13014666.619999999"/>
    <n v="13250000"/>
    <n v="13014666.619999999"/>
    <n v="70007297"/>
    <s v="AMOMPY"/>
    <s v="Momentum Capital Investment S.A."/>
    <s v="25/09/2026"/>
    <s v="25/09/2026"/>
    <n v="33"/>
    <s v="No"/>
    <s v=""/>
    <m/>
    <m/>
    <s v="*MAV141101630"/>
    <s v="*MAV141101630"/>
    <n v="1.5928189443498519E-4"/>
  </r>
  <r>
    <x v="51"/>
    <s v="Pesos"/>
    <d v="2026-11-18T00:00:00"/>
    <s v="29/10/2026"/>
    <n v="0.98276806999999999"/>
    <m/>
    <n v="50000000"/>
    <n v="49138403.310000002"/>
    <n v="50000000"/>
    <n v="49138403.310000002"/>
    <n v="21554"/>
    <s v="AMOMPY"/>
    <s v="Momentum Capital Investment S.A."/>
    <s v="19/10/2026"/>
    <s v="19/10/2026"/>
    <n v="32"/>
    <s v="No"/>
    <s v=""/>
    <m/>
    <m/>
    <s v="*MAV141101783"/>
    <s v="*MAV141101783"/>
    <n v="6.0138751127895948E-4"/>
  </r>
  <r>
    <x v="51"/>
    <s v="Pesos"/>
    <d v="2026-11-18T00:00:00"/>
    <s v="29/10/2026"/>
    <n v="0.98276803999999995"/>
    <m/>
    <n v="75000000"/>
    <n v="73707603.260000005"/>
    <n v="75000000"/>
    <n v="73707603.260000005"/>
    <n v="21571"/>
    <s v="AMOMPY"/>
    <s v="Momentum Capital Investment S.A."/>
    <s v="22/10/2026"/>
    <s v="22/10/2026"/>
    <n v="32"/>
    <s v="No"/>
    <s v=""/>
    <m/>
    <m/>
    <s v="*MAV161101732"/>
    <s v="*MAV161101732"/>
    <n v="9.0208124605154817E-4"/>
  </r>
  <r>
    <x v="257"/>
    <s v="Pesos"/>
    <d v="2026-11-18T00:00:00"/>
    <s v="29/10/2026"/>
    <n v="0.98276803999999995"/>
    <m/>
    <n v="62500000"/>
    <n v="61423002.710000001"/>
    <n v="62500000"/>
    <n v="61423002.710000001"/>
    <n v="5766"/>
    <s v="AMOMPY"/>
    <s v="Momentum Capital Investment S.A."/>
    <s v="22/10/2026"/>
    <s v="22/10/2026"/>
    <n v="32"/>
    <s v="No"/>
    <s v=""/>
    <m/>
    <m/>
    <s v="*MAV161101734"/>
    <s v="*MAV161101734"/>
    <n v="7.5173437162803249E-4"/>
  </r>
  <r>
    <x v="162"/>
    <s v="Pesos"/>
    <d v="2026-11-19T00:00:00"/>
    <s v="29/10/2026"/>
    <n v="0.98470347000000003"/>
    <m/>
    <n v="8000000"/>
    <n v="7877627.7400000002"/>
    <n v="8000000"/>
    <n v="7877627.7400000002"/>
    <n v="761093"/>
    <s v="AMOMPY"/>
    <s v="Momentum Capital Investment S.A."/>
    <s v="25/09/2026"/>
    <s v="25/09/2026"/>
    <n v="27"/>
    <s v="No"/>
    <s v=""/>
    <m/>
    <m/>
    <s v="*AAR171100015"/>
    <s v="*AAR171100015"/>
    <n v="9.6411495331932747E-5"/>
  </r>
  <r>
    <x v="1"/>
    <s v="Pesos"/>
    <d v="2026-11-19T00:00:00"/>
    <s v="29/10/2026"/>
    <n v="0.98303262999999996"/>
    <m/>
    <n v="10000000"/>
    <n v="9830326.3300000001"/>
    <n v="10000000"/>
    <n v="9830326.3300000001"/>
    <n v="8229"/>
    <s v="AMOMPY"/>
    <s v="Momentum Capital Investment S.A."/>
    <s v="16/09/2026"/>
    <s v="16/09/2026"/>
    <n v="30"/>
    <s v="No"/>
    <s v=""/>
    <m/>
    <m/>
    <s v="*AFB171100013"/>
    <s v="*AFB171100013"/>
    <n v="1.2030988164924008E-4"/>
  </r>
  <r>
    <x v="1"/>
    <s v="Pesos"/>
    <d v="2026-11-19T00:00:00"/>
    <s v="29/10/2026"/>
    <n v="0.98470338000000002"/>
    <m/>
    <n v="2500000"/>
    <n v="2461758.4500000002"/>
    <n v="2500000"/>
    <n v="2461758.4500000002"/>
    <n v="69814724"/>
    <s v="AMOMPY"/>
    <s v="Momentum Capital Investment S.A."/>
    <s v="18/09/2026"/>
    <s v="18/09/2026"/>
    <n v="27"/>
    <s v="No"/>
    <s v=""/>
    <m/>
    <m/>
    <s v="*AFB171100015"/>
    <s v="*AFB171100015"/>
    <n v="3.0128589614025227E-5"/>
  </r>
  <r>
    <x v="2"/>
    <s v="Pesos"/>
    <d v="2026-11-19T00:00:00"/>
    <s v="29/10/2026"/>
    <n v="0.98026053999999996"/>
    <m/>
    <n v="3625698.78"/>
    <n v="3554129.45"/>
    <n v="3625698.78"/>
    <n v="3554129.45"/>
    <n v="3358"/>
    <s v="AMOMPY"/>
    <s v="Momentum Capital Investment S.A."/>
    <s v="01/09/2026"/>
    <s v="01/09/2026"/>
    <n v="35"/>
    <s v="No"/>
    <s v=""/>
    <m/>
    <m/>
    <s v="*MAV171101424"/>
    <s v="*MAV171101424"/>
    <n v="4.3497731320540889E-5"/>
  </r>
  <r>
    <x v="2"/>
    <s v="Pesos"/>
    <d v="2026-11-19T00:00:00"/>
    <s v="29/10/2026"/>
    <n v="0.98026058999999999"/>
    <m/>
    <n v="3256800.5"/>
    <n v="3192513.18"/>
    <n v="3256800.5"/>
    <n v="3192513.18"/>
    <n v="3587"/>
    <s v="AMOMPY"/>
    <s v="Momentum Capital Investment S.A."/>
    <s v="17/09/2026"/>
    <s v="17/09/2026"/>
    <n v="35"/>
    <s v="No"/>
    <s v=""/>
    <m/>
    <m/>
    <s v="*MAV171101522"/>
    <s v="*MAV171101522"/>
    <n v="3.9072037891283218E-5"/>
  </r>
  <r>
    <x v="258"/>
    <s v="Pesos"/>
    <d v="2026-11-19T00:00:00"/>
    <s v="29/10/2026"/>
    <n v="0.98136747999999996"/>
    <m/>
    <n v="574285.71"/>
    <n v="563585.31999999995"/>
    <n v="574285.71"/>
    <n v="563585.31999999995"/>
    <n v="30018579"/>
    <s v="AMOMPY"/>
    <s v="Momentum Capital Investment S.A."/>
    <s v="22/09/2026"/>
    <s v="22/09/2026"/>
    <n v="33"/>
    <s v="No"/>
    <s v=""/>
    <m/>
    <m/>
    <s v="*MAV171101544"/>
    <s v="*MAV171101544"/>
    <n v="6.8975210865099622E-6"/>
  </r>
  <r>
    <x v="259"/>
    <s v="Pesos"/>
    <d v="2026-11-19T00:00:00"/>
    <s v="29/10/2026"/>
    <n v="0.98303266"/>
    <m/>
    <n v="7357016.4500000002"/>
    <n v="7232187.4400000004"/>
    <n v="7357016.4500000002"/>
    <n v="7232187.4400000004"/>
    <n v="3832"/>
    <s v="AMOMPY"/>
    <s v="Momentum Capital Investment S.A."/>
    <s v="15/10/2026"/>
    <s v="15/10/2026"/>
    <n v="30"/>
    <s v="No"/>
    <s v=""/>
    <m/>
    <m/>
    <s v="*MAV171101746"/>
    <s v="*MAV171101746"/>
    <n v="8.8512180141584438E-5"/>
  </r>
  <r>
    <x v="4"/>
    <s v="Pesos"/>
    <d v="2026-11-19T00:00:00"/>
    <s v="29/10/2026"/>
    <n v="0.98192188999999996"/>
    <m/>
    <n v="2188623.9300000002"/>
    <n v="2149057.75"/>
    <n v="2188623.9300000002"/>
    <n v="2149057.75"/>
    <n v="30000397"/>
    <s v="AMOMPY"/>
    <s v="Momentum Capital Investment S.A."/>
    <s v="15/09/2026"/>
    <s v="15/09/2026"/>
    <n v="32"/>
    <s v="No"/>
    <s v=""/>
    <m/>
    <m/>
    <s v="*MAV171101507"/>
    <s v="*MAV171101507"/>
    <n v="2.6301556518102097E-5"/>
  </r>
  <r>
    <x v="32"/>
    <s v="Pesos"/>
    <d v="2026-11-19T00:00:00"/>
    <s v="29/10/2026"/>
    <n v="0.98136747999999996"/>
    <m/>
    <n v="5687804.6399999997"/>
    <n v="5581826.5199999996"/>
    <n v="5687804.6399999997"/>
    <n v="5581826.5199999996"/>
    <n v="8175684"/>
    <s v="AMOMPY"/>
    <s v="Momentum Capital Investment S.A."/>
    <s v="15/09/2026"/>
    <s v="15/09/2026"/>
    <n v="33"/>
    <s v="No"/>
    <s v=""/>
    <m/>
    <m/>
    <s v="*MAV171101500"/>
    <s v="*MAV171101500"/>
    <n v="6.8313997467039285E-5"/>
  </r>
  <r>
    <x v="6"/>
    <s v="Pesos"/>
    <d v="2026-11-19T00:00:00"/>
    <s v="29/10/2026"/>
    <n v="0.98415153"/>
    <m/>
    <n v="534218.82999999996"/>
    <n v="525752.28"/>
    <n v="534218.82999999996"/>
    <n v="525752.28"/>
    <n v="70434905"/>
    <s v="AMOMPY"/>
    <s v="Momentum Capital Investment S.A."/>
    <s v="16/10/2026"/>
    <s v="16/10/2026"/>
    <n v="27.99"/>
    <s v="No"/>
    <s v=""/>
    <m/>
    <m/>
    <s v="*CRE171100179"/>
    <s v="*CRE171100179"/>
    <n v="6.4344959119600391E-6"/>
  </r>
  <r>
    <x v="55"/>
    <s v="Pesos"/>
    <d v="2026-11-19T00:00:00"/>
    <s v="29/10/2026"/>
    <n v="0.98470343999999999"/>
    <m/>
    <n v="25000000"/>
    <n v="24617585.989999998"/>
    <n v="25000000"/>
    <n v="24617585.989999998"/>
    <n v="893"/>
    <s v="AMOMPY"/>
    <s v="Momentum Capital Investment S.A."/>
    <s v="17/09/2026"/>
    <s v="17/09/2026"/>
    <n v="27"/>
    <s v="No"/>
    <s v=""/>
    <m/>
    <m/>
    <s v="*PRO171100017"/>
    <s v="*PRO171100017"/>
    <n v="3.0128591437583442E-4"/>
  </r>
  <r>
    <x v="171"/>
    <s v="Pesos"/>
    <d v="2026-11-19T00:00:00"/>
    <s v="29/10/2026"/>
    <n v="0.98136754000000004"/>
    <m/>
    <n v="2170000"/>
    <n v="2129567.56"/>
    <n v="2170000"/>
    <n v="2129567.56"/>
    <n v="260734"/>
    <s v="AMOMPY"/>
    <s v="Momentum Capital Investment S.A."/>
    <s v="27/08/2026"/>
    <s v="27/08/2026"/>
    <n v="33"/>
    <s v="No"/>
    <s v=""/>
    <m/>
    <m/>
    <s v="*MAV171101413"/>
    <s v="*MAV171101413"/>
    <n v="2.6063022986914514E-5"/>
  </r>
  <r>
    <x v="34"/>
    <s v="Pesos"/>
    <d v="2026-11-19T00:00:00"/>
    <s v="29/10/2026"/>
    <n v="0.98136756000000003"/>
    <m/>
    <n v="80000000"/>
    <n v="78509404.689999998"/>
    <n v="80000000"/>
    <n v="78509404.689999998"/>
    <n v="3036"/>
    <s v="AMOMPY"/>
    <s v="Momentum Capital Investment S.A."/>
    <s v="28/09/2026"/>
    <s v="28/09/2026"/>
    <n v="33"/>
    <s v="No"/>
    <s v=""/>
    <m/>
    <m/>
    <s v="*MAV171101587"/>
    <s v="*MAV171101587"/>
    <n v="9.6084879275886597E-4"/>
  </r>
  <r>
    <x v="260"/>
    <s v="Pesos"/>
    <d v="2026-11-19T00:00:00"/>
    <s v="29/10/2026"/>
    <n v="0.98247697000000001"/>
    <m/>
    <n v="482400"/>
    <n v="473946.89"/>
    <n v="482400"/>
    <n v="473946.89"/>
    <n v="3978"/>
    <s v="AMOMPY"/>
    <s v="Momentum Capital Investment S.A."/>
    <s v="02/09/2026"/>
    <s v="02/09/2026"/>
    <n v="31"/>
    <s v="No"/>
    <s v=""/>
    <m/>
    <m/>
    <s v="*MAV171101439"/>
    <s v="*MAV171101439"/>
    <n v="5.8004680953379303E-6"/>
  </r>
  <r>
    <x v="105"/>
    <s v="Pesos"/>
    <d v="2026-11-19T00:00:00"/>
    <s v="29/10/2026"/>
    <n v="0.98192190999999995"/>
    <m/>
    <n v="10000000"/>
    <n v="9819219.1199999992"/>
    <n v="10000000"/>
    <n v="9819219.1199999992"/>
    <n v="13953469"/>
    <s v="AMOMPY"/>
    <s v="Momentum Capital Investment S.A."/>
    <s v="31/07/2026"/>
    <s v="31/07/2026"/>
    <n v="32"/>
    <s v="No"/>
    <s v=""/>
    <m/>
    <m/>
    <s v="*MAV171101314"/>
    <s v="*MAV171101314"/>
    <n v="1.2017394444067812E-4"/>
  </r>
  <r>
    <x v="222"/>
    <s v="Pesos"/>
    <d v="2026-11-19T00:00:00"/>
    <s v="29/10/2026"/>
    <n v="0.98750070999999995"/>
    <m/>
    <n v="2753548.09"/>
    <n v="2719130.68"/>
    <n v="2753548.09"/>
    <n v="2719130.68"/>
    <n v="646175"/>
    <s v="AMOMPY"/>
    <s v="Momentum Capital Investment S.A."/>
    <s v="31/07/2026"/>
    <s v="31/07/2026"/>
    <n v="22"/>
    <s v="No"/>
    <s v=""/>
    <m/>
    <m/>
    <s v="*MAV171101296"/>
    <s v="*MAV171101296"/>
    <n v="3.3278477165225269E-5"/>
  </r>
  <r>
    <x v="222"/>
    <s v="Pesos"/>
    <d v="2026-11-19T00:00:00"/>
    <s v="29/10/2026"/>
    <n v="0.98750070000000001"/>
    <m/>
    <n v="13824514.550000001"/>
    <n v="13651717.800000001"/>
    <n v="13824514.550000001"/>
    <n v="13651717.800000001"/>
    <n v="646107"/>
    <s v="AMOMPY"/>
    <s v="Momentum Capital Investment S.A."/>
    <s v="31/07/2026"/>
    <s v="31/07/2026"/>
    <n v="22"/>
    <s v="No"/>
    <s v=""/>
    <m/>
    <m/>
    <s v="*MAV171101299"/>
    <s v="*MAV171101299"/>
    <n v="1.6707853815742292E-4"/>
  </r>
  <r>
    <x v="222"/>
    <s v="Pesos"/>
    <d v="2026-11-19T00:00:00"/>
    <s v="29/10/2026"/>
    <n v="0.98750070000000001"/>
    <m/>
    <n v="4118494.87"/>
    <n v="4067016.56"/>
    <n v="4118494.87"/>
    <n v="4067016.56"/>
    <n v="646126"/>
    <s v="AMOMPY"/>
    <s v="Momentum Capital Investment S.A."/>
    <s v="31/07/2026"/>
    <s v="31/07/2026"/>
    <n v="22"/>
    <s v="No"/>
    <s v=""/>
    <m/>
    <m/>
    <s v="*MAV171101303"/>
    <s v="*MAV171101303"/>
    <n v="4.97747749742403E-5"/>
  </r>
  <r>
    <x v="222"/>
    <s v="Pesos"/>
    <d v="2026-11-19T00:00:00"/>
    <s v="29/10/2026"/>
    <n v="0.98750070999999995"/>
    <m/>
    <n v="2994215.75"/>
    <n v="2956790.17"/>
    <n v="2994215.75"/>
    <n v="2956790.17"/>
    <n v="646250"/>
    <s v="AMOMPY"/>
    <s v="Momentum Capital Investment S.A."/>
    <s v="31/07/2026"/>
    <s v="31/07/2026"/>
    <n v="22"/>
    <s v="No"/>
    <s v=""/>
    <m/>
    <m/>
    <s v="*MAV171101297"/>
    <s v="*MAV171101297"/>
    <n v="3.6187107474624033E-5"/>
  </r>
  <r>
    <x v="222"/>
    <s v="Pesos"/>
    <d v="2026-11-19T00:00:00"/>
    <s v="29/10/2026"/>
    <n v="0.98750070000000001"/>
    <m/>
    <n v="6602649.0700000003"/>
    <n v="6520120.5800000001"/>
    <n v="6602649.0700000003"/>
    <n v="6520120.5800000001"/>
    <n v="646185"/>
    <s v="AMOMPY"/>
    <s v="Momentum Capital Investment S.A."/>
    <s v="31/07/2026"/>
    <s v="31/07/2026"/>
    <n v="22"/>
    <s v="No"/>
    <s v=""/>
    <m/>
    <m/>
    <s v="*MAV171101304"/>
    <s v="*MAV171101304"/>
    <n v="7.9797446085248583E-5"/>
  </r>
  <r>
    <x v="222"/>
    <s v="Pesos"/>
    <d v="2026-11-19T00:00:00"/>
    <s v="29/10/2026"/>
    <n v="0.98750070000000001"/>
    <m/>
    <n v="3715219.33"/>
    <n v="3668781.69"/>
    <n v="3715219.33"/>
    <n v="3668781.69"/>
    <n v="646200"/>
    <s v="AMOMPY"/>
    <s v="Momentum Capital Investment S.A."/>
    <s v="31/07/2026"/>
    <s v="31/07/2026"/>
    <n v="22"/>
    <s v="No"/>
    <s v=""/>
    <m/>
    <m/>
    <s v="*MAV171101309"/>
    <s v="*MAV171101309"/>
    <n v="4.4900919471388392E-5"/>
  </r>
  <r>
    <x v="222"/>
    <s v="Pesos"/>
    <d v="2026-11-19T00:00:00"/>
    <s v="29/10/2026"/>
    <n v="0.98750070000000001"/>
    <m/>
    <n v="4405109.3099999996"/>
    <n v="4350048.51"/>
    <n v="4405109.3099999996"/>
    <n v="4350048.51"/>
    <n v="646238"/>
    <s v="AMOMPY"/>
    <s v="Momentum Capital Investment S.A."/>
    <s v="31/07/2026"/>
    <s v="31/07/2026"/>
    <n v="22"/>
    <s v="No"/>
    <s v=""/>
    <m/>
    <m/>
    <s v="*MAV171101310"/>
    <s v="*MAV171101310"/>
    <n v="5.3238702748798079E-5"/>
  </r>
  <r>
    <x v="56"/>
    <s v="Pesos"/>
    <d v="2026-11-19T00:00:00"/>
    <s v="29/10/2026"/>
    <n v="0.98358913000000003"/>
    <m/>
    <n v="339500.68"/>
    <n v="333929.18"/>
    <n v="339500.68"/>
    <n v="333929.18"/>
    <n v="11456514"/>
    <s v="AMOMPY"/>
    <s v="Momentum Capital Investment S.A."/>
    <s v="28/10/2026"/>
    <s v="28/10/2026"/>
    <n v="29"/>
    <s v="No"/>
    <s v=""/>
    <m/>
    <m/>
    <s v="*MAV171101871"/>
    <s v="*MAV171101871"/>
    <n v="4.0868409426473018E-6"/>
  </r>
  <r>
    <x v="261"/>
    <s v="Pesos"/>
    <d v="2026-11-19T00:00:00"/>
    <s v="29/10/2026"/>
    <n v="0.98136751"/>
    <m/>
    <n v="15040535.109999999"/>
    <n v="14760292.470000001"/>
    <n v="15040535.109999999"/>
    <n v="14760292.470000001"/>
    <n v="29717251"/>
    <s v="AMOMPY"/>
    <s v="Momentum Capital Investment S.A."/>
    <s v="21/07/2026"/>
    <s v="21/07/2026"/>
    <n v="33"/>
    <s v="No"/>
    <s v=""/>
    <m/>
    <m/>
    <s v="*MAV171101273"/>
    <s v="*MAV171101273"/>
    <n v="1.8064599084106596E-4"/>
  </r>
  <r>
    <x v="107"/>
    <s v="Pesos"/>
    <d v="2026-11-19T00:00:00"/>
    <s v="29/10/2026"/>
    <n v="0.98136760000000001"/>
    <m/>
    <n v="204051.5"/>
    <n v="200249.53"/>
    <n v="204051.5"/>
    <n v="200249.53"/>
    <n v="30101906"/>
    <s v="AMOMPY"/>
    <s v="Momentum Capital Investment S.A."/>
    <s v="21/09/2026"/>
    <s v="21/09/2026"/>
    <n v="33"/>
    <s v="No"/>
    <s v=""/>
    <m/>
    <m/>
    <s v="*MAV171101539"/>
    <s v="*MAV171101539"/>
    <n v="2.4507830610966047E-6"/>
  </r>
  <r>
    <x v="107"/>
    <s v="Pesos"/>
    <d v="2026-11-19T00:00:00"/>
    <s v="29/10/2026"/>
    <n v="0.98026055000000001"/>
    <m/>
    <n v="278508.32"/>
    <n v="273010.71999999997"/>
    <n v="278508.32"/>
    <n v="273010.71999999997"/>
    <n v="30100623"/>
    <s v="AMOMPY"/>
    <s v="Momentum Capital Investment S.A."/>
    <s v="16/09/2026"/>
    <s v="16/09/2026"/>
    <n v="35"/>
    <s v="No"/>
    <s v=""/>
    <m/>
    <m/>
    <s v="*MAV171101506"/>
    <s v="*MAV171101506"/>
    <n v="3.3412814905172958E-6"/>
  </r>
  <r>
    <x v="262"/>
    <s v="Pesos"/>
    <d v="2026-11-19T00:00:00"/>
    <s v="29/10/2026"/>
    <n v="0.98247695000000002"/>
    <m/>
    <n v="17265963.219999999"/>
    <n v="16963410.829999998"/>
    <n v="17265963.219999999"/>
    <n v="16963410.829999998"/>
    <n v="31835604"/>
    <s v="AMOMPY"/>
    <s v="Momentum Capital Investment S.A."/>
    <s v="01/09/2026"/>
    <s v="01/09/2026"/>
    <n v="31"/>
    <s v="No"/>
    <s v=""/>
    <m/>
    <m/>
    <s v="*MAV171101431"/>
    <s v="*MAV171101431"/>
    <n v="2.0760917601447899E-4"/>
  </r>
  <r>
    <x v="13"/>
    <s v="Pesos"/>
    <d v="2026-11-19T00:00:00"/>
    <s v="29/10/2026"/>
    <n v="0.97805412000000003"/>
    <m/>
    <n v="3750000"/>
    <n v="3667702.95"/>
    <n v="3750000"/>
    <n v="3667702.95"/>
    <n v="66918963"/>
    <s v="AMOMPY"/>
    <s v="Momentum Capital Investment S.A."/>
    <s v="13/05/2026"/>
    <s v="13/05/2026"/>
    <n v="39"/>
    <s v="No"/>
    <s v=""/>
    <m/>
    <m/>
    <s v="*MAV171101249"/>
    <s v="*MAV171101249"/>
    <n v="4.488771715466222E-5"/>
  </r>
  <r>
    <x v="263"/>
    <s v="Pesos"/>
    <d v="2026-11-19T00:00:00"/>
    <s v="29/10/2026"/>
    <n v="0.98303260000000003"/>
    <m/>
    <n v="8060110.0800000001"/>
    <n v="7923350.9699999997"/>
    <n v="8060110.0800000001"/>
    <n v="7923350.9699999997"/>
    <n v="70"/>
    <s v="AMOMPY"/>
    <s v="Momentum Capital Investment S.A."/>
    <s v="21/10/2026"/>
    <s v="21/10/2026"/>
    <n v="30"/>
    <s v="No"/>
    <s v=""/>
    <m/>
    <m/>
    <s v="%YAG181100001"/>
    <s v="%YAG181100001"/>
    <n v="9.6971085746864677E-5"/>
  </r>
  <r>
    <x v="232"/>
    <s v="Pesos"/>
    <d v="2026-11-19T00:00:00"/>
    <s v="29/10/2026"/>
    <n v="0.98303271000000003"/>
    <m/>
    <n v="50000000"/>
    <n v="49151635.560000002"/>
    <n v="50000000"/>
    <n v="49151635.560000002"/>
    <n v="16836873"/>
    <s v="AMOMPY"/>
    <s v="Momentum Capital Investment S.A."/>
    <s v="16/10/2026"/>
    <s v="16/10/2026"/>
    <n v="30"/>
    <s v="No"/>
    <s v=""/>
    <m/>
    <m/>
    <s v="*MAV171101783"/>
    <s v="*MAV171101783"/>
    <n v="6.0154945609930529E-4"/>
  </r>
  <r>
    <x v="44"/>
    <s v="Pesos"/>
    <d v="2026-11-19T00:00:00"/>
    <s v="29/10/2026"/>
    <n v="0.98081368999999996"/>
    <m/>
    <n v="10000000"/>
    <n v="9808136.8699999992"/>
    <n v="10000000"/>
    <n v="9808136.8699999992"/>
    <n v="14284516"/>
    <s v="AMOMPY"/>
    <s v="Momentum Capital Investment S.A."/>
    <s v="24/08/2026"/>
    <s v="24/08/2026"/>
    <n v="34"/>
    <s v="No"/>
    <s v=""/>
    <m/>
    <m/>
    <s v="*MAV171101394"/>
    <s v="*MAV171101394"/>
    <n v="1.2003831270871432E-4"/>
  </r>
  <r>
    <x v="264"/>
    <s v="Pesos"/>
    <d v="2026-11-19T00:00:00"/>
    <s v="29/10/2026"/>
    <n v="0.98303260000000003"/>
    <m/>
    <n v="5392373.7199999997"/>
    <n v="5300879.1500000004"/>
    <n v="5392373.7199999997"/>
    <n v="5300879.1500000004"/>
    <n v="12700532"/>
    <s v="AMOMPY"/>
    <s v="Momentum Capital Investment S.A."/>
    <s v="21/10/2026"/>
    <s v="21/10/2026"/>
    <n v="30"/>
    <s v="No"/>
    <s v=""/>
    <m/>
    <m/>
    <s v="*MAV171101824"/>
    <s v="*MAV171101824"/>
    <n v="6.4875582128658027E-5"/>
  </r>
  <r>
    <x v="204"/>
    <s v="Pesos"/>
    <d v="2026-11-19T00:00:00"/>
    <s v="29/10/2026"/>
    <n v="0.98136747999999996"/>
    <m/>
    <n v="2500000"/>
    <n v="2453418.69"/>
    <n v="2500000"/>
    <n v="2453418.69"/>
    <n v="94"/>
    <s v="AMOMPY"/>
    <s v="Momentum Capital Investment S.A."/>
    <s v="22/09/2026"/>
    <s v="22/09/2026"/>
    <n v="33"/>
    <s v="No"/>
    <s v=""/>
    <m/>
    <m/>
    <s v="*MAV171101542"/>
    <s v="*MAV171101542"/>
    <n v="3.0026522245669297E-5"/>
  </r>
  <r>
    <x v="265"/>
    <s v="Pesos"/>
    <d v="2026-11-19T00:00:00"/>
    <s v="29/10/2026"/>
    <n v="0.98414583"/>
    <m/>
    <n v="20279181.25"/>
    <n v="19957671.739999998"/>
    <n v="20279181.25"/>
    <n v="19957671.739999998"/>
    <n v="99803231"/>
    <s v="AMOMPY"/>
    <s v="Momentum Capital Investment S.A."/>
    <s v="10/08/2026"/>
    <s v="10/08/2026"/>
    <n v="28"/>
    <s v="No"/>
    <s v=""/>
    <m/>
    <m/>
    <s v="*MAV171101338"/>
    <s v="*MAV171101338"/>
    <n v="2.4425487460229441E-4"/>
  </r>
  <r>
    <x v="26"/>
    <s v="Pesos"/>
    <d v="2026-11-19T00:00:00"/>
    <s v="29/10/2026"/>
    <n v="0.98303271000000003"/>
    <m/>
    <n v="10000000"/>
    <n v="9830327.0899999999"/>
    <n v="10000000"/>
    <n v="9830327.0899999999"/>
    <n v="1391"/>
    <s v="AMOMPY"/>
    <s v="Momentum Capital Investment S.A."/>
    <s v="16/10/2026"/>
    <s v="16/10/2026"/>
    <n v="30"/>
    <s v="No"/>
    <s v=""/>
    <m/>
    <m/>
    <s v="*MAV171101762"/>
    <s v="*MAV171101762"/>
    <n v="1.2030989095061086E-4"/>
  </r>
  <r>
    <x v="26"/>
    <s v="Pesos"/>
    <d v="2026-11-19T00:00:00"/>
    <s v="29/10/2026"/>
    <n v="0.98303266"/>
    <m/>
    <n v="8000000"/>
    <n v="7864261.2699999996"/>
    <n v="8000000"/>
    <n v="7864261.2699999996"/>
    <n v="1390"/>
    <s v="AMOMPY"/>
    <s v="Momentum Capital Investment S.A."/>
    <s v="15/10/2026"/>
    <s v="15/10/2026"/>
    <n v="30"/>
    <s v="No"/>
    <s v=""/>
    <m/>
    <m/>
    <s v="*MAV171101744"/>
    <s v="*MAV171101744"/>
    <n v="9.6247907840553087E-5"/>
  </r>
  <r>
    <x v="26"/>
    <s v="Pesos"/>
    <d v="2026-11-19T00:00:00"/>
    <s v="29/10/2026"/>
    <n v="0.98303273000000002"/>
    <m/>
    <n v="6500000"/>
    <n v="6389712.75"/>
    <n v="6500000"/>
    <n v="6389712.75"/>
    <n v="1384"/>
    <s v="AMOMPY"/>
    <s v="Momentum Capital Investment S.A."/>
    <s v="13/10/2026"/>
    <s v="13/10/2026"/>
    <n v="30"/>
    <s v="No"/>
    <s v=""/>
    <m/>
    <m/>
    <s v="*MAV171101691"/>
    <s v="*MAV171101691"/>
    <n v="7.8201430849665426E-5"/>
  </r>
  <r>
    <x v="29"/>
    <s v="Pesos"/>
    <d v="2026-11-19T00:00:00"/>
    <s v="29/10/2026"/>
    <n v="0.98526157999999997"/>
    <m/>
    <n v="4000000"/>
    <n v="3941046.3"/>
    <n v="4000000"/>
    <n v="3941046.3"/>
    <n v="90002234"/>
    <s v="AMOMPY"/>
    <s v="Momentum Capital Investment S.A."/>
    <s v="22/09/2026"/>
    <s v="22/09/2026"/>
    <n v="26"/>
    <s v="No"/>
    <s v=""/>
    <m/>
    <m/>
    <s v="*MIL171100046"/>
    <s v="*MIL171100046"/>
    <n v="4.8233069585918364E-5"/>
  </r>
  <r>
    <x v="49"/>
    <s v="Pesos"/>
    <d v="2026-11-19T00:00:00"/>
    <s v="29/10/2026"/>
    <n v="0.97915605999999999"/>
    <m/>
    <n v="25000000"/>
    <n v="24478901.550000001"/>
    <n v="25000000"/>
    <n v="24478901.550000001"/>
    <n v="2660"/>
    <s v="AMOMPY"/>
    <s v="Momentum Capital Investment S.A."/>
    <s v="24/08/2026"/>
    <s v="24/08/2026"/>
    <n v="37"/>
    <s v="No"/>
    <s v=""/>
    <m/>
    <m/>
    <s v="*MAV171101396"/>
    <s v="*MAV171101396"/>
    <n v="2.9958860464237506E-4"/>
  </r>
  <r>
    <x v="26"/>
    <s v="Pesos"/>
    <d v="2026-11-19T00:00:00"/>
    <s v="29/10/2026"/>
    <n v="0.98192192"/>
    <m/>
    <n v="3000000"/>
    <n v="2945765.75"/>
    <n v="3000000"/>
    <n v="2945765.75"/>
    <n v="1059"/>
    <s v="AMOMPY"/>
    <s v="Momentum Capital Investment S.A."/>
    <s v="25/08/2026"/>
    <s v="25/08/2026"/>
    <n v="32"/>
    <s v="No"/>
    <s v=""/>
    <m/>
    <m/>
    <s v="*MAV171101402"/>
    <s v="*MAV171101402"/>
    <n v="3.6052183503544479E-5"/>
  </r>
  <r>
    <x v="26"/>
    <s v="Pesos"/>
    <d v="2026-11-19T00:00:00"/>
    <s v="29/10/2026"/>
    <n v="0.98136752000000005"/>
    <m/>
    <n v="2500000"/>
    <n v="2453418.79"/>
    <n v="2500000"/>
    <n v="2453418.79"/>
    <n v="1022"/>
    <s v="AMOMPY"/>
    <s v="Momentum Capital Investment S.A."/>
    <s v="19/08/2026"/>
    <s v="19/08/2026"/>
    <n v="33"/>
    <s v="No"/>
    <s v=""/>
    <m/>
    <m/>
    <s v="*MAV171101373"/>
    <s v="*MAV171101373"/>
    <n v="3.0026523469533874E-5"/>
  </r>
  <r>
    <x v="26"/>
    <s v="Pesos"/>
    <d v="2026-11-19T00:00:00"/>
    <s v="29/10/2026"/>
    <n v="0.98303260000000003"/>
    <m/>
    <n v="2500000"/>
    <n v="2457581.5099999998"/>
    <n v="2500000"/>
    <n v="2457581.5099999998"/>
    <n v="890"/>
    <s v="AMOMPY"/>
    <s v="Momentum Capital Investment S.A."/>
    <s v="06/08/2026"/>
    <s v="06/08/2026"/>
    <n v="30"/>
    <s v="No"/>
    <s v=""/>
    <m/>
    <m/>
    <s v="*MAV171101324"/>
    <s v="*MAV171101324"/>
    <n v="3.0077469525008198E-5"/>
  </r>
  <r>
    <x v="257"/>
    <s v="Pesos"/>
    <d v="2026-11-19T00:00:00"/>
    <s v="29/10/2026"/>
    <n v="0.98192199000000002"/>
    <m/>
    <n v="50000000"/>
    <n v="49096099.579999998"/>
    <n v="50000000"/>
    <n v="49096099.579999998"/>
    <n v="5466"/>
    <s v="AMOMPY"/>
    <s v="Momentum Capital Investment S.A."/>
    <s v="02/10/2026"/>
    <s v="02/10/2026"/>
    <n v="32"/>
    <s v="No"/>
    <s v=""/>
    <m/>
    <m/>
    <s v="*MAV171101626"/>
    <s v="*MAV171101626"/>
    <n v="6.0086977091320076E-4"/>
  </r>
  <r>
    <x v="162"/>
    <s v="Pesos"/>
    <d v="2026-11-20T00:00:00"/>
    <s v="29/10/2026"/>
    <n v="0.98398669999999999"/>
    <m/>
    <n v="8000000"/>
    <n v="7871893.5899999999"/>
    <n v="8000000"/>
    <n v="7871893.5899999999"/>
    <n v="761094"/>
    <s v="AMOMPY"/>
    <s v="Momentum Capital Investment S.A."/>
    <s v="25/09/2026"/>
    <s v="25/09/2026"/>
    <n v="27"/>
    <s v="No"/>
    <s v=""/>
    <m/>
    <m/>
    <s v="*AAR181100041"/>
    <s v="*AAR181100041"/>
    <n v="9.6341317101353196E-5"/>
  </r>
  <r>
    <x v="1"/>
    <s v="Pesos"/>
    <d v="2026-11-20T00:00:00"/>
    <s v="29/10/2026"/>
    <n v="0.98223899000000003"/>
    <m/>
    <n v="10000000"/>
    <n v="9822389.8499999996"/>
    <n v="10000000"/>
    <n v="9822389.8499999996"/>
    <n v="8230"/>
    <s v="AMOMPY"/>
    <s v="Momentum Capital Investment S.A."/>
    <s v="16/09/2026"/>
    <s v="16/09/2026"/>
    <n v="30"/>
    <s v="No"/>
    <s v=""/>
    <m/>
    <m/>
    <s v="*AFB181100011"/>
    <s v="*AFB181100011"/>
    <n v="1.2021274988194588E-4"/>
  </r>
  <r>
    <x v="2"/>
    <s v="Pesos"/>
    <d v="2026-11-20T00:00:00"/>
    <s v="29/10/2026"/>
    <n v="0.97933994999999996"/>
    <m/>
    <n v="3625698.78"/>
    <n v="3550791.67"/>
    <n v="3625698.78"/>
    <n v="3550791.67"/>
    <n v="3359"/>
    <s v="AMOMPY"/>
    <s v="Momentum Capital Investment S.A."/>
    <s v="01/09/2026"/>
    <s v="01/09/2026"/>
    <n v="35"/>
    <s v="No"/>
    <s v=""/>
    <m/>
    <m/>
    <s v="*MAV181101316"/>
    <s v="*MAV181101316"/>
    <n v="4.3456881413499071E-5"/>
  </r>
  <r>
    <x v="2"/>
    <s v="Pesos"/>
    <d v="2026-11-20T00:00:00"/>
    <s v="29/10/2026"/>
    <n v="0.97876220000000003"/>
    <m/>
    <n v="2874176.47"/>
    <n v="2813135.28"/>
    <n v="2874176.47"/>
    <n v="2813135.28"/>
    <n v="3429"/>
    <s v="AMOMPY"/>
    <s v="Momentum Capital Investment S.A."/>
    <s v="08/09/2026"/>
    <s v="08/09/2026"/>
    <n v="36"/>
    <s v="No"/>
    <s v=""/>
    <m/>
    <m/>
    <s v="*MAV181101352"/>
    <s v="*MAV181101352"/>
    <n v="3.4428966164351313E-5"/>
  </r>
  <r>
    <x v="2"/>
    <s v="Pesos"/>
    <d v="2026-11-20T00:00:00"/>
    <s v="29/10/2026"/>
    <n v="0.97934001000000004"/>
    <m/>
    <n v="1555000.5"/>
    <n v="1522874.2"/>
    <n v="1555000.5"/>
    <n v="1522874.2"/>
    <n v="3588"/>
    <s v="AMOMPY"/>
    <s v="Momentum Capital Investment S.A."/>
    <s v="17/09/2026"/>
    <s v="17/09/2026"/>
    <n v="35"/>
    <s v="No"/>
    <s v=""/>
    <m/>
    <m/>
    <s v="*MAV181101410"/>
    <s v="*MAV181101410"/>
    <n v="1.8637917869475363E-5"/>
  </r>
  <r>
    <x v="2"/>
    <s v="Pesos"/>
    <d v="2026-11-20T00:00:00"/>
    <s v="29/10/2026"/>
    <n v="0.97933999999999999"/>
    <m/>
    <n v="1250300.6499999999"/>
    <n v="1224469.44"/>
    <n v="1250300.6499999999"/>
    <n v="1224469.44"/>
    <n v="3589"/>
    <s v="AMOMPY"/>
    <s v="Momentum Capital Investment S.A."/>
    <s v="17/09/2026"/>
    <s v="17/09/2026"/>
    <n v="35"/>
    <s v="No"/>
    <s v=""/>
    <m/>
    <m/>
    <s v="*MAV181101409"/>
    <s v="*MAV181101409"/>
    <n v="1.4985847719005608E-5"/>
  </r>
  <r>
    <x v="54"/>
    <s v="Pesos"/>
    <d v="2026-11-20T00:00:00"/>
    <s v="29/10/2026"/>
    <n v="0.98340342999999997"/>
    <m/>
    <n v="8000000"/>
    <n v="7867227.4199999999"/>
    <n v="8000000"/>
    <n v="7867227.4199999999"/>
    <n v="6492"/>
    <s v="AMOMPY"/>
    <s v="Momentum Capital Investment S.A."/>
    <s v="17/09/2026"/>
    <s v="17/09/2026"/>
    <n v="28"/>
    <s v="No"/>
    <s v=""/>
    <m/>
    <m/>
    <s v="*INP181100091"/>
    <s v="*INP181100091"/>
    <n v="9.6284209499671451E-5"/>
  </r>
  <r>
    <x v="266"/>
    <s v="Pesos"/>
    <d v="2026-11-20T00:00:00"/>
    <s v="29/10/2026"/>
    <n v="0.98049759999999997"/>
    <m/>
    <n v="3581660.97"/>
    <n v="3511809.97"/>
    <n v="3581660.97"/>
    <n v="3511809.97"/>
    <n v="14100643"/>
    <s v="AMOMPY"/>
    <s v="Momentum Capital Investment S.A."/>
    <s v="15/09/2026"/>
    <s v="15/09/2026"/>
    <n v="33"/>
    <s v="No"/>
    <s v=""/>
    <m/>
    <m/>
    <s v="*MAV181101391"/>
    <s v="*MAV181101391"/>
    <n v="4.2979798196111498E-5"/>
  </r>
  <r>
    <x v="6"/>
    <s v="Pesos"/>
    <d v="2026-11-20T00:00:00"/>
    <s v="29/10/2026"/>
    <n v="0.98340925999999995"/>
    <m/>
    <n v="265110"/>
    <n v="260711.63"/>
    <n v="265110"/>
    <n v="260711.63"/>
    <n v="11019636"/>
    <s v="AMOMPY"/>
    <s v="Momentum Capital Investment S.A."/>
    <s v="16/10/2026"/>
    <s v="16/10/2026"/>
    <n v="27.99"/>
    <s v="No"/>
    <s v=""/>
    <m/>
    <m/>
    <s v="*CRE181100202"/>
    <s v="*CRE181100202"/>
    <n v="3.1907572848479863E-6"/>
  </r>
  <r>
    <x v="171"/>
    <s v="Pesos"/>
    <d v="2026-11-20T00:00:00"/>
    <s v="29/10/2026"/>
    <n v="0.98049755999999999"/>
    <m/>
    <n v="2170000"/>
    <n v="2127679.7000000002"/>
    <n v="2170000"/>
    <n v="2127679.7000000002"/>
    <n v="260735"/>
    <s v="AMOMPY"/>
    <s v="Momentum Capital Investment S.A."/>
    <s v="27/08/2026"/>
    <s v="27/08/2026"/>
    <n v="33"/>
    <s v="No"/>
    <s v=""/>
    <m/>
    <m/>
    <s v="*MAV181101298"/>
    <s v="*MAV181101298"/>
    <n v="2.6039918137131738E-5"/>
  </r>
  <r>
    <x v="105"/>
    <s v="Pesos"/>
    <d v="2026-11-20T00:00:00"/>
    <s v="29/10/2026"/>
    <n v="0.98107732000000003"/>
    <m/>
    <n v="10000000"/>
    <n v="9810773.2400000002"/>
    <n v="10000000"/>
    <n v="9810773.2400000002"/>
    <n v="13953470"/>
    <s v="AMOMPY"/>
    <s v="Momentum Capital Investment S.A."/>
    <s v="31/07/2026"/>
    <s v="31/07/2026"/>
    <n v="32"/>
    <s v="No"/>
    <s v=""/>
    <m/>
    <m/>
    <s v="*MAV181101195"/>
    <s v="*MAV181101195"/>
    <n v="1.2007057830723425E-4"/>
  </r>
  <r>
    <x v="267"/>
    <s v="Pesos"/>
    <d v="2026-11-20T00:00:00"/>
    <s v="29/10/2026"/>
    <n v="0.98049759999999997"/>
    <m/>
    <n v="14295769.460000001"/>
    <n v="14016967.619999999"/>
    <n v="14295769.460000001"/>
    <n v="14016967.619999999"/>
    <n v="46404"/>
    <s v="AMOMPY"/>
    <s v="Momentum Capital Investment S.A."/>
    <s v="15/09/2026"/>
    <s v="15/09/2026"/>
    <n v="33"/>
    <s v="No"/>
    <s v=""/>
    <m/>
    <m/>
    <s v="*MAV181101390"/>
    <s v="*MAV181101390"/>
    <n v="1.7154870131797856E-4"/>
  </r>
  <r>
    <x v="245"/>
    <s v="Pesos"/>
    <d v="2026-11-20T00:00:00"/>
    <s v="29/10/2026"/>
    <n v="0.97876220999999997"/>
    <m/>
    <n v="30000000"/>
    <n v="29362866.260000002"/>
    <n v="30000000"/>
    <n v="29362866.260000002"/>
    <n v="10978199"/>
    <s v="AMOMPY"/>
    <s v="Momentum Capital Investment S.A."/>
    <s v="01/09/2026"/>
    <s v="01/09/2026"/>
    <n v="36"/>
    <s v="No"/>
    <s v=""/>
    <m/>
    <m/>
    <s v="*MAV181101317"/>
    <s v="*MAV181101317"/>
    <n v="3.5936171862801884E-4"/>
  </r>
  <r>
    <x v="152"/>
    <s v="Pesos"/>
    <d v="2026-11-20T00:00:00"/>
    <s v="29/10/2026"/>
    <n v="0.97876224999999994"/>
    <m/>
    <n v="1555000.5"/>
    <n v="1521975.79"/>
    <n v="1555000.5"/>
    <n v="1521975.79"/>
    <n v="509"/>
    <s v="AMOMPY"/>
    <s v="Momentum Capital Investment S.A."/>
    <s v="19/08/2026"/>
    <s v="19/08/2026"/>
    <n v="36"/>
    <s v="No"/>
    <s v=""/>
    <m/>
    <m/>
    <s v="*MAV181101252"/>
    <s v="*MAV181101252"/>
    <n v="1.862692254773893E-5"/>
  </r>
  <r>
    <x v="152"/>
    <s v="Pesos"/>
    <d v="2026-11-20T00:00:00"/>
    <s v="29/10/2026"/>
    <n v="0.97991839000000003"/>
    <m/>
    <n v="5000300.25"/>
    <n v="4899886.18"/>
    <n v="5000300.25"/>
    <n v="4899886.18"/>
    <n v="359"/>
    <s v="AMOMPY"/>
    <s v="Momentum Capital Investment S.A."/>
    <s v="16/07/2026"/>
    <s v="16/07/2026"/>
    <n v="34"/>
    <s v="No"/>
    <s v=""/>
    <m/>
    <m/>
    <s v="*MAV181101169"/>
    <s v="*MAV181101169"/>
    <n v="5.9967971216937924E-5"/>
  </r>
  <r>
    <x v="263"/>
    <s v="Pesos"/>
    <d v="2026-11-20T00:00:00"/>
    <s v="29/10/2026"/>
    <n v="0.98164147000000002"/>
    <m/>
    <n v="18.52"/>
    <n v="18.18"/>
    <n v="18.52"/>
    <n v="18.18"/>
    <n v="80"/>
    <s v="AMOMPY"/>
    <s v="Momentum Capital Investment S.A."/>
    <s v="22/10/2026"/>
    <s v="22/10/2026"/>
    <n v="30"/>
    <s v="No"/>
    <s v=""/>
    <m/>
    <m/>
    <s v="%YAG191100001"/>
    <s v="%YAG191100001"/>
    <n v="2.2249857990046853E-10"/>
  </r>
  <r>
    <x v="263"/>
    <s v="Pesos"/>
    <d v="2026-11-20T00:00:00"/>
    <s v="29/10/2026"/>
    <n v="0.98223897999999998"/>
    <m/>
    <n v="9164094.7200000007"/>
    <n v="9001331.0399999991"/>
    <n v="9164094.7200000007"/>
    <n v="9001331.0399999991"/>
    <n v="81"/>
    <s v="AMOMPY"/>
    <s v="Momentum Capital Investment S.A."/>
    <s v="22/10/2026"/>
    <s v="22/10/2026"/>
    <n v="30"/>
    <s v="No"/>
    <s v=""/>
    <m/>
    <m/>
    <s v="%YAG191100002"/>
    <s v="%YAG191100002"/>
    <n v="1.1016410195896631E-4"/>
  </r>
  <r>
    <x v="268"/>
    <s v="Pesos"/>
    <d v="2026-11-20T00:00:00"/>
    <s v="29/10/2026"/>
    <n v="0.98049757000000004"/>
    <m/>
    <n v="20000000"/>
    <n v="19609951.379999999"/>
    <n v="20000000"/>
    <n v="19609951.379999999"/>
    <n v="395"/>
    <s v="AMOMPY"/>
    <s v="Momentum Capital Investment S.A."/>
    <s v="14/09/2026"/>
    <s v="14/09/2026"/>
    <n v="33"/>
    <s v="No"/>
    <s v=""/>
    <m/>
    <m/>
    <s v="*MAV181101381"/>
    <s v="*MAV181101381"/>
    <n v="2.3999924829302711E-4"/>
  </r>
  <r>
    <x v="268"/>
    <s v="Pesos"/>
    <d v="2026-11-20T00:00:00"/>
    <s v="29/10/2026"/>
    <n v="0.98049757000000004"/>
    <m/>
    <n v="40000000"/>
    <n v="39219902.759999998"/>
    <n v="40000000"/>
    <n v="39219902.759999998"/>
    <n v="396"/>
    <s v="AMOMPY"/>
    <s v="Momentum Capital Investment S.A."/>
    <s v="14/09/2026"/>
    <s v="14/09/2026"/>
    <n v="33"/>
    <s v="No"/>
    <s v=""/>
    <m/>
    <m/>
    <s v="*MAV181101382"/>
    <s v="*MAV181101382"/>
    <n v="4.7999849658605421E-4"/>
  </r>
  <r>
    <x v="85"/>
    <s v="Pesos"/>
    <d v="2026-11-20T00:00:00"/>
    <s v="29/10/2026"/>
    <n v="0.98515520999999995"/>
    <m/>
    <n v="12000000"/>
    <n v="11821862.529999999"/>
    <n v="12000000"/>
    <n v="11821862.529999999"/>
    <n v="34563"/>
    <s v="AMOMPY"/>
    <s v="Momentum Capital Investment S.A."/>
    <s v="31/07/2026"/>
    <s v="31/07/2026"/>
    <n v="25"/>
    <s v="No"/>
    <s v=""/>
    <m/>
    <m/>
    <s v="*MAV181101193"/>
    <s v="*MAV181101193"/>
    <n v="1.4468358771746754E-4"/>
  </r>
  <r>
    <x v="232"/>
    <s v="Pesos"/>
    <d v="2026-11-20T00:00:00"/>
    <s v="29/10/2026"/>
    <n v="0.98223901000000002"/>
    <m/>
    <n v="50000000"/>
    <n v="49111950.659999996"/>
    <n v="50000000"/>
    <n v="49111950.659999996"/>
    <n v="16836874"/>
    <s v="AMOMPY"/>
    <s v="Momentum Capital Investment S.A."/>
    <s v="19/10/2026"/>
    <s v="19/10/2026"/>
    <n v="30"/>
    <s v="No"/>
    <s v=""/>
    <m/>
    <m/>
    <s v="*MAV181101693"/>
    <s v="*MAV181101693"/>
    <n v="6.0106376666621986E-4"/>
  </r>
  <r>
    <x v="87"/>
    <s v="Pesos"/>
    <d v="2026-11-20T00:00:00"/>
    <s v="29/10/2026"/>
    <n v="0.98107732999999997"/>
    <m/>
    <n v="10000000"/>
    <n v="9810773.2599999998"/>
    <n v="10000000"/>
    <n v="9810773.2599999998"/>
    <n v="698"/>
    <s v="AMOMPY"/>
    <s v="Momentum Capital Investment S.A."/>
    <s v="16/09/2026"/>
    <s v="16/09/2026"/>
    <n v="32"/>
    <s v="No"/>
    <s v=""/>
    <m/>
    <m/>
    <s v="*MAV181101398"/>
    <s v="*MAV181101398"/>
    <n v="1.2007057855200716E-4"/>
  </r>
  <r>
    <x v="87"/>
    <s v="Pesos"/>
    <d v="2026-11-20T00:00:00"/>
    <s v="29/10/2026"/>
    <n v="0.98049759999999997"/>
    <m/>
    <n v="20000000"/>
    <n v="19609951.969999999"/>
    <n v="20000000"/>
    <n v="19609951.969999999"/>
    <n v="694"/>
    <s v="AMOMPY"/>
    <s v="Momentum Capital Investment S.A."/>
    <s v="15/09/2026"/>
    <s v="15/09/2026"/>
    <n v="33"/>
    <s v="No"/>
    <s v=""/>
    <m/>
    <m/>
    <s v="*MAV181101395"/>
    <s v="*MAV181101395"/>
    <n v="2.399992555138281E-4"/>
  </r>
  <r>
    <x v="44"/>
    <s v="Pesos"/>
    <d v="2026-11-20T00:00:00"/>
    <s v="29/10/2026"/>
    <n v="0.98049755999999999"/>
    <m/>
    <n v="25000000"/>
    <n v="24512438.949999999"/>
    <n v="25000000"/>
    <n v="24512438.949999999"/>
    <n v="14422656"/>
    <s v="AMOMPY"/>
    <s v="Momentum Capital Investment S.A."/>
    <s v="03/09/2026"/>
    <s v="03/09/2026"/>
    <n v="33"/>
    <s v="No"/>
    <s v=""/>
    <m/>
    <m/>
    <s v="*MAV181101328"/>
    <s v="*MAV181101328"/>
    <n v="2.9999905700065632E-4"/>
  </r>
  <r>
    <x v="44"/>
    <s v="Pesos"/>
    <d v="2026-11-20T00:00:00"/>
    <s v="29/10/2026"/>
    <n v="0.98107730999999998"/>
    <m/>
    <n v="10000000"/>
    <n v="9810773.1099999994"/>
    <n v="10000000"/>
    <n v="9810773.1099999994"/>
    <n v="14422577"/>
    <s v="AMOMPY"/>
    <s v="Momentum Capital Investment S.A."/>
    <s v="01/09/2026"/>
    <s v="01/09/2026"/>
    <n v="32"/>
    <s v="No"/>
    <s v=""/>
    <m/>
    <m/>
    <s v="*MAV181101315"/>
    <s v="*MAV181101315"/>
    <n v="1.2007057671621029E-4"/>
  </r>
  <r>
    <x v="44"/>
    <s v="Pesos"/>
    <d v="2026-11-20T00:00:00"/>
    <s v="29/10/2026"/>
    <n v="0.98107734000000002"/>
    <m/>
    <n v="11000000"/>
    <n v="10791850.789999999"/>
    <n v="11000000"/>
    <n v="10791850.789999999"/>
    <n v="14651798"/>
    <s v="AMOMPY"/>
    <s v="Momentum Capital Investment S.A."/>
    <s v="01/10/2026"/>
    <s v="01/10/2026"/>
    <n v="32"/>
    <s v="No"/>
    <s v=""/>
    <m/>
    <m/>
    <s v="*MAV181101512"/>
    <s v="*MAV181101512"/>
    <n v="1.320776389038916E-4"/>
  </r>
  <r>
    <x v="269"/>
    <s v="Pesos"/>
    <d v="2026-11-20T00:00:00"/>
    <s v="29/10/2026"/>
    <n v="0.97991839999999997"/>
    <m/>
    <n v="100000000"/>
    <n v="97991839.590000004"/>
    <n v="100000000"/>
    <n v="97991839.590000004"/>
    <n v="2210"/>
    <s v="AMOMPY"/>
    <s v="Momentum Capital Investment S.A."/>
    <s v="14/08/2026"/>
    <s v="14/08/2026"/>
    <n v="34"/>
    <s v="No"/>
    <s v=""/>
    <m/>
    <m/>
    <s v="*MAV181101244"/>
    <s v="*MAV181101244"/>
    <n v="1.1992874120247256E-3"/>
  </r>
  <r>
    <x v="206"/>
    <s v="Pesos"/>
    <d v="2026-11-20T00:00:00"/>
    <s v="29/10/2026"/>
    <n v="0.98223899999999997"/>
    <m/>
    <n v="5907273"/>
    <n v="5802353.9199999999"/>
    <n v="5907273"/>
    <n v="5802353.9199999999"/>
    <n v="90045256"/>
    <s v="AMOMPY"/>
    <s v="Momentum Capital Investment S.A."/>
    <s v="08/10/2026"/>
    <s v="08/10/2026"/>
    <n v="30"/>
    <s v="No"/>
    <s v=""/>
    <m/>
    <m/>
    <s v="*MAV181101587"/>
    <s v="*MAV181101587"/>
    <n v="7.1012954195815003E-5"/>
  </r>
  <r>
    <x v="26"/>
    <s v="Pesos"/>
    <d v="2026-11-20T00:00:00"/>
    <s v="29/10/2026"/>
    <n v="0.98223912999999996"/>
    <m/>
    <n v="8000000"/>
    <n v="7857913.0499999998"/>
    <n v="8000000"/>
    <n v="7857913.0499999998"/>
    <n v="1406"/>
    <s v="AMOMPY"/>
    <s v="Momentum Capital Investment S.A."/>
    <s v="21/10/2026"/>
    <s v="21/10/2026"/>
    <n v="30"/>
    <s v="No"/>
    <s v=""/>
    <m/>
    <m/>
    <s v="*MAV181101717"/>
    <s v="*MAV181101717"/>
    <n v="9.6170214224772249E-5"/>
  </r>
  <r>
    <x v="26"/>
    <s v="Pesos"/>
    <d v="2026-11-20T00:00:00"/>
    <s v="29/10/2026"/>
    <n v="0.98223906999999999"/>
    <m/>
    <n v="9000000"/>
    <n v="8840151.6400000006"/>
    <n v="9000000"/>
    <n v="8840151.6400000006"/>
    <n v="1403"/>
    <s v="AMOMPY"/>
    <s v="Momentum Capital Investment S.A."/>
    <s v="20/10/2026"/>
    <s v="20/10/2026"/>
    <n v="30"/>
    <s v="No"/>
    <s v=""/>
    <m/>
    <m/>
    <s v="*MAV181101700"/>
    <s v="*MAV181101700"/>
    <n v="1.0819148437870176E-4"/>
  </r>
  <r>
    <x v="26"/>
    <s v="Pesos"/>
    <d v="2026-11-20T00:00:00"/>
    <s v="29/10/2026"/>
    <n v="0.98223901000000002"/>
    <m/>
    <n v="10000000"/>
    <n v="9822390.1400000006"/>
    <n v="10000000"/>
    <n v="9822390.1400000006"/>
    <n v="1400"/>
    <s v="AMOMPY"/>
    <s v="Momentum Capital Investment S.A."/>
    <s v="19/10/2026"/>
    <s v="19/10/2026"/>
    <n v="30"/>
    <s v="No"/>
    <s v=""/>
    <m/>
    <m/>
    <s v="*MAV181101676"/>
    <s v="*MAV181101676"/>
    <n v="1.2021275343115317E-4"/>
  </r>
  <r>
    <x v="26"/>
    <s v="Pesos"/>
    <d v="2026-11-20T00:00:00"/>
    <s v="29/10/2026"/>
    <n v="0.98223903999999995"/>
    <m/>
    <n v="10000000"/>
    <n v="9822390.4199999999"/>
    <n v="10000000"/>
    <n v="9822390.4199999999"/>
    <n v="1392"/>
    <s v="AMOMPY"/>
    <s v="Momentum Capital Investment S.A."/>
    <s v="16/10/2026"/>
    <s v="16/10/2026"/>
    <n v="30"/>
    <s v="No"/>
    <s v=""/>
    <m/>
    <m/>
    <s v="*MAV181101660"/>
    <s v="*MAV181101660"/>
    <n v="1.2021275685797397E-4"/>
  </r>
  <r>
    <x v="29"/>
    <s v="Pesos"/>
    <d v="2026-11-20T00:00:00"/>
    <s v="29/10/2026"/>
    <n v="0.98223897999999998"/>
    <m/>
    <n v="10000000"/>
    <n v="9822389.7599999998"/>
    <n v="10000000"/>
    <n v="9822389.7599999998"/>
    <n v="109"/>
    <s v="AMOMPY"/>
    <s v="Momentum Capital Investment S.A."/>
    <s v="14/08/2026"/>
    <s v="14/08/2026"/>
    <n v="30"/>
    <s v="No"/>
    <s v=""/>
    <m/>
    <m/>
    <s v="*MIL181100032"/>
    <s v="*MIL181100032"/>
    <n v="1.2021274878046776E-4"/>
  </r>
  <r>
    <x v="29"/>
    <s v="Pesos"/>
    <d v="2026-11-20T00:00:00"/>
    <s v="29/10/2026"/>
    <n v="0.98165780000000002"/>
    <m/>
    <n v="15000000"/>
    <n v="14724867.02"/>
    <n v="15000000"/>
    <n v="14724867.02"/>
    <n v="2439"/>
    <s v="AMOMPY"/>
    <s v="Momentum Capital Investment S.A."/>
    <s v="14/08/2026"/>
    <s v="14/08/2026"/>
    <n v="31"/>
    <s v="No"/>
    <s v=""/>
    <m/>
    <m/>
    <s v="*MIL181100031"/>
    <s v="*MIL181100031"/>
    <n v="1.8021243130765917E-4"/>
  </r>
  <r>
    <x v="29"/>
    <s v="Pesos"/>
    <d v="2026-11-20T00:00:00"/>
    <s v="29/10/2026"/>
    <n v="0.98457059000000002"/>
    <m/>
    <n v="15000000"/>
    <n v="14768558.800000001"/>
    <n v="15000000"/>
    <n v="14768558.800000001"/>
    <n v="9621096"/>
    <s v="AMOMPY"/>
    <s v="Momentum Capital Investment S.A."/>
    <s v="17/07/2026"/>
    <s v="17/07/2026"/>
    <n v="26"/>
    <s v="No"/>
    <s v=""/>
    <m/>
    <m/>
    <s v="*MIL181100030"/>
    <s v="*MIL181100030"/>
    <n v="1.8074715952566379E-4"/>
  </r>
  <r>
    <x v="135"/>
    <s v="Pesos"/>
    <d v="2026-11-20T00:00:00"/>
    <s v="29/10/2026"/>
    <n v="0.98340344999999996"/>
    <m/>
    <n v="70000000"/>
    <n v="68838241.769999996"/>
    <n v="70000000"/>
    <n v="68838241.769999996"/>
    <n v="83299236"/>
    <s v="AMOMPY"/>
    <s v="Momentum Capital Investment S.A."/>
    <s v="25/09/2026"/>
    <s v="25/09/2026"/>
    <n v="28"/>
    <s v="No"/>
    <s v=""/>
    <m/>
    <m/>
    <s v="*FTR181100022"/>
    <s v="*FTR181100022"/>
    <n v="8.424868557024266E-4"/>
  </r>
  <r>
    <x v="49"/>
    <s v="Pesos"/>
    <d v="2026-11-20T00:00:00"/>
    <s v="29/10/2026"/>
    <n v="0.97818521000000003"/>
    <m/>
    <n v="25000000"/>
    <n v="24454630.27"/>
    <n v="25000000"/>
    <n v="24454630.27"/>
    <n v="2661"/>
    <s v="AMOMPY"/>
    <s v="Momentum Capital Investment S.A."/>
    <s v="24/08/2026"/>
    <s v="24/08/2026"/>
    <n v="37"/>
    <s v="No"/>
    <s v=""/>
    <m/>
    <m/>
    <s v="*MAV181101278"/>
    <s v="*MAV181101278"/>
    <n v="2.9929155704433506E-4"/>
  </r>
  <r>
    <x v="26"/>
    <s v="Pesos"/>
    <d v="2026-11-20T00:00:00"/>
    <s v="29/10/2026"/>
    <n v="0.98107732000000003"/>
    <m/>
    <n v="3000000"/>
    <n v="2943231.97"/>
    <n v="3000000"/>
    <n v="2943231.97"/>
    <n v="1060"/>
    <s v="AMOMPY"/>
    <s v="Momentum Capital Investment S.A."/>
    <s v="25/08/2026"/>
    <s v="25/08/2026"/>
    <n v="32"/>
    <s v="No"/>
    <s v=""/>
    <m/>
    <m/>
    <s v="*MAV181101284"/>
    <s v="*MAV181101284"/>
    <n v="3.6021173467692982E-5"/>
  </r>
  <r>
    <x v="26"/>
    <s v="Pesos"/>
    <d v="2026-11-20T00:00:00"/>
    <s v="29/10/2026"/>
    <n v="0.98049754"/>
    <m/>
    <n v="2500000"/>
    <n v="2451243.86"/>
    <n v="2500000"/>
    <n v="2451243.86"/>
    <n v="1023"/>
    <s v="AMOMPY"/>
    <s v="Momentum Capital Investment S.A."/>
    <s v="19/08/2026"/>
    <s v="19/08/2026"/>
    <n v="33"/>
    <s v="No"/>
    <s v=""/>
    <m/>
    <m/>
    <s v="*MAV181101254"/>
    <s v="*MAV181101254"/>
    <n v="2.9999905271713029E-5"/>
  </r>
  <r>
    <x v="26"/>
    <s v="Pesos"/>
    <d v="2026-11-20T00:00:00"/>
    <s v="29/10/2026"/>
    <n v="0.98223903000000001"/>
    <m/>
    <n v="2500000"/>
    <n v="2455597.5699999998"/>
    <n v="2500000"/>
    <n v="2455597.5699999998"/>
    <n v="899"/>
    <s v="AMOMPY"/>
    <s v="Momentum Capital Investment S.A."/>
    <s v="06/08/2026"/>
    <s v="06/08/2026"/>
    <n v="30"/>
    <s v="No"/>
    <s v=""/>
    <m/>
    <m/>
    <s v="*MAV181101210"/>
    <s v="*MAV181101210"/>
    <n v="3.005318878614089E-5"/>
  </r>
  <r>
    <x v="182"/>
    <s v="Pesos"/>
    <d v="2026-11-20T00:00:00"/>
    <s v="29/10/2026"/>
    <n v="0.98223903999999995"/>
    <m/>
    <n v="1059989.51"/>
    <n v="1041163.08"/>
    <n v="1059989.51"/>
    <n v="1041163.08"/>
    <n v="11204209"/>
    <s v="AMOMPY"/>
    <s v="Momentum Capital Investment S.A."/>
    <s v="25/09/2026"/>
    <s v="25/09/2026"/>
    <n v="30"/>
    <s v="No"/>
    <s v=""/>
    <m/>
    <m/>
    <s v="*MAV181101487"/>
    <s v="*MAV181101487"/>
    <n v="1.2742426113575242E-5"/>
  </r>
  <r>
    <x v="50"/>
    <s v="Pesos"/>
    <d v="2026-11-20T00:00:00"/>
    <s v="29/10/2026"/>
    <n v="0.98223903999999995"/>
    <m/>
    <n v="2269565.34"/>
    <n v="2229255.6800000002"/>
    <n v="2269565.34"/>
    <n v="2229255.6800000002"/>
    <n v="10287266"/>
    <s v="AMOMPY"/>
    <s v="Momentum Capital Investment S.A."/>
    <s v="25/09/2026"/>
    <s v="25/09/2026"/>
    <n v="30"/>
    <s v="No"/>
    <s v=""/>
    <m/>
    <m/>
    <s v="*MAV181101488"/>
    <s v="*MAV181101488"/>
    <n v="2.7283070573985332E-5"/>
  </r>
  <r>
    <x v="270"/>
    <s v="Pesos"/>
    <d v="2026-11-20T00:00:00"/>
    <s v="29/10/2026"/>
    <n v="0.98049757000000004"/>
    <m/>
    <n v="6355928.2400000002"/>
    <n v="6231972.1699999999"/>
    <n v="6355928.2400000002"/>
    <n v="6231972.1699999999"/>
    <n v="11543"/>
    <s v="AMOMPY"/>
    <s v="Momentum Capital Investment S.A."/>
    <s v="28/09/2026"/>
    <s v="28/09/2026"/>
    <n v="33"/>
    <s v="No"/>
    <s v=""/>
    <m/>
    <m/>
    <s v="*MAV181101496"/>
    <s v="*MAV181101496"/>
    <n v="7.6270899769210188E-5"/>
  </r>
  <r>
    <x v="270"/>
    <s v="Pesos"/>
    <d v="2026-11-20T00:00:00"/>
    <s v="29/10/2026"/>
    <n v="0.98049757000000004"/>
    <m/>
    <n v="6355928.2400000002"/>
    <n v="6231972.1699999999"/>
    <n v="6355928.2400000002"/>
    <n v="6231972.1699999999"/>
    <n v="11542"/>
    <s v="AMOMPY"/>
    <s v="Momentum Capital Investment S.A."/>
    <s v="28/09/2026"/>
    <s v="28/09/2026"/>
    <n v="33"/>
    <s v="No"/>
    <s v=""/>
    <m/>
    <m/>
    <s v="*MAV181101497"/>
    <s v="*MAV181101497"/>
    <n v="7.6270899769210188E-5"/>
  </r>
  <r>
    <x v="51"/>
    <s v="Pesos"/>
    <d v="2026-11-20T00:00:00"/>
    <s v="29/10/2026"/>
    <n v="0.98107734999999996"/>
    <m/>
    <n v="50000000"/>
    <n v="49053867.640000001"/>
    <n v="50000000"/>
    <n v="49053867.640000001"/>
    <n v="21551"/>
    <s v="AMOMPY"/>
    <s v="Momentum Capital Investment S.A."/>
    <s v="19/10/2026"/>
    <s v="19/10/2026"/>
    <n v="32"/>
    <s v="No"/>
    <s v=""/>
    <m/>
    <m/>
    <s v="*MAV181101694"/>
    <s v="*MAV181101694"/>
    <n v="6.0035290915982117E-4"/>
  </r>
  <r>
    <x v="53"/>
    <s v="Pesos"/>
    <d v="2026-11-20T00:00:00"/>
    <s v="29/10/2026"/>
    <n v="0.98107732000000003"/>
    <m/>
    <n v="75000000"/>
    <n v="73580798.719999999"/>
    <n v="75000000"/>
    <n v="73580798.719999999"/>
    <n v="584"/>
    <s v="AMOMPY"/>
    <s v="Momentum Capital Investment S.A."/>
    <s v="22/10/2026"/>
    <s v="22/10/2026"/>
    <n v="32"/>
    <s v="No"/>
    <s v=""/>
    <m/>
    <m/>
    <s v="*MAV181101735"/>
    <s v="*MAV181101735"/>
    <n v="9.0052933020584233E-4"/>
  </r>
  <r>
    <x v="2"/>
    <s v="Pesos"/>
    <d v="2026-11-24T00:00:00"/>
    <s v="29/10/2026"/>
    <n v="0.97567506000000004"/>
    <m/>
    <n v="3625698.78"/>
    <n v="3537503.86"/>
    <n v="3625698.78"/>
    <n v="3537503.86"/>
    <n v="3360"/>
    <s v="AMOMPY"/>
    <s v="Momentum Capital Investment S.A."/>
    <s v="01/09/2026"/>
    <s v="01/09/2026"/>
    <n v="35"/>
    <s v="No"/>
    <s v=""/>
    <m/>
    <m/>
    <s v="*MAV191101198"/>
    <s v="*MAV191101198"/>
    <n v="4.329425661399482E-5"/>
  </r>
  <r>
    <x v="2"/>
    <s v="Pesos"/>
    <d v="2026-11-24T00:00:00"/>
    <s v="29/10/2026"/>
    <n v="0.97499736999999997"/>
    <m/>
    <n v="3789564.21"/>
    <n v="3694815.14"/>
    <n v="3789564.21"/>
    <n v="3694815.14"/>
    <n v="3278"/>
    <s v="AMOMPY"/>
    <s v="Momentum Capital Investment S.A."/>
    <s v="19/08/2026"/>
    <s v="19/08/2026"/>
    <n v="36"/>
    <s v="No"/>
    <s v=""/>
    <m/>
    <m/>
    <s v="*MAV191101138"/>
    <s v="*MAV191101138"/>
    <n v="4.5219533643825684E-5"/>
  </r>
  <r>
    <x v="2"/>
    <s v="Pesos"/>
    <d v="2026-11-24T00:00:00"/>
    <s v="29/10/2026"/>
    <n v="0.97567499999999996"/>
    <m/>
    <n v="1555000.5"/>
    <n v="1517175.12"/>
    <n v="1555000.5"/>
    <n v="1517175.12"/>
    <n v="3590"/>
    <s v="AMOMPY"/>
    <s v="Momentum Capital Investment S.A."/>
    <s v="17/09/2026"/>
    <s v="17/09/2026"/>
    <n v="35"/>
    <s v="No"/>
    <s v=""/>
    <m/>
    <m/>
    <s v="*MAV191101285"/>
    <s v="*MAV191101285"/>
    <n v="1.8568168848202583E-5"/>
  </r>
  <r>
    <x v="2"/>
    <s v="Pesos"/>
    <d v="2026-11-24T00:00:00"/>
    <s v="29/10/2026"/>
    <n v="0.97567499000000002"/>
    <m/>
    <n v="1250300.6499999999"/>
    <n v="1219887.08"/>
    <n v="1250300.6499999999"/>
    <n v="1219887.08"/>
    <n v="3591"/>
    <s v="AMOMPY"/>
    <s v="Momentum Capital Investment S.A."/>
    <s v="17/09/2026"/>
    <s v="17/09/2026"/>
    <n v="35"/>
    <s v="No"/>
    <s v=""/>
    <m/>
    <m/>
    <s v="*MAV191101286"/>
    <s v="*MAV191101286"/>
    <n v="1.4929765838224933E-5"/>
  </r>
  <r>
    <x v="3"/>
    <s v="Pesos"/>
    <d v="2026-11-24T00:00:00"/>
    <s v="29/10/2026"/>
    <n v="0.98044489000000001"/>
    <m/>
    <n v="3000000"/>
    <n v="2941334.68"/>
    <n v="3000000"/>
    <n v="2941334.68"/>
    <n v="14315894"/>
    <s v="AMOMPY"/>
    <s v="Momentum Capital Investment S.A."/>
    <s v="18/09/2026"/>
    <s v="18/09/2026"/>
    <n v="28"/>
    <s v="No"/>
    <s v=""/>
    <m/>
    <m/>
    <s v="*MOV191100046"/>
    <s v="*MOV191100046"/>
    <n v="3.5997953207480701E-5"/>
  </r>
  <r>
    <x v="55"/>
    <s v="Pesos"/>
    <d v="2026-11-24T00:00:00"/>
    <s v="29/10/2026"/>
    <n v="0.98113011000000006"/>
    <m/>
    <n v="8000000"/>
    <n v="7849040.9000000004"/>
    <n v="8000000"/>
    <n v="7849040.9000000004"/>
    <n v="69815983"/>
    <s v="AMOMPY"/>
    <s v="Momentum Capital Investment S.A."/>
    <s v="18/09/2026"/>
    <s v="18/09/2026"/>
    <n v="27"/>
    <s v="No"/>
    <s v=""/>
    <m/>
    <m/>
    <s v="*PRO191100019"/>
    <s v="*PRO191100019"/>
    <n v="9.6061631123800642E-5"/>
  </r>
  <r>
    <x v="171"/>
    <s v="Pesos"/>
    <d v="2026-11-24T00:00:00"/>
    <s v="29/10/2026"/>
    <n v="0.97703309999999999"/>
    <m/>
    <n v="2170000"/>
    <n v="2120161.8199999998"/>
    <n v="2170000"/>
    <n v="2120161.8199999998"/>
    <n v="260736"/>
    <s v="AMOMPY"/>
    <s v="Momentum Capital Investment S.A."/>
    <s v="27/08/2026"/>
    <s v="27/08/2026"/>
    <n v="33"/>
    <s v="No"/>
    <s v=""/>
    <m/>
    <m/>
    <s v="*MAV191101182"/>
    <s v="*MAV191101182"/>
    <n v="2.5947909466952297E-5"/>
  </r>
  <r>
    <x v="271"/>
    <s v="Pesos"/>
    <d v="2026-11-24T00:00:00"/>
    <s v="29/10/2026"/>
    <n v="0.97907727"/>
    <m/>
    <n v="1404156.6"/>
    <n v="1374777.81"/>
    <n v="1404156.6"/>
    <n v="1374777.81"/>
    <n v="90007543"/>
    <s v="AMOMPY"/>
    <s v="Momentum Capital Investment S.A."/>
    <s v="08/10/2026"/>
    <s v="08/10/2026"/>
    <n v="30"/>
    <s v="No"/>
    <s v=""/>
    <m/>
    <m/>
    <s v="*MAV191101453"/>
    <s v="*MAV191101453"/>
    <n v="1.6825418614063595E-5"/>
  </r>
  <r>
    <x v="68"/>
    <s v="Pesos"/>
    <d v="2026-11-24T00:00:00"/>
    <s v="29/10/2026"/>
    <n v="0.97567499000000002"/>
    <m/>
    <n v="20000000"/>
    <n v="19513499.82"/>
    <n v="20000000"/>
    <n v="19513499.82"/>
    <n v="147"/>
    <s v="AMOMPY"/>
    <s v="Momentum Capital Investment S.A."/>
    <s v="19/08/2026"/>
    <s v="19/08/2026"/>
    <n v="35"/>
    <s v="No"/>
    <s v=""/>
    <m/>
    <m/>
    <s v="*MAV191101140"/>
    <s v="*MAV191101140"/>
    <n v="2.3881881181727439E-4"/>
  </r>
  <r>
    <x v="272"/>
    <s v="Pesos"/>
    <d v="2026-11-24T00:00:00"/>
    <s v="29/10/2026"/>
    <n v="0.97703311999999998"/>
    <m/>
    <n v="5800000"/>
    <n v="5666792.0800000001"/>
    <n v="5800000"/>
    <n v="5666792.0800000001"/>
    <n v="6581"/>
    <s v="AMOMPY"/>
    <s v="Momentum Capital Investment S.A."/>
    <s v="21/08/2026"/>
    <s v="21/08/2026"/>
    <n v="33"/>
    <s v="No"/>
    <s v=""/>
    <m/>
    <m/>
    <s v="*MAV191101153"/>
    <s v="*MAV191101153"/>
    <n v="6.9353860857602987E-5"/>
  </r>
  <r>
    <x v="245"/>
    <s v="Pesos"/>
    <d v="2026-11-24T00:00:00"/>
    <s v="29/10/2026"/>
    <n v="0.97499743000000005"/>
    <m/>
    <n v="30000000"/>
    <n v="29249922.989999998"/>
    <n v="30000000"/>
    <n v="29249922.989999998"/>
    <n v="10978200"/>
    <s v="AMOMPY"/>
    <s v="Momentum Capital Investment S.A."/>
    <s v="01/09/2026"/>
    <s v="01/09/2026"/>
    <n v="36"/>
    <s v="No"/>
    <s v=""/>
    <m/>
    <m/>
    <s v="*MAV191101200"/>
    <s v="*MAV191101200"/>
    <n v="3.579794459556142E-4"/>
  </r>
  <r>
    <x v="273"/>
    <s v="Pesos"/>
    <d v="2026-11-24T00:00:00"/>
    <s v="29/10/2026"/>
    <n v="0.97703309999999999"/>
    <m/>
    <n v="2437871.4500000002"/>
    <n v="2381881.09"/>
    <n v="2437871.4500000002"/>
    <n v="2381881.09"/>
    <n v="70235090"/>
    <s v="AMOMPY"/>
    <s v="Momentum Capital Investment S.A."/>
    <s v="16/10/2026"/>
    <s v="16/10/2026"/>
    <n v="33"/>
    <s v="No"/>
    <s v=""/>
    <m/>
    <m/>
    <s v="*MAV191101523"/>
    <s v="*MAV191101523"/>
    <n v="2.9150998900812984E-5"/>
  </r>
  <r>
    <x v="152"/>
    <s v="Pesos"/>
    <d v="2026-11-24T00:00:00"/>
    <s v="29/10/2026"/>
    <n v="0.97499738000000002"/>
    <m/>
    <n v="1555000.5"/>
    <n v="1516121.41"/>
    <n v="1555000.5"/>
    <n v="1516121.41"/>
    <n v="510"/>
    <s v="AMOMPY"/>
    <s v="Momentum Capital Investment S.A."/>
    <s v="19/08/2026"/>
    <s v="19/08/2026"/>
    <n v="36"/>
    <s v="No"/>
    <s v=""/>
    <m/>
    <m/>
    <s v="*MAV191101137"/>
    <s v="*MAV191101137"/>
    <n v="1.8555272864779756E-5"/>
  </r>
  <r>
    <x v="152"/>
    <s v="Pesos"/>
    <d v="2026-11-24T00:00:00"/>
    <s v="29/10/2026"/>
    <n v="0.97635351999999997"/>
    <m/>
    <n v="5000300.25"/>
    <n v="4882060.7699999996"/>
    <n v="5000300.25"/>
    <n v="4882060.7699999996"/>
    <n v="360"/>
    <s v="AMOMPY"/>
    <s v="Momentum Capital Investment S.A."/>
    <s v="16/07/2026"/>
    <s v="16/07/2026"/>
    <n v="34"/>
    <s v="No"/>
    <s v=""/>
    <m/>
    <m/>
    <s v="*MAV191101074"/>
    <s v="*MAV191101074"/>
    <n v="5.9749812338437179E-5"/>
  </r>
  <r>
    <x v="274"/>
    <s v="Pesos"/>
    <d v="2026-11-24T00:00:00"/>
    <s v="29/10/2026"/>
    <n v="0.97703304999999996"/>
    <m/>
    <n v="185000000"/>
    <n v="180751113.77000001"/>
    <n v="185000000"/>
    <n v="180751113.77000001"/>
    <n v="170734"/>
    <s v="AMOMPY"/>
    <s v="Momentum Capital Investment S.A."/>
    <s v="26/10/2026"/>
    <s v="26/10/2026"/>
    <n v="33"/>
    <s v="No"/>
    <s v=""/>
    <m/>
    <m/>
    <s v="#MAV201160058"/>
    <s v="#MAV201160058"/>
    <n v="2.212148851994116E-3"/>
  </r>
  <r>
    <x v="44"/>
    <s v="Pesos"/>
    <d v="2026-11-24T00:00:00"/>
    <s v="29/10/2026"/>
    <n v="0.97703306000000001"/>
    <m/>
    <n v="12500000"/>
    <n v="12212913.289999999"/>
    <n v="12500000"/>
    <n v="12212913.289999999"/>
    <n v="14651811"/>
    <s v="AMOMPY"/>
    <s v="Momentum Capital Investment S.A."/>
    <s v="01/10/2026"/>
    <s v="01/10/2026"/>
    <n v="33"/>
    <s v="No"/>
    <s v=""/>
    <m/>
    <m/>
    <s v="*MAV191101406"/>
    <s v="*MAV191101406"/>
    <n v="1.4946951944293504E-4"/>
  </r>
  <r>
    <x v="275"/>
    <s v="Pesos"/>
    <d v="2026-11-24T00:00:00"/>
    <s v="29/10/2026"/>
    <n v="0.97907741000000004"/>
    <m/>
    <n v="135000"/>
    <n v="132175.45000000001"/>
    <n v="135000"/>
    <n v="132175.45000000001"/>
    <n v="90000069"/>
    <s v="AMOMPY"/>
    <s v="Momentum Capital Investment S.A."/>
    <s v="21/10/2026"/>
    <s v="21/10/2026"/>
    <n v="30"/>
    <s v="No"/>
    <s v=""/>
    <m/>
    <m/>
    <s v="*MAV191101603"/>
    <s v="*MAV191101603"/>
    <n v="1.6176485105998562E-6"/>
  </r>
  <r>
    <x v="204"/>
    <s v="Pesos"/>
    <d v="2026-11-24T00:00:00"/>
    <s v="29/10/2026"/>
    <n v="0.97703313999999997"/>
    <m/>
    <n v="2500000"/>
    <n v="2442582.84"/>
    <n v="2500000"/>
    <n v="2442582.84"/>
    <n v="101"/>
    <s v="AMOMPY"/>
    <s v="Momentum Capital Investment S.A."/>
    <s v="22/09/2026"/>
    <s v="22/09/2026"/>
    <n v="33"/>
    <s v="No"/>
    <s v=""/>
    <m/>
    <m/>
    <s v="*MAV191101311"/>
    <s v="*MAV191101311"/>
    <n v="2.9893906116020534E-5"/>
  </r>
  <r>
    <x v="276"/>
    <s v="Pesos"/>
    <d v="2026-11-24T00:00:00"/>
    <s v="29/10/2026"/>
    <n v="0.97567499000000002"/>
    <m/>
    <n v="9500000"/>
    <n v="9268912.3699999992"/>
    <n v="9500000"/>
    <n v="9268912.3699999992"/>
    <n v="895"/>
    <s v="AMOMPY"/>
    <s v="Momentum Capital Investment S.A."/>
    <s v="19/10/2026"/>
    <s v="19/10/2026"/>
    <n v="35"/>
    <s v="No"/>
    <s v=""/>
    <m/>
    <m/>
    <s v="*MAV191101546"/>
    <s v="*MAV191101546"/>
    <n v="1.1343893506858558E-4"/>
  </r>
  <r>
    <x v="277"/>
    <s v="Pesos"/>
    <d v="2026-11-24T00:00:00"/>
    <s v="29/10/2026"/>
    <n v="0.97567503"/>
    <m/>
    <n v="100000000"/>
    <n v="97567502.780000001"/>
    <n v="100000000"/>
    <n v="97567502.780000001"/>
    <n v="98"/>
    <s v="AMOMPY"/>
    <s v="Momentum Capital Investment S.A."/>
    <s v="24/08/2026"/>
    <s v="24/08/2026"/>
    <n v="35"/>
    <s v="No"/>
    <s v=""/>
    <m/>
    <m/>
    <s v="*MAV191101151"/>
    <s v="*MAV191101151"/>
    <n v="1.1940941041245884E-3"/>
  </r>
  <r>
    <x v="206"/>
    <s v="Pesos"/>
    <d v="2026-11-24T00:00:00"/>
    <s v="29/10/2026"/>
    <n v="0.97907725999999995"/>
    <m/>
    <n v="8005239"/>
    <n v="7837747.4699999997"/>
    <n v="8005239"/>
    <n v="7837747.4699999997"/>
    <n v="90045282"/>
    <s v="AMOMPY"/>
    <s v="Momentum Capital Investment S.A."/>
    <s v="15/10/2026"/>
    <s v="15/10/2026"/>
    <n v="30"/>
    <s v="No"/>
    <s v=""/>
    <m/>
    <m/>
    <s v="*MAV191101516"/>
    <s v="*MAV191101516"/>
    <n v="9.5923414834625414E-5"/>
  </r>
  <r>
    <x v="278"/>
    <s v="Pesos"/>
    <d v="2026-11-24T00:00:00"/>
    <s v="29/10/2026"/>
    <n v="0.97771357999999997"/>
    <m/>
    <n v="6691520"/>
    <n v="6542390"/>
    <n v="6691520"/>
    <n v="6542390"/>
    <n v="1337"/>
    <s v="AMOMPY"/>
    <s v="Momentum Capital Investment S.A."/>
    <s v="06/10/2026"/>
    <s v="06/10/2026"/>
    <n v="32"/>
    <s v="No"/>
    <s v=""/>
    <m/>
    <m/>
    <s v="*MAV191101442"/>
    <s v="*MAV191101442"/>
    <n v="8.0069993627889232E-5"/>
  </r>
  <r>
    <x v="25"/>
    <s v="Pesos"/>
    <d v="2026-11-24T00:00:00"/>
    <s v="29/10/2026"/>
    <n v="0.98113011000000006"/>
    <m/>
    <n v="2500000"/>
    <n v="2452825.27"/>
    <n v="2500000"/>
    <n v="2452825.27"/>
    <n v="53553935"/>
    <s v="AMOMPY"/>
    <s v="Momentum Capital Investment S.A."/>
    <s v="25/09/2026"/>
    <s v="25/09/2026"/>
    <n v="27"/>
    <s v="No"/>
    <s v=""/>
    <m/>
    <m/>
    <s v="*NEU191100020"/>
    <s v="*NEU191100020"/>
    <n v="3.0019259588502934E-5"/>
  </r>
  <r>
    <x v="26"/>
    <s v="Pesos"/>
    <d v="2026-11-24T00:00:00"/>
    <s v="29/10/2026"/>
    <n v="0.97907728000000005"/>
    <m/>
    <n v="10000000"/>
    <n v="9790772.8100000005"/>
    <n v="10000000"/>
    <n v="9790772.8100000005"/>
    <n v="1401"/>
    <s v="AMOMPY"/>
    <s v="Momentum Capital Investment S.A."/>
    <s v="19/10/2026"/>
    <s v="19/10/2026"/>
    <n v="30"/>
    <s v="No"/>
    <s v=""/>
    <m/>
    <m/>
    <s v="*MAV191101542"/>
    <s v="*MAV191101542"/>
    <n v="1.1982580012943454E-4"/>
  </r>
  <r>
    <x v="26"/>
    <s v="Pesos"/>
    <d v="2026-11-24T00:00:00"/>
    <s v="29/10/2026"/>
    <n v="0.97907730999999998"/>
    <m/>
    <n v="10000000"/>
    <n v="9790773.1300000008"/>
    <n v="10000000"/>
    <n v="9790773.1300000008"/>
    <n v="1393"/>
    <s v="AMOMPY"/>
    <s v="Momentum Capital Investment S.A."/>
    <s v="16/10/2026"/>
    <s v="16/10/2026"/>
    <n v="30"/>
    <s v="No"/>
    <s v=""/>
    <m/>
    <m/>
    <s v="*MAV191101522"/>
    <s v="*MAV191101522"/>
    <n v="1.1982580404580118E-4"/>
  </r>
  <r>
    <x v="26"/>
    <s v="Pesos"/>
    <d v="2026-11-24T00:00:00"/>
    <s v="29/10/2026"/>
    <n v="0.97907732000000003"/>
    <m/>
    <n v="4000000"/>
    <n v="3916309.28"/>
    <n v="4000000"/>
    <n v="3916309.28"/>
    <n v="1354"/>
    <s v="AMOMPY"/>
    <s v="Momentum Capital Investment S.A."/>
    <s v="02/10/2026"/>
    <s v="02/10/2026"/>
    <n v="30"/>
    <s v="No"/>
    <s v=""/>
    <m/>
    <m/>
    <s v="*MAV191101411"/>
    <s v="*MAV191101411"/>
    <n v="4.7930321961002553E-5"/>
  </r>
  <r>
    <x v="279"/>
    <s v="Pesos"/>
    <d v="2026-11-24T00:00:00"/>
    <s v="29/10/2026"/>
    <n v="0.98044489000000001"/>
    <m/>
    <n v="7098063.4299999997"/>
    <n v="6959260.0199999996"/>
    <n v="7098063.4299999997"/>
    <n v="6959260.0199999996"/>
    <n v="90027050"/>
    <s v="AMOMPY"/>
    <s v="Momentum Capital Investment S.A."/>
    <s v="10/08/2026"/>
    <s v="10/08/2026"/>
    <n v="28"/>
    <s v="No"/>
    <s v=""/>
    <m/>
    <m/>
    <s v="*MAV191101110"/>
    <s v="*MAV191101110"/>
    <n v="8.5171918130258861E-5"/>
  </r>
  <r>
    <x v="49"/>
    <s v="Pesos"/>
    <d v="2026-11-24T00:00:00"/>
    <s v="29/10/2026"/>
    <n v="0.97432072000000003"/>
    <m/>
    <n v="25000000"/>
    <n v="24358018.100000001"/>
    <n v="25000000"/>
    <n v="24358018.100000001"/>
    <n v="2662"/>
    <s v="AMOMPY"/>
    <s v="Momentum Capital Investment S.A."/>
    <s v="24/08/2026"/>
    <s v="24/08/2026"/>
    <n v="37"/>
    <s v="No"/>
    <s v=""/>
    <m/>
    <m/>
    <s v="*MAV191101164"/>
    <s v="*MAV191101164"/>
    <n v="2.9810915491968696E-4"/>
  </r>
  <r>
    <x v="26"/>
    <s v="Pesos"/>
    <d v="2026-11-24T00:00:00"/>
    <s v="29/10/2026"/>
    <n v="0.97771350000000001"/>
    <m/>
    <n v="3000000"/>
    <n v="2933140.51"/>
    <n v="3000000"/>
    <n v="2933140.51"/>
    <n v="1061"/>
    <s v="AMOMPY"/>
    <s v="Momentum Capital Investment S.A."/>
    <s v="25/08/2026"/>
    <s v="25/08/2026"/>
    <n v="32"/>
    <s v="No"/>
    <s v=""/>
    <m/>
    <m/>
    <s v="*MAV191101171"/>
    <s v="*MAV191101171"/>
    <n v="3.5897667663560837E-5"/>
  </r>
  <r>
    <x v="26"/>
    <s v="Pesos"/>
    <d v="2026-11-24T00:00:00"/>
    <s v="29/10/2026"/>
    <n v="0.97703306999999995"/>
    <m/>
    <n v="2500000"/>
    <n v="2442582.67"/>
    <n v="2500000"/>
    <n v="2442582.67"/>
    <n v="1024"/>
    <s v="AMOMPY"/>
    <s v="Momentum Capital Investment S.A."/>
    <s v="19/08/2026"/>
    <s v="19/08/2026"/>
    <n v="33"/>
    <s v="No"/>
    <s v=""/>
    <m/>
    <m/>
    <s v="*MAV191101141"/>
    <s v="*MAV191101141"/>
    <n v="2.9893904035450758E-5"/>
  </r>
  <r>
    <x v="26"/>
    <s v="Pesos"/>
    <d v="2026-11-24T00:00:00"/>
    <s v="29/10/2026"/>
    <n v="0.97907730999999998"/>
    <m/>
    <n v="2500000"/>
    <n v="2447693.27"/>
    <n v="2500000"/>
    <n v="2447693.27"/>
    <n v="891"/>
    <s v="AMOMPY"/>
    <s v="Momentum Capital Investment S.A."/>
    <s v="06/08/2026"/>
    <s v="06/08/2026"/>
    <n v="30"/>
    <s v="No"/>
    <s v=""/>
    <m/>
    <m/>
    <s v="*MAV191101104"/>
    <s v="*MAV191101104"/>
    <n v="2.9956450858467225E-5"/>
  </r>
  <r>
    <x v="182"/>
    <s v="Pesos"/>
    <d v="2026-11-24T00:00:00"/>
    <s v="29/10/2026"/>
    <n v="0.97976061000000003"/>
    <m/>
    <n v="476000"/>
    <n v="466366.05"/>
    <n v="476000"/>
    <n v="466366.05"/>
    <n v="11204217"/>
    <s v="AMOMPY"/>
    <s v="Momentum Capital Investment S.A."/>
    <s v="23/10/2026"/>
    <s v="23/10/2026"/>
    <n v="29"/>
    <s v="No"/>
    <s v=""/>
    <m/>
    <m/>
    <s v="*MAV191101647"/>
    <s v="*MAV191101647"/>
    <n v="5.7076888800215018E-6"/>
  </r>
  <r>
    <x v="50"/>
    <s v="Pesos"/>
    <d v="2026-11-24T00:00:00"/>
    <s v="29/10/2026"/>
    <n v="0.97976059999999998"/>
    <m/>
    <n v="209488.44"/>
    <n v="205248.52"/>
    <n v="209488.44"/>
    <n v="205248.52"/>
    <n v="10287280"/>
    <s v="AMOMPY"/>
    <s v="Momentum Capital Investment S.A."/>
    <s v="23/10/2026"/>
    <s v="23/10/2026"/>
    <n v="29"/>
    <s v="No"/>
    <s v=""/>
    <m/>
    <m/>
    <s v="*MAV191101646"/>
    <s v="*MAV191101646"/>
    <n v="2.5119639288598963E-6"/>
  </r>
  <r>
    <x v="280"/>
    <s v="Pesos"/>
    <d v="2026-11-24T00:00:00"/>
    <s v="29/10/2026"/>
    <n v="0.97907736999999995"/>
    <m/>
    <n v="285000"/>
    <n v="279037.05"/>
    <n v="285000"/>
    <n v="279037.05"/>
    <n v="10863715"/>
    <s v="AMOMPY"/>
    <s v="Momentum Capital Investment S.A."/>
    <s v="25/09/2026"/>
    <s v="25/09/2026"/>
    <n v="30"/>
    <s v="No"/>
    <s v=""/>
    <m/>
    <m/>
    <s v="*MAV191101355"/>
    <s v="*MAV191101355"/>
    <n v="3.4150356086147434E-6"/>
  </r>
  <r>
    <x v="0"/>
    <s v="Pesos"/>
    <d v="2026-11-25T00:00:00"/>
    <s v="29/10/2026"/>
    <n v="0.97899855999999996"/>
    <m/>
    <n v="1753089"/>
    <n v="1716271.6"/>
    <n v="1753089"/>
    <n v="1716271.6"/>
    <n v="9776782"/>
    <s v="AMOMPY"/>
    <s v="Momentum Capital Investment S.A."/>
    <s v="28/10/2026"/>
    <s v="28/10/2026"/>
    <n v="29"/>
    <s v="No"/>
    <s v=""/>
    <m/>
    <m/>
    <s v="*TRD201100040"/>
    <s v="*TRD201100040"/>
    <n v="2.1004840138806655E-5"/>
  </r>
  <r>
    <x v="162"/>
    <s v="Pesos"/>
    <d v="2026-11-25T00:00:00"/>
    <s v="29/10/2026"/>
    <n v="0.97406064999999997"/>
    <m/>
    <n v="9450000"/>
    <n v="9204873.1799999997"/>
    <n v="9450000"/>
    <n v="9204873.1799999997"/>
    <n v="66335232"/>
    <s v="AMOMPY"/>
    <s v="Momentum Capital Investment S.A."/>
    <s v="22/04/2026"/>
    <s v="22/04/2026"/>
    <n v="36"/>
    <s v="No"/>
    <s v=""/>
    <m/>
    <m/>
    <s v="*AAR201100017"/>
    <s v="*AAR201100017"/>
    <n v="1.1265518210747578E-4"/>
  </r>
  <r>
    <x v="1"/>
    <s v="Pesos"/>
    <d v="2026-11-25T00:00:00"/>
    <s v="29/10/2026"/>
    <n v="0.97829009"/>
    <m/>
    <n v="10000000"/>
    <n v="9782900.9399999995"/>
    <n v="10000000"/>
    <n v="9782900.9399999995"/>
    <n v="8231"/>
    <s v="AMOMPY"/>
    <s v="Momentum Capital Investment S.A."/>
    <s v="16/09/2026"/>
    <s v="16/09/2026"/>
    <n v="30"/>
    <s v="No"/>
    <s v=""/>
    <m/>
    <m/>
    <s v="*AFB201100021"/>
    <s v="*AFB201100021"/>
    <n v="1.1972945910104283E-4"/>
  </r>
  <r>
    <x v="2"/>
    <s v="Pesos"/>
    <d v="2026-11-25T00:00:00"/>
    <s v="29/10/2026"/>
    <n v="0.97476306000000001"/>
    <m/>
    <n v="3841101.28"/>
    <n v="3744163.64"/>
    <n v="3841101.28"/>
    <n v="3744163.64"/>
    <n v="3361"/>
    <s v="AMOMPY"/>
    <s v="Momentum Capital Investment S.A."/>
    <s v="01/09/2026"/>
    <s v="01/09/2026"/>
    <n v="35"/>
    <s v="No"/>
    <s v=""/>
    <m/>
    <m/>
    <s v="*MAV201101521"/>
    <s v="*MAV201101521"/>
    <n v="4.5823492454068712E-5"/>
  </r>
  <r>
    <x v="2"/>
    <s v="Pesos"/>
    <d v="2026-11-25T00:00:00"/>
    <s v="29/10/2026"/>
    <n v="0.97476300000000005"/>
    <m/>
    <n v="3256800.5"/>
    <n v="3174608.63"/>
    <n v="3256800.5"/>
    <n v="3174608.63"/>
    <n v="3592"/>
    <s v="AMOMPY"/>
    <s v="Momentum Capital Investment S.A."/>
    <s v="17/09/2026"/>
    <s v="17/09/2026"/>
    <n v="35"/>
    <s v="No"/>
    <s v=""/>
    <m/>
    <m/>
    <s v="*MAV201101641"/>
    <s v="*MAV201101641"/>
    <n v="3.8852910446357092E-5"/>
  </r>
  <r>
    <x v="281"/>
    <s v="Pesos"/>
    <d v="2026-11-25T00:00:00"/>
    <s v="29/10/2026"/>
    <n v="0.97617074999999998"/>
    <m/>
    <n v="121402.9"/>
    <n v="118509.96"/>
    <n v="121402.9"/>
    <n v="118509.96"/>
    <n v="90000511"/>
    <s v="AMOMPY"/>
    <s v="Momentum Capital Investment S.A."/>
    <s v="16/09/2026"/>
    <s v="16/09/2026"/>
    <n v="33"/>
    <s v="No"/>
    <s v=""/>
    <m/>
    <m/>
    <s v="*MAV201101621"/>
    <s v="*MAV201101621"/>
    <n v="1.4504014193653097E-6"/>
  </r>
  <r>
    <x v="282"/>
    <s v="Pesos"/>
    <d v="2026-11-25T00:00:00"/>
    <s v="29/10/2026"/>
    <n v="0.97617087999999996"/>
    <m/>
    <n v="281718.78999999998"/>
    <n v="275005.68"/>
    <n v="281718.78999999998"/>
    <n v="275005.68"/>
    <n v="315867"/>
    <s v="AMOMPY"/>
    <s v="Momentum Capital Investment S.A."/>
    <s v="16/09/2026"/>
    <s v="16/09/2026"/>
    <n v="33"/>
    <s v="No"/>
    <s v=""/>
    <m/>
    <m/>
    <s v="*MAV201101619"/>
    <s v="*MAV201101619"/>
    <n v="3.3656970992608734E-6"/>
  </r>
  <r>
    <x v="283"/>
    <s v="Pesos"/>
    <d v="2026-11-25T00:00:00"/>
    <s v="29/10/2026"/>
    <n v="0.98084530999999997"/>
    <m/>
    <n v="140000000"/>
    <n v="137318343.37"/>
    <n v="140000000"/>
    <n v="137318343.37"/>
    <n v="4480"/>
    <s v="AMOMPY"/>
    <s v="Momentum Capital Investment S.A."/>
    <s v="17/09/2026"/>
    <s v="17/09/2026"/>
    <n v="26.4"/>
    <s v="No"/>
    <s v=""/>
    <m/>
    <m/>
    <s v="*SOL201100012"/>
    <s v="*SOL201100012"/>
    <n v="1.6805905607321188E-3"/>
  </r>
  <r>
    <x v="284"/>
    <s v="Pesos"/>
    <d v="2026-11-25T00:00:00"/>
    <s v="29/10/2026"/>
    <n v="0.97617080000000001"/>
    <m/>
    <n v="827834.5"/>
    <n v="808107.87"/>
    <n v="827834.5"/>
    <n v="808107.87"/>
    <n v="17414"/>
    <s v="AMOMPY"/>
    <s v="Momentum Capital Investment S.A."/>
    <s v="22/09/2026"/>
    <s v="22/09/2026"/>
    <n v="33"/>
    <s v="No"/>
    <s v=""/>
    <m/>
    <m/>
    <s v="*MAV201101691"/>
    <s v="*MAV201101691"/>
    <n v="9.8901459560721916E-6"/>
  </r>
  <r>
    <x v="285"/>
    <s v="Pesos"/>
    <d v="2026-11-25T00:00:00"/>
    <s v="29/10/2026"/>
    <n v="0.97758263999999995"/>
    <m/>
    <n v="619400"/>
    <n v="605514.68999999994"/>
    <n v="619400"/>
    <n v="605514.68999999994"/>
    <n v="604"/>
    <s v="AMOMPY"/>
    <s v="Momentum Capital Investment S.A."/>
    <s v="23/09/2026"/>
    <s v="23/09/2026"/>
    <n v="31"/>
    <s v="No"/>
    <s v=""/>
    <m/>
    <m/>
    <s v="*MAV201101693"/>
    <s v="*MAV201101693"/>
    <n v="7.410679792842268E-6"/>
  </r>
  <r>
    <x v="266"/>
    <s v="Pesos"/>
    <d v="2026-11-25T00:00:00"/>
    <s v="29/10/2026"/>
    <n v="0.97617080000000001"/>
    <m/>
    <n v="6590432.0999999996"/>
    <n v="6433387.3700000001"/>
    <n v="6590432.0999999996"/>
    <n v="6433387.3700000001"/>
    <n v="14100644"/>
    <s v="AMOMPY"/>
    <s v="Momentum Capital Investment S.A."/>
    <s v="15/09/2026"/>
    <s v="15/09/2026"/>
    <n v="33"/>
    <s v="No"/>
    <s v=""/>
    <m/>
    <m/>
    <s v="*MAV201101615"/>
    <s v="*MAV201101615"/>
    <n v="7.8735949052508806E-5"/>
  </r>
  <r>
    <x v="55"/>
    <s v="Pesos"/>
    <d v="2026-11-25T00:00:00"/>
    <s v="29/10/2026"/>
    <n v="0.97970802000000001"/>
    <m/>
    <n v="25000000"/>
    <n v="24492700.48"/>
    <n v="25000000"/>
    <n v="24492700.48"/>
    <n v="69915720"/>
    <s v="AMOMPY"/>
    <s v="Momentum Capital Investment S.A."/>
    <s v="22/09/2026"/>
    <s v="22/09/2026"/>
    <n v="28"/>
    <s v="No"/>
    <s v=""/>
    <m/>
    <m/>
    <s v="*PRO201100035"/>
    <s v="*PRO201100035"/>
    <n v="2.997574848584997E-4"/>
  </r>
  <r>
    <x v="286"/>
    <s v="Pesos"/>
    <d v="2026-11-25T00:00:00"/>
    <s v="29/10/2026"/>
    <n v="0.97617074000000004"/>
    <m/>
    <n v="5898583.8099999996"/>
    <n v="5758024.9000000004"/>
    <n v="5898583.8099999996"/>
    <n v="5758024.9000000004"/>
    <n v="10180817"/>
    <s v="AMOMPY"/>
    <s v="Momentum Capital Investment S.A."/>
    <s v="24/07/2026"/>
    <s v="24/07/2026"/>
    <n v="33"/>
    <s v="No"/>
    <s v=""/>
    <m/>
    <m/>
    <s v="*MAV201101382"/>
    <s v="*MAV201101382"/>
    <n v="7.0470427023186879E-5"/>
  </r>
  <r>
    <x v="286"/>
    <s v="Pesos"/>
    <d v="2026-11-25T00:00:00"/>
    <s v="29/10/2026"/>
    <n v="0.97617074000000004"/>
    <m/>
    <n v="2900162.75"/>
    <n v="2831054.03"/>
    <n v="2900162.75"/>
    <n v="2831054.03"/>
    <n v="10180818"/>
    <s v="AMOMPY"/>
    <s v="Momentum Capital Investment S.A."/>
    <s v="28/07/2026"/>
    <s v="28/07/2026"/>
    <n v="33"/>
    <s v="No"/>
    <s v=""/>
    <m/>
    <m/>
    <s v="*MAV201101388"/>
    <s v="*MAV201101388"/>
    <n v="3.4648267398047217E-5"/>
  </r>
  <r>
    <x v="55"/>
    <s v="Pesos"/>
    <d v="2026-11-25T00:00:00"/>
    <s v="29/10/2026"/>
    <n v="0.97899849999999999"/>
    <m/>
    <n v="30000000"/>
    <n v="29369954.989999998"/>
    <n v="30000000"/>
    <n v="29369954.989999998"/>
    <n v="67"/>
    <s v="AMOMPY"/>
    <s v="Momentum Capital Investment S.A."/>
    <s v="29/05/2026"/>
    <s v="29/05/2026"/>
    <n v="29"/>
    <s v="No"/>
    <s v=""/>
    <m/>
    <m/>
    <s v="*PRO201100027"/>
    <s v="*PRO201100027"/>
    <n v="3.5944847508337071E-4"/>
  </r>
  <r>
    <x v="171"/>
    <s v="Pesos"/>
    <d v="2026-11-25T00:00:00"/>
    <s v="29/10/2026"/>
    <n v="0.97617076999999997"/>
    <m/>
    <n v="2170000"/>
    <n v="2118290.56"/>
    <n v="2170000"/>
    <n v="2118290.56"/>
    <n v="260737"/>
    <s v="AMOMPY"/>
    <s v="Momentum Capital Investment S.A."/>
    <s v="27/08/2026"/>
    <s v="27/08/2026"/>
    <n v="33"/>
    <s v="No"/>
    <s v=""/>
    <m/>
    <m/>
    <s v="*MAV201101507"/>
    <s v="*MAV201101507"/>
    <n v="2.5925007778689124E-5"/>
  </r>
  <r>
    <x v="172"/>
    <s v="Pesos"/>
    <d v="2026-11-25T00:00:00"/>
    <s v="29/10/2026"/>
    <n v="0.97970798000000003"/>
    <m/>
    <n v="150000000"/>
    <n v="146956197.41999999"/>
    <n v="150000000"/>
    <n v="146956197.41999999"/>
    <n v="78"/>
    <s v="AMOMPY"/>
    <s v="Momentum Capital Investment S.A."/>
    <s v="12/08/2026"/>
    <s v="12/08/2026"/>
    <n v="28"/>
    <s v="No"/>
    <s v=""/>
    <m/>
    <m/>
    <s v="*MAV201101432"/>
    <s v="*MAV201101432"/>
    <n v="1.7985448423279921E-3"/>
  </r>
  <r>
    <x v="34"/>
    <s v="Pesos"/>
    <d v="2026-11-25T00:00:00"/>
    <s v="29/10/2026"/>
    <n v="0.97687630000000003"/>
    <m/>
    <n v="75000000"/>
    <n v="73265722.75"/>
    <n v="75000000"/>
    <n v="73265722.75"/>
    <n v="3502"/>
    <s v="AMOMPY"/>
    <s v="Momentum Capital Investment S.A."/>
    <s v="22/10/2026"/>
    <s v="22/10/2026"/>
    <n v="32"/>
    <s v="No"/>
    <s v=""/>
    <m/>
    <m/>
    <s v="*MAV201102153"/>
    <s v="*MAV201102153"/>
    <n v="8.9667322702180691E-4"/>
  </r>
  <r>
    <x v="287"/>
    <s v="Pesos"/>
    <d v="2026-11-25T00:00:00"/>
    <s v="29/10/2026"/>
    <n v="0.97970796999999998"/>
    <m/>
    <n v="50000000"/>
    <n v="48985398.719999999"/>
    <n v="50000000"/>
    <n v="48985398.719999999"/>
    <n v="29757440"/>
    <s v="AMOMPY"/>
    <s v="Momentum Capital Investment S.A."/>
    <s v="28/07/2026"/>
    <s v="28/07/2026"/>
    <n v="28"/>
    <s v="No"/>
    <s v=""/>
    <m/>
    <m/>
    <s v="*MAV201101385"/>
    <s v="*MAV201101385"/>
    <n v="5.995149423024328E-4"/>
  </r>
  <r>
    <x v="288"/>
    <s v="Pesos"/>
    <d v="2026-11-25T00:00:00"/>
    <s v="29/10/2026"/>
    <n v="0.97970798000000003"/>
    <m/>
    <n v="150000000"/>
    <n v="146956197.41999999"/>
    <n v="150000000"/>
    <n v="146956197.41999999"/>
    <n v="90000173"/>
    <s v="AMOMPY"/>
    <s v="Momentum Capital Investment S.A."/>
    <s v="12/08/2026"/>
    <s v="12/08/2026"/>
    <n v="28"/>
    <s v="No"/>
    <s v=""/>
    <m/>
    <m/>
    <s v="*MAV201101429"/>
    <s v="*MAV201101429"/>
    <n v="1.7985448423279921E-3"/>
  </r>
  <r>
    <x v="230"/>
    <s v="Pesos"/>
    <d v="2026-11-25T00:00:00"/>
    <s v="29/10/2026"/>
    <n v="0.97476300999999999"/>
    <m/>
    <n v="35000000"/>
    <n v="34116705.479999997"/>
    <n v="35000000"/>
    <n v="34116705.479999997"/>
    <n v="325"/>
    <s v="AMOMPY"/>
    <s v="Momentum Capital Investment S.A."/>
    <s v="03/09/2026"/>
    <s v="03/09/2026"/>
    <n v="35"/>
    <s v="No"/>
    <s v=""/>
    <m/>
    <m/>
    <s v="*MAV201101538"/>
    <s v="*MAV201101538"/>
    <n v="4.1754227283732301E-4"/>
  </r>
  <r>
    <x v="231"/>
    <s v="Pesos"/>
    <d v="2026-11-25T00:00:00"/>
    <s v="29/10/2026"/>
    <n v="0.97829014999999997"/>
    <m/>
    <n v="4175312.5"/>
    <n v="4084667.09"/>
    <n v="4175312.5"/>
    <n v="4084667.09"/>
    <n v="40952725"/>
    <s v="AMOMPY"/>
    <s v="Momentum Capital Investment S.A."/>
    <s v="15/10/2026"/>
    <s v="15/10/2026"/>
    <n v="30"/>
    <s v="No"/>
    <s v=""/>
    <m/>
    <m/>
    <s v="*MAV201101961"/>
    <s v="*MAV201101961"/>
    <n v="4.9990793558370695E-5"/>
  </r>
  <r>
    <x v="56"/>
    <s v="Pesos"/>
    <d v="2026-11-25T00:00:00"/>
    <s v="29/10/2026"/>
    <n v="0.97899857999999995"/>
    <m/>
    <n v="450000"/>
    <n v="440549.36"/>
    <n v="450000"/>
    <n v="440549.36"/>
    <n v="11456505"/>
    <s v="AMOMPY"/>
    <s v="Momentum Capital Investment S.A."/>
    <s v="28/10/2026"/>
    <s v="28/10/2026"/>
    <n v="29"/>
    <s v="No"/>
    <s v=""/>
    <m/>
    <m/>
    <s v="*MAV201102226"/>
    <s v="*MAV201102226"/>
    <n v="5.3917275564389587E-6"/>
  </r>
  <r>
    <x v="289"/>
    <s v="Pesos"/>
    <d v="2026-11-25T00:00:00"/>
    <s v="29/10/2026"/>
    <n v="0.97687617000000004"/>
    <m/>
    <n v="5000000"/>
    <n v="4884380.83"/>
    <n v="5000000"/>
    <n v="4884380.83"/>
    <n v="60"/>
    <s v="AMOMPY"/>
    <s v="Momentum Capital Investment S.A."/>
    <s v="20/10/2026"/>
    <s v="20/10/2026"/>
    <n v="32"/>
    <s v="No"/>
    <s v=""/>
    <m/>
    <m/>
    <s v="*MAV201102075"/>
    <s v="*MAV201102075"/>
    <n v="5.9778206730917042E-5"/>
  </r>
  <r>
    <x v="261"/>
    <s v="Pesos"/>
    <d v="2026-11-25T00:00:00"/>
    <s v="29/10/2026"/>
    <n v="0.97617074999999998"/>
    <m/>
    <n v="15040535.109999999"/>
    <n v="14682130.43"/>
    <n v="15040535.109999999"/>
    <n v="14682130.43"/>
    <n v="29717250"/>
    <s v="AMOMPY"/>
    <s v="Momentum Capital Investment S.A."/>
    <s v="21/07/2026"/>
    <s v="21/07/2026"/>
    <n v="33"/>
    <s v="No"/>
    <s v=""/>
    <m/>
    <m/>
    <s v="*MAV201101365"/>
    <s v="*MAV201101365"/>
    <n v="1.7968939332169723E-4"/>
  </r>
  <r>
    <x v="189"/>
    <s v="Pesos"/>
    <d v="2026-11-25T00:00:00"/>
    <s v="29/10/2026"/>
    <n v="0.97617080000000001"/>
    <m/>
    <n v="25000000"/>
    <n v="24404270.059999999"/>
    <n v="25000000"/>
    <n v="24404270.059999999"/>
    <n v="475885"/>
    <s v="AMOMPY"/>
    <s v="Momentum Capital Investment S.A."/>
    <s v="07/08/2026"/>
    <s v="07/08/2026"/>
    <n v="33"/>
    <s v="No"/>
    <s v=""/>
    <m/>
    <m/>
    <s v="*MAV201101413"/>
    <s v="*MAV201101413"/>
    <n v="2.9867521627379107E-4"/>
  </r>
  <r>
    <x v="245"/>
    <s v="Pesos"/>
    <d v="2026-11-25T00:00:00"/>
    <s v="29/10/2026"/>
    <n v="0.97406071000000005"/>
    <m/>
    <n v="30000000"/>
    <n v="29221821.27"/>
    <n v="30000000"/>
    <n v="29221821.27"/>
    <n v="10978201"/>
    <s v="AMOMPY"/>
    <s v="Momentum Capital Investment S.A."/>
    <s v="01/09/2026"/>
    <s v="01/09/2026"/>
    <n v="36"/>
    <s v="No"/>
    <s v=""/>
    <m/>
    <m/>
    <s v="*MAV201101523"/>
    <s v="*MAV201101523"/>
    <n v="3.5763551895931278E-4"/>
  </r>
  <r>
    <x v="290"/>
    <s v="Pesos"/>
    <d v="2026-11-25T00:00:00"/>
    <s v="29/10/2026"/>
    <n v="0.97617074000000004"/>
    <m/>
    <n v="6744589.1799999997"/>
    <n v="6583870.5899999999"/>
    <n v="6744589.1799999997"/>
    <n v="6583870.5899999999"/>
    <n v="14564375"/>
    <s v="AMOMPY"/>
    <s v="Momentum Capital Investment S.A."/>
    <s v="24/09/2026"/>
    <s v="24/09/2026"/>
    <n v="33"/>
    <s v="No"/>
    <s v=""/>
    <m/>
    <m/>
    <s v="*MAV201101711"/>
    <s v="*MAV201101711"/>
    <n v="8.0577659874777769E-5"/>
  </r>
  <r>
    <x v="290"/>
    <s v="Pesos"/>
    <d v="2026-11-25T00:00:00"/>
    <s v="29/10/2026"/>
    <n v="0.97617083000000004"/>
    <m/>
    <n v="5158240.3899999997"/>
    <n v="5035323.8099999996"/>
    <n v="5158240.3899999997"/>
    <n v="5035323.8099999996"/>
    <n v="14564487"/>
    <s v="AMOMPY"/>
    <s v="Momentum Capital Investment S.A."/>
    <s v="07/10/2026"/>
    <s v="07/10/2026"/>
    <n v="33"/>
    <s v="No"/>
    <s v=""/>
    <m/>
    <m/>
    <s v="*MAV201101871"/>
    <s v="*MAV201101871"/>
    <n v="6.1625544392960202E-5"/>
  </r>
  <r>
    <x v="152"/>
    <s v="Pesos"/>
    <d v="2026-11-25T00:00:00"/>
    <s v="29/10/2026"/>
    <n v="0.97546641000000001"/>
    <m/>
    <n v="5000300.25"/>
    <n v="4877624.9400000004"/>
    <n v="5000300.25"/>
    <n v="4877624.9400000004"/>
    <n v="361"/>
    <s v="AMOMPY"/>
    <s v="Momentum Capital Investment S.A."/>
    <s v="16/07/2026"/>
    <s v="16/07/2026"/>
    <n v="34"/>
    <s v="No"/>
    <s v=""/>
    <m/>
    <m/>
    <s v="*MAV201101356"/>
    <s v="*MAV201101356"/>
    <n v="5.9695523786419589E-5"/>
  </r>
  <r>
    <x v="85"/>
    <s v="Pesos"/>
    <d v="2026-11-25T00:00:00"/>
    <s v="29/10/2026"/>
    <n v="0.98542121000000005"/>
    <m/>
    <n v="8500000"/>
    <n v="8376080.2599999998"/>
    <n v="8500000"/>
    <n v="8376080.2599999998"/>
    <n v="34602"/>
    <s v="AMOMPY"/>
    <s v="Momentum Capital Investment S.A."/>
    <s v="08/09/2026"/>
    <s v="08/09/2026"/>
    <n v="20"/>
    <s v="No"/>
    <s v=""/>
    <m/>
    <m/>
    <s v="*MAV201101542"/>
    <s v="*MAV201101542"/>
    <n v="1.0251187915194429E-4"/>
  </r>
  <r>
    <x v="44"/>
    <s v="Pesos"/>
    <d v="2026-11-25T00:00:00"/>
    <s v="29/10/2026"/>
    <n v="0.97687621000000002"/>
    <m/>
    <n v="10000000"/>
    <n v="9768762.0600000005"/>
    <n v="10000000"/>
    <n v="9768762.0600000005"/>
    <n v="14422578"/>
    <s v="AMOMPY"/>
    <s v="Momentum Capital Investment S.A."/>
    <s v="01/09/2026"/>
    <s v="01/09/2026"/>
    <n v="32"/>
    <s v="No"/>
    <s v=""/>
    <m/>
    <m/>
    <s v="*MAV201101520"/>
    <s v="*MAV201101520"/>
    <n v="1.1955641835729239E-4"/>
  </r>
  <r>
    <x v="264"/>
    <s v="Pesos"/>
    <d v="2026-11-25T00:00:00"/>
    <s v="29/10/2026"/>
    <n v="0.97829009"/>
    <m/>
    <n v="3392865"/>
    <n v="3319206.21"/>
    <n v="3392865"/>
    <n v="3319206.21"/>
    <n v="12700535"/>
    <s v="AMOMPY"/>
    <s v="Momentum Capital Investment S.A."/>
    <s v="21/10/2026"/>
    <s v="21/10/2026"/>
    <n v="30"/>
    <s v="No"/>
    <s v=""/>
    <m/>
    <m/>
    <s v="*MAV201102110"/>
    <s v="*MAV201102110"/>
    <n v="4.0622589005600456E-5"/>
  </r>
  <r>
    <x v="291"/>
    <s v="Pesos"/>
    <d v="2026-11-25T00:00:00"/>
    <s v="29/10/2026"/>
    <n v="0.97617076999999997"/>
    <m/>
    <n v="8000000"/>
    <n v="7809366.1600000001"/>
    <n v="8000000"/>
    <n v="7809366.1600000001"/>
    <n v="241"/>
    <s v="AMOMPY"/>
    <s v="Momentum Capital Investment S.A."/>
    <s v="20/10/2026"/>
    <s v="20/10/2026"/>
    <n v="33"/>
    <s v="No"/>
    <s v=""/>
    <m/>
    <m/>
    <s v="*MAV201102050"/>
    <s v="*MAV201102050"/>
    <n v="9.5576066035356173E-5"/>
  </r>
  <r>
    <x v="22"/>
    <s v="Pesos"/>
    <d v="2026-11-25T00:00:00"/>
    <s v="29/10/2026"/>
    <n v="0.97265917999999996"/>
    <m/>
    <n v="198000000"/>
    <n v="192586518.27000001"/>
    <n v="198000000"/>
    <n v="192586518.27000001"/>
    <n v="70425624"/>
    <s v="AMOMPY"/>
    <s v="Momentum Capital Investment S.A."/>
    <s v="19/10/2026"/>
    <s v="19/10/2026"/>
    <n v="38"/>
    <s v="No"/>
    <s v=""/>
    <m/>
    <m/>
    <s v="*MAV201102047"/>
    <s v="*MAV201102047"/>
    <n v="2.3569981750852938E-3"/>
  </r>
  <r>
    <x v="25"/>
    <s v="Pesos"/>
    <d v="2026-11-25T00:00:00"/>
    <s v="29/10/2026"/>
    <n v="0.97829003000000003"/>
    <m/>
    <n v="9478811.3499999996"/>
    <n v="9273026.6600000001"/>
    <n v="9478811.3499999996"/>
    <n v="9273026.6600000001"/>
    <n v="90020413"/>
    <s v="AMOMPY"/>
    <s v="Momentum Capital Investment S.A."/>
    <s v="29/05/2026"/>
    <s v="29/05/2026"/>
    <n v="30"/>
    <s v="No"/>
    <s v=""/>
    <m/>
    <m/>
    <s v="*NEU201100026"/>
    <s v="*NEU201100026"/>
    <n v="1.1348928840644582E-4"/>
  </r>
  <r>
    <x v="26"/>
    <s v="Pesos"/>
    <d v="2026-11-25T00:00:00"/>
    <s v="29/10/2026"/>
    <n v="0.97829003000000003"/>
    <m/>
    <n v="9000000"/>
    <n v="8804610.2899999991"/>
    <n v="9000000"/>
    <n v="8804610.2899999991"/>
    <n v="1404"/>
    <s v="AMOMPY"/>
    <s v="Momentum Capital Investment S.A."/>
    <s v="20/10/2026"/>
    <s v="20/10/2026"/>
    <n v="30"/>
    <s v="No"/>
    <s v=""/>
    <m/>
    <m/>
    <s v="*MAV201102053"/>
    <s v="*MAV201102053"/>
    <n v="1.077565063862515E-4"/>
  </r>
  <r>
    <x v="26"/>
    <s v="Pesos"/>
    <d v="2026-11-25T00:00:00"/>
    <s v="29/10/2026"/>
    <n v="0.97829018000000001"/>
    <m/>
    <n v="8000000"/>
    <n v="7826321.4699999997"/>
    <n v="8000000"/>
    <n v="7826321.4699999997"/>
    <n v="1402"/>
    <s v="AMOMPY"/>
    <s v="Momentum Capital Investment S.A."/>
    <s v="19/10/2026"/>
    <s v="19/10/2026"/>
    <n v="30"/>
    <s v="No"/>
    <s v=""/>
    <m/>
    <m/>
    <s v="*MAV201102016"/>
    <s v="*MAV201102016"/>
    <n v="9.5783576068181927E-5"/>
  </r>
  <r>
    <x v="292"/>
    <s v="Pesos"/>
    <d v="2026-11-25T00:00:00"/>
    <s v="29/10/2026"/>
    <n v="0.97829003999999997"/>
    <m/>
    <n v="27820501.5"/>
    <n v="27216519.59"/>
    <n v="27820501.5"/>
    <n v="27216519.59"/>
    <n v="90000380"/>
    <s v="AMOMPY"/>
    <s v="Momentum Capital Investment S.A."/>
    <s v="13/10/2026"/>
    <s v="13/10/2026"/>
    <n v="30"/>
    <s v="No"/>
    <s v=""/>
    <m/>
    <m/>
    <s v="*MAV201101912"/>
    <s v="*MAV201101912"/>
    <n v="3.3309334205766129E-4"/>
  </r>
  <r>
    <x v="254"/>
    <s v="Pesos"/>
    <d v="2026-11-25T00:00:00"/>
    <s v="29/10/2026"/>
    <n v="0.97829014999999997"/>
    <m/>
    <n v="3017000"/>
    <n v="2951501.38"/>
    <n v="3017000"/>
    <n v="2951501.38"/>
    <n v="70425737"/>
    <s v="AMOMPY"/>
    <s v="Momentum Capital Investment S.A."/>
    <s v="15/10/2026"/>
    <s v="15/10/2026"/>
    <n v="30"/>
    <s v="No"/>
    <s v=""/>
    <m/>
    <m/>
    <s v="*MAV201101965"/>
    <s v="*MAV201101965"/>
    <n v="3.6122379847319753E-5"/>
  </r>
  <r>
    <x v="293"/>
    <s v="Pesos"/>
    <d v="2026-11-25T00:00:00"/>
    <s v="29/10/2026"/>
    <n v="0.97829014000000003"/>
    <m/>
    <n v="633302.62"/>
    <n v="619553.71"/>
    <n v="633302.62"/>
    <n v="619553.71"/>
    <n v="11042019"/>
    <s v="AMOMPY"/>
    <s v="Momentum Capital Investment S.A."/>
    <s v="15/10/2026"/>
    <s v="15/10/2026"/>
    <n v="30"/>
    <s v="No"/>
    <s v=""/>
    <m/>
    <m/>
    <s v="*MAV201101968"/>
    <s v="*MAV201101968"/>
    <n v="7.5824983854272114E-6"/>
  </r>
  <r>
    <x v="134"/>
    <s v="Pesos"/>
    <d v="2026-11-25T00:00:00"/>
    <s v="29/10/2026"/>
    <n v="0.97829014999999997"/>
    <m/>
    <n v="4932055.16"/>
    <n v="4824980.97"/>
    <n v="4932055.16"/>
    <n v="4824980.97"/>
    <n v="972"/>
    <s v="AMOMPY"/>
    <s v="Momentum Capital Investment S.A."/>
    <s v="15/10/2026"/>
    <s v="15/10/2026"/>
    <n v="30"/>
    <s v="No"/>
    <s v=""/>
    <m/>
    <m/>
    <s v="*MAV201101967"/>
    <s v="*MAV201101967"/>
    <n v="5.9051232886236806E-5"/>
  </r>
  <r>
    <x v="29"/>
    <s v="Pesos"/>
    <d v="2026-11-25T00:00:00"/>
    <s v="29/10/2026"/>
    <n v="0.97758261999999996"/>
    <m/>
    <n v="15000000"/>
    <n v="14663739.300000001"/>
    <n v="15000000"/>
    <n v="14663739.300000001"/>
    <n v="2440"/>
    <s v="AMOMPY"/>
    <s v="Momentum Capital Investment S.A."/>
    <s v="14/08/2026"/>
    <s v="14/08/2026"/>
    <n v="31"/>
    <s v="No"/>
    <s v=""/>
    <m/>
    <m/>
    <s v="*MIL201100033"/>
    <s v="*MIL201100033"/>
    <n v="1.7946431079651765E-4"/>
  </r>
  <r>
    <x v="29"/>
    <s v="Pesos"/>
    <d v="2026-11-25T00:00:00"/>
    <s v="29/10/2026"/>
    <n v="0.97687617999999998"/>
    <m/>
    <n v="10000000"/>
    <n v="9768761.7699999996"/>
    <n v="10000000"/>
    <n v="9768761.7699999996"/>
    <n v="2199"/>
    <s v="AMOMPY"/>
    <s v="Momentum Capital Investment S.A."/>
    <s v="07/09/2026"/>
    <s v="07/09/2026"/>
    <n v="32"/>
    <s v="No"/>
    <s v=""/>
    <m/>
    <m/>
    <s v="*MIL201100037"/>
    <s v="*MIL201100037"/>
    <n v="1.1955641480808512E-4"/>
  </r>
  <r>
    <x v="29"/>
    <s v="Pesos"/>
    <d v="2026-11-25T00:00:00"/>
    <s v="29/10/2026"/>
    <n v="0.97758259999999997"/>
    <m/>
    <n v="5000000"/>
    <n v="4887912.99"/>
    <n v="5000000"/>
    <n v="4887912.99"/>
    <n v="8807"/>
    <s v="AMOMPY"/>
    <s v="Momentum Capital Investment S.A."/>
    <s v="07/09/2026"/>
    <s v="07/09/2026"/>
    <n v="31"/>
    <s v="No"/>
    <s v=""/>
    <m/>
    <m/>
    <s v="*MIL201100039"/>
    <s v="*MIL201100039"/>
    <n v="5.9821435585921514E-5"/>
  </r>
  <r>
    <x v="29"/>
    <s v="Pesos"/>
    <d v="2026-11-25T00:00:00"/>
    <s v="29/10/2026"/>
    <n v="0.9811301"/>
    <m/>
    <n v="4000000"/>
    <n v="3924520.38"/>
    <n v="4000000"/>
    <n v="3924520.38"/>
    <n v="90002233"/>
    <s v="AMOMPY"/>
    <s v="Momentum Capital Investment S.A."/>
    <s v="22/09/2026"/>
    <s v="22/09/2026"/>
    <n v="26"/>
    <s v="No"/>
    <s v=""/>
    <m/>
    <m/>
    <s v="*MIL201100040"/>
    <s v="*MIL201100040"/>
    <n v="4.8030814705195111E-5"/>
  </r>
  <r>
    <x v="135"/>
    <s v="Pesos"/>
    <d v="2026-11-25T00:00:00"/>
    <s v="29/10/2026"/>
    <n v="0.98113013000000004"/>
    <m/>
    <n v="150000000"/>
    <n v="147169518.87"/>
    <n v="150000000"/>
    <n v="147169518.87"/>
    <n v="461478"/>
    <s v="AMOMPY"/>
    <s v="Momentum Capital Investment S.A."/>
    <s v="23/09/2026"/>
    <s v="23/09/2026"/>
    <n v="26"/>
    <s v="No"/>
    <s v=""/>
    <m/>
    <m/>
    <s v="*FTR201100028"/>
    <s v="*FTR201100028"/>
    <n v="1.8011556079873601E-3"/>
  </r>
  <r>
    <x v="136"/>
    <s v="Pesos"/>
    <d v="2026-11-25T00:00:00"/>
    <s v="29/10/2026"/>
    <n v="0.97829005000000002"/>
    <m/>
    <n v="2700000"/>
    <n v="2641383.14"/>
    <n v="2700000"/>
    <n v="2641383.14"/>
    <n v="6914"/>
    <s v="AMOMPY"/>
    <s v="Momentum Capital Investment S.A."/>
    <s v="11/09/2026"/>
    <s v="11/09/2026"/>
    <n v="30"/>
    <s v="No"/>
    <s v=""/>
    <m/>
    <m/>
    <s v="*MAV201101599"/>
    <s v="*MAV201101599"/>
    <n v="3.2326952564523681E-5"/>
  </r>
  <r>
    <x v="194"/>
    <s v="Pesos"/>
    <d v="2026-11-25T00:00:00"/>
    <s v="29/10/2026"/>
    <n v="0.97617076000000003"/>
    <m/>
    <n v="15000000"/>
    <n v="14642561.369999999"/>
    <n v="15000000"/>
    <n v="14642561.369999999"/>
    <n v="168860"/>
    <s v="AMOMPY"/>
    <s v="Momentum Capital Investment S.A."/>
    <s v="09/10/2026"/>
    <s v="09/10/2026"/>
    <n v="33"/>
    <s v="No"/>
    <s v=""/>
    <m/>
    <m/>
    <s v="#MAV231160042"/>
    <s v="#MAV231160042"/>
    <n v="1.7920512161333658E-4"/>
  </r>
  <r>
    <x v="49"/>
    <s v="Pesos"/>
    <d v="2026-11-25T00:00:00"/>
    <s v="29/10/2026"/>
    <n v="0.97335934000000002"/>
    <m/>
    <n v="25000000"/>
    <n v="24333983.57"/>
    <n v="25000000"/>
    <n v="24333983.57"/>
    <n v="2663"/>
    <s v="AMOMPY"/>
    <s v="Momentum Capital Investment S.A."/>
    <s v="24/08/2026"/>
    <s v="24/08/2026"/>
    <n v="37"/>
    <s v="No"/>
    <s v=""/>
    <m/>
    <m/>
    <s v="*MAV201101480"/>
    <s v="*MAV201101480"/>
    <n v="2.9781500482103045E-4"/>
  </r>
  <r>
    <x v="26"/>
    <s v="Pesos"/>
    <d v="2026-11-25T00:00:00"/>
    <s v="29/10/2026"/>
    <n v="0.97687621000000002"/>
    <m/>
    <n v="3000000"/>
    <n v="2930628.62"/>
    <n v="3000000"/>
    <n v="2930628.62"/>
    <n v="1062"/>
    <s v="AMOMPY"/>
    <s v="Momentum Capital Investment S.A."/>
    <s v="25/08/2026"/>
    <s v="25/08/2026"/>
    <n v="32"/>
    <s v="No"/>
    <s v=""/>
    <m/>
    <m/>
    <s v="*MAV201101487"/>
    <s v="*MAV201101487"/>
    <n v="3.5866925531665012E-5"/>
  </r>
  <r>
    <x v="26"/>
    <s v="Pesos"/>
    <d v="2026-11-25T00:00:00"/>
    <s v="29/10/2026"/>
    <n v="0.97617074999999998"/>
    <m/>
    <n v="2500000"/>
    <n v="2440426.87"/>
    <n v="2500000"/>
    <n v="2440426.87"/>
    <n v="1025"/>
    <s v="AMOMPY"/>
    <s v="Momentum Capital Investment S.A."/>
    <s v="19/08/2026"/>
    <s v="19/08/2026"/>
    <n v="33"/>
    <s v="No"/>
    <s v=""/>
    <m/>
    <m/>
    <s v="*MAV201101452"/>
    <s v="*MAV201101452"/>
    <n v="2.9867519962923287E-5"/>
  </r>
  <r>
    <x v="195"/>
    <s v="Pesos"/>
    <d v="2026-11-25T00:00:00"/>
    <s v="29/10/2026"/>
    <n v="0.97829003999999997"/>
    <m/>
    <n v="500000"/>
    <n v="489145.02"/>
    <n v="500000"/>
    <n v="489145.02"/>
    <n v="201"/>
    <s v="AMOMPY"/>
    <s v="Momentum Capital Investment S.A."/>
    <s v="25/09/2026"/>
    <s v="25/09/2026"/>
    <n v="30"/>
    <s v="No"/>
    <s v=""/>
    <m/>
    <m/>
    <s v="*MAV201101735"/>
    <s v="*MAV201101735"/>
    <n v="5.9864726246087067E-6"/>
  </r>
  <r>
    <x v="294"/>
    <s v="Pesos"/>
    <d v="2026-11-25T00:00:00"/>
    <s v="29/10/2026"/>
    <n v="0.97829001999999998"/>
    <m/>
    <n v="600000"/>
    <n v="586974.01"/>
    <n v="600000"/>
    <n v="586974.01"/>
    <n v="69995854"/>
    <s v="AMOMPY"/>
    <s v="Momentum Capital Investment S.A."/>
    <s v="25/09/2026"/>
    <s v="25/09/2026"/>
    <n v="30"/>
    <s v="No"/>
    <s v=""/>
    <m/>
    <m/>
    <s v="*MAV201101734"/>
    <s v="*MAV201101734"/>
    <n v="7.1837669781894067E-6"/>
  </r>
  <r>
    <x v="51"/>
    <s v="Pesos"/>
    <d v="2026-11-25T00:00:00"/>
    <s v="29/10/2026"/>
    <n v="0.97687630000000003"/>
    <m/>
    <n v="75000000"/>
    <n v="73265722.75"/>
    <n v="75000000"/>
    <n v="73265722.75"/>
    <n v="21576"/>
    <s v="AMOMPY"/>
    <s v="Momentum Capital Investment S.A."/>
    <s v="22/10/2026"/>
    <s v="22/10/2026"/>
    <n v="32"/>
    <s v="No"/>
    <s v=""/>
    <m/>
    <m/>
    <s v="*MAV201102151"/>
    <s v="*MAV201102151"/>
    <n v="8.9667322702180691E-4"/>
  </r>
  <r>
    <x v="51"/>
    <s v="Pesos"/>
    <d v="2026-11-25T00:00:00"/>
    <s v="29/10/2026"/>
    <n v="0.97687630000000003"/>
    <m/>
    <n v="75000000"/>
    <n v="73265722.75"/>
    <n v="75000000"/>
    <n v="73265722.75"/>
    <n v="21570"/>
    <s v="AMOMPY"/>
    <s v="Momentum Capital Investment S.A."/>
    <s v="22/10/2026"/>
    <s v="22/10/2026"/>
    <n v="32"/>
    <s v="No"/>
    <s v=""/>
    <m/>
    <m/>
    <s v="*MAV201102149"/>
    <s v="*MAV201102149"/>
    <n v="8.9667322702180691E-4"/>
  </r>
  <r>
    <x v="65"/>
    <s v="Pesos"/>
    <d v="2026-11-26T00:00:00"/>
    <s v="29/10/2026"/>
    <n v="0.97787071000000003"/>
    <m/>
    <n v="5633315"/>
    <n v="5508653.7400000002"/>
    <n v="5633315"/>
    <n v="5508653.7400000002"/>
    <n v="69874605"/>
    <s v="AMOMPY"/>
    <s v="Momentum Capital Investment S.A."/>
    <s v="23/09/2026"/>
    <s v="23/09/2026"/>
    <n v="29.5"/>
    <s v="No"/>
    <s v=""/>
    <m/>
    <m/>
    <s v="*CVA211100018"/>
    <s v="*CVA211100018"/>
    <n v="6.7418461733410604E-5"/>
  </r>
  <r>
    <x v="1"/>
    <s v="Pesos"/>
    <d v="2026-11-26T00:00:00"/>
    <s v="29/10/2026"/>
    <n v="0.97750408"/>
    <m/>
    <n v="20000000"/>
    <n v="19550081.59"/>
    <n v="20000000"/>
    <n v="19550081.59"/>
    <n v="10508"/>
    <s v="AMOMPY"/>
    <s v="Momentum Capital Investment S.A."/>
    <s v="16/09/2026"/>
    <s v="16/09/2026"/>
    <n v="30"/>
    <s v="No"/>
    <s v=""/>
    <m/>
    <m/>
    <s v="*AFB211100015"/>
    <s v="*AFB211100015"/>
    <n v="2.3926652314154532E-4"/>
  </r>
  <r>
    <x v="2"/>
    <s v="Pesos"/>
    <d v="2026-11-26T00:00:00"/>
    <s v="29/10/2026"/>
    <n v="0.97385277000000003"/>
    <m/>
    <n v="3841101.28"/>
    <n v="3740667.13"/>
    <n v="3841101.28"/>
    <n v="3740667.13"/>
    <n v="3362"/>
    <s v="AMOMPY"/>
    <s v="Momentum Capital Investment S.A."/>
    <s v="01/09/2026"/>
    <s v="01/09/2026"/>
    <n v="35"/>
    <s v="No"/>
    <s v=""/>
    <m/>
    <m/>
    <s v="*MAV241101355"/>
    <s v="*MAV241101355"/>
    <n v="4.5780699906785549E-5"/>
  </r>
  <r>
    <x v="2"/>
    <s v="Pesos"/>
    <d v="2026-11-26T00:00:00"/>
    <s v="29/10/2026"/>
    <n v="0.97385273999999999"/>
    <m/>
    <n v="3102456.89"/>
    <n v="3021336.14"/>
    <n v="3102456.89"/>
    <n v="3021336.14"/>
    <n v="3515"/>
    <s v="AMOMPY"/>
    <s v="Momentum Capital Investment S.A."/>
    <s v="18/09/2026"/>
    <s v="18/09/2026"/>
    <n v="35"/>
    <s v="No"/>
    <s v=""/>
    <m/>
    <m/>
    <s v="*MAV241101443"/>
    <s v="*MAV241101443"/>
    <n v="3.697706273663164E-5"/>
  </r>
  <r>
    <x v="2"/>
    <s v="Pesos"/>
    <d v="2026-11-26T00:00:00"/>
    <s v="29/10/2026"/>
    <n v="0.97385273000000006"/>
    <m/>
    <n v="4150625.28"/>
    <n v="4042097.77"/>
    <n v="4150625.28"/>
    <n v="4042097.77"/>
    <n v="3483"/>
    <s v="AMOMPY"/>
    <s v="Momentum Capital Investment S.A."/>
    <s v="18/09/2026"/>
    <s v="18/09/2026"/>
    <n v="35"/>
    <s v="No"/>
    <s v=""/>
    <m/>
    <m/>
    <s v="*MAV241101445"/>
    <s v="*MAV241101445"/>
    <n v="4.9469802730684858E-5"/>
  </r>
  <r>
    <x v="2"/>
    <s v="Pesos"/>
    <d v="2026-11-26T00:00:00"/>
    <s v="29/10/2026"/>
    <n v="0.97385273999999999"/>
    <m/>
    <n v="1555000.5"/>
    <n v="1514341.49"/>
    <n v="1555000.5"/>
    <n v="1514341.49"/>
    <n v="3594"/>
    <s v="AMOMPY"/>
    <s v="Momentum Capital Investment S.A."/>
    <s v="18/09/2026"/>
    <s v="18/09/2026"/>
    <n v="35"/>
    <s v="No"/>
    <s v=""/>
    <m/>
    <m/>
    <s v="*MAV241101442"/>
    <s v="*MAV241101442"/>
    <n v="1.8533489054420218E-5"/>
  </r>
  <r>
    <x v="2"/>
    <s v="Pesos"/>
    <d v="2026-11-26T00:00:00"/>
    <s v="29/10/2026"/>
    <n v="0.97385273999999999"/>
    <m/>
    <n v="1250300.6499999999"/>
    <n v="1217608.72"/>
    <n v="1250300.6499999999"/>
    <n v="1217608.72"/>
    <n v="3595"/>
    <s v="AMOMPY"/>
    <s v="Momentum Capital Investment S.A."/>
    <s v="18/09/2026"/>
    <s v="18/09/2026"/>
    <n v="35"/>
    <s v="No"/>
    <s v=""/>
    <m/>
    <m/>
    <s v="*MAV241101444"/>
    <s v="*MAV241101444"/>
    <n v="1.4901881797273224E-5"/>
  </r>
  <r>
    <x v="295"/>
    <s v="Pesos"/>
    <d v="2026-11-26T00:00:00"/>
    <s v="29/10/2026"/>
    <n v="0.97677166999999998"/>
    <m/>
    <n v="47373027.109999999"/>
    <n v="46272630.640000001"/>
    <n v="47373027.109999999"/>
    <n v="46272630.640000001"/>
    <n v="11412587"/>
    <s v="AMOMPY"/>
    <s v="Momentum Capital Investment S.A."/>
    <s v="17/09/2026"/>
    <s v="17/09/2026"/>
    <n v="31"/>
    <s v="No"/>
    <s v=""/>
    <m/>
    <m/>
    <s v="*MAV211101205"/>
    <s v="*MAV211101205"/>
    <n v="5.6631433474471442E-4"/>
  </r>
  <r>
    <x v="236"/>
    <s v="Pesos"/>
    <d v="2026-11-26T00:00:00"/>
    <s v="29/10/2026"/>
    <n v="0.97604031999999996"/>
    <m/>
    <n v="25000000"/>
    <n v="24401007.960000001"/>
    <n v="25000000"/>
    <n v="24401007.960000001"/>
    <n v="51407"/>
    <s v="AMOMPY"/>
    <s v="Momentum Capital Investment S.A."/>
    <s v="24/09/2026"/>
    <s v="24/09/2026"/>
    <n v="32"/>
    <s v="No"/>
    <s v=""/>
    <m/>
    <m/>
    <s v="*MAV231101052"/>
    <s v="*MAV231101052"/>
    <n v="2.9863529258746034E-4"/>
  </r>
  <r>
    <x v="296"/>
    <s v="Pesos"/>
    <d v="2026-11-26T00:00:00"/>
    <s v="29/10/2026"/>
    <n v="0.97530994999999998"/>
    <m/>
    <n v="182156"/>
    <n v="177658.56"/>
    <n v="182156"/>
    <n v="177658.56"/>
    <n v="2232882"/>
    <s v="AMOMPY"/>
    <s v="Momentum Capital Investment S.A."/>
    <s v="22/09/2026"/>
    <s v="22/09/2026"/>
    <n v="33"/>
    <s v="No"/>
    <s v=""/>
    <m/>
    <m/>
    <s v="*MAV221101300"/>
    <s v="*MAV221101300"/>
    <n v="2.1743001819121111E-6"/>
  </r>
  <r>
    <x v="297"/>
    <s v="Pesos"/>
    <d v="2026-11-26T00:00:00"/>
    <s v="29/10/2026"/>
    <n v="0.97530998999999996"/>
    <m/>
    <n v="6135324.1399999997"/>
    <n v="5983842.9199999999"/>
    <n v="6135324.1399999997"/>
    <n v="5983842.9199999999"/>
    <n v="149440"/>
    <s v="AMOMPY"/>
    <s v="Momentum Capital Investment S.A."/>
    <s v="22/09/2026"/>
    <s v="22/09/2026"/>
    <n v="33"/>
    <s v="No"/>
    <s v=""/>
    <m/>
    <m/>
    <s v="*MAV211101219"/>
    <s v="*MAV211101219"/>
    <n v="7.3234133775988615E-5"/>
  </r>
  <r>
    <x v="298"/>
    <s v="Pesos"/>
    <d v="2026-11-26T00:00:00"/>
    <s v="29/10/2026"/>
    <n v="0.97677163"/>
    <m/>
    <n v="1520907"/>
    <n v="1485578.81"/>
    <n v="1520907"/>
    <n v="1485578.81"/>
    <n v="1368988"/>
    <s v="AMOMPY"/>
    <s v="Momentum Capital Investment S.A."/>
    <s v="23/09/2026"/>
    <s v="23/09/2026"/>
    <n v="31"/>
    <s v="No"/>
    <s v=""/>
    <m/>
    <m/>
    <s v="*MAV221101303"/>
    <s v="*MAV221101303"/>
    <n v="1.8181472802817819E-5"/>
  </r>
  <r>
    <x v="54"/>
    <s v="Pesos"/>
    <d v="2026-11-26T00:00:00"/>
    <s v="29/10/2026"/>
    <n v="0.97823758000000005"/>
    <m/>
    <n v="5000000"/>
    <n v="4891187.88"/>
    <n v="5000000"/>
    <n v="4891187.88"/>
    <n v="11481"/>
    <s v="AMOMPY"/>
    <s v="Momentum Capital Investment S.A."/>
    <s v="18/09/2026"/>
    <s v="18/09/2026"/>
    <n v="29"/>
    <s v="No"/>
    <s v=""/>
    <m/>
    <m/>
    <s v="*INP241100098"/>
    <s v="*INP241100098"/>
    <n v="5.9861515804531535E-5"/>
  </r>
  <r>
    <x v="54"/>
    <s v="Pesos"/>
    <d v="2026-11-26T00:00:00"/>
    <s v="29/10/2026"/>
    <n v="0.97823758000000005"/>
    <m/>
    <n v="5000000"/>
    <n v="4891187.88"/>
    <n v="5000000"/>
    <n v="4891187.88"/>
    <n v="11480"/>
    <s v="AMOMPY"/>
    <s v="Momentum Capital Investment S.A."/>
    <s v="18/09/2026"/>
    <s v="18/09/2026"/>
    <n v="29"/>
    <s v="No"/>
    <s v=""/>
    <m/>
    <m/>
    <s v="*INP241100097"/>
    <s v="*INP241100097"/>
    <n v="5.9861515804531535E-5"/>
  </r>
  <r>
    <x v="54"/>
    <s v="Pesos"/>
    <d v="2026-11-26T00:00:00"/>
    <s v="29/10/2026"/>
    <n v="0.97823758000000005"/>
    <m/>
    <n v="5000000"/>
    <n v="4891187.88"/>
    <n v="5000000"/>
    <n v="4891187.88"/>
    <n v="11483"/>
    <s v="AMOMPY"/>
    <s v="Momentum Capital Investment S.A."/>
    <s v="18/09/2026"/>
    <s v="18/09/2026"/>
    <n v="29"/>
    <s v="No"/>
    <s v=""/>
    <m/>
    <m/>
    <s v="*INP241100095"/>
    <s v="*INP241100095"/>
    <n v="5.9861515804531535E-5"/>
  </r>
  <r>
    <x v="54"/>
    <s v="Pesos"/>
    <d v="2026-11-26T00:00:00"/>
    <s v="29/10/2026"/>
    <n v="0.97823758000000005"/>
    <m/>
    <n v="5000000"/>
    <n v="4891187.88"/>
    <n v="5000000"/>
    <n v="4891187.88"/>
    <n v="11482"/>
    <s v="AMOMPY"/>
    <s v="Momentum Capital Investment S.A."/>
    <s v="18/09/2026"/>
    <s v="18/09/2026"/>
    <n v="29"/>
    <s v="No"/>
    <s v=""/>
    <m/>
    <m/>
    <s v="*INP241100096"/>
    <s v="*INP241100096"/>
    <n v="5.9861515804531535E-5"/>
  </r>
  <r>
    <x v="54"/>
    <s v="Pesos"/>
    <d v="2026-11-26T00:00:00"/>
    <s v="29/10/2026"/>
    <n v="0.97970796999999998"/>
    <m/>
    <n v="20000000"/>
    <n v="19594159.359999999"/>
    <n v="20000000"/>
    <n v="19594159.359999999"/>
    <n v="1355"/>
    <s v="AMOMPY"/>
    <s v="Momentum Capital Investment S.A."/>
    <s v="25/09/2026"/>
    <s v="25/09/2026"/>
    <n v="27"/>
    <s v="No"/>
    <s v=""/>
    <m/>
    <m/>
    <s v="*INP231100063"/>
    <s v="*INP231100063"/>
    <n v="2.3980597535442648E-4"/>
  </r>
  <r>
    <x v="54"/>
    <s v="Pesos"/>
    <d v="2026-11-26T00:00:00"/>
    <s v="29/10/2026"/>
    <n v="0.97897226999999998"/>
    <m/>
    <n v="32500000"/>
    <n v="31816598.699999999"/>
    <n v="32500000"/>
    <n v="31816598.699999999"/>
    <n v="1367869"/>
    <s v="AMOMPY"/>
    <s v="Momentum Capital Investment S.A."/>
    <s v="23/09/2026"/>
    <s v="23/09/2026"/>
    <n v="28"/>
    <s v="No"/>
    <s v=""/>
    <m/>
    <m/>
    <s v="*INP211100070"/>
    <s v="*INP211100070"/>
    <n v="3.8939208074879504E-4"/>
  </r>
  <r>
    <x v="54"/>
    <s v="Pesos"/>
    <d v="2026-11-26T00:00:00"/>
    <s v="29/10/2026"/>
    <n v="0.97970798000000003"/>
    <m/>
    <n v="5000000"/>
    <n v="4898539.9000000004"/>
    <n v="5000000"/>
    <n v="4898539.9000000004"/>
    <n v="40740204"/>
    <s v="AMOMPY"/>
    <s v="Momentum Capital Investment S.A."/>
    <s v="18/09/2026"/>
    <s v="18/09/2026"/>
    <n v="27"/>
    <s v="No"/>
    <s v=""/>
    <m/>
    <m/>
    <s v="*INP241100092"/>
    <s v="*INP241100092"/>
    <n v="5.9951494572925368E-5"/>
  </r>
  <r>
    <x v="54"/>
    <s v="Pesos"/>
    <d v="2026-11-26T00:00:00"/>
    <s v="29/10/2026"/>
    <n v="0.97970798000000003"/>
    <m/>
    <n v="5000000"/>
    <n v="4898539.9000000004"/>
    <n v="5000000"/>
    <n v="4898539.9000000004"/>
    <n v="40740212"/>
    <s v="AMOMPY"/>
    <s v="Momentum Capital Investment S.A."/>
    <s v="18/09/2026"/>
    <s v="18/09/2026"/>
    <n v="27"/>
    <s v="No"/>
    <s v=""/>
    <m/>
    <m/>
    <s v="*INP241100093"/>
    <s v="*INP241100093"/>
    <n v="5.9951494572925368E-5"/>
  </r>
  <r>
    <x v="54"/>
    <s v="Pesos"/>
    <d v="2026-11-26T00:00:00"/>
    <s v="29/10/2026"/>
    <n v="0.97970816000000005"/>
    <m/>
    <n v="19375412.52"/>
    <n v="18982249.670000002"/>
    <n v="19375412.52"/>
    <n v="18982249.670000002"/>
    <n v="3285"/>
    <s v="AMOMPY"/>
    <s v="Momentum Capital Investment S.A."/>
    <s v="27/10/2026"/>
    <s v="27/10/2026"/>
    <n v="27"/>
    <s v="No"/>
    <s v=""/>
    <m/>
    <m/>
    <s v="*INP211100072"/>
    <s v="*INP211100072"/>
    <n v="2.3231702942195479E-4"/>
  </r>
  <r>
    <x v="0"/>
    <s v="Pesos"/>
    <d v="2026-11-26T00:00:00"/>
    <s v="29/10/2026"/>
    <n v="0.98044483000000004"/>
    <m/>
    <n v="8752704.4100000001"/>
    <n v="8581543.7599999998"/>
    <n v="8752704.4100000001"/>
    <n v="8581543.7599999998"/>
    <n v="69934156"/>
    <s v="AMOMPY"/>
    <s v="Momentum Capital Investment S.A."/>
    <s v="25/09/2026"/>
    <s v="25/09/2026"/>
    <n v="26"/>
    <s v="No"/>
    <s v=""/>
    <m/>
    <m/>
    <s v="*TRD221100028"/>
    <s v="*TRD221100028"/>
    <n v="1.0502647414486948E-4"/>
  </r>
  <r>
    <x v="0"/>
    <s v="Pesos"/>
    <d v="2026-11-26T00:00:00"/>
    <s v="29/10/2026"/>
    <n v="0.98044485000000003"/>
    <m/>
    <n v="1159427.3899999999"/>
    <n v="1136754.6100000001"/>
    <n v="1159427.3899999999"/>
    <n v="1136754.6100000001"/>
    <n v="14587450"/>
    <s v="AMOMPY"/>
    <s v="Momentum Capital Investment S.A."/>
    <s v="25/09/2026"/>
    <s v="25/09/2026"/>
    <n v="26"/>
    <s v="No"/>
    <s v=""/>
    <m/>
    <m/>
    <s v="*TRD231100029"/>
    <s v="*TRD231100029"/>
    <n v="1.3912336986815785E-5"/>
  </r>
  <r>
    <x v="196"/>
    <s v="Pesos"/>
    <d v="2026-11-26T00:00:00"/>
    <s v="29/10/2026"/>
    <n v="0.97531007000000003"/>
    <m/>
    <n v="11255045.75"/>
    <n v="10977159.4"/>
    <n v="11255045.75"/>
    <n v="10977159.4"/>
    <n v="90001623"/>
    <s v="AMOMPY"/>
    <s v="Momentum Capital Investment S.A."/>
    <s v="01/10/2026"/>
    <s v="01/10/2026"/>
    <n v="33"/>
    <s v="No"/>
    <s v=""/>
    <m/>
    <m/>
    <s v="*MAV231101090"/>
    <s v="*MAV231101090"/>
    <n v="1.3434556533779314E-4"/>
  </r>
  <r>
    <x v="266"/>
    <s v="Pesos"/>
    <d v="2026-11-26T00:00:00"/>
    <s v="29/10/2026"/>
    <n v="0.97530998999999996"/>
    <m/>
    <n v="6590432.0999999996"/>
    <n v="6427714.29"/>
    <n v="6590432.0999999996"/>
    <n v="6427714.29"/>
    <n v="14100645"/>
    <s v="AMOMPY"/>
    <s v="Momentum Capital Investment S.A."/>
    <s v="15/09/2026"/>
    <s v="15/09/2026"/>
    <n v="33"/>
    <s v="No"/>
    <s v=""/>
    <m/>
    <m/>
    <s v="*MAV241101428"/>
    <s v="*MAV241101428"/>
    <n v="7.866651823602577E-5"/>
  </r>
  <r>
    <x v="299"/>
    <s v="Pesos"/>
    <d v="2026-11-26T00:00:00"/>
    <s v="29/10/2026"/>
    <n v="0.97604025000000005"/>
    <m/>
    <n v="1620000"/>
    <n v="1581185.21"/>
    <n v="1620000"/>
    <n v="1581185.21"/>
    <n v="3410387"/>
    <s v="AMOMPY"/>
    <s v="Momentum Capital Investment S.A."/>
    <s v="15/09/2026"/>
    <s v="15/09/2026"/>
    <n v="32"/>
    <s v="No"/>
    <s v=""/>
    <m/>
    <m/>
    <s v="*MAV231100998"/>
    <s v="*MAV231100998"/>
    <n v="1.9351565664720798E-5"/>
  </r>
  <r>
    <x v="6"/>
    <s v="Pesos"/>
    <d v="2026-11-26T00:00:00"/>
    <s v="29/10/2026"/>
    <n v="0.97897230000000002"/>
    <m/>
    <n v="740000"/>
    <n v="724439.5"/>
    <n v="740000"/>
    <n v="724439.5"/>
    <n v="69998589"/>
    <s v="AMOMPY"/>
    <s v="Momentum Capital Investment S.A."/>
    <s v="08/10/2026"/>
    <s v="08/10/2026"/>
    <n v="28"/>
    <s v="No"/>
    <s v=""/>
    <m/>
    <m/>
    <s v="*CRE241100166"/>
    <s v="*CRE241100166"/>
    <n v="8.8661584144007407E-6"/>
  </r>
  <r>
    <x v="6"/>
    <s v="Pesos"/>
    <d v="2026-11-26T00:00:00"/>
    <s v="29/10/2026"/>
    <n v="0.97897228999999997"/>
    <m/>
    <n v="1992000"/>
    <n v="1950112.81"/>
    <n v="1992000"/>
    <n v="1950112.81"/>
    <n v="10360678"/>
    <s v="AMOMPY"/>
    <s v="Momentum Capital Investment S.A."/>
    <s v="08/10/2026"/>
    <s v="08/10/2026"/>
    <n v="28"/>
    <s v="No"/>
    <s v=""/>
    <m/>
    <m/>
    <s v="*CRE241100167"/>
    <s v="*CRE241100167"/>
    <n v="2.3866739871876359E-5"/>
  </r>
  <r>
    <x v="55"/>
    <s v="Pesos"/>
    <d v="2026-11-26T00:00:00"/>
    <s v="29/10/2026"/>
    <n v="0.97970796999999998"/>
    <m/>
    <n v="8268850"/>
    <n v="8101058.2400000002"/>
    <n v="8268850"/>
    <n v="8101058.2400000002"/>
    <n v="40830425"/>
    <s v="AMOMPY"/>
    <s v="Momentum Capital Investment S.A."/>
    <s v="25/09/2026"/>
    <s v="25/09/2026"/>
    <n v="27"/>
    <s v="No"/>
    <s v=""/>
    <m/>
    <m/>
    <s v="*PRO211100015"/>
    <s v="*PRO211100015"/>
    <n v="9.9145982073211721E-5"/>
  </r>
  <r>
    <x v="55"/>
    <s v="Pesos"/>
    <d v="2026-11-26T00:00:00"/>
    <s v="29/10/2026"/>
    <n v="0.97970796999999998"/>
    <m/>
    <n v="46583450"/>
    <n v="45638177.140000001"/>
    <n v="46583450"/>
    <n v="45638177.140000001"/>
    <n v="40830424"/>
    <s v="AMOMPY"/>
    <s v="Momentum Capital Investment S.A."/>
    <s v="25/09/2026"/>
    <s v="25/09/2026"/>
    <n v="27"/>
    <s v="No"/>
    <s v=""/>
    <m/>
    <m/>
    <s v="*PRO211100016"/>
    <s v="*PRO211100016"/>
    <n v="5.5854948310759221E-4"/>
  </r>
  <r>
    <x v="242"/>
    <s v="Pesos"/>
    <d v="2026-11-26T00:00:00"/>
    <s v="29/10/2026"/>
    <n v="0.97530998000000002"/>
    <m/>
    <n v="24730000"/>
    <n v="24119415.850000001"/>
    <n v="24730000"/>
    <n v="24119415.850000001"/>
    <n v="197"/>
    <s v="AMOMPY"/>
    <s v="Momentum Capital Investment S.A."/>
    <s v="11/09/2026"/>
    <s v="11/09/2026"/>
    <n v="33"/>
    <s v="No"/>
    <s v=""/>
    <m/>
    <m/>
    <s v="*MAV211101182"/>
    <s v="*MAV211101182"/>
    <n v="2.9518898650461237E-4"/>
  </r>
  <r>
    <x v="55"/>
    <s v="Pesos"/>
    <d v="2026-11-26T00:00:00"/>
    <s v="29/10/2026"/>
    <n v="0.97970800999999996"/>
    <m/>
    <n v="25000000"/>
    <n v="24492700.16"/>
    <n v="25000000"/>
    <n v="24492700.16"/>
    <n v="9508923"/>
    <s v="AMOMPY"/>
    <s v="Momentum Capital Investment S.A."/>
    <s v="13/07/2026"/>
    <s v="13/07/2026"/>
    <n v="27"/>
    <s v="No"/>
    <s v=""/>
    <m/>
    <m/>
    <s v="*PRO241100022"/>
    <s v="*PRO241100022"/>
    <n v="2.9975748094213301E-4"/>
  </r>
  <r>
    <x v="55"/>
    <s v="Pesos"/>
    <d v="2026-11-26T00:00:00"/>
    <s v="29/10/2026"/>
    <n v="0.98044487000000002"/>
    <m/>
    <n v="15000000"/>
    <n v="14706673.060000001"/>
    <n v="15000000"/>
    <n v="14706673.060000001"/>
    <n v="20411017"/>
    <s v="AMOMPY"/>
    <s v="Momentum Capital Investment S.A."/>
    <s v="17/07/2026"/>
    <s v="17/07/2026"/>
    <n v="26"/>
    <s v="No"/>
    <s v=""/>
    <m/>
    <m/>
    <s v="*PRO241100021"/>
    <s v="*PRO241100021"/>
    <n v="1.7998976187626393E-4"/>
  </r>
  <r>
    <x v="54"/>
    <s v="Pesos"/>
    <d v="2026-11-26T00:00:00"/>
    <s v="29/10/2026"/>
    <n v="0.97677164000000005"/>
    <m/>
    <n v="60000000"/>
    <n v="58606298.329999998"/>
    <n v="60000000"/>
    <n v="58606298.329999998"/>
    <n v="80939924"/>
    <s v="AMOMPY"/>
    <s v="Momentum Capital Investment S.A."/>
    <s v="02/09/2026"/>
    <s v="02/09/2026"/>
    <n v="31"/>
    <s v="No"/>
    <s v=""/>
    <m/>
    <m/>
    <s v="*INP231100062"/>
    <s v="*INP231100062"/>
    <n v="7.1726172451310236E-4"/>
  </r>
  <r>
    <x v="171"/>
    <s v="Pesos"/>
    <d v="2026-11-26T00:00:00"/>
    <s v="29/10/2026"/>
    <n v="0.97530996000000003"/>
    <m/>
    <n v="2170000"/>
    <n v="2116422.62"/>
    <n v="2170000"/>
    <n v="2116422.62"/>
    <n v="260738"/>
    <s v="AMOMPY"/>
    <s v="Momentum Capital Investment S.A."/>
    <s v="27/08/2026"/>
    <s v="27/08/2026"/>
    <n v="33"/>
    <s v="No"/>
    <s v=""/>
    <m/>
    <m/>
    <s v="*MAV241101343"/>
    <s v="*MAV241101343"/>
    <n v="2.5902146722729866E-5"/>
  </r>
  <r>
    <x v="34"/>
    <s v="Pesos"/>
    <d v="2026-11-26T00:00:00"/>
    <s v="29/10/2026"/>
    <n v="0.97531005999999998"/>
    <m/>
    <n v="95000000"/>
    <n v="92654456.120000005"/>
    <n v="95000000"/>
    <n v="92654456.120000005"/>
    <n v="3109"/>
    <s v="AMOMPY"/>
    <s v="Momentum Capital Investment S.A."/>
    <s v="01/10/2026"/>
    <s v="01/10/2026"/>
    <n v="33"/>
    <s v="No"/>
    <s v=""/>
    <m/>
    <m/>
    <s v="*MAV241101535"/>
    <s v="*MAV241101535"/>
    <n v="1.1339650664549108E-3"/>
  </r>
  <r>
    <x v="2"/>
    <s v="Pesos"/>
    <d v="2026-11-26T00:00:00"/>
    <s v="29/10/2026"/>
    <n v="0.97312575999999995"/>
    <m/>
    <n v="3256800.5"/>
    <n v="3169276.47"/>
    <n v="3256800.5"/>
    <n v="3169276.47"/>
    <n v="3593"/>
    <s v="AMOMPY"/>
    <s v="Momentum Capital Investment S.A."/>
    <s v="22/09/2026"/>
    <s v="22/09/2026"/>
    <n v="36"/>
    <s v="No"/>
    <s v=""/>
    <m/>
    <m/>
    <s v="*MAV231101020"/>
    <s v="*MAV231101020"/>
    <n v="3.8787652028986243E-5"/>
  </r>
  <r>
    <x v="300"/>
    <s v="Pesos"/>
    <d v="2026-11-26T00:00:00"/>
    <s v="29/10/2026"/>
    <n v="0.97750404999999996"/>
    <m/>
    <n v="912617.71"/>
    <n v="892087.51"/>
    <n v="912617.71"/>
    <n v="892087.51"/>
    <n v="2417"/>
    <s v="AMOMPY"/>
    <s v="Momentum Capital Investment S.A."/>
    <s v="21/10/2026"/>
    <s v="21/10/2026"/>
    <n v="30"/>
    <s v="No"/>
    <s v=""/>
    <m/>
    <m/>
    <s v="*MAV211101390"/>
    <s v="*MAV211101390"/>
    <n v="1.0917943021009077E-5"/>
  </r>
  <r>
    <x v="229"/>
    <s v="Pesos"/>
    <d v="2026-11-26T00:00:00"/>
    <s v="29/10/2026"/>
    <n v="0.97385273999999999"/>
    <m/>
    <n v="3087576.27"/>
    <n v="3006844.62"/>
    <n v="3087576.27"/>
    <n v="3006844.62"/>
    <n v="1508"/>
    <s v="AMOMPY"/>
    <s v="Momentum Capital Investment S.A."/>
    <s v="24/08/2026"/>
    <s v="24/08/2026"/>
    <n v="35"/>
    <s v="No"/>
    <s v=""/>
    <m/>
    <m/>
    <s v="*MAV231100923"/>
    <s v="*MAV231100923"/>
    <n v="3.6799706156840702E-5"/>
  </r>
  <r>
    <x v="222"/>
    <s v="Pesos"/>
    <d v="2026-11-26T00:00:00"/>
    <s v="29/10/2026"/>
    <n v="0.98340342000000003"/>
    <m/>
    <n v="9164430.8599999994"/>
    <n v="9012332.6400000006"/>
    <n v="9164430.8599999994"/>
    <n v="9012332.6400000006"/>
    <n v="646957"/>
    <s v="AMOMPY"/>
    <s v="Momentum Capital Investment S.A."/>
    <s v="31/07/2026"/>
    <s v="31/07/2026"/>
    <n v="22"/>
    <s v="No"/>
    <s v=""/>
    <m/>
    <m/>
    <s v="*MAV241101208"/>
    <s v="*MAV241101208"/>
    <n v="1.1029874664414966E-4"/>
  </r>
  <r>
    <x v="231"/>
    <s v="Pesos"/>
    <d v="2026-11-26T00:00:00"/>
    <s v="29/10/2026"/>
    <n v="0.97750411000000004"/>
    <m/>
    <n v="4175312.5"/>
    <n v="4081385.13"/>
    <n v="4175312.5"/>
    <n v="4081385.13"/>
    <n v="40952734"/>
    <s v="AMOMPY"/>
    <s v="Momentum Capital Investment S.A."/>
    <s v="15/10/2026"/>
    <s v="15/10/2026"/>
    <n v="30"/>
    <s v="No"/>
    <s v=""/>
    <m/>
    <m/>
    <s v="*MAV231101174"/>
    <s v="*MAV231101174"/>
    <n v="4.9950626812535159E-5"/>
  </r>
  <r>
    <x v="301"/>
    <s v="Pesos"/>
    <d v="2026-11-26T00:00:00"/>
    <s v="29/10/2026"/>
    <n v="0.98118280000000002"/>
    <m/>
    <n v="19922304"/>
    <n v="19547422.010000002"/>
    <n v="19922304"/>
    <n v="19547422.010000002"/>
    <n v="67863958"/>
    <s v="AMOMPY"/>
    <s v="Momentum Capital Investment S.A."/>
    <s v="26/06/2026"/>
    <s v="26/06/2026"/>
    <n v="25"/>
    <s v="No"/>
    <s v=""/>
    <m/>
    <m/>
    <s v="*MAV231100839"/>
    <s v="*MAV231100839"/>
    <n v="2.3923397348405735E-4"/>
  </r>
  <r>
    <x v="289"/>
    <s v="Pesos"/>
    <d v="2026-11-26T00:00:00"/>
    <s v="29/10/2026"/>
    <n v="0.97604042000000002"/>
    <m/>
    <n v="5000000"/>
    <n v="4880202.0999999996"/>
    <n v="5000000"/>
    <n v="4880202.0999999996"/>
    <n v="59"/>
    <s v="AMOMPY"/>
    <s v="Momentum Capital Investment S.A."/>
    <s v="20/10/2026"/>
    <s v="20/10/2026"/>
    <n v="32"/>
    <s v="No"/>
    <s v=""/>
    <m/>
    <m/>
    <s v="*MAV241101685"/>
    <s v="*MAV241101685"/>
    <n v="5.9727064734724104E-5"/>
  </r>
  <r>
    <x v="302"/>
    <s v="Pesos"/>
    <d v="2026-11-26T00:00:00"/>
    <s v="29/10/2026"/>
    <n v="0.97750411000000004"/>
    <m/>
    <n v="1187961"/>
    <n v="1161236.76"/>
    <n v="1187961"/>
    <n v="1161236.76"/>
    <n v="2594"/>
    <s v="AMOMPY"/>
    <s v="Momentum Capital Investment S.A."/>
    <s v="15/10/2026"/>
    <s v="15/10/2026"/>
    <n v="30"/>
    <s v="No"/>
    <s v=""/>
    <m/>
    <m/>
    <s v="*MAV231101180"/>
    <s v="*MAV231101180"/>
    <n v="1.4211965348086975E-5"/>
  </r>
  <r>
    <x v="302"/>
    <s v="Pesos"/>
    <d v="2026-11-26T00:00:00"/>
    <s v="29/10/2026"/>
    <n v="0.97750411000000004"/>
    <m/>
    <n v="1187961"/>
    <n v="1161236.76"/>
    <n v="1187961"/>
    <n v="1161236.76"/>
    <n v="2595"/>
    <s v="AMOMPY"/>
    <s v="Momentum Capital Investment S.A."/>
    <s v="15/10/2026"/>
    <s v="15/10/2026"/>
    <n v="30"/>
    <s v="No"/>
    <s v=""/>
    <m/>
    <m/>
    <s v="*MAV241101640"/>
    <s v="*MAV241101640"/>
    <n v="1.4211965348086975E-5"/>
  </r>
  <r>
    <x v="107"/>
    <s v="Pesos"/>
    <d v="2026-11-26T00:00:00"/>
    <s v="29/10/2026"/>
    <n v="0.97531005000000004"/>
    <m/>
    <n v="706225.7"/>
    <n v="688789.02"/>
    <n v="706225.7"/>
    <n v="688789.02"/>
    <n v="124048"/>
    <s v="AMOMPY"/>
    <s v="Momentum Capital Investment S.A."/>
    <s v="24/09/2026"/>
    <s v="24/09/2026"/>
    <n v="33"/>
    <s v="No"/>
    <s v=""/>
    <m/>
    <m/>
    <s v="*MAV231101039"/>
    <s v="*MAV231101039"/>
    <n v="8.4298448185388018E-6"/>
  </r>
  <r>
    <x v="107"/>
    <s v="Pesos"/>
    <d v="2026-11-26T00:00:00"/>
    <s v="29/10/2026"/>
    <n v="0.97531003000000005"/>
    <m/>
    <n v="204483.81"/>
    <n v="199435.11"/>
    <n v="204483.81"/>
    <n v="199435.11"/>
    <n v="124582"/>
    <s v="AMOMPY"/>
    <s v="Momentum Capital Investment S.A."/>
    <s v="29/09/2026"/>
    <s v="29/09/2026"/>
    <n v="33"/>
    <s v="No"/>
    <s v=""/>
    <m/>
    <m/>
    <s v="*MAV241101517"/>
    <s v="*MAV241101517"/>
    <n v="2.4408156632174767E-6"/>
  </r>
  <r>
    <x v="41"/>
    <s v="Pesos"/>
    <d v="2026-11-26T00:00:00"/>
    <s v="29/10/2026"/>
    <n v="0.97897224000000005"/>
    <m/>
    <n v="97351912.840000004"/>
    <n v="95304819.719999999"/>
    <n v="97351912.840000004"/>
    <n v="95304819.719999999"/>
    <n v="40296547"/>
    <s v="AMOMPY"/>
    <s v="Momentum Capital Investment S.A."/>
    <s v="22/09/2026"/>
    <s v="22/09/2026"/>
    <n v="28"/>
    <s v="No"/>
    <s v=""/>
    <m/>
    <m/>
    <s v="*MAV241101459"/>
    <s v="*MAV241101459"/>
    <n v="1.1664019276881282E-3"/>
  </r>
  <r>
    <x v="41"/>
    <s v="Pesos"/>
    <d v="2026-11-26T00:00:00"/>
    <s v="29/10/2026"/>
    <n v="0.97897224000000005"/>
    <m/>
    <n v="38458308.5"/>
    <n v="37649616.240000002"/>
    <n v="38458308.5"/>
    <n v="37649616.240000002"/>
    <n v="40296559"/>
    <s v="AMOMPY"/>
    <s v="Momentum Capital Investment S.A."/>
    <s v="22/09/2026"/>
    <s v="22/09/2026"/>
    <n v="28"/>
    <s v="No"/>
    <s v=""/>
    <m/>
    <m/>
    <s v="*MAV241101460"/>
    <s v="*MAV241101460"/>
    <n v="4.6078031612748177E-4"/>
  </r>
  <r>
    <x v="41"/>
    <s v="Pesos"/>
    <d v="2026-11-26T00:00:00"/>
    <s v="29/10/2026"/>
    <n v="0.97897224000000005"/>
    <m/>
    <n v="75590913.420000002"/>
    <n v="74001405.480000004"/>
    <n v="75590913.420000002"/>
    <n v="74001405.480000004"/>
    <n v="40296506"/>
    <s v="AMOMPY"/>
    <s v="Momentum Capital Investment S.A."/>
    <s v="22/09/2026"/>
    <s v="22/09/2026"/>
    <n v="28"/>
    <s v="No"/>
    <s v=""/>
    <m/>
    <m/>
    <s v="*MAV241101461"/>
    <s v="*MAV241101461"/>
    <n v="9.0567698734536585E-4"/>
  </r>
  <r>
    <x v="245"/>
    <s v="Pesos"/>
    <d v="2026-11-26T00:00:00"/>
    <s v="29/10/2026"/>
    <n v="0.97312578000000005"/>
    <m/>
    <n v="30000000"/>
    <n v="29193773.449999999"/>
    <n v="30000000"/>
    <n v="29193773.449999999"/>
    <n v="10978203"/>
    <s v="AMOMPY"/>
    <s v="Momentum Capital Investment S.A."/>
    <s v="01/09/2026"/>
    <s v="01/09/2026"/>
    <n v="36"/>
    <s v="No"/>
    <s v=""/>
    <m/>
    <m/>
    <s v="*MAV241101359"/>
    <s v="*MAV241101359"/>
    <n v="3.572922516260177E-4"/>
  </r>
  <r>
    <x v="245"/>
    <s v="Pesos"/>
    <d v="2026-11-26T00:00:00"/>
    <s v="29/10/2026"/>
    <n v="0.97312578000000005"/>
    <m/>
    <n v="30000000"/>
    <n v="29193773.449999999"/>
    <n v="30000000"/>
    <n v="29193773.449999999"/>
    <n v="10978202"/>
    <s v="AMOMPY"/>
    <s v="Momentum Capital Investment S.A."/>
    <s v="01/09/2026"/>
    <s v="01/09/2026"/>
    <n v="36"/>
    <s v="No"/>
    <s v=""/>
    <m/>
    <m/>
    <s v="*MAV241101358"/>
    <s v="*MAV241101358"/>
    <n v="3.572922516260177E-4"/>
  </r>
  <r>
    <x v="152"/>
    <s v="Pesos"/>
    <d v="2026-11-26T00:00:00"/>
    <s v="29/10/2026"/>
    <n v="0.97458084"/>
    <m/>
    <n v="5000300.25"/>
    <n v="4873196.8"/>
    <n v="5000300.25"/>
    <n v="4873196.8"/>
    <n v="363"/>
    <s v="AMOMPY"/>
    <s v="Momentum Capital Investment S.A."/>
    <s v="16/07/2026"/>
    <s v="16/07/2026"/>
    <n v="34"/>
    <s v="No"/>
    <s v=""/>
    <m/>
    <m/>
    <s v="*MAV221101221"/>
    <s v="*MAV221101221"/>
    <n v="5.9641329349587872E-5"/>
  </r>
  <r>
    <x v="152"/>
    <s v="Pesos"/>
    <d v="2026-11-26T00:00:00"/>
    <s v="29/10/2026"/>
    <n v="0.97458084"/>
    <m/>
    <n v="5000300.25"/>
    <n v="4873196.8"/>
    <n v="5000300.25"/>
    <n v="4873196.8"/>
    <n v="364"/>
    <s v="AMOMPY"/>
    <s v="Momentum Capital Investment S.A."/>
    <s v="16/07/2026"/>
    <s v="16/07/2026"/>
    <n v="34"/>
    <s v="No"/>
    <s v=""/>
    <m/>
    <m/>
    <s v="*MAV231100851"/>
    <s v="*MAV231100851"/>
    <n v="5.9641329349587872E-5"/>
  </r>
  <r>
    <x v="152"/>
    <s v="Pesos"/>
    <d v="2026-11-26T00:00:00"/>
    <s v="29/10/2026"/>
    <n v="0.97458084"/>
    <m/>
    <n v="5000300.25"/>
    <n v="4873196.8"/>
    <n v="5000300.25"/>
    <n v="4873196.8"/>
    <n v="365"/>
    <s v="AMOMPY"/>
    <s v="Momentum Capital Investment S.A."/>
    <s v="16/07/2026"/>
    <s v="16/07/2026"/>
    <n v="34"/>
    <s v="No"/>
    <s v=""/>
    <m/>
    <m/>
    <s v="*MAV241101186"/>
    <s v="*MAV241101186"/>
    <n v="5.9641329349587872E-5"/>
  </r>
  <r>
    <x v="152"/>
    <s v="Pesos"/>
    <d v="2026-11-26T00:00:00"/>
    <s v="29/10/2026"/>
    <n v="0.97458084"/>
    <m/>
    <n v="5000300.25"/>
    <n v="4873196.8"/>
    <n v="5000300.25"/>
    <n v="4873196.8"/>
    <n v="362"/>
    <s v="AMOMPY"/>
    <s v="Momentum Capital Investment S.A."/>
    <s v="16/07/2026"/>
    <s v="16/07/2026"/>
    <n v="34"/>
    <s v="No"/>
    <s v=""/>
    <m/>
    <m/>
    <s v="*MAV211101101"/>
    <s v="*MAV211101101"/>
    <n v="5.9641329349587872E-5"/>
  </r>
  <r>
    <x v="109"/>
    <s v="Pesos"/>
    <d v="2026-11-26T00:00:00"/>
    <s v="29/10/2026"/>
    <n v="0.97531007000000003"/>
    <m/>
    <n v="1500000"/>
    <n v="1462965.11"/>
    <n v="1500000"/>
    <n v="1462965.11"/>
    <n v="585"/>
    <s v="AMOMPY"/>
    <s v="Momentum Capital Investment S.A."/>
    <s v="21/09/2026"/>
    <s v="21/09/2026"/>
    <n v="33"/>
    <s v="No"/>
    <s v=""/>
    <m/>
    <m/>
    <s v="*MAV231101016"/>
    <s v="*MAV231101016"/>
    <n v="1.7904711739215223E-5"/>
  </r>
  <r>
    <x v="109"/>
    <s v="Pesos"/>
    <d v="2026-11-26T00:00:00"/>
    <s v="29/10/2026"/>
    <n v="0.97531007000000003"/>
    <m/>
    <n v="1500000"/>
    <n v="1462965.11"/>
    <n v="1500000"/>
    <n v="1462965.11"/>
    <n v="586"/>
    <s v="AMOMPY"/>
    <s v="Momentum Capital Investment S.A."/>
    <s v="21/09/2026"/>
    <s v="21/09/2026"/>
    <n v="33"/>
    <s v="No"/>
    <s v=""/>
    <m/>
    <m/>
    <s v="*MAV241101450"/>
    <s v="*MAV241101450"/>
    <n v="1.7904711739215223E-5"/>
  </r>
  <r>
    <x v="303"/>
    <s v="Pesos"/>
    <d v="2026-11-26T00:00:00"/>
    <s v="29/10/2026"/>
    <n v="0.97530998000000002"/>
    <m/>
    <n v="20000194"/>
    <n v="19506388.91"/>
    <n v="20000194"/>
    <n v="19506388.91"/>
    <n v="732"/>
    <s v="AMOMPY"/>
    <s v="Momentum Capital Investment S.A."/>
    <s v="24/08/2026"/>
    <s v="24/08/2026"/>
    <n v="33"/>
    <s v="No"/>
    <s v=""/>
    <m/>
    <m/>
    <s v="*MAV241101322"/>
    <s v="*MAV241101322"/>
    <n v="2.3873178390875955E-4"/>
  </r>
  <r>
    <x v="304"/>
    <s v="Pesos"/>
    <d v="2026-11-26T00:00:00"/>
    <s v="29/10/2026"/>
    <n v="0.97531011000000001"/>
    <m/>
    <n v="4684709.18"/>
    <n v="4569044.21"/>
    <n v="4684709.18"/>
    <n v="4569044.21"/>
    <n v="466"/>
    <s v="AMOMPY"/>
    <s v="Momentum Capital Investment S.A."/>
    <s v="26/10/2026"/>
    <s v="26/10/2026"/>
    <n v="33"/>
    <s v="No"/>
    <s v=""/>
    <m/>
    <m/>
    <s v="*MAV221101402"/>
    <s v="*MAV221101402"/>
    <n v="5.5918913543864582E-5"/>
  </r>
  <r>
    <x v="200"/>
    <s v="Pesos"/>
    <d v="2026-11-26T00:00:00"/>
    <s v="29/10/2026"/>
    <n v="0.97823775999999996"/>
    <m/>
    <n v="3388903.56"/>
    <n v="3315153.44"/>
    <n v="3388903.56"/>
    <n v="3315153.44"/>
    <n v="10174819"/>
    <s v="AMOMPY"/>
    <s v="Momentum Capital Investment S.A."/>
    <s v="27/10/2026"/>
    <s v="27/10/2026"/>
    <n v="29"/>
    <s v="No"/>
    <s v=""/>
    <m/>
    <m/>
    <s v="*MAV231101302"/>
    <s v="*MAV231101302"/>
    <n v="4.0572988589227343E-5"/>
  </r>
  <r>
    <x v="305"/>
    <s v="Pesos"/>
    <d v="2026-11-26T00:00:00"/>
    <s v="29/10/2026"/>
    <n v="0.97531003000000005"/>
    <m/>
    <n v="300000000"/>
    <n v="292593007.70999998"/>
    <n v="300000000"/>
    <n v="292593007.70999998"/>
    <n v="231767"/>
    <s v="AMOMPY"/>
    <s v="Momentum Capital Investment S.A."/>
    <s v="21/07/2026"/>
    <s v="21/07/2026"/>
    <n v="33"/>
    <s v="No"/>
    <s v=""/>
    <m/>
    <m/>
    <s v="MAVR241100051"/>
    <s v="MAVR241100051"/>
    <n v="3.5809421729527963E-3"/>
  </r>
  <r>
    <x v="306"/>
    <s v="Pesos"/>
    <d v="2026-11-26T00:00:00"/>
    <s v="29/10/2026"/>
    <n v="0.97604029999999997"/>
    <m/>
    <n v="661730"/>
    <n v="645875.15"/>
    <n v="661730"/>
    <n v="645875.15"/>
    <n v="1252"/>
    <s v="AMOMPY"/>
    <s v="Momentum Capital Investment S.A."/>
    <s v="01/10/2026"/>
    <s v="01/10/2026"/>
    <n v="32"/>
    <s v="No"/>
    <s v=""/>
    <m/>
    <m/>
    <s v="*MAV241101532"/>
    <s v="*MAV241101532"/>
    <n v="7.9046371654566614E-6"/>
  </r>
  <r>
    <x v="58"/>
    <s v="Pesos"/>
    <d v="2026-11-26T00:00:00"/>
    <s v="29/10/2026"/>
    <n v="0.97167501999999994"/>
    <m/>
    <n v="150000000"/>
    <n v="145751252.72"/>
    <n v="150000000"/>
    <n v="145751252.72"/>
    <n v="70406570"/>
    <s v="AMOMPY"/>
    <s v="Momentum Capital Investment S.A."/>
    <s v="07/09/2026"/>
    <s v="07/09/2026"/>
    <n v="38"/>
    <s v="No"/>
    <s v=""/>
    <m/>
    <m/>
    <s v="*MAV241101391"/>
    <s v="*MAV241101391"/>
    <n v="1.7837979509853852E-3"/>
  </r>
  <r>
    <x v="58"/>
    <s v="Pesos"/>
    <d v="2026-11-26T00:00:00"/>
    <s v="29/10/2026"/>
    <n v="0.97385275999999998"/>
    <m/>
    <n v="250000000"/>
    <n v="243463189.28"/>
    <n v="250000000"/>
    <n v="243463189.28"/>
    <n v="70400477"/>
    <s v="AMOMPY"/>
    <s v="Momentum Capital Investment S.A."/>
    <s v="10/08/2026"/>
    <s v="10/08/2026"/>
    <n v="35"/>
    <s v="No"/>
    <s v=""/>
    <m/>
    <m/>
    <s v="*MAV231100890"/>
    <s v="*MAV231100890"/>
    <n v="2.9796597289790416E-3"/>
  </r>
  <r>
    <x v="44"/>
    <s v="Pesos"/>
    <d v="2026-11-26T00:00:00"/>
    <s v="29/10/2026"/>
    <n v="0.97458082000000001"/>
    <m/>
    <n v="10000000"/>
    <n v="9745808.2100000009"/>
    <n v="10000000"/>
    <n v="9745808.2100000009"/>
    <n v="14284517"/>
    <s v="AMOMPY"/>
    <s v="Momentum Capital Investment S.A."/>
    <s v="24/08/2026"/>
    <s v="24/08/2026"/>
    <n v="34"/>
    <s v="No"/>
    <s v=""/>
    <m/>
    <m/>
    <s v="*MAV241101320"/>
    <s v="*MAV241101320"/>
    <n v="1.1927549431833484E-4"/>
  </r>
  <r>
    <x v="44"/>
    <s v="Pesos"/>
    <d v="2026-11-26T00:00:00"/>
    <s v="29/10/2026"/>
    <n v="0.97604025999999999"/>
    <m/>
    <n v="10000000"/>
    <n v="9760402.6199999992"/>
    <n v="10000000"/>
    <n v="9760402.6199999992"/>
    <n v="14422579"/>
    <s v="AMOMPY"/>
    <s v="Momentum Capital Investment S.A."/>
    <s v="01/09/2026"/>
    <s v="01/09/2026"/>
    <n v="32"/>
    <s v="No"/>
    <s v=""/>
    <m/>
    <m/>
    <s v="*MAV231100949"/>
    <s v="*MAV231100949"/>
    <n v="1.1945411013238791E-4"/>
  </r>
  <r>
    <x v="44"/>
    <s v="Pesos"/>
    <d v="2026-11-26T00:00:00"/>
    <s v="29/10/2026"/>
    <n v="0.97531007000000003"/>
    <m/>
    <n v="12500000"/>
    <n v="12191375.82"/>
    <n v="12500000"/>
    <n v="12191375.82"/>
    <n v="14651812"/>
    <s v="AMOMPY"/>
    <s v="Momentum Capital Investment S.A."/>
    <s v="01/10/2026"/>
    <s v="01/10/2026"/>
    <n v="33"/>
    <s v="No"/>
    <s v=""/>
    <m/>
    <m/>
    <s v="*MAV241101546"/>
    <s v="*MAV241101546"/>
    <n v="1.4920592997705776E-4"/>
  </r>
  <r>
    <x v="307"/>
    <s v="Pesos"/>
    <d v="2026-11-26T00:00:00"/>
    <s v="29/10/2026"/>
    <n v="0.97458082999999995"/>
    <m/>
    <n v="1257626.54"/>
    <n v="1225658.72"/>
    <n v="1257626.54"/>
    <n v="1225658.72"/>
    <n v="113"/>
    <s v="AMOMPY"/>
    <s v="Momentum Capital Investment S.A."/>
    <s v="21/10/2026"/>
    <s v="21/10/2026"/>
    <n v="34"/>
    <s v="No"/>
    <s v=""/>
    <m/>
    <m/>
    <s v="*MAV211101384"/>
    <s v="*MAV211101384"/>
    <n v="1.5000402895633994E-5"/>
  </r>
  <r>
    <x v="179"/>
    <s v="Pesos"/>
    <d v="2026-11-26T00:00:00"/>
    <s v="29/10/2026"/>
    <n v="0.97530998000000002"/>
    <m/>
    <n v="5448062.4299999997"/>
    <n v="5313549.67"/>
    <n v="5448062.4299999997"/>
    <n v="5313549.67"/>
    <n v="90000596"/>
    <s v="AMOMPY"/>
    <s v="Momentum Capital Investment S.A."/>
    <s v="02/06/2026"/>
    <s v="02/06/2026"/>
    <n v="33"/>
    <s v="No"/>
    <s v=""/>
    <m/>
    <m/>
    <s v="*MAV231100828"/>
    <s v="*MAV231100828"/>
    <n v="6.5030652134521628E-5"/>
  </r>
  <r>
    <x v="204"/>
    <s v="Pesos"/>
    <d v="2026-11-26T00:00:00"/>
    <s v="29/10/2026"/>
    <n v="0.97530998000000002"/>
    <m/>
    <n v="2500000"/>
    <n v="2438274.96"/>
    <n v="2500000"/>
    <n v="2438274.96"/>
    <n v="103"/>
    <s v="AMOMPY"/>
    <s v="Momentum Capital Investment S.A."/>
    <s v="22/09/2026"/>
    <s v="22/09/2026"/>
    <n v="33"/>
    <s v="No"/>
    <s v=""/>
    <m/>
    <m/>
    <s v="*MAV241101455"/>
    <s v="*MAV241101455"/>
    <n v="2.9841183498727817E-5"/>
  </r>
  <r>
    <x v="119"/>
    <s v="Pesos"/>
    <d v="2026-11-26T00:00:00"/>
    <s v="29/10/2026"/>
    <n v="0.97604035"/>
    <m/>
    <n v="5000000"/>
    <n v="4880201.76"/>
    <n v="5000000"/>
    <n v="4880201.76"/>
    <n v="40981967"/>
    <s v="AMOMPY"/>
    <s v="Momentum Capital Investment S.A."/>
    <s v="19/10/2026"/>
    <s v="19/10/2026"/>
    <n v="32"/>
    <s v="No"/>
    <s v=""/>
    <m/>
    <m/>
    <s v="*MAV211101342"/>
    <s v="*MAV211101342"/>
    <n v="5.9727060573584552E-5"/>
  </r>
  <r>
    <x v="205"/>
    <s v="Pesos"/>
    <d v="2026-11-26T00:00:00"/>
    <s v="29/10/2026"/>
    <n v="0.97750415000000002"/>
    <m/>
    <n v="1500000"/>
    <n v="1466256.22"/>
    <n v="1500000"/>
    <n v="1466256.22"/>
    <n v="10793610"/>
    <s v="AMOMPY"/>
    <s v="Momentum Capital Investment S.A."/>
    <s v="19/10/2026"/>
    <s v="19/10/2026"/>
    <n v="30"/>
    <s v="No"/>
    <s v=""/>
    <m/>
    <m/>
    <s v="*MAV231101202"/>
    <s v="*MAV231101202"/>
    <n v="1.7944990468659458E-5"/>
  </r>
  <r>
    <x v="25"/>
    <s v="Pesos"/>
    <d v="2026-11-26T00:00:00"/>
    <s v="29/10/2026"/>
    <n v="0.97970796999999998"/>
    <m/>
    <n v="2959532.92"/>
    <n v="2899477.99"/>
    <n v="2959532.92"/>
    <n v="2899477.99"/>
    <n v="53553936"/>
    <s v="AMOMPY"/>
    <s v="Momentum Capital Investment S.A."/>
    <s v="25/09/2026"/>
    <s v="25/09/2026"/>
    <n v="27"/>
    <s v="No"/>
    <s v=""/>
    <m/>
    <m/>
    <s v="*NEU241100028"/>
    <s v="*NEU241100028"/>
    <n v="3.5485684005922164E-5"/>
  </r>
  <r>
    <x v="26"/>
    <s v="Pesos"/>
    <d v="2026-11-26T00:00:00"/>
    <s v="29/10/2026"/>
    <n v="0.97750417999999994"/>
    <m/>
    <n v="9000000"/>
    <n v="8797537.6099999994"/>
    <n v="9000000"/>
    <n v="8797537.6099999994"/>
    <n v="1425"/>
    <s v="AMOMPY"/>
    <s v="Momentum Capital Investment S.A."/>
    <s v="23/10/2026"/>
    <s v="23/10/2026"/>
    <n v="30"/>
    <s v="No"/>
    <s v=""/>
    <m/>
    <m/>
    <s v="*MAV241101730"/>
    <s v="*MAV241101730"/>
    <n v="1.0766994636116402E-4"/>
  </r>
  <r>
    <x v="26"/>
    <s v="Pesos"/>
    <d v="2026-11-26T00:00:00"/>
    <s v="29/10/2026"/>
    <n v="0.97750404999999996"/>
    <m/>
    <n v="8000000"/>
    <n v="7820032.3799999999"/>
    <n v="8000000"/>
    <n v="7820032.3799999999"/>
    <n v="1407"/>
    <s v="AMOMPY"/>
    <s v="Momentum Capital Investment S.A."/>
    <s v="21/10/2026"/>
    <s v="21/10/2026"/>
    <n v="30"/>
    <s v="No"/>
    <s v=""/>
    <m/>
    <m/>
    <s v="*MAV241101704"/>
    <s v="*MAV241101704"/>
    <n v="9.570660612352482E-5"/>
  </r>
  <r>
    <x v="26"/>
    <s v="Pesos"/>
    <d v="2026-11-26T00:00:00"/>
    <s v="29/10/2026"/>
    <n v="0.97750420000000005"/>
    <m/>
    <n v="9000000"/>
    <n v="8797537.8399999999"/>
    <n v="9000000"/>
    <n v="8797537.8399999999"/>
    <n v="1405"/>
    <s v="AMOMPY"/>
    <s v="Momentum Capital Investment S.A."/>
    <s v="20/10/2026"/>
    <s v="20/10/2026"/>
    <n v="30"/>
    <s v="No"/>
    <s v=""/>
    <m/>
    <m/>
    <s v="*MAV241101681"/>
    <s v="*MAV241101681"/>
    <n v="1.0766994917605255E-4"/>
  </r>
  <r>
    <x v="123"/>
    <s v="Pesos"/>
    <d v="2026-11-26T00:00:00"/>
    <s v="29/10/2026"/>
    <n v="0.97458084"/>
    <m/>
    <n v="4000000"/>
    <n v="3898323.38"/>
    <n v="4000000"/>
    <n v="3898323.38"/>
    <n v="90000053"/>
    <s v="AMOMPY"/>
    <s v="Momentum Capital Investment S.A."/>
    <s v="11/06/2026"/>
    <s v="11/06/2026"/>
    <n v="34"/>
    <s v="No"/>
    <s v=""/>
    <m/>
    <m/>
    <s v="*MAV231100835"/>
    <s v="*MAV231100835"/>
    <n v="4.7710198902243928E-5"/>
  </r>
  <r>
    <x v="308"/>
    <s v="Pesos"/>
    <d v="2026-11-26T00:00:00"/>
    <s v="29/10/2026"/>
    <n v="0.97750406999999995"/>
    <m/>
    <n v="50000000"/>
    <n v="48875203.280000001"/>
    <n v="50000000"/>
    <n v="48875203.280000001"/>
    <n v="90002956"/>
    <s v="AMOMPY"/>
    <s v="Momentum Capital Investment S.A."/>
    <s v="07/10/2026"/>
    <s v="07/10/2026"/>
    <n v="30"/>
    <s v="No"/>
    <s v=""/>
    <m/>
    <m/>
    <s v="*MAV231101132"/>
    <s v="*MAV231101132"/>
    <n v="5.9816629934800452E-4"/>
  </r>
  <r>
    <x v="308"/>
    <s v="Pesos"/>
    <d v="2026-11-26T00:00:00"/>
    <s v="29/10/2026"/>
    <n v="0.97750406999999995"/>
    <m/>
    <n v="50000000"/>
    <n v="48875203.280000001"/>
    <n v="50000000"/>
    <n v="48875203.280000001"/>
    <n v="90002957"/>
    <s v="AMOMPY"/>
    <s v="Momentum Capital Investment S.A."/>
    <s v="07/10/2026"/>
    <s v="07/10/2026"/>
    <n v="30"/>
    <s v="No"/>
    <s v=""/>
    <m/>
    <m/>
    <s v="*MAV241101586"/>
    <s v="*MAV241101586"/>
    <n v="5.9816629934800452E-4"/>
  </r>
  <r>
    <x v="309"/>
    <s v="Pesos"/>
    <d v="2026-11-26T00:00:00"/>
    <s v="29/10/2026"/>
    <n v="0.97750411999999998"/>
    <m/>
    <n v="1502543.92"/>
    <n v="1468742.87"/>
    <n v="1502543.92"/>
    <n v="1468742.87"/>
    <n v="11307065"/>
    <s v="AMOMPY"/>
    <s v="Momentum Capital Investment S.A."/>
    <s v="15/10/2026"/>
    <s v="15/10/2026"/>
    <n v="30"/>
    <s v="No"/>
    <s v=""/>
    <m/>
    <m/>
    <s v="*MAV241101641"/>
    <s v="*MAV241101641"/>
    <n v="1.7975423697136332E-5"/>
  </r>
  <r>
    <x v="29"/>
    <s v="Pesos"/>
    <d v="2026-11-26T00:00:00"/>
    <s v="29/10/2026"/>
    <n v="0.97677161000000001"/>
    <m/>
    <n v="15000000"/>
    <n v="14651574.140000001"/>
    <n v="15000000"/>
    <n v="14651574.140000001"/>
    <n v="2441"/>
    <s v="AMOMPY"/>
    <s v="Momentum Capital Investment S.A."/>
    <s v="14/08/2026"/>
    <s v="14/08/2026"/>
    <n v="31"/>
    <s v="No"/>
    <s v=""/>
    <m/>
    <m/>
    <s v="*MIL241100025"/>
    <s v="*MIL241100025"/>
    <n v="1.7931542571267484E-4"/>
  </r>
  <r>
    <x v="29"/>
    <s v="Pesos"/>
    <d v="2026-11-26T00:00:00"/>
    <s v="29/10/2026"/>
    <n v="0.98044485999999997"/>
    <m/>
    <n v="5000000"/>
    <n v="4902224.3099999996"/>
    <n v="5000000"/>
    <n v="4902224.3099999996"/>
    <n v="491505"/>
    <s v="AMOMPY"/>
    <s v="Momentum Capital Investment S.A."/>
    <s v="20/07/2026"/>
    <s v="20/07/2026"/>
    <n v="26"/>
    <s v="No"/>
    <s v=""/>
    <m/>
    <m/>
    <s v="*MIL241100023"/>
    <s v="*MIL241100023"/>
    <n v="5.9996586761746652E-5"/>
  </r>
  <r>
    <x v="29"/>
    <s v="Pesos"/>
    <d v="2026-11-26T00:00:00"/>
    <s v="29/10/2026"/>
    <n v="0.98044485000000003"/>
    <m/>
    <n v="4000000"/>
    <n v="3921779.39"/>
    <n v="4000000"/>
    <n v="3921779.39"/>
    <n v="90002232"/>
    <s v="AMOMPY"/>
    <s v="Momentum Capital Investment S.A."/>
    <s v="22/09/2026"/>
    <s v="22/09/2026"/>
    <n v="26"/>
    <s v="No"/>
    <s v=""/>
    <m/>
    <m/>
    <s v="*MIL241100031"/>
    <s v="*MIL241100031"/>
    <n v="4.7997268699555873E-5"/>
  </r>
  <r>
    <x v="92"/>
    <s v="Pesos"/>
    <d v="2026-11-26T00:00:00"/>
    <s v="29/10/2026"/>
    <n v="0.97970807000000004"/>
    <m/>
    <n v="88000000"/>
    <n v="86214310.120000005"/>
    <n v="88000000"/>
    <n v="86214310.120000005"/>
    <n v="474"/>
    <s v="AMOMPY"/>
    <s v="Momentum Capital Investment S.A."/>
    <s v="28/09/2026"/>
    <s v="28/09/2026"/>
    <n v="27"/>
    <s v="No"/>
    <s v=""/>
    <m/>
    <m/>
    <s v="*FID241100044"/>
    <s v="*FID241100044"/>
    <n v="1.055146400924015E-3"/>
  </r>
  <r>
    <x v="92"/>
    <s v="Pesos"/>
    <d v="2026-11-26T00:00:00"/>
    <s v="29/10/2026"/>
    <n v="0.97970807000000004"/>
    <m/>
    <n v="92000000"/>
    <n v="90133142.400000006"/>
    <n v="92000000"/>
    <n v="90133142.400000006"/>
    <n v="475"/>
    <s v="AMOMPY"/>
    <s v="Momentum Capital Investment S.A."/>
    <s v="28/09/2026"/>
    <s v="28/09/2026"/>
    <n v="27"/>
    <s v="No"/>
    <s v=""/>
    <m/>
    <m/>
    <s v="*FID241100045"/>
    <s v="*FID241100045"/>
    <n v="1.1031076009882679E-3"/>
  </r>
  <r>
    <x v="49"/>
    <s v="Pesos"/>
    <d v="2026-11-26T00:00:00"/>
    <s v="29/10/2026"/>
    <n v="0.97239984999999995"/>
    <m/>
    <n v="25000000"/>
    <n v="24309996.370000001"/>
    <n v="25000000"/>
    <n v="24309996.370000001"/>
    <n v="2664"/>
    <s v="AMOMPY"/>
    <s v="Momentum Capital Investment S.A."/>
    <s v="24/08/2026"/>
    <s v="24/08/2026"/>
    <n v="37"/>
    <s v="No"/>
    <s v=""/>
    <m/>
    <m/>
    <s v="*MAV241101321"/>
    <s v="*MAV241101321"/>
    <n v="2.9752143397747773E-4"/>
  </r>
  <r>
    <x v="26"/>
    <s v="Pesos"/>
    <d v="2026-11-26T00:00:00"/>
    <s v="29/10/2026"/>
    <n v="0.97531003999999999"/>
    <m/>
    <n v="2500000"/>
    <n v="2438275.11"/>
    <n v="2500000"/>
    <n v="2438275.11"/>
    <n v="1026"/>
    <s v="AMOMPY"/>
    <s v="Momentum Capital Investment S.A."/>
    <s v="19/08/2026"/>
    <s v="19/08/2026"/>
    <n v="33"/>
    <s v="No"/>
    <s v=""/>
    <m/>
    <m/>
    <s v="*MAV241101309"/>
    <s v="*MAV241101309"/>
    <n v="2.9841185334524679E-5"/>
  </r>
  <r>
    <x v="26"/>
    <s v="Pesos"/>
    <d v="2026-11-26T00:00:00"/>
    <s v="29/10/2026"/>
    <n v="0.97750411000000004"/>
    <m/>
    <n v="10000000"/>
    <n v="9775041.1199999992"/>
    <n v="10000000"/>
    <n v="9775041.1199999992"/>
    <n v="1409"/>
    <s v="AMOMPY"/>
    <s v="Momentum Capital Investment S.A."/>
    <s v="22/10/2026"/>
    <s v="22/10/2026"/>
    <n v="30"/>
    <s v="No"/>
    <s v=""/>
    <m/>
    <m/>
    <s v="*MAV241101718"/>
    <s v="*MAV241101718"/>
    <n v="1.1963326554833252E-4"/>
  </r>
  <r>
    <x v="195"/>
    <s v="Pesos"/>
    <d v="2026-11-26T00:00:00"/>
    <s v="29/10/2026"/>
    <n v="0.97750404000000002"/>
    <m/>
    <n v="543369.21"/>
    <n v="531145.6"/>
    <n v="543369.21"/>
    <n v="531145.6"/>
    <n v="202"/>
    <s v="AMOMPY"/>
    <s v="Momentum Capital Investment S.A."/>
    <s v="25/09/2026"/>
    <s v="25/09/2026"/>
    <n v="30"/>
    <s v="No"/>
    <s v=""/>
    <m/>
    <m/>
    <s v="*MAV241101498"/>
    <s v="*MAV241101498"/>
    <n v="6.5005028449055168E-6"/>
  </r>
  <r>
    <x v="161"/>
    <s v="Pesos"/>
    <d v="2026-11-26T00:00:00"/>
    <s v="29/10/2026"/>
    <n v="0.97530996000000003"/>
    <m/>
    <n v="16500000"/>
    <n v="16092614.4"/>
    <n v="16500000"/>
    <n v="16092614.4"/>
    <n v="70007327"/>
    <s v="AMOMPY"/>
    <s v="Momentum Capital Investment S.A."/>
    <s v="25/09/2026"/>
    <s v="25/09/2026"/>
    <n v="33"/>
    <s v="No"/>
    <s v=""/>
    <m/>
    <m/>
    <s v="*MAV241101502"/>
    <s v="*MAV241101502"/>
    <n v="1.9695180697941862E-4"/>
  </r>
  <r>
    <x v="51"/>
    <s v="Pesos"/>
    <d v="2026-11-26T00:00:00"/>
    <s v="29/10/2026"/>
    <n v="0.97531002"/>
    <m/>
    <n v="80000000"/>
    <n v="78024801.650000006"/>
    <n v="80000000"/>
    <n v="78024801.650000006"/>
    <n v="20882"/>
    <s v="AMOMPY"/>
    <s v="Momentum Capital Investment S.A."/>
    <s v="30/09/2026"/>
    <s v="30/09/2026"/>
    <n v="33"/>
    <s v="No"/>
    <s v=""/>
    <m/>
    <m/>
    <s v="*MAV211101250"/>
    <s v="*MAV211101250"/>
    <n v="9.5491790781852229E-4"/>
  </r>
  <r>
    <x v="310"/>
    <s v="Pesos"/>
    <d v="2026-11-26T00:00:00"/>
    <s v="29/10/2026"/>
    <n v="0.97750402999999997"/>
    <m/>
    <n v="3535037.55"/>
    <n v="3455513.46"/>
    <n v="3535037.55"/>
    <n v="3455513.46"/>
    <n v="3658346"/>
    <s v="AMOMPY"/>
    <s v="Momentum Capital Investment S.A."/>
    <s v="29/09/2026"/>
    <s v="29/09/2026"/>
    <n v="30"/>
    <s v="No"/>
    <s v=""/>
    <m/>
    <m/>
    <s v="*MAV231101081"/>
    <s v="*MAV231101081"/>
    <n v="4.2290805152747774E-5"/>
  </r>
  <r>
    <x v="311"/>
    <s v="Pesos"/>
    <d v="2026-11-26T00:00:00"/>
    <s v="29/10/2026"/>
    <n v="0.97604036000000005"/>
    <m/>
    <n v="4180883.08"/>
    <n v="4080710.63"/>
    <n v="4180883.08"/>
    <n v="4080710.63"/>
    <n v="1381724"/>
    <s v="AMOMPY"/>
    <s v="Momentum Capital Investment S.A."/>
    <s v="02/10/2026"/>
    <s v="02/10/2026"/>
    <n v="32"/>
    <s v="No"/>
    <s v=""/>
    <m/>
    <m/>
    <s v="*MAV241101553"/>
    <s v="*MAV241101553"/>
    <n v="4.9942371845970645E-5"/>
  </r>
  <r>
    <x v="1"/>
    <s v="Pesos"/>
    <d v="2026-11-27T00:00:00"/>
    <s v="29/10/2026"/>
    <n v="0.97520574999999998"/>
    <m/>
    <n v="25000000"/>
    <n v="24380143.699999999"/>
    <n v="25000000"/>
    <n v="24380143.699999999"/>
    <n v="2714"/>
    <s v="AMOMPY"/>
    <s v="Momentum Capital Investment S.A."/>
    <s v="14/08/2026"/>
    <s v="14/08/2026"/>
    <n v="32"/>
    <s v="No"/>
    <s v=""/>
    <m/>
    <m/>
    <s v="*AFB251100010"/>
    <s v="*AFB251100010"/>
    <n v="2.9837994230029453E-4"/>
  </r>
  <r>
    <x v="2"/>
    <s v="Pesos"/>
    <d v="2026-11-27T00:00:00"/>
    <s v="29/10/2026"/>
    <n v="0.97294418000000005"/>
    <m/>
    <n v="3841101.28"/>
    <n v="3737177.14"/>
    <n v="3841101.28"/>
    <n v="3737177.14"/>
    <n v="3363"/>
    <s v="AMOMPY"/>
    <s v="Momentum Capital Investment S.A."/>
    <s v="01/09/2026"/>
    <s v="01/09/2026"/>
    <n v="35"/>
    <s v="No"/>
    <s v=""/>
    <m/>
    <m/>
    <s v="*MAV251101708"/>
    <s v="*MAV251101708"/>
    <n v="4.5737987155472748E-5"/>
  </r>
  <r>
    <x v="2"/>
    <s v="Pesos"/>
    <d v="2026-11-27T00:00:00"/>
    <s v="29/10/2026"/>
    <n v="0.97294427000000006"/>
    <m/>
    <n v="4150625.28"/>
    <n v="4038327.07"/>
    <n v="4150625.28"/>
    <n v="4038327.07"/>
    <n v="3484"/>
    <s v="AMOMPY"/>
    <s v="Momentum Capital Investment S.A."/>
    <s v="18/09/2026"/>
    <s v="18/09/2026"/>
    <n v="35"/>
    <s v="No"/>
    <s v=""/>
    <m/>
    <m/>
    <s v="*MAV251101809"/>
    <s v="*MAV251101809"/>
    <n v="4.9423654469121012E-5"/>
  </r>
  <r>
    <x v="2"/>
    <s v="Pesos"/>
    <d v="2026-11-27T00:00:00"/>
    <s v="29/10/2026"/>
    <n v="0.97294427000000006"/>
    <m/>
    <n v="3256800.5"/>
    <n v="3168685.38"/>
    <n v="3256800.5"/>
    <n v="3168685.38"/>
    <n v="3596"/>
    <s v="AMOMPY"/>
    <s v="Momentum Capital Investment S.A."/>
    <s v="18/09/2026"/>
    <s v="18/09/2026"/>
    <n v="35"/>
    <s v="No"/>
    <s v=""/>
    <m/>
    <m/>
    <s v="*MAV251101810"/>
    <s v="*MAV251101810"/>
    <n v="3.8780417887864494E-5"/>
  </r>
  <r>
    <x v="2"/>
    <s v="Pesos"/>
    <d v="2026-11-27T00:00:00"/>
    <s v="29/10/2026"/>
    <n v="0.97294427000000006"/>
    <m/>
    <n v="3102456.89"/>
    <n v="3018517.65"/>
    <n v="3102456.89"/>
    <n v="3018517.65"/>
    <n v="3516"/>
    <s v="AMOMPY"/>
    <s v="Momentum Capital Investment S.A."/>
    <s v="18/09/2026"/>
    <s v="18/09/2026"/>
    <n v="35"/>
    <s v="No"/>
    <s v=""/>
    <m/>
    <m/>
    <s v="*MAV251101811"/>
    <s v="*MAV251101811"/>
    <n v="3.6942568235946069E-5"/>
  </r>
  <r>
    <x v="236"/>
    <s v="Pesos"/>
    <d v="2026-11-27T00:00:00"/>
    <s v="29/10/2026"/>
    <n v="0.97671934999999999"/>
    <m/>
    <n v="25000000"/>
    <n v="24417983.859999999"/>
    <n v="25000000"/>
    <n v="24417983.859999999"/>
    <n v="52834"/>
    <s v="AMOMPY"/>
    <s v="Momentum Capital Investment S.A."/>
    <s v="26/10/2026"/>
    <s v="26/10/2026"/>
    <n v="30"/>
    <s v="No"/>
    <s v=""/>
    <m/>
    <m/>
    <s v="*MAV251102149"/>
    <s v="*MAV251102149"/>
    <n v="2.9884305461400226E-4"/>
  </r>
  <r>
    <x v="54"/>
    <s v="Pesos"/>
    <d v="2026-11-27T00:00:00"/>
    <s v="29/10/2026"/>
    <n v="0.97747793000000005"/>
    <m/>
    <n v="5000000"/>
    <n v="4887389.66"/>
    <n v="5000000"/>
    <n v="4887389.66"/>
    <n v="11486"/>
    <s v="AMOMPY"/>
    <s v="Momentum Capital Investment S.A."/>
    <s v="18/09/2026"/>
    <s v="18/09/2026"/>
    <n v="29"/>
    <s v="No"/>
    <s v=""/>
    <m/>
    <m/>
    <s v="*INP251100102"/>
    <s v="*INP251100102"/>
    <n v="5.9815030735436402E-5"/>
  </r>
  <r>
    <x v="54"/>
    <s v="Pesos"/>
    <d v="2026-11-27T00:00:00"/>
    <s v="29/10/2026"/>
    <n v="0.97747793000000005"/>
    <m/>
    <n v="5000000"/>
    <n v="4887389.66"/>
    <n v="5000000"/>
    <n v="4887389.66"/>
    <n v="11484"/>
    <s v="AMOMPY"/>
    <s v="Momentum Capital Investment S.A."/>
    <s v="18/09/2026"/>
    <s v="18/09/2026"/>
    <n v="29"/>
    <s v="No"/>
    <s v=""/>
    <m/>
    <m/>
    <s v="*INP251100103"/>
    <s v="*INP251100103"/>
    <n v="5.9815030735436402E-5"/>
  </r>
  <r>
    <x v="54"/>
    <s v="Pesos"/>
    <d v="2026-11-27T00:00:00"/>
    <s v="29/10/2026"/>
    <n v="0.97671936000000004"/>
    <m/>
    <n v="5000000"/>
    <n v="4883596.78"/>
    <n v="5000000"/>
    <n v="4883596.78"/>
    <n v="40810978"/>
    <s v="AMOMPY"/>
    <s v="Momentum Capital Investment S.A."/>
    <s v="24/09/2026"/>
    <s v="24/09/2026"/>
    <n v="30"/>
    <s v="No"/>
    <s v=""/>
    <m/>
    <m/>
    <s v="*INP251100105"/>
    <s v="*INP251100105"/>
    <n v="5.9768611020709623E-5"/>
  </r>
  <r>
    <x v="54"/>
    <s v="Pesos"/>
    <d v="2026-11-27T00:00:00"/>
    <s v="29/10/2026"/>
    <n v="0.97899855999999996"/>
    <m/>
    <n v="5000000"/>
    <n v="4894992.78"/>
    <n v="5000000"/>
    <n v="4894992.78"/>
    <n v="40740208"/>
    <s v="AMOMPY"/>
    <s v="Momentum Capital Investment S.A."/>
    <s v="18/09/2026"/>
    <s v="18/09/2026"/>
    <n v="27"/>
    <s v="No"/>
    <s v=""/>
    <m/>
    <m/>
    <s v="*INP251100100"/>
    <s v="*INP251100100"/>
    <n v="5.9908082627780347E-5"/>
  </r>
  <r>
    <x v="54"/>
    <s v="Pesos"/>
    <d v="2026-11-27T00:00:00"/>
    <s v="29/10/2026"/>
    <n v="0.97899855999999996"/>
    <m/>
    <n v="5000000"/>
    <n v="4894992.78"/>
    <n v="5000000"/>
    <n v="4894992.78"/>
    <n v="40740201"/>
    <s v="AMOMPY"/>
    <s v="Momentum Capital Investment S.A."/>
    <s v="18/09/2026"/>
    <s v="18/09/2026"/>
    <n v="27"/>
    <s v="No"/>
    <s v=""/>
    <m/>
    <m/>
    <s v="*INP251100101"/>
    <s v="*INP251100101"/>
    <n v="5.9908082627780347E-5"/>
  </r>
  <r>
    <x v="312"/>
    <s v="Pesos"/>
    <d v="2026-11-27T00:00:00"/>
    <s v="29/10/2026"/>
    <n v="0.97596201000000005"/>
    <m/>
    <n v="2500000"/>
    <n v="2439905.0299999998"/>
    <n v="2500000"/>
    <n v="2439905.0299999998"/>
    <n v="364"/>
    <s v="AMOMPY"/>
    <s v="Momentum Capital Investment S.A."/>
    <s v="07/09/2026"/>
    <s v="07/09/2026"/>
    <n v="31"/>
    <s v="No"/>
    <s v=""/>
    <m/>
    <m/>
    <s v="*MAV251101737"/>
    <s v="*MAV251101737"/>
    <n v="2.9861133348020354E-5"/>
  </r>
  <r>
    <x v="157"/>
    <s v="Pesos"/>
    <d v="2026-11-27T00:00:00"/>
    <s v="29/10/2026"/>
    <n v="0.9744507"/>
    <m/>
    <n v="5561000"/>
    <n v="5418920.3399999999"/>
    <n v="5561000"/>
    <n v="5418920.3399999999"/>
    <n v="14101159"/>
    <s v="AMOMPY"/>
    <s v="Momentum Capital Investment S.A."/>
    <s v="15/09/2026"/>
    <s v="15/09/2026"/>
    <n v="33"/>
    <s v="No"/>
    <s v=""/>
    <m/>
    <m/>
    <s v="*MAV251101792"/>
    <s v="*MAV251101792"/>
    <n v="6.6320246438050836E-5"/>
  </r>
  <r>
    <x v="313"/>
    <s v="Pesos"/>
    <d v="2026-11-27T00:00:00"/>
    <s v="29/10/2026"/>
    <n v="0.97520572999999999"/>
    <m/>
    <n v="1509475"/>
    <n v="1472048.67"/>
    <n v="1509475"/>
    <n v="1472048.67"/>
    <n v="3848025"/>
    <s v="AMOMPY"/>
    <s v="Momentum Capital Investment S.A."/>
    <s v="15/09/2026"/>
    <s v="15/09/2026"/>
    <n v="32"/>
    <s v="No"/>
    <s v=""/>
    <m/>
    <m/>
    <s v="*MAV251101795"/>
    <s v="*MAV251101795"/>
    <n v="1.8015882212286767E-5"/>
  </r>
  <r>
    <x v="6"/>
    <s v="Pesos"/>
    <d v="2026-11-27T00:00:00"/>
    <s v="29/10/2026"/>
    <n v="0.97823760000000004"/>
    <m/>
    <n v="358808.84"/>
    <n v="351000.3"/>
    <n v="358808.84"/>
    <n v="351000.3"/>
    <n v="592"/>
    <s v="AMOMPY"/>
    <s v="Momentum Capital Investment S.A."/>
    <s v="08/10/2026"/>
    <s v="08/10/2026"/>
    <n v="28"/>
    <s v="No"/>
    <s v=""/>
    <m/>
    <m/>
    <s v="*CRE251100191"/>
    <s v="*CRE251100191"/>
    <n v="4.295768333038417E-6"/>
  </r>
  <r>
    <x v="54"/>
    <s v="Pesos"/>
    <d v="2026-11-27T00:00:00"/>
    <s v="29/10/2026"/>
    <n v="0.97596196999999996"/>
    <m/>
    <n v="60000000"/>
    <n v="58557718.079999998"/>
    <n v="60000000"/>
    <n v="58557718.079999998"/>
    <n v="80939923"/>
    <s v="AMOMPY"/>
    <s v="Momentum Capital Investment S.A."/>
    <s v="02/09/2026"/>
    <s v="02/09/2026"/>
    <n v="31"/>
    <s v="No"/>
    <s v=""/>
    <m/>
    <m/>
    <s v="*INP251100098"/>
    <s v="*INP251100098"/>
    <n v="7.1666716804246377E-4"/>
  </r>
  <r>
    <x v="54"/>
    <s v="Pesos"/>
    <d v="2026-11-27T00:00:00"/>
    <s v="29/10/2026"/>
    <n v="0.97747793000000005"/>
    <m/>
    <n v="5000000"/>
    <n v="4887389.66"/>
    <n v="5000000"/>
    <n v="4887389.66"/>
    <n v="11485"/>
    <s v="AMOMPY"/>
    <s v="Momentum Capital Investment S.A."/>
    <s v="18/09/2026"/>
    <s v="18/09/2026"/>
    <n v="29"/>
    <s v="No"/>
    <s v=""/>
    <m/>
    <m/>
    <s v="*INP251100104"/>
    <s v="*INP251100104"/>
    <n v="5.9815030735436402E-5"/>
  </r>
  <r>
    <x v="171"/>
    <s v="Pesos"/>
    <d v="2026-11-27T00:00:00"/>
    <s v="29/10/2026"/>
    <n v="0.97445077999999996"/>
    <m/>
    <n v="2170000"/>
    <n v="2114558.19"/>
    <n v="2170000"/>
    <n v="2114558.19"/>
    <n v="260739"/>
    <s v="AMOMPY"/>
    <s v="Momentum Capital Investment S.A."/>
    <s v="27/08/2026"/>
    <s v="27/08/2026"/>
    <n v="33"/>
    <s v="No"/>
    <s v=""/>
    <m/>
    <m/>
    <s v="*MAV251101695"/>
    <s v="*MAV251101695"/>
    <n v="2.5879328624417223E-5"/>
  </r>
  <r>
    <x v="68"/>
    <s v="Pesos"/>
    <d v="2026-11-27T00:00:00"/>
    <s v="29/10/2026"/>
    <n v="0.97294418000000005"/>
    <m/>
    <n v="15000000"/>
    <n v="14594162.720000001"/>
    <n v="15000000"/>
    <n v="14594162.720000001"/>
    <n v="188"/>
    <s v="AMOMPY"/>
    <s v="Momentum Capital Investment S.A."/>
    <s v="25/08/2026"/>
    <s v="25/08/2026"/>
    <n v="35"/>
    <s v="No"/>
    <s v=""/>
    <m/>
    <m/>
    <s v="*MAV251101678"/>
    <s v="*MAV251101678"/>
    <n v="1.7861278768076784E-4"/>
  </r>
  <r>
    <x v="314"/>
    <s v="Pesos"/>
    <d v="2026-11-27T00:00:00"/>
    <s v="29/10/2026"/>
    <n v="0.9744507"/>
    <m/>
    <n v="50000000"/>
    <n v="48722535.18"/>
    <n v="50000000"/>
    <n v="48722535.18"/>
    <n v="90003119"/>
    <s v="AMOMPY"/>
    <s v="Momentum Capital Investment S.A."/>
    <s v="15/09/2026"/>
    <s v="15/09/2026"/>
    <n v="33"/>
    <s v="No"/>
    <s v=""/>
    <m/>
    <m/>
    <s v="*MAV251101796"/>
    <s v="*MAV251101796"/>
    <n v="5.9629784855338942E-4"/>
  </r>
  <r>
    <x v="7"/>
    <s v="Pesos"/>
    <d v="2026-11-27T00:00:00"/>
    <s v="29/10/2026"/>
    <n v="0.97520574999999998"/>
    <m/>
    <n v="5444206"/>
    <n v="5309221"/>
    <n v="5444206"/>
    <n v="5309221"/>
    <n v="3447"/>
    <s v="AMOMPY"/>
    <s v="Momentum Capital Investment S.A."/>
    <s v="25/08/2026"/>
    <s v="25/08/2026"/>
    <n v="32"/>
    <s v="No"/>
    <s v=""/>
    <m/>
    <m/>
    <s v="*MAV251101681"/>
    <s v="*MAV251101681"/>
    <n v="6.4977675075783575E-5"/>
  </r>
  <r>
    <x v="231"/>
    <s v="Pesos"/>
    <d v="2026-11-27T00:00:00"/>
    <s v="29/10/2026"/>
    <n v="0.97671933"/>
    <m/>
    <n v="4175312.5"/>
    <n v="4078108.44"/>
    <n v="4175312.5"/>
    <n v="4078108.44"/>
    <n v="40952740"/>
    <s v="AMOMPY"/>
    <s v="Momentum Capital Investment S.A."/>
    <s v="15/10/2026"/>
    <s v="15/10/2026"/>
    <n v="30"/>
    <s v="No"/>
    <s v=""/>
    <m/>
    <m/>
    <s v="*MAV251102000"/>
    <s v="*MAV251102000"/>
    <n v="4.9910524564362767E-5"/>
  </r>
  <r>
    <x v="56"/>
    <s v="Pesos"/>
    <d v="2026-11-27T00:00:00"/>
    <s v="29/10/2026"/>
    <n v="0.97747804000000005"/>
    <m/>
    <n v="450000"/>
    <n v="439865.12"/>
    <n v="450000"/>
    <n v="439865.12"/>
    <n v="11456506"/>
    <s v="AMOMPY"/>
    <s v="Momentum Capital Investment S.A."/>
    <s v="28/10/2026"/>
    <s v="28/10/2026"/>
    <n v="29"/>
    <s v="No"/>
    <s v=""/>
    <m/>
    <m/>
    <s v="*MAV251102155"/>
    <s v="*MAV251102155"/>
    <n v="5.3833533854647515E-6"/>
  </r>
  <r>
    <x v="289"/>
    <s v="Pesos"/>
    <d v="2026-11-27T00:00:00"/>
    <s v="29/10/2026"/>
    <n v="0.97520587000000003"/>
    <m/>
    <n v="5000000"/>
    <n v="4876029.34"/>
    <n v="5000000"/>
    <n v="4876029.34"/>
    <n v="58"/>
    <s v="AMOMPY"/>
    <s v="Momentum Capital Investment S.A."/>
    <s v="20/10/2026"/>
    <s v="20/10/2026"/>
    <n v="32"/>
    <s v="No"/>
    <s v=""/>
    <m/>
    <m/>
    <s v="*MAV251102075"/>
    <s v="*MAV251102075"/>
    <n v="5.9675995803246361E-5"/>
  </r>
  <r>
    <x v="302"/>
    <s v="Pesos"/>
    <d v="2026-11-27T00:00:00"/>
    <s v="29/10/2026"/>
    <n v="0.97671934000000005"/>
    <m/>
    <n v="1187961"/>
    <n v="1160304.48"/>
    <n v="1187961"/>
    <n v="1160304.48"/>
    <n v="2596"/>
    <s v="AMOMPY"/>
    <s v="Momentum Capital Investment S.A."/>
    <s v="15/10/2026"/>
    <s v="15/10/2026"/>
    <n v="30"/>
    <s v="No"/>
    <s v=""/>
    <m/>
    <m/>
    <s v="*MAV251102005"/>
    <s v="*MAV251102005"/>
    <n v="1.420055550341868E-5"/>
  </r>
  <r>
    <x v="107"/>
    <s v="Pesos"/>
    <d v="2026-11-27T00:00:00"/>
    <s v="29/10/2026"/>
    <n v="0.97369698000000005"/>
    <m/>
    <n v="393484.48"/>
    <n v="383134.65"/>
    <n v="393484.48"/>
    <n v="383134.65"/>
    <n v="123113"/>
    <s v="AMOMPY"/>
    <s v="Momentum Capital Investment S.A."/>
    <s v="22/09/2026"/>
    <s v="22/09/2026"/>
    <n v="34"/>
    <s v="No"/>
    <s v=""/>
    <m/>
    <m/>
    <s v="*MAV251101826"/>
    <s v="*MAV251101826"/>
    <n v="4.689049259387407E-6"/>
  </r>
  <r>
    <x v="108"/>
    <s v="Pesos"/>
    <d v="2026-11-27T00:00:00"/>
    <s v="29/10/2026"/>
    <n v="0.97671938999999997"/>
    <m/>
    <n v="5577023.0199999996"/>
    <n v="5447186.5300000003"/>
    <n v="5577023.0199999996"/>
    <n v="5447186.5300000003"/>
    <n v="90017211"/>
    <s v="AMOMPY"/>
    <s v="Momentum Capital Investment S.A."/>
    <s v="11/09/2026"/>
    <s v="11/09/2026"/>
    <n v="30"/>
    <s v="No"/>
    <s v=""/>
    <m/>
    <m/>
    <s v="*MAV251101770"/>
    <s v="*MAV251101770"/>
    <n v="6.6666186324420304E-5"/>
  </r>
  <r>
    <x v="152"/>
    <s v="Pesos"/>
    <d v="2026-11-27T00:00:00"/>
    <s v="29/10/2026"/>
    <n v="0.97369687000000005"/>
    <m/>
    <n v="5000300.25"/>
    <n v="4868776.6900000004"/>
    <n v="5000300.25"/>
    <n v="4868776.6900000004"/>
    <n v="366"/>
    <s v="AMOMPY"/>
    <s v="Momentum Capital Investment S.A."/>
    <s v="16/07/2026"/>
    <s v="16/07/2026"/>
    <n v="34"/>
    <s v="No"/>
    <s v=""/>
    <m/>
    <m/>
    <s v="*MAV251101567"/>
    <s v="*MAV251101567"/>
    <n v="5.9587233189081621E-5"/>
  </r>
  <r>
    <x v="109"/>
    <s v="Pesos"/>
    <d v="2026-11-27T00:00:00"/>
    <s v="29/10/2026"/>
    <n v="0.97445079000000001"/>
    <m/>
    <n v="1500000"/>
    <n v="1461676.19"/>
    <n v="1500000"/>
    <n v="1461676.19"/>
    <n v="587"/>
    <s v="AMOMPY"/>
    <s v="Momentum Capital Investment S.A."/>
    <s v="21/09/2026"/>
    <s v="21/09/2026"/>
    <n v="33"/>
    <s v="No"/>
    <s v=""/>
    <m/>
    <m/>
    <s v="*MAV251101818"/>
    <s v="*MAV251101818"/>
    <n v="1.7888937103923399E-5"/>
  </r>
  <r>
    <x v="15"/>
    <s v="Pesos"/>
    <d v="2026-11-27T00:00:00"/>
    <s v="29/10/2026"/>
    <n v="0.97219268999999997"/>
    <m/>
    <n v="29362361.710000001"/>
    <n v="28545873.32"/>
    <n v="29362361.710000001"/>
    <n v="28545873.32"/>
    <n v="67998146"/>
    <s v="AMOMPY"/>
    <s v="Momentum Capital Investment S.A."/>
    <s v="30/06/2026"/>
    <s v="30/06/2026"/>
    <n v="36"/>
    <s v="No"/>
    <s v=""/>
    <m/>
    <m/>
    <s v="*MAV251101536"/>
    <s v="*MAV251101536"/>
    <n v="3.4936283144767181E-4"/>
  </r>
  <r>
    <x v="85"/>
    <s v="Pesos"/>
    <d v="2026-11-27T00:00:00"/>
    <s v="29/10/2026"/>
    <n v="0.98435815000000004"/>
    <m/>
    <n v="8500000"/>
    <n v="8367044.2699999996"/>
    <n v="8500000"/>
    <n v="8367044.2699999996"/>
    <n v="34603"/>
    <s v="AMOMPY"/>
    <s v="Momentum Capital Investment S.A."/>
    <s v="08/09/2026"/>
    <s v="08/09/2026"/>
    <n v="20"/>
    <s v="No"/>
    <s v=""/>
    <m/>
    <m/>
    <s v="*MAV251101735"/>
    <s v="*MAV251101735"/>
    <n v="1.0240129087125151E-4"/>
  </r>
  <r>
    <x v="44"/>
    <s v="Pesos"/>
    <d v="2026-11-27T00:00:00"/>
    <s v="29/10/2026"/>
    <n v="0.97520574999999998"/>
    <m/>
    <n v="10000000"/>
    <n v="9752057.4499999993"/>
    <n v="10000000"/>
    <n v="9752057.4499999993"/>
    <n v="14422580"/>
    <s v="AMOMPY"/>
    <s v="Momentum Capital Investment S.A."/>
    <s v="01/09/2026"/>
    <s v="01/09/2026"/>
    <n v="32"/>
    <s v="No"/>
    <s v=""/>
    <m/>
    <m/>
    <s v="*MAV251101707"/>
    <s v="*MAV251101707"/>
    <n v="1.1935197655295843E-4"/>
  </r>
  <r>
    <x v="44"/>
    <s v="Pesos"/>
    <d v="2026-11-27T00:00:00"/>
    <s v="29/10/2026"/>
    <n v="0.97520578999999996"/>
    <m/>
    <n v="11000000"/>
    <n v="10727263.67"/>
    <n v="11000000"/>
    <n v="10727263.67"/>
    <n v="14651799"/>
    <s v="AMOMPY"/>
    <s v="Momentum Capital Investment S.A."/>
    <s v="01/10/2026"/>
    <s v="01/10/2026"/>
    <n v="32"/>
    <s v="No"/>
    <s v=""/>
    <m/>
    <m/>
    <s v="*MAV251101907"/>
    <s v="*MAV251101907"/>
    <n v="1.3128718002161101E-4"/>
  </r>
  <r>
    <x v="154"/>
    <s v="Pesos"/>
    <d v="2026-11-27T00:00:00"/>
    <s v="29/10/2026"/>
    <n v="0.97445082999999999"/>
    <m/>
    <n v="2500000"/>
    <n v="2436127.0699999998"/>
    <n v="2500000"/>
    <n v="2436127.0699999998"/>
    <n v="677"/>
    <s v="AMOMPY"/>
    <s v="Momentum Capital Investment S.A."/>
    <s v="22/09/2026"/>
    <s v="22/09/2026"/>
    <n v="33"/>
    <s v="No"/>
    <s v=""/>
    <m/>
    <m/>
    <s v="*MAV251101828"/>
    <s v="*MAV251101828"/>
    <n v="2.9814896233888298E-5"/>
  </r>
  <r>
    <x v="62"/>
    <s v="Pesos"/>
    <d v="2026-11-27T00:00:00"/>
    <s v="29/10/2026"/>
    <n v="0.97520585000000004"/>
    <m/>
    <n v="50000000"/>
    <n v="48760292.649999999"/>
    <n v="50000000"/>
    <n v="48760292.649999999"/>
    <n v="5406"/>
    <s v="AMOMPY"/>
    <s v="Momentum Capital Investment S.A."/>
    <s v="29/09/2026"/>
    <s v="29/09/2026"/>
    <n v="32"/>
    <s v="No"/>
    <s v=""/>
    <m/>
    <m/>
    <s v="*MAV251101894"/>
    <s v="*MAV251101894"/>
    <n v="5.9675994885347928E-4"/>
  </r>
  <r>
    <x v="269"/>
    <s v="Pesos"/>
    <d v="2026-11-27T00:00:00"/>
    <s v="29/10/2026"/>
    <n v="0.97369687000000005"/>
    <m/>
    <n v="50000000"/>
    <n v="48684843.590000004"/>
    <n v="50000000"/>
    <n v="48684843.590000004"/>
    <n v="2230"/>
    <s v="AMOMPY"/>
    <s v="Momentum Capital Investment S.A."/>
    <s v="25/08/2026"/>
    <s v="25/08/2026"/>
    <n v="34"/>
    <s v="No"/>
    <s v=""/>
    <m/>
    <m/>
    <s v="*MAV251101679"/>
    <s v="*MAV251101679"/>
    <n v="5.9583655453528215E-4"/>
  </r>
  <r>
    <x v="26"/>
    <s v="Pesos"/>
    <d v="2026-11-27T00:00:00"/>
    <s v="29/10/2026"/>
    <n v="0.97671931999999995"/>
    <m/>
    <n v="10000000"/>
    <n v="9767193.25"/>
    <n v="10000000"/>
    <n v="9767193.25"/>
    <n v="1410"/>
    <s v="AMOMPY"/>
    <s v="Momentum Capital Investment S.A."/>
    <s v="22/10/2026"/>
    <s v="22/10/2026"/>
    <n v="30"/>
    <s v="No"/>
    <s v=""/>
    <m/>
    <m/>
    <s v="*MAV251102104"/>
    <s v="*MAV251102104"/>
    <n v="1.1953721824743905E-4"/>
  </r>
  <r>
    <x v="26"/>
    <s v="Pesos"/>
    <d v="2026-11-27T00:00:00"/>
    <s v="29/10/2026"/>
    <n v="0.97671949000000002"/>
    <m/>
    <n v="8500000"/>
    <n v="8302115.6399999997"/>
    <n v="8500000"/>
    <n v="8302115.6399999997"/>
    <n v="1408"/>
    <s v="AMOMPY"/>
    <s v="Momentum Capital Investment S.A."/>
    <s v="21/10/2026"/>
    <s v="21/10/2026"/>
    <n v="30"/>
    <s v="No"/>
    <s v=""/>
    <m/>
    <m/>
    <s v="*MAV251102093"/>
    <s v="*MAV251102093"/>
    <n v="1.0160665236905773E-4"/>
  </r>
  <r>
    <x v="308"/>
    <s v="Pesos"/>
    <d v="2026-11-27T00:00:00"/>
    <s v="29/10/2026"/>
    <n v="0.97671929999999996"/>
    <m/>
    <n v="50000000"/>
    <n v="48835964.909999996"/>
    <n v="50000000"/>
    <n v="48835964.909999996"/>
    <n v="90002958"/>
    <s v="AMOMPY"/>
    <s v="Momentum Capital Investment S.A."/>
    <s v="07/10/2026"/>
    <s v="07/10/2026"/>
    <n v="30"/>
    <s v="No"/>
    <s v=""/>
    <m/>
    <m/>
    <s v="*MAV251101960"/>
    <s v="*MAV251101960"/>
    <n v="5.9768607483740987E-4"/>
  </r>
  <r>
    <x v="254"/>
    <s v="Pesos"/>
    <d v="2026-11-27T00:00:00"/>
    <s v="29/10/2026"/>
    <n v="0.97671933"/>
    <m/>
    <n v="3500000"/>
    <n v="3418517.67"/>
    <n v="3500000"/>
    <n v="3418517.67"/>
    <n v="70425752"/>
    <s v="AMOMPY"/>
    <s v="Momentum Capital Investment S.A."/>
    <s v="15/10/2026"/>
    <s v="15/10/2026"/>
    <n v="30"/>
    <s v="No"/>
    <s v=""/>
    <m/>
    <m/>
    <s v="*MAV251102003"/>
    <s v="*MAV251102003"/>
    <n v="4.1838026784359657E-5"/>
  </r>
  <r>
    <x v="315"/>
    <s v="Pesos"/>
    <d v="2026-11-27T00:00:00"/>
    <s v="29/10/2026"/>
    <n v="0.97445081"/>
    <m/>
    <n v="1400000"/>
    <n v="1364231.14"/>
    <n v="1400000"/>
    <n v="1364231.14"/>
    <n v="41391512"/>
    <s v="AMOMPY"/>
    <s v="Momentum Capital Investment S.A."/>
    <s v="16/10/2026"/>
    <s v="16/10/2026"/>
    <n v="33"/>
    <s v="No"/>
    <s v=""/>
    <m/>
    <m/>
    <s v="*MAV251102026"/>
    <s v="*MAV251102026"/>
    <n v="1.6696341655995447E-5"/>
  </r>
  <r>
    <x v="1"/>
    <s v="Pesos"/>
    <d v="2026-11-27T00:00:00"/>
    <s v="29/10/2026"/>
    <n v="0.97823766999999995"/>
    <m/>
    <n v="40000000"/>
    <n v="39129506.890000001"/>
    <n v="40000000"/>
    <n v="39129506.890000001"/>
    <n v="42636"/>
    <s v="AMOMPY"/>
    <s v="Momentum Capital Investment S.A."/>
    <s v="22/09/2026"/>
    <s v="22/09/2026"/>
    <n v="28"/>
    <s v="No"/>
    <s v=""/>
    <m/>
    <m/>
    <s v="*AFB251100017"/>
    <s v="*AFB251100017"/>
    <n v="4.7889217355503847E-4"/>
  </r>
  <r>
    <x v="29"/>
    <s v="Pesos"/>
    <d v="2026-11-27T00:00:00"/>
    <s v="29/10/2026"/>
    <n v="0.97596194000000003"/>
    <m/>
    <n v="26000000"/>
    <n v="25375010.52"/>
    <n v="26000000"/>
    <n v="25375010.52"/>
    <n v="34571"/>
    <s v="AMOMPY"/>
    <s v="Momentum Capital Investment S.A."/>
    <s v="14/08/2026"/>
    <s v="14/08/2026"/>
    <n v="31"/>
    <s v="No"/>
    <s v=""/>
    <m/>
    <m/>
    <s v="*MIL251100045"/>
    <s v="*MIL251100045"/>
    <n v="3.105557648877585E-4"/>
  </r>
  <r>
    <x v="316"/>
    <s v="Pesos"/>
    <d v="2026-11-27T00:00:00"/>
    <s v="29/10/2026"/>
    <n v="0.97976057999999999"/>
    <m/>
    <n v="3500000"/>
    <n v="3429162.02"/>
    <n v="3500000"/>
    <n v="3429162.02"/>
    <n v="1734"/>
    <s v="AMOMPY"/>
    <s v="Momentum Capital Investment S.A."/>
    <s v="01/09/2026"/>
    <s v="01/09/2026"/>
    <n v="26"/>
    <s v="No"/>
    <s v=""/>
    <m/>
    <m/>
    <s v="*POT251100099"/>
    <s v="*POT251100099"/>
    <n v="4.1968299213345549E-5"/>
  </r>
  <r>
    <x v="135"/>
    <s v="Pesos"/>
    <d v="2026-11-27T00:00:00"/>
    <s v="29/10/2026"/>
    <n v="0.97747793000000005"/>
    <m/>
    <n v="70000000"/>
    <n v="68423455.349999994"/>
    <n v="70000000"/>
    <n v="68423455.349999994"/>
    <n v="83299237"/>
    <s v="AMOMPY"/>
    <s v="Momentum Capital Investment S.A."/>
    <s v="25/09/2026"/>
    <s v="25/09/2026"/>
    <n v="29"/>
    <s v="No"/>
    <s v=""/>
    <m/>
    <m/>
    <s v="*FTR251100020"/>
    <s v="*FTR251100020"/>
    <n v="8.3741043164236055E-4"/>
  </r>
  <r>
    <x v="136"/>
    <s v="Pesos"/>
    <d v="2026-11-27T00:00:00"/>
    <s v="29/10/2026"/>
    <n v="0.97671938999999997"/>
    <m/>
    <n v="2700000"/>
    <n v="2637142.36"/>
    <n v="2700000"/>
    <n v="2637142.36"/>
    <n v="6915"/>
    <s v="AMOMPY"/>
    <s v="Momentum Capital Investment S.A."/>
    <s v="11/09/2026"/>
    <s v="11/09/2026"/>
    <n v="30"/>
    <s v="No"/>
    <s v=""/>
    <m/>
    <m/>
    <s v="*MAV251101771"/>
    <s v="*MAV251101771"/>
    <n v="3.2275051160361394E-5"/>
  </r>
  <r>
    <x v="194"/>
    <s v="Pesos"/>
    <d v="2026-11-27T00:00:00"/>
    <s v="29/10/2026"/>
    <n v="0.97369684999999995"/>
    <m/>
    <n v="5400000"/>
    <n v="5257963.01"/>
    <n v="5400000"/>
    <n v="5257963.01"/>
    <n v="162800"/>
    <s v="AMOMPY"/>
    <s v="Momentum Capital Investment S.A."/>
    <s v="28/08/2026"/>
    <s v="28/08/2026"/>
    <n v="34"/>
    <s v="No"/>
    <s v=""/>
    <m/>
    <m/>
    <s v="#MAV261160029"/>
    <s v="#MAV261160029"/>
    <n v="6.4350346693849999E-5"/>
  </r>
  <r>
    <x v="49"/>
    <s v="Pesos"/>
    <d v="2026-11-27T00:00:00"/>
    <s v="29/10/2026"/>
    <n v="0.97144235999999995"/>
    <m/>
    <n v="25000000"/>
    <n v="24286059.059999999"/>
    <n v="25000000"/>
    <n v="24286059.059999999"/>
    <n v="2665"/>
    <s v="AMOMPY"/>
    <s v="Momentum Capital Investment S.A."/>
    <s v="24/08/2026"/>
    <s v="24/08/2026"/>
    <n v="37"/>
    <s v="No"/>
    <s v=""/>
    <m/>
    <m/>
    <s v="*MAV251101655"/>
    <s v="*MAV251101655"/>
    <n v="2.9722847371996193E-4"/>
  </r>
  <r>
    <x v="26"/>
    <s v="Pesos"/>
    <d v="2026-11-27T00:00:00"/>
    <s v="29/10/2026"/>
    <n v="0.97520574999999998"/>
    <m/>
    <n v="3000000"/>
    <n v="2925617.25"/>
    <n v="3000000"/>
    <n v="2925617.25"/>
    <n v="1063"/>
    <s v="AMOMPY"/>
    <s v="Momentum Capital Investment S.A."/>
    <s v="25/08/2026"/>
    <s v="25/08/2026"/>
    <n v="32"/>
    <s v="No"/>
    <s v=""/>
    <m/>
    <m/>
    <s v="*MAV251101680"/>
    <s v="*MAV251101680"/>
    <n v="3.5805593149467219E-5"/>
  </r>
  <r>
    <x v="26"/>
    <s v="Pesos"/>
    <d v="2026-11-27T00:00:00"/>
    <s v="29/10/2026"/>
    <n v="0.97445075999999997"/>
    <m/>
    <n v="2500000"/>
    <n v="2436126.9"/>
    <n v="2500000"/>
    <n v="2436126.9"/>
    <n v="1027"/>
    <s v="AMOMPY"/>
    <s v="Momentum Capital Investment S.A."/>
    <s v="19/08/2026"/>
    <s v="18/08/2026"/>
    <n v="33"/>
    <s v="No"/>
    <s v=""/>
    <m/>
    <m/>
    <s v="*MAV251101639"/>
    <s v="*MAV251101639"/>
    <n v="2.9814894153318522E-5"/>
  </r>
  <r>
    <x v="26"/>
    <s v="Pesos"/>
    <d v="2026-11-27T00:00:00"/>
    <s v="29/10/2026"/>
    <n v="0.97671929000000002"/>
    <m/>
    <n v="2500000"/>
    <n v="2441798.23"/>
    <n v="2500000"/>
    <n v="2441798.23"/>
    <n v="900"/>
    <s v="AMOMPY"/>
    <s v="Momentum Capital Investment S.A."/>
    <s v="06/08/2026"/>
    <s v="06/08/2026"/>
    <n v="30"/>
    <s v="No"/>
    <s v=""/>
    <m/>
    <m/>
    <s v="*MAV251101611"/>
    <s v="*MAV251101611"/>
    <n v="2.9884303552171487E-5"/>
  </r>
  <r>
    <x v="317"/>
    <s v="Pesos"/>
    <d v="2026-11-27T00:00:00"/>
    <s v="29/10/2026"/>
    <n v="0.97445075999999997"/>
    <m/>
    <n v="36300000"/>
    <n v="35372562.75"/>
    <n v="36300000"/>
    <n v="35372562.75"/>
    <n v="152"/>
    <s v="AMOMPY"/>
    <s v="Momentum Capital Investment S.A."/>
    <s v="01/10/2026"/>
    <s v="01/10/2026"/>
    <n v="33"/>
    <s v="No"/>
    <s v=""/>
    <m/>
    <m/>
    <s v="MAVR251100097"/>
    <s v="MAVR251100097"/>
    <n v="4.3291226508884555E-4"/>
  </r>
  <r>
    <x v="318"/>
    <s v="Pesos"/>
    <d v="2026-11-27T00:00:00"/>
    <s v="29/10/2026"/>
    <n v="0.97445075999999997"/>
    <m/>
    <n v="7500000"/>
    <n v="7308380.7199999997"/>
    <n v="7500000"/>
    <n v="7308380.7199999997"/>
    <n v="70407056"/>
    <s v="AMOMPY"/>
    <s v="Momentum Capital Investment S.A."/>
    <s v="01/10/2026"/>
    <s v="01/10/2026"/>
    <n v="33"/>
    <s v="No"/>
    <s v=""/>
    <m/>
    <m/>
    <s v="*MAV251101916"/>
    <s v="*MAV251101916"/>
    <n v="8.9444682704728476E-5"/>
  </r>
  <r>
    <x v="2"/>
    <s v="Pesos"/>
    <d v="2026-11-30T00:00:00"/>
    <s v="29/10/2026"/>
    <n v="0.9702286"/>
    <m/>
    <n v="1250300.6499999999"/>
    <n v="1213077.45"/>
    <n v="1250300.6499999999"/>
    <n v="1213077.45"/>
    <n v="3598"/>
    <s v="AMOMPY"/>
    <s v="Momentum Capital Investment S.A."/>
    <s v="18/09/2026"/>
    <s v="18/09/2026"/>
    <n v="35"/>
    <s v="No"/>
    <s v=""/>
    <m/>
    <m/>
    <s v="*MAV261101268"/>
    <s v="*MAV261101268"/>
    <n v="1.4846425188904379E-5"/>
  </r>
  <r>
    <x v="2"/>
    <s v="Pesos"/>
    <d v="2026-11-30T00:00:00"/>
    <s v="29/10/2026"/>
    <n v="0.9702286"/>
    <m/>
    <n v="3102456.89"/>
    <n v="3010092.41"/>
    <n v="3102456.89"/>
    <n v="3010092.41"/>
    <n v="3517"/>
    <s v="AMOMPY"/>
    <s v="Momentum Capital Investment S.A."/>
    <s v="18/09/2026"/>
    <s v="18/09/2026"/>
    <n v="35"/>
    <s v="No"/>
    <s v=""/>
    <m/>
    <m/>
    <s v="*MAV261101267"/>
    <s v="*MAV261101267"/>
    <n v="3.6839454708150653E-5"/>
  </r>
  <r>
    <x v="2"/>
    <s v="Pesos"/>
    <d v="2026-11-30T00:00:00"/>
    <s v="29/10/2026"/>
    <n v="0.97022861000000005"/>
    <m/>
    <n v="1555000.5"/>
    <n v="1508705.98"/>
    <n v="1555000.5"/>
    <n v="1508705.98"/>
    <n v="3597"/>
    <s v="AMOMPY"/>
    <s v="Momentum Capital Investment S.A."/>
    <s v="18/09/2026"/>
    <s v="18/09/2026"/>
    <n v="35"/>
    <s v="No"/>
    <s v=""/>
    <m/>
    <m/>
    <s v="*MAV261101265"/>
    <s v="*MAV261101265"/>
    <n v="1.8464518043858345E-5"/>
  </r>
  <r>
    <x v="2"/>
    <s v="Pesos"/>
    <d v="2026-11-30T00:00:00"/>
    <s v="29/10/2026"/>
    <n v="0.9702286"/>
    <m/>
    <n v="4150625.28"/>
    <n v="4027055.36"/>
    <n v="4150625.28"/>
    <n v="4027055.36"/>
    <n v="3485"/>
    <s v="AMOMPY"/>
    <s v="Momentum Capital Investment S.A."/>
    <s v="18/09/2026"/>
    <s v="18/09/2026"/>
    <n v="35"/>
    <s v="No"/>
    <s v=""/>
    <m/>
    <m/>
    <s v="*MAV261101266"/>
    <s v="*MAV261101266"/>
    <n v="4.9285704003331685E-5"/>
  </r>
  <r>
    <x v="54"/>
    <s v="Pesos"/>
    <d v="2026-11-30T00:00:00"/>
    <s v="29/10/2026"/>
    <n v="0.97604029999999997"/>
    <m/>
    <n v="8000000"/>
    <n v="7808322.4299999997"/>
    <n v="8000000"/>
    <n v="7808322.4299999997"/>
    <n v="6493"/>
    <s v="AMOMPY"/>
    <s v="Momentum Capital Investment S.A."/>
    <s v="17/09/2026"/>
    <s v="17/09/2026"/>
    <n v="28"/>
    <s v="No"/>
    <s v=""/>
    <m/>
    <m/>
    <s v="*INP261100064"/>
    <s v="*INP261100064"/>
    <n v="9.5563292193618022E-5"/>
  </r>
  <r>
    <x v="54"/>
    <s v="Pesos"/>
    <d v="2026-11-30T00:00:00"/>
    <s v="29/10/2026"/>
    <n v="0.97687614"/>
    <m/>
    <n v="5000000"/>
    <n v="4884380.6900000004"/>
    <n v="5000000"/>
    <n v="4884380.6900000004"/>
    <n v="40740211"/>
    <s v="AMOMPY"/>
    <s v="Momentum Capital Investment S.A."/>
    <s v="18/09/2026"/>
    <s v="18/09/2026"/>
    <n v="27"/>
    <s v="No"/>
    <s v=""/>
    <m/>
    <m/>
    <s v="*INP261100060"/>
    <s v="*INP261100060"/>
    <n v="5.9778205017506643E-5"/>
  </r>
  <r>
    <x v="54"/>
    <s v="Pesos"/>
    <d v="2026-11-30T00:00:00"/>
    <s v="29/10/2026"/>
    <n v="0.97687614"/>
    <m/>
    <n v="5000000"/>
    <n v="4884380.6900000004"/>
    <n v="5000000"/>
    <n v="4884380.6900000004"/>
    <n v="40740209"/>
    <s v="AMOMPY"/>
    <s v="Momentum Capital Investment S.A."/>
    <s v="18/09/2026"/>
    <s v="18/09/2026"/>
    <n v="27"/>
    <s v="No"/>
    <s v=""/>
    <m/>
    <m/>
    <s v="*INP261100061"/>
    <s v="*INP261100061"/>
    <n v="5.9778205017506643E-5"/>
  </r>
  <r>
    <x v="4"/>
    <s v="Pesos"/>
    <d v="2026-11-30T00:00:00"/>
    <s v="29/10/2026"/>
    <n v="0.97271081999999998"/>
    <m/>
    <n v="6535955.1799999997"/>
    <n v="6357594.2999999998"/>
    <n v="6535955.1799999997"/>
    <n v="6357594.2999999998"/>
    <n v="30000339"/>
    <s v="AMOMPY"/>
    <s v="Momentum Capital Investment S.A."/>
    <s v="04/09/2026"/>
    <s v="04/09/2026"/>
    <n v="32"/>
    <s v="No"/>
    <s v=""/>
    <m/>
    <m/>
    <s v="*MAV261101203"/>
    <s v="*MAV261101203"/>
    <n v="7.7808344517784009E-5"/>
  </r>
  <r>
    <x v="4"/>
    <s v="Pesos"/>
    <d v="2026-11-30T00:00:00"/>
    <s v="29/10/2026"/>
    <n v="0.97022876999999996"/>
    <m/>
    <n v="24325173.129999999"/>
    <n v="23600982.690000001"/>
    <n v="24325173.129999999"/>
    <n v="23600982.690000001"/>
    <n v="30000679"/>
    <s v="AMOMPY"/>
    <s v="Momentum Capital Investment S.A."/>
    <s v="23/10/2026"/>
    <s v="23/10/2026"/>
    <n v="35"/>
    <s v="No"/>
    <s v=""/>
    <m/>
    <m/>
    <s v="*MAV261101519"/>
    <s v="*MAV261101519"/>
    <n v="2.8884406670960069E-4"/>
  </r>
  <r>
    <x v="266"/>
    <s v="Pesos"/>
    <d v="2026-11-30T00:00:00"/>
    <s v="29/10/2026"/>
    <n v="0.97188202000000001"/>
    <m/>
    <n v="6590432.0999999996"/>
    <n v="6405122.4299999997"/>
    <n v="6590432.0999999996"/>
    <n v="6405122.4299999997"/>
    <n v="14100646"/>
    <s v="AMOMPY"/>
    <s v="Momentum Capital Investment S.A."/>
    <s v="15/09/2026"/>
    <s v="15/09/2026"/>
    <n v="33"/>
    <s v="No"/>
    <s v=""/>
    <m/>
    <m/>
    <s v="*MAV261101251"/>
    <s v="*MAV261101251"/>
    <n v="7.8390024464446541E-5"/>
  </r>
  <r>
    <x v="55"/>
    <s v="Pesos"/>
    <d v="2026-11-30T00:00:00"/>
    <s v="29/10/2026"/>
    <n v="0.97687614"/>
    <m/>
    <n v="8000000"/>
    <n v="7815009.1100000003"/>
    <n v="8000000"/>
    <n v="7815009.1100000003"/>
    <n v="69816005"/>
    <s v="AMOMPY"/>
    <s v="Momentum Capital Investment S.A."/>
    <s v="18/09/2026"/>
    <s v="18/09/2026"/>
    <n v="27"/>
    <s v="No"/>
    <s v=""/>
    <m/>
    <m/>
    <s v="*PRO261100013"/>
    <s v="*PRO261100013"/>
    <n v="9.5645128101442495E-5"/>
  </r>
  <r>
    <x v="171"/>
    <s v="Pesos"/>
    <d v="2026-11-30T00:00:00"/>
    <s v="29/10/2026"/>
    <n v="0.97188209999999997"/>
    <m/>
    <n v="2170000"/>
    <n v="2108984.15"/>
    <n v="2170000"/>
    <n v="2108984.15"/>
    <n v="260740"/>
    <s v="AMOMPY"/>
    <s v="Momentum Capital Investment S.A."/>
    <s v="27/08/2026"/>
    <s v="27/08/2026"/>
    <n v="33"/>
    <s v="No"/>
    <s v=""/>
    <m/>
    <m/>
    <s v="*MAV261101162"/>
    <s v="*MAV261101162"/>
    <n v="2.5811109923410161E-5"/>
  </r>
  <r>
    <x v="34"/>
    <s v="Pesos"/>
    <d v="2026-11-30T00:00:00"/>
    <s v="29/10/2026"/>
    <n v="0.97271088000000006"/>
    <m/>
    <n v="75000000"/>
    <n v="72953315.730000004"/>
    <n v="75000000"/>
    <n v="72953315.730000004"/>
    <n v="3497"/>
    <s v="AMOMPY"/>
    <s v="Momentum Capital Investment S.A."/>
    <s v="22/10/2026"/>
    <s v="22/10/2026"/>
    <n v="32"/>
    <s v="No"/>
    <s v=""/>
    <m/>
    <m/>
    <s v="*MAV261101515"/>
    <s v="*MAV261101515"/>
    <n v="8.9284978817137043E-4"/>
  </r>
  <r>
    <x v="174"/>
    <s v="Pesos"/>
    <d v="2026-11-30T00:00:00"/>
    <s v="29/10/2026"/>
    <n v="0.97188211000000002"/>
    <m/>
    <n v="5112056"/>
    <n v="4968315.79"/>
    <n v="5112056"/>
    <n v="4968315.79"/>
    <n v="14500667"/>
    <s v="AMOMPY"/>
    <s v="Momentum Capital Investment S.A."/>
    <s v="14/09/2026"/>
    <s v="14/09/2026"/>
    <n v="33"/>
    <s v="No"/>
    <s v=""/>
    <m/>
    <m/>
    <s v="*MAV261101244"/>
    <s v="*MAV261101244"/>
    <n v="6.080545697316141E-5"/>
  </r>
  <r>
    <x v="7"/>
    <s v="Pesos"/>
    <d v="2026-11-30T00:00:00"/>
    <s v="29/10/2026"/>
    <n v="0.97271083999999997"/>
    <m/>
    <n v="5444206"/>
    <n v="5295638.1900000004"/>
    <n v="5444206"/>
    <n v="5295638.1900000004"/>
    <n v="3448"/>
    <s v="AMOMPY"/>
    <s v="Momentum Capital Investment S.A."/>
    <s v="25/08/2026"/>
    <s v="25/08/2026"/>
    <n v="32"/>
    <s v="No"/>
    <s v=""/>
    <m/>
    <m/>
    <s v="*MAV261101146"/>
    <s v="*MAV261101146"/>
    <n v="6.4811439875780399E-5"/>
  </r>
  <r>
    <x v="223"/>
    <s v="Pesos"/>
    <d v="2026-11-30T00:00:00"/>
    <s v="29/10/2026"/>
    <n v="0.97188215"/>
    <m/>
    <n v="668750.99"/>
    <n v="649947.15"/>
    <n v="668750.99"/>
    <n v="649947.15"/>
    <n v="19643"/>
    <s v="AMOMPY"/>
    <s v="Momentum Capital Investment S.A."/>
    <s v="16/10/2026"/>
    <s v="16/10/2026"/>
    <n v="33"/>
    <s v="No"/>
    <s v=""/>
    <m/>
    <m/>
    <s v="*MAV261101465"/>
    <s v="*MAV261101465"/>
    <n v="7.9544729309877239E-6"/>
  </r>
  <r>
    <x v="245"/>
    <s v="Pesos"/>
    <d v="2026-11-30T00:00:00"/>
    <s v="29/10/2026"/>
    <n v="0.96940406000000001"/>
    <m/>
    <n v="30000000"/>
    <n v="29082121.710000001"/>
    <n v="30000000"/>
    <n v="29082121.710000001"/>
    <n v="10978204"/>
    <s v="AMOMPY"/>
    <s v="Momentum Capital Investment S.A."/>
    <s v="01/09/2026"/>
    <s v="01/09/2026"/>
    <n v="36"/>
    <s v="No"/>
    <s v=""/>
    <m/>
    <m/>
    <s v="*MAV261101184"/>
    <s v="*MAV261101184"/>
    <n v="3.5592578553177043E-4"/>
  </r>
  <r>
    <x v="109"/>
    <s v="Pesos"/>
    <d v="2026-11-30T00:00:00"/>
    <s v="29/10/2026"/>
    <n v="0.97188211000000002"/>
    <m/>
    <n v="1500000"/>
    <n v="1457823.16"/>
    <n v="1500000"/>
    <n v="1457823.16"/>
    <n v="588"/>
    <s v="AMOMPY"/>
    <s v="Momentum Capital Investment S.A."/>
    <s v="21/09/2026"/>
    <s v="21/09/2026"/>
    <n v="33"/>
    <s v="No"/>
    <s v=""/>
    <m/>
    <m/>
    <s v="*MAV261101273"/>
    <s v="*MAV261101273"/>
    <n v="1.7841781234654209E-5"/>
  </r>
  <r>
    <x v="319"/>
    <s v="Pesos"/>
    <d v="2026-11-30T00:00:00"/>
    <s v="29/10/2026"/>
    <n v="0.97520598999999997"/>
    <m/>
    <n v="815564.82"/>
    <n v="795343.7"/>
    <n v="815564.82"/>
    <n v="795343.7"/>
    <n v="604012"/>
    <s v="AMOMPY"/>
    <s v="Momentum Capital Investment S.A."/>
    <s v="28/10/2026"/>
    <s v="28/10/2026"/>
    <n v="29"/>
    <s v="No"/>
    <s v=""/>
    <m/>
    <m/>
    <s v="*MAV261101578"/>
    <s v="*MAV261101578"/>
    <n v="9.7339298010332385E-6"/>
  </r>
  <r>
    <x v="44"/>
    <s v="Pesos"/>
    <d v="2026-11-30T00:00:00"/>
    <s v="29/10/2026"/>
    <n v="0.97188207999999998"/>
    <m/>
    <n v="12500000"/>
    <n v="12148526.039999999"/>
    <n v="12500000"/>
    <n v="12148526.039999999"/>
    <n v="14651813"/>
    <s v="AMOMPY"/>
    <s v="Momentum Capital Investment S.A."/>
    <s v="01/10/2026"/>
    <s v="01/10/2026"/>
    <n v="33"/>
    <s v="No"/>
    <s v=""/>
    <m/>
    <m/>
    <s v="*MAV261101364"/>
    <s v="*MAV261101364"/>
    <n v="1.4868150669878231E-4"/>
  </r>
  <r>
    <x v="59"/>
    <s v="Pesos"/>
    <d v="2026-11-30T00:00:00"/>
    <s v="29/10/2026"/>
    <n v="0.97437267000000005"/>
    <m/>
    <n v="671045.38"/>
    <n v="653848.28"/>
    <n v="671045.38"/>
    <n v="653848.28"/>
    <n v="634"/>
    <s v="AMOMPY"/>
    <s v="Momentum Capital Investment S.A."/>
    <s v="21/10/2026"/>
    <s v="21/10/2026"/>
    <n v="30"/>
    <s v="No"/>
    <s v=""/>
    <m/>
    <m/>
    <s v="*MAV261101498"/>
    <s v="*MAV261101498"/>
    <n v="8.0022174791179279E-6"/>
  </r>
  <r>
    <x v="204"/>
    <s v="Pesos"/>
    <d v="2026-11-30T00:00:00"/>
    <s v="29/10/2026"/>
    <n v="0.97188200000000002"/>
    <m/>
    <n v="2500000"/>
    <n v="2429705.0099999998"/>
    <n v="2500000"/>
    <n v="2429705.0099999998"/>
    <n v="105"/>
    <s v="AMOMPY"/>
    <s v="Momentum Capital Investment S.A."/>
    <s v="22/09/2026"/>
    <s v="22/09/2026"/>
    <n v="33"/>
    <s v="No"/>
    <s v=""/>
    <m/>
    <m/>
    <s v="*MAV261101283"/>
    <s v="*MAV261101283"/>
    <n v="2.97362989165046E-5"/>
  </r>
  <r>
    <x v="25"/>
    <s v="Pesos"/>
    <d v="2026-11-30T00:00:00"/>
    <s v="29/10/2026"/>
    <n v="0.97687623999999995"/>
    <m/>
    <n v="10000000"/>
    <n v="9768762.3499999996"/>
    <n v="10000000"/>
    <n v="9768762.3499999996"/>
    <n v="14199482"/>
    <s v="AMOMPY"/>
    <s v="Momentum Capital Investment S.A."/>
    <s v="21/09/2026"/>
    <s v="21/09/2026"/>
    <n v="27"/>
    <s v="No"/>
    <s v=""/>
    <m/>
    <m/>
    <s v="*NEU261100020"/>
    <s v="*NEU261100020"/>
    <n v="1.1955642190649965E-4"/>
  </r>
  <r>
    <x v="26"/>
    <s v="Pesos"/>
    <d v="2026-11-30T00:00:00"/>
    <s v="29/10/2026"/>
    <n v="0.97437273999999996"/>
    <m/>
    <n v="10000000"/>
    <n v="9743727.3800000008"/>
    <n v="10000000"/>
    <n v="9743727.3800000008"/>
    <n v="1411"/>
    <s v="AMOMPY"/>
    <s v="Momentum Capital Investment S.A."/>
    <s v="22/10/2026"/>
    <s v="22/10/2026"/>
    <n v="30"/>
    <s v="No"/>
    <s v=""/>
    <m/>
    <m/>
    <s v="*MAV261101507"/>
    <s v="*MAV261101507"/>
    <n v="1.1925002777707994E-4"/>
  </r>
  <r>
    <x v="26"/>
    <s v="Pesos"/>
    <d v="2026-11-30T00:00:00"/>
    <s v="29/10/2026"/>
    <n v="0.97437280000000004"/>
    <m/>
    <n v="9000000"/>
    <n v="8769355.2400000002"/>
    <n v="9000000"/>
    <n v="8769355.2400000002"/>
    <n v="1426"/>
    <s v="AMOMPY"/>
    <s v="Momentum Capital Investment S.A."/>
    <s v="23/10/2026"/>
    <s v="23/10/2026"/>
    <n v="30"/>
    <s v="No"/>
    <s v=""/>
    <m/>
    <m/>
    <s v="*MAV261101518"/>
    <s v="*MAV261101518"/>
    <n v="1.073250323180821E-4"/>
  </r>
  <r>
    <x v="26"/>
    <s v="Pesos"/>
    <d v="2026-11-30T00:00:00"/>
    <s v="29/10/2026"/>
    <n v="0.97437277"/>
    <m/>
    <n v="10000000"/>
    <n v="9743727.7100000009"/>
    <n v="10000000"/>
    <n v="9743727.7100000009"/>
    <n v="1432"/>
    <s v="AMOMPY"/>
    <s v="Momentum Capital Investment S.A."/>
    <s v="26/10/2026"/>
    <s v="26/10/2026"/>
    <n v="30"/>
    <s v="No"/>
    <s v=""/>
    <m/>
    <m/>
    <s v="*MAV261101528"/>
    <s v="*MAV261101528"/>
    <n v="1.1925003181583303E-4"/>
  </r>
  <r>
    <x v="308"/>
    <s v="Pesos"/>
    <d v="2026-11-30T00:00:00"/>
    <s v="29/10/2026"/>
    <n v="0.97437269999999998"/>
    <m/>
    <n v="50000000"/>
    <n v="48718634.960000001"/>
    <n v="50000000"/>
    <n v="48718634.960000001"/>
    <n v="90002959"/>
    <s v="AMOMPY"/>
    <s v="Momentum Capital Investment S.A."/>
    <s v="07/10/2026"/>
    <s v="07/10/2026"/>
    <n v="30"/>
    <s v="No"/>
    <s v=""/>
    <m/>
    <m/>
    <s v="*MAV261101411"/>
    <s v="*MAV261101411"/>
    <n v="5.9625011514242683E-4"/>
  </r>
  <r>
    <x v="320"/>
    <s v="Pesos"/>
    <d v="2026-11-30T00:00:00"/>
    <s v="29/10/2026"/>
    <n v="0.97437275000000001"/>
    <m/>
    <n v="2750000"/>
    <n v="2679525.0499999998"/>
    <n v="2750000"/>
    <n v="2679525.0499999998"/>
    <n v="653"/>
    <s v="AMOMPY"/>
    <s v="Momentum Capital Investment S.A."/>
    <s v="08/10/2026"/>
    <s v="08/10/2026"/>
    <n v="30"/>
    <s v="No"/>
    <s v=""/>
    <m/>
    <m/>
    <s v="*MAV261101416"/>
    <s v="*MAV261101416"/>
    <n v="3.2793757889589217E-5"/>
  </r>
  <r>
    <x v="29"/>
    <s v="Pesos"/>
    <d v="2026-11-30T00:00:00"/>
    <s v="29/10/2026"/>
    <n v="0.97354105999999996"/>
    <m/>
    <n v="15000000"/>
    <n v="14603115.869999999"/>
    <n v="15000000"/>
    <n v="14603115.869999999"/>
    <n v="2442"/>
    <s v="AMOMPY"/>
    <s v="Momentum Capital Investment S.A."/>
    <s v="14/08/2026"/>
    <s v="14/08/2026"/>
    <n v="31"/>
    <s v="No"/>
    <s v=""/>
    <m/>
    <m/>
    <s v="*MIL261100034"/>
    <s v="*MIL261100034"/>
    <n v="1.7872236211204592E-4"/>
  </r>
  <r>
    <x v="29"/>
    <s v="Pesos"/>
    <d v="2026-11-30T00:00:00"/>
    <s v="29/10/2026"/>
    <n v="0.97771353000000005"/>
    <m/>
    <n v="5000000"/>
    <n v="4888567.6500000004"/>
    <n v="5000000"/>
    <n v="4888567.6500000004"/>
    <n v="491506"/>
    <s v="AMOMPY"/>
    <s v="Momentum Capital Investment S.A."/>
    <s v="20/07/2026"/>
    <s v="20/07/2026"/>
    <n v="26"/>
    <s v="No"/>
    <s v=""/>
    <m/>
    <m/>
    <s v="*MIL261100032"/>
    <s v="*MIL261100032"/>
    <n v="5.9829447737754173E-5"/>
  </r>
  <r>
    <x v="26"/>
    <s v="Pesos"/>
    <d v="2026-11-30T00:00:00"/>
    <s v="29/10/2026"/>
    <n v="0.97271083999999997"/>
    <m/>
    <n v="3000000"/>
    <n v="2918132.53"/>
    <n v="3000000"/>
    <n v="2918132.53"/>
    <n v="1064"/>
    <s v="AMOMPY"/>
    <s v="Momentum Capital Investment S.A."/>
    <s v="25/08/2026"/>
    <s v="25/08/2026"/>
    <n v="32"/>
    <s v="No"/>
    <s v=""/>
    <m/>
    <m/>
    <s v="*MAV261101145"/>
    <s v="*MAV261101145"/>
    <n v="3.5713990312781156E-5"/>
  </r>
  <r>
    <x v="26"/>
    <s v="Pesos"/>
    <d v="2026-11-30T00:00:00"/>
    <s v="29/10/2026"/>
    <n v="0.97188205999999999"/>
    <m/>
    <n v="2500000"/>
    <n v="2429705.16"/>
    <n v="2500000"/>
    <n v="2429705.16"/>
    <n v="1028"/>
    <s v="AMOMPY"/>
    <s v="Momentum Capital Investment S.A."/>
    <s v="19/08/2026"/>
    <s v="18/08/2026"/>
    <n v="33"/>
    <s v="No"/>
    <s v=""/>
    <m/>
    <m/>
    <s v="*MAV261101126"/>
    <s v="*MAV261101126"/>
    <n v="2.9736300752301469E-5"/>
  </r>
  <r>
    <x v="26"/>
    <s v="Pesos"/>
    <d v="2026-11-30T00:00:00"/>
    <s v="29/10/2026"/>
    <n v="0.97437267999999999"/>
    <m/>
    <n v="2500000"/>
    <n v="2435931.7000000002"/>
    <n v="2500000"/>
    <n v="2435931.7000000002"/>
    <n v="901"/>
    <s v="AMOMPY"/>
    <s v="Momentum Capital Investment S.A."/>
    <s v="06/08/2026"/>
    <s v="06/08/2026"/>
    <n v="30"/>
    <s v="No"/>
    <s v=""/>
    <m/>
    <m/>
    <s v="*MAV261101103"/>
    <s v="*MAV261101103"/>
    <n v="2.9812505169666347E-5"/>
  </r>
  <r>
    <x v="321"/>
    <s v="Pesos"/>
    <d v="2026-11-30T00:00:00"/>
    <s v="29/10/2026"/>
    <n v="0.97271092000000003"/>
    <m/>
    <n v="142978.09"/>
    <n v="139076.35"/>
    <n v="142978.09"/>
    <n v="139076.35"/>
    <n v="70138580"/>
    <s v="AMOMPY"/>
    <s v="Momentum Capital Investment S.A."/>
    <s v="02/10/2026"/>
    <s v="02/10/2026"/>
    <n v="32"/>
    <s v="No"/>
    <s v=""/>
    <m/>
    <m/>
    <s v="*MAV261101393"/>
    <s v="*MAV261101393"/>
    <n v="1.7021061811188409E-6"/>
  </r>
  <r>
    <x v="2"/>
    <s v="Pesos"/>
    <d v="2026-12-01T00:00:00"/>
    <s v="29/10/2026"/>
    <n v="0.96847810000000001"/>
    <m/>
    <n v="3105640.28"/>
    <n v="3007744.61"/>
    <n v="3105640.28"/>
    <n v="3007744.61"/>
    <n v="3387"/>
    <s v="AMOMPY"/>
    <s v="Momentum Capital Investment S.A."/>
    <s v="10/09/2026"/>
    <s v="10/09/2026"/>
    <n v="36"/>
    <s v="No"/>
    <s v=""/>
    <m/>
    <m/>
    <s v="*MAV271101374"/>
    <s v="*MAV271101374"/>
    <n v="3.6810720815637432E-5"/>
  </r>
  <r>
    <x v="283"/>
    <s v="Pesos"/>
    <d v="2026-12-01T00:00:00"/>
    <s v="29/10/2026"/>
    <n v="0.97530996999999997"/>
    <m/>
    <n v="70000000"/>
    <n v="68271698.150000006"/>
    <n v="70000000"/>
    <n v="68271698.150000006"/>
    <n v="11169841"/>
    <s v="AMOMPY"/>
    <s v="Momentum Capital Investment S.A."/>
    <s v="23/09/2026"/>
    <s v="23/09/2026"/>
    <n v="28"/>
    <s v="No"/>
    <s v=""/>
    <m/>
    <m/>
    <s v="*SOL271100007"/>
    <s v="*SOL271100007"/>
    <n v="8.3555312903016757E-4"/>
  </r>
  <r>
    <x v="259"/>
    <s v="Pesos"/>
    <d v="2026-12-01T00:00:00"/>
    <s v="29/10/2026"/>
    <n v="0.97359298000000005"/>
    <m/>
    <n v="7270000"/>
    <n v="7078020.9900000002"/>
    <n v="7270000"/>
    <n v="7078020.9900000002"/>
    <n v="3969"/>
    <s v="AMOMPY"/>
    <s v="Momentum Capital Investment S.A."/>
    <s v="15/10/2026"/>
    <s v="15/10/2026"/>
    <n v="30"/>
    <s v="No"/>
    <s v=""/>
    <m/>
    <m/>
    <s v="*MAV271101681"/>
    <s v="*MAV271101681"/>
    <n v="8.6625391572096177E-5"/>
  </r>
  <r>
    <x v="54"/>
    <s v="Pesos"/>
    <d v="2026-12-01T00:00:00"/>
    <s v="29/10/2026"/>
    <n v="0.97617083000000004"/>
    <m/>
    <n v="5000000"/>
    <n v="4880854.13"/>
    <n v="5000000"/>
    <n v="4880854.13"/>
    <n v="40740200"/>
    <s v="AMOMPY"/>
    <s v="Momentum Capital Investment S.A."/>
    <s v="18/09/2026"/>
    <s v="18/09/2026"/>
    <n v="27"/>
    <s v="No"/>
    <s v=""/>
    <m/>
    <m/>
    <s v="*INP271100063"/>
    <s v="*INP271100063"/>
    <n v="5.9735044698918418E-5"/>
  </r>
  <r>
    <x v="54"/>
    <s v="Pesos"/>
    <d v="2026-12-01T00:00:00"/>
    <s v="29/10/2026"/>
    <n v="0.97617083000000004"/>
    <m/>
    <n v="5000000"/>
    <n v="4880854.13"/>
    <n v="5000000"/>
    <n v="4880854.13"/>
    <n v="40740203"/>
    <s v="AMOMPY"/>
    <s v="Momentum Capital Investment S.A."/>
    <s v="18/09/2026"/>
    <s v="18/09/2026"/>
    <n v="27"/>
    <s v="No"/>
    <s v=""/>
    <m/>
    <m/>
    <s v="*INP271100064"/>
    <s v="*INP271100064"/>
    <n v="5.9735044698918418E-5"/>
  </r>
  <r>
    <x v="3"/>
    <s v="Pesos"/>
    <d v="2026-12-01T00:00:00"/>
    <s v="29/10/2026"/>
    <n v="0.97617091"/>
    <m/>
    <n v="10000000"/>
    <n v="9761709.0700000003"/>
    <n v="10000000"/>
    <n v="9761709.0700000003"/>
    <n v="66"/>
    <s v="AMOMPY"/>
    <s v="Momentum Capital Investment S.A."/>
    <s v="28/10/2026"/>
    <s v="28/10/2026"/>
    <n v="27"/>
    <s v="No"/>
    <s v=""/>
    <m/>
    <m/>
    <s v="*MOV271100091"/>
    <s v="*MOV271100091"/>
    <n v="1.1947009931113991E-4"/>
  </r>
  <r>
    <x v="3"/>
    <s v="Pesos"/>
    <d v="2026-12-01T00:00:00"/>
    <s v="29/10/2026"/>
    <n v="0.97617091"/>
    <m/>
    <n v="20000000"/>
    <n v="19523418.140000001"/>
    <n v="20000000"/>
    <n v="19523418.140000001"/>
    <n v="64"/>
    <s v="AMOMPY"/>
    <s v="Momentum Capital Investment S.A."/>
    <s v="28/10/2026"/>
    <s v="28/10/2026"/>
    <n v="27"/>
    <s v="No"/>
    <s v=""/>
    <m/>
    <m/>
    <s v="*MOV271100090"/>
    <s v="*MOV271100090"/>
    <n v="2.3894019862227982E-4"/>
  </r>
  <r>
    <x v="3"/>
    <s v="Pesos"/>
    <d v="2026-12-01T00:00:00"/>
    <s v="29/10/2026"/>
    <n v="0.97617091"/>
    <m/>
    <n v="20000000"/>
    <n v="19523418.140000001"/>
    <n v="20000000"/>
    <n v="19523418.140000001"/>
    <n v="65"/>
    <s v="AMOMPY"/>
    <s v="Momentum Capital Investment S.A."/>
    <s v="28/10/2026"/>
    <s v="28/10/2026"/>
    <n v="27"/>
    <s v="No"/>
    <s v=""/>
    <m/>
    <m/>
    <s v="*MOV271100092"/>
    <s v="*MOV271100092"/>
    <n v="2.3894019862227982E-4"/>
  </r>
  <r>
    <x v="168"/>
    <s v="Pesos"/>
    <d v="2026-12-01T00:00:00"/>
    <s v="29/10/2026"/>
    <n v="0.97188207000000004"/>
    <m/>
    <n v="4000000"/>
    <n v="3887528.27"/>
    <n v="4000000"/>
    <n v="3887528.27"/>
    <n v="724"/>
    <s v="AMOMPY"/>
    <s v="Momentum Capital Investment S.A."/>
    <s v="14/09/2026"/>
    <s v="14/09/2026"/>
    <n v="32"/>
    <s v="No"/>
    <s v=""/>
    <m/>
    <m/>
    <s v="*MAV271101408"/>
    <s v="*MAV271101408"/>
    <n v="4.7578081375023389E-5"/>
  </r>
  <r>
    <x v="6"/>
    <s v="Pesos"/>
    <d v="2026-12-01T00:00:00"/>
    <s v="29/10/2026"/>
    <n v="0.97531000000000001"/>
    <m/>
    <n v="2000000"/>
    <n v="1950619.99"/>
    <n v="2000000"/>
    <n v="1950619.99"/>
    <n v="1119606"/>
    <s v="AMOMPY"/>
    <s v="Momentum Capital Investment S.A."/>
    <s v="08/10/2026"/>
    <s v="08/10/2026"/>
    <n v="28"/>
    <s v="No"/>
    <s v=""/>
    <m/>
    <m/>
    <s v="*CRE271100172"/>
    <s v="*CRE271100172"/>
    <n v="2.387294706823246E-5"/>
  </r>
  <r>
    <x v="55"/>
    <s v="Pesos"/>
    <d v="2026-12-01T00:00:00"/>
    <s v="29/10/2026"/>
    <n v="0.97531005999999998"/>
    <m/>
    <n v="25000000"/>
    <n v="24382751.620000001"/>
    <n v="25000000"/>
    <n v="24382751.620000001"/>
    <n v="69933187"/>
    <s v="AMOMPY"/>
    <s v="Momentum Capital Investment S.A."/>
    <s v="22/09/2026"/>
    <s v="22/09/2026"/>
    <n v="28"/>
    <s v="No"/>
    <s v=""/>
    <m/>
    <m/>
    <s v="*PRO271100012"/>
    <s v="*PRO271100012"/>
    <n v="2.9841185970934261E-4"/>
  </r>
  <r>
    <x v="322"/>
    <s v="Pesos"/>
    <d v="2026-12-01T00:00:00"/>
    <s v="29/10/2026"/>
    <n v="0.97102878000000004"/>
    <m/>
    <n v="1392835"/>
    <n v="1352482.87"/>
    <n v="1392835"/>
    <n v="1352482.87"/>
    <n v="111459"/>
    <s v="AMOMPY"/>
    <s v="Momentum Capital Investment S.A."/>
    <s v="28/07/2026"/>
    <s v="28/07/2026"/>
    <n v="33"/>
    <s v="No"/>
    <s v=""/>
    <m/>
    <m/>
    <s v="*MAV271101235"/>
    <s v="*MAV271101235"/>
    <n v="1.655255874118317E-5"/>
  </r>
  <r>
    <x v="54"/>
    <s v="Pesos"/>
    <d v="2026-12-01T00:00:00"/>
    <s v="29/10/2026"/>
    <n v="0.97273675999999998"/>
    <m/>
    <n v="60000000"/>
    <n v="58364205.5"/>
    <n v="60000000"/>
    <n v="58364205.5"/>
    <n v="80939925"/>
    <s v="AMOMPY"/>
    <s v="Momentum Capital Investment S.A."/>
    <s v="02/09/2026"/>
    <s v="02/09/2026"/>
    <n v="31"/>
    <s v="No"/>
    <s v=""/>
    <m/>
    <m/>
    <s v="*INP271100062"/>
    <s v="*INP271100062"/>
    <n v="7.1429883612591399E-4"/>
  </r>
  <r>
    <x v="171"/>
    <s v="Pesos"/>
    <d v="2026-12-01T00:00:00"/>
    <s v="29/10/2026"/>
    <n v="0.97102882999999995"/>
    <m/>
    <n v="2170000"/>
    <n v="2107132.56"/>
    <n v="2170000"/>
    <n v="2107132.56"/>
    <n v="260741"/>
    <s v="AMOMPY"/>
    <s v="Momentum Capital Investment S.A."/>
    <s v="27/08/2026"/>
    <s v="27/08/2026"/>
    <n v="33"/>
    <s v="No"/>
    <s v=""/>
    <m/>
    <m/>
    <s v="*MAV271101306"/>
    <s v="*MAV271101306"/>
    <n v="2.5788448969309065E-5"/>
  </r>
  <r>
    <x v="68"/>
    <s v="Pesos"/>
    <d v="2026-12-01T00:00:00"/>
    <s v="29/10/2026"/>
    <n v="0.97017710000000001"/>
    <m/>
    <n v="15000000"/>
    <n v="14552656.51"/>
    <n v="15000000"/>
    <n v="14552656.51"/>
    <n v="199"/>
    <s v="AMOMPY"/>
    <s v="Momentum Capital Investment S.A."/>
    <s v="27/08/2026"/>
    <s v="27/08/2026"/>
    <n v="34"/>
    <s v="No"/>
    <s v=""/>
    <m/>
    <m/>
    <s v="*MAV271101304"/>
    <s v="*MAV271101304"/>
    <n v="1.7810480787977496E-4"/>
  </r>
  <r>
    <x v="172"/>
    <s v="Pesos"/>
    <d v="2026-12-01T00:00:00"/>
    <s v="29/10/2026"/>
    <n v="0.97531000999999995"/>
    <m/>
    <n v="150000000"/>
    <n v="146296501.19999999"/>
    <n v="150000000"/>
    <n v="146296501.19999999"/>
    <n v="77"/>
    <s v="AMOMPY"/>
    <s v="Momentum Capital Investment S.A."/>
    <s v="12/08/2026"/>
    <s v="12/08/2026"/>
    <n v="28"/>
    <s v="No"/>
    <s v=""/>
    <m/>
    <m/>
    <s v="*MAV271101263"/>
    <s v="*MAV271101263"/>
    <n v="1.7904710539827936E-3"/>
  </r>
  <r>
    <x v="34"/>
    <s v="Pesos"/>
    <d v="2026-12-01T00:00:00"/>
    <s v="29/10/2026"/>
    <n v="0.97102880999999996"/>
    <m/>
    <n v="95000000"/>
    <n v="92247736.670000002"/>
    <n v="95000000"/>
    <n v="92247736.670000002"/>
    <n v="3101"/>
    <s v="AMOMPY"/>
    <s v="Momentum Capital Investment S.A."/>
    <s v="01/10/2026"/>
    <s v="01/10/2026"/>
    <n v="33"/>
    <s v="No"/>
    <s v=""/>
    <m/>
    <m/>
    <s v="*MAV271101550"/>
    <s v="*MAV271101550"/>
    <n v="1.1289873711830241E-3"/>
  </r>
  <r>
    <x v="34"/>
    <s v="Pesos"/>
    <d v="2026-12-01T00:00:00"/>
    <s v="29/10/2026"/>
    <n v="0.97102882999999995"/>
    <m/>
    <n v="80000000"/>
    <n v="77682306.670000002"/>
    <n v="80000000"/>
    <n v="77682306.670000002"/>
    <n v="3035"/>
    <s v="AMOMPY"/>
    <s v="Momentum Capital Investment S.A."/>
    <s v="28/09/2026"/>
    <s v="28/09/2026"/>
    <n v="33"/>
    <s v="No"/>
    <s v=""/>
    <m/>
    <m/>
    <s v="*MAV271101530"/>
    <s v="*MAV271101530"/>
    <n v="9.5072623308403161E-4"/>
  </r>
  <r>
    <x v="34"/>
    <s v="Pesos"/>
    <d v="2026-12-01T00:00:00"/>
    <s v="29/10/2026"/>
    <n v="0.97188200000000002"/>
    <m/>
    <n v="75000000"/>
    <n v="72891149.989999995"/>
    <n v="75000000"/>
    <n v="72891149.989999995"/>
    <n v="3501"/>
    <s v="AMOMPY"/>
    <s v="Momentum Capital Investment S.A."/>
    <s v="22/10/2026"/>
    <s v="22/10/2026"/>
    <n v="32"/>
    <s v="No"/>
    <s v=""/>
    <m/>
    <m/>
    <s v="*MAV271101767"/>
    <s v="*MAV271101767"/>
    <n v="8.9208896370115791E-4"/>
  </r>
  <r>
    <x v="287"/>
    <s v="Pesos"/>
    <d v="2026-12-01T00:00:00"/>
    <s v="29/10/2026"/>
    <n v="0.97531000000000001"/>
    <m/>
    <n v="50000000"/>
    <n v="48765499.759999998"/>
    <n v="50000000"/>
    <n v="48765499.759999998"/>
    <n v="29757438"/>
    <s v="AMOMPY"/>
    <s v="Momentum Capital Investment S.A."/>
    <s v="28/07/2026"/>
    <s v="28/07/2026"/>
    <n v="28"/>
    <s v="No"/>
    <s v=""/>
    <m/>
    <m/>
    <s v="*MAV271101232"/>
    <s v="*MAV271101232"/>
    <n v="5.9682367682819799E-4"/>
  </r>
  <r>
    <x v="2"/>
    <s v="Pesos"/>
    <d v="2026-12-01T00:00:00"/>
    <s v="29/10/2026"/>
    <n v="0.96932689000000005"/>
    <m/>
    <n v="3256800.5"/>
    <n v="3156904.29"/>
    <n v="3256800.5"/>
    <n v="3156904.29"/>
    <n v="3599"/>
    <s v="AMOMPY"/>
    <s v="Momentum Capital Investment S.A."/>
    <s v="25/09/2026"/>
    <s v="25/09/2026"/>
    <n v="35"/>
    <s v="No"/>
    <s v=""/>
    <m/>
    <m/>
    <s v="*MAV271101500"/>
    <s v="*MAV271101500"/>
    <n v="3.8636233300698402E-5"/>
  </r>
  <r>
    <x v="7"/>
    <s v="Pesos"/>
    <d v="2026-12-01T00:00:00"/>
    <s v="29/10/2026"/>
    <n v="0.97188200000000002"/>
    <m/>
    <n v="5444206"/>
    <n v="5291125.8099999996"/>
    <n v="5444206"/>
    <n v="5291125.8099999996"/>
    <n v="3449"/>
    <s v="AMOMPY"/>
    <s v="Momentum Capital Investment S.A."/>
    <s v="25/08/2026"/>
    <s v="25/08/2026"/>
    <n v="32"/>
    <s v="No"/>
    <s v=""/>
    <m/>
    <m/>
    <s v="*MAV271101291"/>
    <s v="*MAV271101291"/>
    <n v="6.4756214455429938E-5"/>
  </r>
  <r>
    <x v="323"/>
    <s v="Pesos"/>
    <d v="2026-12-01T00:00:00"/>
    <s v="29/10/2026"/>
    <n v="0.97445075000000003"/>
    <m/>
    <n v="40000000"/>
    <n v="38978030.060000002"/>
    <n v="40000000"/>
    <n v="38978030.060000002"/>
    <n v="2886"/>
    <s v="AMOMPY"/>
    <s v="Momentum Capital Investment S.A."/>
    <s v="12/08/2026"/>
    <s v="12/08/2026"/>
    <n v="29"/>
    <s v="No"/>
    <s v=""/>
    <m/>
    <m/>
    <s v="*MAV271101262"/>
    <s v="*MAV271101262"/>
    <n v="4.7703830229195682E-4"/>
  </r>
  <r>
    <x v="324"/>
    <s v="Pesos"/>
    <d v="2026-12-01T00:00:00"/>
    <s v="29/10/2026"/>
    <n v="0.97273677000000003"/>
    <m/>
    <n v="985744"/>
    <n v="958869.43"/>
    <n v="985744"/>
    <n v="958869.43"/>
    <n v="10332467"/>
    <s v="AMOMPY"/>
    <s v="Momentum Capital Investment S.A."/>
    <s v="02/09/2026"/>
    <s v="02/09/2026"/>
    <n v="31"/>
    <s v="No"/>
    <s v=""/>
    <m/>
    <m/>
    <s v="*MAV271101333"/>
    <s v="*MAV271101333"/>
    <n v="1.1735263283001746E-5"/>
  </r>
  <r>
    <x v="39"/>
    <s v="Pesos"/>
    <d v="2026-12-01T00:00:00"/>
    <s v="29/10/2026"/>
    <n v="0.97188205000000005"/>
    <m/>
    <n v="766355"/>
    <n v="744806.67"/>
    <n v="766355"/>
    <n v="744806.67"/>
    <n v="50492551"/>
    <s v="AMOMPY"/>
    <s v="Momentum Capital Investment S.A."/>
    <s v="05/10/2026"/>
    <s v="05/10/2026"/>
    <n v="32"/>
    <s v="No"/>
    <s v=""/>
    <m/>
    <m/>
    <s v="*MAV271101576"/>
    <s v="*MAV271101576"/>
    <n v="9.115424993146144E-6"/>
  </r>
  <r>
    <x v="56"/>
    <s v="Pesos"/>
    <d v="2026-12-01T00:00:00"/>
    <s v="29/10/2026"/>
    <n v="0.97445088999999996"/>
    <m/>
    <n v="450000"/>
    <n v="438502.9"/>
    <n v="450000"/>
    <n v="438502.9"/>
    <n v="11456507"/>
    <s v="AMOMPY"/>
    <s v="Momentum Capital Investment S.A."/>
    <s v="28/10/2026"/>
    <s v="28/10/2026"/>
    <n v="29"/>
    <s v="No"/>
    <s v=""/>
    <m/>
    <m/>
    <s v="*MAV271101837"/>
    <s v="*MAV271101837"/>
    <n v="5.3666816574387881E-6"/>
  </r>
  <r>
    <x v="223"/>
    <s v="Pesos"/>
    <d v="2026-12-01T00:00:00"/>
    <s v="29/10/2026"/>
    <n v="0.97102884"/>
    <m/>
    <n v="668751.01"/>
    <n v="649376.52"/>
    <n v="668751.01"/>
    <n v="649376.52"/>
    <n v="19644"/>
    <s v="AMOMPY"/>
    <s v="Momentum Capital Investment S.A."/>
    <s v="16/10/2026"/>
    <s v="16/10/2026"/>
    <n v="33"/>
    <s v="No"/>
    <s v=""/>
    <m/>
    <m/>
    <s v="*MAV271101702"/>
    <s v="*MAV271101702"/>
    <n v="7.9474891925582069E-6"/>
  </r>
  <r>
    <x v="109"/>
    <s v="Pesos"/>
    <d v="2026-12-01T00:00:00"/>
    <s v="29/10/2026"/>
    <n v="0.97102885000000005"/>
    <m/>
    <n v="1500000"/>
    <n v="1456543.27"/>
    <n v="1500000"/>
    <n v="1456543.27"/>
    <n v="589"/>
    <s v="AMOMPY"/>
    <s v="Momentum Capital Investment S.A."/>
    <s v="21/09/2026"/>
    <s v="21/09/2026"/>
    <n v="33"/>
    <s v="No"/>
    <s v=""/>
    <m/>
    <m/>
    <s v="*MAV271101459"/>
    <s v="*MAV271101459"/>
    <n v="1.7826117114333593E-5"/>
  </r>
  <r>
    <x v="153"/>
    <s v="Pesos"/>
    <d v="2026-12-01T00:00:00"/>
    <s v="29/10/2026"/>
    <n v="0.97102885000000005"/>
    <m/>
    <n v="2787075"/>
    <n v="2706330.22"/>
    <n v="2787075"/>
    <n v="2706330.22"/>
    <n v="70327696"/>
    <s v="AMOMPY"/>
    <s v="Momentum Capital Investment S.A."/>
    <s v="16/10/2026"/>
    <s v="16/10/2026"/>
    <n v="33"/>
    <s v="No"/>
    <s v=""/>
    <m/>
    <m/>
    <s v="*MAV271101701"/>
    <s v="*MAV271101701"/>
    <n v="3.3121816869731718E-5"/>
  </r>
  <r>
    <x v="80"/>
    <s v="Pesos"/>
    <d v="2026-12-01T00:00:00"/>
    <s v="29/10/2026"/>
    <n v="0.97359304999999996"/>
    <m/>
    <n v="2500000"/>
    <n v="2433982.63"/>
    <n v="2500000"/>
    <n v="2433982.63"/>
    <n v="363"/>
    <s v="AMOMPY"/>
    <s v="Momentum Capital Investment S.A."/>
    <s v="25/09/2026"/>
    <s v="25/09/2026"/>
    <n v="30"/>
    <s v="No"/>
    <s v=""/>
    <m/>
    <m/>
    <s v="*MAV271101505"/>
    <s v="*MAV271101505"/>
    <n v="2.978865119237665E-5"/>
  </r>
  <r>
    <x v="58"/>
    <s v="Pesos"/>
    <d v="2026-12-01T00:00:00"/>
    <s v="29/10/2026"/>
    <n v="0.96678501999999999"/>
    <m/>
    <n v="267100000"/>
    <n v="258228279.16"/>
    <n v="267100000"/>
    <n v="258228279.16"/>
    <n v="70418883"/>
    <s v="AMOMPY"/>
    <s v="Momentum Capital Investment S.A."/>
    <s v="08/10/2026"/>
    <s v="08/10/2026"/>
    <n v="38"/>
    <s v="No"/>
    <s v=""/>
    <m/>
    <m/>
    <s v="*MAV271101613"/>
    <s v="*MAV271101613"/>
    <n v="3.1603644336216587E-3"/>
  </r>
  <r>
    <x v="85"/>
    <s v="Pesos"/>
    <d v="2026-12-01T00:00:00"/>
    <s v="29/10/2026"/>
    <n v="0.98223903999999995"/>
    <m/>
    <n v="8500000"/>
    <n v="8349031.8499999996"/>
    <n v="8500000"/>
    <n v="8349031.8499999996"/>
    <n v="34604"/>
    <s v="AMOMPY"/>
    <s v="Momentum Capital Investment S.A."/>
    <s v="08/09/2026"/>
    <s v="08/09/2026"/>
    <n v="20"/>
    <s v="No"/>
    <s v=""/>
    <m/>
    <m/>
    <s v="*MAV271101348"/>
    <s v="*MAV271101348"/>
    <n v="1.0218084324360735E-4"/>
  </r>
  <r>
    <x v="44"/>
    <s v="Pesos"/>
    <d v="2026-12-01T00:00:00"/>
    <s v="29/10/2026"/>
    <n v="0.97102880000000003"/>
    <m/>
    <n v="25000000"/>
    <n v="24275719.940000001"/>
    <n v="25000000"/>
    <n v="24275719.940000001"/>
    <n v="14422596"/>
    <s v="AMOMPY"/>
    <s v="Momentum Capital Investment S.A."/>
    <s v="02/09/2026"/>
    <s v="02/09/2026"/>
    <n v="33"/>
    <s v="No"/>
    <s v=""/>
    <m/>
    <m/>
    <s v="*MAV271101327"/>
    <s v="*MAV271101327"/>
    <n v="2.9710193689282111E-4"/>
  </r>
  <r>
    <x v="154"/>
    <s v="Pesos"/>
    <d v="2026-12-01T00:00:00"/>
    <s v="29/10/2026"/>
    <n v="0.97102887999999998"/>
    <m/>
    <n v="2500000"/>
    <n v="2427572.21"/>
    <n v="2500000"/>
    <n v="2427572.21"/>
    <n v="678"/>
    <s v="AMOMPY"/>
    <s v="Momentum Capital Investment S.A."/>
    <s v="22/09/2026"/>
    <s v="22/09/2026"/>
    <n v="33"/>
    <s v="No"/>
    <s v=""/>
    <m/>
    <m/>
    <s v="*MAV271101468"/>
    <s v="*MAV271101468"/>
    <n v="2.971019633282959E-5"/>
  </r>
  <r>
    <x v="190"/>
    <s v="Pesos"/>
    <d v="2026-12-01T00:00:00"/>
    <s v="29/10/2026"/>
    <n v="0.96932684000000002"/>
    <m/>
    <n v="44839412.649999999"/>
    <n v="43464046.07"/>
    <n v="44839412.649999999"/>
    <n v="43464046.07"/>
    <n v="61"/>
    <s v="AMOMPY"/>
    <s v="Momentum Capital Investment S.A."/>
    <s v="19/10/2026"/>
    <s v="19/10/2026"/>
    <n v="35"/>
    <s v="No"/>
    <s v=""/>
    <m/>
    <m/>
    <s v="%DHE281100001"/>
    <s v="%DHE281100001"/>
    <n v="5.3194106310800555E-4"/>
  </r>
  <r>
    <x v="26"/>
    <s v="Pesos"/>
    <d v="2026-12-01T00:00:00"/>
    <s v="29/10/2026"/>
    <n v="0.97359302999999997"/>
    <m/>
    <n v="9000000"/>
    <n v="8762337.3000000007"/>
    <n v="9000000"/>
    <n v="8762337.3000000007"/>
    <n v="1427"/>
    <s v="AMOMPY"/>
    <s v="Momentum Capital Investment S.A."/>
    <s v="23/10/2026"/>
    <s v="23/10/2026"/>
    <n v="30"/>
    <s v="No"/>
    <s v=""/>
    <m/>
    <m/>
    <s v="*MAV271101769"/>
    <s v="*MAV271101769"/>
    <n v="1.0723914223646347E-4"/>
  </r>
  <r>
    <x v="26"/>
    <s v="Pesos"/>
    <d v="2026-12-01T00:00:00"/>
    <s v="29/10/2026"/>
    <n v="0.97359298999999999"/>
    <m/>
    <n v="10000000"/>
    <n v="9735929.9399999995"/>
    <n v="10000000"/>
    <n v="9735929.9399999995"/>
    <n v="1433"/>
    <s v="AMOMPY"/>
    <s v="Momentum Capital Investment S.A."/>
    <s v="26/10/2026"/>
    <s v="26/10/2026"/>
    <n v="30"/>
    <s v="No"/>
    <s v=""/>
    <m/>
    <m/>
    <s v="*MAV271101808"/>
    <s v="*MAV271101808"/>
    <n v="1.1915459767109207E-4"/>
  </r>
  <r>
    <x v="26"/>
    <s v="Pesos"/>
    <d v="2026-12-01T00:00:00"/>
    <s v="29/10/2026"/>
    <n v="0.97359306999999995"/>
    <m/>
    <n v="8000000"/>
    <n v="7788744.54"/>
    <n v="8000000"/>
    <n v="7788744.54"/>
    <n v="1435"/>
    <s v="AMOMPY"/>
    <s v="Momentum Capital Investment S.A."/>
    <s v="27/10/2026"/>
    <s v="27/10/2026"/>
    <n v="30"/>
    <s v="No"/>
    <s v=""/>
    <m/>
    <m/>
    <s v="*MAV271101838"/>
    <s v="*MAV271101838"/>
    <n v="9.532368533319736E-5"/>
  </r>
  <r>
    <x v="325"/>
    <s v="Pesos"/>
    <d v="2026-12-01T00:00:00"/>
    <s v="29/10/2026"/>
    <n v="0.97188205000000005"/>
    <m/>
    <n v="187766.2"/>
    <n v="182486.6"/>
    <n v="187766.2"/>
    <n v="182486.6"/>
    <n v="70036933"/>
    <s v="AMOMPY"/>
    <s v="Momentum Capital Investment S.A."/>
    <s v="02/10/2026"/>
    <s v="02/10/2026"/>
    <n v="32"/>
    <s v="No"/>
    <s v=""/>
    <m/>
    <m/>
    <s v="*MAV271101575"/>
    <s v="*MAV271101575"/>
    <n v="2.2333888531828848E-6"/>
  </r>
  <r>
    <x v="234"/>
    <s v="Pesos"/>
    <d v="2026-12-01T00:00:00"/>
    <s v="29/10/2026"/>
    <n v="0.97188207000000004"/>
    <m/>
    <n v="1858362"/>
    <n v="1806108.7"/>
    <n v="1858362"/>
    <n v="1806108.7"/>
    <n v="1485"/>
    <s v="AMOMPY"/>
    <s v="Momentum Capital Investment S.A."/>
    <s v="05/10/2026"/>
    <s v="05/10/2026"/>
    <n v="32"/>
    <s v="No"/>
    <s v=""/>
    <m/>
    <m/>
    <s v="*MAV271101577"/>
    <s v="*MAV271101577"/>
    <n v="2.2104324581731647E-5"/>
  </r>
  <r>
    <x v="48"/>
    <s v="Pesos"/>
    <d v="2026-12-01T00:00:00"/>
    <s v="29/10/2026"/>
    <n v="0.97359311999999998"/>
    <m/>
    <n v="3930000"/>
    <n v="3826220.98"/>
    <n v="3930000"/>
    <n v="3826220.98"/>
    <n v="90000102"/>
    <s v="AMOMPY"/>
    <s v="Momentum Capital Investment S.A."/>
    <s v="14/10/2026"/>
    <s v="14/10/2026"/>
    <n v="30"/>
    <s v="No"/>
    <s v=""/>
    <m/>
    <m/>
    <s v="*MAV271101665"/>
    <s v="*MAV271101665"/>
    <n v="4.682776317026287E-5"/>
  </r>
  <r>
    <x v="29"/>
    <s v="Pesos"/>
    <d v="2026-12-01T00:00:00"/>
    <s v="29/10/2026"/>
    <n v="0.97359297"/>
    <m/>
    <n v="25000000"/>
    <n v="24339824.25"/>
    <n v="25000000"/>
    <n v="24339824.25"/>
    <n v="12742281"/>
    <s v="AMOMPY"/>
    <s v="Momentum Capital Investment S.A."/>
    <s v="14/08/2026"/>
    <s v="14/08/2026"/>
    <n v="30"/>
    <s v="No"/>
    <s v=""/>
    <m/>
    <m/>
    <s v="*MIL271100043"/>
    <s v="*MIL271100043"/>
    <n v="2.978864868345427E-4"/>
  </r>
  <r>
    <x v="29"/>
    <s v="Pesos"/>
    <d v="2026-12-01T00:00:00"/>
    <s v="29/10/2026"/>
    <n v="0.97188207000000004"/>
    <m/>
    <n v="10000000"/>
    <n v="9718820.7300000004"/>
    <n v="10000000"/>
    <n v="9718820.7300000004"/>
    <n v="2200"/>
    <s v="AMOMPY"/>
    <s v="Momentum Capital Investment S.A."/>
    <s v="07/09/2026"/>
    <s v="07/09/2026"/>
    <n v="32"/>
    <s v="No"/>
    <s v=""/>
    <m/>
    <m/>
    <s v="*MIL271100048"/>
    <s v="*MIL271100048"/>
    <n v="1.18945204110684E-4"/>
  </r>
  <r>
    <x v="29"/>
    <s v="Pesos"/>
    <d v="2026-12-01T00:00:00"/>
    <s v="29/10/2026"/>
    <n v="0.97703313000000003"/>
    <m/>
    <n v="4000000"/>
    <n v="3908132.51"/>
    <n v="4000000"/>
    <n v="3908132.51"/>
    <n v="90002231"/>
    <s v="AMOMPY"/>
    <s v="Momentum Capital Investment S.A."/>
    <s v="22/09/2026"/>
    <s v="22/09/2026"/>
    <n v="26"/>
    <s v="No"/>
    <s v=""/>
    <m/>
    <m/>
    <s v="*MIL271100049"/>
    <s v="*MIL271100049"/>
    <n v="4.7830249369518898E-5"/>
  </r>
  <r>
    <x v="194"/>
    <s v="Pesos"/>
    <d v="2026-12-01T00:00:00"/>
    <s v="29/10/2026"/>
    <n v="0.97102887999999998"/>
    <m/>
    <n v="70000000"/>
    <n v="67972021.5"/>
    <n v="70000000"/>
    <n v="67972021.5"/>
    <n v="170990"/>
    <s v="AMOMPY"/>
    <s v="Momentum Capital Investment S.A."/>
    <s v="27/10/2026"/>
    <s v="27/10/2026"/>
    <n v="33"/>
    <s v="No"/>
    <s v=""/>
    <m/>
    <m/>
    <s v="#MAV301160085"/>
    <s v="#MAV301160085"/>
    <n v="8.318854926685432E-4"/>
  </r>
  <r>
    <x v="194"/>
    <s v="Pesos"/>
    <d v="2026-12-01T00:00:00"/>
    <s v="29/10/2026"/>
    <n v="0.97102887999999998"/>
    <m/>
    <n v="5700000"/>
    <n v="5534864.6200000001"/>
    <n v="5700000"/>
    <n v="5534864.6200000001"/>
    <n v="170962"/>
    <s v="AMOMPY"/>
    <s v="Momentum Capital Investment S.A."/>
    <s v="27/10/2026"/>
    <s v="27/10/2026"/>
    <n v="33"/>
    <s v="No"/>
    <s v=""/>
    <m/>
    <m/>
    <s v="#MAV301160084"/>
    <s v="#MAV301160084"/>
    <n v="6.7739247408764926E-5"/>
  </r>
  <r>
    <x v="26"/>
    <s v="Pesos"/>
    <d v="2026-12-01T00:00:00"/>
    <s v="29/10/2026"/>
    <n v="0.97188200000000002"/>
    <m/>
    <n v="3500000"/>
    <n v="3401587"/>
    <n v="3500000"/>
    <n v="3401587"/>
    <n v="1065"/>
    <s v="AMOMPY"/>
    <s v="Momentum Capital Investment S.A."/>
    <s v="25/08/2026"/>
    <s v="25/08/2026"/>
    <n v="32"/>
    <s v="No"/>
    <s v=""/>
    <m/>
    <m/>
    <s v="*MAV271101290"/>
    <s v="*MAV271101290"/>
    <n v="4.1630818311765408E-5"/>
  </r>
  <r>
    <x v="26"/>
    <s v="Pesos"/>
    <d v="2026-12-01T00:00:00"/>
    <s v="29/10/2026"/>
    <n v="0.97102880999999996"/>
    <m/>
    <n v="2500000"/>
    <n v="2427572.0299999998"/>
    <n v="2500000"/>
    <n v="2427572.0299999998"/>
    <n v="1029"/>
    <s v="AMOMPY"/>
    <s v="Momentum Capital Investment S.A."/>
    <s v="19/08/2026"/>
    <s v="18/08/2026"/>
    <n v="33"/>
    <s v="No"/>
    <s v=""/>
    <m/>
    <m/>
    <s v="*MAV271101274"/>
    <s v="*MAV271101274"/>
    <n v="2.9710194129873352E-5"/>
  </r>
  <r>
    <x v="51"/>
    <s v="Pesos"/>
    <d v="2026-12-01T00:00:00"/>
    <s v="29/10/2026"/>
    <n v="0.97102882999999995"/>
    <m/>
    <n v="100000000"/>
    <n v="97102883.340000004"/>
    <n v="100000000"/>
    <n v="97102883.340000004"/>
    <n v="20868"/>
    <s v="AMOMPY"/>
    <s v="Momentum Capital Investment S.A."/>
    <s v="28/09/2026"/>
    <s v="28/09/2026"/>
    <n v="33"/>
    <s v="No"/>
    <s v=""/>
    <m/>
    <m/>
    <s v="*MAV271101528"/>
    <s v="*MAV271101528"/>
    <n v="1.1884077913856361E-3"/>
  </r>
  <r>
    <x v="51"/>
    <s v="Pesos"/>
    <d v="2026-12-01T00:00:00"/>
    <s v="29/10/2026"/>
    <n v="0.97102882999999995"/>
    <m/>
    <n v="60000000"/>
    <n v="58261730"/>
    <n v="60000000"/>
    <n v="58261730"/>
    <n v="20867"/>
    <s v="AMOMPY"/>
    <s v="Momentum Capital Investment S.A."/>
    <s v="28/09/2026"/>
    <s v="28/09/2026"/>
    <n v="33"/>
    <s v="No"/>
    <s v=""/>
    <m/>
    <m/>
    <s v="*MAV271101527"/>
    <s v="*MAV271101527"/>
    <n v="7.1304467478242712E-4"/>
  </r>
  <r>
    <x v="326"/>
    <s v="Pesos"/>
    <d v="2026-12-01T00:00:00"/>
    <s v="29/10/2026"/>
    <n v="0.97188211000000002"/>
    <m/>
    <n v="11145337.859999999"/>
    <n v="10831954.439999999"/>
    <n v="11145337.859999999"/>
    <n v="10831954.439999999"/>
    <n v="16"/>
    <s v="AMOMPY"/>
    <s v="Momentum Capital Investment S.A."/>
    <s v="29/09/2026"/>
    <s v="29/09/2026"/>
    <n v="32"/>
    <s v="No"/>
    <s v=""/>
    <m/>
    <m/>
    <s v="*MAV271101537"/>
    <s v="*MAV271101537"/>
    <n v="1.3256845326988859E-4"/>
  </r>
  <r>
    <x v="52"/>
    <s v="Pesos"/>
    <d v="2026-12-01T00:00:00"/>
    <s v="29/10/2026"/>
    <n v="0.97359306999999995"/>
    <m/>
    <n v="5910000"/>
    <n v="5753935.04"/>
    <n v="5910000"/>
    <n v="5753935.04"/>
    <n v="1027"/>
    <s v="AMOMPY"/>
    <s v="Momentum Capital Investment S.A."/>
    <s v="29/09/2026"/>
    <s v="29/09/2026"/>
    <n v="30"/>
    <s v="No"/>
    <s v=""/>
    <m/>
    <m/>
    <s v="*MAV271101544"/>
    <s v="*MAV271101544"/>
    <n v="7.0420372675442555E-5"/>
  </r>
  <r>
    <x v="0"/>
    <s v="Pesos"/>
    <d v="2026-12-02T00:00:00"/>
    <s v="29/10/2026"/>
    <n v="0.97458082999999995"/>
    <m/>
    <n v="5000000"/>
    <n v="4872904.1500000004"/>
    <n v="5000000"/>
    <n v="4872904.1500000004"/>
    <n v="12"/>
    <s v="AMOMPY"/>
    <s v="Momentum Capital Investment S.A."/>
    <s v="21/09/2026"/>
    <s v="21/09/2026"/>
    <n v="28"/>
    <s v="No"/>
    <s v=""/>
    <m/>
    <m/>
    <s v="*TRD281100044"/>
    <s v="*TRD281100044"/>
    <n v="5.963774770990648E-5"/>
  </r>
  <r>
    <x v="1"/>
    <s v="Pesos"/>
    <d v="2026-12-02T00:00:00"/>
    <s v="29/10/2026"/>
    <n v="0.97458085000000005"/>
    <m/>
    <n v="13500000"/>
    <n v="13156841.5"/>
    <n v="13500000"/>
    <n v="13156841.5"/>
    <n v="168"/>
    <s v="AMOMPY"/>
    <s v="Momentum Capital Investment S.A."/>
    <s v="18/09/2026"/>
    <s v="18/09/2026"/>
    <n v="28"/>
    <s v="No"/>
    <s v=""/>
    <m/>
    <m/>
    <s v="*AFB301100010"/>
    <s v="*AFB301100010"/>
    <n v="1.6102192242714797E-4"/>
  </r>
  <r>
    <x v="93"/>
    <s v="Pesos"/>
    <d v="2026-12-02T00:00:00"/>
    <s v="29/10/2026"/>
    <n v="0.97281468000000004"/>
    <m/>
    <n v="10625155"/>
    <n v="10336306.76"/>
    <n v="10625155"/>
    <n v="10336306.76"/>
    <n v="15817"/>
    <s v="AMOMPY"/>
    <s v="Momentum Capital Investment S.A."/>
    <s v="22/10/2026"/>
    <s v="22/10/2026"/>
    <n v="30"/>
    <s v="No"/>
    <s v=""/>
    <m/>
    <m/>
    <s v="*MAV301102662"/>
    <s v="*MAV301102662"/>
    <n v="1.2650239689304801E-4"/>
  </r>
  <r>
    <x v="283"/>
    <s v="Pesos"/>
    <d v="2026-12-02T00:00:00"/>
    <s v="29/10/2026"/>
    <n v="0.97369702999999996"/>
    <m/>
    <n v="15200000"/>
    <n v="14800194.93"/>
    <n v="15200000"/>
    <n v="14800194.93"/>
    <n v="544"/>
    <s v="AMOMPY"/>
    <s v="Momentum Capital Investment S.A."/>
    <s v="29/10/2026"/>
    <s v="29/10/2026"/>
    <n v="29"/>
    <s v="No"/>
    <s v=""/>
    <m/>
    <m/>
    <s v="*SOL301100026"/>
    <s v="*SOL301100026"/>
    <n v="1.8113434291392268E-4"/>
  </r>
  <r>
    <x v="327"/>
    <s v="Pesos"/>
    <d v="2026-12-02T00:00:00"/>
    <s v="29/10/2026"/>
    <n v="0.97017710999999995"/>
    <m/>
    <n v="16643128.32"/>
    <n v="16146782.060000001"/>
    <n v="16643128.32"/>
    <n v="16146782.060000001"/>
    <n v="70406277"/>
    <s v="AMOMPY"/>
    <s v="Momentum Capital Investment S.A."/>
    <s v="22/09/2026"/>
    <s v="22/09/2026"/>
    <n v="33"/>
    <s v="No"/>
    <s v=""/>
    <m/>
    <m/>
    <s v="*MAV291101340"/>
    <s v="*MAV291101340"/>
    <n v="1.9761474578175808E-4"/>
  </r>
  <r>
    <x v="328"/>
    <s v="Pesos"/>
    <d v="2026-12-02T00:00:00"/>
    <s v="29/10/2026"/>
    <n v="0.97017710999999995"/>
    <m/>
    <n v="27362969"/>
    <n v="26546926.07"/>
    <n v="27362969"/>
    <n v="26546926.07"/>
    <n v="90004137"/>
    <s v="AMOMPY"/>
    <s v="Momentum Capital Investment S.A."/>
    <s v="22/09/2026"/>
    <s v="22/09/2026"/>
    <n v="33"/>
    <s v="No"/>
    <s v=""/>
    <m/>
    <m/>
    <s v="*MAV301102082"/>
    <s v="*MAV301102082"/>
    <n v="3.2489842416379134E-4"/>
  </r>
  <r>
    <x v="329"/>
    <s v="Pesos"/>
    <d v="2026-12-02T00:00:00"/>
    <s v="29/10/2026"/>
    <n v="0.97017708000000002"/>
    <m/>
    <n v="526947.42000000004"/>
    <n v="511232.31"/>
    <n v="526947.42000000004"/>
    <n v="511232.31"/>
    <n v="352926"/>
    <s v="AMOMPY"/>
    <s v="Momentum Capital Investment S.A."/>
    <s v="22/09/2026"/>
    <s v="22/09/2026"/>
    <n v="33"/>
    <s v="No"/>
    <s v=""/>
    <m/>
    <m/>
    <s v="*MAV301102081"/>
    <s v="*MAV301102081"/>
    <n v="6.2567911426972549E-6"/>
  </r>
  <r>
    <x v="330"/>
    <s v="Pesos"/>
    <d v="2026-12-02T00:00:00"/>
    <s v="29/10/2026"/>
    <n v="0.97105470999999999"/>
    <m/>
    <n v="50000000"/>
    <n v="48552735.609999999"/>
    <n v="50000000"/>
    <n v="48552735.609999999"/>
    <n v="4630"/>
    <s v="AMOMPY"/>
    <s v="Momentum Capital Investment S.A."/>
    <s v="23/09/2026"/>
    <s v="23/09/2026"/>
    <n v="32"/>
    <s v="No"/>
    <s v=""/>
    <m/>
    <m/>
    <s v="*MAV281101558"/>
    <s v="*MAV281101558"/>
    <n v="5.9421973176611157E-4"/>
  </r>
  <r>
    <x v="331"/>
    <s v="Pesos"/>
    <d v="2026-12-02T00:00:00"/>
    <s v="29/10/2026"/>
    <n v="0.97193386000000004"/>
    <m/>
    <n v="1112906.01"/>
    <n v="1081671.04"/>
    <n v="1112906.01"/>
    <n v="1081671.04"/>
    <n v="876"/>
    <s v="AMOMPY"/>
    <s v="Momentum Capital Investment S.A."/>
    <s v="23/09/2026"/>
    <s v="23/09/2026"/>
    <n v="31"/>
    <s v="No"/>
    <s v=""/>
    <m/>
    <m/>
    <s v="*MAV281101557"/>
    <s v="*MAV281101557"/>
    <n v="1.3238188686439104E-5"/>
  </r>
  <r>
    <x v="54"/>
    <s v="Pesos"/>
    <d v="2026-12-02T00:00:00"/>
    <s v="29/10/2026"/>
    <n v="0.97458082000000001"/>
    <m/>
    <n v="8000000"/>
    <n v="7796646.5199999996"/>
    <n v="8000000"/>
    <n v="7796646.5199999996"/>
    <n v="6494"/>
    <s v="AMOMPY"/>
    <s v="Momentum Capital Investment S.A."/>
    <s v="17/09/2026"/>
    <s v="17/09/2026"/>
    <n v="28"/>
    <s v="No"/>
    <s v=""/>
    <m/>
    <m/>
    <s v="*INP301100125"/>
    <s v="*INP301100125"/>
    <n v="9.5420394867212866E-5"/>
  </r>
  <r>
    <x v="54"/>
    <s v="Pesos"/>
    <d v="2026-12-02T00:00:00"/>
    <s v="29/10/2026"/>
    <n v="0.97458082000000001"/>
    <m/>
    <n v="30000000"/>
    <n v="29237424.73"/>
    <n v="30000000"/>
    <n v="29237424.73"/>
    <n v="29600860"/>
    <s v="AMOMPY"/>
    <s v="Momentum Capital Investment S.A."/>
    <s v="07/07/2026"/>
    <s v="07/07/2026"/>
    <n v="28"/>
    <s v="No"/>
    <s v=""/>
    <m/>
    <m/>
    <s v="*INP301100104"/>
    <s v="*INP301100104"/>
    <n v="3.5782648417886909E-4"/>
  </r>
  <r>
    <x v="54"/>
    <s v="Pesos"/>
    <d v="2026-12-02T00:00:00"/>
    <s v="29/10/2026"/>
    <n v="0.97458089999999997"/>
    <m/>
    <n v="32500000"/>
    <n v="31673879.34"/>
    <n v="32500000"/>
    <n v="31673879.34"/>
    <n v="1367872"/>
    <s v="AMOMPY"/>
    <s v="Momentum Capital Investment S.A."/>
    <s v="23/09/2026"/>
    <s v="23/09/2026"/>
    <n v="28"/>
    <s v="No"/>
    <s v=""/>
    <m/>
    <m/>
    <s v="*INP281100071"/>
    <s v="*INP281100071"/>
    <n v="3.876453890587893E-4"/>
  </r>
  <r>
    <x v="54"/>
    <s v="Pesos"/>
    <d v="2026-12-02T00:00:00"/>
    <s v="29/10/2026"/>
    <n v="0.97546641000000001"/>
    <m/>
    <n v="5000000"/>
    <n v="4877332.03"/>
    <n v="5000000"/>
    <n v="4877332.03"/>
    <n v="40740206"/>
    <s v="AMOMPY"/>
    <s v="Momentum Capital Investment S.A."/>
    <s v="18/09/2026"/>
    <s v="18/09/2026"/>
    <n v="27"/>
    <s v="No"/>
    <s v=""/>
    <m/>
    <m/>
    <s v="*INP301100122"/>
    <s v="*INP301100122"/>
    <n v="5.969193896469029E-5"/>
  </r>
  <r>
    <x v="54"/>
    <s v="Pesos"/>
    <d v="2026-12-02T00:00:00"/>
    <s v="29/10/2026"/>
    <n v="0.97546641000000001"/>
    <m/>
    <n v="5000000"/>
    <n v="4877332.03"/>
    <n v="5000000"/>
    <n v="4877332.03"/>
    <n v="40740207"/>
    <s v="AMOMPY"/>
    <s v="Momentum Capital Investment S.A."/>
    <s v="18/09/2026"/>
    <s v="18/09/2026"/>
    <n v="27"/>
    <s v="No"/>
    <s v=""/>
    <m/>
    <m/>
    <s v="*INP301100123"/>
    <s v="*INP301100123"/>
    <n v="5.969193896469029E-5"/>
  </r>
  <r>
    <x v="3"/>
    <s v="Pesos"/>
    <d v="2026-12-02T00:00:00"/>
    <s v="29/10/2026"/>
    <n v="0.97458085000000005"/>
    <m/>
    <n v="5000000"/>
    <n v="4872904.25"/>
    <n v="5000000"/>
    <n v="4872904.25"/>
    <n v="14315891"/>
    <s v="AMOMPY"/>
    <s v="Momentum Capital Investment S.A."/>
    <s v="18/09/2026"/>
    <s v="18/09/2026"/>
    <n v="28"/>
    <s v="No"/>
    <s v=""/>
    <m/>
    <m/>
    <s v="*MOV301100139"/>
    <s v="*MOV301100139"/>
    <n v="5.963774893377105E-5"/>
  </r>
  <r>
    <x v="227"/>
    <s v="Pesos"/>
    <d v="2026-12-02T00:00:00"/>
    <s v="29/10/2026"/>
    <n v="0.97193381000000001"/>
    <m/>
    <n v="5000000"/>
    <n v="4859669.03"/>
    <n v="5000000"/>
    <n v="4859669.03"/>
    <n v="90000450"/>
    <s v="AMOMPY"/>
    <s v="Momentum Capital Investment S.A."/>
    <s v="07/09/2026"/>
    <s v="07/09/2026"/>
    <n v="31"/>
    <s v="No"/>
    <s v=""/>
    <m/>
    <m/>
    <s v="*MAV301101972"/>
    <s v="*MAV301101972"/>
    <n v="5.9475767764647277E-5"/>
  </r>
  <r>
    <x v="332"/>
    <s v="Pesos"/>
    <d v="2026-12-02T00:00:00"/>
    <s v="29/10/2026"/>
    <n v="0.97017708999999996"/>
    <m/>
    <n v="5000000"/>
    <n v="4850885.46"/>
    <n v="5000000"/>
    <n v="4850885.46"/>
    <n v="2874"/>
    <s v="AMOMPY"/>
    <s v="Momentum Capital Investment S.A."/>
    <s v="11/09/2026"/>
    <s v="11/09/2026"/>
    <n v="33"/>
    <s v="No"/>
    <s v=""/>
    <m/>
    <m/>
    <s v="*MAV301102026"/>
    <s v="*MAV301102026"/>
    <n v="5.9368268762917003E-5"/>
  </r>
  <r>
    <x v="31"/>
    <s v="Pesos"/>
    <d v="2026-12-02T00:00:00"/>
    <s v="29/10/2026"/>
    <n v="0.97281455999999999"/>
    <m/>
    <n v="1852533.42"/>
    <n v="1802171.48"/>
    <n v="1852533.42"/>
    <n v="1802171.48"/>
    <n v="20521667"/>
    <s v="AMOMPY"/>
    <s v="Momentum Capital Investment S.A."/>
    <s v="11/09/2026"/>
    <s v="11/09/2026"/>
    <n v="30"/>
    <s v="No"/>
    <s v=""/>
    <m/>
    <m/>
    <s v="*MAV281101527"/>
    <s v="*MAV281101527"/>
    <n v="2.2056138340875997E-5"/>
  </r>
  <r>
    <x v="196"/>
    <s v="Pesos"/>
    <d v="2026-12-02T00:00:00"/>
    <s v="29/10/2026"/>
    <n v="0.97017706999999997"/>
    <m/>
    <n v="4883046.87"/>
    <n v="4737420.12"/>
    <n v="4883046.87"/>
    <n v="4737420.12"/>
    <n v="90001644"/>
    <s v="AMOMPY"/>
    <s v="Momentum Capital Investment S.A."/>
    <s v="14/09/2026"/>
    <s v="14/09/2026"/>
    <n v="33"/>
    <s v="No"/>
    <s v=""/>
    <m/>
    <m/>
    <s v="*MAV291101330"/>
    <s v="*MAV291101330"/>
    <n v="5.7979606660720975E-5"/>
  </r>
  <r>
    <x v="196"/>
    <s v="Pesos"/>
    <d v="2026-12-02T00:00:00"/>
    <s v="29/10/2026"/>
    <n v="0.97017703"/>
    <m/>
    <n v="11255045.75"/>
    <n v="10919386.82"/>
    <n v="11255045.75"/>
    <n v="10919386.82"/>
    <n v="90001624"/>
    <s v="AMOMPY"/>
    <s v="Momentum Capital Investment S.A."/>
    <s v="01/10/2026"/>
    <s v="01/10/2026"/>
    <n v="33"/>
    <s v="No"/>
    <s v=""/>
    <m/>
    <m/>
    <s v="*MAV301102194"/>
    <s v="*MAV301102194"/>
    <n v="1.3363850719658377E-4"/>
  </r>
  <r>
    <x v="100"/>
    <s v="Pesos"/>
    <d v="2026-12-02T00:00:00"/>
    <s v="29/10/2026"/>
    <n v="0.97105467999999995"/>
    <m/>
    <n v="851519.2"/>
    <n v="826871.7"/>
    <n v="851519.2"/>
    <n v="826871.7"/>
    <n v="2000"/>
    <s v="AMOMPY"/>
    <s v="Momentum Capital Investment S.A."/>
    <s v="15/09/2026"/>
    <s v="15/09/2026"/>
    <n v="32"/>
    <s v="No"/>
    <s v=""/>
    <m/>
    <m/>
    <s v="*MAV301102044"/>
    <s v="*MAV301102044"/>
    <n v="1.0119789824526195E-5"/>
  </r>
  <r>
    <x v="6"/>
    <s v="Pesos"/>
    <d v="2026-12-02T00:00:00"/>
    <s v="29/10/2026"/>
    <n v="0.97458096000000005"/>
    <m/>
    <n v="664189"/>
    <n v="647305.94999999995"/>
    <n v="664189"/>
    <n v="647305.94999999995"/>
    <n v="103"/>
    <s v="AMOMPY"/>
    <s v="Momentum Capital Investment S.A."/>
    <s v="08/10/2026"/>
    <s v="08/10/2026"/>
    <n v="28"/>
    <s v="No"/>
    <s v=""/>
    <m/>
    <m/>
    <s v="*CRE291100139"/>
    <s v="*CRE291100139"/>
    <n v="7.9221482198087831E-6"/>
  </r>
  <r>
    <x v="6"/>
    <s v="Pesos"/>
    <d v="2026-12-02T00:00:00"/>
    <s v="29/10/2026"/>
    <n v="0.97458093000000001"/>
    <m/>
    <n v="502361"/>
    <n v="489591.45"/>
    <n v="502361"/>
    <n v="489591.45"/>
    <n v="739"/>
    <s v="AMOMPY"/>
    <s v="Momentum Capital Investment S.A."/>
    <s v="08/10/2026"/>
    <s v="08/10/2026"/>
    <n v="28"/>
    <s v="No"/>
    <s v=""/>
    <m/>
    <m/>
    <s v="*CRE301100414"/>
    <s v="*CRE301100414"/>
    <n v="5.9919363232349423E-6"/>
  </r>
  <r>
    <x v="6"/>
    <s v="Pesos"/>
    <d v="2026-12-02T00:00:00"/>
    <s v="29/10/2026"/>
    <n v="0.97458093999999995"/>
    <m/>
    <n v="500915.11"/>
    <n v="488182.32"/>
    <n v="500915.11"/>
    <n v="488182.32"/>
    <n v="807"/>
    <s v="AMOMPY"/>
    <s v="Momentum Capital Investment S.A."/>
    <s v="08/10/2026"/>
    <s v="08/10/2026"/>
    <n v="28"/>
    <s v="No"/>
    <s v=""/>
    <m/>
    <m/>
    <s v="*CRE301100415"/>
    <s v="*CRE301100415"/>
    <n v="5.9746904803364194E-6"/>
  </r>
  <r>
    <x v="6"/>
    <s v="Pesos"/>
    <d v="2026-12-02T00:00:00"/>
    <s v="29/10/2026"/>
    <n v="0.97458095"/>
    <m/>
    <n v="416466.04"/>
    <n v="405879.87"/>
    <n v="416466.04"/>
    <n v="405879.87"/>
    <n v="16869860"/>
    <s v="AMOMPY"/>
    <s v="Momentum Capital Investment S.A."/>
    <s v="08/10/2026"/>
    <s v="08/10/2026"/>
    <n v="28"/>
    <s v="No"/>
    <s v=""/>
    <m/>
    <m/>
    <s v="*CRE301100416"/>
    <s v="*CRE301100416"/>
    <n v="4.9674199496802406E-6"/>
  </r>
  <r>
    <x v="6"/>
    <s v="Pesos"/>
    <d v="2026-12-02T00:00:00"/>
    <s v="29/10/2026"/>
    <n v="0.97458095"/>
    <m/>
    <n v="400000"/>
    <n v="389832.38"/>
    <n v="400000"/>
    <n v="389832.38"/>
    <n v="157"/>
    <s v="AMOMPY"/>
    <s v="Momentum Capital Investment S.A."/>
    <s v="08/10/2026"/>
    <s v="08/10/2026"/>
    <n v="28"/>
    <s v="No"/>
    <s v=""/>
    <m/>
    <m/>
    <s v="*CRE301100417"/>
    <s v="*CRE301100417"/>
    <n v="4.7710204042475145E-6"/>
  </r>
  <r>
    <x v="6"/>
    <s v="Pesos"/>
    <d v="2026-12-02T00:00:00"/>
    <s v="29/10/2026"/>
    <n v="0.97458091000000002"/>
    <m/>
    <n v="98031.039999999994"/>
    <n v="95539.18"/>
    <n v="98031.039999999994"/>
    <n v="95539.18"/>
    <n v="5546"/>
    <s v="AMOMPY"/>
    <s v="Momentum Capital Investment S.A."/>
    <s v="08/10/2026"/>
    <s v="08/10/2026"/>
    <n v="28"/>
    <s v="No"/>
    <s v=""/>
    <m/>
    <m/>
    <s v="*CRE291100140"/>
    <s v="*CRE291100140"/>
    <n v="1.169270180135052E-6"/>
  </r>
  <r>
    <x v="333"/>
    <s v="Pesos"/>
    <d v="2026-12-02T00:00:00"/>
    <s v="29/10/2026"/>
    <n v="0.97546653000000005"/>
    <m/>
    <n v="10000000"/>
    <n v="9754665.2899999991"/>
    <n v="10000000"/>
    <n v="9754665.2899999991"/>
    <n v="1830"/>
    <s v="AMOMPY"/>
    <s v="Momentum Capital Investment S.A."/>
    <s v="29/10/2026"/>
    <s v="29/10/2026"/>
    <n v="27"/>
    <s v="No"/>
    <s v=""/>
    <m/>
    <m/>
    <s v="*ACI291100226"/>
    <s v="*ACI291100226"/>
    <n v="1.1938389298291485E-4"/>
  </r>
  <r>
    <x v="334"/>
    <s v="Pesos"/>
    <d v="2026-12-02T00:00:00"/>
    <s v="29/10/2026"/>
    <n v="0.97017704000000005"/>
    <m/>
    <n v="3320250"/>
    <n v="3221230.32"/>
    <n v="3320250"/>
    <n v="3221230.32"/>
    <n v="10539964"/>
    <s v="AMOMPY"/>
    <s v="Momentum Capital Investment S.A."/>
    <s v="28/07/2026"/>
    <s v="28/07/2026"/>
    <n v="33"/>
    <s v="No"/>
    <s v=""/>
    <m/>
    <m/>
    <s v="*MAV301101717"/>
    <s v="*MAV301101717"/>
    <n v="3.9423496794957743E-5"/>
  </r>
  <r>
    <x v="68"/>
    <s v="Pesos"/>
    <d v="2026-12-02T00:00:00"/>
    <s v="29/10/2026"/>
    <n v="0.96842673000000001"/>
    <m/>
    <n v="20000000"/>
    <n v="19368534.690000001"/>
    <n v="20000000"/>
    <n v="19368534.690000001"/>
    <n v="224"/>
    <s v="AMOMPY"/>
    <s v="Momentum Capital Investment S.A."/>
    <s v="01/09/2026"/>
    <s v="01/09/2026"/>
    <n v="35"/>
    <s v="No"/>
    <s v=""/>
    <m/>
    <m/>
    <s v="*MAV301101889"/>
    <s v="*MAV301101889"/>
    <n v="2.3704463494378229E-4"/>
  </r>
  <r>
    <x v="272"/>
    <s v="Pesos"/>
    <d v="2026-12-02T00:00:00"/>
    <s v="29/10/2026"/>
    <n v="0.97017710999999995"/>
    <m/>
    <n v="5800000"/>
    <n v="5627027.2199999997"/>
    <n v="5800000"/>
    <n v="5627027.2199999997"/>
    <n v="6580"/>
    <s v="AMOMPY"/>
    <s v="Momentum Capital Investment S.A."/>
    <s v="21/08/2026"/>
    <s v="21/08/2026"/>
    <n v="33"/>
    <s v="No"/>
    <s v=""/>
    <m/>
    <m/>
    <s v="*MAV291101291"/>
    <s v="*MAV291101291"/>
    <n v="6.8867192822402715E-5"/>
  </r>
  <r>
    <x v="2"/>
    <s v="Pesos"/>
    <d v="2026-12-02T00:00:00"/>
    <s v="29/10/2026"/>
    <n v="0.96842669999999997"/>
    <m/>
    <n v="3256800.5"/>
    <n v="3153972.56"/>
    <n v="3256800.5"/>
    <n v="3153972.56"/>
    <n v="3600"/>
    <s v="AMOMPY"/>
    <s v="Momentum Capital Investment S.A."/>
    <s v="25/09/2026"/>
    <s v="25/09/2026"/>
    <n v="35"/>
    <s v="No"/>
    <s v=""/>
    <m/>
    <m/>
    <s v="*MAV301102118"/>
    <s v="*MAV301102118"/>
    <n v="3.8600352895767068E-5"/>
  </r>
  <r>
    <x v="7"/>
    <s v="Pesos"/>
    <d v="2026-12-02T00:00:00"/>
    <s v="29/10/2026"/>
    <n v="0.97105467999999995"/>
    <m/>
    <n v="5444208"/>
    <n v="5286623.6500000004"/>
    <n v="5444208"/>
    <n v="5286623.6500000004"/>
    <n v="3450"/>
    <s v="AMOMPY"/>
    <s v="Momentum Capital Investment S.A."/>
    <s v="25/08/2026"/>
    <s v="25/08/2026"/>
    <n v="32"/>
    <s v="No"/>
    <s v=""/>
    <m/>
    <m/>
    <s v="*MAV281101463"/>
    <s v="*MAV281101463"/>
    <n v="6.4701114114039144E-5"/>
  </r>
  <r>
    <x v="35"/>
    <s v="Pesos"/>
    <d v="2026-12-02T00:00:00"/>
    <s v="29/10/2026"/>
    <n v="0.96930114000000001"/>
    <m/>
    <n v="13000000"/>
    <n v="12600914.779999999"/>
    <n v="13000000"/>
    <n v="12600914.779999999"/>
    <n v="14330929"/>
    <s v="AMOMPY"/>
    <s v="Momentum Capital Investment S.A."/>
    <s v="25/08/2026"/>
    <s v="25/08/2026"/>
    <n v="34"/>
    <s v="No"/>
    <s v=""/>
    <m/>
    <m/>
    <s v="*MAV301101834"/>
    <s v="*MAV301101834"/>
    <n v="1.5421813223304867E-4"/>
  </r>
  <r>
    <x v="73"/>
    <s v="Pesos"/>
    <d v="2026-12-02T00:00:00"/>
    <s v="29/10/2026"/>
    <n v="0.97105467000000001"/>
    <m/>
    <n v="1217387.51"/>
    <n v="1182149.83"/>
    <n v="1217387.51"/>
    <n v="1182149.83"/>
    <n v="1809"/>
    <s v="AMOMPY"/>
    <s v="Momentum Capital Investment S.A."/>
    <s v="01/09/2026"/>
    <s v="01/09/2026"/>
    <n v="32"/>
    <s v="No"/>
    <s v=""/>
    <m/>
    <m/>
    <s v="*MAV301101898"/>
    <s v="*MAV301101898"/>
    <n v="1.4467913003552273E-5"/>
  </r>
  <r>
    <x v="10"/>
    <s v="Pesos"/>
    <d v="2026-12-02T00:00:00"/>
    <s v="29/10/2026"/>
    <n v="0.97281455999999999"/>
    <m/>
    <n v="50000000"/>
    <n v="48640727.859999999"/>
    <n v="50000000"/>
    <n v="48640727.859999999"/>
    <n v="68074"/>
    <s v="AMOMPY"/>
    <s v="Momentum Capital Investment S.A."/>
    <s v="18/09/2026"/>
    <s v="18/09/2026"/>
    <n v="30"/>
    <s v="No"/>
    <s v=""/>
    <m/>
    <m/>
    <s v="*MAV301102058"/>
    <s v="*MAV301102058"/>
    <n v="5.9529663774340793E-4"/>
  </r>
  <r>
    <x v="231"/>
    <s v="Pesos"/>
    <d v="2026-12-02T00:00:00"/>
    <s v="29/10/2026"/>
    <n v="0.97281466999999999"/>
    <m/>
    <n v="4175312.5"/>
    <n v="4061805.27"/>
    <n v="4175312.5"/>
    <n v="4061805.27"/>
    <n v="40952757"/>
    <s v="AMOMPY"/>
    <s v="Momentum Capital Investment S.A."/>
    <s v="15/10/2026"/>
    <s v="15/10/2026"/>
    <n v="30"/>
    <s v="No"/>
    <s v=""/>
    <m/>
    <m/>
    <s v="*MAV301102515"/>
    <s v="*MAV301102515"/>
    <n v="4.9710995841982353E-5"/>
  </r>
  <r>
    <x v="107"/>
    <s v="Pesos"/>
    <d v="2026-12-02T00:00:00"/>
    <s v="29/10/2026"/>
    <n v="0.97105461999999998"/>
    <m/>
    <n v="175518.88"/>
    <n v="170438.42"/>
    <n v="175518.88"/>
    <n v="170438.42"/>
    <n v="30103756"/>
    <s v="AMOMPY"/>
    <s v="Momentum Capital Investment S.A."/>
    <s v="07/10/2026"/>
    <s v="07/10/2026"/>
    <n v="32"/>
    <s v="No"/>
    <s v=""/>
    <m/>
    <m/>
    <s v="*MAV301102317"/>
    <s v="*MAV301102317"/>
    <n v="2.0859354461209909E-6"/>
  </r>
  <r>
    <x v="223"/>
    <s v="Pesos"/>
    <d v="2026-12-02T00:00:00"/>
    <s v="29/10/2026"/>
    <n v="0.97017704999999999"/>
    <m/>
    <n v="604613.32999999996"/>
    <n v="586581.98"/>
    <n v="604613.32999999996"/>
    <n v="586581.98"/>
    <n v="19714"/>
    <s v="AMOMPY"/>
    <s v="Momentum Capital Investment S.A."/>
    <s v="16/10/2026"/>
    <s v="16/10/2026"/>
    <n v="33"/>
    <s v="No"/>
    <s v=""/>
    <m/>
    <m/>
    <s v="*MAV301102558"/>
    <s v="*MAV301102558"/>
    <n v="7.1789690618924658E-6"/>
  </r>
  <r>
    <x v="109"/>
    <s v="Pesos"/>
    <d v="2026-12-02T00:00:00"/>
    <s v="29/10/2026"/>
    <n v="0.97017706999999997"/>
    <m/>
    <n v="1500000"/>
    <n v="1455265.6"/>
    <n v="1500000"/>
    <n v="1455265.6"/>
    <n v="591"/>
    <s v="AMOMPY"/>
    <s v="Momentum Capital Investment S.A."/>
    <s v="21/09/2026"/>
    <s v="21/09/2026"/>
    <n v="33"/>
    <s v="No"/>
    <s v=""/>
    <m/>
    <m/>
    <s v="*MAV291101339"/>
    <s v="*MAV291101339"/>
    <n v="1.7810480163806564E-5"/>
  </r>
  <r>
    <x v="109"/>
    <s v="Pesos"/>
    <d v="2026-12-02T00:00:00"/>
    <s v="29/10/2026"/>
    <n v="0.97017706999999997"/>
    <m/>
    <n v="1500000"/>
    <n v="1455265.6"/>
    <n v="1500000"/>
    <n v="1455265.6"/>
    <n v="592"/>
    <s v="AMOMPY"/>
    <s v="Momentum Capital Investment S.A."/>
    <s v="21/09/2026"/>
    <s v="21/09/2026"/>
    <n v="33"/>
    <s v="No"/>
    <s v=""/>
    <m/>
    <m/>
    <s v="*MAV301102071"/>
    <s v="*MAV301102071"/>
    <n v="1.7810480163806564E-5"/>
  </r>
  <r>
    <x v="109"/>
    <s v="Pesos"/>
    <d v="2026-12-02T00:00:00"/>
    <s v="29/10/2026"/>
    <n v="0.97017706999999997"/>
    <m/>
    <n v="1500000"/>
    <n v="1455265.6"/>
    <n v="1500000"/>
    <n v="1455265.6"/>
    <n v="590"/>
    <s v="AMOMPY"/>
    <s v="Momentum Capital Investment S.A."/>
    <s v="21/09/2026"/>
    <s v="21/09/2026"/>
    <n v="33"/>
    <s v="No"/>
    <s v=""/>
    <m/>
    <m/>
    <s v="*MAV281101550"/>
    <s v="*MAV281101550"/>
    <n v="1.7810480163806564E-5"/>
  </r>
  <r>
    <x v="335"/>
    <s v="Pesos"/>
    <d v="2026-12-02T00:00:00"/>
    <s v="29/10/2026"/>
    <n v="0.97193379000000002"/>
    <m/>
    <n v="50000000"/>
    <n v="48596689.329999998"/>
    <n v="50000000"/>
    <n v="48596689.329999998"/>
    <n v="5791"/>
    <s v="AMOMPY"/>
    <s v="Momentum Capital Investment S.A."/>
    <s v="03/09/2026"/>
    <s v="03/09/2026"/>
    <n v="31"/>
    <s v="No"/>
    <s v=""/>
    <m/>
    <m/>
    <s v="*MAV301101931"/>
    <s v="*MAV301101931"/>
    <n v="5.9475766577498637E-4"/>
  </r>
  <r>
    <x v="335"/>
    <s v="Pesos"/>
    <d v="2026-12-02T00:00:00"/>
    <s v="29/10/2026"/>
    <n v="0.97193379000000002"/>
    <m/>
    <n v="50000000"/>
    <n v="48596689.329999998"/>
    <n v="50000000"/>
    <n v="48596689.329999998"/>
    <n v="5792"/>
    <s v="AMOMPY"/>
    <s v="Momentum Capital Investment S.A."/>
    <s v="03/09/2026"/>
    <s v="03/09/2026"/>
    <n v="31"/>
    <s v="No"/>
    <s v=""/>
    <m/>
    <m/>
    <s v="*MAV301101932"/>
    <s v="*MAV301101932"/>
    <n v="5.9475766577498637E-4"/>
  </r>
  <r>
    <x v="336"/>
    <s v="Pesos"/>
    <d v="2026-12-02T00:00:00"/>
    <s v="29/10/2026"/>
    <n v="0.97017708000000002"/>
    <m/>
    <n v="6512309.3700000001"/>
    <n v="6318093.3099999996"/>
    <n v="6512309.3700000001"/>
    <n v="6318093.3099999996"/>
    <n v="90001933"/>
    <s v="AMOMPY"/>
    <s v="Momentum Capital Investment S.A."/>
    <s v="06/08/2026"/>
    <s v="06/08/2026"/>
    <n v="33"/>
    <s v="No"/>
    <s v=""/>
    <m/>
    <m/>
    <s v="*MAV301101739"/>
    <s v="*MAV301101739"/>
    <n v="7.7324905894040195E-5"/>
  </r>
  <r>
    <x v="43"/>
    <s v="Pesos"/>
    <d v="2026-12-02T00:00:00"/>
    <s v="29/10/2026"/>
    <n v="0.97281454999999994"/>
    <m/>
    <n v="525551.4"/>
    <n v="511264.05"/>
    <n v="525551.4"/>
    <n v="511264.05"/>
    <n v="1203"/>
    <s v="AMOMPY"/>
    <s v="Momentum Capital Investment S.A."/>
    <s v="13/10/2026"/>
    <s v="13/10/2026"/>
    <n v="30"/>
    <s v="No"/>
    <s v=""/>
    <m/>
    <m/>
    <s v="*MAV281101650"/>
    <s v="*MAV281101650"/>
    <n v="6.2571795973136491E-6"/>
  </r>
  <r>
    <x v="337"/>
    <s v="Pesos"/>
    <d v="2026-12-02T00:00:00"/>
    <s v="29/10/2026"/>
    <n v="0.97105459999999999"/>
    <m/>
    <n v="5632305"/>
    <n v="5469275.7000000002"/>
    <n v="5632305"/>
    <n v="5469275.7000000002"/>
    <n v="1837"/>
    <s v="AMOMPY"/>
    <s v="Momentum Capital Investment S.A."/>
    <s v="23/10/2026"/>
    <s v="23/10/2026"/>
    <n v="32"/>
    <s v="No"/>
    <s v=""/>
    <m/>
    <m/>
    <s v="*MAV301102690"/>
    <s v="*MAV301102690"/>
    <n v="6.6936527851162869E-5"/>
  </r>
  <r>
    <x v="338"/>
    <s v="Pesos"/>
    <d v="2026-12-02T00:00:00"/>
    <s v="29/10/2026"/>
    <n v="0.97369695999999994"/>
    <m/>
    <n v="642421.1"/>
    <n v="625523.47"/>
    <n v="642421.1"/>
    <n v="625523.47"/>
    <n v="70717662"/>
    <s v="AMOMPY"/>
    <s v="Momentum Capital Investment S.A."/>
    <s v="28/10/2026"/>
    <s v="28/10/2026"/>
    <n v="29"/>
    <s v="No"/>
    <s v=""/>
    <m/>
    <m/>
    <s v="*MAV301102787"/>
    <s v="*MAV301102787"/>
    <n v="7.6555601633340669E-6"/>
  </r>
  <r>
    <x v="339"/>
    <s v="Pesos"/>
    <d v="2026-12-02T00:00:00"/>
    <s v="29/10/2026"/>
    <n v="0.97281468999999998"/>
    <m/>
    <n v="25254118.149999999"/>
    <n v="24567577.219999999"/>
    <n v="25254118.149999999"/>
    <n v="24567577.219999999"/>
    <n v="919"/>
    <s v="AMOMPY"/>
    <s v="Momentum Capital Investment S.A."/>
    <s v="29/10/2026"/>
    <s v="29/10/2026"/>
    <n v="30"/>
    <s v="No"/>
    <s v=""/>
    <m/>
    <m/>
    <s v="*MAV281101750"/>
    <s v="*MAV281101750"/>
    <n v="3.0067387475495602E-4"/>
  </r>
  <r>
    <x v="82"/>
    <s v="Pesos"/>
    <d v="2026-12-02T00:00:00"/>
    <s v="29/10/2026"/>
    <n v="0.97281461000000002"/>
    <m/>
    <n v="100000000"/>
    <n v="97281461.269999996"/>
    <n v="100000000"/>
    <n v="97281461.269999996"/>
    <n v="6954"/>
    <s v="AMOMPY"/>
    <s v="Momentum Capital Investment S.A."/>
    <s v="30/09/2026"/>
    <s v="30/09/2026"/>
    <n v="30"/>
    <s v="No"/>
    <s v=""/>
    <m/>
    <m/>
    <s v="*MAV301102159"/>
    <s v="*MAV301102159"/>
    <n v="1.1905933434112998E-3"/>
  </r>
  <r>
    <x v="82"/>
    <s v="Pesos"/>
    <d v="2026-12-02T00:00:00"/>
    <s v="29/10/2026"/>
    <n v="0.97281461000000002"/>
    <m/>
    <n v="100000000"/>
    <n v="97281461.269999996"/>
    <n v="100000000"/>
    <n v="97281461.269999996"/>
    <n v="6956"/>
    <s v="AMOMPY"/>
    <s v="Momentum Capital Investment S.A."/>
    <s v="30/09/2026"/>
    <s v="30/09/2026"/>
    <n v="30"/>
    <s v="No"/>
    <s v=""/>
    <m/>
    <m/>
    <s v="*MAV301102160"/>
    <s v="*MAV301102160"/>
    <n v="1.1905933434112998E-3"/>
  </r>
  <r>
    <x v="82"/>
    <s v="Pesos"/>
    <d v="2026-12-02T00:00:00"/>
    <s v="29/10/2026"/>
    <n v="0.97281461000000002"/>
    <m/>
    <n v="100000000"/>
    <n v="97281461.269999996"/>
    <n v="100000000"/>
    <n v="97281461.269999996"/>
    <n v="6955"/>
    <s v="AMOMPY"/>
    <s v="Momentum Capital Investment S.A."/>
    <s v="30/09/2026"/>
    <s v="30/09/2026"/>
    <n v="30"/>
    <s v="No"/>
    <s v=""/>
    <m/>
    <m/>
    <s v="*MAV301102161"/>
    <s v="*MAV301102161"/>
    <n v="1.1905933434112998E-3"/>
  </r>
  <r>
    <x v="82"/>
    <s v="Pesos"/>
    <d v="2026-12-02T00:00:00"/>
    <s v="29/10/2026"/>
    <n v="0.97281461000000002"/>
    <m/>
    <n v="100000000"/>
    <n v="97281461.269999996"/>
    <n v="100000000"/>
    <n v="97281461.269999996"/>
    <n v="6957"/>
    <s v="AMOMPY"/>
    <s v="Momentum Capital Investment S.A."/>
    <s v="30/09/2026"/>
    <s v="30/09/2026"/>
    <n v="30"/>
    <s v="No"/>
    <s v=""/>
    <m/>
    <m/>
    <s v="*MAV301102162"/>
    <s v="*MAV301102162"/>
    <n v="1.1905933434112998E-3"/>
  </r>
  <r>
    <x v="84"/>
    <s v="Pesos"/>
    <d v="2026-12-02T00:00:00"/>
    <s v="29/10/2026"/>
    <n v="0.97105463000000003"/>
    <m/>
    <n v="716184.35"/>
    <n v="695454.13"/>
    <n v="716184.35"/>
    <n v="695454.13"/>
    <n v="6715"/>
    <s v="AMOMPY"/>
    <s v="Momentum Capital Investment S.A."/>
    <s v="05/10/2026"/>
    <s v="05/10/2026"/>
    <n v="32"/>
    <s v="No"/>
    <s v=""/>
    <m/>
    <m/>
    <s v="*MAV301102248"/>
    <s v="*MAV301102248"/>
    <n v="8.511416738774249E-6"/>
  </r>
  <r>
    <x v="85"/>
    <s v="Pesos"/>
    <d v="2026-12-02T00:00:00"/>
    <s v="29/10/2026"/>
    <n v="0.98171065000000002"/>
    <m/>
    <n v="8500000"/>
    <n v="8344540.5300000003"/>
    <n v="8500000"/>
    <n v="8344540.5300000003"/>
    <n v="34605"/>
    <s v="AMOMPY"/>
    <s v="Momentum Capital Investment S.A."/>
    <s v="08/09/2026"/>
    <s v="08/09/2026"/>
    <n v="20"/>
    <s v="No"/>
    <s v=""/>
    <m/>
    <m/>
    <s v="*MAV301101960"/>
    <s v="*MAV301101960"/>
    <n v="1.0212587556913659E-4"/>
  </r>
  <r>
    <x v="18"/>
    <s v="Pesos"/>
    <d v="2026-12-02T00:00:00"/>
    <s v="29/10/2026"/>
    <n v="0.9710548"/>
    <m/>
    <n v="80000000"/>
    <n v="77684383.859999999"/>
    <n v="80000000"/>
    <n v="77684383.859999999"/>
    <n v="1040"/>
    <s v="AMOMPY"/>
    <s v="Momentum Capital Investment S.A."/>
    <s v="29/10/2026"/>
    <s v="29/10/2026"/>
    <n v="32"/>
    <s v="No"/>
    <s v=""/>
    <m/>
    <m/>
    <s v="*MAV301102815"/>
    <s v="*MAV301102815"/>
    <n v="9.50751655076616E-4"/>
  </r>
  <r>
    <x v="44"/>
    <s v="Pesos"/>
    <d v="2026-12-02T00:00:00"/>
    <s v="29/10/2026"/>
    <n v="0.97017706000000004"/>
    <m/>
    <n v="25000000"/>
    <n v="24254426.609999999"/>
    <n v="25000000"/>
    <n v="24254426.609999999"/>
    <n v="14422657"/>
    <s v="AMOMPY"/>
    <s v="Momentum Capital Investment S.A."/>
    <s v="03/09/2026"/>
    <s v="03/09/2026"/>
    <n v="33"/>
    <s v="No"/>
    <s v=""/>
    <m/>
    <m/>
    <s v="*MAV291101308"/>
    <s v="*MAV291101308"/>
    <n v="2.9684133536991944E-4"/>
  </r>
  <r>
    <x v="340"/>
    <s v="Pesos"/>
    <d v="2026-12-02T00:00:00"/>
    <s v="29/10/2026"/>
    <n v="0.97017708999999996"/>
    <m/>
    <n v="2600411.64"/>
    <n v="2522859.79"/>
    <n v="2600411.64"/>
    <n v="2522859.79"/>
    <n v="90000275"/>
    <s v="AMOMPY"/>
    <s v="Momentum Capital Investment S.A."/>
    <s v="06/08/2026"/>
    <s v="06/08/2026"/>
    <n v="33"/>
    <s v="No"/>
    <s v=""/>
    <m/>
    <m/>
    <s v="*MAV301101738"/>
    <s v="*MAV301101738"/>
    <n v="3.0876387269691657E-5"/>
  </r>
  <r>
    <x v="88"/>
    <s v="Pesos"/>
    <d v="2026-12-02T00:00:00"/>
    <s v="29/10/2026"/>
    <n v="0.97281461000000002"/>
    <m/>
    <n v="490000"/>
    <n v="476679.16"/>
    <n v="490000"/>
    <n v="476679.16"/>
    <n v="11181523"/>
    <s v="AMOMPY"/>
    <s v="Momentum Capital Investment S.A."/>
    <s v="21/10/2026"/>
    <s v="21/10/2026"/>
    <n v="30"/>
    <s v="No"/>
    <s v=""/>
    <m/>
    <m/>
    <s v="*MAV301102651"/>
    <s v="*MAV301102651"/>
    <n v="5.8339073799861504E-6"/>
  </r>
  <r>
    <x v="341"/>
    <s v="Pesos"/>
    <d v="2026-12-02T00:00:00"/>
    <s v="29/10/2026"/>
    <n v="0.97369686"/>
    <m/>
    <n v="698373"/>
    <n v="680003.6"/>
    <n v="698373"/>
    <n v="680003.6"/>
    <n v="3712744"/>
    <s v="AMOMPY"/>
    <s v="Momentum Capital Investment S.A."/>
    <s v="23/10/2026"/>
    <s v="23/10/2026"/>
    <n v="29"/>
    <s v="No"/>
    <s v=""/>
    <m/>
    <m/>
    <s v="*MAV301102692"/>
    <s v="*MAV301102692"/>
    <n v="8.3223231753138747E-6"/>
  </r>
  <r>
    <x v="342"/>
    <s v="Pesos"/>
    <d v="2026-12-02T00:00:00"/>
    <s v="29/10/2026"/>
    <n v="0.97369686"/>
    <m/>
    <n v="8650000"/>
    <n v="8422477.8200000003"/>
    <n v="8650000"/>
    <n v="8422477.8200000003"/>
    <n v="2048458"/>
    <s v="AMOMPY"/>
    <s v="Momentum Capital Investment S.A."/>
    <s v="23/10/2026"/>
    <s v="23/10/2026"/>
    <n v="29"/>
    <s v="No"/>
    <s v=""/>
    <m/>
    <m/>
    <s v="*MAV301102691"/>
    <s v="*MAV301102691"/>
    <n v="1.0307972245287096E-4"/>
  </r>
  <r>
    <x v="204"/>
    <s v="Pesos"/>
    <d v="2026-12-02T00:00:00"/>
    <s v="29/10/2026"/>
    <n v="0.97017710000000001"/>
    <m/>
    <n v="2500000"/>
    <n v="2425442.75"/>
    <n v="2500000"/>
    <n v="2425442.75"/>
    <n v="102"/>
    <s v="AMOMPY"/>
    <s v="Momentum Capital Investment S.A."/>
    <s v="22/09/2026"/>
    <s v="22/09/2026"/>
    <n v="33"/>
    <s v="No"/>
    <s v=""/>
    <m/>
    <m/>
    <s v="*MAV301102080"/>
    <s v="*MAV301102080"/>
    <n v="2.9684134626231416E-5"/>
  </r>
  <r>
    <x v="246"/>
    <s v="Pesos"/>
    <d v="2026-12-02T00:00:00"/>
    <s v="29/10/2026"/>
    <n v="0.97105483000000004"/>
    <m/>
    <n v="1380000"/>
    <n v="1340055.6599999999"/>
    <n v="1380000"/>
    <n v="1340055.6599999999"/>
    <n v="70471004"/>
    <s v="AMOMPY"/>
    <s v="Momentum Capital Investment S.A."/>
    <s v="19/10/2026"/>
    <s v="19/10/2026"/>
    <n v="32"/>
    <s v="No"/>
    <s v=""/>
    <m/>
    <m/>
    <s v="*MAV301102586"/>
    <s v="*MAV301102586"/>
    <n v="1.64004665202192E-5"/>
  </r>
  <r>
    <x v="343"/>
    <s v="Pesos"/>
    <d v="2026-12-02T00:00:00"/>
    <s v="29/10/2026"/>
    <n v="0.97105489"/>
    <m/>
    <n v="151949"/>
    <n v="147550.82"/>
    <n v="151949"/>
    <n v="147550.82"/>
    <n v="10455635"/>
    <s v="AMOMPY"/>
    <s v="Momentum Capital Investment S.A."/>
    <s v="19/10/2026"/>
    <s v="19/10/2026"/>
    <n v="32"/>
    <s v="No"/>
    <s v=""/>
    <m/>
    <m/>
    <s v="*MAV301102585"/>
    <s v="*MAV301102585"/>
    <n v="1.8058222174449754E-6"/>
  </r>
  <r>
    <x v="119"/>
    <s v="Pesos"/>
    <d v="2026-12-02T00:00:00"/>
    <s v="29/10/2026"/>
    <n v="0.97105481000000005"/>
    <m/>
    <n v="5000000"/>
    <n v="4855274.07"/>
    <n v="5000000"/>
    <n v="4855274.07"/>
    <n v="40981970"/>
    <s v="AMOMPY"/>
    <s v="Momentum Capital Investment S.A."/>
    <s v="19/10/2026"/>
    <s v="19/10/2026"/>
    <n v="32"/>
    <s v="No"/>
    <s v=""/>
    <m/>
    <m/>
    <s v="*MAV281101687"/>
    <s v="*MAV281101687"/>
    <n v="5.9421979406081856E-5"/>
  </r>
  <r>
    <x v="205"/>
    <s v="Pesos"/>
    <d v="2026-12-02T00:00:00"/>
    <s v="29/10/2026"/>
    <n v="0.97281470000000003"/>
    <m/>
    <n v="1500000"/>
    <n v="1459222.05"/>
    <n v="1500000"/>
    <n v="1459222.05"/>
    <n v="10793609"/>
    <s v="AMOMPY"/>
    <s v="Momentum Capital Investment S.A."/>
    <s v="19/10/2026"/>
    <s v="19/10/2026"/>
    <n v="30"/>
    <s v="No"/>
    <s v=""/>
    <m/>
    <m/>
    <s v="*MAV301102580"/>
    <s v="*MAV301102580"/>
    <n v="1.7858901753820158E-5"/>
  </r>
  <r>
    <x v="26"/>
    <s v="Pesos"/>
    <d v="2026-12-02T00:00:00"/>
    <s v="29/10/2026"/>
    <n v="0.97281454000000001"/>
    <m/>
    <n v="8000000"/>
    <n v="7782516.2800000003"/>
    <n v="8000000"/>
    <n v="7782516.2800000003"/>
    <n v="1436"/>
    <s v="AMOMPY"/>
    <s v="Momentum Capital Investment S.A."/>
    <s v="27/10/2026"/>
    <s v="27/10/2026"/>
    <n v="30"/>
    <s v="No"/>
    <s v=""/>
    <m/>
    <m/>
    <s v="*MAV281101726"/>
    <s v="*MAV281101726"/>
    <n v="9.5247459865361778E-5"/>
  </r>
  <r>
    <x v="91"/>
    <s v="Pesos"/>
    <d v="2026-12-02T00:00:00"/>
    <s v="29/10/2026"/>
    <n v="0.96581296000000005"/>
    <m/>
    <n v="100000000"/>
    <n v="96581295.819999993"/>
    <n v="100000000"/>
    <n v="96581295.819999993"/>
    <n v="70219574"/>
    <s v="AMOMPY"/>
    <s v="Momentum Capital Investment S.A."/>
    <s v="29/09/2026"/>
    <s v="29/09/2026"/>
    <n v="38"/>
    <s v="No"/>
    <s v=""/>
    <m/>
    <m/>
    <s v="*MAV301102135"/>
    <s v="*MAV301102135"/>
    <n v="1.1820242664959877E-3"/>
  </r>
  <r>
    <x v="123"/>
    <s v="Pesos"/>
    <d v="2026-12-02T00:00:00"/>
    <s v="29/10/2026"/>
    <n v="0.97105465000000002"/>
    <m/>
    <n v="2833000"/>
    <n v="2750997.82"/>
    <n v="2833000"/>
    <n v="2750997.82"/>
    <n v="90000056"/>
    <s v="AMOMPY"/>
    <s v="Momentum Capital Investment S.A."/>
    <s v="25/09/2026"/>
    <s v="25/09/2026"/>
    <n v="32"/>
    <s v="No"/>
    <s v=""/>
    <m/>
    <m/>
    <s v="*MAV281101566"/>
    <s v="*MAV281101566"/>
    <n v="3.3668487803040965E-5"/>
  </r>
  <r>
    <x v="63"/>
    <s v="Pesos"/>
    <d v="2026-12-02T00:00:00"/>
    <s v="29/10/2026"/>
    <n v="0.97105456999999995"/>
    <m/>
    <n v="513679.69"/>
    <n v="498811.01"/>
    <n v="513679.69"/>
    <n v="498811.01"/>
    <n v="5287"/>
    <s v="AMOMPY"/>
    <s v="Momentum Capital Investment S.A."/>
    <s v="05/10/2026"/>
    <s v="05/10/2026"/>
    <n v="32"/>
    <s v="No"/>
    <s v=""/>
    <m/>
    <m/>
    <s v="*MAV291101374"/>
    <s v="*MAV291101374"/>
    <n v="6.1047712521297255E-6"/>
  </r>
  <r>
    <x v="125"/>
    <s v="Pesos"/>
    <d v="2026-12-02T00:00:00"/>
    <s v="29/10/2026"/>
    <n v="0.97105461000000004"/>
    <m/>
    <n v="18485149.41"/>
    <n v="17950089.57"/>
    <n v="18485149.41"/>
    <n v="17950089.57"/>
    <n v="4479"/>
    <s v="AMOMPY"/>
    <s v="Momentum Capital Investment S.A."/>
    <s v="05/10/2026"/>
    <s v="05/10/2026"/>
    <n v="32"/>
    <s v="No"/>
    <s v=""/>
    <m/>
    <m/>
    <s v="*MAV301102247"/>
    <s v="*MAV301102247"/>
    <n v="2.1968478759137579E-4"/>
  </r>
  <r>
    <x v="127"/>
    <s v="Pesos"/>
    <d v="2026-12-02T00:00:00"/>
    <s v="29/10/2026"/>
    <n v="0.97105465999999996"/>
    <m/>
    <n v="17889421.149999999"/>
    <n v="17371605.800000001"/>
    <n v="17889421.149999999"/>
    <n v="17371605.800000001"/>
    <n v="90000934"/>
    <s v="AMOMPY"/>
    <s v="Momentum Capital Investment S.A."/>
    <s v="06/10/2026"/>
    <s v="06/10/2026"/>
    <n v="32"/>
    <s v="No"/>
    <s v=""/>
    <m/>
    <m/>
    <s v="*MAV301102281"/>
    <s v="*MAV301102281"/>
    <n v="2.1260492965295615E-4"/>
  </r>
  <r>
    <x v="320"/>
    <s v="Pesos"/>
    <d v="2026-12-02T00:00:00"/>
    <s v="29/10/2026"/>
    <n v="0.97281466000000005"/>
    <m/>
    <n v="2750000"/>
    <n v="2675240.3199999998"/>
    <n v="2750000"/>
    <n v="2675240.3199999998"/>
    <n v="654"/>
    <s v="AMOMPY"/>
    <s v="Momentum Capital Investment S.A."/>
    <s v="08/10/2026"/>
    <s v="08/10/2026"/>
    <n v="30"/>
    <s v="No"/>
    <s v=""/>
    <m/>
    <m/>
    <s v="*MAV301102357"/>
    <s v="*MAV301102357"/>
    <n v="3.2741318596945819E-5"/>
  </r>
  <r>
    <x v="344"/>
    <s v="Pesos"/>
    <d v="2026-12-02T00:00:00"/>
    <s v="29/10/2026"/>
    <n v="0.97105465000000002"/>
    <m/>
    <n v="18667000"/>
    <n v="18126677.219999999"/>
    <n v="18667000"/>
    <n v="18126677.219999999"/>
    <n v="87587"/>
    <s v="AMOMPY"/>
    <s v="Momentum Capital Investment S.A."/>
    <s v="13/10/2026"/>
    <s v="13/10/2026"/>
    <n v="32"/>
    <s v="No"/>
    <s v=""/>
    <m/>
    <m/>
    <s v="*MAV301102426"/>
    <s v="*MAV301102426"/>
    <n v="2.21845981285158E-4"/>
  </r>
  <r>
    <x v="345"/>
    <s v="Pesos"/>
    <d v="2026-12-02T00:00:00"/>
    <s v="29/10/2026"/>
    <n v="0.97017715000000004"/>
    <m/>
    <n v="9940463.25"/>
    <n v="9644010.2899999991"/>
    <n v="9940463.25"/>
    <n v="9644010.2899999991"/>
    <n v="980"/>
    <s v="AMOMPY"/>
    <s v="Momentum Capital Investment S.A."/>
    <s v="14/10/2026"/>
    <s v="14/10/2026"/>
    <n v="33"/>
    <s v="No"/>
    <s v=""/>
    <m/>
    <m/>
    <s v="*MAV301102500"/>
    <s v="*MAV301102500"/>
    <n v="1.1802962563644145E-4"/>
  </r>
  <r>
    <x v="254"/>
    <s v="Pesos"/>
    <d v="2026-12-02T00:00:00"/>
    <s v="29/10/2026"/>
    <n v="0.97281466999999999"/>
    <m/>
    <n v="2960700"/>
    <n v="2880212.4"/>
    <n v="2960700"/>
    <n v="2880212.4"/>
    <n v="70425758"/>
    <s v="AMOMPY"/>
    <s v="Momentum Capital Investment S.A."/>
    <s v="15/10/2026"/>
    <s v="15/10/2026"/>
    <n v="30"/>
    <s v="No"/>
    <s v=""/>
    <m/>
    <m/>
    <s v="*MAV301102520"/>
    <s v="*MAV301102520"/>
    <n v="3.5249899274572072E-5"/>
  </r>
  <r>
    <x v="346"/>
    <s v="Pesos"/>
    <d v="2026-12-02T00:00:00"/>
    <s v="29/10/2026"/>
    <n v="0.97281466000000005"/>
    <m/>
    <n v="1151427.6299999999"/>
    <n v="1120125.68"/>
    <n v="1151427.6299999999"/>
    <n v="1120125.68"/>
    <n v="1144"/>
    <s v="AMOMPY"/>
    <s v="Momentum Capital Investment S.A."/>
    <s v="15/10/2026"/>
    <s v="15/10/2026"/>
    <n v="30"/>
    <s v="No"/>
    <s v=""/>
    <m/>
    <m/>
    <s v="*MAV301102524"/>
    <s v="*MAV301102524"/>
    <n v="1.3708821403192884E-5"/>
  </r>
  <r>
    <x v="29"/>
    <s v="Pesos"/>
    <d v="2026-12-02T00:00:00"/>
    <s v="29/10/2026"/>
    <n v="0.97193381000000001"/>
    <m/>
    <n v="5000000"/>
    <n v="4859669.03"/>
    <n v="5000000"/>
    <n v="4859669.03"/>
    <n v="8808"/>
    <s v="AMOMPY"/>
    <s v="Momentum Capital Investment S.A."/>
    <s v="07/09/2026"/>
    <s v="07/09/2026"/>
    <n v="31"/>
    <s v="No"/>
    <s v=""/>
    <m/>
    <m/>
    <s v="*MIL301100034"/>
    <s v="*MIL301100034"/>
    <n v="5.9475767764647277E-5"/>
  </r>
  <r>
    <x v="29"/>
    <s v="Pesos"/>
    <d v="2026-12-02T00:00:00"/>
    <s v="29/10/2026"/>
    <n v="0.97458082000000001"/>
    <m/>
    <n v="7000000"/>
    <n v="6822065.7599999998"/>
    <n v="7000000"/>
    <n v="6822065.7599999998"/>
    <n v="67768339"/>
    <s v="AMOMPY"/>
    <s v="Momentum Capital Investment S.A."/>
    <s v="07/07/2026"/>
    <s v="07/07/2026"/>
    <n v="28"/>
    <s v="No"/>
    <s v=""/>
    <m/>
    <m/>
    <s v="*MIL301100029"/>
    <s v="*MIL301100029"/>
    <n v="8.3492846181936769E-5"/>
  </r>
  <r>
    <x v="29"/>
    <s v="Pesos"/>
    <d v="2026-12-02T00:00:00"/>
    <s v="29/10/2026"/>
    <n v="0.97635351999999997"/>
    <m/>
    <n v="5000000"/>
    <n v="4881767.6100000003"/>
    <n v="5000000"/>
    <n v="4881767.6100000003"/>
    <n v="491507"/>
    <s v="AMOMPY"/>
    <s v="Momentum Capital Investment S.A."/>
    <s v="20/07/2026"/>
    <s v="20/07/2026"/>
    <n v="26"/>
    <s v="No"/>
    <s v=""/>
    <m/>
    <m/>
    <s v="*MIL281100045"/>
    <s v="*MIL281100045"/>
    <n v="5.9746224457046449E-5"/>
  </r>
  <r>
    <x v="316"/>
    <s v="Pesos"/>
    <d v="2026-12-02T00:00:00"/>
    <s v="29/10/2026"/>
    <n v="0.97635358999999999"/>
    <m/>
    <n v="7000000"/>
    <n v="6834475.1299999999"/>
    <n v="7000000"/>
    <n v="6834475.1299999999"/>
    <n v="1740"/>
    <s v="AMOMPY"/>
    <s v="Momentum Capital Investment S.A."/>
    <s v="01/09/2026"/>
    <s v="01/09/2026"/>
    <n v="26"/>
    <s v="No"/>
    <s v=""/>
    <m/>
    <m/>
    <s v="*POT301100210"/>
    <s v="*POT301100210"/>
    <n v="8.3644720065460397E-5"/>
  </r>
  <r>
    <x v="316"/>
    <s v="Pesos"/>
    <d v="2026-12-02T00:00:00"/>
    <s v="29/10/2026"/>
    <n v="0.97635358999999999"/>
    <m/>
    <n v="7000000"/>
    <n v="6834475.1299999999"/>
    <n v="7000000"/>
    <n v="6834475.1299999999"/>
    <n v="1738"/>
    <s v="AMOMPY"/>
    <s v="Momentum Capital Investment S.A."/>
    <s v="01/09/2026"/>
    <s v="01/09/2026"/>
    <n v="26"/>
    <s v="No"/>
    <s v=""/>
    <m/>
    <m/>
    <s v="*POT281100071"/>
    <s v="*POT281100071"/>
    <n v="8.3644720065460397E-5"/>
  </r>
  <r>
    <x v="316"/>
    <s v="Pesos"/>
    <d v="2026-12-02T00:00:00"/>
    <s v="29/10/2026"/>
    <n v="0.97635358999999999"/>
    <m/>
    <n v="7000000"/>
    <n v="6834475.1299999999"/>
    <n v="7000000"/>
    <n v="6834475.1299999999"/>
    <n v="1739"/>
    <s v="AMOMPY"/>
    <s v="Momentum Capital Investment S.A."/>
    <s v="01/09/2026"/>
    <s v="01/09/2026"/>
    <n v="26"/>
    <s v="No"/>
    <s v=""/>
    <m/>
    <m/>
    <s v="*POT291100207"/>
    <s v="*POT291100207"/>
    <n v="8.3644720065460397E-5"/>
  </r>
  <r>
    <x v="181"/>
    <s v="Pesos"/>
    <d v="2026-12-02T00:00:00"/>
    <s v="29/10/2026"/>
    <n v="0.97369687000000005"/>
    <m/>
    <n v="4103981.39"/>
    <n v="3996033.84"/>
    <n v="4103981.39"/>
    <n v="3996033.84"/>
    <n v="90000123"/>
    <s v="AMOMPY"/>
    <s v="Momentum Capital Investment S.A."/>
    <s v="03/07/2026"/>
    <s v="03/07/2026"/>
    <n v="29"/>
    <s v="No"/>
    <s v=""/>
    <m/>
    <m/>
    <s v="*FED301100090"/>
    <s v="*FED301100090"/>
    <n v="4.8906042609142799E-5"/>
  </r>
  <r>
    <x v="136"/>
    <s v="Pesos"/>
    <d v="2026-12-02T00:00:00"/>
    <s v="29/10/2026"/>
    <n v="0.97281455999999999"/>
    <m/>
    <n v="2934952.58"/>
    <n v="2855164.6"/>
    <n v="2934952.58"/>
    <n v="2855164.6"/>
    <n v="6916"/>
    <s v="AMOMPY"/>
    <s v="Momentum Capital Investment S.A."/>
    <s v="11/09/2026"/>
    <s v="11/09/2026"/>
    <n v="30"/>
    <s v="No"/>
    <s v=""/>
    <m/>
    <m/>
    <s v="*MAV301102029"/>
    <s v="*MAV301102029"/>
    <n v="3.4943348123327244E-5"/>
  </r>
  <r>
    <x v="26"/>
    <s v="Pesos"/>
    <d v="2026-12-02T00:00:00"/>
    <s v="29/10/2026"/>
    <n v="0.97105467999999995"/>
    <m/>
    <n v="3500000"/>
    <n v="3398691.38"/>
    <n v="3500000"/>
    <n v="3398691.38"/>
    <n v="1066"/>
    <s v="AMOMPY"/>
    <s v="Momentum Capital Investment S.A."/>
    <s v="25/08/2026"/>
    <s v="25/08/2026"/>
    <n v="32"/>
    <s v="No"/>
    <s v=""/>
    <m/>
    <m/>
    <s v="*MAV301101831"/>
    <s v="*MAV301101831"/>
    <n v="4.1595379844332431E-5"/>
  </r>
  <r>
    <x v="26"/>
    <s v="Pesos"/>
    <d v="2026-12-02T00:00:00"/>
    <s v="29/10/2026"/>
    <n v="0.97017704999999999"/>
    <m/>
    <n v="2500000"/>
    <n v="2425442.62"/>
    <n v="2500000"/>
    <n v="2425442.62"/>
    <n v="1030"/>
    <s v="AMOMPY"/>
    <s v="Momentum Capital Investment S.A."/>
    <s v="19/08/2026"/>
    <s v="19/08/2026"/>
    <n v="33"/>
    <s v="No"/>
    <s v=""/>
    <m/>
    <m/>
    <s v="*MAV301101795"/>
    <s v="*MAV301101795"/>
    <n v="2.9684133035207469E-5"/>
  </r>
  <r>
    <x v="294"/>
    <s v="Pesos"/>
    <d v="2026-12-02T00:00:00"/>
    <s v="29/10/2026"/>
    <n v="0.97281454999999994"/>
    <m/>
    <n v="650000"/>
    <n v="632329.46"/>
    <n v="650000"/>
    <n v="632329.46"/>
    <n v="69995873"/>
    <s v="AMOMPY"/>
    <s v="Momentum Capital Investment S.A."/>
    <s v="25/09/2026"/>
    <s v="25/09/2026"/>
    <n v="30"/>
    <s v="No"/>
    <s v=""/>
    <m/>
    <m/>
    <s v="*MAV281101572"/>
    <s v="*MAV281101572"/>
    <n v="7.7388562639840549E-6"/>
  </r>
  <r>
    <x v="51"/>
    <s v="Pesos"/>
    <d v="2026-12-02T00:00:00"/>
    <s v="29/10/2026"/>
    <n v="0.97105478000000001"/>
    <m/>
    <n v="75000000"/>
    <n v="72829108.760000005"/>
    <n v="75000000"/>
    <n v="72829108.760000005"/>
    <n v="21577"/>
    <s v="AMOMPY"/>
    <s v="Momentum Capital Investment S.A."/>
    <s v="22/10/2026"/>
    <s v="22/10/2026"/>
    <n v="32"/>
    <s v="No"/>
    <s v=""/>
    <m/>
    <m/>
    <s v="*MAV281101713"/>
    <s v="*MAV281101713"/>
    <n v="8.9132966306472905E-4"/>
  </r>
  <r>
    <x v="347"/>
    <s v="Pesos"/>
    <d v="2026-12-02T00:00:00"/>
    <s v="29/10/2026"/>
    <n v="0.97105467000000001"/>
    <m/>
    <n v="10386286.039999999"/>
    <n v="10085651.529999999"/>
    <n v="10386286.039999999"/>
    <n v="10085651.529999999"/>
    <n v="54595090"/>
    <s v="AMOMPY"/>
    <s v="Momentum Capital Investment S.A."/>
    <s v="29/09/2026"/>
    <s v="29/09/2026"/>
    <n v="32"/>
    <s v="No"/>
    <s v=""/>
    <m/>
    <m/>
    <s v="*MAV291101351"/>
    <s v="*MAV291101351"/>
    <n v="1.2343471632541187E-4"/>
  </r>
  <r>
    <x v="348"/>
    <s v="Pesos"/>
    <d v="2026-12-02T00:00:00"/>
    <s v="29/10/2026"/>
    <n v="0.97105459000000005"/>
    <m/>
    <n v="1734700"/>
    <n v="1684488.39"/>
    <n v="1734700"/>
    <n v="1684488.39"/>
    <n v="9088652"/>
    <s v="AMOMPY"/>
    <s v="Momentum Capital Investment S.A."/>
    <s v="01/10/2026"/>
    <s v="01/10/2026"/>
    <n v="32"/>
    <s v="No"/>
    <s v=""/>
    <m/>
    <m/>
    <s v="*MAV301102175"/>
    <s v="*MAV301102175"/>
    <n v="2.0615856690529516E-5"/>
  </r>
  <r>
    <x v="349"/>
    <s v="Pesos"/>
    <d v="2026-12-02T00:00:00"/>
    <s v="29/10/2026"/>
    <n v="0.97105459000000005"/>
    <m/>
    <n v="1055400.46"/>
    <n v="1024851.46"/>
    <n v="1055400.46"/>
    <n v="1024851.46"/>
    <n v="12530"/>
    <s v="AMOMPY"/>
    <s v="Momentum Capital Investment S.A."/>
    <s v="01/10/2026"/>
    <s v="01/10/2026"/>
    <n v="32"/>
    <s v="No"/>
    <s v=""/>
    <m/>
    <m/>
    <s v="*MAV291101358"/>
    <s v="*MAV291101358"/>
    <n v="1.2542793974638165E-5"/>
  </r>
  <r>
    <x v="257"/>
    <s v="Pesos"/>
    <d v="2026-12-02T00:00:00"/>
    <s v="29/10/2026"/>
    <n v="0.97105459999999999"/>
    <m/>
    <n v="2336718.2999999998"/>
    <n v="2269081.06"/>
    <n v="2336718.2999999998"/>
    <n v="2269081.06"/>
    <n v="5391"/>
    <s v="AMOMPY"/>
    <s v="Momentum Capital Investment S.A."/>
    <s v="01/10/2026"/>
    <s v="01/10/2026"/>
    <n v="32"/>
    <s v="No"/>
    <s v=""/>
    <m/>
    <m/>
    <s v="*MAV281101590"/>
    <s v="*MAV281101590"/>
    <n v="2.7770479292026945E-5"/>
  </r>
  <r>
    <x v="94"/>
    <s v="Pesos"/>
    <d v="2026-12-02T00:00:00"/>
    <s v="29/10/2026"/>
    <n v="0.97105459999999999"/>
    <m/>
    <n v="6250000"/>
    <n v="6069091.2199999997"/>
    <n v="6250000"/>
    <n v="6069091.2199999997"/>
    <n v="1411"/>
    <s v="AMOMPY"/>
    <s v="Momentum Capital Investment S.A."/>
    <s v="01/10/2026"/>
    <s v="01/10/2026"/>
    <n v="32"/>
    <s v="No"/>
    <s v=""/>
    <m/>
    <m/>
    <s v="*MAV291101365"/>
    <s v="*MAV291101365"/>
    <n v="7.4277457521254234E-5"/>
  </r>
  <r>
    <x v="53"/>
    <s v="Pesos"/>
    <d v="2026-12-02T00:00:00"/>
    <s v="29/10/2026"/>
    <n v="0.97105463999999997"/>
    <m/>
    <n v="95000000"/>
    <n v="92250190.819999993"/>
    <n v="95000000"/>
    <n v="92250190.819999993"/>
    <n v="574"/>
    <s v="AMOMPY"/>
    <s v="Momentum Capital Investment S.A."/>
    <s v="02/10/2026"/>
    <s v="02/10/2026"/>
    <n v="32"/>
    <s v="No"/>
    <s v=""/>
    <m/>
    <m/>
    <s v="*MAV281101602"/>
    <s v="*MAV281101602"/>
    <n v="1.1290174066555137E-3"/>
  </r>
  <r>
    <x v="53"/>
    <s v="Pesos"/>
    <d v="2026-12-02T00:00:00"/>
    <s v="29/10/2026"/>
    <n v="0.97105478000000001"/>
    <m/>
    <n v="75000000"/>
    <n v="72829108.760000005"/>
    <n v="75000000"/>
    <n v="72829108.760000005"/>
    <n v="581"/>
    <s v="AMOMPY"/>
    <s v="Momentum Capital Investment S.A."/>
    <s v="22/10/2026"/>
    <s v="22/10/2026"/>
    <n v="32"/>
    <s v="No"/>
    <s v=""/>
    <m/>
    <m/>
    <s v="*MAV291101415"/>
    <s v="*MAV291101415"/>
    <n v="8.9132966306472905E-4"/>
  </r>
  <r>
    <x v="53"/>
    <s v="Pesos"/>
    <d v="2026-12-02T00:00:00"/>
    <s v="29/10/2026"/>
    <n v="0.97105478000000001"/>
    <m/>
    <n v="75000000"/>
    <n v="72829108.760000005"/>
    <n v="75000000"/>
    <n v="72829108.760000005"/>
    <n v="585"/>
    <s v="AMOMPY"/>
    <s v="Momentum Capital Investment S.A."/>
    <s v="22/10/2026"/>
    <s v="22/10/2026"/>
    <n v="32"/>
    <s v="No"/>
    <s v=""/>
    <m/>
    <m/>
    <s v="*MAV301102687"/>
    <s v="*MAV301102687"/>
    <n v="8.9132966306472905E-4"/>
  </r>
  <r>
    <x v="350"/>
    <s v="Pesos"/>
    <d v="2026-12-02T00:00:00"/>
    <s v="29/10/2026"/>
    <n v="0.97105465000000002"/>
    <m/>
    <n v="639000"/>
    <n v="620503.92000000004"/>
    <n v="639000"/>
    <n v="620503.92000000004"/>
    <n v="70158565"/>
    <s v="AMOMPY"/>
    <s v="Momentum Capital Investment S.A."/>
    <s v="02/10/2026"/>
    <s v="02/10/2026"/>
    <n v="32"/>
    <s v="No"/>
    <s v=""/>
    <m/>
    <m/>
    <s v="*MAV301102243"/>
    <s v="*MAV301102243"/>
    <n v="7.5941276690139686E-6"/>
  </r>
  <r>
    <x v="351"/>
    <s v="Pesos"/>
    <d v="2026-12-02T00:00:00"/>
    <s v="29/10/2026"/>
    <n v="0.97105465000000002"/>
    <m/>
    <n v="855232.58"/>
    <n v="830477.57"/>
    <n v="855232.58"/>
    <n v="830477.57"/>
    <n v="1381893"/>
    <s v="AMOMPY"/>
    <s v="Momentum Capital Investment S.A."/>
    <s v="02/10/2026"/>
    <s v="02/10/2026"/>
    <n v="32"/>
    <s v="No"/>
    <s v=""/>
    <m/>
    <m/>
    <s v="*MAV301102241"/>
    <s v="*MAV301102241"/>
    <n v="1.0163920790109568E-5"/>
  </r>
  <r>
    <x v="352"/>
    <s v="Pesos"/>
    <d v="2026-12-02T00:00:00"/>
    <s v="29/10/2026"/>
    <n v="0.97105461999999998"/>
    <m/>
    <n v="291635.14"/>
    <n v="283193.65000000002"/>
    <n v="291635.14"/>
    <n v="283193.65000000002"/>
    <n v="214142"/>
    <s v="AMOMPY"/>
    <s v="Momentum Capital Investment S.A."/>
    <s v="02/10/2026"/>
    <s v="02/10/2026"/>
    <n v="32"/>
    <s v="No"/>
    <s v=""/>
    <m/>
    <m/>
    <s v="*MAV281101603"/>
    <s v="*MAV281101603"/>
    <n v="3.4659067635770257E-6"/>
  </r>
  <r>
    <x v="27"/>
    <s v="Pesos"/>
    <d v="2026-12-02T00:00:00"/>
    <s v="29/10/2026"/>
    <n v="0.97105463999999997"/>
    <m/>
    <n v="6000000"/>
    <n v="5826327.8300000001"/>
    <n v="6000000"/>
    <n v="5826327.8300000001"/>
    <n v="70158558"/>
    <s v="AMOMPY"/>
    <s v="Momentum Capital Investment S.A."/>
    <s v="02/10/2026"/>
    <s v="02/10/2026"/>
    <n v="32"/>
    <s v="No"/>
    <s v=""/>
    <m/>
    <m/>
    <s v="*MAV301102242"/>
    <s v="*MAV301102242"/>
    <n v="7.13063623877656E-5"/>
  </r>
  <r>
    <x v="65"/>
    <s v="Pesos"/>
    <d v="2026-12-03T00:00:00"/>
    <s v="29/10/2026"/>
    <n v="0.97203731000000004"/>
    <m/>
    <n v="5580000"/>
    <n v="5423968.21"/>
    <n v="5580000"/>
    <n v="5423968.21"/>
    <n v="11415149"/>
    <s v="AMOMPY"/>
    <s v="Momentum Capital Investment S.A."/>
    <s v="18/09/2026"/>
    <s v="18/09/2026"/>
    <n v="30"/>
    <s v="No"/>
    <s v=""/>
    <m/>
    <m/>
    <s v="*CVA011200012"/>
    <s v="*CVA011200012"/>
    <n v="6.6382025530818835E-5"/>
  </r>
  <r>
    <x v="2"/>
    <s v="Pesos"/>
    <d v="2026-12-03T00:00:00"/>
    <s v="29/10/2026"/>
    <n v="0.96663149000000004"/>
    <m/>
    <n v="2105640.2799999998"/>
    <n v="2035378.19"/>
    <n v="2105640.2799999998"/>
    <n v="2035378.19"/>
    <n v="3414"/>
    <s v="AMOMPY"/>
    <s v="Momentum Capital Investment S.A."/>
    <s v="10/09/2026"/>
    <s v="10/09/2026"/>
    <n v="36"/>
    <s v="No"/>
    <s v=""/>
    <m/>
    <m/>
    <s v="*MAV011201548"/>
    <s v="*MAV011201548"/>
    <n v="2.4910272653211552E-5"/>
  </r>
  <r>
    <x v="2"/>
    <s v="Pesos"/>
    <d v="2026-12-03T00:00:00"/>
    <s v="29/10/2026"/>
    <n v="0.96663149999999998"/>
    <m/>
    <n v="3105640.28"/>
    <n v="3002009.71"/>
    <n v="3105640.28"/>
    <n v="3002009.71"/>
    <n v="3388"/>
    <s v="AMOMPY"/>
    <s v="Momentum Capital Investment S.A."/>
    <s v="10/09/2026"/>
    <s v="10/09/2026"/>
    <n v="36"/>
    <s v="No"/>
    <s v=""/>
    <m/>
    <m/>
    <s v="*MAV011201547"/>
    <s v="*MAV011201547"/>
    <n v="3.674053340607356E-5"/>
  </r>
  <r>
    <x v="2"/>
    <s v="Pesos"/>
    <d v="2026-12-03T00:00:00"/>
    <s v="29/10/2026"/>
    <n v="0.96663149999999998"/>
    <m/>
    <n v="2874176.47"/>
    <n v="2778269.5"/>
    <n v="2874176.47"/>
    <n v="2778269.5"/>
    <n v="3436"/>
    <s v="AMOMPY"/>
    <s v="Momentum Capital Investment S.A."/>
    <s v="10/09/2026"/>
    <s v="10/09/2026"/>
    <n v="36"/>
    <s v="No"/>
    <s v=""/>
    <m/>
    <m/>
    <s v="*MAV011201546"/>
    <s v="*MAV011201546"/>
    <n v="3.4002256233816544E-5"/>
  </r>
  <r>
    <x v="2"/>
    <s v="Pesos"/>
    <d v="2026-12-03T00:00:00"/>
    <s v="29/10/2026"/>
    <n v="0.96663149000000004"/>
    <m/>
    <n v="3841101.28"/>
    <n v="3712929.47"/>
    <n v="3841101.28"/>
    <n v="3712929.47"/>
    <n v="3366"/>
    <s v="AMOMPY"/>
    <s v="Momentum Capital Investment S.A."/>
    <s v="10/09/2026"/>
    <s v="10/09/2026"/>
    <n v="36"/>
    <s v="No"/>
    <s v=""/>
    <m/>
    <m/>
    <s v="*MAV011201545"/>
    <s v="*MAV011201545"/>
    <n v="4.5441228511859148E-5"/>
  </r>
  <r>
    <x v="54"/>
    <s v="Pesos"/>
    <d v="2026-12-03T00:00:00"/>
    <s v="29/10/2026"/>
    <n v="0.97476300999999999"/>
    <m/>
    <n v="10000000"/>
    <n v="9747630.0800000001"/>
    <n v="10000000"/>
    <n v="9747630.0800000001"/>
    <n v="40740199"/>
    <s v="AMOMPY"/>
    <s v="Momentum Capital Investment S.A."/>
    <s v="18/09/2026"/>
    <s v="18/09/2026"/>
    <n v="27"/>
    <s v="No"/>
    <s v=""/>
    <m/>
    <m/>
    <s v="*INP011200072"/>
    <s v="*INP011200072"/>
    <n v="1.1929779153988396E-4"/>
  </r>
  <r>
    <x v="54"/>
    <s v="Pesos"/>
    <d v="2026-12-03T00:00:00"/>
    <s v="29/10/2026"/>
    <n v="0.97476300999999999"/>
    <m/>
    <n v="10000000"/>
    <n v="9747630.0800000001"/>
    <n v="10000000"/>
    <n v="9747630.0800000001"/>
    <n v="40740210"/>
    <s v="AMOMPY"/>
    <s v="Momentum Capital Investment S.A."/>
    <s v="18/09/2026"/>
    <s v="18/09/2026"/>
    <n v="27"/>
    <s v="No"/>
    <s v=""/>
    <m/>
    <m/>
    <s v="*INP011200073"/>
    <s v="*INP011200073"/>
    <n v="1.1929779153988396E-4"/>
  </r>
  <r>
    <x v="6"/>
    <s v="Pesos"/>
    <d v="2026-12-03T00:00:00"/>
    <s v="29/10/2026"/>
    <n v="0.97386198000000002"/>
    <m/>
    <n v="2116117.7000000002"/>
    <n v="2060806.57"/>
    <n v="2116117.7000000002"/>
    <n v="2060806.57"/>
    <n v="660"/>
    <s v="AMOMPY"/>
    <s v="Momentum Capital Investment S.A."/>
    <s v="16/10/2026"/>
    <s v="16/10/2026"/>
    <n v="27.99"/>
    <s v="No"/>
    <s v=""/>
    <m/>
    <m/>
    <s v="*CRE011200146"/>
    <s v="*CRE011200146"/>
    <n v="2.5221481588259381E-5"/>
  </r>
  <r>
    <x v="55"/>
    <s v="Pesos"/>
    <d v="2026-12-03T00:00:00"/>
    <s v="29/10/2026"/>
    <n v="0.97476304000000003"/>
    <m/>
    <n v="25000000"/>
    <n v="24369075.940000001"/>
    <n v="25000000"/>
    <n v="24369075.940000001"/>
    <n v="9508924"/>
    <s v="AMOMPY"/>
    <s v="Momentum Capital Investment S.A."/>
    <s v="13/07/2026"/>
    <s v="13/07/2026"/>
    <n v="27"/>
    <s v="No"/>
    <s v=""/>
    <m/>
    <m/>
    <s v="*PRO011200008"/>
    <s v="*PRO011200008"/>
    <n v="2.9824448790630778E-4"/>
  </r>
  <r>
    <x v="171"/>
    <s v="Pesos"/>
    <d v="2026-12-03T00:00:00"/>
    <s v="29/10/2026"/>
    <n v="0.96932678999999999"/>
    <m/>
    <n v="2170000"/>
    <n v="2103439.14"/>
    <n v="2170000"/>
    <n v="2103439.14"/>
    <n v="260742"/>
    <s v="AMOMPY"/>
    <s v="Momentum Capital Investment S.A."/>
    <s v="27/08/2026"/>
    <s v="27/08/2026"/>
    <n v="33"/>
    <s v="No"/>
    <s v=""/>
    <m/>
    <m/>
    <s v="*MAV011201479"/>
    <s v="*MAV011201479"/>
    <n v="2.5743246510289487E-5"/>
  </r>
  <r>
    <x v="353"/>
    <s v="Pesos"/>
    <d v="2026-12-03T00:00:00"/>
    <s v="29/10/2026"/>
    <n v="0.9702286"/>
    <m/>
    <n v="12500000"/>
    <n v="12127857.550000001"/>
    <n v="12500000"/>
    <n v="12127857.550000001"/>
    <n v="378"/>
    <s v="AMOMPY"/>
    <s v="Momentum Capital Investment S.A."/>
    <s v="02/10/2026"/>
    <s v="02/10/2026"/>
    <n v="32"/>
    <s v="No"/>
    <s v=""/>
    <m/>
    <m/>
    <s v="*MAV011201660"/>
    <s v="*MAV011201660"/>
    <n v="1.484285523712968E-4"/>
  </r>
  <r>
    <x v="2"/>
    <s v="Pesos"/>
    <d v="2026-12-03T00:00:00"/>
    <s v="29/10/2026"/>
    <n v="0.96752817999999996"/>
    <m/>
    <n v="1555000.5"/>
    <n v="1504506.8"/>
    <n v="1555000.5"/>
    <n v="1504506.8"/>
    <n v="3601"/>
    <s v="AMOMPY"/>
    <s v="Momentum Capital Investment S.A."/>
    <s v="25/09/2026"/>
    <s v="25/09/2026"/>
    <n v="35"/>
    <s v="No"/>
    <s v=""/>
    <m/>
    <m/>
    <s v="*MAV011201597"/>
    <s v="*MAV011201597"/>
    <n v="1.8413125767359639E-5"/>
  </r>
  <r>
    <x v="231"/>
    <s v="Pesos"/>
    <d v="2026-12-03T00:00:00"/>
    <s v="29/10/2026"/>
    <n v="0.97203740000000005"/>
    <m/>
    <n v="4175312.5"/>
    <n v="4058559.92"/>
    <n v="4175312.5"/>
    <n v="4058559.92"/>
    <n v="40952768"/>
    <s v="AMOMPY"/>
    <s v="Momentum Capital Investment S.A."/>
    <s v="15/10/2026"/>
    <s v="15/10/2026"/>
    <n v="30"/>
    <s v="No"/>
    <s v=""/>
    <m/>
    <m/>
    <s v="*MAV011201740"/>
    <s v="*MAV011201740"/>
    <n v="4.9671277152968049E-5"/>
  </r>
  <r>
    <x v="56"/>
    <s v="Pesos"/>
    <d v="2026-12-03T00:00:00"/>
    <s v="29/10/2026"/>
    <n v="0.97294420000000004"/>
    <m/>
    <n v="450000"/>
    <n v="437824.89"/>
    <n v="450000"/>
    <n v="437824.89"/>
    <n v="11456508"/>
    <s v="AMOMPY"/>
    <s v="Momentum Capital Investment S.A."/>
    <s v="28/10/2026"/>
    <s v="28/10/2026"/>
    <n v="29"/>
    <s v="No"/>
    <s v=""/>
    <m/>
    <m/>
    <s v="*MAV011201850"/>
    <s v="*MAV011201850"/>
    <n v="5.35838373322766E-6"/>
  </r>
  <r>
    <x v="223"/>
    <s v="Pesos"/>
    <d v="2026-12-03T00:00:00"/>
    <s v="29/10/2026"/>
    <n v="0.96932697000000001"/>
    <m/>
    <n v="604613.32999999996"/>
    <n v="586068.01"/>
    <n v="604613.32999999996"/>
    <n v="586068.01"/>
    <n v="19715"/>
    <s v="AMOMPY"/>
    <s v="Momentum Capital Investment S.A."/>
    <s v="16/10/2026"/>
    <s v="16/10/2026"/>
    <n v="33"/>
    <s v="No"/>
    <s v=""/>
    <m/>
    <m/>
    <s v="*MAV011201758"/>
    <s v="*MAV011201758"/>
    <n v="7.172678765131661E-6"/>
  </r>
  <r>
    <x v="354"/>
    <s v="Pesos"/>
    <d v="2026-12-03T00:00:00"/>
    <s v="29/10/2026"/>
    <n v="0.96932686999999995"/>
    <m/>
    <n v="25000000"/>
    <n v="24233171.66"/>
    <n v="25000000"/>
    <n v="24233171.66"/>
    <n v="4292"/>
    <s v="AMOMPY"/>
    <s v="Momentum Capital Investment S.A."/>
    <s v="23/09/2026"/>
    <s v="23/09/2026"/>
    <n v="33"/>
    <s v="No"/>
    <s v=""/>
    <m/>
    <m/>
    <s v="*MAV011201592"/>
    <s v="*MAV011201592"/>
    <n v="2.9658120356624201E-4"/>
  </r>
  <r>
    <x v="17"/>
    <s v="Pesos"/>
    <d v="2026-12-03T00:00:00"/>
    <s v="29/10/2026"/>
    <n v="0.96484274999999997"/>
    <m/>
    <n v="1082000000"/>
    <n v="1043959859.83"/>
    <n v="1082000000"/>
    <n v="1043959859.83"/>
    <n v="70393079"/>
    <s v="AMOMPY"/>
    <s v="Momentum Capital Investment S.A."/>
    <s v="29/09/2026"/>
    <s v="29/09/2026"/>
    <n v="38"/>
    <s v="No"/>
    <s v=""/>
    <m/>
    <m/>
    <s v="*MAV011201611"/>
    <s v="*MAV011201611"/>
    <n v="1.2776654911180813E-2"/>
  </r>
  <r>
    <x v="17"/>
    <s v="Pesos"/>
    <d v="2026-12-03T00:00:00"/>
    <s v="29/10/2026"/>
    <n v="0.96484274999999997"/>
    <m/>
    <n v="100000000"/>
    <n v="96484275.400000006"/>
    <n v="100000000"/>
    <n v="96484275.400000006"/>
    <n v="70393080"/>
    <s v="AMOMPY"/>
    <s v="Momentum Capital Investment S.A."/>
    <s v="29/09/2026"/>
    <s v="29/09/2026"/>
    <n v="38"/>
    <s v="No"/>
    <s v=""/>
    <m/>
    <m/>
    <s v="*MAV011201612"/>
    <s v="*MAV011201612"/>
    <n v="1.1808368679442087E-3"/>
  </r>
  <r>
    <x v="44"/>
    <s v="Pesos"/>
    <d v="2026-12-03T00:00:00"/>
    <s v="29/10/2026"/>
    <n v="0.97022865999999997"/>
    <m/>
    <n v="10000000"/>
    <n v="9702286.6099999994"/>
    <n v="10000000"/>
    <n v="9702286.6099999994"/>
    <n v="14422582"/>
    <s v="AMOMPY"/>
    <s v="Momentum Capital Investment S.A."/>
    <s v="01/09/2026"/>
    <s v="01/09/2026"/>
    <n v="32"/>
    <s v="No"/>
    <s v=""/>
    <m/>
    <m/>
    <s v="*MAV011201492"/>
    <s v="*MAV011201492"/>
    <n v="1.187428488730655E-4"/>
  </r>
  <r>
    <x v="154"/>
    <s v="Pesos"/>
    <d v="2026-12-03T00:00:00"/>
    <s v="29/10/2026"/>
    <n v="0.96932682999999997"/>
    <m/>
    <n v="2500000"/>
    <n v="2423317.0699999998"/>
    <n v="2500000"/>
    <n v="2423317.0699999998"/>
    <n v="679"/>
    <s v="AMOMPY"/>
    <s v="Momentum Capital Investment S.A."/>
    <s v="22/09/2026"/>
    <s v="22/09/2026"/>
    <n v="33"/>
    <s v="No"/>
    <s v=""/>
    <m/>
    <m/>
    <s v="*MAV011201585"/>
    <s v="*MAV011201585"/>
    <n v="2.9658119181714207E-5"/>
  </r>
  <r>
    <x v="62"/>
    <s v="Pesos"/>
    <d v="2026-12-03T00:00:00"/>
    <s v="29/10/2026"/>
    <n v="0.97022865999999997"/>
    <m/>
    <n v="50000000"/>
    <n v="48511432.799999997"/>
    <n v="50000000"/>
    <n v="48511432.799999997"/>
    <n v="5292"/>
    <s v="AMOMPY"/>
    <s v="Momentum Capital Investment S.A."/>
    <s v="08/09/2026"/>
    <s v="08/09/2026"/>
    <n v="32"/>
    <s v="No"/>
    <s v=""/>
    <m/>
    <m/>
    <s v="*MAV011201533"/>
    <s v="*MAV011201533"/>
    <n v="5.9371424130566606E-4"/>
  </r>
  <r>
    <x v="120"/>
    <s v="Dolar 3500"/>
    <d v="2026-12-03T00:00:00"/>
    <s v="29/10/2026"/>
    <n v="0.99144370000000004"/>
    <s v="1 US3 = 1539,5930209017 $"/>
    <n v="100000"/>
    <n v="99144.37"/>
    <n v="153959302.09"/>
    <n v="152641980.11000001"/>
    <n v="159253"/>
    <s v="AMOMPY"/>
    <s v="Momentum Capital Investment S.A."/>
    <s v="03/08/2026"/>
    <s v="03/08/2026"/>
    <n v="9"/>
    <s v="No"/>
    <s v=""/>
    <m/>
    <m/>
    <s v="#UMV011260046"/>
    <s v="#UMV011260046"/>
    <n v="1.8681311225341346E-3"/>
  </r>
  <r>
    <x v="26"/>
    <s v="Pesos"/>
    <d v="2026-12-03T00:00:00"/>
    <s v="29/10/2026"/>
    <n v="0.97203744000000003"/>
    <m/>
    <n v="10000000"/>
    <n v="9720374.3599999994"/>
    <n v="10000000"/>
    <n v="9720374.3599999994"/>
    <n v="1434"/>
    <s v="AMOMPY"/>
    <s v="Momentum Capital Investment S.A."/>
    <s v="26/10/2026"/>
    <s v="26/10/2026"/>
    <n v="30"/>
    <s v="No"/>
    <s v=""/>
    <m/>
    <m/>
    <s v="*MAV011201828"/>
    <s v="*MAV011201828"/>
    <n v="1.1896421843789469E-4"/>
  </r>
  <r>
    <x v="26"/>
    <s v="Pesos"/>
    <d v="2026-12-03T00:00:00"/>
    <s v="29/10/2026"/>
    <n v="0.97203751999999999"/>
    <m/>
    <n v="9000000"/>
    <n v="8748337.6400000006"/>
    <n v="9000000"/>
    <n v="8748337.6400000006"/>
    <n v="1437"/>
    <s v="AMOMPY"/>
    <s v="Momentum Capital Investment S.A."/>
    <s v="27/10/2026"/>
    <s v="27/10/2026"/>
    <n v="30"/>
    <s v="No"/>
    <s v=""/>
    <m/>
    <m/>
    <s v="*MAV011201851"/>
    <s v="*MAV011201851"/>
    <n v="1.070678053569756E-4"/>
  </r>
  <r>
    <x v="26"/>
    <s v="Pesos"/>
    <d v="2026-12-03T00:00:00"/>
    <s v="29/10/2026"/>
    <n v="0.97203731999999998"/>
    <m/>
    <n v="10000000"/>
    <n v="9720373.2200000007"/>
    <n v="10000000"/>
    <n v="9720373.2200000007"/>
    <n v="1442"/>
    <s v="AMOMPY"/>
    <s v="Momentum Capital Investment S.A."/>
    <s v="28/10/2026"/>
    <s v="28/10/2026"/>
    <n v="30"/>
    <s v="No"/>
    <s v=""/>
    <m/>
    <m/>
    <s v="*MAV011201876"/>
    <s v="*MAV011201876"/>
    <n v="1.1896420448583855E-4"/>
  </r>
  <r>
    <x v="26"/>
    <s v="Dolar 3500"/>
    <d v="2026-12-03T00:00:00"/>
    <s v="29/10/2026"/>
    <n v="0.99238716000000005"/>
    <s v="1 US3 = 1539,5930209017 $"/>
    <n v="450000"/>
    <n v="446574.22"/>
    <n v="692816859.40999997"/>
    <n v="687542552.42999995"/>
    <n v="165877"/>
    <s v="AMOMPY"/>
    <s v="Momentum Capital Investment S.A."/>
    <s v="21/09/2026"/>
    <s v="21/09/2026"/>
    <n v="8"/>
    <s v="No"/>
    <s v=""/>
    <m/>
    <m/>
    <s v="#UMV011260065"/>
    <s v="#UMV011260065"/>
    <n v="8.4145897434993629E-3"/>
  </r>
  <r>
    <x v="156"/>
    <s v="Pesos"/>
    <d v="2026-12-03T00:00:00"/>
    <s v="29/10/2026"/>
    <n v="0.97203740000000005"/>
    <m/>
    <n v="75000000"/>
    <n v="72902805.040000007"/>
    <n v="75000000"/>
    <n v="72902805.040000007"/>
    <n v="343"/>
    <s v="AMOMPY"/>
    <s v="Momentum Capital Investment S.A."/>
    <s v="01/10/2026"/>
    <s v="01/10/2026"/>
    <n v="30"/>
    <s v="No"/>
    <s v=""/>
    <m/>
    <m/>
    <s v="*MAV011201651"/>
    <s v="*MAV011201651"/>
    <n v="8.9223160572941265E-4"/>
  </r>
  <r>
    <x v="355"/>
    <s v="Pesos"/>
    <d v="2026-12-03T00:00:00"/>
    <s v="29/10/2026"/>
    <n v="0.97022876000000002"/>
    <m/>
    <n v="5106355"/>
    <n v="4954332.46"/>
    <n v="5106355"/>
    <n v="4954332.46"/>
    <n v="10405"/>
    <s v="AMOMPY"/>
    <s v="Momentum Capital Investment S.A."/>
    <s v="05/10/2026"/>
    <s v="05/10/2026"/>
    <n v="32"/>
    <s v="No"/>
    <s v=""/>
    <m/>
    <m/>
    <s v="*MAV011201670"/>
    <s v="*MAV011201670"/>
    <n v="6.0634319950758795E-5"/>
  </r>
  <r>
    <x v="126"/>
    <s v="Pesos"/>
    <d v="2026-12-03T00:00:00"/>
    <s v="29/10/2026"/>
    <n v="0.97022861999999999"/>
    <m/>
    <n v="363375.5"/>
    <n v="352557.31"/>
    <n v="363375.5"/>
    <n v="352557.31"/>
    <n v="305"/>
    <s v="AMOMPY"/>
    <s v="Momentum Capital Investment S.A."/>
    <s v="06/10/2026"/>
    <s v="06/10/2026"/>
    <n v="32"/>
    <s v="No"/>
    <s v=""/>
    <m/>
    <m/>
    <s v="*MAV011201671"/>
    <s v="*MAV011201671"/>
    <n v="4.3148240268717963E-6"/>
  </r>
  <r>
    <x v="356"/>
    <s v="Pesos"/>
    <d v="2026-12-03T00:00:00"/>
    <s v="29/10/2026"/>
    <n v="0.96932684999999996"/>
    <m/>
    <n v="2616499.4700000002"/>
    <n v="2536243.1800000002"/>
    <n v="2616499.4700000002"/>
    <n v="2536243.1800000002"/>
    <n v="10858294"/>
    <s v="AMOMPY"/>
    <s v="Momentum Capital Investment S.A."/>
    <s v="14/10/2026"/>
    <s v="14/10/2026"/>
    <n v="33"/>
    <s v="No"/>
    <s v=""/>
    <m/>
    <m/>
    <s v="*MAV011201733"/>
    <s v="*MAV011201733"/>
    <n v="3.1040181838957562E-5"/>
  </r>
  <r>
    <x v="29"/>
    <s v="Pesos"/>
    <d v="2026-12-03T00:00:00"/>
    <s v="29/10/2026"/>
    <n v="0.97113212000000004"/>
    <m/>
    <n v="6000000"/>
    <n v="5826792.7199999997"/>
    <n v="6000000"/>
    <n v="5826792.7199999997"/>
    <n v="12299307"/>
    <s v="AMOMPY"/>
    <s v="Momentum Capital Investment S.A."/>
    <s v="07/09/2026"/>
    <s v="07/09/2026"/>
    <n v="31"/>
    <s v="No"/>
    <s v=""/>
    <m/>
    <m/>
    <s v="*MIL011200029"/>
    <s v="*MIL011200029"/>
    <n v="7.1312052011792535E-5"/>
  </r>
  <r>
    <x v="316"/>
    <s v="Pesos"/>
    <d v="2026-12-03T00:00:00"/>
    <s v="29/10/2026"/>
    <n v="0.97567499999999996"/>
    <m/>
    <n v="7000000"/>
    <n v="6829725.0199999996"/>
    <n v="7000000"/>
    <n v="6829725.0199999996"/>
    <n v="1741"/>
    <s v="AMOMPY"/>
    <s v="Momentum Capital Investment S.A."/>
    <s v="01/09/2026"/>
    <s v="01/09/2026"/>
    <n v="26"/>
    <s v="No"/>
    <s v=""/>
    <m/>
    <m/>
    <s v="*POT011200055"/>
    <s v="*POT011200055"/>
    <n v="8.358658515185363E-5"/>
  </r>
  <r>
    <x v="137"/>
    <s v="Dolar 3500"/>
    <d v="2026-12-03T00:00:00"/>
    <s v="29/10/2026"/>
    <n v="0.99238720000000002"/>
    <s v="1 US3 = 1539,5930209017 $"/>
    <n v="50000"/>
    <n v="49619.360000000001"/>
    <n v="76979651.049999997"/>
    <n v="76393620.359999999"/>
    <n v="158027"/>
    <s v="AMOMPY"/>
    <s v="Momentum Capital Investment S.A."/>
    <s v="23/07/2026"/>
    <s v="23/07/2026"/>
    <n v="8"/>
    <s v="No"/>
    <s v=""/>
    <m/>
    <m/>
    <s v="#UMV011260045"/>
    <s v="#UMV011260045"/>
    <n v="9.3495445784133775E-4"/>
  </r>
  <r>
    <x v="138"/>
    <s v="Pesos"/>
    <d v="2026-12-03T00:00:00"/>
    <s v="29/10/2026"/>
    <n v="0.97567495000000004"/>
    <m/>
    <n v="1633163.58"/>
    <n v="1593436.79"/>
    <n v="1633163.58"/>
    <n v="1593436.79"/>
    <n v="40015662"/>
    <s v="AMOMPY"/>
    <s v="Momentum Capital Investment S.A."/>
    <s v="25/09/2026"/>
    <s v="25/09/2026"/>
    <n v="26"/>
    <s v="No"/>
    <s v=""/>
    <m/>
    <m/>
    <s v="*MAV011201603"/>
    <s v="*MAV011201603"/>
    <n v="1.9501508412330094E-5"/>
  </r>
  <r>
    <x v="26"/>
    <s v="Dolar 3500"/>
    <d v="2026-12-03T00:00:00"/>
    <s v="29/10/2026"/>
    <n v="0.99238713000000001"/>
    <s v="1 US3 = 1539,5930209017 $"/>
    <n v="150000"/>
    <n v="148858.07"/>
    <n v="230938953.13999999"/>
    <n v="229180845.68000001"/>
    <n v="164929"/>
    <s v="AMOMPY"/>
    <s v="Momentum Capital Investment S.A."/>
    <s v="14/09/2026"/>
    <s v="14/09/2026"/>
    <n v="8"/>
    <s v="No"/>
    <s v=""/>
    <m/>
    <m/>
    <s v="#UMV011260064"/>
    <s v="#UMV011260064"/>
    <n v="2.8048631850488685E-3"/>
  </r>
  <r>
    <x v="53"/>
    <s v="Pesos"/>
    <d v="2026-12-03T00:00:00"/>
    <s v="29/10/2026"/>
    <n v="0.97022872999999998"/>
    <m/>
    <n v="75000000"/>
    <n v="72767154.409999996"/>
    <n v="75000000"/>
    <n v="72767154.409999996"/>
    <n v="586"/>
    <s v="AMOMPY"/>
    <s v="Momentum Capital Investment S.A."/>
    <s v="22/10/2026"/>
    <s v="22/10/2026"/>
    <n v="32"/>
    <s v="No"/>
    <s v=""/>
    <m/>
    <m/>
    <s v="*MAV011201819"/>
    <s v="*MAV011201819"/>
    <n v="8.9057142572184357E-4"/>
  </r>
  <r>
    <x v="2"/>
    <s v="Pesos"/>
    <d v="2026-12-04T00:00:00"/>
    <s v="29/10/2026"/>
    <n v="0.96571076"/>
    <m/>
    <n v="2874176.47"/>
    <n v="2775623.14"/>
    <n v="2874176.47"/>
    <n v="2775623.14"/>
    <n v="3437"/>
    <s v="AMOMPY"/>
    <s v="Momentum Capital Investment S.A."/>
    <s v="10/09/2026"/>
    <s v="10/09/2026"/>
    <n v="36"/>
    <s v="No"/>
    <s v=""/>
    <m/>
    <m/>
    <s v="*MAV021201317"/>
    <s v="*MAV021201317"/>
    <n v="3.3969868371225492E-5"/>
  </r>
  <r>
    <x v="2"/>
    <s v="Pesos"/>
    <d v="2026-12-04T00:00:00"/>
    <s v="29/10/2026"/>
    <n v="0.96571076"/>
    <m/>
    <n v="3841101.28"/>
    <n v="3709392.83"/>
    <n v="3841101.28"/>
    <n v="3709392.83"/>
    <n v="3367"/>
    <s v="AMOMPY"/>
    <s v="Momentum Capital Investment S.A."/>
    <s v="10/09/2026"/>
    <s v="10/09/2026"/>
    <n v="36"/>
    <s v="No"/>
    <s v=""/>
    <m/>
    <m/>
    <s v="*MAV021201318"/>
    <s v="*MAV021201318"/>
    <n v="4.5397944827721682E-5"/>
  </r>
  <r>
    <x v="2"/>
    <s v="Pesos"/>
    <d v="2026-12-04T00:00:00"/>
    <s v="29/10/2026"/>
    <n v="0.96571074999999995"/>
    <m/>
    <n v="3105640.28"/>
    <n v="2999150.21"/>
    <n v="3105640.28"/>
    <n v="2999150.21"/>
    <n v="3389"/>
    <s v="AMOMPY"/>
    <s v="Momentum Capital Investment S.A."/>
    <s v="10/09/2026"/>
    <s v="10/09/2026"/>
    <n v="36"/>
    <s v="No"/>
    <s v=""/>
    <m/>
    <m/>
    <s v="*MAV021201319"/>
    <s v="*MAV021201319"/>
    <n v="3.6705536998525415E-5"/>
  </r>
  <r>
    <x v="2"/>
    <s v="Pesos"/>
    <d v="2026-12-04T00:00:00"/>
    <s v="29/10/2026"/>
    <n v="0.96571076"/>
    <m/>
    <n v="2105640.2799999998"/>
    <n v="2033439.47"/>
    <n v="2105640.2799999998"/>
    <n v="2033439.47"/>
    <n v="3415"/>
    <s v="AMOMPY"/>
    <s v="Momentum Capital Investment S.A."/>
    <s v="10/09/2026"/>
    <s v="10/09/2026"/>
    <n v="36"/>
    <s v="No"/>
    <s v=""/>
    <m/>
    <m/>
    <s v="*MAV021201316"/>
    <s v="*MAV021201316"/>
    <n v="2.4886545345905467E-5"/>
  </r>
  <r>
    <x v="357"/>
    <s v="Pesos"/>
    <d v="2026-12-04T00:00:00"/>
    <s v="29/10/2026"/>
    <n v="0.96847802999999999"/>
    <m/>
    <n v="436692"/>
    <n v="422926.61"/>
    <n v="436692"/>
    <n v="422926.61"/>
    <n v="507731"/>
    <s v="AMOMPY"/>
    <s v="Momentum Capital Investment S.A."/>
    <s v="22/09/2026"/>
    <s v="22/09/2026"/>
    <n v="33"/>
    <s v="No"/>
    <s v=""/>
    <m/>
    <m/>
    <s v="*MAV021201349"/>
    <s v="*MAV021201349"/>
    <n v="5.1760489618877499E-6"/>
  </r>
  <r>
    <x v="54"/>
    <s v="Pesos"/>
    <d v="2026-12-04T00:00:00"/>
    <s v="29/10/2026"/>
    <n v="0.97406073999999998"/>
    <m/>
    <n v="10000000"/>
    <n v="9740607.4100000001"/>
    <n v="10000000"/>
    <n v="9740607.4100000001"/>
    <n v="40740202"/>
    <s v="AMOMPY"/>
    <s v="Momentum Capital Investment S.A."/>
    <s v="18/09/2026"/>
    <s v="18/09/2026"/>
    <n v="27"/>
    <s v="No"/>
    <s v=""/>
    <m/>
    <m/>
    <s v="*INP021200079"/>
    <s v="*INP021200079"/>
    <n v="1.192118435694709E-4"/>
  </r>
  <r>
    <x v="54"/>
    <s v="Pesos"/>
    <d v="2026-12-04T00:00:00"/>
    <s v="29/10/2026"/>
    <n v="0.97406073999999998"/>
    <m/>
    <n v="10000000"/>
    <n v="9740607.4100000001"/>
    <n v="10000000"/>
    <n v="9740607.4100000001"/>
    <n v="40740198"/>
    <s v="AMOMPY"/>
    <s v="Momentum Capital Investment S.A."/>
    <s v="18/09/2026"/>
    <s v="18/09/2026"/>
    <n v="27"/>
    <s v="No"/>
    <s v=""/>
    <m/>
    <m/>
    <s v="*INP021200080"/>
    <s v="*INP021200080"/>
    <n v="1.192118435694709E-4"/>
  </r>
  <r>
    <x v="332"/>
    <s v="Pesos"/>
    <d v="2026-12-04T00:00:00"/>
    <s v="29/10/2026"/>
    <n v="0.96847815999999998"/>
    <m/>
    <n v="5000000"/>
    <n v="4842390.82"/>
    <n v="5000000"/>
    <n v="4842390.82"/>
    <n v="2875"/>
    <s v="AMOMPY"/>
    <s v="Momentum Capital Investment S.A."/>
    <s v="11/09/2026"/>
    <s v="11/09/2026"/>
    <n v="33"/>
    <s v="No"/>
    <s v=""/>
    <m/>
    <m/>
    <s v="*MAV021201329"/>
    <s v="*MAV021201329"/>
    <n v="5.926430587310591E-5"/>
  </r>
  <r>
    <x v="97"/>
    <s v="Pesos"/>
    <d v="2026-12-04T00:00:00"/>
    <s v="29/10/2026"/>
    <n v="0.97126142999999998"/>
    <m/>
    <n v="6150126.3399999999"/>
    <n v="5973380.5"/>
    <n v="6150126.3399999999"/>
    <n v="5973380.5"/>
    <n v="59"/>
    <s v="AMOMPY"/>
    <s v="Momentum Capital Investment S.A."/>
    <s v="11/09/2026"/>
    <s v="11/09/2026"/>
    <n v="30"/>
    <s v="No"/>
    <s v=""/>
    <m/>
    <m/>
    <s v="*MAV021201333"/>
    <s v="*MAV021201333"/>
    <n v="7.3106087923825665E-5"/>
  </r>
  <r>
    <x v="353"/>
    <s v="Pesos"/>
    <d v="2026-12-04T00:00:00"/>
    <s v="29/10/2026"/>
    <n v="0.96940413999999997"/>
    <m/>
    <n v="12500000"/>
    <n v="12117551.779999999"/>
    <n v="12500000"/>
    <n v="12117551.779999999"/>
    <n v="379"/>
    <s v="AMOMPY"/>
    <s v="Momentum Capital Investment S.A."/>
    <s v="02/10/2026"/>
    <s v="02/10/2026"/>
    <n v="32"/>
    <s v="No"/>
    <s v=""/>
    <m/>
    <m/>
    <s v="*MAV021201406"/>
    <s v="*MAV021201406"/>
    <n v="1.4830242370299199E-4"/>
  </r>
  <r>
    <x v="68"/>
    <s v="Pesos"/>
    <d v="2026-12-04T00:00:00"/>
    <s v="29/10/2026"/>
    <n v="0.96755391000000002"/>
    <m/>
    <n v="20000000"/>
    <n v="19351078.210000001"/>
    <n v="20000000"/>
    <n v="19351078.210000001"/>
    <n v="253"/>
    <s v="AMOMPY"/>
    <s v="Momentum Capital Investment S.A."/>
    <s v="03/09/2026"/>
    <s v="03/09/2026"/>
    <n v="34"/>
    <s v="No"/>
    <s v=""/>
    <m/>
    <m/>
    <s v="*MAV021201283"/>
    <s v="*MAV021201283"/>
    <n v="2.3683099126886142E-4"/>
  </r>
  <r>
    <x v="104"/>
    <s v="Pesos"/>
    <d v="2026-12-04T00:00:00"/>
    <s v="29/10/2026"/>
    <n v="0.97033183000000001"/>
    <m/>
    <n v="8523310"/>
    <n v="8270439.0099999998"/>
    <n v="8523310"/>
    <n v="8270439.0099999998"/>
    <n v="13680134"/>
    <s v="AMOMPY"/>
    <s v="Momentum Capital Investment S.A."/>
    <s v="02/09/2026"/>
    <s v="02/09/2026"/>
    <n v="31"/>
    <s v="No"/>
    <s v=""/>
    <m/>
    <m/>
    <s v="*MAV021201277"/>
    <s v="*MAV021201277"/>
    <n v="1.0121897331564559E-4"/>
  </r>
  <r>
    <x v="171"/>
    <s v="Pesos"/>
    <d v="2026-12-04T00:00:00"/>
    <s v="29/10/2026"/>
    <n v="0.96847812"/>
    <m/>
    <n v="2170000"/>
    <n v="2101597.5299999998"/>
    <n v="2170000"/>
    <n v="2101597.5299999998"/>
    <n v="260743"/>
    <s v="AMOMPY"/>
    <s v="Momentum Capital Investment S.A."/>
    <s v="27/08/2026"/>
    <s v="27/08/2026"/>
    <n v="33"/>
    <s v="No"/>
    <s v=""/>
    <m/>
    <m/>
    <s v="*MAV021201259"/>
    <s v="*MAV021201259"/>
    <n v="2.5720707697873063E-5"/>
  </r>
  <r>
    <x v="106"/>
    <s v="Pesos"/>
    <d v="2026-12-04T00:00:00"/>
    <s v="29/10/2026"/>
    <n v="0.97126133999999997"/>
    <m/>
    <n v="18700000"/>
    <n v="18162587.140000001"/>
    <n v="18700000"/>
    <n v="18162587.140000001"/>
    <n v="238"/>
    <s v="AMOMPY"/>
    <s v="Momentum Capital Investment S.A."/>
    <s v="02/07/2026"/>
    <s v="02/07/2026"/>
    <n v="30"/>
    <s v="No"/>
    <s v=""/>
    <m/>
    <m/>
    <s v="*MAV021201175"/>
    <s v="*MAV021201175"/>
    <n v="2.2228547007527571E-4"/>
  </r>
  <r>
    <x v="107"/>
    <s v="Pesos"/>
    <d v="2026-12-04T00:00:00"/>
    <s v="29/10/2026"/>
    <n v="0.96847819000000002"/>
    <m/>
    <n v="382772.09"/>
    <n v="370706.42"/>
    <n v="382772.09"/>
    <n v="370706.42"/>
    <n v="30103022"/>
    <s v="AMOMPY"/>
    <s v="Momentum Capital Investment S.A."/>
    <s v="29/09/2026"/>
    <s v="29/09/2026"/>
    <n v="33"/>
    <s v="No"/>
    <s v=""/>
    <m/>
    <m/>
    <s v="*MAV021201381"/>
    <s v="*MAV021201381"/>
    <n v="4.5369445550047659E-6"/>
  </r>
  <r>
    <x v="223"/>
    <s v="Pesos"/>
    <d v="2026-12-04T00:00:00"/>
    <s v="29/10/2026"/>
    <n v="0.96847817000000003"/>
    <m/>
    <n v="604613.32999999996"/>
    <n v="585554.81000000006"/>
    <n v="604613.32999999996"/>
    <n v="585554.81000000006"/>
    <n v="19716"/>
    <s v="AMOMPY"/>
    <s v="Momentum Capital Investment S.A."/>
    <s v="16/10/2026"/>
    <s v="16/10/2026"/>
    <n v="33"/>
    <s v="No"/>
    <s v=""/>
    <m/>
    <m/>
    <s v="*MAV021201504"/>
    <s v="*MAV021201504"/>
    <n v="7.166397892128091E-6"/>
  </r>
  <r>
    <x v="268"/>
    <s v="Pesos"/>
    <d v="2026-12-04T00:00:00"/>
    <s v="29/10/2026"/>
    <n v="0.96940408"/>
    <m/>
    <n v="25000000"/>
    <n v="24235102.039999999"/>
    <n v="25000000"/>
    <n v="24235102.039999999"/>
    <n v="463"/>
    <s v="AMOMPY"/>
    <s v="Momentum Capital Investment S.A."/>
    <s v="15/10/2026"/>
    <s v="15/10/2026"/>
    <n v="32"/>
    <s v="No"/>
    <s v=""/>
    <m/>
    <m/>
    <s v="*MAV021201497"/>
    <s v="*MAV021201497"/>
    <n v="2.9660482880324246E-4"/>
  </r>
  <r>
    <x v="231"/>
    <s v="Pesos"/>
    <d v="2026-12-04T00:00:00"/>
    <s v="29/10/2026"/>
    <n v="0.97126140000000005"/>
    <m/>
    <n v="4175312.5"/>
    <n v="4055319.86"/>
    <n v="4175312.5"/>
    <n v="4055319.86"/>
    <n v="40952782"/>
    <s v="AMOMPY"/>
    <s v="Momentum Capital Investment S.A."/>
    <s v="19/10/2026"/>
    <s v="19/10/2026"/>
    <n v="30"/>
    <s v="No"/>
    <s v=""/>
    <m/>
    <m/>
    <s v="*MAV021201522"/>
    <s v="*MAV021201522"/>
    <n v="4.9631623206389814E-5"/>
  </r>
  <r>
    <x v="17"/>
    <s v="Pesos"/>
    <d v="2026-12-04T00:00:00"/>
    <s v="29/10/2026"/>
    <n v="0.96387462999999995"/>
    <m/>
    <n v="25000000"/>
    <n v="24096865.77"/>
    <n v="25000000"/>
    <n v="24096865.77"/>
    <n v="70393086"/>
    <s v="AMOMPY"/>
    <s v="Momentum Capital Investment S.A."/>
    <s v="05/10/2026"/>
    <s v="05/10/2026"/>
    <n v="38"/>
    <s v="No"/>
    <s v=""/>
    <m/>
    <m/>
    <s v="*MAV021201420"/>
    <s v="*MAV021201420"/>
    <n v="2.9491300406365295E-4"/>
  </r>
  <r>
    <x v="204"/>
    <s v="Pesos"/>
    <d v="2026-12-04T00:00:00"/>
    <s v="29/10/2026"/>
    <n v="0.96847804000000004"/>
    <m/>
    <n v="2500000"/>
    <n v="2421195.09"/>
    <n v="2500000"/>
    <n v="2421195.09"/>
    <n v="100"/>
    <s v="AMOMPY"/>
    <s v="Momentum Capital Investment S.A."/>
    <s v="22/09/2026"/>
    <s v="22/09/2026"/>
    <n v="33"/>
    <s v="No"/>
    <s v=""/>
    <m/>
    <m/>
    <s v="*MAV021201348"/>
    <s v="*MAV021201348"/>
    <n v="2.9632149020186307E-5"/>
  </r>
  <r>
    <x v="358"/>
    <s v="Pesos"/>
    <d v="2026-12-04T00:00:00"/>
    <s v="29/10/2026"/>
    <n v="0.96940411000000004"/>
    <m/>
    <n v="828399.88"/>
    <n v="803054.25"/>
    <n v="828399.88"/>
    <n v="803054.25"/>
    <n v="40891788"/>
    <s v="AMOMPY"/>
    <s v="Momentum Capital Investment S.A."/>
    <s v="19/10/2026"/>
    <s v="19/10/2026"/>
    <n v="32"/>
    <s v="No"/>
    <s v=""/>
    <m/>
    <m/>
    <s v="*MAV021201520"/>
    <s v="*MAV021201520"/>
    <n v="9.8282964910910794E-6"/>
  </r>
  <r>
    <x v="359"/>
    <s v="Pesos"/>
    <d v="2026-12-04T00:00:00"/>
    <s v="29/10/2026"/>
    <n v="0.96847815999999998"/>
    <m/>
    <n v="1288598.56"/>
    <n v="1247979.56"/>
    <n v="1288598.56"/>
    <n v="1247979.56"/>
    <n v="9694"/>
    <s v="AMOMPY"/>
    <s v="Momentum Capital Investment S.A."/>
    <s v="16/10/2026"/>
    <s v="16/10/2026"/>
    <n v="33"/>
    <s v="No"/>
    <s v=""/>
    <m/>
    <m/>
    <s v="*MAV021201506"/>
    <s v="*MAV021201506"/>
    <n v="1.5273579749439581E-5"/>
  </r>
  <r>
    <x v="26"/>
    <s v="Pesos"/>
    <d v="2026-12-04T00:00:00"/>
    <s v="29/10/2026"/>
    <n v="0.97126135000000002"/>
    <m/>
    <n v="10500000"/>
    <n v="10198244.15"/>
    <n v="10500000"/>
    <n v="10198244.15"/>
    <n v="1448"/>
    <s v="AMOMPY"/>
    <s v="Momentum Capital Investment S.A."/>
    <s v="29/10/2026"/>
    <s v="29/10/2026"/>
    <n v="30"/>
    <s v="No"/>
    <s v=""/>
    <m/>
    <m/>
    <s v="*MAV021201615"/>
    <s v="*MAV021201615"/>
    <n v="1.2481269751668102E-4"/>
  </r>
  <r>
    <x v="26"/>
    <s v="Pesos"/>
    <d v="2026-12-04T00:00:00"/>
    <s v="29/10/2026"/>
    <n v="0.97126155000000003"/>
    <m/>
    <n v="10000000"/>
    <n v="9712615.4700000007"/>
    <n v="10000000"/>
    <n v="9712615.4700000007"/>
    <n v="1443"/>
    <s v="AMOMPY"/>
    <s v="Momentum Capital Investment S.A."/>
    <s v="28/10/2026"/>
    <s v="28/10/2026"/>
    <n v="30"/>
    <s v="No"/>
    <s v=""/>
    <m/>
    <m/>
    <s v="*MAV021201606"/>
    <s v="*MAV021201606"/>
    <n v="1.1886926013170088E-4"/>
  </r>
  <r>
    <x v="91"/>
    <s v="Pesos"/>
    <d v="2026-12-04T00:00:00"/>
    <s v="29/10/2026"/>
    <n v="0.96387462999999995"/>
    <m/>
    <n v="20000000"/>
    <n v="19277492.609999999"/>
    <n v="20000000"/>
    <n v="19277492.609999999"/>
    <n v="70219579"/>
    <s v="AMOMPY"/>
    <s v="Momentum Capital Investment S.A."/>
    <s v="05/10/2026"/>
    <s v="05/10/2026"/>
    <n v="38"/>
    <s v="No"/>
    <s v=""/>
    <m/>
    <m/>
    <s v="*MAV021201421"/>
    <s v="*MAV021201421"/>
    <n v="2.3593040317749047E-4"/>
  </r>
  <r>
    <x v="91"/>
    <s v="Pesos"/>
    <d v="2026-12-04T00:00:00"/>
    <s v="29/10/2026"/>
    <n v="0.96387462999999995"/>
    <m/>
    <n v="20000000"/>
    <n v="19277492.609999999"/>
    <n v="20000000"/>
    <n v="19277492.609999999"/>
    <n v="70219576"/>
    <s v="AMOMPY"/>
    <s v="Momentum Capital Investment S.A."/>
    <s v="05/10/2026"/>
    <s v="05/10/2026"/>
    <n v="38"/>
    <s v="No"/>
    <s v=""/>
    <m/>
    <m/>
    <s v="*MAV021201422"/>
    <s v="*MAV021201422"/>
    <n v="2.3593040317749047E-4"/>
  </r>
  <r>
    <x v="91"/>
    <s v="Pesos"/>
    <d v="2026-12-04T00:00:00"/>
    <s v="29/10/2026"/>
    <n v="0.96387462999999995"/>
    <m/>
    <n v="20000000"/>
    <n v="19277492.609999999"/>
    <n v="20000000"/>
    <n v="19277492.609999999"/>
    <n v="70219581"/>
    <s v="AMOMPY"/>
    <s v="Momentum Capital Investment S.A."/>
    <s v="05/10/2026"/>
    <s v="05/10/2026"/>
    <n v="38"/>
    <s v="No"/>
    <s v=""/>
    <m/>
    <m/>
    <s v="*MAV021201423"/>
    <s v="*MAV021201423"/>
    <n v="2.3593040317749047E-4"/>
  </r>
  <r>
    <x v="91"/>
    <s v="Pesos"/>
    <d v="2026-12-04T00:00:00"/>
    <s v="29/10/2026"/>
    <n v="0.96387462999999995"/>
    <m/>
    <n v="20000000"/>
    <n v="19277492.609999999"/>
    <n v="20000000"/>
    <n v="19277492.609999999"/>
    <n v="70219580"/>
    <s v="AMOMPY"/>
    <s v="Momentum Capital Investment S.A."/>
    <s v="05/10/2026"/>
    <s v="05/10/2026"/>
    <n v="38"/>
    <s v="No"/>
    <s v=""/>
    <m/>
    <m/>
    <s v="*MAV021201424"/>
    <s v="*MAV021201424"/>
    <n v="2.3593040317749047E-4"/>
  </r>
  <r>
    <x v="91"/>
    <s v="Pesos"/>
    <d v="2026-12-04T00:00:00"/>
    <s v="29/10/2026"/>
    <n v="0.96387462999999995"/>
    <m/>
    <n v="20000000"/>
    <n v="19277492.609999999"/>
    <n v="20000000"/>
    <n v="19277492.609999999"/>
    <n v="70219578"/>
    <s v="AMOMPY"/>
    <s v="Momentum Capital Investment S.A."/>
    <s v="05/10/2026"/>
    <s v="05/10/2026"/>
    <n v="38"/>
    <s v="No"/>
    <s v=""/>
    <m/>
    <m/>
    <s v="*MAV021201425"/>
    <s v="*MAV021201425"/>
    <n v="2.3593040317749047E-4"/>
  </r>
  <r>
    <x v="91"/>
    <s v="Pesos"/>
    <d v="2026-12-04T00:00:00"/>
    <s v="29/10/2026"/>
    <n v="0.96387462999999995"/>
    <m/>
    <n v="20000000"/>
    <n v="19277492.609999999"/>
    <n v="20000000"/>
    <n v="19277492.609999999"/>
    <n v="70219575"/>
    <s v="AMOMPY"/>
    <s v="Momentum Capital Investment S.A."/>
    <s v="05/10/2026"/>
    <s v="05/10/2026"/>
    <n v="38"/>
    <s v="No"/>
    <s v=""/>
    <m/>
    <m/>
    <s v="*MAV021201426"/>
    <s v="*MAV021201426"/>
    <n v="2.3593040317749047E-4"/>
  </r>
  <r>
    <x v="91"/>
    <s v="Pesos"/>
    <d v="2026-12-04T00:00:00"/>
    <s v="29/10/2026"/>
    <n v="0.96387462999999995"/>
    <m/>
    <n v="20000000"/>
    <n v="19277492.609999999"/>
    <n v="20000000"/>
    <n v="19277492.609999999"/>
    <n v="70219577"/>
    <s v="AMOMPY"/>
    <s v="Momentum Capital Investment S.A."/>
    <s v="05/10/2026"/>
    <s v="05/10/2026"/>
    <n v="38"/>
    <s v="No"/>
    <s v=""/>
    <m/>
    <m/>
    <s v="*MAV021201427"/>
    <s v="*MAV021201427"/>
    <n v="2.3593040317749047E-4"/>
  </r>
  <r>
    <x v="360"/>
    <s v="Pesos"/>
    <d v="2026-12-04T00:00:00"/>
    <s v="29/10/2026"/>
    <n v="0.97126135999999996"/>
    <m/>
    <n v="750000"/>
    <n v="728446.02"/>
    <n v="750000"/>
    <n v="728446.02"/>
    <n v="181"/>
    <s v="AMOMPY"/>
    <s v="Momentum Capital Investment S.A."/>
    <s v="08/10/2026"/>
    <s v="08/10/2026"/>
    <n v="30"/>
    <s v="No"/>
    <s v=""/>
    <m/>
    <m/>
    <s v="*MAV021201458"/>
    <s v="*MAV021201458"/>
    <n v="8.9151927934074985E-6"/>
  </r>
  <r>
    <x v="133"/>
    <s v="Pesos"/>
    <d v="2026-12-04T00:00:00"/>
    <s v="29/10/2026"/>
    <n v="0.97126137000000001"/>
    <m/>
    <n v="2776829.85"/>
    <n v="2697027.57"/>
    <n v="2776829.85"/>
    <n v="2697027.57"/>
    <n v="87"/>
    <s v="AMOMPY"/>
    <s v="Momentum Capital Investment S.A."/>
    <s v="15/10/2026"/>
    <s v="15/10/2026"/>
    <n v="30"/>
    <s v="No"/>
    <s v=""/>
    <m/>
    <m/>
    <s v="*MAV021201493"/>
    <s v="*MAV021201493"/>
    <n v="3.3007965031760805E-5"/>
  </r>
  <r>
    <x v="2"/>
    <s v="Pesos"/>
    <d v="2026-12-09T00:00:00"/>
    <s v="29/10/2026"/>
    <n v="0.96113344000000001"/>
    <m/>
    <n v="3105640.28"/>
    <n v="2984934.72"/>
    <n v="3105640.28"/>
    <n v="2984934.72"/>
    <n v="3390"/>
    <s v="AMOMPY"/>
    <s v="Momentum Capital Investment S.A."/>
    <s v="11/09/2026"/>
    <s v="11/09/2026"/>
    <n v="36"/>
    <s v="No"/>
    <s v=""/>
    <m/>
    <m/>
    <s v="*MAV031201011"/>
    <s v="*MAV031201011"/>
    <n v="3.6531558652123361E-5"/>
  </r>
  <r>
    <x v="2"/>
    <s v="Pesos"/>
    <d v="2026-12-09T00:00:00"/>
    <s v="29/10/2026"/>
    <n v="0.96113344000000001"/>
    <m/>
    <n v="3841101.28"/>
    <n v="3691810.87"/>
    <n v="3841101.28"/>
    <n v="3691810.87"/>
    <n v="3368"/>
    <s v="AMOMPY"/>
    <s v="Momentum Capital Investment S.A."/>
    <s v="11/09/2026"/>
    <s v="11/09/2026"/>
    <n v="36"/>
    <s v="No"/>
    <s v=""/>
    <m/>
    <m/>
    <s v="*MAV031201010"/>
    <s v="*MAV031201010"/>
    <n v="4.5182765447530984E-5"/>
  </r>
  <r>
    <x v="2"/>
    <s v="Pesos"/>
    <d v="2026-12-09T00:00:00"/>
    <s v="29/10/2026"/>
    <n v="0.96113340000000003"/>
    <m/>
    <n v="2874176.47"/>
    <n v="2762466.99"/>
    <n v="2874176.47"/>
    <n v="2762466.99"/>
    <n v="3438"/>
    <s v="AMOMPY"/>
    <s v="Momentum Capital Investment S.A."/>
    <s v="10/09/2026"/>
    <s v="10/09/2026"/>
    <n v="36"/>
    <s v="No"/>
    <s v=""/>
    <m/>
    <m/>
    <s v="*MAV031201000"/>
    <s v="*MAV031201000"/>
    <n v="3.3808854911821882E-5"/>
  </r>
  <r>
    <x v="361"/>
    <s v="Pesos"/>
    <d v="2026-12-09T00:00:00"/>
    <s v="29/10/2026"/>
    <n v="0.96217222000000002"/>
    <m/>
    <n v="25000000"/>
    <n v="24054305.57"/>
    <n v="25000000"/>
    <n v="24054305.57"/>
    <n v="10685424"/>
    <s v="AMOMPY"/>
    <s v="Momentum Capital Investment S.A."/>
    <s v="18/09/2026"/>
    <s v="18/09/2026"/>
    <n v="35"/>
    <s v="No"/>
    <s v=""/>
    <m/>
    <m/>
    <s v="*MAV031201032"/>
    <s v="*MAV031201032"/>
    <n v="2.9439212485241642E-4"/>
  </r>
  <r>
    <x v="54"/>
    <s v="Pesos"/>
    <d v="2026-12-09T00:00:00"/>
    <s v="29/10/2026"/>
    <n v="0.96950705000000004"/>
    <m/>
    <n v="8000000"/>
    <n v="7756056.3700000001"/>
    <n v="8000000"/>
    <n v="7756056.3700000001"/>
    <n v="6495"/>
    <s v="AMOMPY"/>
    <s v="Momentum Capital Investment S.A."/>
    <s v="17/09/2026"/>
    <s v="17/09/2026"/>
    <n v="28"/>
    <s v="No"/>
    <s v=""/>
    <m/>
    <m/>
    <s v="*INP031200058"/>
    <s v="*INP031200058"/>
    <n v="9.4923626400054072E-5"/>
  </r>
  <r>
    <x v="54"/>
    <s v="Pesos"/>
    <d v="2026-12-09T00:00:00"/>
    <s v="29/10/2026"/>
    <n v="0.97056405999999995"/>
    <m/>
    <n v="10000000"/>
    <n v="9705640.5899999999"/>
    <n v="10000000"/>
    <n v="9705640.5899999999"/>
    <n v="40740205"/>
    <s v="AMOMPY"/>
    <s v="Momentum Capital Investment S.A."/>
    <s v="18/09/2026"/>
    <s v="18/09/2026"/>
    <n v="27"/>
    <s v="No"/>
    <s v=""/>
    <m/>
    <m/>
    <s v="*INP031200056"/>
    <s v="*INP031200056"/>
    <n v="1.1878389704616862E-4"/>
  </r>
  <r>
    <x v="312"/>
    <s v="Pesos"/>
    <d v="2026-12-09T00:00:00"/>
    <s v="29/10/2026"/>
    <n v="0.96530203000000003"/>
    <m/>
    <n v="1660000"/>
    <n v="1602401.37"/>
    <n v="1660000"/>
    <n v="1602401.37"/>
    <n v="379"/>
    <s v="AMOMPY"/>
    <s v="Momentum Capital Investment S.A."/>
    <s v="01/10/2026"/>
    <s v="01/10/2026"/>
    <n v="32"/>
    <s v="No"/>
    <s v=""/>
    <m/>
    <m/>
    <s v="*MAV031201081"/>
    <s v="*MAV031201081"/>
    <n v="1.9611222731329222E-5"/>
  </r>
  <r>
    <x v="362"/>
    <s v="Pesos"/>
    <d v="2026-12-09T00:00:00"/>
    <s v="29/10/2026"/>
    <n v="0.96634984999999995"/>
    <m/>
    <n v="11820000"/>
    <n v="11422255.27"/>
    <n v="11820000"/>
    <n v="11422255.27"/>
    <n v="14310295"/>
    <s v="AMOMPY"/>
    <s v="Momentum Capital Investment S.A."/>
    <s v="09/09/2026"/>
    <s v="09/09/2026"/>
    <n v="31"/>
    <s v="No"/>
    <s v=""/>
    <m/>
    <m/>
    <s v="*MAV031200998"/>
    <s v="*MAV031200998"/>
    <n v="1.3979293601956231E-4"/>
  </r>
  <r>
    <x v="143"/>
    <s v="Pesos"/>
    <d v="2026-12-09T00:00:00"/>
    <s v="29/10/2026"/>
    <n v="0.96634987000000006"/>
    <m/>
    <n v="1598248"/>
    <n v="1544466.74"/>
    <n v="1598248"/>
    <n v="1544466.74"/>
    <n v="11999347"/>
    <s v="AMOMPY"/>
    <s v="Momentum Capital Investment S.A."/>
    <s v="02/09/2026"/>
    <s v="02/09/2026"/>
    <n v="31"/>
    <s v="No"/>
    <s v=""/>
    <m/>
    <m/>
    <s v="*MAV031200966"/>
    <s v="*MAV031200966"/>
    <n v="1.8902181317574595E-5"/>
  </r>
  <r>
    <x v="171"/>
    <s v="Pesos"/>
    <d v="2026-12-09T00:00:00"/>
    <s v="29/10/2026"/>
    <n v="0.96425651999999995"/>
    <m/>
    <n v="2170000"/>
    <n v="2092436.65"/>
    <n v="2170000"/>
    <n v="2092436.65"/>
    <n v="260744"/>
    <s v="AMOMPY"/>
    <s v="Momentum Capital Investment S.A."/>
    <s v="27/08/2026"/>
    <s v="27/08/2026"/>
    <n v="33"/>
    <s v="No"/>
    <s v=""/>
    <m/>
    <m/>
    <s v="*MAV031200955"/>
    <s v="*MAV031200955"/>
    <n v="2.5608590932711424E-5"/>
  </r>
  <r>
    <x v="56"/>
    <s v="Pesos"/>
    <d v="2026-12-09T00:00:00"/>
    <s v="29/10/2026"/>
    <n v="0.96845247000000001"/>
    <m/>
    <n v="450000"/>
    <n v="435803.61"/>
    <n v="450000"/>
    <n v="435803.61"/>
    <n v="11456509"/>
    <s v="AMOMPY"/>
    <s v="Momentum Capital Investment S.A."/>
    <s v="28/10/2026"/>
    <s v="28/10/2026"/>
    <n v="29"/>
    <s v="No"/>
    <s v=""/>
    <m/>
    <m/>
    <s v="*MAV031201275"/>
    <s v="*MAV031201275"/>
    <n v="5.333646003327702E-6"/>
  </r>
  <r>
    <x v="289"/>
    <s v="Pesos"/>
    <d v="2026-12-09T00:00:00"/>
    <s v="29/10/2026"/>
    <n v="0.96530209"/>
    <m/>
    <n v="5000000"/>
    <n v="4826510.47"/>
    <n v="5000000"/>
    <n v="4826510.47"/>
    <n v="56"/>
    <s v="AMOMPY"/>
    <s v="Momentum Capital Investment S.A."/>
    <s v="20/10/2026"/>
    <s v="20/10/2026"/>
    <n v="32"/>
    <s v="No"/>
    <s v=""/>
    <m/>
    <m/>
    <s v="*MAV031201234"/>
    <s v="*MAV031201234"/>
    <n v="5.906995189492535E-5"/>
  </r>
  <r>
    <x v="145"/>
    <s v="Pesos"/>
    <d v="2026-12-09T00:00:00"/>
    <s v="29/10/2026"/>
    <n v="0.96740008"/>
    <m/>
    <n v="2006000"/>
    <n v="1940604.57"/>
    <n v="2006000"/>
    <n v="1940604.57"/>
    <n v="70555919"/>
    <s v="AMOMPY"/>
    <s v="Momentum Capital Investment S.A."/>
    <s v="21/10/2026"/>
    <s v="21/10/2026"/>
    <n v="30"/>
    <s v="No"/>
    <s v=""/>
    <m/>
    <m/>
    <s v="*MAV031201243"/>
    <s v="*MAV031201243"/>
    <n v="2.3750371890723841E-5"/>
  </r>
  <r>
    <x v="189"/>
    <s v="Pesos"/>
    <d v="2026-12-09T00:00:00"/>
    <s v="29/10/2026"/>
    <n v="0.96425647000000003"/>
    <m/>
    <n v="25000000"/>
    <n v="24106411.719999999"/>
    <n v="25000000"/>
    <n v="24106411.719999999"/>
    <n v="475886"/>
    <s v="AMOMPY"/>
    <s v="Momentum Capital Investment S.A."/>
    <s v="07/08/2026"/>
    <s v="07/08/2026"/>
    <n v="33"/>
    <s v="No"/>
    <s v=""/>
    <m/>
    <m/>
    <s v="*MAV031200931"/>
    <s v="*MAV031200931"/>
    <n v="2.9502983356413702E-4"/>
  </r>
  <r>
    <x v="336"/>
    <s v="Pesos"/>
    <d v="2026-12-09T00:00:00"/>
    <s v="29/10/2026"/>
    <n v="0.96425653"/>
    <m/>
    <n v="10051717.33"/>
    <n v="9692434.0700000003"/>
    <n v="10051717.33"/>
    <n v="9692434.0700000003"/>
    <n v="90002284"/>
    <s v="AMOMPY"/>
    <s v="Momentum Capital Investment S.A."/>
    <s v="14/09/2026"/>
    <s v="14/09/2026"/>
    <n v="33"/>
    <s v="No"/>
    <s v=""/>
    <m/>
    <m/>
    <s v="*MAV031201018"/>
    <s v="*MAV031201018"/>
    <n v="1.1862226712617814E-4"/>
  </r>
  <r>
    <x v="15"/>
    <s v="Pesos"/>
    <d v="2026-12-09T00:00:00"/>
    <s v="29/10/2026"/>
    <n v="0.96113342999999996"/>
    <m/>
    <n v="11500000"/>
    <n v="11053034.49"/>
    <n v="11500000"/>
    <n v="11053034.49"/>
    <n v="10468665"/>
    <s v="AMOMPY"/>
    <s v="Momentum Capital Investment S.A."/>
    <s v="30/07/2026"/>
    <s v="30/07/2026"/>
    <n v="36"/>
    <s v="No"/>
    <s v=""/>
    <m/>
    <m/>
    <s v="*MAV031200924"/>
    <s v="*MAV031200924"/>
    <n v="1.352741736862431E-4"/>
  </r>
  <r>
    <x v="231"/>
    <s v="Pesos"/>
    <d v="2026-12-09T00:00:00"/>
    <s v="29/10/2026"/>
    <n v="0.96739995000000001"/>
    <m/>
    <n v="4175312.5"/>
    <n v="4039197.11"/>
    <n v="4175312.5"/>
    <n v="4039197.11"/>
    <n v="40952790"/>
    <s v="AMOMPY"/>
    <s v="Momentum Capital Investment S.A."/>
    <s v="19/10/2026"/>
    <s v="19/10/2026"/>
    <n v="30"/>
    <s v="No"/>
    <s v=""/>
    <m/>
    <m/>
    <s v="*MAV031201221"/>
    <s v="*MAV031201221"/>
    <n v="4.9434302580477256E-5"/>
  </r>
  <r>
    <x v="363"/>
    <s v="Pesos"/>
    <d v="2026-12-09T00:00:00"/>
    <s v="29/10/2026"/>
    <n v="0.96845245999999996"/>
    <m/>
    <n v="4212174.99"/>
    <n v="4079291.24"/>
    <n v="4212174.99"/>
    <n v="4079291.24"/>
    <n v="691"/>
    <s v="AMOMPY"/>
    <s v="Momentum Capital Investment S.A."/>
    <s v="28/10/2026"/>
    <s v="28/10/2026"/>
    <n v="29"/>
    <s v="No"/>
    <s v=""/>
    <m/>
    <m/>
    <s v="*MAV031201290"/>
    <s v="*MAV031201290"/>
    <n v="4.9925000434566636E-5"/>
  </r>
  <r>
    <x v="354"/>
    <s v="Pesos"/>
    <d v="2026-12-09T00:00:00"/>
    <s v="29/10/2026"/>
    <n v="0.96425660999999996"/>
    <m/>
    <n v="25000000"/>
    <n v="24106415.329999998"/>
    <n v="25000000"/>
    <n v="24106415.329999998"/>
    <n v="4293"/>
    <s v="AMOMPY"/>
    <s v="Momentum Capital Investment S.A."/>
    <s v="23/09/2026"/>
    <s v="23/09/2026"/>
    <n v="33"/>
    <s v="No"/>
    <s v=""/>
    <m/>
    <m/>
    <s v="*MAV031201044"/>
    <s v="*MAV031201044"/>
    <n v="2.9502987774564817E-4"/>
  </r>
  <r>
    <x v="18"/>
    <s v="Pesos"/>
    <d v="2026-12-09T00:00:00"/>
    <s v="29/10/2026"/>
    <n v="0.96530225000000003"/>
    <m/>
    <n v="80000000"/>
    <n v="77224179.980000004"/>
    <n v="80000000"/>
    <n v="77224179.980000004"/>
    <n v="1041"/>
    <s v="AMOMPY"/>
    <s v="Momentum Capital Investment S.A."/>
    <s v="29/10/2026"/>
    <s v="29/10/2026"/>
    <n v="32"/>
    <s v="No"/>
    <s v=""/>
    <m/>
    <m/>
    <s v="*MAV031201305"/>
    <s v="*MAV031201305"/>
    <n v="9.4511938281233187E-4"/>
  </r>
  <r>
    <x v="40"/>
    <s v="Pesos"/>
    <d v="2026-12-09T00:00:00"/>
    <s v="29/10/2026"/>
    <n v="0.96425662000000001"/>
    <m/>
    <n v="1000000"/>
    <n v="964256.62"/>
    <n v="1000000"/>
    <n v="964256.62"/>
    <n v="40789593"/>
    <s v="AMOMPY"/>
    <s v="Momentum Capital Investment S.A."/>
    <s v="30/09/2026"/>
    <s v="30/09/2026"/>
    <n v="33"/>
    <s v="No"/>
    <s v=""/>
    <m/>
    <m/>
    <s v="*MAV031201074"/>
    <s v="*MAV031201074"/>
    <n v="1.180119519304872E-5"/>
  </r>
  <r>
    <x v="40"/>
    <s v="Pesos"/>
    <d v="2026-12-09T00:00:00"/>
    <s v="29/10/2026"/>
    <n v="0.96425662000000001"/>
    <m/>
    <n v="5000000"/>
    <n v="4821283.09"/>
    <n v="5000000"/>
    <n v="4821283.09"/>
    <n v="40789572"/>
    <s v="AMOMPY"/>
    <s v="Momentum Capital Investment S.A."/>
    <s v="30/09/2026"/>
    <s v="30/09/2026"/>
    <n v="33"/>
    <s v="No"/>
    <s v=""/>
    <m/>
    <m/>
    <s v="*MAV031201075"/>
    <s v="*MAV031201075"/>
    <n v="5.9005975842857138E-5"/>
  </r>
  <r>
    <x v="44"/>
    <s v="Pesos"/>
    <d v="2026-12-09T00:00:00"/>
    <s v="29/10/2026"/>
    <n v="0.96425647999999997"/>
    <m/>
    <n v="12500000"/>
    <n v="12053206.050000001"/>
    <n v="12500000"/>
    <n v="12053206.050000001"/>
    <n v="14651814"/>
    <s v="AMOMPY"/>
    <s v="Momentum Capital Investment S.A."/>
    <s v="01/10/2026"/>
    <s v="01/10/2026"/>
    <n v="33"/>
    <s v="No"/>
    <s v=""/>
    <m/>
    <m/>
    <s v="*MAV031201090"/>
    <s v="*MAV031201090"/>
    <n v="1.4751491910741123E-4"/>
  </r>
  <r>
    <x v="44"/>
    <s v="Pesos"/>
    <d v="2026-12-09T00:00:00"/>
    <s v="29/10/2026"/>
    <n v="0.96425647000000003"/>
    <m/>
    <n v="20000000"/>
    <n v="19285129.440000001"/>
    <n v="20000000"/>
    <n v="19285129.440000001"/>
    <n v="14725036"/>
    <s v="AMOMPY"/>
    <s v="Momentum Capital Investment S.A."/>
    <s v="19/10/2026"/>
    <s v="19/10/2026"/>
    <n v="33"/>
    <s v="No"/>
    <s v=""/>
    <m/>
    <m/>
    <s v="*MAV031201218"/>
    <s v="*MAV031201218"/>
    <n v="2.3602386763458297E-4"/>
  </r>
  <r>
    <x v="154"/>
    <s v="Pesos"/>
    <d v="2026-12-09T00:00:00"/>
    <s v="29/10/2026"/>
    <n v="0.96425656000000004"/>
    <m/>
    <n v="2500000"/>
    <n v="2410641.4"/>
    <n v="2500000"/>
    <n v="2410641.4"/>
    <n v="680"/>
    <s v="AMOMPY"/>
    <s v="Momentum Capital Investment S.A."/>
    <s v="22/09/2026"/>
    <s v="22/09/2026"/>
    <n v="33"/>
    <s v="No"/>
    <s v=""/>
    <m/>
    <m/>
    <s v="*MAV031201036"/>
    <s v="*MAV031201036"/>
    <n v="2.9502986146824935E-5"/>
  </r>
  <r>
    <x v="364"/>
    <s v="Pesos"/>
    <d v="2026-12-09T00:00:00"/>
    <s v="29/10/2026"/>
    <n v="0.96009686999999999"/>
    <m/>
    <n v="15000000"/>
    <n v="14401453.02"/>
    <n v="15000000"/>
    <n v="14401453.02"/>
    <n v="90023082"/>
    <s v="AMOMPY"/>
    <s v="Momentum Capital Investment S.A."/>
    <s v="02/06/2026"/>
    <s v="02/06/2026"/>
    <n v="37"/>
    <s v="No"/>
    <s v=""/>
    <m/>
    <m/>
    <s v="*MAV031200912"/>
    <s v="*MAV031200912"/>
    <n v="1.7625428192812506E-4"/>
  </r>
  <r>
    <x v="364"/>
    <s v="Pesos"/>
    <d v="2026-12-09T00:00:00"/>
    <s v="29/10/2026"/>
    <n v="0.96009686999999999"/>
    <m/>
    <n v="15000000"/>
    <n v="14401453.02"/>
    <n v="15000000"/>
    <n v="14401453.02"/>
    <n v="90023081"/>
    <s v="AMOMPY"/>
    <s v="Momentum Capital Investment S.A."/>
    <s v="02/06/2026"/>
    <s v="02/06/2026"/>
    <n v="37"/>
    <s v="No"/>
    <s v=""/>
    <m/>
    <m/>
    <s v="*MAV031200913"/>
    <s v="*MAV031200913"/>
    <n v="1.7625428192812506E-4"/>
  </r>
  <r>
    <x v="365"/>
    <s v="Pesos"/>
    <d v="2026-12-09T00:00:00"/>
    <s v="29/10/2026"/>
    <n v="0.96634998999999999"/>
    <m/>
    <n v="4372371.08"/>
    <n v="4225240.74"/>
    <n v="4372371.08"/>
    <n v="4225240.74"/>
    <n v="90001387"/>
    <s v="AMOMPY"/>
    <s v="Momentum Capital Investment S.A."/>
    <s v="21/10/2026"/>
    <s v="21/10/2026"/>
    <n v="31"/>
    <s v="No"/>
    <s v=""/>
    <m/>
    <m/>
    <s v="*MAV031201240"/>
    <s v="*MAV031201240"/>
    <n v="5.1711224663784646E-5"/>
  </r>
  <r>
    <x v="276"/>
    <s v="Pesos"/>
    <d v="2026-12-09T00:00:00"/>
    <s v="29/10/2026"/>
    <n v="0.96217213999999995"/>
    <m/>
    <n v="9712653.25"/>
    <n v="9345244.4000000004"/>
    <n v="9712653.25"/>
    <n v="9345244.4000000004"/>
    <n v="896"/>
    <s v="AMOMPY"/>
    <s v="Momentum Capital Investment S.A."/>
    <s v="19/10/2026"/>
    <s v="19/10/2026"/>
    <n v="35"/>
    <s v="No"/>
    <s v=""/>
    <m/>
    <m/>
    <s v="*MAV031201217"/>
    <s v="*MAV031201217"/>
    <n v="1.1437313574382873E-4"/>
  </r>
  <r>
    <x v="278"/>
    <s v="Pesos"/>
    <d v="2026-12-09T00:00:00"/>
    <s v="29/10/2026"/>
    <n v="0.96530203999999997"/>
    <m/>
    <n v="10415009"/>
    <n v="10053629.41"/>
    <n v="10415009"/>
    <n v="10053629.41"/>
    <n v="99486327"/>
    <s v="AMOMPY"/>
    <s v="Momentum Capital Investment S.A."/>
    <s v="01/10/2026"/>
    <s v="01/10/2026"/>
    <n v="32"/>
    <s v="No"/>
    <s v=""/>
    <m/>
    <m/>
    <s v="*MAV031201088"/>
    <s v="*MAV031201088"/>
    <n v="1.2304280894227644E-4"/>
  </r>
  <r>
    <x v="26"/>
    <s v="Pesos"/>
    <d v="2026-12-09T00:00:00"/>
    <s v="29/10/2026"/>
    <n v="0.96740015999999995"/>
    <m/>
    <n v="10500000"/>
    <n v="10157701.689999999"/>
    <n v="10500000"/>
    <n v="10157701.689999999"/>
    <n v="1449"/>
    <s v="AMOMPY"/>
    <s v="Momentum Capital Investment S.A."/>
    <s v="29/10/2026"/>
    <s v="29/10/2026"/>
    <n v="30"/>
    <s v="No"/>
    <s v=""/>
    <m/>
    <m/>
    <s v="*MAV031201299"/>
    <s v="*MAV031201299"/>
    <n v="1.2431651271053846E-4"/>
  </r>
  <r>
    <x v="26"/>
    <s v="Pesos"/>
    <d v="2026-12-09T00:00:00"/>
    <s v="29/10/2026"/>
    <n v="0.96740008"/>
    <m/>
    <n v="10000000"/>
    <n v="9674000.8200000003"/>
    <n v="10000000"/>
    <n v="9674000.8200000003"/>
    <n v="1444"/>
    <s v="AMOMPY"/>
    <s v="Momentum Capital Investment S.A."/>
    <s v="28/10/2026"/>
    <s v="28/10/2026"/>
    <n v="30"/>
    <s v="No"/>
    <s v=""/>
    <m/>
    <m/>
    <s v="*MAV031201289"/>
    <s v="*MAV031201289"/>
    <n v="1.1839666910923918E-4"/>
  </r>
  <r>
    <x v="320"/>
    <s v="Pesos"/>
    <d v="2026-12-09T00:00:00"/>
    <s v="29/10/2026"/>
    <n v="0.96739995000000001"/>
    <m/>
    <n v="2750000"/>
    <n v="2660349.87"/>
    <n v="2750000"/>
    <n v="2660349.87"/>
    <n v="655"/>
    <s v="AMOMPY"/>
    <s v="Momentum Capital Investment S.A."/>
    <s v="08/10/2026"/>
    <s v="08/10/2026"/>
    <n v="30"/>
    <s v="No"/>
    <s v=""/>
    <m/>
    <m/>
    <s v="*MAV031201142"/>
    <s v="*MAV031201142"/>
    <n v="3.2559079654202204E-5"/>
  </r>
  <r>
    <x v="181"/>
    <s v="Pesos"/>
    <d v="2026-12-09T00:00:00"/>
    <s v="29/10/2026"/>
    <n v="0.96845236000000001"/>
    <m/>
    <n v="8106418.25"/>
    <n v="7850679.9199999999"/>
    <n v="8106418.25"/>
    <n v="7850679.9199999999"/>
    <n v="90000807"/>
    <s v="AMOMPY"/>
    <s v="Momentum Capital Investment S.A."/>
    <s v="03/07/2026"/>
    <s v="03/07/2026"/>
    <n v="29"/>
    <s v="No"/>
    <s v=""/>
    <m/>
    <m/>
    <s v="*FED031200025"/>
    <s v="*FED031200025"/>
    <n v="9.6081690508972718E-5"/>
  </r>
  <r>
    <x v="2"/>
    <s v="Pesos"/>
    <d v="2026-12-10T00:00:00"/>
    <s v="29/10/2026"/>
    <n v="0.96022313000000004"/>
    <m/>
    <n v="3105640.28"/>
    <n v="2982107.62"/>
    <n v="3105640.28"/>
    <n v="2982107.62"/>
    <n v="3391"/>
    <s v="AMOMPY"/>
    <s v="Momentum Capital Investment S.A."/>
    <s v="07/09/2026"/>
    <s v="07/09/2026"/>
    <n v="36"/>
    <s v="No"/>
    <s v=""/>
    <m/>
    <m/>
    <s v="*MAV041201015"/>
    <s v="*MAV041201015"/>
    <n v="3.6496958776697803E-5"/>
  </r>
  <r>
    <x v="2"/>
    <s v="Pesos"/>
    <d v="2026-12-10T00:00:00"/>
    <s v="29/10/2026"/>
    <n v="0.96022313999999998"/>
    <m/>
    <n v="2874176.47"/>
    <n v="2759850.75"/>
    <n v="2874176.47"/>
    <n v="2759850.75"/>
    <n v="3439"/>
    <s v="AMOMPY"/>
    <s v="Momentum Capital Investment S.A."/>
    <s v="11/09/2026"/>
    <s v="11/09/2026"/>
    <n v="36"/>
    <s v="No"/>
    <s v=""/>
    <m/>
    <m/>
    <s v="*MAV041201060"/>
    <s v="*MAV041201060"/>
    <n v="3.3776835677241087E-5"/>
  </r>
  <r>
    <x v="2"/>
    <s v="Pesos"/>
    <d v="2026-12-10T00:00:00"/>
    <s v="29/10/2026"/>
    <n v="0.96022313999999998"/>
    <m/>
    <n v="3841101.28"/>
    <n v="3688314.32"/>
    <n v="3841101.28"/>
    <n v="3688314.32"/>
    <n v="3369"/>
    <s v="AMOMPY"/>
    <s v="Momentum Capital Investment S.A."/>
    <s v="11/09/2026"/>
    <s v="11/09/2026"/>
    <n v="36"/>
    <s v="No"/>
    <s v=""/>
    <m/>
    <m/>
    <s v="*MAV041201061"/>
    <s v="*MAV041201061"/>
    <n v="4.5139972410701992E-5"/>
  </r>
  <r>
    <x v="54"/>
    <s v="Pesos"/>
    <d v="2026-12-10T00:00:00"/>
    <s v="29/10/2026"/>
    <n v="0.96986790000000001"/>
    <m/>
    <n v="19375412.52"/>
    <n v="18791590.699999999"/>
    <n v="19375412.52"/>
    <n v="18791590.699999999"/>
    <n v="3287"/>
    <s v="AMOMPY"/>
    <s v="Momentum Capital Investment S.A."/>
    <s v="27/10/2026"/>
    <s v="27/10/2026"/>
    <n v="27"/>
    <s v="No"/>
    <s v=""/>
    <m/>
    <m/>
    <s v="*INP041200067"/>
    <s v="*INP041200067"/>
    <n v="2.2998362182732955E-4"/>
  </r>
  <r>
    <x v="3"/>
    <s v="Pesos"/>
    <d v="2026-12-10T00:00:00"/>
    <s v="29/10/2026"/>
    <n v="0.96878651000000005"/>
    <m/>
    <n v="8400000"/>
    <n v="8137806.6600000001"/>
    <n v="8400000"/>
    <n v="8137806.6600000001"/>
    <n v="2453"/>
    <s v="AMOMPY"/>
    <s v="Momentum Capital Investment S.A."/>
    <s v="21/09/2026"/>
    <s v="21/09/2026"/>
    <n v="28"/>
    <s v="No"/>
    <s v=""/>
    <m/>
    <m/>
    <s v="*MOV041200068"/>
    <s v="*MOV041200068"/>
    <n v="9.9595732967798406E-5"/>
  </r>
  <r>
    <x v="151"/>
    <s v="Pesos"/>
    <d v="2026-12-10T00:00:00"/>
    <s v="29/10/2026"/>
    <n v="0.96448584000000004"/>
    <m/>
    <n v="13000000"/>
    <n v="12538315.9"/>
    <n v="13000000"/>
    <n v="12538315.9"/>
    <n v="1307"/>
    <s v="AMOMPY"/>
    <s v="Momentum Capital Investment S.A."/>
    <s v="04/09/2026"/>
    <s v="04/09/2026"/>
    <n v="32"/>
    <s v="No"/>
    <s v=""/>
    <m/>
    <m/>
    <s v="*MAV041201008"/>
    <s v="*MAV041201008"/>
    <n v="1.5345200671581217E-4"/>
  </r>
  <r>
    <x v="332"/>
    <s v="Pesos"/>
    <d v="2026-12-10T00:00:00"/>
    <s v="29/10/2026"/>
    <n v="0.96341661000000001"/>
    <m/>
    <n v="5000000"/>
    <n v="4817083.05"/>
    <n v="5000000"/>
    <n v="4817083.05"/>
    <n v="2876"/>
    <s v="AMOMPY"/>
    <s v="Momentum Capital Investment S.A."/>
    <s v="11/09/2026"/>
    <s v="11/09/2026"/>
    <n v="33"/>
    <s v="No"/>
    <s v=""/>
    <m/>
    <m/>
    <s v="*MAV041201055"/>
    <s v="*MAV041201055"/>
    <n v="5.8954573041123083E-5"/>
  </r>
  <r>
    <x v="6"/>
    <s v="Pesos"/>
    <d v="2026-12-10T00:00:00"/>
    <s v="29/10/2026"/>
    <n v="0.96878662000000004"/>
    <m/>
    <n v="1015657.35"/>
    <n v="983955.25"/>
    <n v="1015657.35"/>
    <n v="983955.25"/>
    <n v="729"/>
    <s v="AMOMPY"/>
    <s v="Momentum Capital Investment S.A."/>
    <s v="08/10/2026"/>
    <s v="08/10/2026"/>
    <n v="28"/>
    <s v="No"/>
    <s v=""/>
    <m/>
    <m/>
    <s v="*CRE041200121"/>
    <s v="*CRE041200121"/>
    <n v="1.2042279747558334E-5"/>
  </r>
  <r>
    <x v="174"/>
    <s v="Pesos"/>
    <d v="2026-12-10T00:00:00"/>
    <s v="29/10/2026"/>
    <n v="0.96448584999999998"/>
    <m/>
    <n v="7360000"/>
    <n v="7098615.8399999999"/>
    <n v="7360000"/>
    <n v="7098615.8399999999"/>
    <n v="14822326"/>
    <s v="AMOMPY"/>
    <s v="Momentum Capital Investment S.A."/>
    <s v="28/10/2026"/>
    <s v="28/10/2026"/>
    <n v="32"/>
    <s v="No"/>
    <s v=""/>
    <m/>
    <m/>
    <s v="*MAV041201456"/>
    <s v="*MAV041201456"/>
    <n v="8.6877444645708005E-5"/>
  </r>
  <r>
    <x v="366"/>
    <s v="Pesos"/>
    <d v="2026-12-10T00:00:00"/>
    <s v="29/10/2026"/>
    <n v="0.96878655000000002"/>
    <m/>
    <n v="15000000"/>
    <n v="14531798.210000001"/>
    <n v="15000000"/>
    <n v="14531798.210000001"/>
    <n v="2285661"/>
    <s v="AMOMPY"/>
    <s v="Momentum Capital Investment S.A."/>
    <s v="10/08/2026"/>
    <s v="10/08/2026"/>
    <n v="28"/>
    <s v="No"/>
    <s v=""/>
    <m/>
    <m/>
    <s v="*MAV041200946"/>
    <s v="*MAV041200946"/>
    <n v="1.7784953053493789E-4"/>
  </r>
  <r>
    <x v="223"/>
    <s v="Pesos"/>
    <d v="2026-12-10T00:00:00"/>
    <s v="29/10/2026"/>
    <n v="0.96341679000000002"/>
    <m/>
    <n v="546454.19999999995"/>
    <n v="526463.15"/>
    <n v="546454.19999999995"/>
    <n v="526463.15"/>
    <n v="19645"/>
    <s v="AMOMPY"/>
    <s v="Momentum Capital Investment S.A."/>
    <s v="16/10/2026"/>
    <s v="16/10/2026"/>
    <n v="33"/>
    <s v="No"/>
    <s v=""/>
    <m/>
    <m/>
    <s v="*MAV041201334"/>
    <s v="*MAV041201334"/>
    <n v="6.4431959980708116E-6"/>
  </r>
  <r>
    <x v="223"/>
    <s v="Pesos"/>
    <d v="2026-12-10T00:00:00"/>
    <s v="29/10/2026"/>
    <n v="0.96341679999999996"/>
    <m/>
    <n v="604613.32999999996"/>
    <n v="582494.64"/>
    <n v="604613.32999999996"/>
    <n v="582494.64"/>
    <n v="19718"/>
    <s v="AMOMPY"/>
    <s v="Momentum Capital Investment S.A."/>
    <s v="16/10/2026"/>
    <s v="16/10/2026"/>
    <n v="33"/>
    <s v="No"/>
    <s v=""/>
    <m/>
    <m/>
    <s v="*MAV041201333"/>
    <s v="*MAV041201333"/>
    <n v="7.1289455555354602E-6"/>
  </r>
  <r>
    <x v="15"/>
    <s v="Pesos"/>
    <d v="2026-12-10T00:00:00"/>
    <s v="29/10/2026"/>
    <n v="0.96022315000000003"/>
    <m/>
    <n v="11500000"/>
    <n v="11042566.189999999"/>
    <n v="11500000"/>
    <n v="11042566.189999999"/>
    <n v="10468668"/>
    <s v="AMOMPY"/>
    <s v="Momentum Capital Investment S.A."/>
    <s v="30/07/2026"/>
    <s v="30/07/2026"/>
    <n v="36"/>
    <s v="No"/>
    <s v=""/>
    <m/>
    <m/>
    <s v="*MAV041200933"/>
    <s v="*MAV041200933"/>
    <n v="1.3514605587084308E-4"/>
  </r>
  <r>
    <x v="40"/>
    <s v="Pesos"/>
    <d v="2026-12-10T00:00:00"/>
    <s v="29/10/2026"/>
    <n v="0.96448595999999998"/>
    <m/>
    <n v="6000000"/>
    <n v="5786915.7400000002"/>
    <n v="6000000"/>
    <n v="5786915.7400000002"/>
    <n v="40789621"/>
    <s v="AMOMPY"/>
    <s v="Momentum Capital Investment S.A."/>
    <s v="05/10/2026"/>
    <s v="05/10/2026"/>
    <n v="32"/>
    <s v="No"/>
    <s v=""/>
    <m/>
    <m/>
    <s v="*MAV041201214"/>
    <s v="*MAV041201214"/>
    <n v="7.082401177962976E-5"/>
  </r>
  <r>
    <x v="364"/>
    <s v="Pesos"/>
    <d v="2026-12-10T00:00:00"/>
    <s v="29/10/2026"/>
    <n v="0.95916334000000003"/>
    <m/>
    <n v="15000000"/>
    <n v="14387450.16"/>
    <n v="15000000"/>
    <n v="14387450.16"/>
    <n v="90023083"/>
    <s v="AMOMPY"/>
    <s v="Momentum Capital Investment S.A."/>
    <s v="02/06/2026"/>
    <s v="02/06/2026"/>
    <n v="37"/>
    <s v="No"/>
    <s v=""/>
    <m/>
    <m/>
    <s v="*MAV041200911"/>
    <s v="*MAV041200911"/>
    <n v="1.7608290588497078E-4"/>
  </r>
  <r>
    <x v="275"/>
    <s v="Pesos"/>
    <d v="2026-12-10T00:00:00"/>
    <s v="29/10/2026"/>
    <n v="0.96663133000000001"/>
    <m/>
    <n v="135000"/>
    <n v="130495.23"/>
    <n v="135000"/>
    <n v="130495.23"/>
    <n v="90000070"/>
    <s v="AMOMPY"/>
    <s v="Momentum Capital Investment S.A."/>
    <s v="21/10/2026"/>
    <s v="21/10/2026"/>
    <n v="30"/>
    <s v="No"/>
    <s v=""/>
    <m/>
    <m/>
    <s v="*MAV041201393"/>
    <s v="*MAV041201393"/>
    <n v="1.5970848932224983E-6"/>
  </r>
  <r>
    <x v="264"/>
    <s v="Pesos"/>
    <d v="2026-12-10T00:00:00"/>
    <s v="29/10/2026"/>
    <n v="0.96663142000000002"/>
    <m/>
    <n v="3392865"/>
    <n v="3279649.93"/>
    <n v="3392865"/>
    <n v="3279649.93"/>
    <n v="12700536"/>
    <s v="AMOMPY"/>
    <s v="Momentum Capital Investment S.A."/>
    <s v="21/10/2026"/>
    <s v="21/10/2026"/>
    <n v="30"/>
    <s v="No"/>
    <s v=""/>
    <m/>
    <m/>
    <s v="*MAV041201392"/>
    <s v="*MAV041201392"/>
    <n v="4.0138473707132623E-5"/>
  </r>
  <r>
    <x v="20"/>
    <s v="Pesos"/>
    <d v="2026-12-10T00:00:00"/>
    <s v="29/10/2026"/>
    <n v="0.9591634"/>
    <m/>
    <n v="10000000"/>
    <n v="9591633.9800000004"/>
    <n v="10000000"/>
    <n v="9591633.9800000004"/>
    <n v="16877648"/>
    <s v="AMOMPY"/>
    <s v="Momentum Capital Investment S.A."/>
    <s v="07/10/2026"/>
    <s v="07/10/2026"/>
    <n v="37"/>
    <s v="No"/>
    <s v=""/>
    <m/>
    <m/>
    <s v="*MAV041201245"/>
    <s v="*MAV041201245"/>
    <n v="1.1738861053218257E-4"/>
  </r>
  <r>
    <x v="21"/>
    <s v="Pesos"/>
    <d v="2026-12-10T00:00:00"/>
    <s v="29/10/2026"/>
    <n v="0.96986779999999995"/>
    <m/>
    <n v="33250000"/>
    <n v="32248104.300000001"/>
    <n v="33250000"/>
    <n v="32248104.300000001"/>
    <n v="32242"/>
    <s v="AMOMPY"/>
    <s v="Momentum Capital Investment S.A."/>
    <s v="17/09/2026"/>
    <s v="17/09/2026"/>
    <n v="27"/>
    <s v="No"/>
    <s v=""/>
    <m/>
    <m/>
    <s v="*NIO041200031"/>
    <s v="*NIO041200031"/>
    <n v="3.9467312493026368E-4"/>
  </r>
  <r>
    <x v="367"/>
    <s v="Pesos"/>
    <d v="2026-12-10T00:00:00"/>
    <s v="29/10/2026"/>
    <n v="0.96448590999999995"/>
    <m/>
    <n v="144800"/>
    <n v="139657.56"/>
    <n v="144800"/>
    <n v="139657.56"/>
    <n v="9810"/>
    <s v="AMOMPY"/>
    <s v="Momentum Capital Investment S.A."/>
    <s v="19/10/2026"/>
    <s v="19/10/2026"/>
    <n v="32"/>
    <s v="No"/>
    <s v=""/>
    <m/>
    <m/>
    <s v="*MAV041201362"/>
    <s v="*MAV041201362"/>
    <n v="1.7092194044204883E-6"/>
  </r>
  <r>
    <x v="367"/>
    <s v="Pesos"/>
    <d v="2026-12-10T00:00:00"/>
    <s v="29/10/2026"/>
    <n v="0.96448595999999998"/>
    <m/>
    <n v="465943"/>
    <n v="449395.48"/>
    <n v="465943"/>
    <n v="449395.48"/>
    <n v="9520"/>
    <s v="AMOMPY"/>
    <s v="Momentum Capital Investment S.A."/>
    <s v="19/10/2026"/>
    <s v="19/10/2026"/>
    <n v="32"/>
    <s v="No"/>
    <s v=""/>
    <m/>
    <m/>
    <s v="*MAV041201363"/>
    <s v="*MAV041201363"/>
    <n v="5.4999920854614634E-6"/>
  </r>
  <r>
    <x v="25"/>
    <s v="Pesos"/>
    <d v="2026-12-10T00:00:00"/>
    <s v="29/10/2026"/>
    <n v="0.97095138999999997"/>
    <m/>
    <n v="11474356"/>
    <n v="11141041.869999999"/>
    <n v="11474356"/>
    <n v="11141041.869999999"/>
    <n v="88"/>
    <s v="AMOMPY"/>
    <s v="Momentum Capital Investment S.A."/>
    <s v="29/10/2026"/>
    <s v="29/10/2026"/>
    <n v="26"/>
    <s v="No"/>
    <s v=""/>
    <m/>
    <m/>
    <s v="*NEU041200012"/>
    <s v="*NEU041200012"/>
    <n v="1.3635126483424974E-4"/>
  </r>
  <r>
    <x v="26"/>
    <s v="Pesos"/>
    <d v="2026-12-10T00:00:00"/>
    <s v="29/10/2026"/>
    <n v="0.96663142000000002"/>
    <m/>
    <n v="10000000"/>
    <n v="9666314.1600000001"/>
    <n v="10000000"/>
    <n v="9666314.1600000001"/>
    <n v="1445"/>
    <s v="AMOMPY"/>
    <s v="Momentum Capital Investment S.A."/>
    <s v="28/10/2026"/>
    <s v="28/10/2026"/>
    <n v="30"/>
    <s v="No"/>
    <s v=""/>
    <m/>
    <m/>
    <s v="*MAV041201452"/>
    <s v="*MAV041201452"/>
    <n v="1.1830259480042852E-4"/>
  </r>
  <r>
    <x v="29"/>
    <s v="Pesos"/>
    <d v="2026-12-10T00:00:00"/>
    <s v="29/10/2026"/>
    <n v="0.96986768000000001"/>
    <m/>
    <n v="25000000"/>
    <n v="24246692.09"/>
    <n v="25000000"/>
    <n v="24246692.09"/>
    <n v="12742293"/>
    <s v="AMOMPY"/>
    <s v="Momentum Capital Investment S.A."/>
    <s v="21/09/2026"/>
    <s v="21/09/2026"/>
    <n v="27"/>
    <s v="No"/>
    <s v=""/>
    <m/>
    <m/>
    <s v="*MIL041200028"/>
    <s v="*MIL041200028"/>
    <n v="2.9674667531952276E-4"/>
  </r>
  <r>
    <x v="368"/>
    <s v="Pesos"/>
    <d v="2026-12-10T00:00:00"/>
    <s v="29/10/2026"/>
    <n v="0.96341664000000005"/>
    <m/>
    <n v="4725060.4800000004"/>
    <n v="4552201.9000000004"/>
    <n v="4725060.4800000004"/>
    <n v="4552201.9000000004"/>
    <n v="11163478"/>
    <s v="AMOMPY"/>
    <s v="Momentum Capital Investment S.A."/>
    <s v="21/10/2026"/>
    <s v="21/10/2026"/>
    <n v="33"/>
    <s v="No"/>
    <s v=""/>
    <m/>
    <m/>
    <s v="*MAV041201398"/>
    <s v="*MAV041201398"/>
    <n v="5.5712786478009615E-5"/>
  </r>
  <r>
    <x v="182"/>
    <s v="Pesos"/>
    <d v="2026-12-10T00:00:00"/>
    <s v="29/10/2026"/>
    <n v="0.96770792000000005"/>
    <m/>
    <n v="476000"/>
    <n v="460628.97"/>
    <n v="476000"/>
    <n v="460628.97"/>
    <n v="11204218"/>
    <s v="AMOMPY"/>
    <s v="Momentum Capital Investment S.A."/>
    <s v="23/10/2026"/>
    <s v="23/10/2026"/>
    <n v="29"/>
    <s v="No"/>
    <s v=""/>
    <m/>
    <m/>
    <s v="*MAV041201417"/>
    <s v="*MAV041201417"/>
    <n v="5.6374747902098745E-6"/>
  </r>
  <r>
    <x v="2"/>
    <s v="Pesos"/>
    <d v="2026-12-11T00:00:00"/>
    <s v="29/10/2026"/>
    <n v="0.95931462999999995"/>
    <m/>
    <n v="3841101.28"/>
    <n v="3684824.67"/>
    <n v="3841101.28"/>
    <n v="3684824.67"/>
    <n v="3371"/>
    <s v="AMOMPY"/>
    <s v="Momentum Capital Investment S.A."/>
    <s v="02/09/2026"/>
    <s v="02/09/2026"/>
    <n v="36"/>
    <s v="No"/>
    <s v=""/>
    <m/>
    <m/>
    <s v="*MAV091201447"/>
    <s v="*MAV091201447"/>
    <n v="4.5097263820528742E-5"/>
  </r>
  <r>
    <x v="2"/>
    <s v="Pesos"/>
    <d v="2026-12-11T00:00:00"/>
    <s v="29/10/2026"/>
    <n v="0.95931462999999995"/>
    <m/>
    <n v="3841101.28"/>
    <n v="3684824.67"/>
    <n v="3841101.28"/>
    <n v="3684824.67"/>
    <n v="3370"/>
    <s v="AMOMPY"/>
    <s v="Momentum Capital Investment S.A."/>
    <s v="02/09/2026"/>
    <s v="02/09/2026"/>
    <n v="36"/>
    <s v="No"/>
    <s v=""/>
    <m/>
    <m/>
    <s v="*MAV081200665"/>
    <s v="*MAV081200665"/>
    <n v="4.5097263820528742E-5"/>
  </r>
  <r>
    <x v="2"/>
    <s v="Pesos"/>
    <d v="2026-12-11T00:00:00"/>
    <s v="29/10/2026"/>
    <n v="0.95931458000000003"/>
    <m/>
    <n v="2954385"/>
    <n v="2834184.59"/>
    <n v="2954385"/>
    <n v="2834184.59"/>
    <n v="3327"/>
    <s v="AMOMPY"/>
    <s v="Momentum Capital Investment S.A."/>
    <s v="28/08/2026"/>
    <s v="28/08/2026"/>
    <n v="36"/>
    <s v="No"/>
    <s v=""/>
    <m/>
    <m/>
    <s v="*MAV091201439"/>
    <s v="*MAV091201439"/>
    <n v="3.4686581212914832E-5"/>
  </r>
  <r>
    <x v="2"/>
    <s v="Pesos"/>
    <d v="2026-12-11T00:00:00"/>
    <s v="29/10/2026"/>
    <n v="0.95931471000000001"/>
    <m/>
    <n v="3105640.28"/>
    <n v="2979286.39"/>
    <n v="3105640.28"/>
    <n v="2979286.39"/>
    <n v="3392"/>
    <s v="AMOMPY"/>
    <s v="Momentum Capital Investment S.A."/>
    <s v="07/09/2026"/>
    <s v="07/09/2026"/>
    <n v="36"/>
    <s v="No"/>
    <s v=""/>
    <m/>
    <m/>
    <s v="*MAV081200673"/>
    <s v="*MAV081200673"/>
    <n v="3.6462430742122855E-5"/>
  </r>
  <r>
    <x v="2"/>
    <s v="Pesos"/>
    <d v="2026-12-11T00:00:00"/>
    <s v="29/10/2026"/>
    <n v="0.95931471000000001"/>
    <m/>
    <n v="3105640.28"/>
    <n v="2979286.39"/>
    <n v="3105640.28"/>
    <n v="2979286.39"/>
    <n v="3393"/>
    <s v="AMOMPY"/>
    <s v="Momentum Capital Investment S.A."/>
    <s v="07/09/2026"/>
    <s v="07/09/2026"/>
    <n v="36"/>
    <s v="No"/>
    <s v=""/>
    <m/>
    <m/>
    <s v="*MAV091201462"/>
    <s v="*MAV091201462"/>
    <n v="3.6462430742122855E-5"/>
  </r>
  <r>
    <x v="2"/>
    <s v="Pesos"/>
    <d v="2026-12-11T00:00:00"/>
    <s v="29/10/2026"/>
    <n v="0.95931456999999998"/>
    <m/>
    <n v="2874176.47"/>
    <n v="2757239.35"/>
    <n v="2874176.47"/>
    <n v="2757239.35"/>
    <n v="3440"/>
    <s v="AMOMPY"/>
    <s v="Momentum Capital Investment S.A."/>
    <s v="11/09/2026"/>
    <s v="11/09/2026"/>
    <n v="36"/>
    <s v="No"/>
    <s v=""/>
    <m/>
    <m/>
    <s v="*MAV081200688"/>
    <s v="*MAV081200688"/>
    <n v="3.374487567770577E-5"/>
  </r>
  <r>
    <x v="2"/>
    <s v="Pesos"/>
    <d v="2026-12-11T00:00:00"/>
    <s v="29/10/2026"/>
    <n v="0.95931456999999998"/>
    <m/>
    <n v="2874176.47"/>
    <n v="2757239.35"/>
    <n v="2874176.47"/>
    <n v="2757239.35"/>
    <n v="3441"/>
    <s v="AMOMPY"/>
    <s v="Momentum Capital Investment S.A."/>
    <s v="11/09/2026"/>
    <s v="11/09/2026"/>
    <n v="36"/>
    <s v="No"/>
    <s v=""/>
    <m/>
    <m/>
    <s v="*MAV091201504"/>
    <s v="*MAV091201504"/>
    <n v="3.374487567770577E-5"/>
  </r>
  <r>
    <x v="369"/>
    <s v="Pesos"/>
    <d v="2026-12-11T00:00:00"/>
    <s v="29/10/2026"/>
    <n v="0.96367099000000001"/>
    <m/>
    <n v="8000000"/>
    <n v="7709367.9299999997"/>
    <n v="8000000"/>
    <n v="7709367.9299999997"/>
    <n v="1786"/>
    <s v="AMOMPY"/>
    <s v="Momentum Capital Investment S.A."/>
    <s v="16/09/2026"/>
    <s v="16/09/2026"/>
    <n v="32"/>
    <s v="No"/>
    <s v=""/>
    <m/>
    <m/>
    <s v="*MAV051201458"/>
    <s v="*MAV051201458"/>
    <n v="9.4352223121848993E-5"/>
  </r>
  <r>
    <x v="369"/>
    <s v="Pesos"/>
    <d v="2026-12-11T00:00:00"/>
    <s v="29/10/2026"/>
    <n v="0.96367099000000001"/>
    <m/>
    <n v="8000000"/>
    <n v="7709367.9299999997"/>
    <n v="8000000"/>
    <n v="7709367.9299999997"/>
    <n v="1790"/>
    <s v="AMOMPY"/>
    <s v="Momentum Capital Investment S.A."/>
    <s v="16/09/2026"/>
    <s v="16/09/2026"/>
    <n v="32"/>
    <s v="No"/>
    <s v=""/>
    <m/>
    <m/>
    <s v="*MAV091201521"/>
    <s v="*MAV091201521"/>
    <n v="9.4352223121848993E-5"/>
  </r>
  <r>
    <x v="369"/>
    <s v="Pesos"/>
    <d v="2026-12-11T00:00:00"/>
    <s v="29/10/2026"/>
    <n v="0.96367099000000001"/>
    <m/>
    <n v="8000000"/>
    <n v="7709367.9299999997"/>
    <n v="8000000"/>
    <n v="7709367.9299999997"/>
    <n v="1789"/>
    <s v="AMOMPY"/>
    <s v="Momentum Capital Investment S.A."/>
    <s v="16/09/2026"/>
    <s v="16/09/2026"/>
    <n v="32"/>
    <s v="No"/>
    <s v=""/>
    <m/>
    <m/>
    <s v="*MAV081200699"/>
    <s v="*MAV081200699"/>
    <n v="9.4352223121848993E-5"/>
  </r>
  <r>
    <x v="369"/>
    <s v="Pesos"/>
    <d v="2026-12-11T00:00:00"/>
    <s v="29/10/2026"/>
    <n v="0.96367099000000001"/>
    <m/>
    <n v="8000000"/>
    <n v="7709367.9299999997"/>
    <n v="8000000"/>
    <n v="7709367.9299999997"/>
    <n v="1788"/>
    <s v="AMOMPY"/>
    <s v="Momentum Capital Investment S.A."/>
    <s v="16/09/2026"/>
    <s v="16/09/2026"/>
    <n v="32"/>
    <s v="No"/>
    <s v=""/>
    <m/>
    <m/>
    <s v="*MAV071200941"/>
    <s v="*MAV071200941"/>
    <n v="9.4352223121848993E-5"/>
  </r>
  <r>
    <x v="369"/>
    <s v="Pesos"/>
    <d v="2026-12-11T00:00:00"/>
    <s v="29/10/2026"/>
    <n v="0.96367099000000001"/>
    <m/>
    <n v="8000000"/>
    <n v="7709367.9299999997"/>
    <n v="8000000"/>
    <n v="7709367.9299999997"/>
    <n v="1787"/>
    <s v="AMOMPY"/>
    <s v="Momentum Capital Investment S.A."/>
    <s v="16/09/2026"/>
    <s v="16/09/2026"/>
    <n v="32"/>
    <s v="No"/>
    <s v=""/>
    <m/>
    <m/>
    <s v="*MAV061201180"/>
    <s v="*MAV061201180"/>
    <n v="9.4352223121848993E-5"/>
  </r>
  <r>
    <x v="370"/>
    <s v="Pesos"/>
    <d v="2026-12-11T00:00:00"/>
    <s v="29/10/2026"/>
    <n v="0.96040011000000003"/>
    <m/>
    <n v="5000000"/>
    <n v="4802000.5599999996"/>
    <n v="5000000"/>
    <n v="4802000.5599999996"/>
    <n v="541"/>
    <s v="AMOMPY"/>
    <s v="Momentum Capital Investment S.A."/>
    <s v="18/09/2026"/>
    <s v="18/09/2026"/>
    <n v="35"/>
    <s v="No"/>
    <s v=""/>
    <m/>
    <m/>
    <s v="*MAV061201182"/>
    <s v="*MAV061201182"/>
    <n v="5.8769983788847884E-5"/>
  </r>
  <r>
    <x v="54"/>
    <s v="Pesos"/>
    <d v="2026-12-11T00:00:00"/>
    <s v="29/10/2026"/>
    <n v="0.96806714000000005"/>
    <m/>
    <n v="8000000"/>
    <n v="7744537.1500000004"/>
    <n v="8000000"/>
    <n v="7744537.1500000004"/>
    <n v="6497"/>
    <s v="AMOMPY"/>
    <s v="Momentum Capital Investment S.A."/>
    <s v="17/09/2026"/>
    <s v="17/09/2026"/>
    <n v="28"/>
    <s v="No"/>
    <s v=""/>
    <m/>
    <m/>
    <s v="*INP091200083"/>
    <s v="*INP091200083"/>
    <n v="9.4782646747052914E-5"/>
  </r>
  <r>
    <x v="54"/>
    <s v="Pesos"/>
    <d v="2026-12-11T00:00:00"/>
    <s v="29/10/2026"/>
    <n v="0.96806714000000005"/>
    <m/>
    <n v="8000000"/>
    <n v="7744537.1500000004"/>
    <n v="8000000"/>
    <n v="7744537.1500000004"/>
    <n v="6496"/>
    <s v="AMOMPY"/>
    <s v="Momentum Capital Investment S.A."/>
    <s v="17/09/2026"/>
    <s v="17/09/2026"/>
    <n v="28"/>
    <s v="No"/>
    <s v=""/>
    <m/>
    <m/>
    <s v="*INP061200052"/>
    <s v="*INP061200052"/>
    <n v="9.4782646747052914E-5"/>
  </r>
  <r>
    <x v="54"/>
    <s v="Pesos"/>
    <d v="2026-12-11T00:00:00"/>
    <s v="29/10/2026"/>
    <n v="0.96806709999999996"/>
    <m/>
    <n v="32500000"/>
    <n v="31462180.73"/>
    <n v="32500000"/>
    <n v="31462180.73"/>
    <n v="1367871"/>
    <s v="AMOMPY"/>
    <s v="Momentum Capital Investment S.A."/>
    <s v="23/09/2026"/>
    <s v="23/09/2026"/>
    <n v="28"/>
    <s v="No"/>
    <s v=""/>
    <m/>
    <m/>
    <s v="*INP051200072"/>
    <s v="*INP051200072"/>
    <n v="3.8505448476330509E-4"/>
  </r>
  <r>
    <x v="3"/>
    <s v="Pesos"/>
    <d v="2026-12-11T00:00:00"/>
    <s v="29/10/2026"/>
    <n v="0.96806716000000004"/>
    <m/>
    <n v="8400000"/>
    <n v="8131764.1500000004"/>
    <n v="8400000"/>
    <n v="8131764.1500000004"/>
    <n v="2454"/>
    <s v="AMOMPY"/>
    <s v="Momentum Capital Investment S.A."/>
    <s v="21/09/2026"/>
    <s v="21/09/2026"/>
    <n v="28"/>
    <s v="No"/>
    <s v=""/>
    <m/>
    <m/>
    <s v="*MOV071200050"/>
    <s v="*MOV071200050"/>
    <n v="9.9521780828412586E-5"/>
  </r>
  <r>
    <x v="3"/>
    <s v="Pesos"/>
    <d v="2026-12-11T00:00:00"/>
    <s v="29/10/2026"/>
    <n v="0.96806716000000004"/>
    <m/>
    <n v="8400000"/>
    <n v="8131764.1500000004"/>
    <n v="8400000"/>
    <n v="8131764.1500000004"/>
    <n v="2455"/>
    <s v="AMOMPY"/>
    <s v="Momentum Capital Investment S.A."/>
    <s v="21/09/2026"/>
    <s v="21/09/2026"/>
    <n v="28"/>
    <s v="No"/>
    <s v=""/>
    <m/>
    <m/>
    <s v="*MOV091200075"/>
    <s v="*MOV091200075"/>
    <n v="9.9521780828412586E-5"/>
  </r>
  <r>
    <x v="166"/>
    <s v="Pesos"/>
    <d v="2026-12-11T00:00:00"/>
    <s v="29/10/2026"/>
    <n v="0.96476624"/>
    <m/>
    <n v="9990457.7799999993"/>
    <n v="9638456.4100000001"/>
    <n v="9990457.7799999993"/>
    <n v="9638456.4100000001"/>
    <n v="3020"/>
    <s v="AMOMPY"/>
    <s v="Momentum Capital Investment S.A."/>
    <s v="08/09/2026"/>
    <s v="08/09/2026"/>
    <n v="31"/>
    <s v="No"/>
    <s v=""/>
    <m/>
    <m/>
    <s v="*MAV071200907"/>
    <s v="*MAV071200907"/>
    <n v="1.1796165366653291E-4"/>
  </r>
  <r>
    <x v="167"/>
    <s v="Pesos"/>
    <d v="2026-12-11T00:00:00"/>
    <s v="29/10/2026"/>
    <n v="0.96476624"/>
    <m/>
    <n v="18916974.350000001"/>
    <n v="18250458.260000002"/>
    <n v="18916974.350000001"/>
    <n v="18250458.260000002"/>
    <n v="69586446"/>
    <s v="AMOMPY"/>
    <s v="Momentum Capital Investment S.A."/>
    <s v="08/09/2026"/>
    <s v="08/09/2026"/>
    <n v="31"/>
    <s v="No"/>
    <s v=""/>
    <m/>
    <m/>
    <s v="*MAV081200676"/>
    <s v="*MAV081200676"/>
    <n v="2.2336089358541123E-4"/>
  </r>
  <r>
    <x v="167"/>
    <s v="Pesos"/>
    <d v="2026-12-11T00:00:00"/>
    <s v="29/10/2026"/>
    <n v="0.96476624"/>
    <m/>
    <n v="20398741.449999999"/>
    <n v="19680017.140000001"/>
    <n v="20398741.449999999"/>
    <n v="19680017.140000001"/>
    <n v="69586151"/>
    <s v="AMOMPY"/>
    <s v="Momentum Capital Investment S.A."/>
    <s v="08/09/2026"/>
    <s v="08/09/2026"/>
    <n v="31"/>
    <s v="No"/>
    <s v=""/>
    <m/>
    <m/>
    <s v="*MAV081200677"/>
    <s v="*MAV081200677"/>
    <n v="2.4085675830950938E-4"/>
  </r>
  <r>
    <x v="371"/>
    <s v="Pesos"/>
    <d v="2026-12-11T00:00:00"/>
    <s v="29/10/2026"/>
    <n v="0.97698079999999998"/>
    <m/>
    <n v="211135.5"/>
    <n v="206275.33"/>
    <n v="211135.5"/>
    <n v="206275.33"/>
    <n v="69520839"/>
    <s v="AMOMPY"/>
    <s v="Momentum Capital Investment S.A."/>
    <s v="11/09/2026"/>
    <s v="11/09/2026"/>
    <n v="20"/>
    <s v="No"/>
    <s v=""/>
    <m/>
    <m/>
    <s v="*MAV051201431"/>
    <s v="*MAV051201431"/>
    <n v="2.5245306927117991E-6"/>
  </r>
  <r>
    <x v="372"/>
    <s v="Pesos"/>
    <d v="2026-12-11T00:00:00"/>
    <s v="29/10/2026"/>
    <n v="0.97698065000000001"/>
    <m/>
    <n v="126868.5"/>
    <n v="123948.07"/>
    <n v="126868.5"/>
    <n v="123948.07"/>
    <n v="8379007"/>
    <s v="AMOMPY"/>
    <s v="Momentum Capital Investment S.A."/>
    <s v="11/09/2026"/>
    <s v="11/09/2026"/>
    <n v="20"/>
    <s v="No"/>
    <s v=""/>
    <m/>
    <m/>
    <s v="*MAV071200914"/>
    <s v="*MAV071200914"/>
    <n v="1.5169565212543381E-6"/>
  </r>
  <r>
    <x v="373"/>
    <s v="Pesos"/>
    <d v="2026-12-11T00:00:00"/>
    <s v="29/10/2026"/>
    <n v="0.96257828000000001"/>
    <m/>
    <n v="12100501.08"/>
    <n v="11647679.529999999"/>
    <n v="12100501.08"/>
    <n v="11647679.529999999"/>
    <n v="70136079"/>
    <s v="AMOMPY"/>
    <s v="Momentum Capital Investment S.A."/>
    <s v="23/10/2026"/>
    <s v="23/10/2026"/>
    <n v="33"/>
    <s v="No"/>
    <s v=""/>
    <m/>
    <m/>
    <s v="*MAV081200836"/>
    <s v="*MAV081200836"/>
    <n v="1.4255182368320995E-4"/>
  </r>
  <r>
    <x v="67"/>
    <s v="Pesos"/>
    <d v="2026-12-11T00:00:00"/>
    <s v="29/10/2026"/>
    <n v="0.96257824000000003"/>
    <m/>
    <n v="523149.89"/>
    <n v="503572.7"/>
    <n v="523149.89"/>
    <n v="503572.7"/>
    <n v="373"/>
    <s v="AMOMPY"/>
    <s v="Momentum Capital Investment S.A."/>
    <s v="16/10/2026"/>
    <s v="16/10/2026"/>
    <n v="33"/>
    <s v="No"/>
    <s v=""/>
    <m/>
    <m/>
    <s v="*MAV071201094"/>
    <s v="*MAV071201094"/>
    <n v="6.1630478892543823E-6"/>
  </r>
  <r>
    <x v="374"/>
    <s v="Pesos"/>
    <d v="2026-12-11T00:00:00"/>
    <s v="29/10/2026"/>
    <n v="0.96367088999999995"/>
    <m/>
    <n v="353613.17"/>
    <n v="340766.71999999997"/>
    <n v="353613.17"/>
    <n v="340766.71999999997"/>
    <n v="2862"/>
    <s v="AMOMPY"/>
    <s v="Momentum Capital Investment S.A."/>
    <s v="15/09/2026"/>
    <s v="15/09/2026"/>
    <n v="32"/>
    <s v="No"/>
    <s v=""/>
    <m/>
    <m/>
    <s v="*MAV061201179"/>
    <s v="*MAV061201179"/>
    <n v="4.1705231725709891E-6"/>
  </r>
  <r>
    <x v="6"/>
    <s v="Pesos"/>
    <d v="2026-12-11T00:00:00"/>
    <s v="29/10/2026"/>
    <n v="0.96807821000000005"/>
    <m/>
    <n v="85103"/>
    <n v="82386.36"/>
    <n v="85103"/>
    <n v="82386.36"/>
    <n v="72594381"/>
    <s v="AMOMPY"/>
    <s v="Momentum Capital Investment S.A."/>
    <s v="16/10/2026"/>
    <s v="16/10/2026"/>
    <n v="27.99"/>
    <s v="No"/>
    <s v=""/>
    <m/>
    <m/>
    <s v="*CRE071200138"/>
    <s v="*CRE071200138"/>
    <n v="1.0082974754218243E-6"/>
  </r>
  <r>
    <x v="6"/>
    <s v="Pesos"/>
    <d v="2026-12-11T00:00:00"/>
    <s v="29/10/2026"/>
    <n v="0.97028026999999994"/>
    <m/>
    <n v="476066.3"/>
    <n v="461917.74"/>
    <n v="476066.3"/>
    <n v="461917.74"/>
    <n v="34"/>
    <s v="AMOMPY"/>
    <s v="Momentum Capital Investment S.A."/>
    <s v="08/10/2026"/>
    <s v="08/10/2026"/>
    <n v="26"/>
    <s v="No"/>
    <s v=""/>
    <m/>
    <m/>
    <s v="*CRE071200133"/>
    <s v="*CRE071200133"/>
    <n v="5.6532475897048323E-6"/>
  </r>
  <r>
    <x v="6"/>
    <s v="Pesos"/>
    <d v="2026-12-11T00:00:00"/>
    <s v="29/10/2026"/>
    <n v="0.96806714000000005"/>
    <m/>
    <n v="254258.48"/>
    <n v="246139.28"/>
    <n v="254258.48"/>
    <n v="246139.28"/>
    <n v="380"/>
    <s v="AMOMPY"/>
    <s v="Momentum Capital Investment S.A."/>
    <s v="08/10/2026"/>
    <s v="08/10/2026"/>
    <n v="28"/>
    <s v="No"/>
    <s v=""/>
    <m/>
    <m/>
    <s v="*CRE061200147"/>
    <s v="*CRE061200147"/>
    <n v="3.012411455320341E-6"/>
  </r>
  <r>
    <x v="54"/>
    <s v="Pesos"/>
    <d v="2026-12-11T00:00:00"/>
    <s v="29/10/2026"/>
    <n v="0.96476625000000005"/>
    <m/>
    <n v="10000000"/>
    <n v="9647662.5"/>
    <n v="10000000"/>
    <n v="9647662.5"/>
    <n v="179"/>
    <s v="AMOMPY"/>
    <s v="Momentum Capital Investment S.A."/>
    <s v="01/09/2026"/>
    <s v="01/09/2026"/>
    <n v="31"/>
    <s v="No"/>
    <s v=""/>
    <m/>
    <m/>
    <s v="*INP091200078"/>
    <s v="*INP091200078"/>
    <n v="1.1807432374086931E-4"/>
  </r>
  <r>
    <x v="54"/>
    <s v="Pesos"/>
    <d v="2026-12-11T00:00:00"/>
    <s v="29/10/2026"/>
    <n v="0.96586408999999995"/>
    <m/>
    <n v="30000000"/>
    <n v="28975922.59"/>
    <n v="30000000"/>
    <n v="28975922.59"/>
    <n v="705"/>
    <s v="AMOMPY"/>
    <s v="Momentum Capital Investment S.A."/>
    <s v="17/09/2026"/>
    <s v="17/09/2026"/>
    <n v="30"/>
    <s v="No"/>
    <s v=""/>
    <m/>
    <m/>
    <s v="*INP091200082"/>
    <s v="*INP091200082"/>
    <n v="3.5462605212216208E-4"/>
  </r>
  <r>
    <x v="353"/>
    <s v="Pesos"/>
    <d v="2026-12-11T00:00:00"/>
    <s v="29/10/2026"/>
    <n v="0.96586406999999996"/>
    <m/>
    <n v="6250000"/>
    <n v="6036650.4500000002"/>
    <n v="6250000"/>
    <n v="6036650.4500000002"/>
    <n v="389"/>
    <s v="AMOMPY"/>
    <s v="Momentum Capital Investment S.A."/>
    <s v="08/10/2026"/>
    <s v="08/10/2026"/>
    <n v="30"/>
    <s v="No"/>
    <s v=""/>
    <m/>
    <m/>
    <s v="*MAV091201709"/>
    <s v="*MAV091201709"/>
    <n v="7.3880426429071745E-5"/>
  </r>
  <r>
    <x v="34"/>
    <s v="Pesos"/>
    <d v="2026-12-11T00:00:00"/>
    <s v="29/10/2026"/>
    <n v="0.96367100000000006"/>
    <m/>
    <n v="50000000"/>
    <n v="48183550.140000001"/>
    <n v="50000000"/>
    <n v="48183550.140000001"/>
    <n v="3503"/>
    <s v="AMOMPY"/>
    <s v="Momentum Capital Investment S.A."/>
    <s v="22/10/2026"/>
    <s v="22/10/2026"/>
    <n v="32"/>
    <s v="No"/>
    <s v=""/>
    <m/>
    <m/>
    <s v="*MAV091201890"/>
    <s v="*MAV091201890"/>
    <n v="5.8970140157937412E-4"/>
  </r>
  <r>
    <x v="375"/>
    <s v="Pesos"/>
    <d v="2026-12-11T00:00:00"/>
    <s v="29/10/2026"/>
    <n v="0.95931462999999995"/>
    <m/>
    <n v="3250000"/>
    <n v="3117772.56"/>
    <n v="3250000"/>
    <n v="3117772.56"/>
    <n v="74"/>
    <s v="AMOMPY"/>
    <s v="Momentum Capital Investment S.A."/>
    <s v="02/09/2026"/>
    <s v="02/09/2026"/>
    <n v="36"/>
    <s v="No"/>
    <s v=""/>
    <m/>
    <m/>
    <s v="*MAV091201446"/>
    <s v="*MAV091201446"/>
    <n v="3.8157313919287585E-5"/>
  </r>
  <r>
    <x v="375"/>
    <s v="Pesos"/>
    <d v="2026-12-11T00:00:00"/>
    <s v="29/10/2026"/>
    <n v="0.95931462999999995"/>
    <m/>
    <n v="5500000"/>
    <n v="5276230.49"/>
    <n v="5500000"/>
    <n v="5276230.49"/>
    <n v="57"/>
    <s v="AMOMPY"/>
    <s v="Momentum Capital Investment S.A."/>
    <s v="02/09/2026"/>
    <s v="02/09/2026"/>
    <n v="36"/>
    <s v="No"/>
    <s v=""/>
    <m/>
    <m/>
    <s v="*MAV071200881"/>
    <s v="*MAV071200881"/>
    <n v="6.4573915910481485E-5"/>
  </r>
  <r>
    <x v="375"/>
    <s v="Pesos"/>
    <d v="2026-12-11T00:00:00"/>
    <s v="29/10/2026"/>
    <n v="0.95931462999999995"/>
    <m/>
    <n v="3250000"/>
    <n v="3117772.56"/>
    <n v="3250000"/>
    <n v="3117772.56"/>
    <n v="73"/>
    <s v="AMOMPY"/>
    <s v="Momentum Capital Investment S.A."/>
    <s v="02/09/2026"/>
    <s v="02/09/2026"/>
    <n v="36"/>
    <s v="No"/>
    <s v=""/>
    <m/>
    <m/>
    <s v="*MAV081200666"/>
    <s v="*MAV081200666"/>
    <n v="3.8157313919287585E-5"/>
  </r>
  <r>
    <x v="375"/>
    <s v="Pesos"/>
    <d v="2026-12-11T00:00:00"/>
    <s v="29/10/2026"/>
    <n v="0.95931462999999995"/>
    <m/>
    <n v="5500000"/>
    <n v="5276230.49"/>
    <n v="5500000"/>
    <n v="5276230.49"/>
    <n v="58"/>
    <s v="AMOMPY"/>
    <s v="Momentum Capital Investment S.A."/>
    <s v="02/09/2026"/>
    <s v="02/09/2026"/>
    <n v="36"/>
    <s v="No"/>
    <s v=""/>
    <m/>
    <m/>
    <s v="*MAV081200667"/>
    <s v="*MAV081200667"/>
    <n v="6.4573915910481485E-5"/>
  </r>
  <r>
    <x v="10"/>
    <s v="Pesos"/>
    <d v="2026-12-11T00:00:00"/>
    <s v="29/10/2026"/>
    <n v="0.96586399000000001"/>
    <m/>
    <n v="50000000"/>
    <n v="48293199.32"/>
    <n v="50000000"/>
    <n v="48293199.32"/>
    <n v="68017"/>
    <s v="AMOMPY"/>
    <s v="Momentum Capital Investment S.A."/>
    <s v="29/07/2026"/>
    <s v="29/07/2026"/>
    <n v="30"/>
    <s v="No"/>
    <s v=""/>
    <m/>
    <m/>
    <s v="*MAV091201395"/>
    <s v="*MAV091201395"/>
    <n v="5.9104335905117017E-4"/>
  </r>
  <r>
    <x v="376"/>
    <s v="Pesos"/>
    <d v="2026-12-11T00:00:00"/>
    <s v="29/10/2026"/>
    <n v="0.96257828000000001"/>
    <m/>
    <n v="2000000"/>
    <n v="1925156.56"/>
    <n v="2000000"/>
    <n v="1925156.56"/>
    <n v="13757789"/>
    <s v="AMOMPY"/>
    <s v="Momentum Capital Investment S.A."/>
    <s v="16/10/2026"/>
    <s v="16/10/2026"/>
    <n v="33"/>
    <s v="No"/>
    <s v=""/>
    <m/>
    <m/>
    <s v="*MAV051201542"/>
    <s v="*MAV051201542"/>
    <n v="2.3561309168650781E-5"/>
  </r>
  <r>
    <x v="56"/>
    <s v="Pesos"/>
    <d v="2026-12-11T00:00:00"/>
    <s v="29/10/2026"/>
    <n v="0.96696451000000005"/>
    <m/>
    <n v="450000"/>
    <n v="435134.03"/>
    <n v="450000"/>
    <n v="435134.03"/>
    <n v="11456510"/>
    <s v="AMOMPY"/>
    <s v="Momentum Capital Investment S.A."/>
    <s v="28/10/2026"/>
    <s v="28/10/2026"/>
    <n v="29"/>
    <s v="No"/>
    <s v=""/>
    <m/>
    <m/>
    <s v="*MAV071201155"/>
    <s v="*MAV071201155"/>
    <n v="5.3254512509003232E-6"/>
  </r>
  <r>
    <x v="377"/>
    <s v="Pesos"/>
    <d v="2026-12-11T00:00:00"/>
    <s v="29/10/2026"/>
    <n v="0.96257819"/>
    <m/>
    <n v="6362720"/>
    <n v="6124615.5300000003"/>
    <n v="6362720"/>
    <n v="6124615.5300000003"/>
    <n v="80218017"/>
    <s v="AMOMPY"/>
    <s v="Momentum Capital Investment S.A."/>
    <s v="29/10/2026"/>
    <s v="29/10/2026"/>
    <n v="33"/>
    <s v="No"/>
    <s v=""/>
    <m/>
    <m/>
    <s v="*MAV051201606"/>
    <s v="*MAV051201606"/>
    <n v="7.4956999882362784E-5"/>
  </r>
  <r>
    <x v="107"/>
    <s v="Pesos"/>
    <d v="2026-12-11T00:00:00"/>
    <s v="29/10/2026"/>
    <n v="0.96257811999999998"/>
    <m/>
    <n v="181355.13"/>
    <n v="174568.48"/>
    <n v="181355.13"/>
    <n v="174568.48"/>
    <n v="126690"/>
    <s v="AMOMPY"/>
    <s v="Momentum Capital Investment S.A."/>
    <s v="14/10/2026"/>
    <s v="14/10/2026"/>
    <n v="33"/>
    <s v="No"/>
    <s v=""/>
    <m/>
    <m/>
    <s v="*MAV071201076"/>
    <s v="*MAV071201076"/>
    <n v="2.1364817874248267E-6"/>
  </r>
  <r>
    <x v="107"/>
    <s v="Pesos"/>
    <d v="2026-12-11T00:00:00"/>
    <s v="29/10/2026"/>
    <n v="0.96257751999999996"/>
    <m/>
    <n v="28964.94"/>
    <n v="27881"/>
    <n v="28964.94"/>
    <n v="27881"/>
    <n v="121297"/>
    <s v="AMOMPY"/>
    <s v="Momentum Capital Investment S.A."/>
    <s v="14/09/2026"/>
    <s v="14/09/2026"/>
    <n v="33"/>
    <s v="No"/>
    <s v=""/>
    <m/>
    <m/>
    <s v="*MAV071200929"/>
    <s v="*MAV071200929"/>
    <n v="3.4122568240951396E-7"/>
  </r>
  <r>
    <x v="107"/>
    <s v="Pesos"/>
    <d v="2026-12-11T00:00:00"/>
    <s v="29/10/2026"/>
    <n v="0.96258105999999999"/>
    <m/>
    <n v="3890.81"/>
    <n v="3745.22"/>
    <n v="3890.81"/>
    <n v="3745.22"/>
    <n v="121965"/>
    <s v="AMOMPY"/>
    <s v="Momentum Capital Investment S.A."/>
    <s v="14/09/2026"/>
    <s v="14/09/2026"/>
    <n v="33"/>
    <s v="No"/>
    <s v=""/>
    <m/>
    <m/>
    <s v="*MAV091201510"/>
    <s v="*MAV091201510"/>
    <n v="4.5836420869902793E-8"/>
  </r>
  <r>
    <x v="40"/>
    <s v="Pesos"/>
    <d v="2026-12-11T00:00:00"/>
    <s v="29/10/2026"/>
    <n v="0.96367102999999998"/>
    <m/>
    <n v="3000000"/>
    <n v="2891013.08"/>
    <n v="3000000"/>
    <n v="2891013.08"/>
    <n v="40789555"/>
    <s v="AMOMPY"/>
    <s v="Momentum Capital Investment S.A."/>
    <s v="24/09/2026"/>
    <s v="24/09/2026"/>
    <n v="32"/>
    <s v="No"/>
    <s v=""/>
    <m/>
    <m/>
    <s v="*MAV091201557"/>
    <s v="*MAV091201557"/>
    <n v="3.5382084971049485E-5"/>
  </r>
  <r>
    <x v="40"/>
    <s v="Pesos"/>
    <d v="2026-12-11T00:00:00"/>
    <s v="29/10/2026"/>
    <n v="0.96367102999999998"/>
    <m/>
    <n v="3000000"/>
    <n v="2891013.08"/>
    <n v="3000000"/>
    <n v="2891013.08"/>
    <n v="40789556"/>
    <s v="AMOMPY"/>
    <s v="Momentum Capital Investment S.A."/>
    <s v="24/09/2026"/>
    <s v="24/09/2026"/>
    <n v="32"/>
    <s v="No"/>
    <s v=""/>
    <m/>
    <m/>
    <s v="*MAV091201556"/>
    <s v="*MAV091201556"/>
    <n v="3.5382084971049485E-5"/>
  </r>
  <r>
    <x v="223"/>
    <s v="Pesos"/>
    <d v="2026-12-11T00:00:00"/>
    <s v="29/10/2026"/>
    <n v="0.96257828999999995"/>
    <m/>
    <n v="649795.28"/>
    <n v="625478.82999999996"/>
    <n v="649795.28"/>
    <n v="625478.82999999996"/>
    <n v="19650"/>
    <s v="AMOMPY"/>
    <s v="Momentum Capital Investment S.A."/>
    <s v="16/10/2026"/>
    <s v="16/10/2026"/>
    <n v="33"/>
    <s v="No"/>
    <s v=""/>
    <m/>
    <m/>
    <s v="*MAV091201832"/>
    <s v="*MAV091201832"/>
    <n v="7.6550138301873806E-6"/>
  </r>
  <r>
    <x v="223"/>
    <s v="Pesos"/>
    <d v="2026-12-11T00:00:00"/>
    <s v="29/10/2026"/>
    <n v="0.96257828999999995"/>
    <m/>
    <n v="649795.28"/>
    <n v="625478.82999999996"/>
    <n v="649795.28"/>
    <n v="625478.82999999996"/>
    <n v="19649"/>
    <s v="AMOMPY"/>
    <s v="Momentum Capital Investment S.A."/>
    <s v="16/10/2026"/>
    <s v="16/10/2026"/>
    <n v="33"/>
    <s v="No"/>
    <s v=""/>
    <m/>
    <m/>
    <s v="*MAV081200791"/>
    <s v="*MAV081200791"/>
    <n v="7.6550138301873806E-6"/>
  </r>
  <r>
    <x v="223"/>
    <s v="Pesos"/>
    <d v="2026-12-11T00:00:00"/>
    <s v="29/10/2026"/>
    <n v="0.96257828999999995"/>
    <m/>
    <n v="649795.28"/>
    <n v="625478.82999999996"/>
    <n v="649795.28"/>
    <n v="625478.82999999996"/>
    <n v="19647"/>
    <s v="AMOMPY"/>
    <s v="Momentum Capital Investment S.A."/>
    <s v="16/10/2026"/>
    <s v="16/10/2026"/>
    <n v="33"/>
    <s v="No"/>
    <s v=""/>
    <m/>
    <m/>
    <s v="*MAV061201220"/>
    <s v="*MAV061201220"/>
    <n v="7.6550138301873806E-6"/>
  </r>
  <r>
    <x v="223"/>
    <s v="Pesos"/>
    <d v="2026-12-11T00:00:00"/>
    <s v="29/10/2026"/>
    <n v="0.96257828999999995"/>
    <m/>
    <n v="649795.28"/>
    <n v="625478.82999999996"/>
    <n v="649795.28"/>
    <n v="625478.82999999996"/>
    <n v="19648"/>
    <s v="AMOMPY"/>
    <s v="Momentum Capital Investment S.A."/>
    <s v="16/10/2026"/>
    <s v="16/10/2026"/>
    <n v="33"/>
    <s v="No"/>
    <s v=""/>
    <m/>
    <m/>
    <s v="*MAV071201093"/>
    <s v="*MAV071201093"/>
    <n v="7.6550138301873806E-6"/>
  </r>
  <r>
    <x v="223"/>
    <s v="Pesos"/>
    <d v="2026-12-11T00:00:00"/>
    <s v="29/10/2026"/>
    <n v="0.9625783"/>
    <m/>
    <n v="604613.32999999996"/>
    <n v="581987.67000000004"/>
    <n v="604613.32999999996"/>
    <n v="581987.67000000004"/>
    <n v="19721"/>
    <s v="AMOMPY"/>
    <s v="Momentum Capital Investment S.A."/>
    <s v="16/10/2026"/>
    <s v="16/10/2026"/>
    <n v="33"/>
    <s v="No"/>
    <s v=""/>
    <m/>
    <m/>
    <s v="*MAV071201095"/>
    <s v="*MAV071201095"/>
    <n v="7.1227409292949684E-6"/>
  </r>
  <r>
    <x v="223"/>
    <s v="Pesos"/>
    <d v="2026-12-11T00:00:00"/>
    <s v="29/10/2026"/>
    <n v="0.96257828999999995"/>
    <m/>
    <n v="649795.28"/>
    <n v="625478.82999999996"/>
    <n v="649795.28"/>
    <n v="625478.82999999996"/>
    <n v="19646"/>
    <s v="AMOMPY"/>
    <s v="Momentum Capital Investment S.A."/>
    <s v="16/10/2026"/>
    <s v="16/10/2026"/>
    <n v="33"/>
    <s v="No"/>
    <s v=""/>
    <m/>
    <m/>
    <s v="*MAV051201544"/>
    <s v="*MAV051201544"/>
    <n v="7.6550138301873806E-6"/>
  </r>
  <r>
    <x v="223"/>
    <s v="Pesos"/>
    <d v="2026-12-11T00:00:00"/>
    <s v="29/10/2026"/>
    <n v="0.9625783"/>
    <m/>
    <n v="604613.32999999996"/>
    <n v="581987.67000000004"/>
    <n v="604613.32999999996"/>
    <n v="581987.67000000004"/>
    <n v="19720"/>
    <s v="AMOMPY"/>
    <s v="Momentum Capital Investment S.A."/>
    <s v="16/10/2026"/>
    <s v="16/10/2026"/>
    <n v="33"/>
    <s v="No"/>
    <s v=""/>
    <m/>
    <m/>
    <s v="*MAV061201219"/>
    <s v="*MAV061201219"/>
    <n v="7.1227409292949684E-6"/>
  </r>
  <r>
    <x v="223"/>
    <s v="Pesos"/>
    <d v="2026-12-11T00:00:00"/>
    <s v="29/10/2026"/>
    <n v="0.9625783"/>
    <m/>
    <n v="604613.32999999996"/>
    <n v="581987.67000000004"/>
    <n v="604613.32999999996"/>
    <n v="581987.67000000004"/>
    <n v="19719"/>
    <s v="AMOMPY"/>
    <s v="Momentum Capital Investment S.A."/>
    <s v="16/10/2026"/>
    <s v="16/10/2026"/>
    <n v="33"/>
    <s v="No"/>
    <s v=""/>
    <m/>
    <m/>
    <s v="*MAV051201543"/>
    <s v="*MAV051201543"/>
    <n v="7.1227409292949684E-6"/>
  </r>
  <r>
    <x v="146"/>
    <s v="Pesos"/>
    <d v="2026-12-11T00:00:00"/>
    <s v="29/10/2026"/>
    <n v="0.96586399000000001"/>
    <m/>
    <n v="150000000"/>
    <n v="144879597.78"/>
    <n v="150000000"/>
    <n v="144879597.78"/>
    <n v="90004274"/>
    <s v="AMOMPY"/>
    <s v="Momentum Capital Investment S.A."/>
    <s v="29/09/2026"/>
    <s v="29/09/2026"/>
    <n v="30"/>
    <s v="No"/>
    <s v=""/>
    <m/>
    <m/>
    <s v="*MAV091201630"/>
    <s v="*MAV091201630"/>
    <n v="1.7731300749505542E-3"/>
  </r>
  <r>
    <x v="146"/>
    <s v="Pesos"/>
    <d v="2026-12-11T00:00:00"/>
    <s v="29/10/2026"/>
    <n v="0.96586413000000004"/>
    <m/>
    <n v="100000000"/>
    <n v="96586412.700000003"/>
    <n v="100000000"/>
    <n v="96586412.700000003"/>
    <n v="90004286"/>
    <s v="AMOMPY"/>
    <s v="Momentum Capital Investment S.A."/>
    <s v="02/10/2026"/>
    <s v="02/10/2026"/>
    <n v="30"/>
    <s v="No"/>
    <s v=""/>
    <m/>
    <m/>
    <s v="*MAV091201649"/>
    <s v="*MAV091201649"/>
    <n v="1.1820868901776997E-3"/>
  </r>
  <r>
    <x v="378"/>
    <s v="Pesos"/>
    <d v="2026-12-11T00:00:00"/>
    <s v="29/10/2026"/>
    <n v="0.96257828999999995"/>
    <m/>
    <n v="3171089.32"/>
    <n v="3052421.72"/>
    <n v="3171089.32"/>
    <n v="3052421.72"/>
    <n v="16802868"/>
    <s v="AMOMPY"/>
    <s v="Momentum Capital Investment S.A."/>
    <s v="16/10/2026"/>
    <s v="16/10/2026"/>
    <n v="33"/>
    <s v="No"/>
    <s v=""/>
    <m/>
    <m/>
    <s v="*MAV081200790"/>
    <s v="*MAV081200790"/>
    <n v="3.7357508138467855E-5"/>
  </r>
  <r>
    <x v="268"/>
    <s v="Pesos"/>
    <d v="2026-12-11T00:00:00"/>
    <s v="29/10/2026"/>
    <n v="0.96367100999999999"/>
    <m/>
    <n v="25000000"/>
    <n v="24091775.32"/>
    <n v="25000000"/>
    <n v="24091775.32"/>
    <n v="467"/>
    <s v="AMOMPY"/>
    <s v="Momentum Capital Investment S.A."/>
    <s v="15/10/2026"/>
    <s v="15/10/2026"/>
    <n v="32"/>
    <s v="No"/>
    <s v=""/>
    <m/>
    <m/>
    <s v="*MAV091201825"/>
    <s v="*MAV091201825"/>
    <n v="2.9485070384934853E-4"/>
  </r>
  <r>
    <x v="354"/>
    <s v="Pesos"/>
    <d v="2026-12-11T00:00:00"/>
    <s v="29/10/2026"/>
    <n v="0.96257824999999997"/>
    <m/>
    <n v="12000000"/>
    <n v="11550939.039999999"/>
    <n v="12000000"/>
    <n v="11550939.039999999"/>
    <n v="4340"/>
    <s v="AMOMPY"/>
    <s v="Momentum Capital Investment S.A."/>
    <s v="05/10/2026"/>
    <s v="05/10/2026"/>
    <n v="33"/>
    <s v="No"/>
    <s v=""/>
    <m/>
    <m/>
    <s v="*MAV081200748"/>
    <s v="*MAV081200748"/>
    <n v="1.4136785109553803E-4"/>
  </r>
  <r>
    <x v="354"/>
    <s v="Pesos"/>
    <d v="2026-12-11T00:00:00"/>
    <s v="29/10/2026"/>
    <n v="0.96257819"/>
    <m/>
    <n v="25000000"/>
    <n v="24064454.649999999"/>
    <n v="25000000"/>
    <n v="24064454.649999999"/>
    <n v="4294"/>
    <s v="AMOMPY"/>
    <s v="Momentum Capital Investment S.A."/>
    <s v="23/09/2026"/>
    <s v="23/09/2026"/>
    <n v="33"/>
    <s v="No"/>
    <s v=""/>
    <m/>
    <m/>
    <s v="*MAV081200711"/>
    <s v="*MAV081200711"/>
    <n v="2.9451633584731717E-4"/>
  </r>
  <r>
    <x v="17"/>
    <s v="Pesos"/>
    <d v="2026-12-11T00:00:00"/>
    <s v="29/10/2026"/>
    <n v="0.95715123999999996"/>
    <m/>
    <n v="50000000"/>
    <n v="47857562.119999997"/>
    <n v="50000000"/>
    <n v="47857562.119999997"/>
    <n v="70393092"/>
    <s v="AMOMPY"/>
    <s v="Momentum Capital Investment S.A."/>
    <s v="05/10/2026"/>
    <s v="05/10/2026"/>
    <n v="38"/>
    <s v="No"/>
    <s v=""/>
    <m/>
    <m/>
    <s v="*MAV091201669"/>
    <s v="*MAV091201669"/>
    <n v="5.8571174968088317E-4"/>
  </r>
  <r>
    <x v="17"/>
    <s v="Pesos"/>
    <d v="2026-12-11T00:00:00"/>
    <s v="29/10/2026"/>
    <n v="0.95715123999999996"/>
    <m/>
    <n v="50000000"/>
    <n v="47857562.119999997"/>
    <n v="50000000"/>
    <n v="47857562.119999997"/>
    <n v="70393089"/>
    <s v="AMOMPY"/>
    <s v="Momentum Capital Investment S.A."/>
    <s v="05/10/2026"/>
    <s v="05/10/2026"/>
    <n v="38"/>
    <s v="No"/>
    <s v=""/>
    <m/>
    <m/>
    <s v="*MAV071201008"/>
    <s v="*MAV071201008"/>
    <n v="5.8571174968088317E-4"/>
  </r>
  <r>
    <x v="17"/>
    <s v="Pesos"/>
    <d v="2026-12-11T00:00:00"/>
    <s v="29/10/2026"/>
    <n v="0.95715123999999996"/>
    <m/>
    <n v="25000000"/>
    <n v="23928781.059999999"/>
    <n v="25000000"/>
    <n v="23928781.059999999"/>
    <n v="70393091"/>
    <s v="AMOMPY"/>
    <s v="Momentum Capital Investment S.A."/>
    <s v="05/10/2026"/>
    <s v="05/10/2026"/>
    <n v="38"/>
    <s v="No"/>
    <s v=""/>
    <m/>
    <m/>
    <s v="*MAV091201668"/>
    <s v="*MAV091201668"/>
    <n v="2.9285587484044159E-4"/>
  </r>
  <r>
    <x v="85"/>
    <s v="Pesos"/>
    <d v="2026-12-11T00:00:00"/>
    <s v="29/10/2026"/>
    <n v="0.97698081999999997"/>
    <m/>
    <n v="9300000"/>
    <n v="9085921.6699999999"/>
    <n v="9300000"/>
    <n v="9085921.6699999999"/>
    <n v="34618"/>
    <s v="AMOMPY"/>
    <s v="Momentum Capital Investment S.A."/>
    <s v="02/10/2026"/>
    <s v="02/10/2026"/>
    <n v="20"/>
    <s v="No"/>
    <s v=""/>
    <m/>
    <m/>
    <s v="*MAV071200988"/>
    <s v="*MAV071200988"/>
    <n v="1.1119937671407555E-4"/>
  </r>
  <r>
    <x v="18"/>
    <s v="Pesos"/>
    <d v="2026-12-11T00:00:00"/>
    <s v="29/10/2026"/>
    <n v="0.96367099000000001"/>
    <m/>
    <n v="85000000"/>
    <n v="81912034.299999997"/>
    <n v="85000000"/>
    <n v="81912034.299999997"/>
    <n v="1042"/>
    <s v="AMOMPY"/>
    <s v="Momentum Capital Investment S.A."/>
    <s v="29/10/2026"/>
    <s v="29/10/2026"/>
    <n v="32"/>
    <s v="No"/>
    <s v=""/>
    <m/>
    <m/>
    <s v="*MAV071201178"/>
    <s v="*MAV071201178"/>
    <n v="1.0024923712050862E-3"/>
  </r>
  <r>
    <x v="44"/>
    <s v="Pesos"/>
    <d v="2026-12-11T00:00:00"/>
    <s v="29/10/2026"/>
    <n v="0.96257820999999999"/>
    <m/>
    <n v="25000000"/>
    <n v="24064455.170000002"/>
    <n v="25000000"/>
    <n v="24064455.170000002"/>
    <n v="14422597"/>
    <s v="AMOMPY"/>
    <s v="Momentum Capital Investment S.A."/>
    <s v="02/09/2026"/>
    <s v="02/09/2026"/>
    <n v="33"/>
    <s v="No"/>
    <s v=""/>
    <m/>
    <m/>
    <s v="*MAV071200882"/>
    <s v="*MAV071200882"/>
    <n v="2.94516342211413E-4"/>
  </r>
  <r>
    <x v="44"/>
    <s v="Pesos"/>
    <d v="2026-12-11T00:00:00"/>
    <s v="29/10/2026"/>
    <n v="0.96257822999999998"/>
    <m/>
    <n v="12500000"/>
    <n v="12032227.859999999"/>
    <n v="12500000"/>
    <n v="12032227.859999999"/>
    <n v="14651815"/>
    <s v="AMOMPY"/>
    <s v="Momentum Capital Investment S.A."/>
    <s v="01/10/2026"/>
    <s v="01/10/2026"/>
    <n v="33"/>
    <s v="No"/>
    <s v=""/>
    <m/>
    <m/>
    <s v="*MAV071200993"/>
    <s v="*MAV071200993"/>
    <n v="1.4725817447133407E-4"/>
  </r>
  <r>
    <x v="44"/>
    <s v="Pesos"/>
    <d v="2026-12-11T00:00:00"/>
    <s v="29/10/2026"/>
    <n v="0.96257822999999998"/>
    <m/>
    <n v="12500000"/>
    <n v="12032227.859999999"/>
    <n v="12500000"/>
    <n v="12032227.859999999"/>
    <n v="14651818"/>
    <s v="AMOMPY"/>
    <s v="Momentum Capital Investment S.A."/>
    <s v="01/10/2026"/>
    <s v="01/10/2026"/>
    <n v="33"/>
    <s v="No"/>
    <s v=""/>
    <m/>
    <m/>
    <s v="*MAV071200994"/>
    <s v="*MAV071200994"/>
    <n v="1.4725817447133407E-4"/>
  </r>
  <r>
    <x v="154"/>
    <s v="Pesos"/>
    <d v="2026-12-11T00:00:00"/>
    <s v="29/10/2026"/>
    <n v="0.96257813999999997"/>
    <m/>
    <n v="2500000"/>
    <n v="2406445.36"/>
    <n v="2500000"/>
    <n v="2406445.36"/>
    <n v="681"/>
    <s v="AMOMPY"/>
    <s v="Momentum Capital Investment S.A."/>
    <s v="22/09/2026"/>
    <s v="22/09/2026"/>
    <n v="33"/>
    <s v="No"/>
    <s v=""/>
    <m/>
    <m/>
    <s v="*MAV091201544"/>
    <s v="*MAV091201544"/>
    <n v="2.9451632299673913E-5"/>
  </r>
  <r>
    <x v="364"/>
    <s v="Pesos"/>
    <d v="2026-12-11T00:00:00"/>
    <s v="29/10/2026"/>
    <n v="0.95823163"/>
    <m/>
    <n v="15000000"/>
    <n v="14373474.5"/>
    <n v="15000000"/>
    <n v="14373474.5"/>
    <n v="90023086"/>
    <s v="AMOMPY"/>
    <s v="Momentum Capital Investment S.A."/>
    <s v="02/06/2026"/>
    <s v="02/06/2026"/>
    <n v="37"/>
    <s v="No"/>
    <s v=""/>
    <m/>
    <m/>
    <s v="*MAV091201366"/>
    <s v="*MAV091201366"/>
    <n v="1.7591186273298114E-4"/>
  </r>
  <r>
    <x v="365"/>
    <s v="Pesos"/>
    <d v="2026-12-11T00:00:00"/>
    <s v="29/10/2026"/>
    <n v="0.96476622000000001"/>
    <m/>
    <n v="3798755.04"/>
    <n v="3664910.53"/>
    <n v="3798755.04"/>
    <n v="3664910.53"/>
    <n v="90001388"/>
    <s v="AMOMPY"/>
    <s v="Momentum Capital Investment S.A."/>
    <s v="21/10/2026"/>
    <s v="21/10/2026"/>
    <n v="31"/>
    <s v="No"/>
    <s v=""/>
    <m/>
    <m/>
    <s v="*MAV091201871"/>
    <s v="*MAV091201871"/>
    <n v="4.4853541715471585E-5"/>
  </r>
  <r>
    <x v="379"/>
    <s v="Pesos"/>
    <d v="2026-12-11T00:00:00"/>
    <s v="29/10/2026"/>
    <n v="0.96586408999999995"/>
    <m/>
    <n v="5280714.5999999996"/>
    <n v="5100452.62"/>
    <n v="5280714.5999999996"/>
    <n v="5100452.62"/>
    <n v="77"/>
    <s v="AMOMPY"/>
    <s v="Momentum Capital Investment S.A."/>
    <s v="19/10/2026"/>
    <s v="19/10/2026"/>
    <n v="30"/>
    <s v="No"/>
    <s v=""/>
    <m/>
    <m/>
    <s v="*MAV071201102"/>
    <s v="*MAV071201102"/>
    <n v="6.2422632827262048E-5"/>
  </r>
  <r>
    <x v="380"/>
    <s v="Pesos"/>
    <d v="2026-12-11T00:00:00"/>
    <s v="29/10/2026"/>
    <n v="0.96367104999999997"/>
    <m/>
    <n v="1380247.28"/>
    <n v="1330104.3400000001"/>
    <n v="1380247.28"/>
    <n v="1330104.3400000001"/>
    <n v="5366"/>
    <s v="AMOMPY"/>
    <s v="Momentum Capital Investment S.A."/>
    <s v="19/10/2026"/>
    <s v="19/10/2026"/>
    <n v="32"/>
    <s v="No"/>
    <s v=""/>
    <m/>
    <m/>
    <s v="*MAV051201552"/>
    <s v="*MAV051201552"/>
    <n v="1.6278675839903741E-5"/>
  </r>
  <r>
    <x v="205"/>
    <s v="Pesos"/>
    <d v="2026-12-11T00:00:00"/>
    <s v="29/10/2026"/>
    <n v="0.9658641"/>
    <m/>
    <n v="1500000"/>
    <n v="1448796.15"/>
    <n v="1500000"/>
    <n v="1448796.15"/>
    <n v="10793608"/>
    <s v="AMOMPY"/>
    <s v="Momentum Capital Investment S.A."/>
    <s v="19/10/2026"/>
    <s v="19/10/2026"/>
    <n v="30"/>
    <s v="No"/>
    <s v=""/>
    <m/>
    <m/>
    <s v="*MAV071201101"/>
    <s v="*MAV071201101"/>
    <n v="1.7731302857000339E-5"/>
  </r>
  <r>
    <x v="359"/>
    <s v="Pesos"/>
    <d v="2026-12-11T00:00:00"/>
    <s v="29/10/2026"/>
    <n v="0.96257828000000001"/>
    <m/>
    <n v="1288598.56"/>
    <n v="1240376.99"/>
    <n v="1288598.56"/>
    <n v="1240376.99"/>
    <n v="9695"/>
    <s v="AMOMPY"/>
    <s v="Momentum Capital Investment S.A."/>
    <s v="16/10/2026"/>
    <s v="16/10/2026"/>
    <n v="33"/>
    <s v="No"/>
    <s v=""/>
    <m/>
    <m/>
    <s v="*MAV091201834"/>
    <s v="*MAV091201834"/>
    <n v="1.5180534588350806E-5"/>
  </r>
  <r>
    <x v="25"/>
    <s v="Pesos"/>
    <d v="2026-12-11T00:00:00"/>
    <s v="29/10/2026"/>
    <n v="0.97028024000000002"/>
    <m/>
    <n v="1483266.4"/>
    <n v="1439184.08"/>
    <n v="1483266.4"/>
    <n v="1439184.08"/>
    <n v="11"/>
    <s v="AMOMPY"/>
    <s v="Momentum Capital Investment S.A."/>
    <s v="29/10/2026"/>
    <s v="29/10/2026"/>
    <n v="26"/>
    <s v="No"/>
    <s v=""/>
    <m/>
    <m/>
    <s v="*NEU071200013"/>
    <s v="*NEU071200013"/>
    <n v="1.7613664137258652E-5"/>
  </r>
  <r>
    <x v="381"/>
    <s v="Pesos"/>
    <d v="2026-12-11T00:00:00"/>
    <s v="29/10/2026"/>
    <n v="0.96257828000000001"/>
    <m/>
    <n v="6406139.1799999997"/>
    <n v="6166410.4400000004"/>
    <n v="6406139.1799999997"/>
    <n v="6166410.4400000004"/>
    <n v="178"/>
    <s v="AMOMPY"/>
    <s v="Momentum Capital Investment S.A."/>
    <s v="23/10/2026"/>
    <s v="23/10/2026"/>
    <n v="33"/>
    <s v="No"/>
    <s v=""/>
    <m/>
    <m/>
    <s v="*MAV061201229"/>
    <s v="*MAV061201229"/>
    <n v="7.5468512980386322E-5"/>
  </r>
  <r>
    <x v="123"/>
    <s v="Pesos"/>
    <d v="2026-12-11T00:00:00"/>
    <s v="29/10/2026"/>
    <n v="0.96148785999999997"/>
    <m/>
    <n v="4000000"/>
    <n v="3845951.46"/>
    <n v="4000000"/>
    <n v="3845951.46"/>
    <n v="90000054"/>
    <s v="AMOMPY"/>
    <s v="Momentum Capital Investment S.A."/>
    <s v="11/06/2026"/>
    <s v="11/06/2026"/>
    <n v="34"/>
    <s v="No"/>
    <s v=""/>
    <m/>
    <m/>
    <s v="*MAV071200853"/>
    <s v="*MAV071200853"/>
    <n v="4.706923752563991E-5"/>
  </r>
  <r>
    <x v="209"/>
    <s v="Pesos"/>
    <d v="2026-12-11T00:00:00"/>
    <s v="29/10/2026"/>
    <n v="0.96476625000000005"/>
    <m/>
    <n v="19203276.93"/>
    <n v="18526673.390000001"/>
    <n v="19203276.93"/>
    <n v="18526673.390000001"/>
    <n v="2019"/>
    <s v="AMOMPY"/>
    <s v="Momentum Capital Investment S.A."/>
    <s v="07/10/2026"/>
    <s v="07/10/2026"/>
    <n v="31"/>
    <s v="No"/>
    <s v=""/>
    <m/>
    <m/>
    <s v="*MAV071201025"/>
    <s v="*MAV071201025"/>
    <n v="2.2674139271478544E-4"/>
  </r>
  <r>
    <x v="320"/>
    <s v="Pesos"/>
    <d v="2026-12-11T00:00:00"/>
    <s v="29/10/2026"/>
    <n v="0.96586408000000001"/>
    <m/>
    <n v="2666356.5"/>
    <n v="2575337.96"/>
    <n v="2666356.5"/>
    <n v="2575337.96"/>
    <n v="656"/>
    <s v="AMOMPY"/>
    <s v="Momentum Capital Investment S.A."/>
    <s v="08/10/2026"/>
    <s v="08/10/2026"/>
    <n v="30"/>
    <s v="No"/>
    <s v=""/>
    <m/>
    <m/>
    <s v="*MAV061201210"/>
    <s v="*MAV061201210"/>
    <n v="3.1518649002407573E-5"/>
  </r>
  <r>
    <x v="382"/>
    <s v="Pesos"/>
    <d v="2026-12-11T00:00:00"/>
    <s v="29/10/2026"/>
    <n v="0.96257831000000005"/>
    <m/>
    <n v="10990958.880000001"/>
    <n v="10579658.66"/>
    <n v="10990958.880000001"/>
    <n v="10579658.66"/>
    <n v="40939688"/>
    <s v="AMOMPY"/>
    <s v="Momentum Capital Investment S.A."/>
    <s v="13/10/2026"/>
    <s v="13/10/2026"/>
    <n v="33"/>
    <s v="No"/>
    <s v=""/>
    <m/>
    <m/>
    <s v="*MAV081200779"/>
    <s v="*MAV081200779"/>
    <n v="1.2948069459195236E-4"/>
  </r>
  <r>
    <x v="1"/>
    <s v="Pesos"/>
    <d v="2026-12-11T00:00:00"/>
    <s v="29/10/2026"/>
    <n v="0.96806716000000004"/>
    <m/>
    <n v="20519816.280000001"/>
    <n v="19864560.289999999"/>
    <n v="20519816.280000001"/>
    <n v="19864560.289999999"/>
    <n v="76906097"/>
    <s v="AMOMPY"/>
    <s v="Momentum Capital Investment S.A."/>
    <s v="21/09/2026"/>
    <s v="21/09/2026"/>
    <n v="28"/>
    <s v="No"/>
    <s v=""/>
    <m/>
    <m/>
    <s v="*AFB091200006"/>
    <s v="*AFB091200006"/>
    <n v="2.4311531654962814E-4"/>
  </r>
  <r>
    <x v="316"/>
    <s v="Pesos"/>
    <d v="2026-12-11T00:00:00"/>
    <s v="29/10/2026"/>
    <n v="0.96806707000000003"/>
    <m/>
    <n v="69542230"/>
    <n v="67321542.959999993"/>
    <n v="69542230"/>
    <n v="67321542.959999993"/>
    <n v="155355"/>
    <s v="AMOMPY"/>
    <s v="Momentum Capital Investment S.A."/>
    <s v="01/07/2026"/>
    <s v="01/07/2026"/>
    <n v="28"/>
    <s v="No"/>
    <s v=""/>
    <m/>
    <m/>
    <s v="#POT101260001"/>
    <s v="#POT101260001"/>
    <n v="8.239245162435855E-4"/>
  </r>
  <r>
    <x v="135"/>
    <s v="Pesos"/>
    <d v="2026-12-11T00:00:00"/>
    <s v="29/10/2026"/>
    <n v="0.96696439999999995"/>
    <m/>
    <n v="70000000"/>
    <n v="67687507.909999996"/>
    <n v="70000000"/>
    <n v="67687507.909999996"/>
    <n v="83299238"/>
    <s v="AMOMPY"/>
    <s v="Momentum Capital Investment S.A."/>
    <s v="25/09/2026"/>
    <s v="25/09/2026"/>
    <n v="29"/>
    <s v="No"/>
    <s v=""/>
    <m/>
    <m/>
    <s v="*FTR051200011"/>
    <s v="*FTR051200011"/>
    <n v="8.2840343162688291E-4"/>
  </r>
  <r>
    <x v="181"/>
    <s v="Pesos"/>
    <d v="2026-12-11T00:00:00"/>
    <s v="29/10/2026"/>
    <n v="0.96696433000000004"/>
    <m/>
    <n v="5311841.87"/>
    <n v="5136361.5999999996"/>
    <n v="5311841.87"/>
    <n v="5136361.5999999996"/>
    <n v="90000278"/>
    <s v="AMOMPY"/>
    <s v="Momentum Capital Investment S.A."/>
    <s v="03/07/2026"/>
    <s v="03/07/2026"/>
    <n v="29"/>
    <s v="No"/>
    <s v=""/>
    <m/>
    <m/>
    <s v="*FED071200026"/>
    <s v="*FED071200026"/>
    <n v="6.2862110113052718E-5"/>
  </r>
  <r>
    <x v="383"/>
    <s v="Pesos"/>
    <d v="2026-12-11T00:00:00"/>
    <s v="29/10/2026"/>
    <n v="0.96257828000000001"/>
    <m/>
    <n v="3966584.9"/>
    <n v="3818148.46"/>
    <n v="3966584.9"/>
    <n v="3818148.46"/>
    <n v="11396514"/>
    <s v="AMOMPY"/>
    <s v="Momentum Capital Investment S.A."/>
    <s v="16/10/2026"/>
    <s v="16/10/2026"/>
    <n v="33"/>
    <s v="No"/>
    <s v=""/>
    <m/>
    <m/>
    <s v="*MAV091201833"/>
    <s v="*MAV091201833"/>
    <n v="4.6728966457599609E-5"/>
  </r>
  <r>
    <x v="384"/>
    <s v="Pesos"/>
    <d v="2026-12-11T00:00:00"/>
    <s v="29/10/2026"/>
    <n v="0.96257813000000003"/>
    <m/>
    <n v="1094039.6000000001"/>
    <n v="1053098.5900000001"/>
    <n v="1094039.6000000001"/>
    <n v="1053098.5900000001"/>
    <n v="70366885"/>
    <s v="AMOMPY"/>
    <s v="Momentum Capital Investment S.A."/>
    <s v="21/10/2026"/>
    <s v="21/10/2026"/>
    <n v="33"/>
    <s v="No"/>
    <s v=""/>
    <m/>
    <m/>
    <s v="*MAV081200826"/>
    <s v="*MAV081200826"/>
    <n v="1.288850059241946E-5"/>
  </r>
  <r>
    <x v="384"/>
    <s v="Pesos"/>
    <d v="2026-12-11T00:00:00"/>
    <s v="29/10/2026"/>
    <n v="0.96257813000000003"/>
    <m/>
    <n v="1680593.48"/>
    <n v="1617702.53"/>
    <n v="1680593.48"/>
    <n v="1617702.53"/>
    <n v="70321503"/>
    <s v="AMOMPY"/>
    <s v="Momentum Capital Investment S.A."/>
    <s v="21/10/2026"/>
    <s v="21/10/2026"/>
    <n v="33"/>
    <s v="No"/>
    <s v=""/>
    <m/>
    <m/>
    <s v="*MAV071201123"/>
    <s v="*MAV071201123"/>
    <n v="1.9798488208272558E-5"/>
  </r>
  <r>
    <x v="318"/>
    <s v="Pesos"/>
    <d v="2026-12-11T00:00:00"/>
    <s v="29/10/2026"/>
    <n v="0.96257822999999998"/>
    <m/>
    <n v="7500000"/>
    <n v="7219336.71"/>
    <n v="7500000"/>
    <n v="7219336.71"/>
    <n v="70407057"/>
    <s v="AMOMPY"/>
    <s v="Momentum Capital Investment S.A."/>
    <s v="01/10/2026"/>
    <s v="01/10/2026"/>
    <n v="33"/>
    <s v="No"/>
    <s v=""/>
    <m/>
    <m/>
    <s v="*MAV051201488"/>
    <s v="*MAV051201488"/>
    <n v="8.8354904609368575E-5"/>
  </r>
  <r>
    <x v="53"/>
    <s v="Pesos"/>
    <d v="2026-12-11T00:00:00"/>
    <s v="29/10/2026"/>
    <n v="0.96367100000000006"/>
    <m/>
    <n v="50000000"/>
    <n v="48183550.140000001"/>
    <n v="50000000"/>
    <n v="48183550.140000001"/>
    <n v="587"/>
    <s v="AMOMPY"/>
    <s v="Momentum Capital Investment S.A."/>
    <s v="22/10/2026"/>
    <s v="22/10/2026"/>
    <n v="32"/>
    <s v="No"/>
    <s v=""/>
    <m/>
    <m/>
    <s v="*MAV091201889"/>
    <s v="*MAV091201889"/>
    <n v="5.8970140157937412E-4"/>
  </r>
  <r>
    <x v="0"/>
    <s v="Pesos"/>
    <d v="2026-12-14T00:00:00"/>
    <s v="29/10/2026"/>
    <n v="0.96474073999999999"/>
    <m/>
    <n v="1700854.14"/>
    <n v="1640883.28"/>
    <n v="1700854.14"/>
    <n v="1640883.28"/>
    <n v="7025"/>
    <s v="AMOMPY"/>
    <s v="Momentum Capital Investment S.A."/>
    <s v="28/10/2026"/>
    <s v="28/10/2026"/>
    <n v="29"/>
    <s v="No"/>
    <s v=""/>
    <m/>
    <m/>
    <s v="*TRD101200053"/>
    <s v="*TRD101200053"/>
    <n v="2.0082189195952855E-5"/>
  </r>
  <r>
    <x v="65"/>
    <s v="Pesos"/>
    <d v="2026-12-14T00:00:00"/>
    <s v="29/10/2026"/>
    <n v="0.96591514000000001"/>
    <m/>
    <n v="40400000"/>
    <n v="39022971.780000001"/>
    <n v="40400000"/>
    <n v="39022971.780000001"/>
    <n v="82410318"/>
    <s v="AMOMPY"/>
    <s v="Momentum Capital Investment S.A."/>
    <s v="22/09/2026"/>
    <s v="22/09/2026"/>
    <n v="28"/>
    <s v="No"/>
    <s v=""/>
    <m/>
    <m/>
    <s v="*CVA101200027"/>
    <s v="*CVA101200027"/>
    <n v="4.7758832808284153E-4"/>
  </r>
  <r>
    <x v="2"/>
    <s v="Pesos"/>
    <d v="2026-12-14T00:00:00"/>
    <s v="29/10/2026"/>
    <n v="0.95659925000000001"/>
    <m/>
    <n v="3105640.28"/>
    <n v="2970853.16"/>
    <n v="3105640.28"/>
    <n v="2970853.16"/>
    <n v="3394"/>
    <s v="AMOMPY"/>
    <s v="Momentum Capital Investment S.A."/>
    <s v="07/09/2026"/>
    <s v="07/09/2026"/>
    <n v="36"/>
    <s v="No"/>
    <s v=""/>
    <m/>
    <m/>
    <s v="*MAV101201503"/>
    <s v="*MAV101201503"/>
    <n v="3.6359219427547823E-5"/>
  </r>
  <r>
    <x v="2"/>
    <s v="Pesos"/>
    <d v="2026-12-14T00:00:00"/>
    <s v="29/10/2026"/>
    <n v="0.95659927"/>
    <m/>
    <n v="2874176.47"/>
    <n v="2749435.11"/>
    <n v="2874176.47"/>
    <n v="2749435.11"/>
    <n v="3442"/>
    <s v="AMOMPY"/>
    <s v="Momentum Capital Investment S.A."/>
    <s v="11/09/2026"/>
    <s v="11/09/2026"/>
    <n v="36"/>
    <s v="No"/>
    <s v=""/>
    <m/>
    <m/>
    <s v="*MAV101201527"/>
    <s v="*MAV101201527"/>
    <n v="3.3649362348926759E-5"/>
  </r>
  <r>
    <x v="369"/>
    <s v="Pesos"/>
    <d v="2026-12-14T00:00:00"/>
    <s v="29/10/2026"/>
    <n v="0.96123468999999995"/>
    <m/>
    <n v="8000000"/>
    <n v="7689877.5099999998"/>
    <n v="8000000"/>
    <n v="7689877.5099999998"/>
    <n v="1791"/>
    <s v="AMOMPY"/>
    <s v="Momentum Capital Investment S.A."/>
    <s v="16/09/2026"/>
    <s v="16/09/2026"/>
    <n v="32"/>
    <s v="No"/>
    <s v=""/>
    <m/>
    <m/>
    <s v="*MAV101201566"/>
    <s v="*MAV101201566"/>
    <n v="9.4113686775772887E-5"/>
  </r>
  <r>
    <x v="370"/>
    <s v="Pesos"/>
    <d v="2026-12-14T00:00:00"/>
    <s v="29/10/2026"/>
    <n v="0.95775390000000005"/>
    <m/>
    <n v="5000000"/>
    <n v="4788769.49"/>
    <n v="5000000"/>
    <n v="4788769.49"/>
    <n v="542"/>
    <s v="AMOMPY"/>
    <s v="Momentum Capital Investment S.A."/>
    <s v="18/09/2026"/>
    <s v="18/09/2026"/>
    <n v="35"/>
    <s v="No"/>
    <s v=""/>
    <m/>
    <m/>
    <s v="*MAV101201581"/>
    <s v="*MAV101201581"/>
    <n v="5.8608053410104015E-5"/>
  </r>
  <r>
    <x v="3"/>
    <s v="Pesos"/>
    <d v="2026-12-14T00:00:00"/>
    <s v="29/10/2026"/>
    <n v="0.96591525"/>
    <m/>
    <n v="8400000"/>
    <n v="8113688.0700000003"/>
    <n v="8400000"/>
    <n v="8113688.0700000003"/>
    <n v="2456"/>
    <s v="AMOMPY"/>
    <s v="Momentum Capital Investment S.A."/>
    <s v="21/09/2026"/>
    <s v="21/09/2026"/>
    <n v="28"/>
    <s v="No"/>
    <s v=""/>
    <m/>
    <m/>
    <s v="*MOV101200086"/>
    <s v="*MOV101200086"/>
    <n v="9.9300554088579396E-5"/>
  </r>
  <r>
    <x v="332"/>
    <s v="Pesos"/>
    <d v="2026-12-14T00:00:00"/>
    <s v="29/10/2026"/>
    <n v="0.96007158000000004"/>
    <m/>
    <n v="5000000"/>
    <n v="4800357.9000000004"/>
    <n v="5000000"/>
    <n v="4800357.9000000004"/>
    <n v="2877"/>
    <s v="AMOMPY"/>
    <s v="Momentum Capital Investment S.A."/>
    <s v="11/09/2026"/>
    <s v="11/09/2026"/>
    <n v="33"/>
    <s v="No"/>
    <s v=""/>
    <m/>
    <m/>
    <s v="*MAV101201524"/>
    <s v="*MAV101201524"/>
    <n v="5.8749879855005249E-5"/>
  </r>
  <r>
    <x v="184"/>
    <s v="Pesos"/>
    <d v="2026-12-14T00:00:00"/>
    <s v="29/10/2026"/>
    <n v="0.96123464999999997"/>
    <m/>
    <n v="8123170.71"/>
    <n v="7808273.1200000001"/>
    <n v="8123170.71"/>
    <n v="7808273.1200000001"/>
    <n v="11245"/>
    <s v="AMOMPY"/>
    <s v="Momentum Capital Investment S.A."/>
    <s v="15/09/2026"/>
    <s v="15/09/2026"/>
    <n v="32"/>
    <s v="No"/>
    <s v=""/>
    <m/>
    <m/>
    <s v="*MAV101201561"/>
    <s v="*MAV101201561"/>
    <n v="9.5562688705995639E-5"/>
  </r>
  <r>
    <x v="198"/>
    <s v="Pesos"/>
    <d v="2026-12-14T00:00:00"/>
    <s v="29/10/2026"/>
    <n v="0.96123475000000003"/>
    <m/>
    <n v="5325299.2"/>
    <n v="5118862.67"/>
    <n v="5325299.2"/>
    <n v="5118862.67"/>
    <n v="52046620"/>
    <s v="AMOMPY"/>
    <s v="Momentum Capital Investment S.A."/>
    <s v="05/10/2026"/>
    <s v="05/10/2026"/>
    <n v="32"/>
    <s v="No"/>
    <s v=""/>
    <m/>
    <m/>
    <s v="*MAV101201796"/>
    <s v="*MAV101201796"/>
    <n v="6.2647946907619397E-5"/>
  </r>
  <r>
    <x v="185"/>
    <s v="Pesos"/>
    <d v="2026-12-14T00:00:00"/>
    <s v="29/10/2026"/>
    <n v="0.96123464999999997"/>
    <m/>
    <n v="428767.71"/>
    <n v="412146.38"/>
    <n v="428767.71"/>
    <n v="412146.38"/>
    <n v="1975206"/>
    <s v="AMOMPY"/>
    <s v="Momentum Capital Investment S.A."/>
    <s v="15/09/2026"/>
    <s v="15/09/2026"/>
    <n v="32"/>
    <s v="No"/>
    <s v=""/>
    <m/>
    <m/>
    <s v="*MAV101201559"/>
    <s v="*MAV101201559"/>
    <n v="5.0441135457161096E-6"/>
  </r>
  <r>
    <x v="186"/>
    <s v="Pesos"/>
    <d v="2026-12-14T00:00:00"/>
    <s v="29/10/2026"/>
    <n v="0.96123464999999997"/>
    <m/>
    <n v="17763197.079999998"/>
    <n v="17074600.440000001"/>
    <n v="17763197.079999998"/>
    <n v="17074600.440000001"/>
    <n v="1314"/>
    <s v="AMOMPY"/>
    <s v="Momentum Capital Investment S.A."/>
    <s v="15/09/2026"/>
    <s v="15/09/2026"/>
    <n v="32"/>
    <s v="No"/>
    <s v=""/>
    <m/>
    <m/>
    <s v="*MAV101201560"/>
    <s v="*MAV101201560"/>
    <n v="2.0896998626336168E-4"/>
  </r>
  <r>
    <x v="6"/>
    <s v="Pesos"/>
    <d v="2026-12-14T00:00:00"/>
    <s v="29/10/2026"/>
    <n v="0.96591521999999996"/>
    <m/>
    <n v="2600000"/>
    <n v="2511379.5699999998"/>
    <n v="2600000"/>
    <n v="2511379.5699999998"/>
    <n v="1757507"/>
    <s v="AMOMPY"/>
    <s v="Momentum Capital Investment S.A."/>
    <s v="08/10/2026"/>
    <s v="08/10/2026"/>
    <n v="28"/>
    <s v="No"/>
    <s v=""/>
    <m/>
    <m/>
    <s v="*CRE101200202"/>
    <s v="*CRE101200202"/>
    <n v="3.07358849238751E-5"/>
  </r>
  <r>
    <x v="54"/>
    <s v="Pesos"/>
    <d v="2026-12-14T00:00:00"/>
    <s v="29/10/2026"/>
    <n v="0.96240053000000003"/>
    <m/>
    <n v="10000000"/>
    <n v="9624005.2799999993"/>
    <n v="10000000"/>
    <n v="9624005.2799999993"/>
    <n v="180"/>
    <s v="AMOMPY"/>
    <s v="Momentum Capital Investment S.A."/>
    <s v="01/09/2026"/>
    <s v="01/09/2026"/>
    <n v="31"/>
    <s v="No"/>
    <s v=""/>
    <m/>
    <m/>
    <s v="*INP101200070"/>
    <s v="*INP101200070"/>
    <n v="1.1778479140564417E-4"/>
  </r>
  <r>
    <x v="385"/>
    <s v="Pesos"/>
    <d v="2026-12-14T00:00:00"/>
    <s v="29/10/2026"/>
    <n v="0.96356920000000001"/>
    <m/>
    <n v="15000000"/>
    <n v="14453537.98"/>
    <n v="15000000"/>
    <n v="14453537.98"/>
    <n v="1415"/>
    <s v="AMOMPY"/>
    <s v="Momentum Capital Investment S.A."/>
    <s v="28/10/2026"/>
    <s v="28/10/2026"/>
    <n v="30"/>
    <s v="No"/>
    <s v=""/>
    <m/>
    <m/>
    <s v="*MAV101202043"/>
    <s v="*MAV101202043"/>
    <n v="1.7689173130294207E-4"/>
  </r>
  <r>
    <x v="353"/>
    <s v="Pesos"/>
    <d v="2026-12-14T00:00:00"/>
    <s v="29/10/2026"/>
    <n v="0.96356929000000002"/>
    <m/>
    <n v="6250000"/>
    <n v="6022308.0499999998"/>
    <n v="6250000"/>
    <n v="6022308.0499999998"/>
    <n v="390"/>
    <s v="AMOMPY"/>
    <s v="Momentum Capital Investment S.A."/>
    <s v="08/10/2026"/>
    <s v="08/10/2026"/>
    <n v="30"/>
    <s v="No"/>
    <s v=""/>
    <m/>
    <m/>
    <s v="*MAV101201838"/>
    <s v="*MAV101201838"/>
    <n v="7.3704894876136406E-5"/>
  </r>
  <r>
    <x v="188"/>
    <s v="Pesos"/>
    <d v="2026-12-14T00:00:00"/>
    <s v="29/10/2026"/>
    <n v="0.96591510999999997"/>
    <m/>
    <n v="850000000"/>
    <n v="821027841.54999995"/>
    <n v="850000000"/>
    <n v="821027841.54999995"/>
    <n v="31"/>
    <s v="AMOMPY"/>
    <s v="Momentum Capital Investment S.A."/>
    <s v="12/08/2026"/>
    <s v="12/08/2026"/>
    <n v="28"/>
    <s v="No"/>
    <s v=""/>
    <m/>
    <m/>
    <s v="*MAV101201390"/>
    <s v="*MAV101201390"/>
    <n v="1.0048268911090313E-2"/>
  </r>
  <r>
    <x v="375"/>
    <s v="Pesos"/>
    <d v="2026-12-14T00:00:00"/>
    <s v="29/10/2026"/>
    <n v="0.95659932999999997"/>
    <m/>
    <n v="3250000"/>
    <n v="3108947.83"/>
    <n v="3250000"/>
    <n v="3108947.83"/>
    <n v="75"/>
    <s v="AMOMPY"/>
    <s v="Momentum Capital Investment S.A."/>
    <s v="02/09/2026"/>
    <s v="02/09/2026"/>
    <n v="36"/>
    <s v="No"/>
    <s v=""/>
    <m/>
    <m/>
    <s v="*MAV101201461"/>
    <s v="*MAV101201461"/>
    <n v="3.8049311174897869E-5"/>
  </r>
  <r>
    <x v="56"/>
    <s v="Pesos"/>
    <d v="2026-12-14T00:00:00"/>
    <s v="29/10/2026"/>
    <n v="0.96474073000000005"/>
    <m/>
    <n v="450000"/>
    <n v="434133.33"/>
    <n v="450000"/>
    <n v="434133.33"/>
    <n v="11456511"/>
    <s v="AMOMPY"/>
    <s v="Momentum Capital Investment S.A."/>
    <s v="28/10/2026"/>
    <s v="28/10/2026"/>
    <n v="29"/>
    <s v="No"/>
    <s v=""/>
    <m/>
    <m/>
    <s v="*MAV101202022"/>
    <s v="*MAV101202022"/>
    <n v="5.3132040380891899E-6"/>
  </r>
  <r>
    <x v="289"/>
    <s v="Pesos"/>
    <d v="2026-12-14T00:00:00"/>
    <s v="29/10/2026"/>
    <n v="0.96123482000000005"/>
    <m/>
    <n v="5000000"/>
    <n v="4806174.12"/>
    <n v="5000000"/>
    <n v="4806174.12"/>
    <n v="55"/>
    <s v="AMOMPY"/>
    <s v="Momentum Capital Investment S.A."/>
    <s v="20/10/2026"/>
    <s v="20/10/2026"/>
    <n v="32"/>
    <s v="No"/>
    <s v=""/>
    <m/>
    <m/>
    <s v="*MAV101201972"/>
    <s v="*MAV101201972"/>
    <n v="5.8821062511242247E-5"/>
  </r>
  <r>
    <x v="107"/>
    <s v="Pesos"/>
    <d v="2026-12-14T00:00:00"/>
    <s v="29/10/2026"/>
    <n v="0.96123473000000004"/>
    <m/>
    <n v="584336.13"/>
    <n v="561684.18000000005"/>
    <n v="584336.13"/>
    <n v="561684.18000000005"/>
    <n v="125419"/>
    <s v="AMOMPY"/>
    <s v="Momentum Capital Investment S.A."/>
    <s v="07/10/2026"/>
    <s v="07/10/2026"/>
    <n v="32"/>
    <s v="No"/>
    <s v=""/>
    <m/>
    <m/>
    <s v="*MAV101201827"/>
    <s v="*MAV101201827"/>
    <n v="6.8742537075115049E-6"/>
  </r>
  <r>
    <x v="107"/>
    <s v="Pesos"/>
    <d v="2026-12-14T00:00:00"/>
    <s v="29/10/2026"/>
    <n v="0.96007111000000001"/>
    <m/>
    <n v="14698.63"/>
    <n v="14111.73"/>
    <n v="14698.63"/>
    <n v="14111.73"/>
    <n v="122353"/>
    <s v="AMOMPY"/>
    <s v="Momentum Capital Investment S.A."/>
    <s v="14/09/2026"/>
    <s v="14/09/2026"/>
    <n v="33"/>
    <s v="No"/>
    <s v=""/>
    <m/>
    <m/>
    <s v="*MAV101201538"/>
    <s v="*MAV101201538"/>
    <n v="1.7270846451808794E-7"/>
  </r>
  <r>
    <x v="386"/>
    <s v="Pesos"/>
    <d v="2026-12-14T00:00:00"/>
    <s v="29/10/2026"/>
    <n v="0.97541425999999998"/>
    <m/>
    <n v="2409463.31"/>
    <n v="2350224.86"/>
    <n v="2409463.31"/>
    <n v="2350224.86"/>
    <n v="2669"/>
    <s v="AMOMPY"/>
    <s v="Momentum Capital Investment S.A."/>
    <s v="08/09/2026"/>
    <s v="08/09/2026"/>
    <n v="20"/>
    <s v="No"/>
    <s v=""/>
    <m/>
    <m/>
    <s v="*MAV101201488"/>
    <s v="*MAV101201488"/>
    <n v="2.8763569515774339E-5"/>
  </r>
  <r>
    <x v="189"/>
    <s v="Pesos"/>
    <d v="2026-12-14T00:00:00"/>
    <s v="29/10/2026"/>
    <n v="0.96007162000000001"/>
    <m/>
    <n v="25000000"/>
    <n v="24001790.399999999"/>
    <n v="25000000"/>
    <n v="24001790.399999999"/>
    <n v="475887"/>
    <s v="AMOMPY"/>
    <s v="Momentum Capital Investment S.A."/>
    <s v="07/08/2026"/>
    <s v="07/08/2026"/>
    <n v="33"/>
    <s v="No"/>
    <s v=""/>
    <m/>
    <m/>
    <s v="*MAV101201380"/>
    <s v="*MAV101201380"/>
    <n v="2.9374941028980739E-4"/>
  </r>
  <r>
    <x v="223"/>
    <s v="Pesos"/>
    <d v="2026-12-14T00:00:00"/>
    <s v="29/10/2026"/>
    <n v="0.96007175"/>
    <m/>
    <n v="649795.28"/>
    <n v="623850.09"/>
    <n v="649795.28"/>
    <n v="623850.09"/>
    <n v="19651"/>
    <s v="AMOMPY"/>
    <s v="Momentum Capital Investment S.A."/>
    <s v="16/10/2026"/>
    <s v="16/10/2026"/>
    <n v="33"/>
    <s v="No"/>
    <s v=""/>
    <m/>
    <m/>
    <s v="*MAV101201921"/>
    <s v="*MAV101201921"/>
    <n v="7.6350802582937012E-6"/>
  </r>
  <r>
    <x v="146"/>
    <s v="Pesos"/>
    <d v="2026-12-14T00:00:00"/>
    <s v="29/10/2026"/>
    <n v="0.96356920000000001"/>
    <m/>
    <n v="150000000"/>
    <n v="144535379.43000001"/>
    <n v="150000000"/>
    <n v="144535379.43000001"/>
    <n v="90004275"/>
    <s v="AMOMPY"/>
    <s v="Momentum Capital Investment S.A."/>
    <s v="29/09/2026"/>
    <s v="29/09/2026"/>
    <n v="30"/>
    <s v="No"/>
    <s v=""/>
    <m/>
    <m/>
    <s v="*MAV101201633"/>
    <s v="*MAV101201633"/>
    <n v="1.7689173085011218E-3"/>
  </r>
  <r>
    <x v="146"/>
    <s v="Pesos"/>
    <d v="2026-12-14T00:00:00"/>
    <s v="29/10/2026"/>
    <n v="0.96356916999999997"/>
    <m/>
    <n v="100000000"/>
    <n v="96356916.579999998"/>
    <n v="100000000"/>
    <n v="96356916.579999998"/>
    <n v="90004287"/>
    <s v="AMOMPY"/>
    <s v="Momentum Capital Investment S.A."/>
    <s v="02/10/2026"/>
    <s v="02/10/2026"/>
    <n v="30"/>
    <s v="No"/>
    <s v=""/>
    <m/>
    <m/>
    <s v="*MAV101201791"/>
    <s v="*MAV101201791"/>
    <n v="1.1792781684619312E-3"/>
  </r>
  <r>
    <x v="336"/>
    <s v="Pesos"/>
    <d v="2026-12-14T00:00:00"/>
    <s v="29/10/2026"/>
    <n v="0.96007156000000005"/>
    <m/>
    <n v="10051717.25"/>
    <n v="9650367.8200000003"/>
    <n v="10051717.25"/>
    <n v="9650367.8200000003"/>
    <n v="90002286"/>
    <s v="AMOMPY"/>
    <s v="Momentum Capital Investment S.A."/>
    <s v="14/09/2026"/>
    <s v="14/09/2026"/>
    <n v="33"/>
    <s v="No"/>
    <s v=""/>
    <m/>
    <m/>
    <s v="*MAV101201550"/>
    <s v="*MAV101201550"/>
    <n v="1.1810743319401432E-4"/>
  </r>
  <r>
    <x v="354"/>
    <s v="Pesos"/>
    <d v="2026-12-14T00:00:00"/>
    <s v="29/10/2026"/>
    <n v="0.96007164"/>
    <m/>
    <n v="25000000"/>
    <n v="24001790.890000001"/>
    <n v="25000000"/>
    <n v="24001790.890000001"/>
    <n v="4295"/>
    <s v="AMOMPY"/>
    <s v="Momentum Capital Investment S.A."/>
    <s v="23/09/2026"/>
    <s v="23/09/2026"/>
    <n v="33"/>
    <s v="No"/>
    <s v=""/>
    <m/>
    <m/>
    <s v="*MAV101201604"/>
    <s v="*MAV101201604"/>
    <n v="2.9374941628674384E-4"/>
  </r>
  <r>
    <x v="44"/>
    <s v="Pesos"/>
    <d v="2026-12-14T00:00:00"/>
    <s v="29/10/2026"/>
    <n v="0.96007155"/>
    <m/>
    <n v="25000000"/>
    <n v="24001788.800000001"/>
    <n v="25000000"/>
    <n v="24001788.800000001"/>
    <n v="14422658"/>
    <s v="AMOMPY"/>
    <s v="Momentum Capital Investment S.A."/>
    <s v="03/09/2026"/>
    <s v="03/09/2026"/>
    <n v="33"/>
    <s v="No"/>
    <s v=""/>
    <m/>
    <m/>
    <s v="*MAV101201470"/>
    <s v="*MAV101201470"/>
    <n v="2.9374939070797422E-4"/>
  </r>
  <r>
    <x v="44"/>
    <s v="Pesos"/>
    <d v="2026-12-14T00:00:00"/>
    <s v="29/10/2026"/>
    <n v="0.96007156000000005"/>
    <m/>
    <n v="36666668"/>
    <n v="35202624.979999997"/>
    <n v="36666668"/>
    <n v="35202624.979999997"/>
    <n v="14537771"/>
    <s v="AMOMPY"/>
    <s v="Momentum Capital Investment S.A."/>
    <s v="14/09/2026"/>
    <s v="14/09/2026"/>
    <n v="33"/>
    <s v="No"/>
    <s v=""/>
    <m/>
    <m/>
    <s v="*MAV101201549"/>
    <s v="*MAV101201549"/>
    <n v="4.3083245692072383E-4"/>
  </r>
  <r>
    <x v="44"/>
    <s v="Pesos"/>
    <d v="2026-12-14T00:00:00"/>
    <s v="29/10/2026"/>
    <n v="0.96123473000000004"/>
    <m/>
    <n v="11000000"/>
    <n v="10573581.99"/>
    <n v="11000000"/>
    <n v="10573581.99"/>
    <n v="14651800"/>
    <s v="AMOMPY"/>
    <s v="Momentum Capital Investment S.A."/>
    <s v="01/10/2026"/>
    <s v="01/10/2026"/>
    <n v="32"/>
    <s v="No"/>
    <s v=""/>
    <m/>
    <m/>
    <s v="*MAV101201769"/>
    <s v="*MAV101201769"/>
    <n v="1.294063243804274E-4"/>
  </r>
  <r>
    <x v="44"/>
    <s v="Pesos"/>
    <d v="2026-12-14T00:00:00"/>
    <s v="29/10/2026"/>
    <n v="0.96007167999999998"/>
    <m/>
    <n v="12500000"/>
    <n v="12000896.029999999"/>
    <n v="12500000"/>
    <n v="12000896.029999999"/>
    <n v="14651816"/>
    <s v="AMOMPY"/>
    <s v="Momentum Capital Investment S.A."/>
    <s v="01/10/2026"/>
    <s v="01/10/2026"/>
    <n v="33"/>
    <s v="No"/>
    <s v=""/>
    <m/>
    <m/>
    <s v="*MAV101201785"/>
    <s v="*MAV101201785"/>
    <n v="1.4687471530297968E-4"/>
  </r>
  <r>
    <x v="44"/>
    <s v="Pesos"/>
    <d v="2026-12-14T00:00:00"/>
    <s v="29/10/2026"/>
    <n v="0.96007167999999998"/>
    <m/>
    <n v="12500000"/>
    <n v="12000896.029999999"/>
    <n v="12500000"/>
    <n v="12000896.029999999"/>
    <n v="14651819"/>
    <s v="AMOMPY"/>
    <s v="Momentum Capital Investment S.A."/>
    <s v="01/10/2026"/>
    <s v="01/10/2026"/>
    <n v="33"/>
    <s v="No"/>
    <s v=""/>
    <m/>
    <m/>
    <s v="*MAV101201786"/>
    <s v="*MAV101201786"/>
    <n v="1.4687471530297968E-4"/>
  </r>
  <r>
    <x v="59"/>
    <s v="Pesos"/>
    <d v="2026-12-14T00:00:00"/>
    <s v="29/10/2026"/>
    <n v="0.96356920999999995"/>
    <m/>
    <n v="671045.38"/>
    <n v="646598.67000000004"/>
    <n v="671045.38"/>
    <n v="646598.67000000004"/>
    <n v="633"/>
    <s v="AMOMPY"/>
    <s v="Momentum Capital Investment S.A."/>
    <s v="21/10/2026"/>
    <s v="21/10/2026"/>
    <n v="30"/>
    <s v="No"/>
    <s v=""/>
    <m/>
    <m/>
    <s v="*MAV101201979"/>
    <s v="*MAV101201979"/>
    <n v="7.9134920704362863E-6"/>
  </r>
  <r>
    <x v="387"/>
    <s v="Pesos"/>
    <d v="2026-12-14T00:00:00"/>
    <s v="29/10/2026"/>
    <n v="0.96007175"/>
    <m/>
    <n v="13393171.84"/>
    <n v="12858405.9"/>
    <n v="13393171.84"/>
    <n v="12858405.9"/>
    <n v="6"/>
    <s v="AMOMPY"/>
    <s v="Momentum Capital Investment S.A."/>
    <s v="23/10/2026"/>
    <s v="23/10/2026"/>
    <n v="33"/>
    <s v="No"/>
    <s v=""/>
    <m/>
    <m/>
    <s v="*MAV101202000"/>
    <s v="*MAV101202000"/>
    <n v="1.5736947483684303E-4"/>
  </r>
  <r>
    <x v="388"/>
    <s v="Pesos"/>
    <d v="2026-12-14T00:00:00"/>
    <s v="29/10/2026"/>
    <n v="0.96474088000000002"/>
    <m/>
    <n v="781000"/>
    <n v="753462.63"/>
    <n v="781000"/>
    <n v="753462.63"/>
    <n v="11214459"/>
    <s v="AMOMPY"/>
    <s v="Momentum Capital Investment S.A."/>
    <s v="23/10/2026"/>
    <s v="23/10/2026"/>
    <n v="29"/>
    <s v="No"/>
    <s v=""/>
    <m/>
    <m/>
    <s v="*MAV101201991"/>
    <s v="*MAV101201991"/>
    <n v="9.2213622212910985E-6"/>
  </r>
  <r>
    <x v="389"/>
    <s v="Pesos"/>
    <d v="2026-12-14T00:00:00"/>
    <s v="29/10/2026"/>
    <n v="0.96474088999999996"/>
    <m/>
    <n v="1341680.96"/>
    <n v="1294374.48"/>
    <n v="1341680.96"/>
    <n v="1294374.48"/>
    <n v="11401307"/>
    <s v="AMOMPY"/>
    <s v="Momentum Capital Investment S.A."/>
    <s v="23/10/2026"/>
    <s v="23/10/2026"/>
    <n v="29"/>
    <s v="No"/>
    <s v=""/>
    <m/>
    <m/>
    <s v="*MAV101201992"/>
    <s v="*MAV101201992"/>
    <n v="1.5841390740341443E-5"/>
  </r>
  <r>
    <x v="291"/>
    <s v="Pesos"/>
    <d v="2026-12-14T00:00:00"/>
    <s v="29/10/2026"/>
    <n v="0.96007178000000004"/>
    <m/>
    <n v="8000000"/>
    <n v="7680574.2599999998"/>
    <n v="8000000"/>
    <n v="7680574.2599999998"/>
    <n v="242"/>
    <s v="AMOMPY"/>
    <s v="Momentum Capital Investment S.A."/>
    <s v="20/10/2026"/>
    <s v="20/10/2026"/>
    <n v="33"/>
    <s v="No"/>
    <s v=""/>
    <m/>
    <m/>
    <s v="*MAV101201964"/>
    <s v="*MAV101201964"/>
    <n v="9.3999827594614521E-5"/>
  </r>
  <r>
    <x v="192"/>
    <s v="Pesos"/>
    <d v="2026-12-14T00:00:00"/>
    <s v="29/10/2026"/>
    <n v="0.96240057000000001"/>
    <m/>
    <n v="694088.77"/>
    <n v="667991.43000000005"/>
    <n v="694088.77"/>
    <n v="667991.43000000005"/>
    <n v="37824"/>
    <s v="AMOMPY"/>
    <s v="Momentum Capital Investment S.A."/>
    <s v="23/09/2026"/>
    <s v="23/09/2026"/>
    <n v="31"/>
    <s v="No"/>
    <s v=""/>
    <m/>
    <m/>
    <s v="*MAV101201603"/>
    <s v="*MAV101201603"/>
    <n v="8.1753104818857666E-6"/>
  </r>
  <r>
    <x v="390"/>
    <s v="Pesos"/>
    <d v="2026-12-14T00:00:00"/>
    <s v="29/10/2026"/>
    <n v="0.96356929000000002"/>
    <m/>
    <n v="4867830"/>
    <n v="4690491.49"/>
    <n v="4867830"/>
    <n v="4690491.49"/>
    <n v="90000434"/>
    <s v="AMOMPY"/>
    <s v="Momentum Capital Investment S.A."/>
    <s v="08/10/2026"/>
    <s v="08/10/2026"/>
    <n v="30"/>
    <s v="No"/>
    <s v=""/>
    <m/>
    <m/>
    <s v="*MAV101201837"/>
    <s v="*MAV101201837"/>
    <n v="5.740526378219102E-5"/>
  </r>
  <r>
    <x v="391"/>
    <s v="Pesos"/>
    <d v="2026-12-14T00:00:00"/>
    <s v="29/10/2026"/>
    <n v="0.96356916999999997"/>
    <m/>
    <n v="100000000"/>
    <n v="96356916.810000002"/>
    <n v="100000000"/>
    <n v="96356916.810000002"/>
    <n v="69674904"/>
    <s v="AMOMPY"/>
    <s v="Momentum Capital Investment S.A."/>
    <s v="13/10/2026"/>
    <s v="13/10/2026"/>
    <n v="30"/>
    <s v="No"/>
    <s v=""/>
    <m/>
    <m/>
    <s v="*MAV101201873"/>
    <s v="*MAV101201873"/>
    <n v="1.17927817127682E-3"/>
  </r>
  <r>
    <x v="392"/>
    <s v="Pesos"/>
    <d v="2026-12-14T00:00:00"/>
    <s v="29/10/2026"/>
    <n v="0.95775401000000004"/>
    <m/>
    <n v="30000000"/>
    <n v="28732620.27"/>
    <n v="30000000"/>
    <n v="28732620.27"/>
    <n v="14983"/>
    <s v="AMOMPY"/>
    <s v="Momentum Capital Investment S.A."/>
    <s v="15/10/2026"/>
    <s v="15/10/2026"/>
    <n v="35"/>
    <s v="No"/>
    <s v=""/>
    <m/>
    <m/>
    <s v="*MAV101201902"/>
    <s v="*MAV101201902"/>
    <n v="3.5164836121531447E-4"/>
  </r>
  <r>
    <x v="29"/>
    <s v="Pesos"/>
    <d v="2026-12-14T00:00:00"/>
    <s v="29/10/2026"/>
    <n v="0.96827253000000002"/>
    <m/>
    <n v="3729055.13"/>
    <n v="3610741.63"/>
    <n v="3729055.13"/>
    <n v="3610741.63"/>
    <n v="3031"/>
    <s v="AMOMPY"/>
    <s v="Momentum Capital Investment S.A."/>
    <s v="22/09/2026"/>
    <s v="22/09/2026"/>
    <n v="26"/>
    <s v="No"/>
    <s v=""/>
    <m/>
    <m/>
    <s v="*TRD101200047"/>
    <s v="*TRD101200047"/>
    <n v="4.4190587737211386E-5"/>
  </r>
  <r>
    <x v="393"/>
    <s v="Pesos"/>
    <d v="2026-12-14T00:00:00"/>
    <s v="29/10/2026"/>
    <n v="0.96007173999999995"/>
    <m/>
    <n v="1800000"/>
    <n v="1728129.13"/>
    <n v="1800000"/>
    <n v="1728129.13"/>
    <n v="30000440"/>
    <s v="AMOMPY"/>
    <s v="Momentum Capital Investment S.A."/>
    <s v="16/10/2026"/>
    <s v="16/10/2026"/>
    <n v="33"/>
    <s v="No"/>
    <s v=""/>
    <m/>
    <m/>
    <s v="*MAV101201920"/>
    <s v="*MAV101201920"/>
    <n v="2.1149960248054574E-5"/>
  </r>
  <r>
    <x v="51"/>
    <s v="Pesos"/>
    <d v="2026-12-14T00:00:00"/>
    <s v="29/10/2026"/>
    <n v="0.96123471999999999"/>
    <m/>
    <n v="75000000"/>
    <n v="72092603.799999997"/>
    <n v="75000000"/>
    <n v="72092603.799999997"/>
    <n v="21575"/>
    <s v="AMOMPY"/>
    <s v="Momentum Capital Investment S.A."/>
    <s v="22/10/2026"/>
    <s v="22/10/2026"/>
    <n v="32"/>
    <s v="No"/>
    <s v=""/>
    <m/>
    <m/>
    <s v="*MAV101201989"/>
    <s v="*MAV101201989"/>
    <n v="8.8231583975946764E-4"/>
  </r>
  <r>
    <x v="212"/>
    <s v="Pesos"/>
    <d v="2026-12-14T00:00:00"/>
    <s v="29/10/2026"/>
    <n v="0.96007158000000004"/>
    <m/>
    <n v="65000000"/>
    <n v="62404652.539999999"/>
    <n v="65000000"/>
    <n v="62404652.539999999"/>
    <n v="38498315"/>
    <s v="AMOMPY"/>
    <s v="Momentum Capital Investment S.A."/>
    <s v="29/09/2026"/>
    <s v="29/09/2026"/>
    <n v="33"/>
    <s v="No"/>
    <s v=""/>
    <m/>
    <m/>
    <s v="*MAV101201629"/>
    <s v="*MAV101201629"/>
    <n v="7.6374843615688488E-4"/>
  </r>
  <r>
    <x v="0"/>
    <s v="Pesos"/>
    <d v="2026-12-15T00:00:00"/>
    <s v="29/10/2026"/>
    <n v="0.96400202000000002"/>
    <m/>
    <n v="3305601.4"/>
    <n v="3186606.43"/>
    <n v="3305601.4"/>
    <n v="3186606.43"/>
    <n v="40775098"/>
    <s v="AMOMPY"/>
    <s v="Momentum Capital Investment S.A."/>
    <s v="28/10/2026"/>
    <s v="28/10/2026"/>
    <n v="29"/>
    <s v="No"/>
    <s v=""/>
    <m/>
    <m/>
    <s v="*TRD111200044"/>
    <s v="*TRD111200044"/>
    <n v="3.8999747270445647E-5"/>
  </r>
  <r>
    <x v="2"/>
    <s v="Pesos"/>
    <d v="2026-12-15T00:00:00"/>
    <s v="29/10/2026"/>
    <n v="0.95687518000000005"/>
    <m/>
    <n v="4150625.28"/>
    <n v="3971630.29"/>
    <n v="4150625.28"/>
    <n v="3971630.29"/>
    <n v="3494"/>
    <s v="AMOMPY"/>
    <s v="Momentum Capital Investment S.A."/>
    <s v="26/10/2026"/>
    <s v="26/10/2026"/>
    <n v="35"/>
    <s v="No"/>
    <s v=""/>
    <m/>
    <m/>
    <s v="*MAV111201646"/>
    <s v="*MAV111201646"/>
    <n v="4.8607376205428277E-5"/>
  </r>
  <r>
    <x v="2"/>
    <s v="Pesos"/>
    <d v="2026-12-15T00:00:00"/>
    <s v="29/10/2026"/>
    <n v="0.95569767000000005"/>
    <m/>
    <n v="3105640.28"/>
    <n v="2968053.17"/>
    <n v="3105640.28"/>
    <n v="2968053.17"/>
    <n v="3395"/>
    <s v="AMOMPY"/>
    <s v="Momentum Capital Investment S.A."/>
    <s v="07/09/2026"/>
    <s v="07/09/2026"/>
    <n v="36"/>
    <s v="No"/>
    <s v=""/>
    <m/>
    <m/>
    <s v="*MAV111201293"/>
    <s v="*MAV111201293"/>
    <n v="3.6324951341808797E-5"/>
  </r>
  <r>
    <x v="2"/>
    <s v="Pesos"/>
    <d v="2026-12-15T00:00:00"/>
    <s v="29/10/2026"/>
    <n v="0.95569767999999999"/>
    <m/>
    <n v="2874176.47"/>
    <n v="2746843.78"/>
    <n v="2874176.47"/>
    <n v="2746843.78"/>
    <n v="3443"/>
    <s v="AMOMPY"/>
    <s v="Momentum Capital Investment S.A."/>
    <s v="11/09/2026"/>
    <s v="11/09/2026"/>
    <n v="36"/>
    <s v="No"/>
    <s v=""/>
    <m/>
    <m/>
    <s v="*MAV111201321"/>
    <s v="*MAV111201321"/>
    <n v="3.3617647979011824E-5"/>
  </r>
  <r>
    <x v="394"/>
    <s v="Pesos"/>
    <d v="2026-12-15T00:00:00"/>
    <s v="29/10/2026"/>
    <n v="0.95923879999999995"/>
    <m/>
    <n v="78805.34"/>
    <n v="75593.14"/>
    <n v="78805.34"/>
    <n v="75593.14"/>
    <n v="69702508"/>
    <s v="AMOMPY"/>
    <s v="Momentum Capital Investment S.A."/>
    <s v="16/09/2026"/>
    <s v="16/09/2026"/>
    <n v="33"/>
    <s v="No"/>
    <s v=""/>
    <m/>
    <m/>
    <s v="*MAV111201343"/>
    <s v="*MAV111201343"/>
    <n v="9.2515766227817959E-7"/>
  </r>
  <r>
    <x v="3"/>
    <s v="Pesos"/>
    <d v="2026-12-15T00:00:00"/>
    <s v="29/10/2026"/>
    <n v="0.96520002000000005"/>
    <m/>
    <n v="8400000"/>
    <n v="8107680.1600000001"/>
    <n v="8400000"/>
    <n v="8107680.1600000001"/>
    <n v="2457"/>
    <s v="AMOMPY"/>
    <s v="Momentum Capital Investment S.A."/>
    <s v="21/09/2026"/>
    <s v="21/09/2026"/>
    <n v="28"/>
    <s v="No"/>
    <s v=""/>
    <m/>
    <m/>
    <s v="*MOV111200070"/>
    <s v="*MOV111200070"/>
    <n v="9.9227025406336828E-5"/>
  </r>
  <r>
    <x v="168"/>
    <s v="Pesos"/>
    <d v="2026-12-15T00:00:00"/>
    <s v="29/10/2026"/>
    <n v="0.96042532999999997"/>
    <m/>
    <n v="5000000"/>
    <n v="4802126.67"/>
    <n v="5000000"/>
    <n v="4802126.67"/>
    <n v="727"/>
    <s v="AMOMPY"/>
    <s v="Momentum Capital Investment S.A."/>
    <s v="28/09/2026"/>
    <s v="28/09/2026"/>
    <n v="32"/>
    <s v="No"/>
    <s v=""/>
    <m/>
    <m/>
    <s v="*MAV111201399"/>
    <s v="*MAV111201399"/>
    <n v="5.877152720446457E-5"/>
  </r>
  <r>
    <x v="197"/>
    <s v="Pesos"/>
    <d v="2026-12-15T00:00:00"/>
    <s v="29/10/2026"/>
    <n v="0.96042523999999996"/>
    <m/>
    <n v="1129854.56"/>
    <n v="1085140.8400000001"/>
    <n v="1129854.56"/>
    <n v="1085140.8400000001"/>
    <n v="1029"/>
    <s v="AMOMPY"/>
    <s v="Momentum Capital Investment S.A."/>
    <s v="15/09/2026"/>
    <s v="15/09/2026"/>
    <n v="32"/>
    <s v="No"/>
    <s v=""/>
    <m/>
    <m/>
    <s v="*MAV111201339"/>
    <s v="*MAV111201339"/>
    <n v="1.3280654339494035E-5"/>
  </r>
  <r>
    <x v="55"/>
    <s v="Pesos"/>
    <d v="2026-12-15T00:00:00"/>
    <s v="29/10/2026"/>
    <n v="0.96520006000000003"/>
    <m/>
    <n v="35000000"/>
    <n v="33782002.079999998"/>
    <n v="35000000"/>
    <n v="33782002.079999998"/>
    <n v="69933224"/>
    <s v="AMOMPY"/>
    <s v="Momentum Capital Investment S.A."/>
    <s v="22/09/2026"/>
    <s v="22/09/2026"/>
    <n v="28"/>
    <s v="No"/>
    <s v=""/>
    <m/>
    <m/>
    <s v="*PRO111200013"/>
    <s v="*PRO111200013"/>
    <n v="4.1344595649035613E-4"/>
  </r>
  <r>
    <x v="395"/>
    <s v="Pesos"/>
    <d v="2026-12-15T00:00:00"/>
    <s v="29/10/2026"/>
    <n v="0.96280668999999997"/>
    <m/>
    <n v="23167422.219999999"/>
    <n v="22305749.050000001"/>
    <n v="23167422.219999999"/>
    <n v="22305749.050000001"/>
    <n v="438"/>
    <s v="AMOMPY"/>
    <s v="Momentum Capital Investment S.A."/>
    <s v="23/09/2026"/>
    <s v="23/09/2026"/>
    <n v="30"/>
    <s v="No"/>
    <s v=""/>
    <m/>
    <m/>
    <s v="*CUY111200026"/>
    <s v="*CUY111200026"/>
    <n v="2.7299216101436883E-4"/>
  </r>
  <r>
    <x v="54"/>
    <s v="Pesos"/>
    <d v="2026-12-15T00:00:00"/>
    <s v="29/10/2026"/>
    <n v="0.96161448999999999"/>
    <m/>
    <n v="10000000"/>
    <n v="9616144.8800000008"/>
    <n v="10000000"/>
    <n v="9616144.8800000008"/>
    <n v="181"/>
    <s v="AMOMPY"/>
    <s v="Momentum Capital Investment S.A."/>
    <s v="01/09/2026"/>
    <s v="01/09/2026"/>
    <n v="31"/>
    <s v="No"/>
    <s v=""/>
    <m/>
    <m/>
    <s v="*INP111200064"/>
    <s v="*INP111200064"/>
    <n v="1.1768859075451935E-4"/>
  </r>
  <r>
    <x v="68"/>
    <s v="Pesos"/>
    <d v="2026-12-15T00:00:00"/>
    <s v="29/10/2026"/>
    <n v="0.95923895999999997"/>
    <m/>
    <n v="22500000"/>
    <n v="21582876.629999999"/>
    <n v="22500000"/>
    <n v="21582876.629999999"/>
    <n v="300"/>
    <s v="AMOMPY"/>
    <s v="Momentum Capital Investment S.A."/>
    <s v="23/09/2026"/>
    <s v="23/09/2026"/>
    <n v="33"/>
    <s v="No"/>
    <s v=""/>
    <m/>
    <m/>
    <s v="*MAV111201384"/>
    <s v="*MAV111201384"/>
    <n v="2.6414518153696425E-4"/>
  </r>
  <r>
    <x v="287"/>
    <s v="Pesos"/>
    <d v="2026-12-15T00:00:00"/>
    <s v="29/10/2026"/>
    <n v="0.96519999000000001"/>
    <m/>
    <n v="50000000"/>
    <n v="48259999.670000002"/>
    <n v="50000000"/>
    <n v="48259999.670000002"/>
    <n v="40665393"/>
    <s v="AMOMPY"/>
    <s v="Momentum Capital Investment S.A."/>
    <s v="05/08/2026"/>
    <s v="05/08/2026"/>
    <n v="28"/>
    <s v="No"/>
    <s v=""/>
    <m/>
    <m/>
    <s v="*MAV111201207"/>
    <s v="*MAV111201207"/>
    <n v="5.9063704029549402E-4"/>
  </r>
  <r>
    <x v="289"/>
    <s v="Pesos"/>
    <d v="2026-12-15T00:00:00"/>
    <s v="29/10/2026"/>
    <n v="0.96042538"/>
    <m/>
    <n v="5000000"/>
    <n v="4802126.9000000004"/>
    <n v="5000000"/>
    <n v="4802126.9000000004"/>
    <n v="57"/>
    <s v="AMOMPY"/>
    <s v="Momentum Capital Investment S.A."/>
    <s v="20/10/2026"/>
    <s v="20/10/2026"/>
    <n v="32"/>
    <s v="No"/>
    <s v=""/>
    <m/>
    <m/>
    <s v="*MAV111201597"/>
    <s v="*MAV111201597"/>
    <n v="5.8771530019353104E-5"/>
  </r>
  <r>
    <x v="145"/>
    <s v="Pesos"/>
    <d v="2026-12-15T00:00:00"/>
    <s v="29/10/2026"/>
    <n v="0.96280686999999998"/>
    <m/>
    <n v="2006000"/>
    <n v="1931390.58"/>
    <n v="2006000"/>
    <n v="1931390.58"/>
    <n v="70555950"/>
    <s v="AMOMPY"/>
    <s v="Momentum Capital Investment S.A."/>
    <s v="21/10/2026"/>
    <s v="21/10/2026"/>
    <n v="30"/>
    <s v="No"/>
    <s v=""/>
    <m/>
    <m/>
    <s v="*MAV111201607"/>
    <s v="*MAV111201607"/>
    <n v="2.3637605131085934E-5"/>
  </r>
  <r>
    <x v="223"/>
    <s v="Pesos"/>
    <d v="2026-12-15T00:00:00"/>
    <s v="29/10/2026"/>
    <n v="0.95923904999999998"/>
    <m/>
    <n v="672232.39"/>
    <n v="644831.56000000006"/>
    <n v="672232.39"/>
    <n v="644831.56000000006"/>
    <n v="19725"/>
    <s v="AMOMPY"/>
    <s v="Momentum Capital Investment S.A."/>
    <s v="16/10/2026"/>
    <s v="16/10/2026"/>
    <n v="33"/>
    <s v="No"/>
    <s v=""/>
    <m/>
    <m/>
    <s v="*MAV111201573"/>
    <s v="*MAV111201573"/>
    <n v="7.8918650371289209E-6"/>
  </r>
  <r>
    <x v="223"/>
    <s v="Pesos"/>
    <d v="2026-12-15T00:00:00"/>
    <s v="29/10/2026"/>
    <n v="0.95923904000000004"/>
    <m/>
    <n v="649795.28"/>
    <n v="623309"/>
    <n v="649795.28"/>
    <n v="623309"/>
    <n v="19652"/>
    <s v="AMOMPY"/>
    <s v="Momentum Capital Investment S.A."/>
    <s v="16/10/2026"/>
    <s v="16/10/2026"/>
    <n v="33"/>
    <s v="No"/>
    <s v=""/>
    <m/>
    <m/>
    <s v="*MAV111201571"/>
    <s v="*MAV111201571"/>
    <n v="7.6284580494599089E-6"/>
  </r>
  <r>
    <x v="146"/>
    <s v="Pesos"/>
    <d v="2026-12-15T00:00:00"/>
    <s v="29/10/2026"/>
    <n v="0.96280677999999997"/>
    <m/>
    <n v="100000000"/>
    <n v="96280677.5"/>
    <n v="100000000"/>
    <n v="96280677.5"/>
    <n v="90004288"/>
    <s v="AMOMPY"/>
    <s v="Momentum Capital Investment S.A."/>
    <s v="02/10/2026"/>
    <s v="02/10/2026"/>
    <n v="30"/>
    <s v="No"/>
    <s v=""/>
    <m/>
    <m/>
    <s v="*MAV111201453"/>
    <s v="*MAV111201453"/>
    <n v="1.1783451053688115E-3"/>
  </r>
  <r>
    <x v="80"/>
    <s v="Pesos"/>
    <d v="2026-12-15T00:00:00"/>
    <s v="29/10/2026"/>
    <n v="0.96400191000000002"/>
    <m/>
    <n v="2500000"/>
    <n v="2410004.77"/>
    <n v="2500000"/>
    <n v="2410004.77"/>
    <n v="365"/>
    <s v="AMOMPY"/>
    <s v="Momentum Capital Investment S.A."/>
    <s v="23/10/2026"/>
    <s v="23/10/2026"/>
    <n v="29"/>
    <s v="No"/>
    <s v=""/>
    <m/>
    <m/>
    <s v="*MAV111201624"/>
    <s v="*MAV111201624"/>
    <n v="2.9495194657775319E-5"/>
  </r>
  <r>
    <x v="204"/>
    <s v="Pesos"/>
    <d v="2026-12-15T00:00:00"/>
    <s v="29/10/2026"/>
    <n v="0.96042530000000004"/>
    <m/>
    <n v="7166096.25"/>
    <n v="6882500.1399999997"/>
    <n v="7166096.25"/>
    <n v="6882500.1399999997"/>
    <n v="90000770"/>
    <s v="AMOMPY"/>
    <s v="Momentum Capital Investment S.A."/>
    <s v="01/10/2026"/>
    <s v="01/10/2026"/>
    <n v="32"/>
    <s v="No"/>
    <s v=""/>
    <m/>
    <m/>
    <s v="*MAV111201420"/>
    <s v="*MAV111201420"/>
    <n v="8.4232481150427717E-5"/>
  </r>
  <r>
    <x v="25"/>
    <s v="Pesos"/>
    <d v="2026-12-15T00:00:00"/>
    <s v="29/10/2026"/>
    <n v="0.96400191000000002"/>
    <m/>
    <n v="30000000"/>
    <n v="28920057.32"/>
    <n v="30000000"/>
    <n v="28920057.32"/>
    <n v="9825620"/>
    <s v="AMOMPY"/>
    <s v="Momentum Capital Investment S.A."/>
    <s v="31/08/2026"/>
    <s v="31/08/2026"/>
    <n v="29"/>
    <s v="No"/>
    <s v=""/>
    <m/>
    <m/>
    <s v="*NEU111200021"/>
    <s v="*NEU111200021"/>
    <n v="3.5394233687239548E-4"/>
  </r>
  <r>
    <x v="234"/>
    <s v="Pesos"/>
    <d v="2026-12-15T00:00:00"/>
    <s v="29/10/2026"/>
    <n v="0.96042532999999997"/>
    <m/>
    <n v="1858362"/>
    <n v="1784817.94"/>
    <n v="1858362"/>
    <n v="1784817.94"/>
    <n v="1486"/>
    <s v="AMOMPY"/>
    <s v="Momentum Capital Investment S.A."/>
    <s v="05/10/2026"/>
    <s v="05/10/2026"/>
    <n v="32"/>
    <s v="No"/>
    <s v=""/>
    <m/>
    <m/>
    <s v="*MAV111201466"/>
    <s v="*MAV111201466"/>
    <n v="2.1843754512149595E-5"/>
  </r>
  <r>
    <x v="29"/>
    <s v="Pesos"/>
    <d v="2026-12-15T00:00:00"/>
    <s v="29/10/2026"/>
    <n v="0.96760515000000002"/>
    <m/>
    <n v="5000000"/>
    <n v="4838025.7300000004"/>
    <n v="5000000"/>
    <n v="4838025.7300000004"/>
    <n v="491508"/>
    <s v="AMOMPY"/>
    <s v="Momentum Capital Investment S.A."/>
    <s v="20/07/2026"/>
    <s v="20/07/2026"/>
    <n v="26"/>
    <s v="No"/>
    <s v=""/>
    <m/>
    <m/>
    <s v="*MIL111200037"/>
    <s v="*MIL111200037"/>
    <n v="5.9210883082889315E-5"/>
  </r>
  <r>
    <x v="29"/>
    <s v="Pesos"/>
    <d v="2026-12-15T00:00:00"/>
    <s v="29/10/2026"/>
    <n v="0.96520006000000003"/>
    <m/>
    <n v="5000000"/>
    <n v="4826000.3099999996"/>
    <n v="5000000"/>
    <n v="4826000.3099999996"/>
    <n v="40797748"/>
    <s v="AMOMPY"/>
    <s v="Momentum Capital Investment S.A."/>
    <s v="22/09/2026"/>
    <s v="22/09/2026"/>
    <n v="28"/>
    <s v="No"/>
    <s v=""/>
    <m/>
    <m/>
    <s v="*MIL111200039"/>
    <s v="*MIL111200039"/>
    <n v="5.9063708227404884E-5"/>
  </r>
  <r>
    <x v="396"/>
    <s v="Pesos"/>
    <d v="2026-12-15T00:00:00"/>
    <s v="29/10/2026"/>
    <n v="0.95923915000000004"/>
    <m/>
    <n v="1508292.23"/>
    <n v="1446812.96"/>
    <n v="1508292.23"/>
    <n v="1446812.96"/>
    <n v="2"/>
    <s v="AMOMPY"/>
    <s v="Momentum Capital Investment S.A."/>
    <s v="21/10/2026"/>
    <s v="21/10/2026"/>
    <n v="33"/>
    <s v="No"/>
    <s v=""/>
    <m/>
    <m/>
    <s v="*MAV111201612"/>
    <s v="*MAV111201612"/>
    <n v="1.7707031297117348E-5"/>
  </r>
  <r>
    <x v="368"/>
    <s v="Pesos"/>
    <d v="2026-12-15T00:00:00"/>
    <s v="29/10/2026"/>
    <n v="0.95923915999999998"/>
    <m/>
    <n v="4725000"/>
    <n v="4532405.01"/>
    <n v="4725000"/>
    <n v="4532405.01"/>
    <n v="11163479"/>
    <s v="AMOMPY"/>
    <s v="Momentum Capital Investment S.A."/>
    <s v="21/10/2026"/>
    <s v="21/10/2026"/>
    <n v="33"/>
    <s v="No"/>
    <s v=""/>
    <m/>
    <m/>
    <s v="*MAV111201613"/>
    <s v="*MAV111201613"/>
    <n v="5.5470499354167705E-5"/>
  </r>
  <r>
    <x v="213"/>
    <s v="Pesos"/>
    <d v="2026-12-15T00:00:00"/>
    <s v="29/10/2026"/>
    <n v="0.96280679999999996"/>
    <m/>
    <n v="2195601.9"/>
    <n v="2113940.44"/>
    <n v="2195601.9"/>
    <n v="2113940.44"/>
    <n v="230"/>
    <s v="AMOMPY"/>
    <s v="Momentum Capital Investment S.A."/>
    <s v="29/09/2026"/>
    <s v="29/09/2026"/>
    <n v="30"/>
    <s v="No"/>
    <s v=""/>
    <m/>
    <m/>
    <s v="*MAV111201417"/>
    <s v="*MAV111201417"/>
    <n v="2.5871768200999537E-5"/>
  </r>
  <r>
    <x v="0"/>
    <s v="Pesos"/>
    <d v="2026-12-16T00:00:00"/>
    <s v="29/10/2026"/>
    <n v="0.96326416000000004"/>
    <m/>
    <n v="4000000"/>
    <n v="3853056.66"/>
    <n v="4000000"/>
    <n v="3853056.66"/>
    <n v="40775099"/>
    <s v="AMOMPY"/>
    <s v="Momentum Capital Investment S.A."/>
    <s v="28/10/2026"/>
    <s v="28/10/2026"/>
    <n v="29"/>
    <s v="No"/>
    <s v=""/>
    <m/>
    <m/>
    <s v="*TRD141200031"/>
    <s v="*TRD141200031"/>
    <n v="4.7156195551487486E-5"/>
  </r>
  <r>
    <x v="1"/>
    <s v="Pesos"/>
    <d v="2026-12-16T00:00:00"/>
    <s v="29/10/2026"/>
    <n v="0.96204539"/>
    <m/>
    <n v="20000000"/>
    <n v="19240907.719999999"/>
    <n v="20000000"/>
    <n v="19240907.719999999"/>
    <n v="1063"/>
    <s v="AMOMPY"/>
    <s v="Momentum Capital Investment S.A."/>
    <s v="17/09/2026"/>
    <s v="16/09/2026"/>
    <n v="30"/>
    <s v="No"/>
    <s v=""/>
    <m/>
    <m/>
    <s v="*AFB141200006"/>
    <s v="*AFB141200006"/>
    <n v="2.3548265366864476E-4"/>
  </r>
  <r>
    <x v="370"/>
    <s v="Pesos"/>
    <d v="2026-12-16T00:00:00"/>
    <s v="29/10/2026"/>
    <n v="0.95599800999999995"/>
    <m/>
    <n v="5000000"/>
    <n v="4779990.05"/>
    <n v="5000000"/>
    <n v="4779990.05"/>
    <n v="543"/>
    <s v="AMOMPY"/>
    <s v="Momentum Capital Investment S.A."/>
    <s v="18/09/2026"/>
    <s v="18/09/2026"/>
    <n v="35"/>
    <s v="No"/>
    <s v=""/>
    <m/>
    <m/>
    <s v="*MAV131201210"/>
    <s v="*MAV131201210"/>
    <n v="5.8500604953980721E-5"/>
  </r>
  <r>
    <x v="54"/>
    <s v="Pesos"/>
    <d v="2026-12-16T00:00:00"/>
    <s v="29/10/2026"/>
    <n v="0.96082984000000005"/>
    <m/>
    <n v="3700000"/>
    <n v="3555070.4"/>
    <n v="3700000"/>
    <n v="3555070.4"/>
    <n v="164534"/>
    <s v="AMOMPY"/>
    <s v="Momentum Capital Investment S.A."/>
    <s v="18/09/2026"/>
    <s v="18/09/2026"/>
    <n v="31"/>
    <s v="No"/>
    <s v=""/>
    <m/>
    <m/>
    <s v="#IGA151260003"/>
    <s v="#IGA151260003"/>
    <n v="4.3509247274267908E-5"/>
  </r>
  <r>
    <x v="54"/>
    <s v="Pesos"/>
    <d v="2026-12-16T00:00:00"/>
    <s v="29/10/2026"/>
    <n v="0.96448582999999999"/>
    <m/>
    <n v="8000000"/>
    <n v="7715886.6500000004"/>
    <n v="8000000"/>
    <n v="7715886.6500000004"/>
    <n v="6499"/>
    <s v="AMOMPY"/>
    <s v="Momentum Capital Investment S.A."/>
    <s v="17/09/2026"/>
    <s v="17/09/2026"/>
    <n v="28"/>
    <s v="No"/>
    <s v=""/>
    <m/>
    <m/>
    <s v="*INP141200058"/>
    <s v="*INP141200058"/>
    <n v="9.4432003426731778E-5"/>
  </r>
  <r>
    <x v="54"/>
    <s v="Pesos"/>
    <d v="2026-12-16T00:00:00"/>
    <s v="29/10/2026"/>
    <n v="0.96448582999999999"/>
    <m/>
    <n v="8000000"/>
    <n v="7715886.6500000004"/>
    <n v="8000000"/>
    <n v="7715886.6500000004"/>
    <n v="6498"/>
    <s v="AMOMPY"/>
    <s v="Momentum Capital Investment S.A."/>
    <s v="17/09/2026"/>
    <s v="17/09/2026"/>
    <n v="28"/>
    <s v="No"/>
    <s v=""/>
    <m/>
    <m/>
    <s v="*INP121200079"/>
    <s v="*INP121200079"/>
    <n v="9.4432003426731778E-5"/>
  </r>
  <r>
    <x v="54"/>
    <s v="Pesos"/>
    <d v="2026-12-16T00:00:00"/>
    <s v="29/10/2026"/>
    <n v="0.96448588999999996"/>
    <m/>
    <n v="8000000"/>
    <n v="7715887.1100000003"/>
    <n v="8000000"/>
    <n v="7715887.1100000003"/>
    <n v="90000332"/>
    <s v="AMOMPY"/>
    <s v="Momentum Capital Investment S.A."/>
    <s v="22/09/2026"/>
    <s v="22/09/2026"/>
    <n v="28"/>
    <s v="No"/>
    <s v=""/>
    <m/>
    <m/>
    <s v="*INP141200060"/>
    <s v="*INP141200060"/>
    <n v="9.4432009056508818E-5"/>
  </r>
  <r>
    <x v="3"/>
    <s v="Pesos"/>
    <d v="2026-12-16T00:00:00"/>
    <s v="29/10/2026"/>
    <n v="0.96448584999999998"/>
    <m/>
    <n v="8400000"/>
    <n v="8101681.1200000001"/>
    <n v="8400000"/>
    <n v="8101681.1200000001"/>
    <n v="2458"/>
    <s v="AMOMPY"/>
    <s v="Momentum Capital Investment S.A."/>
    <s v="21/09/2026"/>
    <s v="21/09/2026"/>
    <n v="28"/>
    <s v="No"/>
    <s v=""/>
    <m/>
    <m/>
    <s v="*MOV141200065"/>
    <s v="*MOV141200065"/>
    <n v="9.9153605280882142E-5"/>
  </r>
  <r>
    <x v="218"/>
    <s v="Pesos"/>
    <d v="2026-12-16T00:00:00"/>
    <s v="29/10/2026"/>
    <n v="0.95961733000000005"/>
    <m/>
    <n v="1869225"/>
    <n v="1793740.7"/>
    <n v="1869225"/>
    <n v="1793740.7"/>
    <n v="6"/>
    <s v="AMOMPY"/>
    <s v="Momentum Capital Investment S.A."/>
    <s v="15/09/2026"/>
    <s v="15/09/2026"/>
    <n v="32"/>
    <s v="No"/>
    <s v=""/>
    <m/>
    <m/>
    <s v="*MAV141201218"/>
    <s v="*MAV141201218"/>
    <n v="2.1952957010983077E-5"/>
  </r>
  <r>
    <x v="238"/>
    <s v="Pesos"/>
    <d v="2026-12-16T00:00:00"/>
    <s v="29/10/2026"/>
    <n v="0.95961733000000005"/>
    <m/>
    <n v="2112204.7400000002"/>
    <n v="2026908.28"/>
    <n v="2112204.7400000002"/>
    <n v="2026908.28"/>
    <n v="214"/>
    <s v="AMOMPY"/>
    <s v="Momentum Capital Investment S.A."/>
    <s v="15/09/2026"/>
    <s v="15/09/2026"/>
    <n v="32"/>
    <s v="No"/>
    <s v=""/>
    <m/>
    <m/>
    <s v="*MAV141201220"/>
    <s v="*MAV141201220"/>
    <n v="2.4806612425110082E-5"/>
  </r>
  <r>
    <x v="239"/>
    <s v="Pesos"/>
    <d v="2026-12-16T00:00:00"/>
    <s v="29/10/2026"/>
    <n v="0.95961733999999999"/>
    <m/>
    <n v="1566916.35"/>
    <n v="1503640.1"/>
    <n v="1566916.35"/>
    <n v="1503640.1"/>
    <n v="1182"/>
    <s v="AMOMPY"/>
    <s v="Momentum Capital Investment S.A."/>
    <s v="15/09/2026"/>
    <s v="15/09/2026"/>
    <n v="32"/>
    <s v="No"/>
    <s v=""/>
    <m/>
    <m/>
    <s v="*MAV141201219"/>
    <s v="*MAV141201219"/>
    <n v="1.8402518533080227E-5"/>
  </r>
  <r>
    <x v="55"/>
    <s v="Pesos"/>
    <d v="2026-12-16T00:00:00"/>
    <s v="29/10/2026"/>
    <n v="0.96448593000000005"/>
    <m/>
    <n v="72308420.969999999"/>
    <n v="69740454.680000007"/>
    <n v="72308420.969999999"/>
    <n v="69740454.680000007"/>
    <n v="76216"/>
    <s v="AMOMPY"/>
    <s v="Momentum Capital Investment S.A."/>
    <s v="28/10/2026"/>
    <s v="28/10/2026"/>
    <n v="28"/>
    <s v="No"/>
    <s v=""/>
    <m/>
    <m/>
    <s v="*PRO131200015"/>
    <s v="*PRO131200015"/>
    <n v="8.5352871990720502E-4"/>
  </r>
  <r>
    <x v="34"/>
    <s v="Pesos"/>
    <d v="2026-12-16T00:00:00"/>
    <s v="29/10/2026"/>
    <n v="0.95961744000000004"/>
    <m/>
    <n v="75000000"/>
    <n v="71971308.340000004"/>
    <n v="75000000"/>
    <n v="71971308.340000004"/>
    <n v="3498"/>
    <s v="AMOMPY"/>
    <s v="Momentum Capital Investment S.A."/>
    <s v="22/10/2026"/>
    <s v="22/10/2026"/>
    <n v="32"/>
    <s v="No"/>
    <s v=""/>
    <m/>
    <m/>
    <s v="*MAV131201274"/>
    <s v="*MAV131201274"/>
    <n v="8.8083134759234043E-4"/>
  </r>
  <r>
    <x v="8"/>
    <s v="Pesos"/>
    <d v="2026-12-16T00:00:00"/>
    <s v="29/10/2026"/>
    <n v="0.95840789999999998"/>
    <m/>
    <n v="5000000"/>
    <n v="4792039.5"/>
    <n v="5000000"/>
    <n v="4792039.5"/>
    <n v="70108109"/>
    <s v="AMOMPY"/>
    <s v="Momentum Capital Investment S.A."/>
    <s v="30/09/2026"/>
    <s v="30/09/2026"/>
    <n v="33"/>
    <s v="No"/>
    <s v=""/>
    <m/>
    <m/>
    <s v="*MAV141201314"/>
    <s v="*MAV141201314"/>
    <n v="5.8648073904122735E-5"/>
  </r>
  <r>
    <x v="220"/>
    <s v="Pesos"/>
    <d v="2026-12-16T00:00:00"/>
    <s v="29/10/2026"/>
    <n v="0.95840773000000001"/>
    <m/>
    <n v="150000000"/>
    <n v="143761160.09"/>
    <n v="150000000"/>
    <n v="143761160.09"/>
    <n v="90016070"/>
    <s v="AMOMPY"/>
    <s v="Momentum Capital Investment S.A."/>
    <s v="14/08/2026"/>
    <s v="14/08/2026"/>
    <n v="33"/>
    <s v="No"/>
    <s v=""/>
    <m/>
    <m/>
    <s v="*MAV121201575"/>
    <s v="*MAV121201575"/>
    <n v="1.7594419122590162E-3"/>
  </r>
  <r>
    <x v="397"/>
    <s v="Pesos"/>
    <d v="2026-12-16T00:00:00"/>
    <s v="29/10/2026"/>
    <n v="0.95240581000000002"/>
    <m/>
    <n v="233000000"/>
    <n v="221910552.96000001"/>
    <n v="233000000"/>
    <n v="221910552.96000001"/>
    <n v="70417341"/>
    <s v="AMOMPY"/>
    <s v="Momentum Capital Investment S.A."/>
    <s v="15/10/2026"/>
    <s v="15/10/2026"/>
    <n v="38"/>
    <s v="No"/>
    <s v=""/>
    <m/>
    <m/>
    <s v="*MAV141201530"/>
    <s v="*MAV141201530"/>
    <n v="2.715884647883813E-3"/>
  </r>
  <r>
    <x v="222"/>
    <s v="Pesos"/>
    <d v="2026-12-16T00:00:00"/>
    <s v="29/10/2026"/>
    <n v="0.96204542999999998"/>
    <m/>
    <n v="973250.02"/>
    <n v="936310.73"/>
    <n v="973250.02"/>
    <n v="936310.73"/>
    <n v="692243"/>
    <s v="AMOMPY"/>
    <s v="Momentum Capital Investment S.A."/>
    <s v="13/10/2026"/>
    <s v="13/10/2026"/>
    <n v="30"/>
    <s v="No"/>
    <s v=""/>
    <m/>
    <m/>
    <s v="*MAV141201458"/>
    <s v="*MAV141201458"/>
    <n v="1.1459175344915897E-5"/>
  </r>
  <r>
    <x v="222"/>
    <s v="Pesos"/>
    <d v="2026-12-16T00:00:00"/>
    <s v="29/10/2026"/>
    <n v="0.96204542999999998"/>
    <m/>
    <n v="973250.02"/>
    <n v="936310.73"/>
    <n v="973250.02"/>
    <n v="936310.73"/>
    <n v="692200"/>
    <s v="AMOMPY"/>
    <s v="Momentum Capital Investment S.A."/>
    <s v="13/10/2026"/>
    <s v="13/10/2026"/>
    <n v="30"/>
    <s v="No"/>
    <s v=""/>
    <m/>
    <m/>
    <s v="*MAV141201459"/>
    <s v="*MAV141201459"/>
    <n v="1.1459175344915897E-5"/>
  </r>
  <r>
    <x v="222"/>
    <s v="Pesos"/>
    <d v="2026-12-16T00:00:00"/>
    <s v="29/10/2026"/>
    <n v="0.96204542999999998"/>
    <m/>
    <n v="973250.02"/>
    <n v="936310.73"/>
    <n v="973250.02"/>
    <n v="936310.73"/>
    <n v="692198"/>
    <s v="AMOMPY"/>
    <s v="Momentum Capital Investment S.A."/>
    <s v="13/10/2026"/>
    <s v="13/10/2026"/>
    <n v="30"/>
    <s v="No"/>
    <s v=""/>
    <m/>
    <m/>
    <s v="*MAV141201460"/>
    <s v="*MAV141201460"/>
    <n v="1.1459175344915897E-5"/>
  </r>
  <r>
    <x v="222"/>
    <s v="Pesos"/>
    <d v="2026-12-16T00:00:00"/>
    <s v="29/10/2026"/>
    <n v="0.96204542999999998"/>
    <m/>
    <n v="973250.02"/>
    <n v="936310.73"/>
    <n v="973250.02"/>
    <n v="936310.73"/>
    <n v="692175"/>
    <s v="AMOMPY"/>
    <s v="Momentum Capital Investment S.A."/>
    <s v="13/10/2026"/>
    <s v="13/10/2026"/>
    <n v="30"/>
    <s v="No"/>
    <s v=""/>
    <m/>
    <m/>
    <s v="*MAV141201461"/>
    <s v="*MAV141201461"/>
    <n v="1.1459175344915897E-5"/>
  </r>
  <r>
    <x v="222"/>
    <s v="Pesos"/>
    <d v="2026-12-16T00:00:00"/>
    <s v="29/10/2026"/>
    <n v="0.96816981999999996"/>
    <m/>
    <n v="584965.91"/>
    <n v="566346.34"/>
    <n v="584965.91"/>
    <n v="566346.34"/>
    <n v="681549"/>
    <s v="AMOMPY"/>
    <s v="Momentum Capital Investment S.A."/>
    <s v="18/09/2026"/>
    <s v="18/09/2026"/>
    <n v="25"/>
    <s v="No"/>
    <s v=""/>
    <m/>
    <m/>
    <s v="*MAV141201254"/>
    <s v="*MAV141201254"/>
    <n v="6.9313122322237577E-6"/>
  </r>
  <r>
    <x v="222"/>
    <s v="Pesos"/>
    <d v="2026-12-16T00:00:00"/>
    <s v="29/10/2026"/>
    <n v="0.96816985"/>
    <m/>
    <n v="839215.58"/>
    <n v="812503.22"/>
    <n v="839215.58"/>
    <n v="812503.22"/>
    <n v="681521"/>
    <s v="AMOMPY"/>
    <s v="Momentum Capital Investment S.A."/>
    <s v="18/09/2026"/>
    <s v="18/09/2026"/>
    <n v="25"/>
    <s v="No"/>
    <s v=""/>
    <m/>
    <m/>
    <s v="*MAV141201255"/>
    <s v="*MAV141201255"/>
    <n v="9.9439390877094585E-6"/>
  </r>
  <r>
    <x v="222"/>
    <s v="Pesos"/>
    <d v="2026-12-16T00:00:00"/>
    <s v="29/10/2026"/>
    <n v="0.96816983999999995"/>
    <m/>
    <n v="1676589.68"/>
    <n v="1623223.56"/>
    <n v="1676589.68"/>
    <n v="1623223.56"/>
    <n v="681500"/>
    <s v="AMOMPY"/>
    <s v="Momentum Capital Investment S.A."/>
    <s v="18/09/2026"/>
    <s v="18/09/2026"/>
    <n v="25"/>
    <s v="No"/>
    <s v=""/>
    <m/>
    <m/>
    <s v="*MAV141201256"/>
    <s v="*MAV141201256"/>
    <n v="1.9866058138667931E-5"/>
  </r>
  <r>
    <x v="222"/>
    <s v="Pesos"/>
    <d v="2026-12-16T00:00:00"/>
    <s v="29/10/2026"/>
    <n v="0.96816983000000001"/>
    <m/>
    <n v="2681816.6"/>
    <n v="2596453.92"/>
    <n v="2681816.6"/>
    <n v="2596453.92"/>
    <n v="681628"/>
    <s v="AMOMPY"/>
    <s v="Momentum Capital Investment S.A."/>
    <s v="18/09/2026"/>
    <s v="18/09/2026"/>
    <n v="25"/>
    <s v="No"/>
    <s v=""/>
    <m/>
    <m/>
    <s v="*MAV141201257"/>
    <s v="*MAV141201257"/>
    <n v="3.1777079756710931E-5"/>
  </r>
  <r>
    <x v="222"/>
    <s v="Pesos"/>
    <d v="2026-12-16T00:00:00"/>
    <s v="29/10/2026"/>
    <n v="0.96816981000000002"/>
    <m/>
    <n v="669474.55000000005"/>
    <n v="648165.05000000005"/>
    <n v="669474.55000000005"/>
    <n v="648165.05000000005"/>
    <n v="681512"/>
    <s v="AMOMPY"/>
    <s v="Momentum Capital Investment S.A."/>
    <s v="18/09/2026"/>
    <s v="18/09/2026"/>
    <n v="25"/>
    <s v="No"/>
    <s v=""/>
    <m/>
    <m/>
    <s v="*MAV141201258"/>
    <s v="*MAV141201258"/>
    <n v="7.9326624403804292E-6"/>
  </r>
  <r>
    <x v="222"/>
    <s v="Pesos"/>
    <d v="2026-12-16T00:00:00"/>
    <s v="29/10/2026"/>
    <n v="0.96571079000000004"/>
    <m/>
    <n v="285154.71999999997"/>
    <n v="275376.99"/>
    <n v="285154.71999999997"/>
    <n v="275376.99"/>
    <n v="670018"/>
    <s v="AMOMPY"/>
    <s v="Momentum Capital Investment S.A."/>
    <s v="07/09/2026"/>
    <s v="07/09/2026"/>
    <n v="27"/>
    <s v="No"/>
    <s v=""/>
    <m/>
    <m/>
    <s v="*MAV141201177"/>
    <s v="*MAV141201177"/>
    <n v="3.3702414308176855E-6"/>
  </r>
  <r>
    <x v="222"/>
    <s v="Pesos"/>
    <d v="2026-12-16T00:00:00"/>
    <s v="29/10/2026"/>
    <n v="0.96571079000000004"/>
    <m/>
    <n v="285154.71999999997"/>
    <n v="275376.99"/>
    <n v="285154.71999999997"/>
    <n v="275376.99"/>
    <n v="670010"/>
    <s v="AMOMPY"/>
    <s v="Momentum Capital Investment S.A."/>
    <s v="07/09/2026"/>
    <s v="07/09/2026"/>
    <n v="27"/>
    <s v="No"/>
    <s v=""/>
    <m/>
    <m/>
    <s v="*MAV141201176"/>
    <s v="*MAV141201176"/>
    <n v="3.3702414308176855E-6"/>
  </r>
  <r>
    <x v="222"/>
    <s v="Pesos"/>
    <d v="2026-12-16T00:00:00"/>
    <s v="29/10/2026"/>
    <n v="0.96571079000000004"/>
    <m/>
    <n v="285154.71999999997"/>
    <n v="275376.99"/>
    <n v="285154.71999999997"/>
    <n v="275376.99"/>
    <n v="670032"/>
    <s v="AMOMPY"/>
    <s v="Momentum Capital Investment S.A."/>
    <s v="07/09/2026"/>
    <s v="07/09/2026"/>
    <n v="27"/>
    <s v="No"/>
    <s v=""/>
    <m/>
    <m/>
    <s v="*MAV141201174"/>
    <s v="*MAV141201174"/>
    <n v="3.3702414308176855E-6"/>
  </r>
  <r>
    <x v="222"/>
    <s v="Pesos"/>
    <d v="2026-12-16T00:00:00"/>
    <s v="29/10/2026"/>
    <n v="0.96571079000000004"/>
    <m/>
    <n v="285154.71999999997"/>
    <n v="275376.99"/>
    <n v="285154.71999999997"/>
    <n v="275376.99"/>
    <n v="670000"/>
    <s v="AMOMPY"/>
    <s v="Momentum Capital Investment S.A."/>
    <s v="07/09/2026"/>
    <s v="07/09/2026"/>
    <n v="27"/>
    <s v="No"/>
    <s v=""/>
    <m/>
    <m/>
    <s v="*MAV141201175"/>
    <s v="*MAV141201175"/>
    <n v="3.3702414308176855E-6"/>
  </r>
  <r>
    <x v="222"/>
    <s v="Pesos"/>
    <d v="2026-12-16T00:00:00"/>
    <s v="29/10/2026"/>
    <n v="0.96571077000000005"/>
    <m/>
    <n v="2227815.85"/>
    <n v="2151425.75"/>
    <n v="2227815.85"/>
    <n v="2151425.75"/>
    <n v="666087"/>
    <s v="AMOMPY"/>
    <s v="Momentum Capital Investment S.A."/>
    <s v="01/09/2026"/>
    <s v="01/09/2026"/>
    <n v="27"/>
    <s v="No"/>
    <s v=""/>
    <m/>
    <m/>
    <s v="*MAV141201153"/>
    <s v="*MAV141201153"/>
    <n v="2.6330537631259652E-5"/>
  </r>
  <r>
    <x v="222"/>
    <s v="Pesos"/>
    <d v="2026-12-16T00:00:00"/>
    <s v="29/10/2026"/>
    <n v="0.96448586999999997"/>
    <m/>
    <n v="10746145.48"/>
    <n v="10364505.52"/>
    <n v="10746145.48"/>
    <n v="10364505.52"/>
    <n v="604620"/>
    <s v="AMOMPY"/>
    <s v="Momentum Capital Investment S.A."/>
    <s v="10/08/2026"/>
    <s v="10/08/2026"/>
    <n v="28"/>
    <s v="No"/>
    <s v=""/>
    <m/>
    <m/>
    <s v="*MAV141201102"/>
    <s v="*MAV141201102"/>
    <n v="1.2684751152753395E-4"/>
  </r>
  <r>
    <x v="222"/>
    <s v="Pesos"/>
    <d v="2026-12-16T00:00:00"/>
    <s v="29/10/2026"/>
    <n v="0.96448586999999997"/>
    <m/>
    <n v="8521998.5999999996"/>
    <n v="8219347.2699999996"/>
    <n v="8521998.5999999996"/>
    <n v="8219347.2699999996"/>
    <n v="654243"/>
    <s v="AMOMPY"/>
    <s v="Momentum Capital Investment S.A."/>
    <s v="10/08/2026"/>
    <s v="10/08/2026"/>
    <n v="28"/>
    <s v="No"/>
    <s v=""/>
    <m/>
    <m/>
    <s v="*MAV141201101"/>
    <s v="*MAV141201101"/>
    <n v="1.0059367960856946E-4"/>
  </r>
  <r>
    <x v="10"/>
    <s v="Pesos"/>
    <d v="2026-12-16T00:00:00"/>
    <s v="29/10/2026"/>
    <n v="0.96204542999999998"/>
    <m/>
    <n v="50000000"/>
    <n v="48102271.359999999"/>
    <n v="50000000"/>
    <n v="48102271.359999999"/>
    <n v="68075"/>
    <s v="AMOMPY"/>
    <s v="Momentum Capital Investment S.A."/>
    <s v="18/09/2026"/>
    <s v="18/09/2026"/>
    <n v="30"/>
    <s v="No"/>
    <s v=""/>
    <m/>
    <m/>
    <s v="*MAV141201250"/>
    <s v="*MAV141201250"/>
    <n v="5.8870665938322222E-4"/>
  </r>
  <r>
    <x v="376"/>
    <s v="Pesos"/>
    <d v="2026-12-16T00:00:00"/>
    <s v="29/10/2026"/>
    <n v="0.95840780000000003"/>
    <m/>
    <n v="5363359"/>
    <n v="5140285.09"/>
    <n v="5363359"/>
    <n v="5140285.09"/>
    <n v="13757790"/>
    <s v="AMOMPY"/>
    <s v="Momentum Capital Investment S.A."/>
    <s v="16/10/2026"/>
    <s v="16/10/2026"/>
    <n v="33"/>
    <s v="No"/>
    <s v=""/>
    <m/>
    <m/>
    <s v="*MAV121201754"/>
    <s v="*MAV121201754"/>
    <n v="6.2910128317302089E-5"/>
  </r>
  <r>
    <x v="398"/>
    <s v="Pesos"/>
    <d v="2026-12-16T00:00:00"/>
    <s v="29/10/2026"/>
    <n v="0.95840780000000003"/>
    <m/>
    <n v="528139.15"/>
    <n v="506172.68"/>
    <n v="528139.15"/>
    <n v="506172.68"/>
    <n v="17703"/>
    <s v="AMOMPY"/>
    <s v="Momentum Capital Investment S.A."/>
    <s v="16/10/2026"/>
    <s v="16/10/2026"/>
    <n v="33"/>
    <s v="No"/>
    <s v=""/>
    <m/>
    <m/>
    <s v="*MAV141201547"/>
    <s v="*MAV141201547"/>
    <n v="6.1948681234551314E-6"/>
  </r>
  <r>
    <x v="56"/>
    <s v="Pesos"/>
    <d v="2026-12-16T00:00:00"/>
    <s v="29/10/2026"/>
    <n v="0.96326416000000004"/>
    <m/>
    <n v="450000"/>
    <n v="433468.87"/>
    <n v="450000"/>
    <n v="433468.87"/>
    <n v="11456512"/>
    <s v="AMOMPY"/>
    <s v="Momentum Capital Investment S.A."/>
    <s v="28/10/2026"/>
    <s v="28/10/2026"/>
    <n v="29"/>
    <s v="No"/>
    <s v=""/>
    <m/>
    <m/>
    <s v="*MAV141201656"/>
    <s v="*MAV141201656"/>
    <n v="5.3050719475280973E-6"/>
  </r>
  <r>
    <x v="289"/>
    <s v="Pesos"/>
    <d v="2026-12-16T00:00:00"/>
    <s v="29/10/2026"/>
    <n v="0.95840775"/>
    <m/>
    <n v="40000000"/>
    <n v="38336310.130000003"/>
    <n v="40000000"/>
    <n v="38336310.130000003"/>
    <n v="6"/>
    <s v="AMOMPY"/>
    <s v="Momentum Capital Investment S.A."/>
    <s v="09/09/2026"/>
    <s v="09/09/2026"/>
    <n v="33"/>
    <s v="No"/>
    <s v=""/>
    <m/>
    <m/>
    <s v="*MAV131201193"/>
    <s v="*MAV131201193"/>
    <n v="4.6918451939213129E-4"/>
  </r>
  <r>
    <x v="199"/>
    <s v="Pesos"/>
    <d v="2026-12-16T00:00:00"/>
    <s v="29/10/2026"/>
    <n v="0.96204542999999998"/>
    <m/>
    <n v="4396000"/>
    <n v="4229151.7"/>
    <n v="4396000"/>
    <n v="4229151.7"/>
    <n v="6405483"/>
    <s v="AMOMPY"/>
    <s v="Momentum Capital Investment S.A."/>
    <s v="13/10/2026"/>
    <s v="13/10/2026"/>
    <n v="30"/>
    <s v="No"/>
    <s v=""/>
    <m/>
    <m/>
    <s v="*MAV131201243"/>
    <s v="*MAV131201243"/>
    <n v="5.1759089517802659E-5"/>
  </r>
  <r>
    <x v="107"/>
    <s v="Pesos"/>
    <d v="2026-12-16T00:00:00"/>
    <s v="29/10/2026"/>
    <n v="0.95599794999999999"/>
    <m/>
    <n v="335087.09999999998"/>
    <n v="320342.58"/>
    <n v="335087.09999999998"/>
    <n v="320342.58"/>
    <n v="30105965"/>
    <s v="AMOMPY"/>
    <s v="Momentum Capital Investment S.A."/>
    <s v="16/10/2026"/>
    <s v="16/10/2026"/>
    <n v="35"/>
    <s v="No"/>
    <s v=""/>
    <m/>
    <m/>
    <s v="*MAV141201541"/>
    <s v="*MAV141201541"/>
    <n v="3.9205593581766906E-6"/>
  </r>
  <r>
    <x v="107"/>
    <s v="Pesos"/>
    <d v="2026-12-16T00:00:00"/>
    <s v="29/10/2026"/>
    <n v="0.95840793000000002"/>
    <m/>
    <n v="395997.4"/>
    <n v="379527.05"/>
    <n v="395997.4"/>
    <n v="379527.05"/>
    <n v="30104988"/>
    <s v="AMOMPY"/>
    <s v="Momentum Capital Investment S.A."/>
    <s v="14/10/2026"/>
    <s v="14/10/2026"/>
    <n v="33"/>
    <s v="No"/>
    <s v=""/>
    <m/>
    <m/>
    <s v="*MAV141201487"/>
    <s v="*MAV141201487"/>
    <n v="4.6448971209468709E-6"/>
  </r>
  <r>
    <x v="107"/>
    <s v="Pesos"/>
    <d v="2026-12-16T00:00:00"/>
    <s v="29/10/2026"/>
    <n v="0.95599867000000005"/>
    <m/>
    <n v="29431.84"/>
    <n v="28136.799999999999"/>
    <n v="29431.84"/>
    <n v="28136.799999999999"/>
    <n v="30099838"/>
    <s v="AMOMPY"/>
    <s v="Momentum Capital Investment S.A."/>
    <s v="16/09/2026"/>
    <s v="16/09/2026"/>
    <n v="35"/>
    <s v="No"/>
    <s v=""/>
    <m/>
    <m/>
    <s v="*MAV141201221"/>
    <s v="*MAV141201221"/>
    <n v="3.4435632799469214E-7"/>
  </r>
  <r>
    <x v="223"/>
    <s v="Pesos"/>
    <d v="2026-12-16T00:00:00"/>
    <s v="29/10/2026"/>
    <n v="0.95840778999999998"/>
    <m/>
    <n v="672232.39"/>
    <n v="644272.76"/>
    <n v="672232.39"/>
    <n v="644272.76"/>
    <n v="19728"/>
    <s v="AMOMPY"/>
    <s v="Momentum Capital Investment S.A."/>
    <s v="16/10/2026"/>
    <s v="16/10/2026"/>
    <n v="33"/>
    <s v="No"/>
    <s v=""/>
    <m/>
    <m/>
    <s v="*MAV141201548"/>
    <s v="*MAV141201548"/>
    <n v="7.885026081878734E-6"/>
  </r>
  <r>
    <x v="223"/>
    <s v="Pesos"/>
    <d v="2026-12-16T00:00:00"/>
    <s v="29/10/2026"/>
    <n v="0.95840778999999998"/>
    <m/>
    <n v="672232.39"/>
    <n v="644272.76"/>
    <n v="672232.39"/>
    <n v="644272.76"/>
    <n v="19726"/>
    <s v="AMOMPY"/>
    <s v="Momentum Capital Investment S.A."/>
    <s v="16/10/2026"/>
    <s v="16/10/2026"/>
    <n v="33"/>
    <s v="No"/>
    <s v=""/>
    <m/>
    <m/>
    <s v="*MAV121201756"/>
    <s v="*MAV121201756"/>
    <n v="7.885026081878734E-6"/>
  </r>
  <r>
    <x v="223"/>
    <s v="Pesos"/>
    <d v="2026-12-16T00:00:00"/>
    <s v="29/10/2026"/>
    <n v="0.95840778999999998"/>
    <m/>
    <n v="649795.28"/>
    <n v="622768.86"/>
    <n v="649795.28"/>
    <n v="622768.86"/>
    <n v="19653"/>
    <s v="AMOMPY"/>
    <s v="Momentum Capital Investment S.A."/>
    <s v="16/10/2026"/>
    <s v="16/10/2026"/>
    <n v="33"/>
    <s v="No"/>
    <s v=""/>
    <m/>
    <m/>
    <s v="*MAV121201753"/>
    <s v="*MAV121201753"/>
    <n v="7.6218474673395873E-6"/>
  </r>
  <r>
    <x v="223"/>
    <s v="Pesos"/>
    <d v="2026-12-16T00:00:00"/>
    <s v="29/10/2026"/>
    <n v="0.95840778999999998"/>
    <m/>
    <n v="672232.39"/>
    <n v="644272.76"/>
    <n v="672232.39"/>
    <n v="644272.76"/>
    <n v="19727"/>
    <s v="AMOMPY"/>
    <s v="Momentum Capital Investment S.A."/>
    <s v="16/10/2026"/>
    <s v="16/10/2026"/>
    <n v="33"/>
    <s v="No"/>
    <s v=""/>
    <m/>
    <m/>
    <s v="*MAV131201264"/>
    <s v="*MAV131201264"/>
    <n v="7.885026081878734E-6"/>
  </r>
  <r>
    <x v="223"/>
    <s v="Pesos"/>
    <d v="2026-12-16T00:00:00"/>
    <s v="29/10/2026"/>
    <n v="0.95840778999999998"/>
    <m/>
    <n v="649795.28"/>
    <n v="622768.86"/>
    <n v="649795.28"/>
    <n v="622768.86"/>
    <n v="19655"/>
    <s v="AMOMPY"/>
    <s v="Momentum Capital Investment S.A."/>
    <s v="16/10/2026"/>
    <s v="16/10/2026"/>
    <n v="33"/>
    <s v="No"/>
    <s v=""/>
    <m/>
    <m/>
    <s v="*MAV141201546"/>
    <s v="*MAV141201546"/>
    <n v="7.6218474673395873E-6"/>
  </r>
  <r>
    <x v="223"/>
    <s v="Pesos"/>
    <d v="2026-12-16T00:00:00"/>
    <s v="29/10/2026"/>
    <n v="0.95840778999999998"/>
    <m/>
    <n v="649795.28"/>
    <n v="622768.86"/>
    <n v="649795.28"/>
    <n v="622768.86"/>
    <n v="19654"/>
    <s v="AMOMPY"/>
    <s v="Momentum Capital Investment S.A."/>
    <s v="16/10/2026"/>
    <s v="16/10/2026"/>
    <n v="33"/>
    <s v="No"/>
    <s v=""/>
    <m/>
    <m/>
    <s v="*MAV131201262"/>
    <s v="*MAV131201262"/>
    <n v="7.6218474673395873E-6"/>
  </r>
  <r>
    <x v="153"/>
    <s v="Pesos"/>
    <d v="2026-12-16T00:00:00"/>
    <s v="29/10/2026"/>
    <n v="0.95840780000000003"/>
    <m/>
    <n v="2787075"/>
    <n v="2671154.41"/>
    <n v="2787075"/>
    <n v="2671154.41"/>
    <n v="70327755"/>
    <s v="AMOMPY"/>
    <s v="Momentum Capital Investment S.A."/>
    <s v="16/10/2026"/>
    <s v="16/10/2026"/>
    <n v="33"/>
    <s v="No"/>
    <s v=""/>
    <m/>
    <m/>
    <s v="*MAV141201545"/>
    <s v="*MAV141201545"/>
    <n v="3.2691312591852254E-5"/>
  </r>
  <r>
    <x v="399"/>
    <s v="Pesos"/>
    <d v="2026-12-16T00:00:00"/>
    <s v="29/10/2026"/>
    <n v="0.95840778999999998"/>
    <m/>
    <n v="8000000"/>
    <n v="7667262.29"/>
    <n v="8000000"/>
    <n v="7667262.29"/>
    <n v="70434063"/>
    <s v="AMOMPY"/>
    <s v="Momentum Capital Investment S.A."/>
    <s v="23/10/2026"/>
    <s v="23/10/2026"/>
    <n v="33"/>
    <s v="No"/>
    <s v=""/>
    <m/>
    <m/>
    <s v="*MAV121201782"/>
    <s v="*MAV121201782"/>
    <n v="9.3836907109428737E-5"/>
  </r>
  <r>
    <x v="58"/>
    <s v="Pesos"/>
    <d v="2026-12-16T00:00:00"/>
    <s v="29/10/2026"/>
    <n v="0.95240581000000002"/>
    <m/>
    <n v="286000000"/>
    <n v="272388060.72000003"/>
    <n v="286000000"/>
    <n v="272388060.72000003"/>
    <n v="70424956"/>
    <s v="AMOMPY"/>
    <s v="Momentum Capital Investment S.A."/>
    <s v="15/10/2026"/>
    <s v="15/10/2026"/>
    <n v="38"/>
    <s v="No"/>
    <s v=""/>
    <m/>
    <m/>
    <s v="*MAV141201528"/>
    <s v="*MAV141201528"/>
    <n v="3.3336609841607594E-3"/>
  </r>
  <r>
    <x v="400"/>
    <s v="Pesos"/>
    <d v="2026-12-16T00:00:00"/>
    <s v="29/10/2026"/>
    <n v="0.97437273999999996"/>
    <m/>
    <n v="642000"/>
    <n v="625547.30000000005"/>
    <n v="642000"/>
    <n v="625547.30000000005"/>
    <n v="205"/>
    <s v="AMOMPY"/>
    <s v="Momentum Capital Investment S.A."/>
    <s v="11/09/2026"/>
    <s v="11/09/2026"/>
    <n v="20"/>
    <s v="No"/>
    <s v=""/>
    <m/>
    <m/>
    <s v="*MAV121201626"/>
    <s v="*MAV121201626"/>
    <n v="7.6558518102625067E-6"/>
  </r>
  <r>
    <x v="85"/>
    <s v="Pesos"/>
    <d v="2026-12-16T00:00:00"/>
    <s v="29/10/2026"/>
    <n v="0.97437271999999997"/>
    <m/>
    <n v="11000000"/>
    <n v="10718099.91"/>
    <n v="11000000"/>
    <n v="10718099.91"/>
    <n v="542"/>
    <s v="AMOMPY"/>
    <s v="Momentum Capital Investment S.A."/>
    <s v="27/10/2026"/>
    <s v="27/10/2026"/>
    <n v="20"/>
    <s v="No"/>
    <s v=""/>
    <m/>
    <m/>
    <s v="*MAV141201648"/>
    <s v="*MAV141201648"/>
    <n v="1.3117502800914961E-4"/>
  </r>
  <r>
    <x v="40"/>
    <s v="Pesos"/>
    <d v="2026-12-16T00:00:00"/>
    <s v="29/10/2026"/>
    <n v="0.95961726000000003"/>
    <m/>
    <n v="6000000"/>
    <n v="5757703.5499999998"/>
    <n v="6000000"/>
    <n v="5757703.5499999998"/>
    <n v="40789622"/>
    <s v="AMOMPY"/>
    <s v="Momentum Capital Investment S.A."/>
    <s v="05/10/2026"/>
    <s v="05/10/2026"/>
    <n v="32"/>
    <s v="No"/>
    <s v=""/>
    <m/>
    <m/>
    <s v="*MAV141201359"/>
    <s v="*MAV141201359"/>
    <n v="7.0466494134372186E-5"/>
  </r>
  <r>
    <x v="233"/>
    <s v="Dolar 3500"/>
    <d v="2026-12-16T00:00:00"/>
    <s v="29/10/2026"/>
    <n v="0.98958968999999997"/>
    <s v="1 US3 = 1539,5930209017 $"/>
    <n v="18230"/>
    <n v="18040.22"/>
    <n v="28066780.77"/>
    <n v="27774596.809999999"/>
    <n v="146447"/>
    <s v="AMOMPY"/>
    <s v="Momentum Capital Investment S.A."/>
    <s v="17/04/2026"/>
    <s v="17/04/2026"/>
    <n v="8"/>
    <s v="No"/>
    <s v=""/>
    <m/>
    <m/>
    <s v="#UMV131260004"/>
    <s v="#UMV131260004"/>
    <n v="3.3992345145946552E-4"/>
  </r>
  <r>
    <x v="340"/>
    <s v="Pesos"/>
    <d v="2026-12-16T00:00:00"/>
    <s v="29/10/2026"/>
    <n v="0.95840782000000002"/>
    <m/>
    <n v="2600411.64"/>
    <n v="2492254.85"/>
    <n v="2600411.64"/>
    <n v="2492254.85"/>
    <n v="90000276"/>
    <s v="AMOMPY"/>
    <s v="Momentum Capital Investment S.A."/>
    <s v="06/08/2026"/>
    <s v="06/08/2026"/>
    <n v="33"/>
    <s v="No"/>
    <s v=""/>
    <m/>
    <m/>
    <s v="*MAV141201093"/>
    <s v="*MAV141201093"/>
    <n v="3.0501824250553093E-5"/>
  </r>
  <r>
    <x v="264"/>
    <s v="Pesos"/>
    <d v="2026-12-16T00:00:00"/>
    <s v="29/10/2026"/>
    <n v="0.96326416000000004"/>
    <m/>
    <n v="4796238.45"/>
    <n v="4620044.62"/>
    <n v="4796238.45"/>
    <n v="4620044.62"/>
    <n v="12700546"/>
    <s v="AMOMPY"/>
    <s v="Momentum Capital Investment S.A."/>
    <s v="28/10/2026"/>
    <s v="28/10/2026"/>
    <n v="29"/>
    <s v="No"/>
    <s v=""/>
    <m/>
    <m/>
    <s v="*MAV141201679"/>
    <s v="*MAV141201679"/>
    <n v="5.6543089495423534E-5"/>
  </r>
  <r>
    <x v="21"/>
    <s v="Pesos"/>
    <d v="2026-12-16T00:00:00"/>
    <s v="29/10/2026"/>
    <n v="0.96448588999999996"/>
    <m/>
    <n v="14700000"/>
    <n v="14177942.550000001"/>
    <n v="14700000"/>
    <n v="14177942.550000001"/>
    <n v="90000383"/>
    <s v="AMOMPY"/>
    <s v="Momentum Capital Investment S.A."/>
    <s v="22/09/2026"/>
    <s v="22/09/2026"/>
    <n v="28"/>
    <s v="No"/>
    <s v=""/>
    <m/>
    <m/>
    <s v="*NIO141200035"/>
    <s v="*NIO141200035"/>
    <n v="1.7351881646234476E-4"/>
  </r>
  <r>
    <x v="21"/>
    <s v="Pesos"/>
    <d v="2026-12-16T00:00:00"/>
    <s v="29/10/2026"/>
    <n v="0.96448588999999996"/>
    <m/>
    <n v="14200000"/>
    <n v="13695699.619999999"/>
    <n v="14200000"/>
    <n v="13695699.619999999"/>
    <n v="90000359"/>
    <s v="AMOMPY"/>
    <s v="Momentum Capital Investment S.A."/>
    <s v="22/09/2026"/>
    <s v="22/09/2026"/>
    <n v="28"/>
    <s v="No"/>
    <s v=""/>
    <m/>
    <m/>
    <s v="*NIO141200028"/>
    <s v="*NIO141200028"/>
    <n v="1.6761681607224349E-4"/>
  </r>
  <r>
    <x v="21"/>
    <s v="Pesos"/>
    <d v="2026-12-16T00:00:00"/>
    <s v="29/10/2026"/>
    <n v="0.96448588999999996"/>
    <m/>
    <n v="6500000"/>
    <n v="6269158.2800000003"/>
    <n v="6500000"/>
    <n v="6269158.2800000003"/>
    <n v="90000279"/>
    <s v="AMOMPY"/>
    <s v="Momentum Capital Investment S.A."/>
    <s v="22/09/2026"/>
    <s v="22/09/2026"/>
    <n v="28"/>
    <s v="No"/>
    <s v=""/>
    <m/>
    <m/>
    <s v="*NIO141200039"/>
    <s v="*NIO141200039"/>
    <n v="7.6726007396659183E-5"/>
  </r>
  <r>
    <x v="21"/>
    <s v="Pesos"/>
    <d v="2026-12-16T00:00:00"/>
    <s v="29/10/2026"/>
    <n v="0.96448588999999996"/>
    <m/>
    <n v="16500000"/>
    <n v="15914017.17"/>
    <n v="16500000"/>
    <n v="15914017.17"/>
    <n v="90000318"/>
    <s v="AMOMPY"/>
    <s v="Momentum Capital Investment S.A."/>
    <s v="22/09/2026"/>
    <s v="22/09/2026"/>
    <n v="28"/>
    <s v="No"/>
    <s v=""/>
    <m/>
    <m/>
    <s v="*NIO141200038"/>
    <s v="*NIO141200038"/>
    <n v="1.9476601874789183E-4"/>
  </r>
  <r>
    <x v="21"/>
    <s v="Pesos"/>
    <d v="2026-12-16T00:00:00"/>
    <s v="29/10/2026"/>
    <n v="0.96448588999999996"/>
    <m/>
    <n v="16500000"/>
    <n v="15914017.17"/>
    <n v="16500000"/>
    <n v="15914017.17"/>
    <n v="90016966"/>
    <s v="AMOMPY"/>
    <s v="Momentum Capital Investment S.A."/>
    <s v="22/09/2026"/>
    <s v="22/09/2026"/>
    <n v="28"/>
    <s v="No"/>
    <s v=""/>
    <m/>
    <m/>
    <s v="*NIO141200037"/>
    <s v="*NIO141200037"/>
    <n v="1.9476601874789183E-4"/>
  </r>
  <r>
    <x v="21"/>
    <s v="Pesos"/>
    <d v="2026-12-16T00:00:00"/>
    <s v="29/10/2026"/>
    <n v="0.96448588999999996"/>
    <m/>
    <n v="13000000"/>
    <n v="12538316.560000001"/>
    <n v="13000000"/>
    <n v="12538316.560000001"/>
    <n v="90000331"/>
    <s v="AMOMPY"/>
    <s v="Momentum Capital Investment S.A."/>
    <s v="22/09/2026"/>
    <s v="22/09/2026"/>
    <n v="28"/>
    <s v="No"/>
    <s v=""/>
    <m/>
    <m/>
    <s v="*NIO141200036"/>
    <s v="*NIO141200036"/>
    <n v="1.5345201479331837E-4"/>
  </r>
  <r>
    <x v="401"/>
    <s v="Pesos"/>
    <d v="2026-12-16T00:00:00"/>
    <s v="29/10/2026"/>
    <n v="0.95840778999999998"/>
    <m/>
    <n v="700000"/>
    <n v="670885.44999999995"/>
    <n v="700000"/>
    <n v="670885.44999999995"/>
    <n v="11943273"/>
    <s v="AMOMPY"/>
    <s v="Momentum Capital Investment S.A."/>
    <s v="16/10/2026"/>
    <s v="16/10/2026"/>
    <n v="33"/>
    <s v="No"/>
    <s v=""/>
    <m/>
    <m/>
    <s v="*MAV141201544"/>
    <s v="*MAV141201544"/>
    <n v="8.2107293674855222E-6"/>
  </r>
  <r>
    <x v="248"/>
    <s v="Pesos"/>
    <d v="2026-12-16T00:00:00"/>
    <s v="29/10/2026"/>
    <n v="0.95720148999999999"/>
    <m/>
    <n v="1416494.71"/>
    <n v="1355870.84"/>
    <n v="1416494.71"/>
    <n v="1355870.84"/>
    <n v="253"/>
    <s v="AMOMPY"/>
    <s v="Momentum Capital Investment S.A."/>
    <s v="21/10/2026"/>
    <s v="21/10/2026"/>
    <n v="34"/>
    <s v="No"/>
    <s v=""/>
    <m/>
    <m/>
    <s v="*MAV141201600"/>
    <s v="*MAV141201600"/>
    <n v="1.6594022905855632E-5"/>
  </r>
  <r>
    <x v="21"/>
    <s v="Pesos"/>
    <d v="2026-12-16T00:00:00"/>
    <s v="29/10/2026"/>
    <n v="0.96448588999999996"/>
    <m/>
    <n v="13200000"/>
    <n v="12731213.73"/>
    <n v="13200000"/>
    <n v="12731213.73"/>
    <n v="90000288"/>
    <s v="AMOMPY"/>
    <s v="Momentum Capital Investment S.A."/>
    <s v="22/09/2026"/>
    <s v="22/09/2026"/>
    <n v="28"/>
    <s v="No"/>
    <s v=""/>
    <m/>
    <m/>
    <s v="*NIO141200034"/>
    <s v="*NIO141200034"/>
    <n v="1.5581281492488158E-4"/>
  </r>
  <r>
    <x v="21"/>
    <s v="Pesos"/>
    <d v="2026-12-16T00:00:00"/>
    <s v="29/10/2026"/>
    <n v="0.96448588999999996"/>
    <m/>
    <n v="9300000"/>
    <n v="8969718.7699999996"/>
    <n v="9300000"/>
    <n v="8969718.7699999996"/>
    <n v="90000358"/>
    <s v="AMOMPY"/>
    <s v="Momentum Capital Investment S.A."/>
    <s v="22/09/2026"/>
    <s v="22/09/2026"/>
    <n v="28"/>
    <s v="No"/>
    <s v=""/>
    <m/>
    <m/>
    <s v="*NIO141200033"/>
    <s v="*NIO141200033"/>
    <n v="1.0977721058479522E-4"/>
  </r>
  <r>
    <x v="21"/>
    <s v="Pesos"/>
    <d v="2026-12-16T00:00:00"/>
    <s v="29/10/2026"/>
    <n v="0.96448588999999996"/>
    <m/>
    <n v="14600000"/>
    <n v="14081493.98"/>
    <n v="14600000"/>
    <n v="14081493.98"/>
    <n v="90000325"/>
    <s v="AMOMPY"/>
    <s v="Momentum Capital Investment S.A."/>
    <s v="22/09/2026"/>
    <s v="22/09/2026"/>
    <n v="28"/>
    <s v="No"/>
    <s v=""/>
    <m/>
    <m/>
    <s v="*NIO141200032"/>
    <s v="*NIO141200032"/>
    <n v="1.7233841658014285E-4"/>
  </r>
  <r>
    <x v="21"/>
    <s v="Pesos"/>
    <d v="2026-12-16T00:00:00"/>
    <s v="29/10/2026"/>
    <n v="0.96448588999999996"/>
    <m/>
    <n v="15300000"/>
    <n v="14756634.1"/>
    <n v="15300000"/>
    <n v="14756634.1"/>
    <n v="90000368"/>
    <s v="AMOMPY"/>
    <s v="Momentum Capital Investment S.A."/>
    <s v="22/09/2026"/>
    <s v="22/09/2026"/>
    <n v="28"/>
    <s v="No"/>
    <s v=""/>
    <m/>
    <m/>
    <s v="*NIO141200031"/>
    <s v="*NIO141200031"/>
    <n v="1.8060121734658023E-4"/>
  </r>
  <r>
    <x v="21"/>
    <s v="Pesos"/>
    <d v="2026-12-16T00:00:00"/>
    <s v="29/10/2026"/>
    <n v="0.96448588999999996"/>
    <m/>
    <n v="16500000"/>
    <n v="15914017.17"/>
    <n v="16500000"/>
    <n v="15914017.17"/>
    <n v="90016598"/>
    <s v="AMOMPY"/>
    <s v="Momentum Capital Investment S.A."/>
    <s v="22/09/2026"/>
    <s v="22/09/2026"/>
    <n v="28"/>
    <s v="No"/>
    <s v=""/>
    <m/>
    <m/>
    <s v="*NIO141200030"/>
    <s v="*NIO141200030"/>
    <n v="1.9476601874789183E-4"/>
  </r>
  <r>
    <x v="21"/>
    <s v="Pesos"/>
    <d v="2026-12-16T00:00:00"/>
    <s v="29/10/2026"/>
    <n v="0.96448588999999996"/>
    <m/>
    <n v="13100000"/>
    <n v="12634765.140000001"/>
    <n v="13100000"/>
    <n v="12634765.140000001"/>
    <n v="90000418"/>
    <s v="AMOMPY"/>
    <s v="Momentum Capital Investment S.A."/>
    <s v="22/09/2026"/>
    <s v="22/09/2026"/>
    <n v="28"/>
    <s v="No"/>
    <s v=""/>
    <m/>
    <m/>
    <s v="*NIO141200027"/>
    <s v="*NIO141200027"/>
    <n v="1.5463241479790675E-4"/>
  </r>
  <r>
    <x v="21"/>
    <s v="Pesos"/>
    <d v="2026-12-16T00:00:00"/>
    <s v="29/10/2026"/>
    <n v="0.96448588999999996"/>
    <m/>
    <n v="11000000"/>
    <n v="10609344.76"/>
    <n v="11000000"/>
    <n v="10609344.76"/>
    <n v="90000244"/>
    <s v="AMOMPY"/>
    <s v="Momentum Capital Investment S.A."/>
    <s v="22/09/2026"/>
    <s v="22/09/2026"/>
    <n v="28"/>
    <s v="No"/>
    <s v=""/>
    <m/>
    <m/>
    <s v="*NIO141200026"/>
    <s v="*NIO141200026"/>
    <n v="1.2984401225382163E-4"/>
  </r>
  <r>
    <x v="21"/>
    <s v="Pesos"/>
    <d v="2026-12-16T00:00:00"/>
    <s v="29/10/2026"/>
    <n v="0.96448588999999996"/>
    <m/>
    <n v="16500000"/>
    <n v="15914017.17"/>
    <n v="16500000"/>
    <n v="15914017.17"/>
    <n v="90000275"/>
    <s v="AMOMPY"/>
    <s v="Momentum Capital Investment S.A."/>
    <s v="22/09/2026"/>
    <s v="22/09/2026"/>
    <n v="28"/>
    <s v="No"/>
    <s v=""/>
    <m/>
    <m/>
    <s v="*NIO141200025"/>
    <s v="*NIO141200025"/>
    <n v="1.9476601874789183E-4"/>
  </r>
  <r>
    <x v="21"/>
    <s v="Pesos"/>
    <d v="2026-12-16T00:00:00"/>
    <s v="29/10/2026"/>
    <n v="0.96448588999999996"/>
    <m/>
    <n v="13200000"/>
    <n v="12731213.73"/>
    <n v="13200000"/>
    <n v="12731213.73"/>
    <n v="90000278"/>
    <s v="AMOMPY"/>
    <s v="Momentum Capital Investment S.A."/>
    <s v="22/09/2026"/>
    <s v="22/09/2026"/>
    <n v="28"/>
    <s v="No"/>
    <s v=""/>
    <m/>
    <m/>
    <s v="*NIO141200023"/>
    <s v="*NIO141200023"/>
    <n v="1.5581281492488158E-4"/>
  </r>
  <r>
    <x v="21"/>
    <s v="Pesos"/>
    <d v="2026-12-16T00:00:00"/>
    <s v="29/10/2026"/>
    <n v="0.96448588999999996"/>
    <m/>
    <n v="16500000"/>
    <n v="15914017.17"/>
    <n v="16500000"/>
    <n v="15914017.17"/>
    <n v="90000283"/>
    <s v="AMOMPY"/>
    <s v="Momentum Capital Investment S.A."/>
    <s v="22/09/2026"/>
    <s v="22/09/2026"/>
    <n v="28"/>
    <s v="No"/>
    <s v=""/>
    <m/>
    <m/>
    <s v="*NIO141200022"/>
    <s v="*NIO141200022"/>
    <n v="1.9476601874789183E-4"/>
  </r>
  <r>
    <x v="402"/>
    <s v="Pesos"/>
    <d v="2026-12-16T00:00:00"/>
    <s v="29/10/2026"/>
    <n v="0.96326405999999998"/>
    <m/>
    <n v="993500"/>
    <n v="957002.84"/>
    <n v="993500"/>
    <n v="957002.84"/>
    <n v="726189"/>
    <s v="AMOMPY"/>
    <s v="Momentum Capital Investment S.A."/>
    <s v="23/10/2026"/>
    <s v="23/10/2026"/>
    <n v="29"/>
    <s v="No"/>
    <s v=""/>
    <m/>
    <m/>
    <s v="*MAV141201627"/>
    <s v="*MAV141201627"/>
    <n v="1.1712418749214263E-5"/>
  </r>
  <r>
    <x v="48"/>
    <s v="Pesos"/>
    <d v="2026-12-16T00:00:00"/>
    <s v="29/10/2026"/>
    <n v="0.9620455"/>
    <m/>
    <n v="3930000"/>
    <n v="3780838.8"/>
    <n v="3930000"/>
    <n v="3780838.8"/>
    <n v="90000103"/>
    <s v="AMOMPY"/>
    <s v="Momentum Capital Investment S.A."/>
    <s v="14/10/2026"/>
    <s v="14/10/2026"/>
    <n v="30"/>
    <s v="No"/>
    <s v=""/>
    <m/>
    <m/>
    <s v="*MAV141201469"/>
    <s v="*MAV141201469"/>
    <n v="4.6272346745467083E-5"/>
  </r>
  <r>
    <x v="403"/>
    <s v="Pesos"/>
    <d v="2026-12-16T00:00:00"/>
    <s v="29/10/2026"/>
    <n v="0.95961737000000003"/>
    <m/>
    <n v="5286601"/>
    <n v="5073114.1399999997"/>
    <n v="5286601"/>
    <n v="5073114.1399999997"/>
    <n v="41055286"/>
    <s v="AMOMPY"/>
    <s v="Momentum Capital Investment S.A."/>
    <s v="28/10/2026"/>
    <s v="28/10/2026"/>
    <n v="32"/>
    <s v="No"/>
    <s v=""/>
    <m/>
    <m/>
    <s v="*MAV141201683"/>
    <s v="*MAV141201683"/>
    <n v="6.2088046854949763E-5"/>
  </r>
  <r>
    <x v="135"/>
    <s v="Pesos"/>
    <d v="2026-12-16T00:00:00"/>
    <s v="29/10/2026"/>
    <n v="0.96326409999999996"/>
    <m/>
    <n v="70000000"/>
    <n v="67428486.840000004"/>
    <n v="70000000"/>
    <n v="67428486.840000004"/>
    <n v="83299239"/>
    <s v="AMOMPY"/>
    <s v="Momentum Capital Investment S.A."/>
    <s v="25/09/2026"/>
    <s v="25/09/2026"/>
    <n v="29"/>
    <s v="No"/>
    <s v=""/>
    <m/>
    <m/>
    <s v="*FTR121200016"/>
    <s v="*FTR121200016"/>
    <n v="8.2523336450700951E-4"/>
  </r>
  <r>
    <x v="181"/>
    <s v="Pesos"/>
    <d v="2026-12-16T00:00:00"/>
    <s v="29/10/2026"/>
    <n v="0.96326405000000004"/>
    <m/>
    <n v="4396334.17"/>
    <n v="4234830.67"/>
    <n v="4396334.17"/>
    <n v="4234830.67"/>
    <n v="90000109"/>
    <s v="AMOMPY"/>
    <s v="Momentum Capital Investment S.A."/>
    <s v="03/07/2026"/>
    <s v="03/07/2026"/>
    <n v="29"/>
    <s v="No"/>
    <s v=""/>
    <m/>
    <m/>
    <s v="*FED141200032"/>
    <s v="*FED141200032"/>
    <n v="5.1828592419909223E-5"/>
  </r>
  <r>
    <x v="92"/>
    <s v="Pesos"/>
    <d v="2026-12-16T00:00:00"/>
    <s v="29/10/2026"/>
    <n v="0.96449812000000001"/>
    <m/>
    <n v="10000000"/>
    <n v="9644981.2100000009"/>
    <n v="10000000"/>
    <n v="9644981.2100000009"/>
    <n v="69881537"/>
    <s v="AMOMPY"/>
    <s v="Momentum Capital Investment S.A."/>
    <s v="22/09/2026"/>
    <s v="22/09/2026"/>
    <n v="27.99"/>
    <s v="No"/>
    <s v=""/>
    <m/>
    <m/>
    <s v="*FID141200022"/>
    <s v="*FID141200022"/>
    <n v="1.180415083823819E-4"/>
  </r>
  <r>
    <x v="393"/>
    <s v="Pesos"/>
    <d v="2026-12-16T00:00:00"/>
    <s v="29/10/2026"/>
    <n v="0.95840780999999997"/>
    <m/>
    <n v="1800000"/>
    <n v="1725134.05"/>
    <n v="1800000"/>
    <n v="1725134.05"/>
    <n v="30000441"/>
    <s v="AMOMPY"/>
    <s v="Momentum Capital Investment S.A."/>
    <s v="16/10/2026"/>
    <s v="16/10/2026"/>
    <n v="33"/>
    <s v="No"/>
    <s v=""/>
    <m/>
    <m/>
    <s v="*MAV121201752"/>
    <s v="*MAV121201752"/>
    <n v="2.1113304524914406E-5"/>
  </r>
  <r>
    <x v="404"/>
    <s v="Pesos"/>
    <d v="2026-12-16T00:00:00"/>
    <s v="29/10/2026"/>
    <n v="0.95961722999999999"/>
    <m/>
    <n v="530200000"/>
    <n v="508789053.54000002"/>
    <n v="530200000"/>
    <n v="508789053.54000002"/>
    <n v="182"/>
    <s v="AMOMPY"/>
    <s v="Momentum Capital Investment S.A."/>
    <s v="09/09/2026"/>
    <s v="09/09/2026"/>
    <n v="32"/>
    <s v="No"/>
    <s v=""/>
    <m/>
    <m/>
    <s v="*MAV131201190"/>
    <s v="*MAV131201190"/>
    <n v="6.2268889923846786E-3"/>
  </r>
  <r>
    <x v="294"/>
    <s v="Pesos"/>
    <d v="2026-12-16T00:00:00"/>
    <s v="29/10/2026"/>
    <n v="0.96204540999999999"/>
    <m/>
    <n v="700000"/>
    <n v="673431.79"/>
    <n v="700000"/>
    <n v="673431.79"/>
    <n v="69995902"/>
    <s v="AMOMPY"/>
    <s v="Momentum Capital Investment S.A."/>
    <s v="25/09/2026"/>
    <s v="25/09/2026"/>
    <n v="30"/>
    <s v="No"/>
    <s v=""/>
    <m/>
    <m/>
    <s v="*MAV121201683"/>
    <s v="*MAV121201683"/>
    <n v="8.241893120727754E-6"/>
  </r>
  <r>
    <x v="51"/>
    <s v="Pesos"/>
    <d v="2026-12-16T00:00:00"/>
    <s v="29/10/2026"/>
    <n v="0.95840780000000003"/>
    <m/>
    <n v="60000000"/>
    <n v="57504467.729999997"/>
    <n v="60000000"/>
    <n v="57504467.729999997"/>
    <n v="20864"/>
    <s v="AMOMPY"/>
    <s v="Momentum Capital Investment S.A."/>
    <s v="28/09/2026"/>
    <s v="28/09/2026"/>
    <n v="33"/>
    <s v="No"/>
    <s v=""/>
    <m/>
    <m/>
    <s v="*MAV121201693"/>
    <s v="*MAV121201693"/>
    <n v="7.0377681011316387E-4"/>
  </r>
  <r>
    <x v="51"/>
    <s v="Pesos"/>
    <d v="2026-12-16T00:00:00"/>
    <s v="29/10/2026"/>
    <n v="0.95840780000000003"/>
    <m/>
    <n v="100000000"/>
    <n v="95840779.549999997"/>
    <n v="100000000"/>
    <n v="95840779.549999997"/>
    <n v="20869"/>
    <s v="AMOMPY"/>
    <s v="Momentum Capital Investment S.A."/>
    <s v="28/09/2026"/>
    <s v="28/09/2026"/>
    <n v="33"/>
    <s v="No"/>
    <s v=""/>
    <m/>
    <m/>
    <s v="*MAV121201694"/>
    <s v="*MAV121201694"/>
    <n v="1.1729613501886066E-3"/>
  </r>
  <r>
    <x v="51"/>
    <s v="Pesos"/>
    <d v="2026-12-16T00:00:00"/>
    <s v="29/10/2026"/>
    <n v="0.95961744000000004"/>
    <m/>
    <n v="75000000"/>
    <n v="71971308.340000004"/>
    <n v="75000000"/>
    <n v="71971308.340000004"/>
    <n v="21572"/>
    <s v="AMOMPY"/>
    <s v="Momentum Capital Investment S.A."/>
    <s v="22/10/2026"/>
    <s v="22/10/2026"/>
    <n v="32"/>
    <s v="No"/>
    <s v=""/>
    <m/>
    <m/>
    <s v="*MAV121201780"/>
    <s v="*MAV121201780"/>
    <n v="8.8083134759234043E-4"/>
  </r>
  <r>
    <x v="52"/>
    <s v="Pesos"/>
    <d v="2026-12-16T00:00:00"/>
    <s v="29/10/2026"/>
    <n v="0.96204544000000003"/>
    <m/>
    <n v="5900000"/>
    <n v="5676068.1100000003"/>
    <n v="5900000"/>
    <n v="5676068.1100000003"/>
    <n v="1028"/>
    <s v="AMOMPY"/>
    <s v="Momentum Capital Investment S.A."/>
    <s v="29/09/2026"/>
    <s v="29/09/2026"/>
    <n v="30"/>
    <s v="No"/>
    <s v=""/>
    <m/>
    <m/>
    <s v="*MAV141201312"/>
    <s v="*MAV141201312"/>
    <n v="6.9467386902823789E-5"/>
  </r>
  <r>
    <x v="65"/>
    <s v="Pesos"/>
    <d v="2026-12-17T00:00:00"/>
    <s v="29/10/2026"/>
    <n v="0.96502138999999998"/>
    <m/>
    <n v="2019362"/>
    <n v="1948727.52"/>
    <n v="2019362"/>
    <n v="1948727.52"/>
    <n v="40765638"/>
    <s v="AMOMPY"/>
    <s v="Momentum Capital Investment S.A."/>
    <s v="16/09/2026"/>
    <s v="16/09/2026"/>
    <n v="27"/>
    <s v="No"/>
    <s v=""/>
    <m/>
    <m/>
    <s v="*CVA151200023"/>
    <s v="*CVA151200023"/>
    <n v="2.3849785798292736E-5"/>
  </r>
  <r>
    <x v="1"/>
    <s v="Pesos"/>
    <d v="2026-12-17T00:00:00"/>
    <s v="29/10/2026"/>
    <n v="0.96377276000000001"/>
    <m/>
    <n v="13500000"/>
    <n v="13010932.220000001"/>
    <n v="13500000"/>
    <n v="13010932.220000001"/>
    <n v="164"/>
    <s v="AMOMPY"/>
    <s v="Momentum Capital Investment S.A."/>
    <s v="18/09/2026"/>
    <s v="18/09/2026"/>
    <n v="28"/>
    <s v="No"/>
    <s v=""/>
    <m/>
    <m/>
    <s v="*AFB151200009"/>
    <s v="*AFB151200009"/>
    <n v="1.592361904362624E-4"/>
  </r>
  <r>
    <x v="2"/>
    <s v="Pesos"/>
    <d v="2026-12-17T00:00:00"/>
    <s v="29/10/2026"/>
    <n v="0.95389932"/>
    <m/>
    <n v="2954385"/>
    <n v="2818185.83"/>
    <n v="2954385"/>
    <n v="2818185.83"/>
    <n v="3330"/>
    <s v="AMOMPY"/>
    <s v="Momentum Capital Investment S.A."/>
    <s v="28/08/2026"/>
    <s v="28/08/2026"/>
    <n v="36"/>
    <s v="No"/>
    <s v=""/>
    <m/>
    <m/>
    <s v="*MAV151201848"/>
    <s v="*MAV151201848"/>
    <n v="3.4490778056689948E-5"/>
  </r>
  <r>
    <x v="2"/>
    <s v="Pesos"/>
    <d v="2026-12-17T00:00:00"/>
    <s v="29/10/2026"/>
    <n v="0.95389928000000002"/>
    <m/>
    <n v="3105640.28"/>
    <n v="2962468.02"/>
    <n v="3105640.28"/>
    <n v="2962468.02"/>
    <n v="3396"/>
    <s v="AMOMPY"/>
    <s v="Momentum Capital Investment S.A."/>
    <s v="07/09/2026"/>
    <s v="07/09/2026"/>
    <n v="36"/>
    <s v="No"/>
    <s v=""/>
    <m/>
    <m/>
    <s v="*MAV151201871"/>
    <s v="*MAV151201871"/>
    <n v="3.625659666944735E-5"/>
  </r>
  <r>
    <x v="2"/>
    <s v="Pesos"/>
    <d v="2026-12-17T00:00:00"/>
    <s v="29/10/2026"/>
    <n v="0.95389930000000001"/>
    <m/>
    <n v="2874176.47"/>
    <n v="2741674.92"/>
    <n v="2874176.47"/>
    <n v="2741674.92"/>
    <n v="3444"/>
    <s v="AMOMPY"/>
    <s v="Momentum Capital Investment S.A."/>
    <s v="11/09/2026"/>
    <s v="11/09/2026"/>
    <n v="36"/>
    <s v="No"/>
    <s v=""/>
    <m/>
    <m/>
    <s v="*MAV151201893"/>
    <s v="*MAV151201893"/>
    <n v="3.3554388132493435E-5"/>
  </r>
  <r>
    <x v="235"/>
    <s v="Pesos"/>
    <d v="2026-12-17T00:00:00"/>
    <s v="29/10/2026"/>
    <n v="0.95881068000000003"/>
    <m/>
    <n v="1027513.96"/>
    <n v="985191.36"/>
    <n v="1027513.96"/>
    <n v="985191.36"/>
    <n v="3585516"/>
    <s v="AMOMPY"/>
    <s v="Momentum Capital Investment S.A."/>
    <s v="16/09/2026"/>
    <s v="16/09/2026"/>
    <n v="32"/>
    <s v="No"/>
    <s v=""/>
    <m/>
    <m/>
    <s v="*MAV151201927"/>
    <s v="*MAV151201927"/>
    <n v="1.2057408059967616E-5"/>
  </r>
  <r>
    <x v="259"/>
    <s v="Pesos"/>
    <d v="2026-12-17T00:00:00"/>
    <s v="29/10/2026"/>
    <n v="0.96128539000000002"/>
    <m/>
    <n v="2763396.02"/>
    <n v="2656412.21"/>
    <n v="2763396.02"/>
    <n v="2656412.21"/>
    <n v="3749"/>
    <s v="AMOMPY"/>
    <s v="Momentum Capital Investment S.A."/>
    <s v="15/10/2026"/>
    <s v="15/10/2026"/>
    <n v="30"/>
    <s v="No"/>
    <s v=""/>
    <m/>
    <m/>
    <s v="*MAV151202152"/>
    <s v="*MAV151202152"/>
    <n v="3.2510888028342422E-5"/>
  </r>
  <r>
    <x v="54"/>
    <s v="Pesos"/>
    <d v="2026-12-17T00:00:00"/>
    <s v="29/10/2026"/>
    <n v="0.96377272999999997"/>
    <m/>
    <n v="30000000"/>
    <n v="28913182.030000001"/>
    <n v="30000000"/>
    <n v="28913182.030000001"/>
    <n v="29600864"/>
    <s v="AMOMPY"/>
    <s v="Momentum Capital Investment S.A."/>
    <s v="07/07/2026"/>
    <s v="07/07/2026"/>
    <n v="28"/>
    <s v="No"/>
    <s v=""/>
    <m/>
    <m/>
    <s v="*INP151200109"/>
    <s v="*INP151200109"/>
    <n v="3.5385819263359443E-4"/>
  </r>
  <r>
    <x v="54"/>
    <s v="Pesos"/>
    <d v="2026-12-17T00:00:00"/>
    <s v="29/10/2026"/>
    <n v="0.96377281999999997"/>
    <m/>
    <n v="32500000"/>
    <n v="31322616.5"/>
    <n v="32500000"/>
    <n v="31322616.5"/>
    <n v="1367874"/>
    <s v="AMOMPY"/>
    <s v="Momentum Capital Investment S.A."/>
    <s v="23/09/2026"/>
    <s v="23/09/2026"/>
    <n v="28"/>
    <s v="No"/>
    <s v=""/>
    <m/>
    <m/>
    <s v="*INP151200120"/>
    <s v="*INP151200120"/>
    <n v="3.8334640759169332E-4"/>
  </r>
  <r>
    <x v="54"/>
    <s v="Pesos"/>
    <d v="2026-12-17T00:00:00"/>
    <s v="29/10/2026"/>
    <n v="0.96377278"/>
    <m/>
    <n v="5000000"/>
    <n v="4818863.88"/>
    <n v="5000000"/>
    <n v="4818863.88"/>
    <n v="40797746"/>
    <s v="AMOMPY"/>
    <s v="Momentum Capital Investment S.A."/>
    <s v="22/09/2026"/>
    <s v="22/09/2026"/>
    <n v="28"/>
    <s v="No"/>
    <s v=""/>
    <m/>
    <m/>
    <s v="*MIL151200047"/>
    <s v="*MIL151200047"/>
    <n v="5.8976367988650266E-5"/>
  </r>
  <r>
    <x v="3"/>
    <s v="Pesos"/>
    <d v="2026-12-17T00:00:00"/>
    <s v="29/10/2026"/>
    <n v="0.96377272999999997"/>
    <m/>
    <n v="8400000"/>
    <n v="8095690.9500000002"/>
    <n v="8400000"/>
    <n v="8095690.9500000002"/>
    <n v="2459"/>
    <s v="AMOMPY"/>
    <s v="Momentum Capital Investment S.A."/>
    <s v="21/09/2026"/>
    <s v="21/09/2026"/>
    <n v="28"/>
    <s v="No"/>
    <s v=""/>
    <m/>
    <m/>
    <s v="*MOV151200132"/>
    <s v="*MOV151200132"/>
    <n v="9.908029371221535E-5"/>
  </r>
  <r>
    <x v="405"/>
    <s v="Pesos"/>
    <d v="2026-12-17T00:00:00"/>
    <s v="29/10/2026"/>
    <n v="0.95881061000000001"/>
    <m/>
    <n v="108911054"/>
    <n v="104425074.39"/>
    <n v="108911054"/>
    <n v="104425074.39"/>
    <n v="90000135"/>
    <s v="AMOMPY"/>
    <s v="Momentum Capital Investment S.A."/>
    <s v="11/09/2026"/>
    <s v="11/09/2026"/>
    <n v="32"/>
    <s v="No"/>
    <s v=""/>
    <m/>
    <m/>
    <s v="*MAV151201896"/>
    <s v="*MAV151201896"/>
    <n v="1.2780214938270509E-3"/>
  </r>
  <r>
    <x v="157"/>
    <s v="Pesos"/>
    <d v="2026-12-17T00:00:00"/>
    <s v="29/10/2026"/>
    <n v="0.95757806000000001"/>
    <m/>
    <n v="5559577.1900000004"/>
    <n v="5323729.17"/>
    <n v="5559577.1900000004"/>
    <n v="5323729.17"/>
    <n v="14101160"/>
    <s v="AMOMPY"/>
    <s v="Momentum Capital Investment S.A."/>
    <s v="15/09/2026"/>
    <s v="15/09/2026"/>
    <n v="33"/>
    <s v="No"/>
    <s v=""/>
    <m/>
    <m/>
    <s v="*MAV151201917"/>
    <s v="*MAV151201917"/>
    <n v="6.5155235429026408E-5"/>
  </r>
  <r>
    <x v="240"/>
    <s v="Pesos"/>
    <d v="2026-12-17T00:00:00"/>
    <s v="29/10/2026"/>
    <n v="0.95881063"/>
    <m/>
    <n v="5000000"/>
    <n v="4794053.16"/>
    <n v="5000000"/>
    <n v="4794053.16"/>
    <n v="1269"/>
    <s v="AMOMPY"/>
    <s v="Momentum Capital Investment S.A."/>
    <s v="15/09/2026"/>
    <s v="15/09/2026"/>
    <n v="32"/>
    <s v="No"/>
    <s v=""/>
    <m/>
    <m/>
    <s v="*MAV151201922"/>
    <s v="*MAV151201922"/>
    <n v="5.8672718375542005E-5"/>
  </r>
  <r>
    <x v="241"/>
    <s v="Pesos"/>
    <d v="2026-12-17T00:00:00"/>
    <s v="29/10/2026"/>
    <n v="0.95757806999999995"/>
    <m/>
    <n v="375000000"/>
    <n v="359091774.79000002"/>
    <n v="375000000"/>
    <n v="359091774.79000002"/>
    <n v="91648904"/>
    <s v="AMOMPY"/>
    <s v="Momentum Capital Investment S.A."/>
    <s v="15/09/2026"/>
    <s v="15/09/2026"/>
    <n v="33"/>
    <s v="No"/>
    <s v=""/>
    <m/>
    <m/>
    <s v="MAVR151200097"/>
    <s v="MAVR151200097"/>
    <n v="4.3947970266619294E-3"/>
  </r>
  <r>
    <x v="55"/>
    <s v="Pesos"/>
    <d v="2026-12-17T00:00:00"/>
    <s v="29/10/2026"/>
    <n v="0.96502131999999996"/>
    <m/>
    <n v="26231345.640000001"/>
    <n v="25313807.850000001"/>
    <n v="26231345.640000001"/>
    <n v="25313807.850000001"/>
    <n v="14072119"/>
    <s v="AMOMPY"/>
    <s v="Momentum Capital Investment S.A."/>
    <s v="25/09/2026"/>
    <s v="25/09/2026"/>
    <n v="27"/>
    <s v="No"/>
    <s v=""/>
    <m/>
    <m/>
    <s v="*PRO151200029"/>
    <s v="*PRO151200029"/>
    <n v="3.0980672709011732E-4"/>
  </r>
  <r>
    <x v="55"/>
    <s v="Pesos"/>
    <d v="2026-12-17T00:00:00"/>
    <s v="29/10/2026"/>
    <n v="0.96502136000000005"/>
    <m/>
    <n v="25000000"/>
    <n v="24125534.02"/>
    <n v="25000000"/>
    <n v="24125534.02"/>
    <n v="9508925"/>
    <s v="AMOMPY"/>
    <s v="Momentum Capital Investment S.A."/>
    <s v="13/07/2026"/>
    <s v="13/07/2026"/>
    <n v="27"/>
    <s v="No"/>
    <s v=""/>
    <m/>
    <m/>
    <s v="*PRO151200026"/>
    <s v="*PRO151200026"/>
    <n v="2.9526386461993628E-4"/>
  </r>
  <r>
    <x v="55"/>
    <s v="Pesos"/>
    <d v="2026-12-17T00:00:00"/>
    <s v="29/10/2026"/>
    <n v="0.9662731"/>
    <m/>
    <n v="15000000"/>
    <n v="14494096.560000001"/>
    <n v="15000000"/>
    <n v="14494096.560000001"/>
    <n v="20411019"/>
    <s v="AMOMPY"/>
    <s v="Momentum Capital Investment S.A."/>
    <s v="17/07/2026"/>
    <s v="17/07/2026"/>
    <n v="26"/>
    <s v="No"/>
    <s v=""/>
    <m/>
    <m/>
    <s v="*PRO151200025"/>
    <s v="*PRO151200025"/>
    <n v="1.7738811339605424E-4"/>
  </r>
  <r>
    <x v="398"/>
    <s v="Pesos"/>
    <d v="2026-12-17T00:00:00"/>
    <s v="29/10/2026"/>
    <n v="0.95757798000000005"/>
    <m/>
    <n v="528139.15"/>
    <n v="505734.42"/>
    <n v="528139.15"/>
    <n v="505734.42"/>
    <n v="17704"/>
    <s v="AMOMPY"/>
    <s v="Momentum Capital Investment S.A."/>
    <s v="16/10/2026"/>
    <s v="16/10/2026"/>
    <n v="33"/>
    <s v="No"/>
    <s v=""/>
    <m/>
    <m/>
    <s v="*MAV151202181"/>
    <s v="*MAV151202181"/>
    <n v="6.1895044145647473E-6"/>
  </r>
  <r>
    <x v="107"/>
    <s v="Pesos"/>
    <d v="2026-12-17T00:00:00"/>
    <s v="29/10/2026"/>
    <n v="0.95757809000000005"/>
    <m/>
    <n v="165489.23000000001"/>
    <n v="158468.85999999999"/>
    <n v="165489.23000000001"/>
    <n v="158468.85999999999"/>
    <n v="30101249"/>
    <s v="AMOMPY"/>
    <s v="Momentum Capital Investment S.A."/>
    <s v="17/09/2026"/>
    <s v="17/09/2026"/>
    <n v="33"/>
    <s v="No"/>
    <s v=""/>
    <m/>
    <m/>
    <s v="*MAV151201950"/>
    <s v="*MAV151201950"/>
    <n v="1.9394442413886775E-6"/>
  </r>
  <r>
    <x v="223"/>
    <s v="Pesos"/>
    <d v="2026-12-17T00:00:00"/>
    <s v="29/10/2026"/>
    <n v="0.95757798999999999"/>
    <m/>
    <n v="672232.39"/>
    <n v="643714.93999999994"/>
    <n v="672232.39"/>
    <n v="643714.93999999994"/>
    <n v="19729"/>
    <s v="AMOMPY"/>
    <s v="Momentum Capital Investment S.A."/>
    <s v="16/10/2026"/>
    <s v="16/10/2026"/>
    <n v="33"/>
    <s v="No"/>
    <s v=""/>
    <m/>
    <m/>
    <s v="*MAV151202179"/>
    <s v="*MAV151202179"/>
    <n v="7.8781991205013914E-6"/>
  </r>
  <r>
    <x v="378"/>
    <s v="Pesos"/>
    <d v="2026-12-17T00:00:00"/>
    <s v="29/10/2026"/>
    <n v="0.95757798000000005"/>
    <m/>
    <n v="3171089.33"/>
    <n v="3036565.33"/>
    <n v="3171089.33"/>
    <n v="3036565.33"/>
    <n v="12302869"/>
    <s v="AMOMPY"/>
    <s v="Momentum Capital Investment S.A."/>
    <s v="16/10/2026"/>
    <s v="16/10/2026"/>
    <n v="33"/>
    <s v="No"/>
    <s v=""/>
    <m/>
    <m/>
    <s v="*MAV151202178"/>
    <s v="*MAV151202178"/>
    <n v="3.7163447398239695E-5"/>
  </r>
  <r>
    <x v="406"/>
    <s v="Pesos"/>
    <d v="2026-12-17T00:00:00"/>
    <s v="29/10/2026"/>
    <n v="0.95757798999999999"/>
    <m/>
    <n v="1210000"/>
    <n v="1158669.3700000001"/>
    <n v="1210000"/>
    <n v="1158669.3700000001"/>
    <n v="4521"/>
    <s v="AMOMPY"/>
    <s v="Momentum Capital Investment S.A."/>
    <s v="16/10/2026"/>
    <s v="16/10/2026"/>
    <n v="33"/>
    <s v="No"/>
    <s v=""/>
    <m/>
    <m/>
    <s v="*MAV151202174"/>
    <s v="*MAV151202174"/>
    <n v="1.4180543971351516E-5"/>
  </r>
  <r>
    <x v="407"/>
    <s v="Pesos"/>
    <d v="2026-12-17T00:00:00"/>
    <s v="29/10/2026"/>
    <n v="0.96252742999999996"/>
    <m/>
    <n v="588927.54"/>
    <n v="566858.91"/>
    <n v="588927.54"/>
    <n v="566858.91"/>
    <n v="41032878"/>
    <s v="AMOMPY"/>
    <s v="Momentum Capital Investment S.A."/>
    <s v="28/10/2026"/>
    <s v="28/10/2026"/>
    <n v="29"/>
    <s v="No"/>
    <s v=""/>
    <m/>
    <m/>
    <s v="*MAV151202294"/>
    <s v="*MAV151202294"/>
    <n v="6.9375853948805014E-6"/>
  </r>
  <r>
    <x v="354"/>
    <s v="Pesos"/>
    <d v="2026-12-17T00:00:00"/>
    <s v="29/10/2026"/>
    <n v="0.95757811000000004"/>
    <m/>
    <n v="25000000"/>
    <n v="23939452.699999999"/>
    <n v="25000000"/>
    <n v="23939452.699999999"/>
    <n v="4296"/>
    <s v="AMOMPY"/>
    <s v="Momentum Capital Investment S.A."/>
    <s v="23/09/2026"/>
    <s v="23/09/2026"/>
    <n v="33"/>
    <s v="No"/>
    <s v=""/>
    <m/>
    <m/>
    <s v="*MAV151201983"/>
    <s v="*MAV151201983"/>
    <n v="2.9298648126207025E-4"/>
  </r>
  <r>
    <x v="40"/>
    <s v="Pesos"/>
    <d v="2026-12-17T00:00:00"/>
    <s v="29/10/2026"/>
    <n v="0.95881057999999997"/>
    <m/>
    <n v="6000000"/>
    <n v="5752863.5"/>
    <n v="6000000"/>
    <n v="5752863.5"/>
    <n v="40789600"/>
    <s v="AMOMPY"/>
    <s v="Momentum Capital Investment S.A."/>
    <s v="02/10/2026"/>
    <s v="02/10/2026"/>
    <n v="32"/>
    <s v="No"/>
    <s v=""/>
    <m/>
    <m/>
    <s v="*MAV151202049"/>
    <s v="*MAV151202049"/>
    <n v="7.0407258476965843E-5"/>
  </r>
  <r>
    <x v="44"/>
    <s v="Pesos"/>
    <d v="2026-12-17T00:00:00"/>
    <s v="29/10/2026"/>
    <n v="0.95757815999999996"/>
    <m/>
    <n v="12500000"/>
    <n v="11969726.960000001"/>
    <n v="12500000"/>
    <n v="11969726.960000001"/>
    <n v="14651820"/>
    <s v="AMOMPY"/>
    <s v="Momentum Capital Investment S.A."/>
    <s v="01/10/2026"/>
    <s v="01/10/2026"/>
    <n v="33"/>
    <s v="No"/>
    <s v=""/>
    <m/>
    <m/>
    <s v="*MAV151202044"/>
    <s v="*MAV151202044"/>
    <n v="1.4649324809660905E-4"/>
  </r>
  <r>
    <x v="44"/>
    <s v="Pesos"/>
    <d v="2026-12-17T00:00:00"/>
    <s v="29/10/2026"/>
    <n v="0.95757809000000005"/>
    <m/>
    <n v="15000000"/>
    <n v="14363671.380000001"/>
    <n v="15000000"/>
    <n v="14363671.380000001"/>
    <n v="14724991"/>
    <s v="AMOMPY"/>
    <s v="Momentum Capital Investment S.A."/>
    <s v="14/10/2026"/>
    <s v="14/10/2026"/>
    <n v="33"/>
    <s v="No"/>
    <s v=""/>
    <m/>
    <m/>
    <s v="*MAV151202135"/>
    <s v="*MAV151202135"/>
    <n v="1.7579188581996719E-4"/>
  </r>
  <r>
    <x v="408"/>
    <s v="Pesos"/>
    <d v="2026-12-17T00:00:00"/>
    <s v="29/10/2026"/>
    <n v="0.96252757"/>
    <m/>
    <n v="486000"/>
    <n v="467788.4"/>
    <n v="486000"/>
    <n v="467788.4"/>
    <n v="6645338"/>
    <s v="AMOMPY"/>
    <s v="Momentum Capital Investment S.A."/>
    <s v="23/10/2026"/>
    <s v="23/10/2026"/>
    <n v="29"/>
    <s v="No"/>
    <s v=""/>
    <m/>
    <m/>
    <s v="*MAV151202254"/>
    <s v="*MAV151202254"/>
    <n v="5.7250965178169603E-6"/>
  </r>
  <r>
    <x v="62"/>
    <s v="Pesos"/>
    <d v="2026-12-17T00:00:00"/>
    <s v="29/10/2026"/>
    <n v="0.95881066999999998"/>
    <m/>
    <n v="50000000"/>
    <n v="47940533.710000001"/>
    <n v="50000000"/>
    <n v="47940533.710000001"/>
    <n v="5356"/>
    <s v="AMOMPY"/>
    <s v="Momentum Capital Investment S.A."/>
    <s v="16/09/2026"/>
    <s v="16/09/2026"/>
    <n v="32"/>
    <s v="No"/>
    <s v=""/>
    <m/>
    <m/>
    <s v="*MAV151201931"/>
    <s v="*MAV151201931"/>
    <n v="5.8672720957896258E-4"/>
  </r>
  <r>
    <x v="62"/>
    <s v="Pesos"/>
    <d v="2026-12-17T00:00:00"/>
    <s v="29/10/2026"/>
    <n v="0.95881061999999995"/>
    <m/>
    <n v="50000000"/>
    <n v="47940530.75"/>
    <n v="50000000"/>
    <n v="47940530.75"/>
    <n v="5407"/>
    <s v="AMOMPY"/>
    <s v="Momentum Capital Investment S.A."/>
    <s v="29/09/2026"/>
    <s v="29/09/2026"/>
    <n v="32"/>
    <s v="No"/>
    <s v=""/>
    <m/>
    <m/>
    <s v="*MAV151202019"/>
    <s v="*MAV151202019"/>
    <n v="5.8672717335257123E-4"/>
  </r>
  <r>
    <x v="409"/>
    <s v="Pesos"/>
    <d v="2026-12-17T00:00:00"/>
    <s v="29/10/2026"/>
    <n v="0.96004632000000001"/>
    <m/>
    <n v="10000000"/>
    <n v="9600463.1999999993"/>
    <n v="10000000"/>
    <n v="9600463.1999999993"/>
    <n v="363"/>
    <s v="AMOMPY"/>
    <s v="Momentum Capital Investment S.A."/>
    <s v="20/10/2026"/>
    <s v="20/10/2026"/>
    <n v="31"/>
    <s v="No"/>
    <s v=""/>
    <m/>
    <m/>
    <s v="*MAV151202213"/>
    <s v="*MAV151202213"/>
    <n v="1.1749666822809173E-4"/>
  </r>
  <r>
    <x v="247"/>
    <s v="Pesos"/>
    <d v="2026-12-17T00:00:00"/>
    <s v="29/10/2026"/>
    <n v="0.95634869"/>
    <m/>
    <n v="1260746.67"/>
    <n v="1205713.42"/>
    <n v="1260746.67"/>
    <n v="1205713.42"/>
    <n v="70472501"/>
    <s v="AMOMPY"/>
    <s v="Momentum Capital Investment S.A."/>
    <s v="21/10/2026"/>
    <s v="21/10/2026"/>
    <n v="34"/>
    <s v="No"/>
    <s v=""/>
    <m/>
    <m/>
    <s v="*MAV151202230"/>
    <s v="*MAV151202230"/>
    <n v="1.4756299434374982E-5"/>
  </r>
  <r>
    <x v="410"/>
    <s v="Pesos"/>
    <d v="2026-12-17T00:00:00"/>
    <s v="29/10/2026"/>
    <n v="0.95634867999999995"/>
    <m/>
    <n v="1183000"/>
    <n v="1131360.49"/>
    <n v="1183000"/>
    <n v="1131360.49"/>
    <n v="23"/>
    <s v="AMOMPY"/>
    <s v="Momentum Capital Investment S.A."/>
    <s v="21/10/2026"/>
    <s v="21/10/2026"/>
    <n v="34"/>
    <s v="No"/>
    <s v=""/>
    <m/>
    <m/>
    <s v="*MAV151202229"/>
    <s v="*MAV151202229"/>
    <n v="1.3846320262953699E-5"/>
  </r>
  <r>
    <x v="205"/>
    <s v="Pesos"/>
    <d v="2026-12-17T00:00:00"/>
    <s v="29/10/2026"/>
    <n v="0.96128541999999995"/>
    <m/>
    <n v="1500000"/>
    <n v="1441928.13"/>
    <n v="1500000"/>
    <n v="1441928.13"/>
    <n v="10793607"/>
    <s v="AMOMPY"/>
    <s v="Momentum Capital Investment S.A."/>
    <s v="19/10/2026"/>
    <s v="19/10/2026"/>
    <n v="30"/>
    <s v="No"/>
    <s v=""/>
    <m/>
    <m/>
    <s v="*MAV151202196"/>
    <s v="*MAV151202196"/>
    <n v="1.7647247593153915E-5"/>
  </r>
  <r>
    <x v="277"/>
    <s v="Pesos"/>
    <d v="2026-12-17T00:00:00"/>
    <s v="29/10/2026"/>
    <n v="0.95512240000000004"/>
    <m/>
    <n v="115000000"/>
    <n v="109839076.31"/>
    <n v="115000000"/>
    <n v="109839076.31"/>
    <n v="1196"/>
    <s v="AMOMPY"/>
    <s v="Momentum Capital Investment S.A."/>
    <s v="11/09/2026"/>
    <s v="11/09/2026"/>
    <n v="35"/>
    <s v="No"/>
    <s v=""/>
    <m/>
    <m/>
    <s v="*MAV151201891"/>
    <s v="*MAV151201891"/>
    <n v="1.3442815454650272E-3"/>
  </r>
  <r>
    <x v="123"/>
    <s v="Pesos"/>
    <d v="2026-12-17T00:00:00"/>
    <s v="29/10/2026"/>
    <n v="0.95757802999999997"/>
    <m/>
    <n v="2000000"/>
    <n v="1915156.06"/>
    <n v="2000000"/>
    <n v="1915156.06"/>
    <n v="43"/>
    <s v="AMOMPY"/>
    <s v="Momentum Capital Investment S.A."/>
    <s v="13/08/2026"/>
    <s v="13/08/2026"/>
    <n v="33"/>
    <s v="No"/>
    <s v=""/>
    <m/>
    <m/>
    <s v="*MAV151201807"/>
    <s v="*MAV151201807"/>
    <n v="2.3438916591736882E-5"/>
  </r>
  <r>
    <x v="411"/>
    <s v="Pesos"/>
    <d v="2026-12-17T00:00:00"/>
    <s v="29/10/2026"/>
    <n v="0.95757797"/>
    <m/>
    <n v="1040712.9"/>
    <n v="996563.75"/>
    <n v="1040712.9"/>
    <n v="996563.75"/>
    <n v="53305548"/>
    <s v="AMOMPY"/>
    <s v="Momentum Capital Investment S.A."/>
    <s v="16/10/2026"/>
    <s v="16/10/2026"/>
    <n v="33"/>
    <s v="No"/>
    <s v=""/>
    <m/>
    <m/>
    <s v="*MAV151202180"/>
    <s v="*MAV151202180"/>
    <n v="1.2196590712611966E-5"/>
  </r>
  <r>
    <x v="29"/>
    <s v="Pesos"/>
    <d v="2026-12-17T00:00:00"/>
    <s v="29/10/2026"/>
    <n v="0.96627317000000001"/>
    <m/>
    <n v="5000000"/>
    <n v="4831365.8499999996"/>
    <n v="5000000"/>
    <n v="4831365.8499999996"/>
    <n v="491509"/>
    <s v="AMOMPY"/>
    <s v="Momentum Capital Investment S.A."/>
    <s v="20/07/2026"/>
    <s v="20/07/2026"/>
    <n v="26"/>
    <s v="No"/>
    <s v=""/>
    <m/>
    <m/>
    <s v="*MIL151200043"/>
    <s v="*MIL151200043"/>
    <n v="5.9129375170771175E-5"/>
  </r>
  <r>
    <x v="92"/>
    <s v="Pesos"/>
    <d v="2026-12-17T00:00:00"/>
    <s v="29/10/2026"/>
    <n v="0.96377276000000001"/>
    <m/>
    <n v="40000000"/>
    <n v="38550910.270000003"/>
    <n v="40000000"/>
    <n v="38550910.270000003"/>
    <n v="54029681"/>
    <s v="AMOMPY"/>
    <s v="Momentum Capital Investment S.A."/>
    <s v="18/09/2026"/>
    <s v="18/09/2026"/>
    <n v="28"/>
    <s v="No"/>
    <s v=""/>
    <m/>
    <m/>
    <s v="*FID151200043"/>
    <s v="*FID151200043"/>
    <n v="4.7181093448544494E-4"/>
  </r>
  <r>
    <x v="393"/>
    <s v="Pesos"/>
    <d v="2026-12-17T00:00:00"/>
    <s v="29/10/2026"/>
    <n v="0.95757798000000005"/>
    <m/>
    <n v="1800000"/>
    <n v="1723640.37"/>
    <n v="1800000"/>
    <n v="1723640.37"/>
    <n v="30000442"/>
    <s v="AMOMPY"/>
    <s v="Momentum Capital Investment S.A."/>
    <s v="16/10/2026"/>
    <s v="16/10/2026"/>
    <n v="33"/>
    <s v="No"/>
    <s v=""/>
    <m/>
    <m/>
    <s v="*MAV151202177"/>
    <s v="*MAV151202177"/>
    <n v="2.109502390451695E-5"/>
  </r>
  <r>
    <x v="256"/>
    <s v="Pesos"/>
    <d v="2026-12-17T00:00:00"/>
    <s v="29/10/2026"/>
    <n v="0.96128522999999999"/>
    <m/>
    <n v="20000000"/>
    <n v="19225704.550000001"/>
    <n v="20000000"/>
    <n v="19225704.550000001"/>
    <n v="2487411"/>
    <s v="AMOMPY"/>
    <s v="Momentum Capital Investment S.A."/>
    <s v="16/10/2026"/>
    <s v="16/10/2026"/>
    <n v="30"/>
    <s v="No"/>
    <s v=""/>
    <m/>
    <m/>
    <s v="*MAV151202169"/>
    <s v="*MAV151202169"/>
    <n v="2.3529658745659939E-4"/>
  </r>
  <r>
    <x v="51"/>
    <s v="Pesos"/>
    <d v="2026-12-17T00:00:00"/>
    <s v="29/10/2026"/>
    <n v="0.95757809999999999"/>
    <m/>
    <n v="80000000"/>
    <n v="76606248.239999995"/>
    <n v="80000000"/>
    <n v="76606248.239999995"/>
    <n v="20883"/>
    <s v="AMOMPY"/>
    <s v="Momentum Capital Investment S.A."/>
    <s v="30/09/2026"/>
    <s v="30/09/2026"/>
    <n v="33"/>
    <s v="No"/>
    <s v=""/>
    <m/>
    <m/>
    <s v="*MAV151202020"/>
    <s v="*MAV151202020"/>
    <n v="9.3755673514316648E-4"/>
  </r>
  <r>
    <x v="257"/>
    <s v="Pesos"/>
    <d v="2026-12-17T00:00:00"/>
    <s v="29/10/2026"/>
    <n v="0.95881057999999997"/>
    <m/>
    <n v="50000000"/>
    <n v="47940529.149999999"/>
    <n v="50000000"/>
    <n v="47940529.149999999"/>
    <n v="5465"/>
    <s v="AMOMPY"/>
    <s v="Momentum Capital Investment S.A."/>
    <s v="02/10/2026"/>
    <s v="02/10/2026"/>
    <n v="32"/>
    <s v="No"/>
    <s v=""/>
    <m/>
    <m/>
    <s v="*MAV151202059"/>
    <s v="*MAV151202059"/>
    <n v="5.8672715377073789E-4"/>
  </r>
  <r>
    <x v="65"/>
    <s v="Pesos"/>
    <d v="2026-12-18T00:00:00"/>
    <s v="29/10/2026"/>
    <n v="0.96052632999999998"/>
    <m/>
    <n v="5580000"/>
    <n v="5359736.91"/>
    <n v="5580000"/>
    <n v="5359736.91"/>
    <n v="11415148"/>
    <s v="AMOMPY"/>
    <s v="Momentum Capital Investment S.A."/>
    <s v="18/09/2026"/>
    <s v="18/09/2026"/>
    <n v="30"/>
    <s v="No"/>
    <s v=""/>
    <m/>
    <m/>
    <s v="*CVA161200027"/>
    <s v="*CVA161200027"/>
    <n v="6.5595921403472249E-5"/>
  </r>
  <r>
    <x v="2"/>
    <s v="Pesos"/>
    <d v="2026-12-18T00:00:00"/>
    <s v="29/10/2026"/>
    <n v="0.95300271999999997"/>
    <m/>
    <n v="2954385"/>
    <n v="2815536.93"/>
    <n v="2954385"/>
    <n v="2815536.93"/>
    <n v="3331"/>
    <s v="AMOMPY"/>
    <s v="Momentum Capital Investment S.A."/>
    <s v="02/09/2026"/>
    <s v="02/09/2026"/>
    <n v="36"/>
    <s v="No"/>
    <s v=""/>
    <m/>
    <m/>
    <s v="*MAV161201320"/>
    <s v="*MAV161201320"/>
    <n v="3.4458359107938665E-5"/>
  </r>
  <r>
    <x v="2"/>
    <s v="Pesos"/>
    <d v="2026-12-18T00:00:00"/>
    <s v="29/10/2026"/>
    <n v="0.95300260999999997"/>
    <m/>
    <n v="3105640.28"/>
    <n v="2959683.3"/>
    <n v="3105640.28"/>
    <n v="2959683.3"/>
    <n v="3397"/>
    <s v="AMOMPY"/>
    <s v="Momentum Capital Investment S.A."/>
    <s v="07/09/2026"/>
    <s v="07/09/2026"/>
    <n v="36"/>
    <s v="No"/>
    <s v=""/>
    <m/>
    <m/>
    <s v="*MAV161201334"/>
    <s v="*MAV161201334"/>
    <n v="3.6222515467829065E-5"/>
  </r>
  <r>
    <x v="2"/>
    <s v="Pesos"/>
    <d v="2026-12-18T00:00:00"/>
    <s v="29/10/2026"/>
    <n v="0.95300262999999996"/>
    <m/>
    <n v="2874176.47"/>
    <n v="2739097.75"/>
    <n v="2874176.47"/>
    <n v="2739097.75"/>
    <n v="3445"/>
    <s v="AMOMPY"/>
    <s v="Momentum Capital Investment S.A."/>
    <s v="11/09/2026"/>
    <s v="11/09/2026"/>
    <n v="36"/>
    <s v="No"/>
    <s v=""/>
    <m/>
    <m/>
    <s v="*MAV161201358"/>
    <s v="*MAV161201358"/>
    <n v="3.352284706180245E-5"/>
  </r>
  <r>
    <x v="412"/>
    <s v="Pesos"/>
    <d v="2026-12-18T00:00:00"/>
    <s v="29/10/2026"/>
    <n v="0.95800532999999999"/>
    <m/>
    <n v="21145734.48"/>
    <n v="20257726.359999999"/>
    <n v="21145734.48"/>
    <n v="20257726.359999999"/>
    <n v="1985961"/>
    <s v="AMOMPY"/>
    <s v="Momentum Capital Investment S.A."/>
    <s v="16/09/2026"/>
    <s v="16/09/2026"/>
    <n v="32"/>
    <s v="No"/>
    <s v=""/>
    <m/>
    <m/>
    <s v="*MAV161201370"/>
    <s v="*MAV161201370"/>
    <n v="2.4792713680485629E-4"/>
  </r>
  <r>
    <x v="259"/>
    <s v="Pesos"/>
    <d v="2026-12-18T00:00:00"/>
    <s v="29/10/2026"/>
    <n v="0.96052641999999999"/>
    <m/>
    <n v="3396000"/>
    <n v="3261947.71"/>
    <n v="3396000"/>
    <n v="3261947.71"/>
    <n v="3970"/>
    <s v="AMOMPY"/>
    <s v="Momentum Capital Investment S.A."/>
    <s v="15/10/2026"/>
    <s v="15/10/2026"/>
    <n v="30"/>
    <s v="No"/>
    <s v=""/>
    <m/>
    <m/>
    <s v="*MAV161201529"/>
    <s v="*MAV161201529"/>
    <n v="3.9921822507402939E-5"/>
  </r>
  <r>
    <x v="3"/>
    <s v="Pesos"/>
    <d v="2026-12-18T00:00:00"/>
    <s v="29/10/2026"/>
    <n v="0.96306082000000004"/>
    <m/>
    <n v="8400000"/>
    <n v="8089710.8600000003"/>
    <n v="8400000"/>
    <n v="8089710.8600000003"/>
    <n v="2460"/>
    <s v="AMOMPY"/>
    <s v="Momentum Capital Investment S.A."/>
    <s v="21/09/2026"/>
    <s v="21/09/2026"/>
    <n v="28"/>
    <s v="No"/>
    <s v=""/>
    <m/>
    <m/>
    <s v="*MOV161200077"/>
    <s v="*MOV161200077"/>
    <n v="9.9007105509097806E-5"/>
  </r>
  <r>
    <x v="241"/>
    <s v="Pesos"/>
    <d v="2026-12-18T00:00:00"/>
    <s v="29/10/2026"/>
    <n v="0.95674979000000004"/>
    <m/>
    <n v="385000000"/>
    <n v="368348670.69"/>
    <n v="385000000"/>
    <n v="368348670.69"/>
    <n v="91310506"/>
    <s v="AMOMPY"/>
    <s v="Momentum Capital Investment S.A."/>
    <s v="01/10/2026"/>
    <s v="01/10/2026"/>
    <n v="33"/>
    <s v="No"/>
    <s v=""/>
    <m/>
    <m/>
    <s v="MAVR161200156"/>
    <s v="MAVR161200156"/>
    <n v="4.5080888964109094E-3"/>
  </r>
  <r>
    <x v="398"/>
    <s v="Pesos"/>
    <d v="2026-12-18T00:00:00"/>
    <s v="29/10/2026"/>
    <n v="0.95674985999999995"/>
    <m/>
    <n v="528139.15"/>
    <n v="505297.06"/>
    <n v="528139.15"/>
    <n v="505297.06"/>
    <n v="17705"/>
    <s v="AMOMPY"/>
    <s v="Momentum Capital Investment S.A."/>
    <s v="16/10/2026"/>
    <s v="16/10/2026"/>
    <n v="33"/>
    <s v="No"/>
    <s v=""/>
    <m/>
    <m/>
    <s v="*MAV161201545"/>
    <s v="*MAV161201545"/>
    <n v="6.1841517204555472E-6"/>
  </r>
  <r>
    <x v="56"/>
    <s v="Pesos"/>
    <d v="2026-12-18T00:00:00"/>
    <s v="29/10/2026"/>
    <n v="0.96179183999999995"/>
    <m/>
    <n v="450000"/>
    <n v="432806.33"/>
    <n v="450000"/>
    <n v="432806.33"/>
    <n v="11456513"/>
    <s v="AMOMPY"/>
    <s v="Momentum Capital Investment S.A."/>
    <s v="28/10/2026"/>
    <s v="28/10/2026"/>
    <n v="29"/>
    <s v="No"/>
    <s v=""/>
    <m/>
    <m/>
    <s v="*MAV161201637"/>
    <s v="*MAV161201637"/>
    <n v="5.2969633551668625E-6"/>
  </r>
  <r>
    <x v="302"/>
    <s v="Pesos"/>
    <d v="2026-12-18T00:00:00"/>
    <s v="29/10/2026"/>
    <n v="0.96052641000000005"/>
    <m/>
    <n v="1094384"/>
    <n v="1051184.74"/>
    <n v="1094384"/>
    <n v="1051184.74"/>
    <n v="2528"/>
    <s v="AMOMPY"/>
    <s v="Momentum Capital Investment S.A."/>
    <s v="15/10/2026"/>
    <s v="15/10/2026"/>
    <n v="30"/>
    <s v="No"/>
    <s v=""/>
    <m/>
    <m/>
    <s v="*MAV161201528"/>
    <s v="*MAV161201528"/>
    <n v="1.2865077660233402E-5"/>
  </r>
  <r>
    <x v="107"/>
    <s v="Pesos"/>
    <d v="2026-12-18T00:00:00"/>
    <s v="29/10/2026"/>
    <n v="0.95674970000000004"/>
    <m/>
    <n v="12839.68"/>
    <n v="12284.36"/>
    <n v="12839.68"/>
    <n v="12284.36"/>
    <n v="30101605"/>
    <s v="AMOMPY"/>
    <s v="Momentum Capital Investment S.A."/>
    <s v="21/09/2026"/>
    <s v="21/09/2026"/>
    <n v="33"/>
    <s v="No"/>
    <s v=""/>
    <m/>
    <m/>
    <s v="*MAV161201393"/>
    <s v="*MAV161201393"/>
    <n v="1.5034393041727831E-7"/>
  </r>
  <r>
    <x v="189"/>
    <s v="Pesos"/>
    <d v="2026-12-18T00:00:00"/>
    <s v="29/10/2026"/>
    <n v="0.95674974000000002"/>
    <m/>
    <n v="25000000"/>
    <n v="23918743.41"/>
    <n v="25000000"/>
    <n v="23918743.41"/>
    <n v="475888"/>
    <s v="AMOMPY"/>
    <s v="Momentum Capital Investment S.A."/>
    <s v="07/08/2026"/>
    <s v="07/08/2026"/>
    <n v="33"/>
    <s v="No"/>
    <s v=""/>
    <m/>
    <m/>
    <s v="*MAV161201275"/>
    <s v="*MAV161201275"/>
    <n v="2.9273302759783774E-4"/>
  </r>
  <r>
    <x v="413"/>
    <s v="Pesos"/>
    <d v="2026-12-18T00:00:00"/>
    <s v="29/10/2026"/>
    <n v="0.96306069999999999"/>
    <m/>
    <n v="160000000"/>
    <n v="154089711.38999999"/>
    <n v="160000000"/>
    <n v="154089711.38999999"/>
    <n v="39"/>
    <s v="AMOMPY"/>
    <s v="Momentum Capital Investment S.A."/>
    <s v="18/09/2026"/>
    <s v="18/09/2026"/>
    <n v="28"/>
    <s v="No"/>
    <s v=""/>
    <m/>
    <m/>
    <s v="*NOV161200054"/>
    <s v="*NOV161200054"/>
    <n v="1.8858493928244251E-3"/>
  </r>
  <r>
    <x v="79"/>
    <s v="Pesos"/>
    <d v="2026-12-18T00:00:00"/>
    <s v="29/10/2026"/>
    <n v="0.95674970000000004"/>
    <m/>
    <n v="6820314.5199999996"/>
    <n v="6525333.9000000004"/>
    <n v="6820314.5199999996"/>
    <n v="6525333.9000000004"/>
    <n v="769"/>
    <s v="AMOMPY"/>
    <s v="Momentum Capital Investment S.A."/>
    <s v="06/08/2026"/>
    <s v="06/08/2026"/>
    <n v="33"/>
    <s v="No"/>
    <s v=""/>
    <m/>
    <m/>
    <s v="*MAV161201272"/>
    <s v="*MAV161201272"/>
    <n v="7.9861250061957428E-5"/>
  </r>
  <r>
    <x v="15"/>
    <s v="Pesos"/>
    <d v="2026-12-18T00:00:00"/>
    <s v="29/10/2026"/>
    <n v="0.95300264999999995"/>
    <m/>
    <n v="22578937.030000001"/>
    <n v="21517786.870000001"/>
    <n v="22578937.030000001"/>
    <n v="21517786.870000001"/>
    <n v="67998226"/>
    <s v="AMOMPY"/>
    <s v="Momentum Capital Investment S.A."/>
    <s v="01/07/2026"/>
    <s v="01/07/2026"/>
    <n v="36"/>
    <s v="No"/>
    <s v=""/>
    <m/>
    <m/>
    <s v="*MAV161201238"/>
    <s v="*MAV161201238"/>
    <n v="2.6334857102177934E-4"/>
  </r>
  <r>
    <x v="85"/>
    <s v="Pesos"/>
    <d v="2026-12-18T00:00:00"/>
    <s v="29/10/2026"/>
    <n v="0.97333347000000003"/>
    <m/>
    <n v="11000000"/>
    <n v="10706668.18"/>
    <n v="11000000"/>
    <n v="10706668.18"/>
    <n v="543"/>
    <s v="AMOMPY"/>
    <s v="Momentum Capital Investment S.A."/>
    <s v="27/10/2026"/>
    <s v="27/10/2026"/>
    <n v="20"/>
    <s v="No"/>
    <s v=""/>
    <m/>
    <m/>
    <s v="*MAV161201634"/>
    <s v="*MAV161201634"/>
    <n v="1.310351191152659E-4"/>
  </r>
  <r>
    <x v="44"/>
    <s v="Pesos"/>
    <d v="2026-12-18T00:00:00"/>
    <s v="29/10/2026"/>
    <n v="0.95674977000000005"/>
    <m/>
    <n v="25000000"/>
    <n v="23918744.219999999"/>
    <n v="25000000"/>
    <n v="23918744.219999999"/>
    <n v="14422598"/>
    <s v="AMOMPY"/>
    <s v="Momentum Capital Investment S.A."/>
    <s v="02/09/2026"/>
    <s v="02/09/2026"/>
    <n v="33"/>
    <s v="No"/>
    <s v=""/>
    <m/>
    <m/>
    <s v="*MAV161201321"/>
    <s v="*MAV161201321"/>
    <n v="2.9273303751114078E-4"/>
  </r>
  <r>
    <x v="414"/>
    <s v="Pesos"/>
    <d v="2026-12-18T00:00:00"/>
    <s v="29/10/2026"/>
    <n v="0.95424854999999997"/>
    <m/>
    <n v="391319.8"/>
    <n v="373416.35"/>
    <n v="391319.8"/>
    <n v="373416.35"/>
    <n v="285"/>
    <s v="AMOMPY"/>
    <s v="Momentum Capital Investment S.A."/>
    <s v="23/10/2026"/>
    <s v="23/10/2026"/>
    <n v="35"/>
    <s v="No"/>
    <s v=""/>
    <m/>
    <m/>
    <s v="*MAV161201602"/>
    <s v="*MAV161201602"/>
    <n v="4.5701104283067282E-6"/>
  </r>
  <r>
    <x v="249"/>
    <s v="Pesos"/>
    <d v="2026-12-18T00:00:00"/>
    <s v="29/10/2026"/>
    <n v="0.95549740000000005"/>
    <m/>
    <n v="618696.5"/>
    <n v="591162.9"/>
    <n v="618696.5"/>
    <n v="591162.9"/>
    <n v="70496809"/>
    <s v="AMOMPY"/>
    <s v="Momentum Capital Investment S.A."/>
    <s v="21/10/2026"/>
    <s v="21/10/2026"/>
    <n v="34"/>
    <s v="No"/>
    <s v=""/>
    <m/>
    <m/>
    <s v="*MAV161201586"/>
    <s v="*MAV161201586"/>
    <n v="7.2350333190232507E-6"/>
  </r>
  <r>
    <x v="269"/>
    <s v="Pesos"/>
    <d v="2026-12-18T00:00:00"/>
    <s v="29/10/2026"/>
    <n v="0.95674970999999998"/>
    <m/>
    <n v="55000000"/>
    <n v="52621234.189999998"/>
    <n v="55000000"/>
    <n v="52621234.189999998"/>
    <n v="2328"/>
    <s v="AMOMPY"/>
    <s v="Momentum Capital Investment S.A."/>
    <s v="15/09/2026"/>
    <s v="15/09/2026"/>
    <n v="33"/>
    <s v="No"/>
    <s v=""/>
    <m/>
    <m/>
    <s v="*MAV161201368"/>
    <s v="*MAV161201368"/>
    <n v="6.4401264465813982E-4"/>
  </r>
  <r>
    <x v="269"/>
    <s v="Pesos"/>
    <d v="2026-12-18T00:00:00"/>
    <s v="29/10/2026"/>
    <n v="0.95674977000000005"/>
    <m/>
    <n v="50000000"/>
    <n v="47837488.450000003"/>
    <n v="50000000"/>
    <n v="47837488.450000003"/>
    <n v="2265"/>
    <s v="AMOMPY"/>
    <s v="Momentum Capital Investment S.A."/>
    <s v="02/09/2026"/>
    <s v="02/09/2026"/>
    <n v="33"/>
    <s v="No"/>
    <s v=""/>
    <m/>
    <m/>
    <s v="*MAV161201319"/>
    <s v="*MAV161201319"/>
    <n v="5.8546607514466814E-4"/>
  </r>
  <r>
    <x v="359"/>
    <s v="Pesos"/>
    <d v="2026-12-18T00:00:00"/>
    <s v="29/10/2026"/>
    <n v="0.95674983999999996"/>
    <m/>
    <n v="1288598.56"/>
    <n v="1232866.47"/>
    <n v="1288598.56"/>
    <n v="1232866.47"/>
    <n v="9696"/>
    <s v="AMOMPY"/>
    <s v="Momentum Capital Investment S.A."/>
    <s v="16/10/2026"/>
    <s v="16/10/2026"/>
    <n v="33"/>
    <s v="No"/>
    <s v=""/>
    <m/>
    <m/>
    <s v="*MAV161201544"/>
    <s v="*MAV161201544"/>
    <n v="1.5088615994604158E-5"/>
  </r>
  <r>
    <x v="1"/>
    <s v="Pesos"/>
    <d v="2026-12-18T00:00:00"/>
    <s v="29/10/2026"/>
    <n v="0.96306082000000004"/>
    <m/>
    <n v="34000000"/>
    <n v="32744067.77"/>
    <n v="34000000"/>
    <n v="32744067.77"/>
    <n v="1343"/>
    <s v="AMOMPY"/>
    <s v="Momentum Capital Investment S.A."/>
    <s v="21/09/2026"/>
    <s v="21/09/2026"/>
    <n v="28"/>
    <s v="No"/>
    <s v=""/>
    <m/>
    <m/>
    <s v="*AFB161200017"/>
    <s v="*AFB161200017"/>
    <n v="4.0074304614904851E-4"/>
  </r>
  <r>
    <x v="1"/>
    <s v="Pesos"/>
    <d v="2026-12-18T00:00:00"/>
    <s v="29/10/2026"/>
    <n v="0.96433290000000005"/>
    <m/>
    <n v="20000000"/>
    <n v="19286657.989999998"/>
    <n v="20000000"/>
    <n v="19286657.989999998"/>
    <n v="23018"/>
    <s v="AMOMPY"/>
    <s v="Momentum Capital Investment S.A."/>
    <s v="28/10/2026"/>
    <s v="28/10/2026"/>
    <n v="27"/>
    <s v="No"/>
    <s v=""/>
    <m/>
    <m/>
    <s v="*AFB161200021"/>
    <s v="*AFB161200021"/>
    <n v="2.36042575016558E-4"/>
  </r>
  <r>
    <x v="383"/>
    <s v="Pesos"/>
    <d v="2026-12-18T00:00:00"/>
    <s v="29/10/2026"/>
    <n v="0.95674985000000001"/>
    <m/>
    <n v="2030740.4"/>
    <n v="1942910.58"/>
    <n v="2030740.4"/>
    <n v="1942910.58"/>
    <n v="11396515"/>
    <s v="AMOMPY"/>
    <s v="Momentum Capital Investment S.A."/>
    <s v="16/10/2026"/>
    <s v="16/10/2026"/>
    <n v="33"/>
    <s v="No"/>
    <s v=""/>
    <m/>
    <m/>
    <s v="*MAV161201547"/>
    <s v="*MAV161201547"/>
    <n v="2.3778594330230787E-5"/>
  </r>
  <r>
    <x v="257"/>
    <s v="Pesos"/>
    <d v="2026-12-18T00:00:00"/>
    <s v="29/10/2026"/>
    <n v="0.95800534999999998"/>
    <m/>
    <n v="62500000"/>
    <n v="59875334.289999999"/>
    <n v="62500000"/>
    <n v="59875334.289999999"/>
    <n v="5764"/>
    <s v="AMOMPY"/>
    <s v="Momentum Capital Investment S.A."/>
    <s v="22/10/2026"/>
    <s v="22/10/2026"/>
    <n v="32"/>
    <s v="No"/>
    <s v=""/>
    <m/>
    <m/>
    <s v="*MAV161201599"/>
    <s v="*MAV161201599"/>
    <n v="7.3279300608310389E-4"/>
  </r>
  <r>
    <x v="53"/>
    <s v="Pesos"/>
    <d v="2026-12-18T00:00:00"/>
    <s v="29/10/2026"/>
    <n v="0.95800534999999998"/>
    <m/>
    <n v="75000000"/>
    <n v="71850401.150000006"/>
    <n v="75000000"/>
    <n v="71850401.150000006"/>
    <n v="582"/>
    <s v="AMOMPY"/>
    <s v="Momentum Capital Investment S.A."/>
    <s v="22/10/2026"/>
    <s v="22/10/2026"/>
    <n v="32"/>
    <s v="No"/>
    <s v=""/>
    <m/>
    <m/>
    <s v="*MAV161201600"/>
    <s v="*MAV161201600"/>
    <n v="8.79351607324202E-4"/>
  </r>
  <r>
    <x v="0"/>
    <s v="Pesos"/>
    <d v="2026-12-21T00:00:00"/>
    <s v="29/10/2026"/>
    <n v="0.96093094999999995"/>
    <m/>
    <n v="200000000"/>
    <n v="192186190.90000001"/>
    <n v="200000000"/>
    <n v="192186190.90000001"/>
    <n v="10969394"/>
    <s v="AMOMPY"/>
    <s v="Momentum Capital Investment S.A."/>
    <s v="18/09/2026"/>
    <s v="18/09/2026"/>
    <n v="28"/>
    <s v="No"/>
    <s v=""/>
    <m/>
    <m/>
    <s v="*TRD171200022"/>
    <s v="*TRD171200022"/>
    <n v="2.3520987102161909E-3"/>
  </r>
  <r>
    <x v="2"/>
    <s v="Pesos"/>
    <d v="2026-12-21T00:00:00"/>
    <s v="29/10/2026"/>
    <n v="0.95032287999999998"/>
    <m/>
    <n v="3105640.28"/>
    <n v="2951361.01"/>
    <n v="3105640.28"/>
    <n v="2951361.01"/>
    <n v="3398"/>
    <s v="AMOMPY"/>
    <s v="Momentum Capital Investment S.A."/>
    <s v="07/09/2026"/>
    <s v="07/09/2026"/>
    <n v="36"/>
    <s v="No"/>
    <s v=""/>
    <m/>
    <m/>
    <s v="*MAV171201042"/>
    <s v="*MAV171201042"/>
    <n v="3.6120661908614548E-5"/>
  </r>
  <r>
    <x v="2"/>
    <s v="Pesos"/>
    <d v="2026-12-21T00:00:00"/>
    <s v="29/10/2026"/>
    <n v="0.95032291000000002"/>
    <m/>
    <n v="2874176.47"/>
    <n v="2731395.75"/>
    <n v="2874176.47"/>
    <n v="2731395.75"/>
    <n v="3446"/>
    <s v="AMOMPY"/>
    <s v="Momentum Capital Investment S.A."/>
    <s v="11/09/2026"/>
    <s v="11/09/2026"/>
    <n v="36"/>
    <s v="No"/>
    <s v=""/>
    <m/>
    <m/>
    <s v="*MAV171201053"/>
    <s v="*MAV171201053"/>
    <n v="3.3428585012165852E-5"/>
  </r>
  <r>
    <x v="370"/>
    <s v="Pesos"/>
    <d v="2026-12-21T00:00:00"/>
    <s v="29/10/2026"/>
    <n v="0.95163608"/>
    <m/>
    <n v="5000000"/>
    <n v="4758180.38"/>
    <n v="5000000"/>
    <n v="4758180.38"/>
    <n v="544"/>
    <s v="AMOMPY"/>
    <s v="Momentum Capital Investment S.A."/>
    <s v="18/09/2026"/>
    <s v="18/09/2026"/>
    <n v="35"/>
    <s v="No"/>
    <s v=""/>
    <m/>
    <m/>
    <s v="*MAV171201084"/>
    <s v="*MAV171201084"/>
    <n v="5.8233684128727819E-5"/>
  </r>
  <r>
    <x v="54"/>
    <s v="Pesos"/>
    <d v="2026-12-21T00:00:00"/>
    <s v="29/10/2026"/>
    <n v="0.95959203000000004"/>
    <m/>
    <n v="11000000"/>
    <n v="10555512.33"/>
    <n v="11000000"/>
    <n v="10555512.33"/>
    <n v="69878769"/>
    <s v="AMOMPY"/>
    <s v="Momentum Capital Investment S.A."/>
    <s v="22/09/2026"/>
    <s v="22/09/2026"/>
    <n v="29"/>
    <s v="No"/>
    <s v=""/>
    <m/>
    <m/>
    <s v="*INP171200068"/>
    <s v="*INP171200068"/>
    <n v="1.2918517621269998E-4"/>
  </r>
  <r>
    <x v="3"/>
    <s v="Pesos"/>
    <d v="2026-12-21T00:00:00"/>
    <s v="29/10/2026"/>
    <n v="0.96093092999999996"/>
    <m/>
    <n v="8400000"/>
    <n v="8071819.7999999998"/>
    <n v="8400000"/>
    <n v="8071819.7999999998"/>
    <n v="2461"/>
    <s v="AMOMPY"/>
    <s v="Momentum Capital Investment S.A."/>
    <s v="21/09/2026"/>
    <s v="21/09/2026"/>
    <n v="28"/>
    <s v="No"/>
    <s v=""/>
    <m/>
    <m/>
    <s v="*MOV171200057"/>
    <s v="*MOV171200057"/>
    <n v="9.8788143163502961E-5"/>
  </r>
  <r>
    <x v="395"/>
    <s v="Pesos"/>
    <d v="2026-12-21T00:00:00"/>
    <s v="29/10/2026"/>
    <n v="0.95959205999999997"/>
    <m/>
    <n v="14000000"/>
    <n v="13434288.810000001"/>
    <n v="14000000"/>
    <n v="13434288.810000001"/>
    <n v="118"/>
    <s v="AMOMPY"/>
    <s v="Momentum Capital Investment S.A."/>
    <s v="06/07/2026"/>
    <s v="06/07/2026"/>
    <n v="29"/>
    <s v="No"/>
    <s v=""/>
    <m/>
    <m/>
    <s v="*CUY171200028"/>
    <s v="*CUY171200028"/>
    <n v="1.6441750177105367E-4"/>
  </r>
  <r>
    <x v="34"/>
    <s v="Pesos"/>
    <d v="2026-12-21T00:00:00"/>
    <s v="29/10/2026"/>
    <n v="0.95559759"/>
    <m/>
    <n v="75000000"/>
    <n v="71669819.200000003"/>
    <n v="75000000"/>
    <n v="71669819.200000003"/>
    <n v="3499"/>
    <s v="AMOMPY"/>
    <s v="Momentum Capital Investment S.A."/>
    <s v="22/10/2026"/>
    <s v="22/10/2026"/>
    <n v="32"/>
    <s v="No"/>
    <s v=""/>
    <m/>
    <m/>
    <s v="*MAV171201288"/>
    <s v="*MAV171201288"/>
    <n v="8.7714152880766423E-4"/>
  </r>
  <r>
    <x v="415"/>
    <s v="Pesos"/>
    <d v="2026-12-21T00:00:00"/>
    <s v="29/10/2026"/>
    <n v="0.95825676000000004"/>
    <m/>
    <n v="50000000"/>
    <n v="47912838.149999999"/>
    <n v="50000000"/>
    <n v="47912838.149999999"/>
    <n v="197095"/>
    <s v="AMOMPY"/>
    <s v="Momentum Capital Investment S.A."/>
    <s v="19/08/2026"/>
    <s v="19/08/2026"/>
    <n v="30"/>
    <s v="No"/>
    <s v=""/>
    <m/>
    <m/>
    <s v="*MAV171201010"/>
    <s v="*MAV171201010"/>
    <n v="5.8638825343102267E-4"/>
  </r>
  <r>
    <x v="260"/>
    <s v="Pesos"/>
    <d v="2026-12-21T00:00:00"/>
    <s v="29/10/2026"/>
    <n v="0.95692540999999998"/>
    <m/>
    <n v="482400"/>
    <n v="461620.82"/>
    <n v="482400"/>
    <n v="461620.82"/>
    <n v="3979"/>
    <s v="AMOMPY"/>
    <s v="Momentum Capital Investment S.A."/>
    <s v="02/09/2026"/>
    <s v="02/09/2026"/>
    <n v="31"/>
    <s v="No"/>
    <s v=""/>
    <m/>
    <m/>
    <s v="*MAV171201032"/>
    <s v="*MAV171201032"/>
    <n v="5.6496136910060401E-6"/>
  </r>
  <r>
    <x v="398"/>
    <s v="Pesos"/>
    <d v="2026-12-21T00:00:00"/>
    <s v="29/10/2026"/>
    <n v="0.95427355000000003"/>
    <m/>
    <n v="528139.15"/>
    <n v="503989.22"/>
    <n v="528139.15"/>
    <n v="503989.22"/>
    <n v="17706"/>
    <s v="AMOMPY"/>
    <s v="Momentum Capital Investment S.A."/>
    <s v="16/10/2026"/>
    <s v="16/10/2026"/>
    <n v="33"/>
    <s v="No"/>
    <s v=""/>
    <m/>
    <m/>
    <s v="*MAV171201231"/>
    <s v="*MAV171201231"/>
    <n v="6.168145529985963E-6"/>
  </r>
  <r>
    <x v="416"/>
    <s v="Pesos"/>
    <d v="2026-12-21T00:00:00"/>
    <s v="29/10/2026"/>
    <n v="0.95427339"/>
    <m/>
    <n v="5383000"/>
    <n v="5136853.6500000004"/>
    <n v="5383000"/>
    <n v="5136853.6500000004"/>
    <n v="13981361"/>
    <s v="AMOMPY"/>
    <s v="Momentum Capital Investment S.A."/>
    <s v="21/10/2026"/>
    <s v="21/10/2026"/>
    <n v="33"/>
    <s v="No"/>
    <s v=""/>
    <m/>
    <m/>
    <s v="*MAV171201276"/>
    <s v="*MAV171201276"/>
    <n v="6.2868132138698484E-5"/>
  </r>
  <r>
    <x v="107"/>
    <s v="Pesos"/>
    <d v="2026-12-21T00:00:00"/>
    <s v="29/10/2026"/>
    <n v="0.95427340999999999"/>
    <m/>
    <n v="388578.52"/>
    <n v="370810.15"/>
    <n v="388578.52"/>
    <n v="370810.15"/>
    <n v="30104449"/>
    <s v="AMOMPY"/>
    <s v="Momentum Capital Investment S.A."/>
    <s v="14/10/2026"/>
    <s v="14/10/2026"/>
    <n v="33"/>
    <s v="No"/>
    <s v=""/>
    <m/>
    <m/>
    <s v="*MAV171201212"/>
    <s v="*MAV171201212"/>
    <n v="4.5382140697293582E-6"/>
  </r>
  <r>
    <x v="107"/>
    <s v="Pesos"/>
    <d v="2026-12-21T00:00:00"/>
    <s v="29/10/2026"/>
    <n v="0.95427326000000001"/>
    <m/>
    <n v="204051.5"/>
    <n v="194720.89"/>
    <n v="204051.5"/>
    <n v="194720.89"/>
    <n v="30101907"/>
    <s v="AMOMPY"/>
    <s v="Momentum Capital Investment S.A."/>
    <s v="21/09/2026"/>
    <s v="21/09/2026"/>
    <n v="33"/>
    <s v="No"/>
    <s v=""/>
    <m/>
    <m/>
    <s v="*MAV171201089"/>
    <s v="*MAV171201089"/>
    <n v="2.383119994607005E-6"/>
  </r>
  <r>
    <x v="223"/>
    <s v="Pesos"/>
    <d v="2026-12-21T00:00:00"/>
    <s v="29/10/2026"/>
    <n v="0.95427353999999998"/>
    <m/>
    <n v="672232.39"/>
    <n v="641493.57999999996"/>
    <n v="672232.39"/>
    <n v="641493.57999999996"/>
    <n v="19731"/>
    <s v="AMOMPY"/>
    <s v="Momentum Capital Investment S.A."/>
    <s v="16/10/2026"/>
    <s v="16/10/2026"/>
    <n v="33"/>
    <s v="No"/>
    <s v=""/>
    <m/>
    <m/>
    <s v="*MAV171201229"/>
    <s v="*MAV171201229"/>
    <n v="7.8510126823579544E-6"/>
  </r>
  <r>
    <x v="146"/>
    <s v="Pesos"/>
    <d v="2026-12-21T00:00:00"/>
    <s v="29/10/2026"/>
    <n v="0.95825676000000004"/>
    <m/>
    <n v="150000000"/>
    <n v="143738514.05000001"/>
    <n v="150000000"/>
    <n v="143738514.05000001"/>
    <n v="90004317"/>
    <s v="AMOMPY"/>
    <s v="Momentum Capital Investment S.A."/>
    <s v="09/10/2026"/>
    <s v="09/10/2026"/>
    <n v="30"/>
    <s v="No"/>
    <s v=""/>
    <m/>
    <m/>
    <s v="*MAV171201196"/>
    <s v="*MAV171201196"/>
    <n v="1.7591647553976098E-3"/>
  </r>
  <r>
    <x v="354"/>
    <s v="Pesos"/>
    <d v="2026-12-21T00:00:00"/>
    <s v="29/10/2026"/>
    <n v="0.95427342999999998"/>
    <m/>
    <n v="25000000"/>
    <n v="23856835.640000001"/>
    <n v="25000000"/>
    <n v="23856835.640000001"/>
    <n v="4297"/>
    <s v="AMOMPY"/>
    <s v="Momentum Capital Investment S.A."/>
    <s v="23/09/2026"/>
    <s v="23/09/2026"/>
    <n v="33"/>
    <s v="No"/>
    <s v=""/>
    <m/>
    <m/>
    <s v="*MAV171201103"/>
    <s v="*MAV171201103"/>
    <n v="2.9197536033107182E-4"/>
  </r>
  <r>
    <x v="58"/>
    <s v="Pesos"/>
    <d v="2026-12-21T00:00:00"/>
    <s v="29/10/2026"/>
    <n v="0.94770750000000004"/>
    <m/>
    <n v="269000000"/>
    <n v="254933316.61000001"/>
    <n v="269000000"/>
    <n v="254933316.61000001"/>
    <n v="70424990"/>
    <s v="AMOMPY"/>
    <s v="Momentum Capital Investment S.A."/>
    <s v="22/10/2026"/>
    <s v="22/10/2026"/>
    <n v="38"/>
    <s v="No"/>
    <s v=""/>
    <m/>
    <m/>
    <s v="*MAV171201286"/>
    <s v="*MAV171201286"/>
    <n v="3.1200385541827027E-3"/>
  </r>
  <r>
    <x v="44"/>
    <s v="Pesos"/>
    <d v="2026-12-21T00:00:00"/>
    <s v="29/10/2026"/>
    <n v="0.95559760000000005"/>
    <m/>
    <n v="11000000"/>
    <n v="10511573.6"/>
    <n v="11000000"/>
    <n v="10511573.6"/>
    <n v="14651801"/>
    <s v="AMOMPY"/>
    <s v="Momentum Capital Investment S.A."/>
    <s v="01/10/2026"/>
    <s v="01/10/2026"/>
    <n v="32"/>
    <s v="No"/>
    <s v=""/>
    <m/>
    <m/>
    <s v="*MAV171201143"/>
    <s v="*MAV171201143"/>
    <n v="1.2864742566112518E-4"/>
  </r>
  <r>
    <x v="44"/>
    <s v="Pesos"/>
    <d v="2026-12-21T00:00:00"/>
    <s v="29/10/2026"/>
    <n v="0.95427346999999996"/>
    <m/>
    <n v="12500000"/>
    <n v="11928418.41"/>
    <n v="12500000"/>
    <n v="11928418.41"/>
    <n v="14651817"/>
    <s v="AMOMPY"/>
    <s v="Momentum Capital Investment S.A."/>
    <s v="01/10/2026"/>
    <s v="01/10/2026"/>
    <n v="33"/>
    <s v="No"/>
    <s v=""/>
    <m/>
    <m/>
    <s v="*MAV171201149"/>
    <s v="*MAV171201149"/>
    <n v="1.4598768738633691E-4"/>
  </r>
  <r>
    <x v="44"/>
    <s v="Pesos"/>
    <d v="2026-12-21T00:00:00"/>
    <s v="29/10/2026"/>
    <n v="0.95427346999999996"/>
    <m/>
    <n v="12500000"/>
    <n v="11928418.41"/>
    <n v="12500000"/>
    <n v="11928418.41"/>
    <n v="14651821"/>
    <s v="AMOMPY"/>
    <s v="Momentum Capital Investment S.A."/>
    <s v="01/10/2026"/>
    <s v="01/10/2026"/>
    <n v="33"/>
    <s v="No"/>
    <s v=""/>
    <m/>
    <m/>
    <s v="*MAV171201150"/>
    <s v="*MAV171201150"/>
    <n v="1.4598768738633691E-4"/>
  </r>
  <r>
    <x v="291"/>
    <s v="Pesos"/>
    <d v="2026-12-21T00:00:00"/>
    <s v="29/10/2026"/>
    <n v="0.95427331999999998"/>
    <m/>
    <n v="8000000"/>
    <n v="7634186.54"/>
    <n v="8000000"/>
    <n v="7634186.54"/>
    <n v="243"/>
    <s v="AMOMPY"/>
    <s v="Momentum Capital Investment S.A."/>
    <s v="20/10/2026"/>
    <s v="20/10/2026"/>
    <n v="33"/>
    <s v="No"/>
    <s v=""/>
    <m/>
    <m/>
    <s v="*MAV171201254"/>
    <s v="*MAV171201254"/>
    <n v="9.3432104721962123E-5"/>
  </r>
  <r>
    <x v="402"/>
    <s v="Pesos"/>
    <d v="2026-12-21T00:00:00"/>
    <s v="29/10/2026"/>
    <n v="0.95959203000000004"/>
    <m/>
    <n v="1100000"/>
    <n v="1055551.23"/>
    <n v="1100000"/>
    <n v="1055551.23"/>
    <n v="726192"/>
    <s v="AMOMPY"/>
    <s v="Momentum Capital Investment S.A."/>
    <s v="28/10/2026"/>
    <s v="28/10/2026"/>
    <n v="29"/>
    <s v="No"/>
    <s v=""/>
    <m/>
    <m/>
    <s v="*MAV171201353"/>
    <s v="*MAV171201353"/>
    <n v="1.2918517584554062E-5"/>
  </r>
  <r>
    <x v="1"/>
    <s v="Pesos"/>
    <d v="2026-12-21T00:00:00"/>
    <s v="29/10/2026"/>
    <n v="0.96362011000000003"/>
    <m/>
    <n v="20000000"/>
    <n v="19272402.210000001"/>
    <n v="20000000"/>
    <n v="19272402.210000001"/>
    <n v="79700360"/>
    <s v="AMOMPY"/>
    <s v="Momentum Capital Investment S.A."/>
    <s v="20/07/2026"/>
    <s v="20/07/2026"/>
    <n v="26"/>
    <s v="No"/>
    <s v=""/>
    <m/>
    <m/>
    <s v="*AFB171200009"/>
    <s v="*AFB171200009"/>
    <n v="2.3586810357511834E-4"/>
  </r>
  <r>
    <x v="1"/>
    <s v="Pesos"/>
    <d v="2026-12-21T00:00:00"/>
    <s v="29/10/2026"/>
    <n v="0.95959212000000005"/>
    <m/>
    <n v="10000000"/>
    <n v="9595921.1899999995"/>
    <n v="10000000"/>
    <n v="9595921.1899999995"/>
    <n v="90002276"/>
    <s v="AMOMPY"/>
    <s v="Momentum Capital Investment S.A."/>
    <s v="24/09/2026"/>
    <s v="24/09/2026"/>
    <n v="29"/>
    <s v="No"/>
    <s v=""/>
    <m/>
    <m/>
    <s v="*AFB171200014"/>
    <s v="*AFB171200014"/>
    <n v="1.1744108017666743E-4"/>
  </r>
  <r>
    <x v="1"/>
    <s v="Pesos"/>
    <d v="2026-12-21T00:00:00"/>
    <s v="29/10/2026"/>
    <n v="0.96227364999999998"/>
    <m/>
    <n v="20000000"/>
    <n v="19245473.039999999"/>
    <n v="20000000"/>
    <n v="19245473.039999999"/>
    <n v="23019"/>
    <s v="AMOMPY"/>
    <s v="Momentum Capital Investment S.A."/>
    <s v="28/10/2026"/>
    <s v="28/10/2026"/>
    <n v="27"/>
    <s v="No"/>
    <s v=""/>
    <m/>
    <m/>
    <s v="*AFB171200019"/>
    <s v="*AFB171200019"/>
    <n v="2.3553852700290169E-4"/>
  </r>
  <r>
    <x v="29"/>
    <s v="Pesos"/>
    <d v="2026-12-21T00:00:00"/>
    <s v="29/10/2026"/>
    <n v="0.96362011000000003"/>
    <m/>
    <n v="5000000"/>
    <n v="4818100.5599999996"/>
    <n v="5000000"/>
    <n v="4818100.5599999996"/>
    <n v="491510"/>
    <s v="AMOMPY"/>
    <s v="Momentum Capital Investment S.A."/>
    <s v="20/07/2026"/>
    <s v="20/07/2026"/>
    <n v="26"/>
    <s v="No"/>
    <s v=""/>
    <m/>
    <m/>
    <s v="*MIL171200035"/>
    <s v="*MIL171200035"/>
    <n v="5.8967025985569422E-5"/>
  </r>
  <r>
    <x v="29"/>
    <s v="Pesos"/>
    <d v="2026-12-21T00:00:00"/>
    <s v="29/10/2026"/>
    <n v="0.96227364999999998"/>
    <m/>
    <n v="50000000"/>
    <n v="48113682.590000004"/>
    <n v="50000000"/>
    <n v="48113682.590000004"/>
    <n v="4545"/>
    <s v="AMOMPY"/>
    <s v="Momentum Capital Investment S.A."/>
    <s v="22/09/2026"/>
    <s v="22/09/2026"/>
    <n v="27"/>
    <s v="No"/>
    <s v=""/>
    <m/>
    <m/>
    <s v="*MIL171200040"/>
    <s v="*MIL171200040"/>
    <n v="5.8884631738486792E-4"/>
  </r>
  <r>
    <x v="92"/>
    <s v="Pesos"/>
    <d v="2026-12-21T00:00:00"/>
    <s v="29/10/2026"/>
    <n v="0.96093094999999995"/>
    <m/>
    <n v="40000000"/>
    <n v="38437238.18"/>
    <n v="40000000"/>
    <n v="38437238.18"/>
    <n v="54029682"/>
    <s v="AMOMPY"/>
    <s v="Momentum Capital Investment S.A."/>
    <s v="18/09/2026"/>
    <s v="18/09/2026"/>
    <n v="28"/>
    <s v="No"/>
    <s v=""/>
    <m/>
    <m/>
    <s v="*FID171200036"/>
    <s v="*FID171200036"/>
    <n v="4.7041974204323819E-4"/>
  </r>
  <r>
    <x v="417"/>
    <s v="Pesos"/>
    <d v="2026-12-21T00:00:00"/>
    <s v="29/10/2026"/>
    <n v="0.95427353999999998"/>
    <m/>
    <n v="28666627.02"/>
    <n v="27355803.620000001"/>
    <n v="28666627.02"/>
    <n v="27355803.620000001"/>
    <n v="90023112"/>
    <s v="AMOMPY"/>
    <s v="Momentum Capital Investment S.A."/>
    <s v="23/10/2026"/>
    <s v="23/10/2026"/>
    <n v="33"/>
    <s v="No"/>
    <s v=""/>
    <m/>
    <m/>
    <s v="*MAV171201321"/>
    <s v="*MAV171201321"/>
    <n v="3.347979899607314E-4"/>
  </r>
  <r>
    <x v="49"/>
    <s v="Pesos"/>
    <d v="2026-12-21T00:00:00"/>
    <s v="29/10/2026"/>
    <n v="0.94901329999999995"/>
    <m/>
    <n v="20000000"/>
    <n v="18980266.010000002"/>
    <n v="20000000"/>
    <n v="18980266.010000002"/>
    <n v="2638"/>
    <s v="AMOMPY"/>
    <s v="Momentum Capital Investment S.A."/>
    <s v="12/08/2026"/>
    <s v="12/08/2026"/>
    <n v="37"/>
    <s v="No"/>
    <s v=""/>
    <m/>
    <m/>
    <s v="*MAV171201007"/>
    <s v="*MAV171201007"/>
    <n v="2.3229275210990828E-4"/>
  </r>
  <r>
    <x v="393"/>
    <s v="Pesos"/>
    <d v="2026-12-21T00:00:00"/>
    <s v="29/10/2026"/>
    <n v="0.95427353999999998"/>
    <m/>
    <n v="1800000"/>
    <n v="1717692.37"/>
    <n v="1800000"/>
    <n v="1717692.37"/>
    <n v="30000443"/>
    <s v="AMOMPY"/>
    <s v="Momentum Capital Investment S.A."/>
    <s v="16/10/2026"/>
    <s v="16/10/2026"/>
    <n v="33"/>
    <s v="No"/>
    <s v=""/>
    <m/>
    <m/>
    <s v="*MAV171201228"/>
    <s v="*MAV171201228"/>
    <n v="2.1022228439541815E-5"/>
  </r>
  <r>
    <x v="0"/>
    <s v="Pesos"/>
    <d v="2026-12-22T00:00:00"/>
    <s v="29/10/2026"/>
    <n v="0.95886117000000004"/>
    <m/>
    <n v="574138.31000000006"/>
    <n v="550518.93000000005"/>
    <n v="574138.31000000006"/>
    <n v="550518.93000000005"/>
    <n v="7070"/>
    <s v="AMOMPY"/>
    <s v="Momentum Capital Investment S.A."/>
    <s v="28/10/2026"/>
    <s v="28/10/2026"/>
    <n v="29"/>
    <s v="No"/>
    <s v=""/>
    <m/>
    <m/>
    <s v="*TRD181200033"/>
    <s v="*TRD181200033"/>
    <n v="6.7376061679496947E-6"/>
  </r>
  <r>
    <x v="65"/>
    <s v="Pesos"/>
    <d v="2026-12-22T00:00:00"/>
    <s v="29/10/2026"/>
    <n v="0.9602231"/>
    <m/>
    <n v="10000000"/>
    <n v="9602230.9800000004"/>
    <n v="10000000"/>
    <n v="9602230.9800000004"/>
    <n v="12794378"/>
    <s v="AMOMPY"/>
    <s v="Momentum Capital Investment S.A."/>
    <s v="22/09/2026"/>
    <s v="22/09/2026"/>
    <n v="28"/>
    <s v="No"/>
    <s v=""/>
    <m/>
    <m/>
    <s v="*INP181200068"/>
    <s v="*INP181200068"/>
    <n v="1.1751830346129178E-4"/>
  </r>
  <r>
    <x v="2"/>
    <s v="Pesos"/>
    <d v="2026-12-22T00:00:00"/>
    <s v="29/10/2026"/>
    <n v="0.94943310000000003"/>
    <m/>
    <n v="3105640.28"/>
    <n v="2948597.67"/>
    <n v="3105640.28"/>
    <n v="2948597.67"/>
    <n v="3399"/>
    <s v="AMOMPY"/>
    <s v="Momentum Capital Investment S.A."/>
    <s v="07/09/2026"/>
    <s v="07/09/2026"/>
    <n v="36"/>
    <s v="No"/>
    <s v=""/>
    <m/>
    <m/>
    <s v="*MAV181201268"/>
    <s v="*MAV181201268"/>
    <n v="3.6086842369242597E-5"/>
  </r>
  <r>
    <x v="361"/>
    <s v="Pesos"/>
    <d v="2026-12-22T00:00:00"/>
    <s v="29/10/2026"/>
    <n v="0.95076859999999996"/>
    <m/>
    <n v="25000000"/>
    <n v="23769215.109999999"/>
    <n v="25000000"/>
    <n v="23769215.109999999"/>
    <n v="10685425"/>
    <s v="AMOMPY"/>
    <s v="Momentum Capital Investment S.A."/>
    <s v="18/09/2026"/>
    <s v="18/09/2026"/>
    <n v="35"/>
    <s v="No"/>
    <s v=""/>
    <m/>
    <m/>
    <s v="*MAV181201319"/>
    <s v="*MAV181201319"/>
    <n v="2.9090300370317705E-4"/>
  </r>
  <r>
    <x v="3"/>
    <s v="Pesos"/>
    <d v="2026-12-22T00:00:00"/>
    <s v="29/10/2026"/>
    <n v="0.96022320999999999"/>
    <m/>
    <n v="8400000"/>
    <n v="8065874.9400000004"/>
    <n v="8400000"/>
    <n v="8065874.9400000004"/>
    <n v="2462"/>
    <s v="AMOMPY"/>
    <s v="Momentum Capital Investment S.A."/>
    <s v="21/09/2026"/>
    <s v="21/09/2026"/>
    <n v="28"/>
    <s v="No"/>
    <s v=""/>
    <m/>
    <m/>
    <s v="*MOV181200070"/>
    <s v="*MOV181200070"/>
    <n v="9.8715386127875516E-5"/>
  </r>
  <r>
    <x v="395"/>
    <s v="Pesos"/>
    <d v="2026-12-22T00:00:00"/>
    <s v="29/10/2026"/>
    <n v="0.95750268000000005"/>
    <m/>
    <n v="23167422.219999999"/>
    <n v="22182868.870000001"/>
    <n v="23167422.219999999"/>
    <n v="22182868.870000001"/>
    <n v="439"/>
    <s v="AMOMPY"/>
    <s v="Momentum Capital Investment S.A."/>
    <s v="23/09/2026"/>
    <s v="23/09/2026"/>
    <n v="30"/>
    <s v="No"/>
    <s v=""/>
    <m/>
    <m/>
    <s v="*CUY181200043"/>
    <s v="*CUY181200043"/>
    <n v="2.714882740205342E-4"/>
  </r>
  <r>
    <x v="171"/>
    <s v="Pesos"/>
    <d v="2026-12-22T00:00:00"/>
    <s v="29/10/2026"/>
    <n v="0.95345084000000002"/>
    <m/>
    <n v="2170000"/>
    <n v="2068988.32"/>
    <n v="2170000"/>
    <n v="2068988.32"/>
    <n v="260745"/>
    <s v="AMOMPY"/>
    <s v="Momentum Capital Investment S.A."/>
    <s v="27/08/2026"/>
    <s v="27/08/2026"/>
    <n v="33"/>
    <s v="No"/>
    <s v=""/>
    <m/>
    <m/>
    <s v="*MAV181201247"/>
    <s v="*MAV181201247"/>
    <n v="2.532161512819891E-5"/>
  </r>
  <r>
    <x v="353"/>
    <s v="Pesos"/>
    <d v="2026-12-22T00:00:00"/>
    <s v="29/10/2026"/>
    <n v="0.95479765000000005"/>
    <m/>
    <n v="10000000"/>
    <n v="9547976.4499999993"/>
    <n v="10000000"/>
    <n v="9547976.4499999993"/>
    <n v="426"/>
    <s v="AMOMPY"/>
    <s v="Momentum Capital Investment S.A."/>
    <s v="19/10/2026"/>
    <s v="19/10/2026"/>
    <n v="32"/>
    <s v="No"/>
    <s v=""/>
    <m/>
    <m/>
    <s v="*MAV181201577"/>
    <s v="*MAV181201577"/>
    <n v="1.1685430148779521E-4"/>
  </r>
  <r>
    <x v="415"/>
    <s v="Pesos"/>
    <d v="2026-12-22T00:00:00"/>
    <s v="29/10/2026"/>
    <n v="0.95750270999999998"/>
    <m/>
    <n v="50000000"/>
    <n v="47875135.640000001"/>
    <n v="50000000"/>
    <n v="47875135.640000001"/>
    <n v="197096"/>
    <s v="AMOMPY"/>
    <s v="Momentum Capital Investment S.A."/>
    <s v="19/08/2026"/>
    <s v="19/08/2026"/>
    <n v="30"/>
    <s v="No"/>
    <s v=""/>
    <m/>
    <m/>
    <s v="*MAV181201233"/>
    <s v="*MAV181201233"/>
    <n v="5.8592682576690371E-4"/>
  </r>
  <r>
    <x v="398"/>
    <s v="Pesos"/>
    <d v="2026-12-22T00:00:00"/>
    <s v="29/10/2026"/>
    <n v="0.95345084999999996"/>
    <m/>
    <n v="528139.15"/>
    <n v="503554.72"/>
    <n v="528139.15"/>
    <n v="503554.72"/>
    <n v="17707"/>
    <s v="AMOMPY"/>
    <s v="Momentum Capital Investment S.A."/>
    <s v="16/10/2026"/>
    <s v="16/10/2026"/>
    <n v="33"/>
    <s v="No"/>
    <s v=""/>
    <m/>
    <m/>
    <s v="*MAV181201541"/>
    <s v="*MAV181201541"/>
    <n v="6.1628278384036333E-6"/>
  </r>
  <r>
    <x v="416"/>
    <s v="Pesos"/>
    <d v="2026-12-22T00:00:00"/>
    <s v="29/10/2026"/>
    <n v="0.95345071000000003"/>
    <m/>
    <n v="5384000"/>
    <n v="5133378.6399999997"/>
    <n v="5384000"/>
    <n v="5133378.6399999997"/>
    <n v="13981362"/>
    <s v="AMOMPY"/>
    <s v="Momentum Capital Investment S.A."/>
    <s v="21/10/2026"/>
    <s v="21/10/2026"/>
    <n v="33"/>
    <s v="No"/>
    <s v=""/>
    <m/>
    <m/>
    <s v="*MAV181201621"/>
    <s v="*MAV181201621"/>
    <n v="6.2825602722299149E-5"/>
  </r>
  <r>
    <x v="107"/>
    <s v="Pesos"/>
    <d v="2026-12-22T00:00:00"/>
    <s v="29/10/2026"/>
    <n v="0.95076841999999995"/>
    <m/>
    <n v="181355.13"/>
    <n v="172426.73"/>
    <n v="181355.13"/>
    <n v="172426.73"/>
    <n v="127540"/>
    <s v="AMOMPY"/>
    <s v="Momentum Capital Investment S.A."/>
    <s v="21/10/2026"/>
    <s v="21/10/2026"/>
    <n v="35"/>
    <s v="No"/>
    <s v=""/>
    <m/>
    <m/>
    <s v="*MAV181201612"/>
    <s v="*MAV181201612"/>
    <n v="2.1102696678702706E-6"/>
  </r>
  <r>
    <x v="146"/>
    <s v="Pesos"/>
    <d v="2026-12-22T00:00:00"/>
    <s v="29/10/2026"/>
    <n v="0.95750276999999995"/>
    <m/>
    <n v="150000000"/>
    <n v="143625415.25999999"/>
    <n v="150000000"/>
    <n v="143625415.25999999"/>
    <n v="90004318"/>
    <s v="AMOMPY"/>
    <s v="Momentum Capital Investment S.A."/>
    <s v="09/10/2026"/>
    <s v="09/10/2026"/>
    <n v="30"/>
    <s v="No"/>
    <s v=""/>
    <m/>
    <m/>
    <s v="*MAV181201482"/>
    <s v="*MAV181201482"/>
    <n v="1.7577805793710165E-3"/>
  </r>
  <r>
    <x v="418"/>
    <s v="Pesos"/>
    <d v="2026-12-22T00:00:00"/>
    <s v="29/10/2026"/>
    <n v="0.95345078000000005"/>
    <m/>
    <n v="234304.66"/>
    <n v="223397.96"/>
    <n v="234304.66"/>
    <n v="223397.96"/>
    <n v="76726210"/>
    <s v="AMOMPY"/>
    <s v="Momentum Capital Investment S.A."/>
    <s v="29/10/2026"/>
    <s v="29/10/2026"/>
    <n v="33"/>
    <s v="No"/>
    <s v=""/>
    <m/>
    <m/>
    <s v="*MAV181201699"/>
    <s v="*MAV181201699"/>
    <n v="2.7340884957459668E-6"/>
  </r>
  <r>
    <x v="406"/>
    <s v="Pesos"/>
    <d v="2026-12-22T00:00:00"/>
    <s v="29/10/2026"/>
    <n v="0.95345086999999995"/>
    <m/>
    <n v="1217088.83"/>
    <n v="1160434.3999999999"/>
    <n v="1217088.83"/>
    <n v="1160434.3999999999"/>
    <n v="4522"/>
    <s v="AMOMPY"/>
    <s v="Momentum Capital Investment S.A."/>
    <s v="16/10/2026"/>
    <s v="16/10/2026"/>
    <n v="33"/>
    <s v="No"/>
    <s v=""/>
    <m/>
    <m/>
    <s v="*MAV181201540"/>
    <s v="*MAV181201540"/>
    <n v="1.4202145548275701E-5"/>
  </r>
  <r>
    <x v="80"/>
    <s v="Pesos"/>
    <d v="2026-12-22T00:00:00"/>
    <s v="29/10/2026"/>
    <n v="0.95886106000000004"/>
    <m/>
    <n v="2500000"/>
    <n v="2397152.65"/>
    <n v="2500000"/>
    <n v="2397152.65"/>
    <n v="366"/>
    <s v="AMOMPY"/>
    <s v="Momentum Capital Investment S.A."/>
    <s v="23/10/2026"/>
    <s v="23/10/2026"/>
    <n v="29"/>
    <s v="No"/>
    <s v=""/>
    <m/>
    <m/>
    <s v="*MAV181201635"/>
    <s v="*MAV181201635"/>
    <n v="2.9337902113841853E-5"/>
  </r>
  <r>
    <x v="363"/>
    <s v="Pesos"/>
    <d v="2026-12-22T00:00:00"/>
    <s v="29/10/2026"/>
    <n v="0.95886117000000004"/>
    <m/>
    <n v="1474432.5"/>
    <n v="1413776.07"/>
    <n v="1474432.5"/>
    <n v="1413776.07"/>
    <n v="696"/>
    <s v="AMOMPY"/>
    <s v="Momentum Capital Investment S.A."/>
    <s v="28/10/2026"/>
    <s v="28/10/2026"/>
    <n v="29"/>
    <s v="No"/>
    <s v=""/>
    <m/>
    <m/>
    <s v="*MAV181201681"/>
    <s v="*MAV181201681"/>
    <n v="1.7302704503424939E-5"/>
  </r>
  <r>
    <x v="363"/>
    <s v="Pesos"/>
    <d v="2026-12-22T00:00:00"/>
    <s v="29/10/2026"/>
    <n v="0.95886117000000004"/>
    <m/>
    <n v="4212174.99"/>
    <n v="4038891.04"/>
    <n v="4212174.99"/>
    <n v="4038891.04"/>
    <n v="692"/>
    <s v="AMOMPY"/>
    <s v="Momentum Capital Investment S.A."/>
    <s v="28/10/2026"/>
    <s v="28/10/2026"/>
    <n v="29"/>
    <s v="No"/>
    <s v=""/>
    <m/>
    <m/>
    <s v="*MAV181201682"/>
    <s v="*MAV181201682"/>
    <n v="4.9430556698169773E-5"/>
  </r>
  <r>
    <x v="85"/>
    <s v="Pesos"/>
    <d v="2026-12-22T00:00:00"/>
    <s v="29/10/2026"/>
    <n v="0.97126142999999998"/>
    <m/>
    <n v="11000000"/>
    <n v="10683875.720000001"/>
    <n v="11000000"/>
    <n v="10683875.720000001"/>
    <n v="544"/>
    <s v="AMOMPY"/>
    <s v="Momentum Capital Investment S.A."/>
    <s v="27/10/2026"/>
    <s v="27/10/2026"/>
    <n v="20"/>
    <s v="No"/>
    <s v=""/>
    <m/>
    <m/>
    <s v="*MAV181201659"/>
    <s v="*MAV181201659"/>
    <n v="1.3075617027134742E-4"/>
  </r>
  <r>
    <x v="40"/>
    <s v="Pesos"/>
    <d v="2026-12-22T00:00:00"/>
    <s v="29/10/2026"/>
    <n v="0.95479771999999996"/>
    <m/>
    <n v="5000000"/>
    <n v="4773988.58"/>
    <n v="5000000"/>
    <n v="4773988.58"/>
    <n v="40796986"/>
    <s v="AMOMPY"/>
    <s v="Momentum Capital Investment S.A."/>
    <s v="13/10/2026"/>
    <s v="13/10/2026"/>
    <n v="32"/>
    <s v="No"/>
    <s v=""/>
    <m/>
    <m/>
    <s v="*MAV181201484"/>
    <s v="*MAV181201484"/>
    <n v="5.842715508861685E-5"/>
  </r>
  <r>
    <x v="419"/>
    <s v="Pesos"/>
    <d v="2026-12-22T00:00:00"/>
    <s v="29/10/2026"/>
    <n v="0.95076857999999997"/>
    <m/>
    <n v="240000"/>
    <n v="228184.46"/>
    <n v="240000"/>
    <n v="228184.46"/>
    <n v="70595539"/>
    <s v="AMOMPY"/>
    <s v="Momentum Capital Investment S.A."/>
    <s v="23/10/2026"/>
    <s v="23/10/2026"/>
    <n v="35"/>
    <s v="No"/>
    <s v=""/>
    <m/>
    <m/>
    <s v="*MAV181201632"/>
    <s v="*MAV181201632"/>
    <n v="2.7926687736719068E-6"/>
  </r>
  <r>
    <x v="364"/>
    <s v="Pesos"/>
    <d v="2026-12-22T00:00:00"/>
    <s v="29/10/2026"/>
    <n v="0.94810125999999995"/>
    <m/>
    <n v="15000000"/>
    <n v="14221518.880000001"/>
    <n v="15000000"/>
    <n v="14221518.880000001"/>
    <n v="90023099"/>
    <s v="AMOMPY"/>
    <s v="Momentum Capital Investment S.A."/>
    <s v="03/06/2026"/>
    <s v="03/06/2026"/>
    <n v="37"/>
    <s v="No"/>
    <s v=""/>
    <m/>
    <m/>
    <s v="*MAV181201190"/>
    <s v="*MAV181201190"/>
    <n v="1.7405213172869648E-4"/>
  </r>
  <r>
    <x v="420"/>
    <s v="Pesos"/>
    <d v="2026-12-22T00:00:00"/>
    <s v="29/10/2026"/>
    <n v="0.95345084000000002"/>
    <m/>
    <n v="557284"/>
    <n v="531342.9"/>
    <n v="557284"/>
    <n v="531342.9"/>
    <n v="14644764"/>
    <s v="AMOMPY"/>
    <s v="Momentum Capital Investment S.A."/>
    <s v="16/10/2026"/>
    <s v="16/10/2026"/>
    <n v="33"/>
    <s v="No"/>
    <s v=""/>
    <m/>
    <m/>
    <s v="*MAV181201537"/>
    <s v="*MAV181201537"/>
    <n v="6.5029175297137883E-6"/>
  </r>
  <r>
    <x v="421"/>
    <s v="Pesos"/>
    <d v="2026-12-22T00:00:00"/>
    <s v="29/10/2026"/>
    <n v="0.95210768999999995"/>
    <m/>
    <n v="4927055.72"/>
    <n v="4691087.62"/>
    <n v="4927055.72"/>
    <n v="4691087.62"/>
    <n v="1495"/>
    <s v="AMOMPY"/>
    <s v="Momentum Capital Investment S.A."/>
    <s v="21/10/2026"/>
    <s v="21/10/2026"/>
    <n v="34"/>
    <s v="No"/>
    <s v=""/>
    <m/>
    <m/>
    <s v="*MAV181201608"/>
    <s v="*MAV181201608"/>
    <n v="5.7412559606087393E-5"/>
  </r>
  <r>
    <x v="422"/>
    <s v="Pesos"/>
    <d v="2026-12-22T00:00:00"/>
    <s v="29/10/2026"/>
    <n v="0.95345088"/>
    <m/>
    <n v="260000"/>
    <n v="247897.23"/>
    <n v="260000"/>
    <n v="247897.23"/>
    <n v="70312578"/>
    <s v="AMOMPY"/>
    <s v="Momentum Capital Investment S.A."/>
    <s v="16/10/2026"/>
    <s v="16/10/2026"/>
    <n v="33"/>
    <s v="No"/>
    <s v=""/>
    <m/>
    <m/>
    <s v="*MAV181201539"/>
    <s v="*MAV181201539"/>
    <n v="3.0339263826325537E-6"/>
  </r>
  <r>
    <x v="1"/>
    <s v="Pesos"/>
    <d v="2026-12-22T00:00:00"/>
    <s v="29/10/2026"/>
    <n v="0.96295909999999996"/>
    <m/>
    <n v="20000000"/>
    <n v="19259181.989999998"/>
    <n v="20000000"/>
    <n v="19259181.989999998"/>
    <n v="79700361"/>
    <s v="AMOMPY"/>
    <s v="Momentum Capital Investment S.A."/>
    <s v="20/07/2026"/>
    <s v="20/07/2026"/>
    <n v="26"/>
    <s v="No"/>
    <s v=""/>
    <m/>
    <m/>
    <s v="*AFB181200007"/>
    <s v="*AFB181200007"/>
    <n v="2.3570630598568093E-4"/>
  </r>
  <r>
    <x v="1"/>
    <s v="Pesos"/>
    <d v="2026-12-22T00:00:00"/>
    <s v="29/10/2026"/>
    <n v="0.96158935000000001"/>
    <m/>
    <n v="20000000"/>
    <n v="19231787.07"/>
    <n v="20000000"/>
    <n v="19231787.07"/>
    <n v="23020"/>
    <s v="AMOMPY"/>
    <s v="Momentum Capital Investment S.A."/>
    <s v="28/10/2026"/>
    <s v="28/10/2026"/>
    <n v="27"/>
    <s v="No"/>
    <s v=""/>
    <m/>
    <m/>
    <s v="*AFB181200014"/>
    <s v="*AFB181200014"/>
    <n v="2.3537102926420202E-4"/>
  </r>
  <r>
    <x v="29"/>
    <s v="Pesos"/>
    <d v="2026-12-22T00:00:00"/>
    <s v="29/10/2026"/>
    <n v="0.9602231"/>
    <m/>
    <n v="5000000"/>
    <n v="4801115.49"/>
    <n v="5000000"/>
    <n v="4801115.49"/>
    <n v="40797747"/>
    <s v="AMOMPY"/>
    <s v="Momentum Capital Investment S.A."/>
    <s v="22/09/2026"/>
    <s v="22/09/2026"/>
    <n v="28"/>
    <s v="No"/>
    <s v=""/>
    <m/>
    <m/>
    <s v="*MIL181200042"/>
    <s v="*MIL181200042"/>
    <n v="5.8759151730645888E-5"/>
  </r>
  <r>
    <x v="368"/>
    <s v="Pesos"/>
    <d v="2026-12-22T00:00:00"/>
    <s v="29/10/2026"/>
    <n v="0.95345071000000003"/>
    <m/>
    <n v="4725000"/>
    <n v="4505054.6100000003"/>
    <n v="4725000"/>
    <n v="4505054.6100000003"/>
    <n v="11163480"/>
    <s v="AMOMPY"/>
    <s v="Momentum Capital Investment S.A."/>
    <s v="21/10/2026"/>
    <s v="21/10/2026"/>
    <n v="33"/>
    <s v="No"/>
    <s v=""/>
    <m/>
    <m/>
    <s v="*MAV181201620"/>
    <s v="*MAV181201620"/>
    <n v="5.5135767497197977E-5"/>
  </r>
  <r>
    <x v="270"/>
    <s v="Pesos"/>
    <d v="2026-12-22T00:00:00"/>
    <s v="29/10/2026"/>
    <n v="0.95345084000000002"/>
    <m/>
    <n v="6355928.2300000004"/>
    <n v="6060065.1299999999"/>
    <n v="6355928.2300000004"/>
    <n v="6060065.1299999999"/>
    <n v="11545"/>
    <s v="AMOMPY"/>
    <s v="Momentum Capital Investment S.A."/>
    <s v="28/09/2026"/>
    <s v="28/09/2026"/>
    <n v="33"/>
    <s v="No"/>
    <s v=""/>
    <m/>
    <m/>
    <s v="*MAV181201367"/>
    <s v="*MAV181201367"/>
    <n v="7.4166990403154475E-5"/>
  </r>
  <r>
    <x v="270"/>
    <s v="Pesos"/>
    <d v="2026-12-22T00:00:00"/>
    <s v="29/10/2026"/>
    <n v="0.95345084000000002"/>
    <m/>
    <n v="6355928.2400000002"/>
    <n v="6060065.1399999997"/>
    <n v="6355928.2400000002"/>
    <n v="6060065.1399999997"/>
    <n v="11544"/>
    <s v="AMOMPY"/>
    <s v="Momentum Capital Investment S.A."/>
    <s v="28/09/2026"/>
    <s v="28/09/2026"/>
    <n v="33"/>
    <s v="No"/>
    <s v=""/>
    <m/>
    <m/>
    <s v="*MAV181201366"/>
    <s v="*MAV181201366"/>
    <n v="7.4166990525540924E-5"/>
  </r>
  <r>
    <x v="51"/>
    <s v="Pesos"/>
    <d v="2026-12-22T00:00:00"/>
    <s v="29/10/2026"/>
    <n v="0.95479760000000002"/>
    <m/>
    <n v="75000000"/>
    <n v="71609820.359999999"/>
    <n v="75000000"/>
    <n v="71609820.359999999"/>
    <n v="21573"/>
    <s v="AMOMPY"/>
    <s v="Momentum Capital Investment S.A."/>
    <s v="22/10/2026"/>
    <s v="22/10/2026"/>
    <n v="32"/>
    <s v="No"/>
    <s v=""/>
    <m/>
    <m/>
    <s v="*MAV181201629"/>
    <s v="*MAV181201629"/>
    <n v="8.7640722425894708E-4"/>
  </r>
  <r>
    <x v="0"/>
    <s v="Pesos"/>
    <d v="2026-12-23T00:00:00"/>
    <s v="29/10/2026"/>
    <n v="0.95951637000000001"/>
    <m/>
    <n v="5000000"/>
    <n v="4797581.87"/>
    <n v="5000000"/>
    <n v="4797581.87"/>
    <n v="17"/>
    <s v="AMOMPY"/>
    <s v="Momentum Capital Investment S.A."/>
    <s v="21/09/2026"/>
    <s v="21/09/2026"/>
    <n v="28"/>
    <s v="No"/>
    <s v=""/>
    <m/>
    <m/>
    <s v="*TRD191200026"/>
    <s v="*TRD191200026"/>
    <n v="5.871590500721861E-5"/>
  </r>
  <r>
    <x v="0"/>
    <s v="Pesos"/>
    <d v="2026-12-23T00:00:00"/>
    <s v="29/10/2026"/>
    <n v="0.95813115999999998"/>
    <m/>
    <n v="1956389.88"/>
    <n v="1874478.1"/>
    <n v="1956389.88"/>
    <n v="1874478.1"/>
    <n v="40793574"/>
    <s v="AMOMPY"/>
    <s v="Momentum Capital Investment S.A."/>
    <s v="28/10/2026"/>
    <s v="28/10/2026"/>
    <n v="29"/>
    <s v="No"/>
    <s v=""/>
    <m/>
    <m/>
    <s v="*TRD211200033"/>
    <s v="*TRD211200033"/>
    <n v="2.2941073449093974E-5"/>
  </r>
  <r>
    <x v="65"/>
    <s v="Pesos"/>
    <d v="2026-12-23T00:00:00"/>
    <s v="29/10/2026"/>
    <n v="0.95743984000000004"/>
    <m/>
    <n v="5633315"/>
    <n v="5393560.2300000004"/>
    <n v="5633315"/>
    <n v="5393560.2300000004"/>
    <n v="69874632"/>
    <s v="AMOMPY"/>
    <s v="Momentum Capital Investment S.A."/>
    <s v="23/09/2026"/>
    <s v="23/09/2026"/>
    <n v="29.5"/>
    <s v="No"/>
    <s v=""/>
    <m/>
    <m/>
    <s v="*CVA211200010"/>
    <s v="*CVA211200010"/>
    <n v="6.6009873035348981E-5"/>
  </r>
  <r>
    <x v="1"/>
    <s v="Pesos"/>
    <d v="2026-12-23T00:00:00"/>
    <s v="29/10/2026"/>
    <n v="0.96229898999999997"/>
    <m/>
    <n v="20000000"/>
    <n v="19245979.879999999"/>
    <n v="20000000"/>
    <n v="19245979.879999999"/>
    <n v="79700362"/>
    <s v="AMOMPY"/>
    <s v="Momentum Capital Investment S.A."/>
    <s v="20/07/2026"/>
    <s v="20/07/2026"/>
    <n v="26"/>
    <s v="No"/>
    <s v=""/>
    <m/>
    <m/>
    <s v="*AFB211200004"/>
    <s v="*AFB211200004"/>
    <n v="2.3554473003811825E-4"/>
  </r>
  <r>
    <x v="283"/>
    <s v="Pesos"/>
    <d v="2026-12-23T00:00:00"/>
    <s v="29/10/2026"/>
    <n v="0.95951631000000004"/>
    <m/>
    <n v="70000000"/>
    <n v="67166141.680000007"/>
    <n v="70000000"/>
    <n v="67166141.680000007"/>
    <n v="11169840"/>
    <s v="AMOMPY"/>
    <s v="Momentum Capital Investment S.A."/>
    <s v="23/09/2026"/>
    <s v="23/09/2026"/>
    <n v="28"/>
    <s v="No"/>
    <s v=""/>
    <m/>
    <m/>
    <s v="*SOL201200012"/>
    <s v="*SOL201200012"/>
    <n v="8.2202261502715469E-4"/>
  </r>
  <r>
    <x v="370"/>
    <s v="Pesos"/>
    <d v="2026-12-23T00:00:00"/>
    <s v="29/10/2026"/>
    <n v="0.94990253000000002"/>
    <m/>
    <n v="5000000"/>
    <n v="4749512.66"/>
    <n v="5000000"/>
    <n v="4749512.66"/>
    <n v="545"/>
    <s v="AMOMPY"/>
    <s v="Momentum Capital Investment S.A."/>
    <s v="18/09/2026"/>
    <s v="18/09/2026"/>
    <n v="35"/>
    <s v="No"/>
    <s v=""/>
    <m/>
    <m/>
    <s v="*MAV201201677"/>
    <s v="*MAV201201677"/>
    <n v="5.8127602974108741E-5"/>
  </r>
  <r>
    <x v="236"/>
    <s v="Pesos"/>
    <d v="2026-12-23T00:00:00"/>
    <s v="29/10/2026"/>
    <n v="0.95674968000000005"/>
    <m/>
    <n v="10000000"/>
    <n v="9567496.75"/>
    <n v="10000000"/>
    <n v="9567496.75"/>
    <n v="52709"/>
    <s v="AMOMPY"/>
    <s v="Momentum Capital Investment S.A."/>
    <s v="22/10/2026"/>
    <s v="22/10/2026"/>
    <n v="30"/>
    <s v="No"/>
    <s v=""/>
    <m/>
    <m/>
    <s v="*MAV191201418"/>
    <s v="*MAV191201418"/>
    <n v="1.170932035246066E-4"/>
  </r>
  <r>
    <x v="285"/>
    <s v="Pesos"/>
    <d v="2026-12-23T00:00:00"/>
    <s v="29/10/2026"/>
    <n v="0.95537234000000004"/>
    <m/>
    <n v="619400"/>
    <n v="591757.63"/>
    <n v="619400"/>
    <n v="591757.63"/>
    <n v="605"/>
    <s v="AMOMPY"/>
    <s v="Momentum Capital Investment S.A."/>
    <s v="23/09/2026"/>
    <s v="23/09/2026"/>
    <n v="31"/>
    <s v="No"/>
    <s v=""/>
    <m/>
    <m/>
    <s v="*MAV201201689"/>
    <s v="*MAV201201689"/>
    <n v="7.2423120088155611E-6"/>
  </r>
  <r>
    <x v="259"/>
    <s v="Pesos"/>
    <d v="2026-12-23T00:00:00"/>
    <s v="29/10/2026"/>
    <n v="0.95813115999999998"/>
    <m/>
    <n v="3726452"/>
    <n v="3570429.78"/>
    <n v="3726452"/>
    <n v="3570429.78"/>
    <n v="4146"/>
    <s v="AMOMPY"/>
    <s v="Momentum Capital Investment S.A."/>
    <s v="28/10/2026"/>
    <s v="28/10/2026"/>
    <n v="29"/>
    <s v="No"/>
    <s v=""/>
    <m/>
    <m/>
    <s v="*MAV201201815"/>
    <s v="*MAV201201815"/>
    <n v="4.3697225285167344E-5"/>
  </r>
  <r>
    <x v="54"/>
    <s v="Pesos"/>
    <d v="2026-12-23T00:00:00"/>
    <s v="29/10/2026"/>
    <n v="0.95813106000000003"/>
    <m/>
    <n v="22000000"/>
    <n v="21078883.390000001"/>
    <n v="22000000"/>
    <n v="21078883.390000001"/>
    <n v="90000360"/>
    <s v="AMOMPY"/>
    <s v="Momentum Capital Investment S.A."/>
    <s v="28/09/2026"/>
    <s v="28/09/2026"/>
    <n v="29"/>
    <s v="No"/>
    <s v=""/>
    <m/>
    <m/>
    <s v="*INP211200044"/>
    <s v="*INP211200044"/>
    <n v="2.5797698680762236E-4"/>
  </r>
  <r>
    <x v="54"/>
    <s v="Pesos"/>
    <d v="2026-12-23T00:00:00"/>
    <s v="29/10/2026"/>
    <n v="0.95813106000000003"/>
    <m/>
    <n v="30000000"/>
    <n v="28743931.890000001"/>
    <n v="30000000"/>
    <n v="28743931.890000001"/>
    <n v="90000214"/>
    <s v="AMOMPY"/>
    <s v="Momentum Capital Investment S.A."/>
    <s v="28/09/2026"/>
    <s v="28/09/2026"/>
    <n v="29"/>
    <s v="No"/>
    <s v=""/>
    <m/>
    <m/>
    <s v="*INP211200045"/>
    <s v="*INP211200045"/>
    <n v="3.5178680012545605E-4"/>
  </r>
  <r>
    <x v="54"/>
    <s v="Pesos"/>
    <d v="2026-12-23T00:00:00"/>
    <s v="29/10/2026"/>
    <n v="0.95813106000000003"/>
    <m/>
    <n v="10000000"/>
    <n v="9581310.6300000008"/>
    <n v="10000000"/>
    <n v="9581310.6300000008"/>
    <n v="90000280"/>
    <s v="AMOMPY"/>
    <s v="Momentum Capital Investment S.A."/>
    <s v="28/09/2026"/>
    <s v="28/09/2026"/>
    <n v="29"/>
    <s v="No"/>
    <s v=""/>
    <m/>
    <m/>
    <s v="*INP211200046"/>
    <s v="*INP211200046"/>
    <n v="1.1726226670848535E-4"/>
  </r>
  <r>
    <x v="54"/>
    <s v="Pesos"/>
    <d v="2026-12-23T00:00:00"/>
    <s v="29/10/2026"/>
    <n v="0.95813106000000003"/>
    <m/>
    <n v="18000000"/>
    <n v="17246359.129999999"/>
    <n v="18000000"/>
    <n v="17246359.129999999"/>
    <n v="90000356"/>
    <s v="AMOMPY"/>
    <s v="Momentum Capital Investment S.A."/>
    <s v="28/09/2026"/>
    <s v="28/09/2026"/>
    <n v="29"/>
    <s v="No"/>
    <s v=""/>
    <m/>
    <m/>
    <s v="*INP211200048"/>
    <s v="*INP211200048"/>
    <n v="2.1107208002631901E-4"/>
  </r>
  <r>
    <x v="54"/>
    <s v="Pesos"/>
    <d v="2026-12-23T00:00:00"/>
    <s v="29/10/2026"/>
    <n v="0.95813106000000003"/>
    <m/>
    <n v="15000000"/>
    <n v="14371965.949999999"/>
    <n v="15000000"/>
    <n v="14371965.949999999"/>
    <n v="90000247"/>
    <s v="AMOMPY"/>
    <s v="Momentum Capital Investment S.A."/>
    <s v="28/09/2026"/>
    <s v="28/09/2026"/>
    <n v="29"/>
    <s v="No"/>
    <s v=""/>
    <m/>
    <m/>
    <s v="*INP211200047"/>
    <s v="*INP211200047"/>
    <n v="1.7589340012392124E-4"/>
  </r>
  <r>
    <x v="54"/>
    <s v="Pesos"/>
    <d v="2026-12-23T00:00:00"/>
    <s v="29/10/2026"/>
    <n v="0.95813106000000003"/>
    <m/>
    <n v="12000000"/>
    <n v="11497572.76"/>
    <n v="12000000"/>
    <n v="11497572.76"/>
    <n v="90000421"/>
    <s v="AMOMPY"/>
    <s v="Momentum Capital Investment S.A."/>
    <s v="28/09/2026"/>
    <s v="28/09/2026"/>
    <n v="29"/>
    <s v="No"/>
    <s v=""/>
    <m/>
    <m/>
    <s v="*INP211200050"/>
    <s v="*INP211200050"/>
    <n v="1.4071472009913698E-4"/>
  </r>
  <r>
    <x v="54"/>
    <s v="Pesos"/>
    <d v="2026-12-23T00:00:00"/>
    <s v="29/10/2026"/>
    <n v="0.95813106000000003"/>
    <m/>
    <n v="24600000"/>
    <n v="23570024.149999999"/>
    <n v="24600000"/>
    <n v="23570024.149999999"/>
    <n v="90000321"/>
    <s v="AMOMPY"/>
    <s v="Momentum Capital Investment S.A."/>
    <s v="28/09/2026"/>
    <s v="28/09/2026"/>
    <n v="29"/>
    <s v="No"/>
    <s v=""/>
    <m/>
    <m/>
    <s v="*INP211200049"/>
    <s v="*INP211200049"/>
    <n v="2.8846517610532163E-4"/>
  </r>
  <r>
    <x v="3"/>
    <s v="Pesos"/>
    <d v="2026-12-23T00:00:00"/>
    <s v="29/10/2026"/>
    <n v="0.96090567999999998"/>
    <m/>
    <n v="265000000"/>
    <n v="254640005.33000001"/>
    <n v="265000000"/>
    <n v="254640005.33000001"/>
    <n v="13200"/>
    <s v="AMOMPY"/>
    <s v="Momentum Capital Investment S.A."/>
    <s v="17/09/2026"/>
    <s v="17/09/2026"/>
    <n v="27"/>
    <s v="No"/>
    <s v=""/>
    <m/>
    <m/>
    <s v="*MOV211200055"/>
    <s v="*MOV211200055"/>
    <n v="3.1164488213296336E-3"/>
  </r>
  <r>
    <x v="171"/>
    <s v="Pesos"/>
    <d v="2026-12-23T00:00:00"/>
    <s v="29/10/2026"/>
    <n v="0.95262959999999997"/>
    <m/>
    <n v="2170000"/>
    <n v="2067206.24"/>
    <n v="2170000"/>
    <n v="2067206.24"/>
    <n v="260747"/>
    <s v="AMOMPY"/>
    <s v="Momentum Capital Investment S.A."/>
    <s v="27/08/2026"/>
    <s v="27/08/2026"/>
    <n v="33"/>
    <s v="No"/>
    <s v=""/>
    <m/>
    <m/>
    <s v="*MAV211200992"/>
    <s v="*MAV211200992"/>
    <n v="2.529980488236453E-5"/>
  </r>
  <r>
    <x v="385"/>
    <s v="Pesos"/>
    <d v="2026-12-23T00:00:00"/>
    <s v="29/10/2026"/>
    <n v="0.95674985000000001"/>
    <m/>
    <n v="15000000"/>
    <n v="14351247.73"/>
    <n v="15000000"/>
    <n v="14351247.73"/>
    <n v="1416"/>
    <s v="AMOMPY"/>
    <s v="Momentum Capital Investment S.A."/>
    <s v="28/10/2026"/>
    <s v="28/10/2026"/>
    <n v="30"/>
    <s v="No"/>
    <s v=""/>
    <m/>
    <m/>
    <s v="*MAV201201812"/>
    <s v="*MAV201201812"/>
    <n v="1.756398371685821E-4"/>
  </r>
  <r>
    <x v="272"/>
    <s v="Pesos"/>
    <d v="2026-12-23T00:00:00"/>
    <s v="29/10/2026"/>
    <n v="0.95262952000000001"/>
    <m/>
    <n v="5800000"/>
    <n v="5525251.2199999997"/>
    <n v="5800000"/>
    <n v="5525251.2199999997"/>
    <n v="6578"/>
    <s v="AMOMPY"/>
    <s v="Momentum Capital Investment S.A."/>
    <s v="21/08/2026"/>
    <s v="21/08/2026"/>
    <n v="33"/>
    <s v="No"/>
    <s v=""/>
    <m/>
    <m/>
    <s v="*MAV191201280"/>
    <s v="*MAV191201280"/>
    <n v="6.7621592411624376E-5"/>
  </r>
  <r>
    <x v="34"/>
    <s v="Pesos"/>
    <d v="2026-12-23T00:00:00"/>
    <s v="29/10/2026"/>
    <n v="0.95262957000000004"/>
    <m/>
    <n v="95000000"/>
    <n v="90499809.189999998"/>
    <n v="95000000"/>
    <n v="90499809.189999998"/>
    <n v="3103"/>
    <s v="AMOMPY"/>
    <s v="Momentum Capital Investment S.A."/>
    <s v="01/10/2026"/>
    <s v="01/10/2026"/>
    <n v="33"/>
    <s v="No"/>
    <s v=""/>
    <m/>
    <m/>
    <s v="*MAV201201720"/>
    <s v="*MAV201201720"/>
    <n v="1.1075951059427048E-3"/>
  </r>
  <r>
    <x v="34"/>
    <s v="Pesos"/>
    <d v="2026-12-23T00:00:00"/>
    <s v="29/10/2026"/>
    <n v="0.95262959999999997"/>
    <m/>
    <n v="80000000"/>
    <n v="76210368.150000006"/>
    <n v="80000000"/>
    <n v="76210368.150000006"/>
    <n v="3037"/>
    <s v="AMOMPY"/>
    <s v="Momentum Capital Investment S.A."/>
    <s v="28/09/2026"/>
    <s v="28/09/2026"/>
    <n v="33"/>
    <s v="No"/>
    <s v=""/>
    <m/>
    <m/>
    <s v="*MAV201201708"/>
    <s v="*MAV201201708"/>
    <n v="9.3271169895857528E-4"/>
  </r>
  <r>
    <x v="288"/>
    <s v="Pesos"/>
    <d v="2026-12-23T00:00:00"/>
    <s v="29/10/2026"/>
    <n v="0.95951635999999996"/>
    <m/>
    <n v="150000000"/>
    <n v="143927453.75"/>
    <n v="150000000"/>
    <n v="143927453.75"/>
    <n v="90000174"/>
    <s v="AMOMPY"/>
    <s v="Momentum Capital Investment S.A."/>
    <s v="12/08/2026"/>
    <s v="12/08/2026"/>
    <n v="28"/>
    <s v="No"/>
    <s v=""/>
    <m/>
    <m/>
    <s v="*MAV201201628"/>
    <s v="*MAV201201628"/>
    <n v="1.7614771214557407E-3"/>
  </r>
  <r>
    <x v="8"/>
    <s v="Pesos"/>
    <d v="2026-12-23T00:00:00"/>
    <s v="29/10/2026"/>
    <n v="0.95262970999999996"/>
    <m/>
    <n v="5000000"/>
    <n v="4763148.5599999996"/>
    <n v="5000000"/>
    <n v="4763148.5599999996"/>
    <n v="70108167"/>
    <s v="AMOMPY"/>
    <s v="Momentum Capital Investment S.A."/>
    <s v="30/09/2026"/>
    <s v="30/09/2026"/>
    <n v="33"/>
    <s v="No"/>
    <s v=""/>
    <m/>
    <m/>
    <s v="*MAV211201138"/>
    <s v="*MAV211201138"/>
    <n v="5.8294487923815271E-5"/>
  </r>
  <r>
    <x v="8"/>
    <s v="Pesos"/>
    <d v="2026-12-23T00:00:00"/>
    <s v="29/10/2026"/>
    <n v="0.95262957000000004"/>
    <m/>
    <n v="10000000"/>
    <n v="9526295.6999999993"/>
    <n v="10000000"/>
    <n v="9526295.6999999993"/>
    <n v="150"/>
    <s v="AMOMPY"/>
    <s v="Momentum Capital Investment S.A."/>
    <s v="01/10/2026"/>
    <s v="01/10/2026"/>
    <n v="33"/>
    <s v="No"/>
    <s v=""/>
    <m/>
    <m/>
    <s v="*MAV201201724"/>
    <s v="*MAV201201724"/>
    <n v="1.1658895846875356E-4"/>
  </r>
  <r>
    <x v="415"/>
    <s v="Pesos"/>
    <d v="2026-12-23T00:00:00"/>
    <s v="29/10/2026"/>
    <n v="0.95674972999999996"/>
    <m/>
    <n v="50000000"/>
    <n v="47837486.520000003"/>
    <n v="50000000"/>
    <n v="47837486.520000003"/>
    <n v="163597"/>
    <s v="AMOMPY"/>
    <s v="Momentum Capital Investment S.A."/>
    <s v="19/08/2026"/>
    <s v="19/08/2026"/>
    <n v="30"/>
    <s v="No"/>
    <s v=""/>
    <m/>
    <m/>
    <s v="*MAV201201630"/>
    <s v="*MAV201201630"/>
    <n v="5.8546605152408186E-4"/>
  </r>
  <r>
    <x v="415"/>
    <s v="Pesos"/>
    <d v="2026-12-23T00:00:00"/>
    <s v="29/10/2026"/>
    <n v="0.95674972999999996"/>
    <m/>
    <n v="50000000"/>
    <n v="47837486.520000003"/>
    <n v="50000000"/>
    <n v="47837486.520000003"/>
    <n v="197097"/>
    <s v="AMOMPY"/>
    <s v="Momentum Capital Investment S.A."/>
    <s v="19/08/2026"/>
    <s v="19/08/2026"/>
    <n v="30"/>
    <s v="No"/>
    <s v=""/>
    <m/>
    <m/>
    <s v="*MAV211200976"/>
    <s v="*MAV211200976"/>
    <n v="5.8546605152408186E-4"/>
  </r>
  <r>
    <x v="423"/>
    <s v="Pesos"/>
    <d v="2026-12-23T00:00:00"/>
    <s v="29/10/2026"/>
    <n v="0.95674972999999996"/>
    <m/>
    <n v="50000000"/>
    <n v="47837486.520000003"/>
    <n v="50000000"/>
    <n v="47837486.520000003"/>
    <n v="196470"/>
    <s v="AMOMPY"/>
    <s v="Momentum Capital Investment S.A."/>
    <s v="19/08/2026"/>
    <s v="19/08/2026"/>
    <n v="30"/>
    <s v="No"/>
    <s v=""/>
    <m/>
    <m/>
    <s v="*MAV211200977"/>
    <s v="*MAV211200977"/>
    <n v="5.8546605152408186E-4"/>
  </r>
  <r>
    <x v="424"/>
    <s v="Pesos"/>
    <d v="2026-12-23T00:00:00"/>
    <s v="29/10/2026"/>
    <n v="0.94990253999999996"/>
    <m/>
    <n v="15000000"/>
    <n v="14248538.15"/>
    <n v="15000000"/>
    <n v="14248538.15"/>
    <n v="50535"/>
    <s v="AMOMPY"/>
    <s v="Momentum Capital Investment S.A."/>
    <s v="04/09/2026"/>
    <s v="04/09/2026"/>
    <n v="35"/>
    <s v="No"/>
    <s v=""/>
    <m/>
    <m/>
    <s v="*MAV211201021"/>
    <s v="*MAV211201021"/>
    <n v="1.74382811002896E-4"/>
  </r>
  <r>
    <x v="222"/>
    <s v="Pesos"/>
    <d v="2026-12-23T00:00:00"/>
    <s v="29/10/2026"/>
    <n v="0.96229907000000003"/>
    <m/>
    <n v="712621.85"/>
    <n v="685755.34"/>
    <n v="712621.85"/>
    <n v="685755.34"/>
    <n v="682191"/>
    <s v="AMOMPY"/>
    <s v="Momentum Capital Investment S.A."/>
    <s v="25/09/2026"/>
    <s v="25/09/2026"/>
    <n v="26"/>
    <s v="No"/>
    <s v=""/>
    <m/>
    <m/>
    <s v="*MAV211201095"/>
    <s v="*MAV211201095"/>
    <n v="8.3927166836723305E-6"/>
  </r>
  <r>
    <x v="398"/>
    <s v="Pesos"/>
    <d v="2026-12-23T00:00:00"/>
    <s v="29/10/2026"/>
    <n v="0.95262961000000002"/>
    <m/>
    <n v="528139.15"/>
    <n v="503120.99"/>
    <n v="528139.15"/>
    <n v="503120.99"/>
    <n v="17708"/>
    <s v="AMOMPY"/>
    <s v="Momentum Capital Investment S.A."/>
    <s v="16/10/2026"/>
    <s v="16/10/2026"/>
    <n v="33"/>
    <s v="No"/>
    <s v=""/>
    <m/>
    <m/>
    <s v="*MAV211201221"/>
    <s v="*MAV211201221"/>
    <n v="6.1575195705785383E-6"/>
  </r>
  <r>
    <x v="416"/>
    <s v="Pesos"/>
    <d v="2026-12-23T00:00:00"/>
    <s v="29/10/2026"/>
    <n v="0.95262970999999996"/>
    <m/>
    <n v="5385316.5800000001"/>
    <n v="5130212.58"/>
    <n v="5385316.5800000001"/>
    <n v="5130212.58"/>
    <n v="13981363"/>
    <s v="AMOMPY"/>
    <s v="Momentum Capital Investment S.A."/>
    <s v="21/10/2026"/>
    <s v="21/10/2026"/>
    <n v="33"/>
    <s v="No"/>
    <s v=""/>
    <m/>
    <m/>
    <s v="*MAV211201294"/>
    <s v="*MAV211201294"/>
    <n v="6.2786854435507093E-5"/>
  </r>
  <r>
    <x v="425"/>
    <s v="Pesos"/>
    <d v="2026-12-23T00:00:00"/>
    <s v="29/10/2026"/>
    <n v="0.95262964999999999"/>
    <m/>
    <n v="16321601.68"/>
    <n v="15548441.619999999"/>
    <n v="16321601.68"/>
    <n v="15548441.619999999"/>
    <n v="318"/>
    <s v="AMOMPY"/>
    <s v="Momentum Capital Investment S.A."/>
    <s v="13/10/2026"/>
    <s v="13/10/2026"/>
    <n v="33"/>
    <s v="No"/>
    <s v=""/>
    <m/>
    <m/>
    <s v="*MAV211201196"/>
    <s v="*MAV211201196"/>
    <n v="1.9029186909325305E-4"/>
  </r>
  <r>
    <x v="377"/>
    <s v="Pesos"/>
    <d v="2026-12-23T00:00:00"/>
    <s v="29/10/2026"/>
    <n v="0.95262979999999997"/>
    <m/>
    <n v="4173925"/>
    <n v="3976205.33"/>
    <n v="4173925"/>
    <n v="3976205.33"/>
    <n v="80218019"/>
    <s v="AMOMPY"/>
    <s v="Momentum Capital Investment S.A."/>
    <s v="29/10/2026"/>
    <s v="29/10/2026"/>
    <n v="33"/>
    <s v="No"/>
    <s v=""/>
    <m/>
    <m/>
    <s v="*MAV211201408"/>
    <s v="*MAV211201408"/>
    <n v="4.8663368499321997E-5"/>
  </r>
  <r>
    <x v="261"/>
    <s v="Pesos"/>
    <d v="2026-12-23T00:00:00"/>
    <s v="29/10/2026"/>
    <n v="0.95262966000000004"/>
    <m/>
    <n v="11666666.66"/>
    <n v="11114012.699999999"/>
    <n v="11666666.66"/>
    <n v="11114012.699999999"/>
    <n v="69879019"/>
    <s v="AMOMPY"/>
    <s v="Momentum Capital Investment S.A."/>
    <s v="22/09/2026"/>
    <s v="22/09/2026"/>
    <n v="33"/>
    <s v="No"/>
    <s v=""/>
    <m/>
    <m/>
    <s v="*MAV191201317"/>
    <s v="*MAV191201317"/>
    <n v="1.3602046439745719E-4"/>
  </r>
  <r>
    <x v="107"/>
    <s v="Pesos"/>
    <d v="2026-12-23T00:00:00"/>
    <s v="29/10/2026"/>
    <n v="0.95262954"/>
    <m/>
    <n v="357707.35"/>
    <n v="340762.59"/>
    <n v="357707.35"/>
    <n v="340762.59"/>
    <n v="129159"/>
    <s v="AMOMPY"/>
    <s v="Momentum Capital Investment S.A."/>
    <s v="26/10/2026"/>
    <s v="26/10/2026"/>
    <n v="33"/>
    <s v="No"/>
    <s v=""/>
    <m/>
    <m/>
    <s v="*MAV211201351"/>
    <s v="*MAV211201351"/>
    <n v="4.1704726269640045E-6"/>
  </r>
  <r>
    <x v="189"/>
    <s v="Pesos"/>
    <d v="2026-12-23T00:00:00"/>
    <s v="29/10/2026"/>
    <n v="0.95262954"/>
    <m/>
    <n v="25000000"/>
    <n v="23815738.539999999"/>
    <n v="25000000"/>
    <n v="23815738.539999999"/>
    <n v="475889"/>
    <s v="AMOMPY"/>
    <s v="Momentum Capital Investment S.A."/>
    <s v="07/08/2026"/>
    <s v="07/08/2026"/>
    <n v="33"/>
    <s v="No"/>
    <s v=""/>
    <m/>
    <m/>
    <s v="*MAV201201625"/>
    <s v="*MAV201201625"/>
    <n v="2.9147238748244541E-4"/>
  </r>
  <r>
    <x v="146"/>
    <s v="Pesos"/>
    <d v="2026-12-23T00:00:00"/>
    <s v="29/10/2026"/>
    <n v="0.95674979000000004"/>
    <m/>
    <n v="150000000"/>
    <n v="143512468.44"/>
    <n v="150000000"/>
    <n v="143512468.44"/>
    <n v="90004321"/>
    <s v="AMOMPY"/>
    <s v="Momentum Capital Investment S.A."/>
    <s v="13/10/2026"/>
    <s v="13/10/2026"/>
    <n v="30"/>
    <s v="No"/>
    <s v=""/>
    <m/>
    <m/>
    <s v="*MAV211201195"/>
    <s v="*MAV211201195"/>
    <n v="1.7563982632514197E-3"/>
  </r>
  <r>
    <x v="15"/>
    <s v="Pesos"/>
    <d v="2026-12-23T00:00:00"/>
    <s v="29/10/2026"/>
    <n v="0.94854477000000004"/>
    <m/>
    <n v="20078937.030000001"/>
    <n v="19045770.739999998"/>
    <n v="20078937.030000001"/>
    <n v="19045770.739999998"/>
    <n v="67998257"/>
    <s v="AMOMPY"/>
    <s v="Momentum Capital Investment S.A."/>
    <s v="07/07/2026"/>
    <s v="07/07/2026"/>
    <n v="36"/>
    <s v="No"/>
    <s v=""/>
    <m/>
    <m/>
    <s v="*MAV211200948"/>
    <s v="*MAV211200948"/>
    <n v="2.3309444129592384E-4"/>
  </r>
  <r>
    <x v="426"/>
    <s v="Pesos"/>
    <d v="2026-12-23T00:00:00"/>
    <s v="29/10/2026"/>
    <n v="0.95813115999999998"/>
    <m/>
    <n v="1691517"/>
    <n v="1620695.15"/>
    <n v="1691517"/>
    <n v="1620695.15"/>
    <n v="70559934"/>
    <s v="AMOMPY"/>
    <s v="Momentum Capital Investment S.A."/>
    <s v="28/10/2026"/>
    <s v="28/10/2026"/>
    <n v="29"/>
    <s v="No"/>
    <s v=""/>
    <m/>
    <m/>
    <s v="*MAV191201437"/>
    <s v="*MAV191201437"/>
    <n v="1.9835113824344158E-5"/>
  </r>
  <r>
    <x v="82"/>
    <s v="Pesos"/>
    <d v="2026-12-23T00:00:00"/>
    <s v="29/10/2026"/>
    <n v="0.95674977000000005"/>
    <m/>
    <n v="200000000"/>
    <n v="191349954.06"/>
    <n v="200000000"/>
    <n v="191349954.06"/>
    <n v="7006"/>
    <s v="AMOMPY"/>
    <s v="Momentum Capital Investment S.A."/>
    <s v="02/10/2026"/>
    <s v="02/10/2026"/>
    <n v="30"/>
    <s v="No"/>
    <s v=""/>
    <m/>
    <m/>
    <s v="*MAV211201152"/>
    <s v="*MAV211201152"/>
    <n v="2.3418643037607205E-3"/>
  </r>
  <r>
    <x v="40"/>
    <s v="Pesos"/>
    <d v="2026-12-23T00:00:00"/>
    <s v="29/10/2026"/>
    <n v="0.95399908"/>
    <m/>
    <n v="5000000"/>
    <n v="4769995.4000000004"/>
    <n v="5000000"/>
    <n v="4769995.4000000004"/>
    <n v="40796994"/>
    <s v="AMOMPY"/>
    <s v="Momentum Capital Investment S.A."/>
    <s v="13/10/2026"/>
    <s v="13/10/2026"/>
    <n v="32"/>
    <s v="No"/>
    <s v=""/>
    <m/>
    <m/>
    <s v="*MAV211201185"/>
    <s v="*MAV211201185"/>
    <n v="5.8378283973144528E-5"/>
  </r>
  <r>
    <x v="44"/>
    <s v="Pesos"/>
    <d v="2026-12-23T00:00:00"/>
    <s v="29/10/2026"/>
    <n v="0.95262961000000002"/>
    <m/>
    <n v="25000000"/>
    <n v="23815740.149999999"/>
    <n v="25000000"/>
    <n v="23815740.149999999"/>
    <n v="14422659"/>
    <s v="AMOMPY"/>
    <s v="Momentum Capital Investment S.A."/>
    <s v="03/09/2026"/>
    <s v="03/09/2026"/>
    <n v="33"/>
    <s v="No"/>
    <s v=""/>
    <m/>
    <m/>
    <s v="*MAV191201292"/>
    <s v="*MAV191201292"/>
    <n v="2.9147240718666506E-4"/>
  </r>
  <r>
    <x v="307"/>
    <s v="Pesos"/>
    <d v="2026-12-23T00:00:00"/>
    <s v="29/10/2026"/>
    <n v="0.95126421000000005"/>
    <m/>
    <n v="1257626.54"/>
    <n v="1196335.1200000001"/>
    <n v="1257626.54"/>
    <n v="1196335.1200000001"/>
    <n v="114"/>
    <s v="AMOMPY"/>
    <s v="Momentum Capital Investment S.A."/>
    <s v="21/10/2026"/>
    <s v="21/10/2026"/>
    <n v="34"/>
    <s v="No"/>
    <s v=""/>
    <m/>
    <m/>
    <s v="*MAV211201257"/>
    <s v="*MAV211201257"/>
    <n v="1.46415217428524E-5"/>
  </r>
  <r>
    <x v="427"/>
    <s v="Pesos"/>
    <d v="2026-12-23T00:00:00"/>
    <s v="29/10/2026"/>
    <n v="0.95399913999999997"/>
    <m/>
    <n v="6600211.2000000002"/>
    <n v="6296595.8200000003"/>
    <n v="6600211.2000000002"/>
    <n v="6296595.8200000003"/>
    <n v="69202679"/>
    <s v="AMOMPY"/>
    <s v="Momentum Capital Investment S.A."/>
    <s v="21/10/2026"/>
    <s v="21/10/2026"/>
    <n v="32"/>
    <s v="No"/>
    <s v=""/>
    <m/>
    <m/>
    <s v="*MAV191201409"/>
    <s v="*MAV191201409"/>
    <n v="7.7061805729220363E-5"/>
  </r>
  <r>
    <x v="428"/>
    <s v="Pesos"/>
    <d v="2026-12-23T00:00:00"/>
    <s v="29/10/2026"/>
    <n v="0.95674992999999997"/>
    <m/>
    <n v="50000000"/>
    <n v="47837496.450000003"/>
    <n v="50000000"/>
    <n v="47837496.450000003"/>
    <n v="171041"/>
    <s v="AMOMPY"/>
    <s v="Momentum Capital Investment S.A."/>
    <s v="29/10/2026"/>
    <s v="29/10/2026"/>
    <n v="30"/>
    <s v="No"/>
    <s v=""/>
    <m/>
    <m/>
    <s v="#MAV221260078"/>
    <s v="#MAV221260078"/>
    <n v="5.8546617305383416E-4"/>
  </r>
  <r>
    <x v="428"/>
    <s v="Pesos"/>
    <d v="2026-12-23T00:00:00"/>
    <s v="29/10/2026"/>
    <n v="0.95674992999999997"/>
    <m/>
    <n v="250000000"/>
    <n v="239187481.88"/>
    <n v="250000000"/>
    <n v="239187481.88"/>
    <n v="171034"/>
    <s v="AMOMPY"/>
    <s v="Momentum Capital Investment S.A."/>
    <s v="29/10/2026"/>
    <s v="29/10/2026"/>
    <n v="30"/>
    <s v="No"/>
    <s v=""/>
    <m/>
    <m/>
    <s v="#MAV221260079"/>
    <s v="#MAV221260079"/>
    <n v="2.9273308607408719E-3"/>
  </r>
  <r>
    <x v="428"/>
    <s v="Pesos"/>
    <d v="2026-12-23T00:00:00"/>
    <s v="29/10/2026"/>
    <n v="0.95674992999999997"/>
    <m/>
    <n v="50000000"/>
    <n v="47837496.450000003"/>
    <n v="50000000"/>
    <n v="47837496.450000003"/>
    <n v="171037"/>
    <s v="AMOMPY"/>
    <s v="Momentum Capital Investment S.A."/>
    <s v="29/10/2026"/>
    <s v="29/10/2026"/>
    <n v="30"/>
    <s v="No"/>
    <s v=""/>
    <m/>
    <m/>
    <s v="#MAV221260080"/>
    <s v="#MAV221260080"/>
    <n v="5.8546617305383416E-4"/>
  </r>
  <r>
    <x v="21"/>
    <s v="Pesos"/>
    <d v="2026-12-23T00:00:00"/>
    <s v="29/10/2026"/>
    <n v="0.95951640000000005"/>
    <m/>
    <n v="50000000"/>
    <n v="47975820.07"/>
    <n v="50000000"/>
    <n v="47975820.07"/>
    <n v="580"/>
    <s v="AMOMPY"/>
    <s v="Momentum Capital Investment S.A."/>
    <s v="18/09/2026"/>
    <s v="18/09/2026"/>
    <n v="28"/>
    <s v="No"/>
    <s v=""/>
    <m/>
    <m/>
    <s v="*NIO191200030"/>
    <s v="*NIO191200030"/>
    <n v="5.8715906683913077E-4"/>
  </r>
  <r>
    <x v="21"/>
    <s v="Pesos"/>
    <d v="2026-12-23T00:00:00"/>
    <s v="29/10/2026"/>
    <n v="0.95674970000000004"/>
    <m/>
    <n v="83000000"/>
    <n v="79410225.439999998"/>
    <n v="83000000"/>
    <n v="79410225.439999998"/>
    <n v="68158784"/>
    <s v="AMOMPY"/>
    <s v="Momentum Capital Investment S.A."/>
    <s v="13/07/2026"/>
    <s v="13/07/2026"/>
    <n v="30"/>
    <s v="No"/>
    <s v=""/>
    <m/>
    <m/>
    <s v="*NIO201200029"/>
    <s v="*NIO201200029"/>
    <n v="9.7187361881056426E-4"/>
  </r>
  <r>
    <x v="205"/>
    <s v="Pesos"/>
    <d v="2026-12-23T00:00:00"/>
    <s v="29/10/2026"/>
    <n v="0.95674970999999998"/>
    <m/>
    <n v="1500000"/>
    <n v="1435124.57"/>
    <n v="1500000"/>
    <n v="1435124.57"/>
    <n v="10793606"/>
    <s v="AMOMPY"/>
    <s v="Momentum Capital Investment S.A."/>
    <s v="19/10/2026"/>
    <s v="19/10/2026"/>
    <n v="30"/>
    <s v="No"/>
    <s v=""/>
    <m/>
    <m/>
    <s v="*MAV211201230"/>
    <s v="*MAV211201230"/>
    <n v="1.7563981232413123E-5"/>
  </r>
  <r>
    <x v="277"/>
    <s v="Pesos"/>
    <d v="2026-12-23T00:00:00"/>
    <s v="29/10/2026"/>
    <n v="0.95262959000000003"/>
    <m/>
    <n v="100000000"/>
    <n v="95262959.230000004"/>
    <n v="100000000"/>
    <n v="95262959.230000004"/>
    <n v="1564"/>
    <s v="AMOMPY"/>
    <s v="Momentum Capital Investment S.A."/>
    <s v="05/10/2026"/>
    <s v="05/10/2026"/>
    <n v="33"/>
    <s v="No"/>
    <s v=""/>
    <m/>
    <m/>
    <s v="*MAV211201162"/>
    <s v="*MAV211201162"/>
    <n v="1.1658896119797158E-3"/>
  </r>
  <r>
    <x v="25"/>
    <s v="Pesos"/>
    <d v="2026-12-23T00:00:00"/>
    <s v="29/10/2026"/>
    <n v="0.96090584999999995"/>
    <m/>
    <n v="10186597.130000001"/>
    <n v="9788360.8000000007"/>
    <n v="10186597.130000001"/>
    <n v="9788360.8000000007"/>
    <n v="54487131"/>
    <s v="AMOMPY"/>
    <s v="Momentum Capital Investment S.A."/>
    <s v="29/10/2026"/>
    <s v="29/10/2026"/>
    <n v="27"/>
    <s v="No"/>
    <s v=""/>
    <m/>
    <m/>
    <s v="*NEU211200027"/>
    <s v="*NEU211200027"/>
    <n v="1.1979628039347713E-4"/>
  </r>
  <r>
    <x v="123"/>
    <s v="Pesos"/>
    <d v="2026-12-23T00:00:00"/>
    <s v="29/10/2026"/>
    <n v="0.95126405000000003"/>
    <m/>
    <n v="4000000"/>
    <n v="3805056.22"/>
    <n v="4000000"/>
    <n v="3805056.22"/>
    <n v="90000055"/>
    <s v="AMOMPY"/>
    <s v="Momentum Capital Investment S.A."/>
    <s v="11/06/2026"/>
    <s v="11/06/2026"/>
    <n v="34"/>
    <s v="No"/>
    <s v=""/>
    <m/>
    <m/>
    <s v="*MAV211200942"/>
    <s v="*MAV211200942"/>
    <n v="4.6568735170046468E-5"/>
  </r>
  <r>
    <x v="429"/>
    <s v="Pesos"/>
    <d v="2026-12-23T00:00:00"/>
    <s v="29/10/2026"/>
    <n v="0.95262964000000006"/>
    <m/>
    <n v="1129289.6499999999"/>
    <n v="1075794.79"/>
    <n v="1129289.6499999999"/>
    <n v="1075794.79"/>
    <n v="247"/>
    <s v="AMOMPY"/>
    <s v="Momentum Capital Investment S.A."/>
    <s v="13/10/2026"/>
    <s v="13/10/2026"/>
    <n v="33"/>
    <s v="No"/>
    <s v=""/>
    <m/>
    <m/>
    <s v="*MAV201201750"/>
    <s v="*MAV201201750"/>
    <n v="1.3166271344297182E-5"/>
  </r>
  <r>
    <x v="430"/>
    <s v="Pesos"/>
    <d v="2026-12-23T00:00:00"/>
    <s v="29/10/2026"/>
    <n v="0.95262964999999999"/>
    <m/>
    <n v="3275889.74"/>
    <n v="3120709.69"/>
    <n v="3275889.74"/>
    <n v="3120709.69"/>
    <n v="607"/>
    <s v="AMOMPY"/>
    <s v="Momentum Capital Investment S.A."/>
    <s v="13/10/2026"/>
    <s v="13/10/2026"/>
    <n v="33"/>
    <s v="No"/>
    <s v=""/>
    <m/>
    <m/>
    <s v="*MAV211201197"/>
    <s v="*MAV211201197"/>
    <n v="3.819326041290602E-5"/>
  </r>
  <r>
    <x v="431"/>
    <s v="Pesos"/>
    <d v="2026-12-23T00:00:00"/>
    <s v="29/10/2026"/>
    <n v="0.95262961000000002"/>
    <m/>
    <n v="1418543.31"/>
    <n v="1351346.36"/>
    <n v="1418543.31"/>
    <n v="1351346.36"/>
    <n v="2126"/>
    <s v="AMOMPY"/>
    <s v="Momentum Capital Investment S.A."/>
    <s v="16/10/2026"/>
    <s v="16/10/2026"/>
    <n v="33"/>
    <s v="No"/>
    <s v=""/>
    <m/>
    <m/>
    <s v="*MAV211201220"/>
    <s v="*MAV211201220"/>
    <n v="1.6538649397891493E-5"/>
  </r>
  <r>
    <x v="432"/>
    <s v="Pesos"/>
    <d v="2026-12-23T00:00:00"/>
    <s v="29/10/2026"/>
    <n v="0.95262959999999997"/>
    <m/>
    <n v="1088222"/>
    <n v="1036672.49"/>
    <n v="1088222"/>
    <n v="1036672.49"/>
    <n v="835"/>
    <s v="AMOMPY"/>
    <s v="Momentum Capital Investment S.A."/>
    <s v="16/10/2026"/>
    <s v="16/10/2026"/>
    <n v="33"/>
    <s v="No"/>
    <s v=""/>
    <m/>
    <m/>
    <s v="*MAV191201392"/>
    <s v="*MAV191201392"/>
    <n v="1.2687467373315878E-5"/>
  </r>
  <r>
    <x v="433"/>
    <s v="Pesos"/>
    <d v="2026-12-23T00:00:00"/>
    <s v="29/10/2026"/>
    <n v="0.95262959000000003"/>
    <m/>
    <n v="290287.13"/>
    <n v="276536.11"/>
    <n v="290287.13"/>
    <n v="276536.11"/>
    <n v="1501"/>
    <s v="AMOMPY"/>
    <s v="Momentum Capital Investment S.A."/>
    <s v="16/10/2026"/>
    <s v="16/10/2026"/>
    <n v="33"/>
    <s v="No"/>
    <s v=""/>
    <m/>
    <m/>
    <s v="*MAV201201764"/>
    <s v="*MAV201201764"/>
    <n v="3.3844274898899756E-6"/>
  </r>
  <r>
    <x v="1"/>
    <s v="Pesos"/>
    <d v="2026-12-23T00:00:00"/>
    <s v="29/10/2026"/>
    <n v="0.95813104000000004"/>
    <m/>
    <n v="10000000"/>
    <n v="9581310.4399999995"/>
    <n v="10000000"/>
    <n v="9581310.4399999995"/>
    <n v="90002277"/>
    <s v="AMOMPY"/>
    <s v="Momentum Capital Investment S.A."/>
    <s v="24/09/2026"/>
    <s v="24/09/2026"/>
    <n v="29"/>
    <s v="No"/>
    <s v=""/>
    <m/>
    <m/>
    <s v="*AFB211200007"/>
    <s v="*AFB211200007"/>
    <n v="1.1726226438314265E-4"/>
  </r>
  <r>
    <x v="393"/>
    <s v="Pesos"/>
    <d v="2026-12-23T00:00:00"/>
    <s v="29/10/2026"/>
    <n v="0.95262961000000002"/>
    <m/>
    <n v="1800000"/>
    <n v="1714733.3"/>
    <n v="1800000"/>
    <n v="1714733.3"/>
    <n v="30000444"/>
    <s v="AMOMPY"/>
    <s v="Momentum Capital Investment S.A."/>
    <s v="16/10/2026"/>
    <s v="16/10/2026"/>
    <n v="33"/>
    <s v="No"/>
    <s v=""/>
    <m/>
    <m/>
    <s v="*MAV191201391"/>
    <s v="*MAV191201391"/>
    <n v="2.098601343003543E-5"/>
  </r>
  <r>
    <x v="182"/>
    <s v="Pesos"/>
    <d v="2026-12-23T00:00:00"/>
    <s v="29/10/2026"/>
    <n v="0.95813106999999997"/>
    <m/>
    <n v="474646.69"/>
    <n v="454773.74"/>
    <n v="474646.69"/>
    <n v="454773.74"/>
    <n v="11204219"/>
    <s v="AMOMPY"/>
    <s v="Momentum Capital Investment S.A."/>
    <s v="23/10/2026"/>
    <s v="23/10/2026"/>
    <n v="29"/>
    <s v="No"/>
    <s v=""/>
    <m/>
    <m/>
    <s v="*MAV191201423"/>
    <s v="*MAV191201423"/>
    <n v="5.5658147044018097E-6"/>
  </r>
  <r>
    <x v="51"/>
    <s v="Pesos"/>
    <d v="2026-12-23T00:00:00"/>
    <s v="29/10/2026"/>
    <n v="0.95262970999999996"/>
    <m/>
    <n v="80000000"/>
    <n v="76210376.900000006"/>
    <n v="80000000"/>
    <n v="76210376.900000006"/>
    <n v="20885"/>
    <s v="AMOMPY"/>
    <s v="Momentum Capital Investment S.A."/>
    <s v="30/09/2026"/>
    <s v="30/09/2026"/>
    <n v="33"/>
    <s v="No"/>
    <s v=""/>
    <m/>
    <m/>
    <s v="*MAV201201711"/>
    <s v="*MAV201201711"/>
    <n v="9.327118060467257E-4"/>
  </r>
  <r>
    <x v="51"/>
    <s v="Pesos"/>
    <d v="2026-12-23T00:00:00"/>
    <s v="29/10/2026"/>
    <n v="0.95399895999999995"/>
    <m/>
    <n v="75000000"/>
    <n v="71549921.900000006"/>
    <n v="75000000"/>
    <n v="71549921.900000006"/>
    <n v="21568"/>
    <s v="AMOMPY"/>
    <s v="Momentum Capital Investment S.A."/>
    <s v="22/10/2026"/>
    <s v="22/10/2026"/>
    <n v="32"/>
    <s v="No"/>
    <s v=""/>
    <m/>
    <m/>
    <s v="*MAV211201322"/>
    <s v="*MAV211201322"/>
    <n v="8.7567414822549146E-4"/>
  </r>
  <r>
    <x v="257"/>
    <s v="Pesos"/>
    <d v="2026-12-23T00:00:00"/>
    <s v="29/10/2026"/>
    <n v="0.95399895999999995"/>
    <m/>
    <n v="62500000"/>
    <n v="59624934.909999996"/>
    <n v="62500000"/>
    <n v="59624934.909999996"/>
    <n v="5765"/>
    <s v="AMOMPY"/>
    <s v="Momentum Capital Investment S.A."/>
    <s v="22/10/2026"/>
    <s v="22/10/2026"/>
    <n v="32"/>
    <s v="No"/>
    <s v=""/>
    <m/>
    <m/>
    <s v="*MAV211201323"/>
    <s v="*MAV211201323"/>
    <n v="7.2972845677298512E-4"/>
  </r>
  <r>
    <x v="53"/>
    <s v="Pesos"/>
    <d v="2026-12-23T00:00:00"/>
    <s v="29/10/2026"/>
    <n v="0.95399895999999995"/>
    <m/>
    <n v="75000000"/>
    <n v="71549921.900000006"/>
    <n v="75000000"/>
    <n v="71549921.900000006"/>
    <n v="583"/>
    <s v="AMOMPY"/>
    <s v="Momentum Capital Investment S.A."/>
    <s v="22/10/2026"/>
    <s v="22/10/2026"/>
    <n v="32"/>
    <s v="No"/>
    <s v=""/>
    <m/>
    <m/>
    <s v="*MAV191201419"/>
    <s v="*MAV191201419"/>
    <n v="8.7567414822549146E-4"/>
  </r>
  <r>
    <x v="0"/>
    <s v="Pesos"/>
    <d v="2026-12-28T00:00:00"/>
    <s v="29/10/2026"/>
    <n v="0.95449797999999997"/>
    <m/>
    <n v="3889452.32"/>
    <n v="3712474.39"/>
    <n v="3889452.32"/>
    <n v="3712474.39"/>
    <n v="9792739"/>
    <s v="AMOMPY"/>
    <s v="Momentum Capital Investment S.A."/>
    <s v="28/10/2026"/>
    <s v="28/10/2026"/>
    <n v="29"/>
    <s v="No"/>
    <s v=""/>
    <m/>
    <m/>
    <s v="*TRD221200028"/>
    <s v="*TRD221200028"/>
    <n v="4.5435658948947099E-5"/>
  </r>
  <r>
    <x v="1"/>
    <s v="Pesos"/>
    <d v="2026-12-28T00:00:00"/>
    <s v="29/10/2026"/>
    <n v="0.95901217000000005"/>
    <m/>
    <n v="20000000"/>
    <n v="19180243.329999998"/>
    <n v="20000000"/>
    <n v="19180243.329999998"/>
    <n v="79700363"/>
    <s v="AMOMPY"/>
    <s v="Momentum Capital Investment S.A."/>
    <s v="20/07/2026"/>
    <s v="20/07/2026"/>
    <n v="26"/>
    <s v="No"/>
    <s v=""/>
    <m/>
    <m/>
    <s v="*AFB221200006"/>
    <s v="*AFB221200006"/>
    <n v="2.3474020368924277E-4"/>
  </r>
  <r>
    <x v="2"/>
    <s v="Pesos"/>
    <d v="2026-12-28T00:00:00"/>
    <s v="29/10/2026"/>
    <n v="0.94412834999999995"/>
    <m/>
    <n v="3105640.28"/>
    <n v="2932123.04"/>
    <n v="3105640.28"/>
    <n v="2932123.04"/>
    <n v="3400"/>
    <s v="AMOMPY"/>
    <s v="Momentum Capital Investment S.A."/>
    <s v="07/09/2026"/>
    <s v="07/09/2026"/>
    <n v="36"/>
    <s v="No"/>
    <s v=""/>
    <m/>
    <m/>
    <s v="*MAV221201291"/>
    <s v="*MAV221201291"/>
    <n v="3.5885215208660327E-5"/>
  </r>
  <r>
    <x v="3"/>
    <s v="Pesos"/>
    <d v="2026-12-28T00:00:00"/>
    <s v="29/10/2026"/>
    <n v="0.95750263000000002"/>
    <m/>
    <n v="250000000"/>
    <n v="239375657.69999999"/>
    <n v="250000000"/>
    <n v="239375657.69999999"/>
    <n v="13199"/>
    <s v="AMOMPY"/>
    <s v="Momentum Capital Investment S.A."/>
    <s v="17/09/2026"/>
    <s v="17/09/2026"/>
    <n v="27"/>
    <s v="No"/>
    <s v=""/>
    <m/>
    <m/>
    <s v="*MOV221200082"/>
    <s v="*MOV221200082"/>
    <n v="2.9296338779422801E-3"/>
  </r>
  <r>
    <x v="0"/>
    <s v="Pesos"/>
    <d v="2026-12-28T00:00:00"/>
    <s v="29/10/2026"/>
    <n v="0.95901212000000002"/>
    <m/>
    <n v="8752704.4100000001"/>
    <n v="8393949.6500000004"/>
    <n v="8752704.4100000001"/>
    <n v="8393949.6500000004"/>
    <n v="69934207"/>
    <s v="AMOMPY"/>
    <s v="Momentum Capital Investment S.A."/>
    <s v="25/09/2026"/>
    <s v="25/09/2026"/>
    <n v="26"/>
    <s v="No"/>
    <s v=""/>
    <m/>
    <m/>
    <s v="*TRD221200026"/>
    <s v="*TRD221200026"/>
    <n v="1.0273057628608553E-4"/>
  </r>
  <r>
    <x v="299"/>
    <s v="Pesos"/>
    <d v="2026-12-28T00:00:00"/>
    <s v="29/10/2026"/>
    <n v="0.95002611999999997"/>
    <m/>
    <n v="1620000"/>
    <n v="1539042.32"/>
    <n v="1620000"/>
    <n v="1539042.32"/>
    <n v="3410388"/>
    <s v="AMOMPY"/>
    <s v="Momentum Capital Investment S.A."/>
    <s v="15/09/2026"/>
    <s v="15/09/2026"/>
    <n v="32"/>
    <s v="No"/>
    <s v=""/>
    <m/>
    <m/>
    <s v="*MAV221201311"/>
    <s v="*MAV221201311"/>
    <n v="1.8835793762746011E-5"/>
  </r>
  <r>
    <x v="55"/>
    <s v="Pesos"/>
    <d v="2026-12-28T00:00:00"/>
    <s v="29/10/2026"/>
    <n v="0.95599798999999996"/>
    <m/>
    <n v="20000000"/>
    <n v="19119959.75"/>
    <n v="20000000"/>
    <n v="19119959.75"/>
    <n v="20411015"/>
    <s v="AMOMPY"/>
    <s v="Momentum Capital Investment S.A."/>
    <s v="02/07/2026"/>
    <s v="02/07/2026"/>
    <n v="28"/>
    <s v="No"/>
    <s v=""/>
    <m/>
    <m/>
    <s v="*PRO221200015"/>
    <s v="*PRO221200015"/>
    <n v="2.3400241430853231E-4"/>
  </r>
  <r>
    <x v="68"/>
    <s v="Pesos"/>
    <d v="2026-12-28T00:00:00"/>
    <s v="29/10/2026"/>
    <n v="0.94854483000000001"/>
    <m/>
    <n v="33500000"/>
    <n v="31776251.760000002"/>
    <n v="33500000"/>
    <n v="31776251.760000002"/>
    <n v="301"/>
    <s v="AMOMPY"/>
    <s v="Momentum Capital Investment S.A."/>
    <s v="23/09/2026"/>
    <s v="23/09/2026"/>
    <n v="33"/>
    <s v="No"/>
    <s v=""/>
    <m/>
    <m/>
    <s v="*MAV221201335"/>
    <s v="*MAV221201335"/>
    <n v="3.8889828884267129E-4"/>
  </r>
  <r>
    <x v="415"/>
    <s v="Pesos"/>
    <d v="2026-12-28T00:00:00"/>
    <s v="29/10/2026"/>
    <n v="0.95300262000000002"/>
    <m/>
    <n v="50000000"/>
    <n v="47650131.219999999"/>
    <n v="50000000"/>
    <n v="47650131.219999999"/>
    <n v="197098"/>
    <s v="AMOMPY"/>
    <s v="Momentum Capital Investment S.A."/>
    <s v="19/08/2026"/>
    <s v="19/08/2026"/>
    <n v="30"/>
    <s v="No"/>
    <s v=""/>
    <m/>
    <m/>
    <s v="*MAV221201242"/>
    <s v="*MAV221201242"/>
    <n v="5.8317307637629156E-4"/>
  </r>
  <r>
    <x v="423"/>
    <s v="Pesos"/>
    <d v="2026-12-28T00:00:00"/>
    <s v="29/10/2026"/>
    <n v="0.95300262000000002"/>
    <m/>
    <n v="50000000"/>
    <n v="47650131.219999999"/>
    <n v="50000000"/>
    <n v="47650131.219999999"/>
    <n v="196471"/>
    <s v="AMOMPY"/>
    <s v="Momentum Capital Investment S.A."/>
    <s v="19/08/2026"/>
    <s v="19/08/2026"/>
    <n v="30"/>
    <s v="No"/>
    <s v=""/>
    <m/>
    <m/>
    <s v="*MAV221201243"/>
    <s v="*MAV221201243"/>
    <n v="5.8317307637629156E-4"/>
  </r>
  <r>
    <x v="398"/>
    <s v="Pesos"/>
    <d v="2026-12-28T00:00:00"/>
    <s v="29/10/2026"/>
    <n v="0.94854468000000003"/>
    <m/>
    <n v="528139.15"/>
    <n v="500963.58"/>
    <n v="528139.15"/>
    <n v="500963.58"/>
    <n v="17709"/>
    <s v="AMOMPY"/>
    <s v="Momentum Capital Investment S.A."/>
    <s v="16/10/2026"/>
    <s v="16/10/2026"/>
    <n v="33"/>
    <s v="No"/>
    <s v=""/>
    <m/>
    <m/>
    <s v="*MAV221201477"/>
    <s v="*MAV221201477"/>
    <n v="6.1311157938313955E-6"/>
  </r>
  <r>
    <x v="171"/>
    <s v="Pesos"/>
    <d v="2026-12-28T00:00:00"/>
    <s v="29/10/2026"/>
    <n v="0.94854472999999995"/>
    <m/>
    <n v="2170000"/>
    <n v="2058342.07"/>
    <n v="2170000"/>
    <n v="2058342.07"/>
    <n v="260748"/>
    <s v="AMOMPY"/>
    <s v="Momentum Capital Investment S.A."/>
    <s v="27/08/2026"/>
    <s v="27/08/2026"/>
    <n v="33"/>
    <s v="No"/>
    <s v=""/>
    <m/>
    <m/>
    <s v="*MAV221201255"/>
    <s v="*MAV221201255"/>
    <n v="2.5191319445786073E-5"/>
  </r>
  <r>
    <x v="302"/>
    <s v="Pesos"/>
    <d v="2026-12-28T00:00:00"/>
    <s v="29/10/2026"/>
    <n v="0.95449812000000001"/>
    <m/>
    <n v="1187961"/>
    <n v="1133906.54"/>
    <n v="1187961"/>
    <n v="1133906.54"/>
    <n v="2597"/>
    <s v="AMOMPY"/>
    <s v="Momentum Capital Investment S.A."/>
    <s v="23/10/2026"/>
    <s v="23/10/2026"/>
    <n v="29"/>
    <s v="No"/>
    <s v=""/>
    <m/>
    <m/>
    <s v="*MAV221201541"/>
    <s v="*MAV221201541"/>
    <n v="1.387748046698866E-5"/>
  </r>
  <r>
    <x v="434"/>
    <s v="Pesos"/>
    <d v="2026-12-28T00:00:00"/>
    <s v="29/10/2026"/>
    <n v="0.94854470000000002"/>
    <m/>
    <n v="1391500"/>
    <n v="1319899.95"/>
    <n v="1391500"/>
    <n v="1319899.95"/>
    <n v="9126"/>
    <s v="AMOMPY"/>
    <s v="Momentum Capital Investment S.A."/>
    <s v="16/10/2026"/>
    <s v="16/10/2026"/>
    <n v="33"/>
    <s v="No"/>
    <s v=""/>
    <m/>
    <m/>
    <s v="*MAV221201475"/>
    <s v="*MAV221201475"/>
    <n v="1.6153787925506019E-5"/>
  </r>
  <r>
    <x v="107"/>
    <s v="Pesos"/>
    <d v="2026-12-28T00:00:00"/>
    <s v="29/10/2026"/>
    <n v="0.94854486000000005"/>
    <m/>
    <n v="706225.7"/>
    <n v="669886.76"/>
    <n v="706225.7"/>
    <n v="669886.76"/>
    <n v="124049"/>
    <s v="AMOMPY"/>
    <s v="Momentum Capital Investment S.A."/>
    <s v="24/09/2026"/>
    <s v="24/09/2026"/>
    <n v="33"/>
    <s v="No"/>
    <s v=""/>
    <m/>
    <m/>
    <s v="*MAV221201349"/>
    <s v="*MAV221201349"/>
    <n v="8.1985067543523649E-6"/>
  </r>
  <r>
    <x v="146"/>
    <s v="Pesos"/>
    <d v="2026-12-28T00:00:00"/>
    <s v="29/10/2026"/>
    <n v="0.95300264000000001"/>
    <m/>
    <n v="15000000"/>
    <n v="14295039.539999999"/>
    <n v="15000000"/>
    <n v="14295039.539999999"/>
    <n v="90004193"/>
    <s v="AMOMPY"/>
    <s v="Momentum Capital Investment S.A."/>
    <s v="21/09/2026"/>
    <s v="21/09/2026"/>
    <n v="30"/>
    <s v="No"/>
    <s v=""/>
    <m/>
    <m/>
    <s v="*MAV221201323"/>
    <s v="*MAV221201323"/>
    <n v="1.7495192504241182E-4"/>
  </r>
  <r>
    <x v="146"/>
    <s v="Pesos"/>
    <d v="2026-12-28T00:00:00"/>
    <s v="29/10/2026"/>
    <n v="0.95300264999999995"/>
    <m/>
    <n v="150000000"/>
    <n v="142950397.47"/>
    <n v="150000000"/>
    <n v="142950397.47"/>
    <n v="90004322"/>
    <s v="AMOMPY"/>
    <s v="Momentum Capital Investment S.A."/>
    <s v="13/10/2026"/>
    <s v="13/10/2026"/>
    <n v="30"/>
    <s v="No"/>
    <s v=""/>
    <m/>
    <m/>
    <s v="*MAV221201446"/>
    <s v="*MAV221201446"/>
    <n v="1.7495192757581151E-3"/>
  </r>
  <r>
    <x v="273"/>
    <s v="Pesos"/>
    <d v="2026-12-28T00:00:00"/>
    <s v="29/10/2026"/>
    <n v="0.94854470000000002"/>
    <m/>
    <n v="4000000"/>
    <n v="3794178.81"/>
    <n v="4000000"/>
    <n v="3794178.81"/>
    <n v="70263469"/>
    <s v="AMOMPY"/>
    <s v="Momentum Capital Investment S.A."/>
    <s v="16/10/2026"/>
    <s v="16/10/2026"/>
    <n v="33"/>
    <s v="No"/>
    <s v=""/>
    <m/>
    <m/>
    <s v="*MAV221201476"/>
    <s v="*MAV221201476"/>
    <n v="4.6435610402279955E-5"/>
  </r>
  <r>
    <x v="336"/>
    <s v="Pesos"/>
    <d v="2026-12-28T00:00:00"/>
    <s v="29/10/2026"/>
    <n v="0.94854477000000004"/>
    <m/>
    <n v="9356284.2599999998"/>
    <n v="8874854.4700000007"/>
    <n v="9356284.2599999998"/>
    <n v="8874854.4700000007"/>
    <n v="90002090"/>
    <s v="AMOMPY"/>
    <s v="Momentum Capital Investment S.A."/>
    <s v="06/08/2026"/>
    <s v="06/08/2026"/>
    <n v="33"/>
    <s v="No"/>
    <s v=""/>
    <m/>
    <m/>
    <s v="*MAV221201236"/>
    <s v="*MAV221201236"/>
    <n v="1.0861620002191009E-4"/>
  </r>
  <r>
    <x v="231"/>
    <s v="Pesos"/>
    <d v="2026-12-28T00:00:00"/>
    <s v="29/10/2026"/>
    <n v="0.95300280000000004"/>
    <m/>
    <n v="4175312.5"/>
    <n v="3979084.49"/>
    <n v="4175312.5"/>
    <n v="3979084.49"/>
    <n v="40952795"/>
    <s v="AMOMPY"/>
    <s v="Momentum Capital Investment S.A."/>
    <s v="19/10/2026"/>
    <s v="19/10/2026"/>
    <n v="30"/>
    <s v="No"/>
    <s v=""/>
    <m/>
    <m/>
    <s v="*MAV221201487"/>
    <s v="*MAV221201487"/>
    <n v="4.869860551864577E-5"/>
  </r>
  <r>
    <x v="304"/>
    <s v="Pesos"/>
    <d v="2026-12-28T00:00:00"/>
    <s v="29/10/2026"/>
    <n v="0.94854490999999996"/>
    <m/>
    <n v="5368571.43"/>
    <n v="5092331.08"/>
    <n v="5368571.43"/>
    <n v="5092331.08"/>
    <n v="467"/>
    <s v="AMOMPY"/>
    <s v="Momentum Capital Investment S.A."/>
    <s v="26/10/2026"/>
    <s v="26/10/2026"/>
    <n v="33"/>
    <s v="No"/>
    <s v=""/>
    <m/>
    <m/>
    <s v="*MAV221201550"/>
    <s v="*MAV221201550"/>
    <n v="6.2323236176183678E-5"/>
  </r>
  <r>
    <x v="354"/>
    <s v="Pesos"/>
    <d v="2026-12-28T00:00:00"/>
    <s v="29/10/2026"/>
    <n v="0.94854483000000001"/>
    <m/>
    <n v="25000000"/>
    <n v="23713620.719999999"/>
    <n v="25000000"/>
    <n v="23713620.719999999"/>
    <n v="4298"/>
    <s v="AMOMPY"/>
    <s v="Momentum Capital Investment S.A."/>
    <s v="23/09/2026"/>
    <s v="23/09/2026"/>
    <n v="33"/>
    <s v="No"/>
    <s v=""/>
    <m/>
    <m/>
    <s v="*MAV221201341"/>
    <s v="*MAV221201341"/>
    <n v="2.902226036577737E-4"/>
  </r>
  <r>
    <x v="58"/>
    <s v="Pesos"/>
    <d v="2026-12-28T00:00:00"/>
    <s v="29/10/2026"/>
    <n v="0.94120691999999995"/>
    <m/>
    <n v="162700000"/>
    <n v="153134365.36000001"/>
    <n v="162700000"/>
    <n v="153134365.36000001"/>
    <n v="70424989"/>
    <s v="AMOMPY"/>
    <s v="Momentum Capital Investment S.A."/>
    <s v="21/10/2026"/>
    <s v="21/10/2026"/>
    <n v="38"/>
    <s v="No"/>
    <s v=""/>
    <m/>
    <m/>
    <s v="*MAV221201509"/>
    <s v="*MAV221201509"/>
    <n v="1.8741572511858913E-3"/>
  </r>
  <r>
    <x v="58"/>
    <s v="Pesos"/>
    <d v="2026-12-28T00:00:00"/>
    <s v="29/10/2026"/>
    <n v="0.94120709000000002"/>
    <m/>
    <n v="325000000"/>
    <n v="305892303.82999998"/>
    <n v="325000000"/>
    <n v="305892303.82999998"/>
    <n v="70427225"/>
    <s v="AMOMPY"/>
    <s v="Momentum Capital Investment S.A."/>
    <s v="23/10/2026"/>
    <s v="23/10/2026"/>
    <n v="38"/>
    <s v="No"/>
    <s v=""/>
    <m/>
    <m/>
    <s v="*MAV221201547"/>
    <s v="*MAV221201547"/>
    <n v="3.7437075470108717E-3"/>
  </r>
  <r>
    <x v="40"/>
    <s v="Pesos"/>
    <d v="2026-12-28T00:00:00"/>
    <s v="29/10/2026"/>
    <n v="0.94854486999999998"/>
    <m/>
    <n v="6500000"/>
    <n v="6165541.6799999997"/>
    <n v="6500000"/>
    <n v="6165541.6799999997"/>
    <n v="40797003"/>
    <s v="AMOMPY"/>
    <s v="Momentum Capital Investment S.A."/>
    <s v="15/10/2026"/>
    <s v="15/10/2026"/>
    <n v="33"/>
    <s v="No"/>
    <s v=""/>
    <m/>
    <m/>
    <s v="*MAV221201465"/>
    <s v="*MAV221201465"/>
    <n v="7.5457880534496641E-5"/>
  </r>
  <r>
    <x v="44"/>
    <s v="Pesos"/>
    <d v="2026-12-28T00:00:00"/>
    <s v="29/10/2026"/>
    <n v="0.94854488000000003"/>
    <m/>
    <n v="12500000"/>
    <n v="11856810.99"/>
    <n v="12500000"/>
    <n v="11856810.99"/>
    <n v="14651822"/>
    <s v="AMOMPY"/>
    <s v="Momentum Capital Investment S.A."/>
    <s v="01/10/2026"/>
    <s v="01/10/2026"/>
    <n v="33"/>
    <s v="No"/>
    <s v=""/>
    <m/>
    <m/>
    <s v="*MAV221201390"/>
    <s v="*MAV221201390"/>
    <n v="1.451113095392337E-4"/>
  </r>
  <r>
    <x v="277"/>
    <s v="Pesos"/>
    <d v="2026-12-28T00:00:00"/>
    <s v="29/10/2026"/>
    <n v="0.94559599999999999"/>
    <m/>
    <n v="85000000"/>
    <n v="80375659.790000007"/>
    <n v="85000000"/>
    <n v="80375659.790000007"/>
    <n v="1254"/>
    <s v="AMOMPY"/>
    <s v="Momentum Capital Investment S.A."/>
    <s v="16/09/2026"/>
    <s v="16/09/2026"/>
    <n v="35"/>
    <s v="No"/>
    <s v=""/>
    <m/>
    <m/>
    <s v="*MAV221201313"/>
    <s v="*MAV221201313"/>
    <n v="9.8368922782388307E-4"/>
  </r>
  <r>
    <x v="277"/>
    <s v="Pesos"/>
    <d v="2026-12-28T00:00:00"/>
    <s v="29/10/2026"/>
    <n v="0.94559599000000005"/>
    <m/>
    <n v="115000000"/>
    <n v="108743539.03"/>
    <n v="115000000"/>
    <n v="108743539.03"/>
    <n v="1414"/>
    <s v="AMOMPY"/>
    <s v="Momentum Capital Investment S.A."/>
    <s v="23/09/2026"/>
    <s v="23/09/2026"/>
    <n v="35"/>
    <s v="No"/>
    <s v=""/>
    <m/>
    <m/>
    <s v="*MAV221201342"/>
    <s v="*MAV221201342"/>
    <n v="1.3308736527792176E-3"/>
  </r>
  <r>
    <x v="92"/>
    <s v="Pesos"/>
    <d v="2026-12-28T00:00:00"/>
    <s v="29/10/2026"/>
    <n v="0.95599794999999999"/>
    <m/>
    <n v="40000000"/>
    <n v="38239918.170000002"/>
    <n v="40000000"/>
    <n v="38239918.170000002"/>
    <n v="54029683"/>
    <s v="AMOMPY"/>
    <s v="Momentum Capital Investment S.A."/>
    <s v="18/09/2026"/>
    <s v="18/09/2026"/>
    <n v="28"/>
    <s v="No"/>
    <s v=""/>
    <m/>
    <m/>
    <s v="*FID221200054"/>
    <s v="*FID221200054"/>
    <n v="4.680048123396658E-4"/>
  </r>
  <r>
    <x v="393"/>
    <s v="Pesos"/>
    <d v="2026-12-28T00:00:00"/>
    <s v="29/10/2026"/>
    <n v="0.94854470999999996"/>
    <m/>
    <n v="1800000"/>
    <n v="1707380.47"/>
    <n v="1800000"/>
    <n v="1707380.47"/>
    <n v="30000445"/>
    <s v="AMOMPY"/>
    <s v="Momentum Capital Investment S.A."/>
    <s v="16/10/2026"/>
    <s v="16/10/2026"/>
    <n v="33"/>
    <s v="No"/>
    <s v=""/>
    <m/>
    <m/>
    <s v="*MAV221201474"/>
    <s v="*MAV221201474"/>
    <n v="2.0896024748338532E-5"/>
  </r>
  <r>
    <x v="51"/>
    <s v="Pesos"/>
    <d v="2026-12-28T00:00:00"/>
    <s v="29/10/2026"/>
    <n v="0.94854470999999996"/>
    <m/>
    <n v="60000000"/>
    <n v="56912682.710000001"/>
    <n v="60000000"/>
    <n v="56912682.710000001"/>
    <n v="20865"/>
    <s v="AMOMPY"/>
    <s v="Momentum Capital Investment S.A."/>
    <s v="28/09/2026"/>
    <s v="28/09/2026"/>
    <n v="33"/>
    <s v="No"/>
    <s v=""/>
    <m/>
    <m/>
    <s v="*MAV221201373"/>
    <s v="*MAV221201373"/>
    <n v="6.9653416288784097E-4"/>
  </r>
  <r>
    <x v="257"/>
    <s v="Pesos"/>
    <d v="2026-12-28T00:00:00"/>
    <s v="29/10/2026"/>
    <n v="0.95002606000000001"/>
    <m/>
    <n v="50000000"/>
    <n v="47501303.039999999"/>
    <n v="50000000"/>
    <n v="47501303.039999999"/>
    <n v="5464"/>
    <s v="AMOMPY"/>
    <s v="Momentum Capital Investment S.A."/>
    <s v="02/10/2026"/>
    <s v="02/10/2026"/>
    <n v="32"/>
    <s v="No"/>
    <s v=""/>
    <m/>
    <m/>
    <s v="*MAV221201397"/>
    <s v="*MAV221201397"/>
    <n v="5.8135162100229974E-4"/>
  </r>
  <r>
    <x v="0"/>
    <s v="Pesos"/>
    <d v="2026-12-29T00:00:00"/>
    <s v="29/10/2026"/>
    <n v="0.95377460000000003"/>
    <m/>
    <n v="4000000"/>
    <n v="3815098.39"/>
    <n v="4000000"/>
    <n v="3815098.39"/>
    <n v="9792740"/>
    <s v="AMOMPY"/>
    <s v="Momentum Capital Investment S.A."/>
    <s v="28/10/2026"/>
    <s v="28/10/2026"/>
    <n v="29"/>
    <s v="No"/>
    <s v=""/>
    <m/>
    <m/>
    <s v="*TRD231200035"/>
    <s v="*TRD231200035"/>
    <n v="4.6691637731329148E-5"/>
  </r>
  <r>
    <x v="2"/>
    <s v="Pesos"/>
    <d v="2026-12-29T00:00:00"/>
    <s v="29/10/2026"/>
    <n v="0.94324995"/>
    <m/>
    <n v="3105640.28"/>
    <n v="2929395.04"/>
    <n v="3105640.28"/>
    <n v="2929395.04"/>
    <n v="3401"/>
    <s v="AMOMPY"/>
    <s v="Momentum Capital Investment S.A."/>
    <s v="07/09/2026"/>
    <s v="07/09/2026"/>
    <n v="36"/>
    <s v="No"/>
    <s v=""/>
    <m/>
    <m/>
    <s v="*MAV231201331"/>
    <s v="*MAV231201331"/>
    <n v="3.5851828183029499E-5"/>
  </r>
  <r>
    <x v="54"/>
    <s v="Pesos"/>
    <d v="2026-12-29T00:00:00"/>
    <s v="29/10/2026"/>
    <n v="0.95225683999999999"/>
    <m/>
    <n v="18000000"/>
    <n v="17140623.190000001"/>
    <n v="18000000"/>
    <n v="17140623.190000001"/>
    <n v="40200423"/>
    <s v="AMOMPY"/>
    <s v="Momentum Capital Investment S.A."/>
    <s v="17/09/2026"/>
    <s v="17/09/2026"/>
    <n v="30"/>
    <s v="No"/>
    <s v=""/>
    <m/>
    <m/>
    <s v="*INP231200109"/>
    <s v="*INP231200109"/>
    <n v="2.0977801531265342E-4"/>
  </r>
  <r>
    <x v="171"/>
    <s v="Pesos"/>
    <d v="2026-12-29T00:00:00"/>
    <s v="29/10/2026"/>
    <n v="0.94773194000000005"/>
    <m/>
    <n v="2170000"/>
    <n v="2056578.3"/>
    <n v="2170000"/>
    <n v="2056578.3"/>
    <n v="260749"/>
    <s v="AMOMPY"/>
    <s v="Momentum Capital Investment S.A."/>
    <s v="27/08/2026"/>
    <s v="27/08/2026"/>
    <n v="33"/>
    <s v="No"/>
    <s v=""/>
    <m/>
    <m/>
    <s v="*MAV231201312"/>
    <s v="*MAV231201312"/>
    <n v="2.5169733289555544E-5"/>
  </r>
  <r>
    <x v="423"/>
    <s v="Pesos"/>
    <d v="2026-12-29T00:00:00"/>
    <s v="29/10/2026"/>
    <n v="0.95225682"/>
    <m/>
    <n v="50000000"/>
    <n v="47612841.130000003"/>
    <n v="50000000"/>
    <n v="47612841.130000003"/>
    <n v="196469"/>
    <s v="AMOMPY"/>
    <s v="Momentum Capital Investment S.A."/>
    <s v="19/08/2026"/>
    <s v="19/08/2026"/>
    <n v="30"/>
    <s v="No"/>
    <s v=""/>
    <m/>
    <m/>
    <s v="*MAV231201296"/>
    <s v="*MAV231201296"/>
    <n v="5.8271669617445657E-4"/>
  </r>
  <r>
    <x v="398"/>
    <s v="Pesos"/>
    <d v="2026-12-29T00:00:00"/>
    <s v="29/10/2026"/>
    <n v="0.94773213000000001"/>
    <m/>
    <n v="528139.15"/>
    <n v="500534.44"/>
    <n v="528139.15"/>
    <n v="500534.44"/>
    <n v="17710"/>
    <s v="AMOMPY"/>
    <s v="Momentum Capital Investment S.A."/>
    <s v="16/10/2026"/>
    <s v="16/10/2026"/>
    <n v="33"/>
    <s v="No"/>
    <s v=""/>
    <m/>
    <m/>
    <s v="*MAV231201513"/>
    <s v="*MAV231201513"/>
    <n v="6.1258637013903344E-6"/>
  </r>
  <r>
    <x v="302"/>
    <s v="Pesos"/>
    <d v="2026-12-29T00:00:00"/>
    <s v="29/10/2026"/>
    <n v="0.95377473999999995"/>
    <m/>
    <n v="1187961"/>
    <n v="1133047.2"/>
    <n v="1187961"/>
    <n v="1133047.2"/>
    <n v="2598"/>
    <s v="AMOMPY"/>
    <s v="Momentum Capital Investment S.A."/>
    <s v="23/10/2026"/>
    <s v="23/10/2026"/>
    <n v="29"/>
    <s v="No"/>
    <s v=""/>
    <m/>
    <m/>
    <s v="*MAV231201564"/>
    <s v="*MAV231201564"/>
    <n v="1.3866963309142031E-5"/>
  </r>
  <r>
    <x v="107"/>
    <s v="Pesos"/>
    <d v="2026-12-29T00:00:00"/>
    <s v="29/10/2026"/>
    <n v="0.94473925999999997"/>
    <m/>
    <n v="1447208.21"/>
    <n v="1367234.41"/>
    <n v="1447208.21"/>
    <n v="1367234.41"/>
    <n v="128338"/>
    <s v="AMOMPY"/>
    <s v="Momentum Capital Investment S.A."/>
    <s v="21/10/2026"/>
    <s v="21/10/2026"/>
    <n v="35"/>
    <s v="No"/>
    <s v=""/>
    <m/>
    <m/>
    <s v="*MAV231201545"/>
    <s v="*MAV231201545"/>
    <n v="1.6733097613644385E-5"/>
  </r>
  <r>
    <x v="303"/>
    <s v="Pesos"/>
    <d v="2026-12-29T00:00:00"/>
    <s v="29/10/2026"/>
    <n v="0.94773196000000004"/>
    <m/>
    <n v="20000194"/>
    <n v="18954823.120000001"/>
    <n v="20000194"/>
    <n v="18954823.120000001"/>
    <n v="733"/>
    <s v="AMOMPY"/>
    <s v="Momentum Capital Investment S.A."/>
    <s v="24/08/2026"/>
    <s v="24/08/2026"/>
    <n v="33"/>
    <s v="No"/>
    <s v=""/>
    <m/>
    <m/>
    <s v="*MAV231201306"/>
    <s v="*MAV231201306"/>
    <n v="2.3198136559211049E-4"/>
  </r>
  <r>
    <x v="200"/>
    <s v="Pesos"/>
    <d v="2026-12-29T00:00:00"/>
    <s v="29/10/2026"/>
    <n v="0.95377478000000004"/>
    <m/>
    <n v="3388903.56"/>
    <n v="3232250.76"/>
    <n v="3388903.56"/>
    <n v="3232250.76"/>
    <n v="10174820"/>
    <s v="AMOMPY"/>
    <s v="Momentum Capital Investment S.A."/>
    <s v="27/10/2026"/>
    <s v="27/10/2026"/>
    <n v="29"/>
    <s v="No"/>
    <s v=""/>
    <m/>
    <m/>
    <s v="*MAV231201588"/>
    <s v="*MAV231201588"/>
    <n v="3.9558372056227179E-5"/>
  </r>
  <r>
    <x v="40"/>
    <s v="Pesos"/>
    <d v="2026-12-29T00:00:00"/>
    <s v="29/10/2026"/>
    <n v="0.94773204"/>
    <m/>
    <n v="6500000"/>
    <n v="6160258.29"/>
    <n v="6500000"/>
    <n v="6160258.29"/>
    <n v="40797004"/>
    <s v="AMOMPY"/>
    <s v="Momentum Capital Investment S.A."/>
    <s v="15/10/2026"/>
    <s v="15/10/2026"/>
    <n v="33"/>
    <s v="No"/>
    <s v=""/>
    <m/>
    <m/>
    <s v="*MAV231201504"/>
    <s v="*MAV231201504"/>
    <n v="7.539321899587947E-5"/>
  </r>
  <r>
    <x v="44"/>
    <s v="Pesos"/>
    <d v="2026-12-29T00:00:00"/>
    <s v="29/10/2026"/>
    <n v="0.94923553000000005"/>
    <m/>
    <n v="11000000"/>
    <n v="10441590.859999999"/>
    <n v="11000000"/>
    <n v="10441590.859999999"/>
    <n v="14651802"/>
    <s v="AMOMPY"/>
    <s v="Momentum Capital Investment S.A."/>
    <s v="01/10/2026"/>
    <s v="01/10/2026"/>
    <n v="32"/>
    <s v="No"/>
    <s v=""/>
    <m/>
    <m/>
    <s v="*MAV231201416"/>
    <s v="*MAV231201416"/>
    <n v="1.2779093169701386E-4"/>
  </r>
  <r>
    <x v="435"/>
    <s v="Pesos"/>
    <d v="2026-12-29T00:00:00"/>
    <s v="29/10/2026"/>
    <n v="0.94623323999999998"/>
    <m/>
    <n v="9718046.9299999997"/>
    <n v="9195539.0299999993"/>
    <n v="9718046.9299999997"/>
    <n v="9195539.0299999993"/>
    <n v="863"/>
    <s v="AMOMPY"/>
    <s v="Momentum Capital Investment S.A."/>
    <s v="21/10/2026"/>
    <s v="21/10/2026"/>
    <n v="34"/>
    <s v="No"/>
    <s v=""/>
    <m/>
    <m/>
    <s v="*MAV231201544"/>
    <s v="*MAV231201544"/>
    <n v="1.1254094475216347E-4"/>
  </r>
  <r>
    <x v="436"/>
    <s v="Pesos"/>
    <d v="2026-12-29T00:00:00"/>
    <s v="29/10/2026"/>
    <n v="0.94773215"/>
    <m/>
    <n v="10000000"/>
    <n v="9477321.4800000004"/>
    <n v="10000000"/>
    <n v="9477321.4800000004"/>
    <n v="32719"/>
    <s v="AMOMPY"/>
    <s v="Momentum Capital Investment S.A."/>
    <s v="13/10/2026"/>
    <s v="13/10/2026"/>
    <n v="33"/>
    <s v="No"/>
    <s v=""/>
    <m/>
    <m/>
    <s v="*MAV231201489"/>
    <s v="*MAV231201489"/>
    <n v="1.1598958033884526E-4"/>
  </r>
  <r>
    <x v="436"/>
    <s v="Pesos"/>
    <d v="2026-12-29T00:00:00"/>
    <s v="29/10/2026"/>
    <n v="0.94773215"/>
    <m/>
    <n v="10000000"/>
    <n v="9477321.4800000004"/>
    <n v="10000000"/>
    <n v="9477321.4800000004"/>
    <n v="33707"/>
    <s v="AMOMPY"/>
    <s v="Momentum Capital Investment S.A."/>
    <s v="13/10/2026"/>
    <s v="13/10/2026"/>
    <n v="33"/>
    <s v="No"/>
    <s v=""/>
    <m/>
    <m/>
    <s v="*MAV231201488"/>
    <s v="*MAV231201488"/>
    <n v="1.1598958033884526E-4"/>
  </r>
  <r>
    <x v="1"/>
    <s v="Pesos"/>
    <d v="2026-12-29T00:00:00"/>
    <s v="29/10/2026"/>
    <n v="0.95835745999999999"/>
    <m/>
    <n v="20000000"/>
    <n v="19167149.140000001"/>
    <n v="20000000"/>
    <n v="19167149.140000001"/>
    <n v="79700364"/>
    <s v="AMOMPY"/>
    <s v="Momentum Capital Investment S.A."/>
    <s v="20/07/2026"/>
    <s v="20/07/2026"/>
    <n v="26"/>
    <s v="No"/>
    <s v=""/>
    <m/>
    <m/>
    <s v="*AFB231200009"/>
    <s v="*AFB231200009"/>
    <n v="2.345799485363304E-4"/>
  </r>
  <r>
    <x v="310"/>
    <s v="Pesos"/>
    <d v="2026-12-29T00:00:00"/>
    <s v="29/10/2026"/>
    <n v="0.95225673"/>
    <m/>
    <n v="3535037.55"/>
    <n v="3366263.29"/>
    <n v="3535037.55"/>
    <n v="3366263.29"/>
    <n v="3658347"/>
    <s v="AMOMPY"/>
    <s v="Momentum Capital Investment S.A."/>
    <s v="29/09/2026"/>
    <s v="29/09/2026"/>
    <n v="30"/>
    <s v="No"/>
    <s v=""/>
    <m/>
    <m/>
    <s v="*MAV231201411"/>
    <s v="*MAV231201411"/>
    <n v="4.1198503938178168E-5"/>
  </r>
  <r>
    <x v="0"/>
    <s v="Pesos"/>
    <d v="2026-12-30T00:00:00"/>
    <s v="29/10/2026"/>
    <n v="0.95459786000000002"/>
    <m/>
    <n v="5000000"/>
    <n v="4772989.29"/>
    <n v="5000000"/>
    <n v="4772989.29"/>
    <n v="15"/>
    <s v="AMOMPY"/>
    <s v="Momentum Capital Investment S.A."/>
    <s v="21/09/2026"/>
    <s v="21/09/2026"/>
    <n v="28"/>
    <s v="No"/>
    <s v=""/>
    <m/>
    <m/>
    <s v="*TRD261200033"/>
    <s v="*TRD261200033"/>
    <n v="5.8414925132296237E-5"/>
  </r>
  <r>
    <x v="295"/>
    <s v="Pesos"/>
    <d v="2026-12-30T00:00:00"/>
    <s v="29/10/2026"/>
    <n v="0.94997666000000003"/>
    <m/>
    <n v="47373027.109999999"/>
    <n v="45003270.079999998"/>
    <n v="47373027.109999999"/>
    <n v="45003270.079999998"/>
    <n v="11412588"/>
    <s v="AMOMPY"/>
    <s v="Momentum Capital Investment S.A."/>
    <s v="17/09/2026"/>
    <s v="17/09/2026"/>
    <n v="31"/>
    <s v="No"/>
    <s v=""/>
    <m/>
    <m/>
    <s v="*MAV271201293"/>
    <s v="*MAV271201293"/>
    <n v="5.5077908051029954E-4"/>
  </r>
  <r>
    <x v="236"/>
    <s v="Pesos"/>
    <d v="2026-12-30T00:00:00"/>
    <s v="29/10/2026"/>
    <n v="0.95151204"/>
    <m/>
    <n v="38000000"/>
    <n v="36157457.549999997"/>
    <n v="38000000"/>
    <n v="36157457.549999997"/>
    <n v="52836"/>
    <s v="AMOMPY"/>
    <s v="Momentum Capital Investment S.A."/>
    <s v="26/10/2026"/>
    <s v="26/10/2026"/>
    <n v="30"/>
    <s v="No"/>
    <s v=""/>
    <m/>
    <m/>
    <s v="*MAV241200696"/>
    <s v="*MAV241200696"/>
    <n v="4.4251831450420646E-4"/>
  </r>
  <r>
    <x v="236"/>
    <s v="Pesos"/>
    <d v="2026-12-30T00:00:00"/>
    <s v="29/10/2026"/>
    <n v="0.95151204"/>
    <m/>
    <n v="63000000"/>
    <n v="59945258.579999998"/>
    <n v="63000000"/>
    <n v="59945258.579999998"/>
    <n v="52837"/>
    <s v="AMOMPY"/>
    <s v="Momentum Capital Investment S.A."/>
    <s v="26/10/2026"/>
    <s v="26/10/2026"/>
    <n v="30"/>
    <s v="No"/>
    <s v=""/>
    <m/>
    <m/>
    <s v="*MAV281201329"/>
    <s v="*MAV281201329"/>
    <n v="7.3364878469837057E-4"/>
  </r>
  <r>
    <x v="236"/>
    <s v="Pesos"/>
    <d v="2026-12-30T00:00:00"/>
    <s v="29/10/2026"/>
    <n v="0.95151205999999999"/>
    <m/>
    <n v="27000000"/>
    <n v="25690825.52"/>
    <n v="27000000"/>
    <n v="25690825.52"/>
    <n v="52502"/>
    <s v="AMOMPY"/>
    <s v="Momentum Capital Investment S.A."/>
    <s v="19/10/2026"/>
    <s v="19/10/2026"/>
    <n v="30"/>
    <s v="No"/>
    <s v=""/>
    <m/>
    <m/>
    <s v="*MAV251200566"/>
    <s v="*MAV251200566"/>
    <n v="3.1442091279816918E-4"/>
  </r>
  <r>
    <x v="236"/>
    <s v="Pesos"/>
    <d v="2026-12-30T00:00:00"/>
    <s v="29/10/2026"/>
    <n v="0.95151200999999996"/>
    <m/>
    <n v="10000000"/>
    <n v="9515120.1500000004"/>
    <n v="10000000"/>
    <n v="9515120.1500000004"/>
    <n v="52710"/>
    <s v="AMOMPY"/>
    <s v="Momentum Capital Investment S.A."/>
    <s v="22/10/2026"/>
    <s v="22/10/2026"/>
    <n v="30"/>
    <s v="No"/>
    <s v=""/>
    <m/>
    <m/>
    <s v="*MAV281201282"/>
    <s v="*MAV281201282"/>
    <n v="1.1645218487114044E-4"/>
  </r>
  <r>
    <x v="437"/>
    <s v="Pesos"/>
    <d v="2026-12-30T00:00:00"/>
    <s v="29/10/2026"/>
    <n v="0.94692072999999999"/>
    <m/>
    <n v="5000000"/>
    <n v="4734603.66"/>
    <n v="5000000"/>
    <n v="4734603.66"/>
    <n v="354"/>
    <s v="AMOMPY"/>
    <s v="Momentum Capital Investment S.A."/>
    <s v="22/09/2026"/>
    <s v="22/09/2026"/>
    <n v="33"/>
    <s v="No"/>
    <s v=""/>
    <m/>
    <m/>
    <s v="*MAV281201037"/>
    <s v="*MAV281201037"/>
    <n v="5.7945137004486296E-5"/>
  </r>
  <r>
    <x v="331"/>
    <s v="Pesos"/>
    <d v="2026-12-30T00:00:00"/>
    <s v="29/10/2026"/>
    <n v="0.94997661"/>
    <m/>
    <n v="1112906.07"/>
    <n v="1057234.73"/>
    <n v="1112906.07"/>
    <n v="1057234.73"/>
    <n v="877"/>
    <s v="AMOMPY"/>
    <s v="Momentum Capital Investment S.A."/>
    <s v="23/09/2026"/>
    <s v="23/09/2026"/>
    <n v="31"/>
    <s v="No"/>
    <s v=""/>
    <m/>
    <m/>
    <s v="*MAV271201294"/>
    <s v="*MAV271201294"/>
    <n v="1.2939121344689509E-5"/>
  </r>
  <r>
    <x v="259"/>
    <s v="Pesos"/>
    <d v="2026-12-30T00:00:00"/>
    <s v="29/10/2026"/>
    <n v="0.95305247000000004"/>
    <m/>
    <n v="2409020.25"/>
    <n v="2295922.69"/>
    <n v="2409020.25"/>
    <n v="2295922.69"/>
    <n v="3971"/>
    <s v="AMOMPY"/>
    <s v="Momentum Capital Investment S.A."/>
    <s v="23/10/2026"/>
    <s v="23/10/2026"/>
    <n v="29"/>
    <s v="No"/>
    <s v=""/>
    <m/>
    <m/>
    <s v="*MAV271201347"/>
    <s v="*MAV271201347"/>
    <n v="2.809898449319382E-5"/>
  </r>
  <r>
    <x v="3"/>
    <s v="Pesos"/>
    <d v="2026-12-30T00:00:00"/>
    <s v="29/10/2026"/>
    <n v="0.95614834000000004"/>
    <m/>
    <n v="20000000"/>
    <n v="19122966.879999999"/>
    <n v="20000000"/>
    <n v="19122966.879999999"/>
    <n v="68"/>
    <s v="AMOMPY"/>
    <s v="Momentum Capital Investment S.A."/>
    <s v="28/10/2026"/>
    <s v="28/10/2026"/>
    <n v="27"/>
    <s v="No"/>
    <s v=""/>
    <m/>
    <m/>
    <s v="*MOV271200068"/>
    <s v="*MOV271200068"/>
    <n v="2.3403921750735386E-4"/>
  </r>
  <r>
    <x v="3"/>
    <s v="Pesos"/>
    <d v="2026-12-30T00:00:00"/>
    <s v="29/10/2026"/>
    <n v="0.95614834000000004"/>
    <m/>
    <n v="10000000"/>
    <n v="9561483.4399999995"/>
    <n v="10000000"/>
    <n v="9561483.4399999995"/>
    <n v="69"/>
    <s v="AMOMPY"/>
    <s v="Momentum Capital Investment S.A."/>
    <s v="28/10/2026"/>
    <s v="28/10/2026"/>
    <n v="27"/>
    <s v="No"/>
    <s v=""/>
    <m/>
    <m/>
    <s v="*MOV271200066"/>
    <s v="*MOV271200066"/>
    <n v="1.1701960875367693E-4"/>
  </r>
  <r>
    <x v="3"/>
    <s v="Pesos"/>
    <d v="2026-12-30T00:00:00"/>
    <s v="29/10/2026"/>
    <n v="0.95614834000000004"/>
    <m/>
    <n v="20000000"/>
    <n v="19122966.879999999"/>
    <n v="20000000"/>
    <n v="19122966.879999999"/>
    <n v="67"/>
    <s v="AMOMPY"/>
    <s v="Momentum Capital Investment S.A."/>
    <s v="28/10/2026"/>
    <s v="28/10/2026"/>
    <n v="27"/>
    <s v="No"/>
    <s v=""/>
    <m/>
    <m/>
    <s v="*MOV271200067"/>
    <s v="*MOV271200067"/>
    <n v="2.3403921750735386E-4"/>
  </r>
  <r>
    <x v="4"/>
    <s v="Pesos"/>
    <d v="2026-12-30T00:00:00"/>
    <s v="29/10/2026"/>
    <n v="0.94844625000000005"/>
    <m/>
    <n v="6535955.1799999997"/>
    <n v="6199002.1900000004"/>
    <n v="6535955.1799999997"/>
    <n v="6199002.1900000004"/>
    <n v="30000340"/>
    <s v="AMOMPY"/>
    <s v="Momentum Capital Investment S.A."/>
    <s v="04/09/2026"/>
    <s v="04/09/2026"/>
    <n v="32"/>
    <s v="No"/>
    <s v=""/>
    <m/>
    <m/>
    <s v="*MAV261201586"/>
    <s v="*MAV261201586"/>
    <n v="7.5867391863305528E-5"/>
  </r>
  <r>
    <x v="4"/>
    <s v="Pesos"/>
    <d v="2026-12-30T00:00:00"/>
    <s v="29/10/2026"/>
    <n v="0.94388424999999998"/>
    <m/>
    <n v="24325173.129999999"/>
    <n v="22960147.890000001"/>
    <n v="24325173.129999999"/>
    <n v="22960147.890000001"/>
    <n v="30000680"/>
    <s v="AMOMPY"/>
    <s v="Momentum Capital Investment S.A."/>
    <s v="23/10/2026"/>
    <s v="23/10/2026"/>
    <n v="35"/>
    <s v="No"/>
    <s v=""/>
    <m/>
    <m/>
    <s v="*MAV261201676"/>
    <s v="*MAV261201676"/>
    <n v="2.8100111660229587E-4"/>
  </r>
  <r>
    <x v="168"/>
    <s v="Pesos"/>
    <d v="2026-12-30T00:00:00"/>
    <s v="29/10/2026"/>
    <n v="0.94844614999999999"/>
    <m/>
    <n v="4000000"/>
    <n v="3793784.58"/>
    <n v="4000000"/>
    <n v="3793784.58"/>
    <n v="725"/>
    <s v="AMOMPY"/>
    <s v="Momentum Capital Investment S.A."/>
    <s v="16/09/2026"/>
    <s v="16/09/2026"/>
    <n v="32"/>
    <s v="No"/>
    <s v=""/>
    <m/>
    <m/>
    <s v="*MAV251200472"/>
    <s v="*MAV251200472"/>
    <n v="4.643078556096235E-5"/>
  </r>
  <r>
    <x v="6"/>
    <s v="Pesos"/>
    <d v="2026-12-30T00:00:00"/>
    <s v="29/10/2026"/>
    <n v="0.95461331000000005"/>
    <m/>
    <n v="293930"/>
    <n v="280589.49"/>
    <n v="293930"/>
    <n v="280589.49"/>
    <n v="667"/>
    <s v="AMOMPY"/>
    <s v="Momentum Capital Investment S.A."/>
    <s v="16/10/2026"/>
    <s v="16/10/2026"/>
    <n v="27.99"/>
    <s v="No"/>
    <s v=""/>
    <m/>
    <m/>
    <s v="*CRE251200096"/>
    <s v="*CRE251200096"/>
    <n v="3.434035371837003E-6"/>
  </r>
  <r>
    <x v="6"/>
    <s v="Pesos"/>
    <d v="2026-12-30T00:00:00"/>
    <s v="29/10/2026"/>
    <n v="0.95461335999999997"/>
    <m/>
    <n v="1622690.32"/>
    <n v="1549041.85"/>
    <n v="1622690.32"/>
    <n v="1549041.85"/>
    <n v="674301"/>
    <s v="AMOMPY"/>
    <s v="Momentum Capital Investment S.A."/>
    <s v="16/10/2026"/>
    <s v="16/10/2026"/>
    <n v="27.99"/>
    <s v="No"/>
    <s v=""/>
    <m/>
    <m/>
    <s v="*CRE261200184"/>
    <s v="*CRE261200184"/>
    <n v="1.8958174468173521E-5"/>
  </r>
  <r>
    <x v="6"/>
    <s v="Pesos"/>
    <d v="2026-12-30T00:00:00"/>
    <s v="29/10/2026"/>
    <n v="0.95461333999999998"/>
    <m/>
    <n v="2532171"/>
    <n v="2417244.21"/>
    <n v="2532171"/>
    <n v="2417244.21"/>
    <n v="894"/>
    <s v="AMOMPY"/>
    <s v="Momentum Capital Investment S.A."/>
    <s v="16/10/2026"/>
    <s v="16/10/2026"/>
    <n v="27.99"/>
    <s v="No"/>
    <s v=""/>
    <m/>
    <m/>
    <s v="*CRE251200097"/>
    <s v="*CRE251200097"/>
    <n v="2.958379559942959E-5"/>
  </r>
  <r>
    <x v="6"/>
    <s v="Pesos"/>
    <d v="2026-12-30T00:00:00"/>
    <s v="29/10/2026"/>
    <n v="0.95459780999999999"/>
    <m/>
    <n v="2750000"/>
    <n v="2625143.98"/>
    <n v="2750000"/>
    <n v="2625143.98"/>
    <n v="1769518"/>
    <s v="AMOMPY"/>
    <s v="Momentum Capital Investment S.A."/>
    <s v="08/10/2026"/>
    <s v="08/10/2026"/>
    <n v="28"/>
    <s v="No"/>
    <s v=""/>
    <m/>
    <m/>
    <s v="*CRE261200178"/>
    <s v="*CRE261200178"/>
    <n v="3.2128207237858304E-5"/>
  </r>
  <r>
    <x v="55"/>
    <s v="Pesos"/>
    <d v="2026-12-30T00:00:00"/>
    <s v="29/10/2026"/>
    <n v="0.9561482"/>
    <m/>
    <n v="3400000"/>
    <n v="3250903.88"/>
    <n v="3400000"/>
    <n v="3250903.88"/>
    <n v="68062415"/>
    <s v="AMOMPY"/>
    <s v="Momentum Capital Investment S.A."/>
    <s v="06/07/2026"/>
    <s v="06/07/2026"/>
    <n v="27"/>
    <s v="No"/>
    <s v=""/>
    <m/>
    <m/>
    <s v="*PRO281200007"/>
    <s v="*PRO281200007"/>
    <n v="3.9786660984209195E-5"/>
  </r>
  <r>
    <x v="395"/>
    <s v="Pesos"/>
    <d v="2026-12-30T00:00:00"/>
    <s v="29/10/2026"/>
    <n v="0.95305242999999995"/>
    <m/>
    <n v="14000000"/>
    <n v="13342733.949999999"/>
    <n v="14000000"/>
    <n v="13342733.949999999"/>
    <n v="119"/>
    <s v="AMOMPY"/>
    <s v="Momentum Capital Investment S.A."/>
    <s v="06/07/2026"/>
    <s v="06/07/2026"/>
    <n v="29"/>
    <s v="No"/>
    <s v=""/>
    <m/>
    <m/>
    <s v="*CUY241200018"/>
    <s v="*CUY241200018"/>
    <n v="1.6329699427198951E-4"/>
  </r>
  <r>
    <x v="54"/>
    <s v="Pesos"/>
    <d v="2026-12-30T00:00:00"/>
    <s v="29/10/2026"/>
    <n v="0.95151202999999995"/>
    <m/>
    <n v="10000000"/>
    <n v="9515120.2899999991"/>
    <n v="10000000"/>
    <n v="9515120.2899999991"/>
    <n v="1328672"/>
    <s v="AMOMPY"/>
    <s v="Momentum Capital Investment S.A."/>
    <s v="16/09/2026"/>
    <s v="16/09/2026"/>
    <n v="30"/>
    <s v="No"/>
    <s v=""/>
    <m/>
    <m/>
    <s v="*INP281200047"/>
    <s v="*INP281200047"/>
    <n v="1.1645218658455083E-4"/>
  </r>
  <r>
    <x v="353"/>
    <s v="Pesos"/>
    <d v="2026-12-30T00:00:00"/>
    <s v="29/10/2026"/>
    <n v="0.95151198999999997"/>
    <m/>
    <n v="17500000"/>
    <n v="16651459.91"/>
    <n v="17500000"/>
    <n v="16651459.91"/>
    <n v="459"/>
    <s v="AMOMPY"/>
    <s v="Momentum Capital Investment S.A."/>
    <s v="29/10/2026"/>
    <s v="29/10/2026"/>
    <n v="30"/>
    <s v="No"/>
    <s v=""/>
    <m/>
    <m/>
    <s v="*MAV281201383"/>
    <s v="*MAV281201383"/>
    <n v="2.0379131921037313E-4"/>
  </r>
  <r>
    <x v="353"/>
    <s v="Pesos"/>
    <d v="2026-12-30T00:00:00"/>
    <s v="29/10/2026"/>
    <n v="0.94844622999999995"/>
    <m/>
    <n v="12500000"/>
    <n v="11855577.890000001"/>
    <n v="12500000"/>
    <n v="11855577.890000001"/>
    <n v="380"/>
    <s v="AMOMPY"/>
    <s v="Momentum Capital Investment S.A."/>
    <s v="02/10/2026"/>
    <s v="02/10/2026"/>
    <n v="32"/>
    <s v="No"/>
    <s v=""/>
    <m/>
    <m/>
    <s v="*MAV281201132"/>
    <s v="*MAV281201132"/>
    <n v="1.4509621806514815E-4"/>
  </r>
  <r>
    <x v="34"/>
    <s v="Pesos"/>
    <d v="2026-12-30T00:00:00"/>
    <s v="29/10/2026"/>
    <n v="0.94692063000000004"/>
    <m/>
    <n v="95000000"/>
    <n v="89957460.090000004"/>
    <n v="95000000"/>
    <n v="89957460.090000004"/>
    <n v="3104"/>
    <s v="AMOMPY"/>
    <s v="Momentum Capital Investment S.A."/>
    <s v="01/10/2026"/>
    <s v="01/10/2026"/>
    <n v="33"/>
    <s v="No"/>
    <s v=""/>
    <m/>
    <m/>
    <s v="*MAV271201309"/>
    <s v="*MAV271201309"/>
    <n v="1.1009574874300372E-3"/>
  </r>
  <r>
    <x v="287"/>
    <s v="Pesos"/>
    <d v="2026-12-30T00:00:00"/>
    <s v="29/10/2026"/>
    <n v="0.95459784000000003"/>
    <m/>
    <n v="50000000"/>
    <n v="47729891.939999998"/>
    <n v="50000000"/>
    <n v="47729891.939999998"/>
    <n v="40665395"/>
    <s v="AMOMPY"/>
    <s v="Momentum Capital Investment S.A."/>
    <s v="05/08/2026"/>
    <s v="05/08/2026"/>
    <n v="28"/>
    <s v="No"/>
    <s v=""/>
    <m/>
    <m/>
    <s v="*MAV251200437"/>
    <s v="*MAV251200437"/>
    <n v="5.8414923957386244E-4"/>
  </r>
  <r>
    <x v="174"/>
    <s v="Pesos"/>
    <d v="2026-12-30T00:00:00"/>
    <s v="29/10/2026"/>
    <n v="0.94844631999999995"/>
    <m/>
    <n v="7360000"/>
    <n v="6980564.8899999997"/>
    <n v="7360000"/>
    <n v="6980564.8899999997"/>
    <n v="14822330"/>
    <s v="AMOMPY"/>
    <s v="Momentum Capital Investment S.A."/>
    <s v="28/10/2026"/>
    <s v="28/10/2026"/>
    <n v="32"/>
    <s v="No"/>
    <s v=""/>
    <m/>
    <m/>
    <s v="*MAV281201361"/>
    <s v="*MAV281201361"/>
    <n v="8.5432660887132581E-5"/>
  </r>
  <r>
    <x v="8"/>
    <s v="Pesos"/>
    <d v="2026-12-30T00:00:00"/>
    <s v="29/10/2026"/>
    <n v="0.94692056999999996"/>
    <m/>
    <n v="5000000"/>
    <n v="4734602.87"/>
    <n v="5000000"/>
    <n v="4734602.87"/>
    <n v="70108218"/>
    <s v="AMOMPY"/>
    <s v="Momentum Capital Investment S.A."/>
    <s v="30/09/2026"/>
    <s v="30/09/2026"/>
    <n v="33"/>
    <s v="No"/>
    <s v=""/>
    <m/>
    <m/>
    <s v="*MAV281201108"/>
    <s v="*MAV281201108"/>
    <n v="5.7945127335956146E-5"/>
  </r>
  <r>
    <x v="438"/>
    <s v="Pesos"/>
    <d v="2026-12-30T00:00:00"/>
    <s v="29/10/2026"/>
    <n v="0.94844613"/>
    <m/>
    <n v="20000000"/>
    <n v="18968922.640000001"/>
    <n v="20000000"/>
    <n v="18968922.640000001"/>
    <n v="53980"/>
    <s v="AMOMPY"/>
    <s v="Momentum Capital Investment S.A."/>
    <s v="14/08/2026"/>
    <s v="14/08/2026"/>
    <n v="32"/>
    <s v="No"/>
    <s v=""/>
    <m/>
    <m/>
    <s v="*MAV281200965"/>
    <s v="*MAV281200965"/>
    <n v="2.3215392462276385E-4"/>
  </r>
  <r>
    <x v="423"/>
    <s v="Pesos"/>
    <d v="2026-12-30T00:00:00"/>
    <s v="29/10/2026"/>
    <n v="0.95151205999999999"/>
    <m/>
    <n v="50000000"/>
    <n v="47575603.119999997"/>
    <n v="50000000"/>
    <n v="47575603.119999997"/>
    <n v="196468"/>
    <s v="AMOMPY"/>
    <s v="Momentum Capital Investment S.A."/>
    <s v="19/08/2026"/>
    <s v="19/08/2026"/>
    <n v="30"/>
    <s v="No"/>
    <s v=""/>
    <m/>
    <m/>
    <s v="*MAV281200966"/>
    <s v="*MAV281200966"/>
    <n v="5.8226095336129261E-4"/>
  </r>
  <r>
    <x v="439"/>
    <s v="Pesos"/>
    <d v="2026-12-30T00:00:00"/>
    <s v="29/10/2026"/>
    <n v="0.94086729000000002"/>
    <m/>
    <n v="25000000"/>
    <n v="23521682.300000001"/>
    <n v="25000000"/>
    <n v="23521682.300000001"/>
    <n v="40"/>
    <s v="AMOMPY"/>
    <s v="Momentum Capital Investment S.A."/>
    <s v="24/08/2026"/>
    <s v="24/08/2026"/>
    <n v="37"/>
    <s v="No"/>
    <s v=""/>
    <m/>
    <m/>
    <s v="*MAV271201280"/>
    <s v="*MAV271201280"/>
    <n v="2.8787353732783204E-4"/>
  </r>
  <r>
    <x v="10"/>
    <s v="Pesos"/>
    <d v="2026-12-30T00:00:00"/>
    <s v="29/10/2026"/>
    <n v="0.95151207999999998"/>
    <m/>
    <n v="50000000"/>
    <n v="47575603.969999999"/>
    <n v="50000000"/>
    <n v="47575603.969999999"/>
    <n v="68015"/>
    <s v="AMOMPY"/>
    <s v="Momentum Capital Investment S.A."/>
    <s v="29/07/2026"/>
    <s v="29/07/2026"/>
    <n v="30"/>
    <s v="No"/>
    <s v=""/>
    <m/>
    <m/>
    <s v="*MAV281200955"/>
    <s v="*MAV281200955"/>
    <n v="5.8226096376414154E-4"/>
  </r>
  <r>
    <x v="440"/>
    <s v="Pesos"/>
    <d v="2026-12-30T00:00:00"/>
    <s v="29/10/2026"/>
    <n v="0.94692063000000004"/>
    <m/>
    <n v="200942.1"/>
    <n v="190276.22"/>
    <n v="200942.1"/>
    <n v="190276.22"/>
    <n v="6686920"/>
    <s v="AMOMPY"/>
    <s v="Momentum Capital Investment S.A."/>
    <s v="16/10/2026"/>
    <s v="16/10/2026"/>
    <n v="33"/>
    <s v="No"/>
    <s v=""/>
    <m/>
    <m/>
    <s v="*MAV241200661"/>
    <s v="*MAV241200661"/>
    <n v="2.3287232529608982E-6"/>
  </r>
  <r>
    <x v="39"/>
    <s v="Pesos"/>
    <d v="2026-12-30T00:00:00"/>
    <s v="29/10/2026"/>
    <n v="0.94844616999999998"/>
    <m/>
    <n v="766335.31"/>
    <n v="726827.79"/>
    <n v="766335.31"/>
    <n v="726827.79"/>
    <n v="50492552"/>
    <s v="AMOMPY"/>
    <s v="Momentum Capital Investment S.A."/>
    <s v="05/10/2026"/>
    <s v="05/10/2026"/>
    <n v="32"/>
    <s v="No"/>
    <s v=""/>
    <m/>
    <m/>
    <s v="*MAV281201142"/>
    <s v="*MAV281201142"/>
    <n v="8.8953878496807475E-6"/>
  </r>
  <r>
    <x v="398"/>
    <s v="Pesos"/>
    <d v="2026-12-30T00:00:00"/>
    <s v="29/10/2026"/>
    <n v="0.94692065999999997"/>
    <m/>
    <n v="528139.15"/>
    <n v="500105.87"/>
    <n v="528139.15"/>
    <n v="500105.87"/>
    <n v="17713"/>
    <s v="AMOMPY"/>
    <s v="Momentum Capital Investment S.A."/>
    <s v="16/10/2026"/>
    <s v="16/10/2026"/>
    <n v="33"/>
    <s v="No"/>
    <s v=""/>
    <m/>
    <m/>
    <s v="*MAV281201234"/>
    <s v="*MAV281201234"/>
    <n v="6.1206185849773557E-6"/>
  </r>
  <r>
    <x v="398"/>
    <s v="Pesos"/>
    <d v="2026-12-30T00:00:00"/>
    <s v="29/10/2026"/>
    <n v="0.94692065999999997"/>
    <m/>
    <n v="528139.15"/>
    <n v="500105.87"/>
    <n v="528139.15"/>
    <n v="500105.87"/>
    <n v="17712"/>
    <s v="AMOMPY"/>
    <s v="Momentum Capital Investment S.A."/>
    <s v="16/10/2026"/>
    <s v="16/10/2026"/>
    <n v="33"/>
    <s v="No"/>
    <s v=""/>
    <m/>
    <m/>
    <s v="*MAV251200557"/>
    <s v="*MAV251200557"/>
    <n v="6.1206185849773557E-6"/>
  </r>
  <r>
    <x v="398"/>
    <s v="Pesos"/>
    <d v="2026-12-30T00:00:00"/>
    <s v="29/10/2026"/>
    <n v="0.94692065999999997"/>
    <m/>
    <n v="528139.15"/>
    <n v="500105.87"/>
    <n v="528139.15"/>
    <n v="500105.87"/>
    <n v="17711"/>
    <s v="AMOMPY"/>
    <s v="Momentum Capital Investment S.A."/>
    <s v="16/10/2026"/>
    <s v="16/10/2026"/>
    <n v="33"/>
    <s v="No"/>
    <s v=""/>
    <m/>
    <m/>
    <s v="*MAV241200663"/>
    <s v="*MAV241200663"/>
    <n v="6.1206185849773557E-6"/>
  </r>
  <r>
    <x v="171"/>
    <s v="Pesos"/>
    <d v="2026-12-30T00:00:00"/>
    <s v="29/10/2026"/>
    <n v="0.94692065999999997"/>
    <m/>
    <n v="2170000"/>
    <n v="2054817.84"/>
    <n v="2170000"/>
    <n v="2054817.84"/>
    <n v="260750"/>
    <s v="AMOMPY"/>
    <s v="Momentum Capital Investment S.A."/>
    <s v="27/08/2026"/>
    <s v="27/08/2026"/>
    <n v="33"/>
    <s v="No"/>
    <s v=""/>
    <m/>
    <m/>
    <s v="*MAV281200981"/>
    <s v="*MAV281200981"/>
    <n v="2.5148187643242474E-5"/>
  </r>
  <r>
    <x v="441"/>
    <s v="Pesos"/>
    <d v="2026-12-30T00:00:00"/>
    <s v="29/10/2026"/>
    <n v="0.94997662999999999"/>
    <m/>
    <n v="25000000"/>
    <n v="23749415.629999999"/>
    <n v="25000000"/>
    <n v="23749415.629999999"/>
    <n v="14384930"/>
    <s v="AMOMPY"/>
    <s v="Momentum Capital Investment S.A."/>
    <s v="09/09/2026"/>
    <s v="09/09/2026"/>
    <n v="31"/>
    <s v="No"/>
    <s v=""/>
    <m/>
    <m/>
    <s v="*MAV281201013"/>
    <s v="*MAV281201013"/>
    <n v="2.9066068488124263E-4"/>
  </r>
  <r>
    <x v="302"/>
    <s v="Pesos"/>
    <d v="2026-12-30T00:00:00"/>
    <s v="29/10/2026"/>
    <n v="0.95305245999999999"/>
    <m/>
    <n v="1187964.1299999999"/>
    <n v="1132192.1399999999"/>
    <n v="1187964.1299999999"/>
    <n v="1132192.1399999999"/>
    <n v="2599"/>
    <s v="AMOMPY"/>
    <s v="Momentum Capital Investment S.A."/>
    <s v="23/10/2026"/>
    <s v="23/10/2026"/>
    <n v="29"/>
    <s v="No"/>
    <s v=""/>
    <m/>
    <m/>
    <s v="*MAV261201677"/>
    <s v="*MAV261201677"/>
    <n v="1.3856498532699254E-5"/>
  </r>
  <r>
    <x v="377"/>
    <s v="Pesos"/>
    <d v="2026-12-30T00:00:00"/>
    <s v="29/10/2026"/>
    <n v="0.94692056000000002"/>
    <m/>
    <n v="2481010"/>
    <n v="2349319.39"/>
    <n v="2481010"/>
    <n v="2349319.39"/>
    <n v="80218018"/>
    <s v="AMOMPY"/>
    <s v="Momentum Capital Investment S.A."/>
    <s v="29/10/2026"/>
    <s v="29/10/2026"/>
    <n v="33"/>
    <s v="No"/>
    <s v=""/>
    <m/>
    <m/>
    <s v="*MAV261201709"/>
    <s v="*MAV261201709"/>
    <n v="2.8752487789198846E-5"/>
  </r>
  <r>
    <x v="261"/>
    <s v="Pesos"/>
    <d v="2026-12-30T00:00:00"/>
    <s v="29/10/2026"/>
    <n v="0.94692072999999999"/>
    <m/>
    <n v="11666666.67"/>
    <n v="11047408.470000001"/>
    <n v="11666666.67"/>
    <n v="11047408.470000001"/>
    <n v="69879082"/>
    <s v="AMOMPY"/>
    <s v="Momentum Capital Investment S.A."/>
    <s v="22/09/2026"/>
    <s v="22/09/2026"/>
    <n v="33"/>
    <s v="No"/>
    <s v=""/>
    <m/>
    <m/>
    <s v="*MAV261201603"/>
    <s v="*MAV261201603"/>
    <n v="1.3520531882042948E-4"/>
  </r>
  <r>
    <x v="107"/>
    <s v="Pesos"/>
    <d v="2026-12-30T00:00:00"/>
    <s v="29/10/2026"/>
    <n v="0.94540009999999997"/>
    <m/>
    <n v="215553.52"/>
    <n v="203784.32000000001"/>
    <n v="215553.52"/>
    <n v="203784.32000000001"/>
    <n v="30107610"/>
    <s v="AMOMPY"/>
    <s v="Momentum Capital Investment S.A."/>
    <s v="28/10/2026"/>
    <s v="28/10/2026"/>
    <n v="34"/>
    <s v="No"/>
    <s v=""/>
    <m/>
    <m/>
    <s v="*MAV281201350"/>
    <s v="*MAV281201350"/>
    <n v="2.4940441037394197E-6"/>
  </r>
  <r>
    <x v="107"/>
    <s v="Pesos"/>
    <d v="2026-12-30T00:00:00"/>
    <s v="29/10/2026"/>
    <n v="0.94540007000000004"/>
    <m/>
    <n v="361280.85"/>
    <n v="341554.94"/>
    <n v="361280.85"/>
    <n v="341554.94"/>
    <n v="30106873"/>
    <s v="AMOMPY"/>
    <s v="Momentum Capital Investment S.A."/>
    <s v="27/10/2026"/>
    <s v="27/10/2026"/>
    <n v="34"/>
    <s v="No"/>
    <s v=""/>
    <m/>
    <m/>
    <s v="*MAV281201336"/>
    <s v="*MAV281201336"/>
    <n v="4.1801699179312291E-6"/>
  </r>
  <r>
    <x v="107"/>
    <s v="Pesos"/>
    <d v="2026-12-30T00:00:00"/>
    <s v="29/10/2026"/>
    <n v="0.94692074000000004"/>
    <m/>
    <n v="204483.81"/>
    <n v="193629.96"/>
    <n v="204483.81"/>
    <n v="193629.96"/>
    <n v="124583"/>
    <s v="AMOMPY"/>
    <s v="Momentum Capital Investment S.A."/>
    <s v="29/09/2026"/>
    <s v="29/09/2026"/>
    <n v="33"/>
    <s v="No"/>
    <s v=""/>
    <m/>
    <m/>
    <s v="*MAV281201088"/>
    <s v="*MAV281201088"/>
    <n v="2.3697684887890279E-6"/>
  </r>
  <r>
    <x v="146"/>
    <s v="Pesos"/>
    <d v="2026-12-30T00:00:00"/>
    <s v="29/10/2026"/>
    <n v="0.95151209000000003"/>
    <m/>
    <n v="15000000"/>
    <n v="14272681.4"/>
    <n v="15000000"/>
    <n v="14272681.4"/>
    <n v="90004194"/>
    <s v="AMOMPY"/>
    <s v="Momentum Capital Investment S.A."/>
    <s v="21/09/2026"/>
    <s v="21/09/2026"/>
    <n v="30"/>
    <s v="No"/>
    <s v=""/>
    <m/>
    <m/>
    <s v="*MAV261201602"/>
    <s v="*MAV261201602"/>
    <n v="1.7467829168711944E-4"/>
  </r>
  <r>
    <x v="442"/>
    <s v="Pesos"/>
    <d v="2026-12-30T00:00:00"/>
    <s v="29/10/2026"/>
    <n v="0.94692065999999997"/>
    <m/>
    <n v="6438423.1600000001"/>
    <n v="6096675.9299999997"/>
    <n v="6438423.1600000001"/>
    <n v="6096675.9299999997"/>
    <n v="9916415"/>
    <s v="AMOMPY"/>
    <s v="Momentum Capital Investment S.A."/>
    <s v="23/10/2026"/>
    <s v="23/10/2026"/>
    <n v="33"/>
    <s v="No"/>
    <s v=""/>
    <m/>
    <m/>
    <s v="*MAV261201679"/>
    <s v="*MAV261201679"/>
    <n v="7.4615057015311786E-5"/>
  </r>
  <r>
    <x v="273"/>
    <s v="Pesos"/>
    <d v="2026-12-30T00:00:00"/>
    <s v="29/10/2026"/>
    <n v="0.94692067000000002"/>
    <m/>
    <n v="4000000"/>
    <n v="3787682.69"/>
    <n v="4000000"/>
    <n v="3787682.69"/>
    <n v="70263505"/>
    <s v="AMOMPY"/>
    <s v="Momentum Capital Investment S.A."/>
    <s v="16/10/2026"/>
    <s v="16/10/2026"/>
    <n v="33"/>
    <s v="No"/>
    <s v=""/>
    <m/>
    <m/>
    <s v="*MAV281201237"/>
    <s v="*MAV281201237"/>
    <n v="4.6356106690791342E-5"/>
  </r>
  <r>
    <x v="406"/>
    <s v="Pesos"/>
    <d v="2026-12-30T00:00:00"/>
    <s v="29/10/2026"/>
    <n v="0.94692067999999996"/>
    <m/>
    <n v="1341000"/>
    <n v="1269820.6299999999"/>
    <n v="1341000"/>
    <n v="1269820.6299999999"/>
    <n v="90003567"/>
    <s v="AMOMPY"/>
    <s v="Momentum Capital Investment S.A."/>
    <s v="16/10/2026"/>
    <s v="16/10/2026"/>
    <n v="33"/>
    <s v="No"/>
    <s v=""/>
    <m/>
    <m/>
    <s v="*MAV281201224"/>
    <s v="*MAV281201224"/>
    <n v="1.5540884868169321E-5"/>
  </r>
  <r>
    <x v="406"/>
    <s v="Pesos"/>
    <d v="2026-12-30T00:00:00"/>
    <s v="29/10/2026"/>
    <n v="0.94692067000000002"/>
    <m/>
    <n v="149000"/>
    <n v="141091.18"/>
    <n v="149000"/>
    <n v="141091.18"/>
    <n v="90003555"/>
    <s v="AMOMPY"/>
    <s v="Momentum Capital Investment S.A."/>
    <s v="16/10/2026"/>
    <s v="16/10/2026"/>
    <n v="33"/>
    <s v="No"/>
    <s v=""/>
    <m/>
    <m/>
    <s v="*MAV281201223"/>
    <s v="*MAV281201223"/>
    <n v="1.7267649717536516E-6"/>
  </r>
  <r>
    <x v="80"/>
    <s v="Pesos"/>
    <d v="2026-12-30T00:00:00"/>
    <s v="29/10/2026"/>
    <n v="0.95305247000000004"/>
    <m/>
    <n v="2500000"/>
    <n v="2382631.17"/>
    <n v="2500000"/>
    <n v="2382631.17"/>
    <n v="367"/>
    <s v="AMOMPY"/>
    <s v="Momentum Capital Investment S.A."/>
    <s v="23/10/2026"/>
    <s v="23/10/2026"/>
    <n v="29"/>
    <s v="No"/>
    <s v=""/>
    <m/>
    <m/>
    <s v="*MAV251200595"/>
    <s v="*MAV251200595"/>
    <n v="2.9160178864223971E-5"/>
  </r>
  <r>
    <x v="231"/>
    <s v="Pesos"/>
    <d v="2026-12-30T00:00:00"/>
    <s v="29/10/2026"/>
    <n v="0.95151205999999999"/>
    <m/>
    <n v="4175312.5"/>
    <n v="3972860.18"/>
    <n v="4175312.5"/>
    <n v="3972860.18"/>
    <n v="40952807"/>
    <s v="AMOMPY"/>
    <s v="Momentum Capital Investment S.A."/>
    <s v="19/10/2026"/>
    <s v="19/10/2026"/>
    <n v="30"/>
    <s v="No"/>
    <s v=""/>
    <m/>
    <m/>
    <s v="*MAV241200671"/>
    <s v="*MAV241200671"/>
    <n v="4.862242839346094E-5"/>
  </r>
  <r>
    <x v="443"/>
    <s v="Pesos"/>
    <d v="2026-12-30T00:00:00"/>
    <s v="29/10/2026"/>
    <n v="0.94540014000000006"/>
    <m/>
    <n v="19131395.420000002"/>
    <n v="18086823.890000001"/>
    <n v="19131395.420000002"/>
    <n v="18086823.890000001"/>
    <n v="281"/>
    <s v="AMOMPY"/>
    <s v="Momentum Capital Investment S.A."/>
    <s v="28/10/2026"/>
    <s v="28/10/2026"/>
    <n v="34"/>
    <s v="No"/>
    <s v=""/>
    <m/>
    <m/>
    <s v="*MAV281201356"/>
    <s v="*MAV281201356"/>
    <n v="2.2135823049696746E-4"/>
  </r>
  <r>
    <x v="444"/>
    <s v="Pesos"/>
    <d v="2026-12-30T00:00:00"/>
    <s v="29/10/2026"/>
    <n v="0.94540014000000006"/>
    <m/>
    <n v="12701545.390000001"/>
    <n v="12008042.77"/>
    <n v="12701545.390000001"/>
    <n v="12008042.77"/>
    <n v="138"/>
    <s v="AMOMPY"/>
    <s v="Momentum Capital Investment S.A."/>
    <s v="28/10/2026"/>
    <s v="28/10/2026"/>
    <n v="34"/>
    <s v="No"/>
    <s v=""/>
    <m/>
    <m/>
    <s v="*MAV281201365"/>
    <s v="*MAV281201365"/>
    <n v="1.4696218172217208E-4"/>
  </r>
  <r>
    <x v="339"/>
    <s v="Pesos"/>
    <d v="2026-12-30T00:00:00"/>
    <s v="29/10/2026"/>
    <n v="0.95151198999999997"/>
    <m/>
    <n v="25254118.149999999"/>
    <n v="24029596.34"/>
    <n v="25254118.149999999"/>
    <n v="24029596.34"/>
    <n v="920"/>
    <s v="AMOMPY"/>
    <s v="Momentum Capital Investment S.A."/>
    <s v="29/10/2026"/>
    <s v="29/10/2026"/>
    <n v="30"/>
    <s v="No"/>
    <s v=""/>
    <m/>
    <m/>
    <s v="*MAV281201384"/>
    <s v="*MAV281201384"/>
    <n v="2.9408971733946624E-4"/>
  </r>
  <r>
    <x v="354"/>
    <s v="Pesos"/>
    <d v="2026-12-30T00:00:00"/>
    <s v="29/10/2026"/>
    <n v="0.94692058999999995"/>
    <m/>
    <n v="25000000"/>
    <n v="23673014.75"/>
    <n v="25000000"/>
    <n v="23673014.75"/>
    <n v="4299"/>
    <s v="AMOMPY"/>
    <s v="Momentum Capital Investment S.A."/>
    <s v="23/09/2026"/>
    <s v="23/09/2026"/>
    <n v="33"/>
    <s v="No"/>
    <s v=""/>
    <m/>
    <m/>
    <s v="*MAV241200596"/>
    <s v="*MAV241200596"/>
    <n v="2.8972564157523902E-4"/>
  </r>
  <r>
    <x v="82"/>
    <s v="Pesos"/>
    <d v="2026-12-30T00:00:00"/>
    <s v="29/10/2026"/>
    <n v="0.95151211000000002"/>
    <m/>
    <n v="200000000"/>
    <n v="190302421.69999999"/>
    <n v="200000000"/>
    <n v="190302421.69999999"/>
    <n v="7007"/>
    <s v="AMOMPY"/>
    <s v="Momentum Capital Investment S.A."/>
    <s v="02/10/2026"/>
    <s v="02/10/2026"/>
    <n v="30"/>
    <s v="No"/>
    <s v=""/>
    <m/>
    <m/>
    <s v="*MAV281201133"/>
    <s v="*MAV281201133"/>
    <n v="2.3290439262854843E-3"/>
  </r>
  <r>
    <x v="306"/>
    <s v="Pesos"/>
    <d v="2026-12-30T00:00:00"/>
    <s v="29/10/2026"/>
    <n v="0.94844616000000004"/>
    <m/>
    <n v="661730"/>
    <n v="627615.28"/>
    <n v="661730"/>
    <n v="627615.28"/>
    <n v="1253"/>
    <s v="AMOMPY"/>
    <s v="Momentum Capital Investment S.A."/>
    <s v="01/10/2026"/>
    <s v="01/10/2026"/>
    <n v="32"/>
    <s v="No"/>
    <s v=""/>
    <m/>
    <m/>
    <s v="*MAV241200613"/>
    <s v="*MAV241200613"/>
    <n v="7.6811610849194137E-6"/>
  </r>
  <r>
    <x v="178"/>
    <s v="Pesos"/>
    <d v="2026-12-30T00:00:00"/>
    <s v="29/10/2026"/>
    <n v="0.94692058999999995"/>
    <m/>
    <n v="37250000"/>
    <n v="35272791.909999996"/>
    <n v="37250000"/>
    <n v="35272791.909999996"/>
    <n v="9827965"/>
    <s v="AMOMPY"/>
    <s v="Momentum Capital Investment S.A."/>
    <s v="22/10/2026"/>
    <s v="22/10/2026"/>
    <n v="33"/>
    <s v="No"/>
    <s v=""/>
    <m/>
    <m/>
    <s v="*MAV261201675"/>
    <s v="*MAV261201675"/>
    <n v="4.316912051209975E-4"/>
  </r>
  <r>
    <x v="58"/>
    <s v="Pesos"/>
    <d v="2026-12-30T00:00:00"/>
    <s v="29/10/2026"/>
    <n v="0.93936611000000003"/>
    <m/>
    <n v="267500000"/>
    <n v="251280433.88999999"/>
    <n v="267500000"/>
    <n v="251280433.88999999"/>
    <n v="70427241"/>
    <s v="AMOMPY"/>
    <s v="Momentum Capital Investment S.A."/>
    <s v="28/10/2026"/>
    <s v="28/10/2026"/>
    <n v="38"/>
    <s v="No"/>
    <s v=""/>
    <m/>
    <m/>
    <s v="*MAV281201364"/>
    <s v="*MAV281201364"/>
    <n v="3.0753322165730785E-3"/>
  </r>
  <r>
    <x v="58"/>
    <s v="Pesos"/>
    <d v="2026-12-30T00:00:00"/>
    <s v="29/10/2026"/>
    <n v="0.93936598000000004"/>
    <m/>
    <n v="283000000"/>
    <n v="265840571.24000001"/>
    <n v="283000000"/>
    <n v="265840571.24000001"/>
    <n v="70427226"/>
    <s v="AMOMPY"/>
    <s v="Momentum Capital Investment S.A."/>
    <s v="23/10/2026"/>
    <s v="23/10/2026"/>
    <n v="38"/>
    <s v="No"/>
    <s v=""/>
    <m/>
    <m/>
    <s v="*MAV281201294"/>
    <s v="*MAV281201294"/>
    <n v="3.2535285798035939E-3"/>
  </r>
  <r>
    <x v="17"/>
    <s v="Pesos"/>
    <d v="2026-12-30T00:00:00"/>
    <s v="29/10/2026"/>
    <n v="0.94540005000000005"/>
    <m/>
    <n v="615971020"/>
    <n v="582339035.45000005"/>
    <n v="615971020"/>
    <n v="582339035.45000005"/>
    <n v="170738"/>
    <s v="AMOMPY"/>
    <s v="Momentum Capital Investment S.A."/>
    <s v="27/10/2026"/>
    <s v="27/10/2026"/>
    <n v="34"/>
    <s v="No"/>
    <s v=""/>
    <m/>
    <m/>
    <s v="#MAV291260026"/>
    <s v="#MAV291260026"/>
    <n v="7.1270411665695062E-3"/>
  </r>
  <r>
    <x v="44"/>
    <s v="Pesos"/>
    <d v="2026-12-30T00:00:00"/>
    <s v="29/10/2026"/>
    <n v="0.94692061999999999"/>
    <m/>
    <n v="25000000"/>
    <n v="23673015.59"/>
    <n v="25000000"/>
    <n v="23673015.59"/>
    <n v="14422599"/>
    <s v="AMOMPY"/>
    <s v="Momentum Capital Investment S.A."/>
    <s v="02/09/2026"/>
    <s v="02/09/2026"/>
    <n v="33"/>
    <s v="No"/>
    <s v=""/>
    <m/>
    <m/>
    <s v="*MAV281200989"/>
    <s v="*MAV281200989"/>
    <n v="2.8972565185570142E-4"/>
  </r>
  <r>
    <x v="44"/>
    <s v="Pesos"/>
    <d v="2026-12-30T00:00:00"/>
    <s v="29/10/2026"/>
    <n v="0.94844613"/>
    <m/>
    <n v="10000000"/>
    <n v="9484461.2599999998"/>
    <n v="10000000"/>
    <n v="9484461.2599999998"/>
    <n v="14422581"/>
    <s v="AMOMPY"/>
    <s v="Momentum Capital Investment S.A."/>
    <s v="01/09/2026"/>
    <s v="01/09/2026"/>
    <n v="32"/>
    <s v="No"/>
    <s v=""/>
    <m/>
    <m/>
    <s v="*MAV271201284"/>
    <s v="*MAV271201284"/>
    <n v="1.1607696157706318E-4"/>
  </r>
  <r>
    <x v="44"/>
    <s v="Pesos"/>
    <d v="2026-12-30T00:00:00"/>
    <s v="29/10/2026"/>
    <n v="0.94692063000000004"/>
    <m/>
    <n v="12500000"/>
    <n v="11836507.91"/>
    <n v="12500000"/>
    <n v="11836507.91"/>
    <n v="14651823"/>
    <s v="AMOMPY"/>
    <s v="Momentum Capital Investment S.A."/>
    <s v="01/10/2026"/>
    <s v="01/10/2026"/>
    <n v="33"/>
    <s v="No"/>
    <s v=""/>
    <m/>
    <m/>
    <s v="*MAV241200620"/>
    <s v="*MAV241200620"/>
    <n v="1.44862827335295E-4"/>
  </r>
  <r>
    <x v="118"/>
    <s v="Pesos"/>
    <d v="2026-12-30T00:00:00"/>
    <s v="29/10/2026"/>
    <n v="0.95151205999999999"/>
    <m/>
    <n v="10000000"/>
    <n v="9515120.5600000005"/>
    <n v="10000000"/>
    <n v="9515120.5600000005"/>
    <n v="68055677"/>
    <s v="AMOMPY"/>
    <s v="Momentum Capital Investment S.A."/>
    <s v="19/10/2026"/>
    <s v="19/10/2026"/>
    <n v="30"/>
    <s v="No"/>
    <s v=""/>
    <m/>
    <m/>
    <s v="*MAV271201341"/>
    <s v="*MAV271201341"/>
    <n v="1.1645218988898521E-4"/>
  </r>
  <r>
    <x v="205"/>
    <s v="Pesos"/>
    <d v="2026-12-30T00:00:00"/>
    <s v="29/10/2026"/>
    <n v="0.95151205000000005"/>
    <m/>
    <n v="1500000"/>
    <n v="1427268.08"/>
    <n v="1500000"/>
    <n v="1427268.08"/>
    <n v="10793605"/>
    <s v="AMOMPY"/>
    <s v="Momentum Capital Investment S.A."/>
    <s v="19/10/2026"/>
    <s v="19/10/2026"/>
    <n v="30"/>
    <s v="No"/>
    <s v=""/>
    <m/>
    <m/>
    <s v="*MAV281201252"/>
    <s v="*MAV281201252"/>
    <n v="1.7467828434393199E-5"/>
  </r>
  <r>
    <x v="25"/>
    <s v="Pesos"/>
    <d v="2026-12-30T00:00:00"/>
    <s v="29/10/2026"/>
    <n v="0.95614816999999996"/>
    <m/>
    <n v="4701505.6900000004"/>
    <n v="4495336.05"/>
    <n v="4701505.6900000004"/>
    <n v="4495336.05"/>
    <n v="54486955"/>
    <s v="AMOMPY"/>
    <s v="Momentum Capital Investment S.A."/>
    <s v="29/10/2026"/>
    <s v="29/10/2026"/>
    <n v="27"/>
    <s v="No"/>
    <s v=""/>
    <m/>
    <m/>
    <s v="*NEU251200014"/>
    <s v="*NEU251200014"/>
    <n v="5.5016825484069395E-5"/>
  </r>
  <r>
    <x v="123"/>
    <s v="Pesos"/>
    <d v="2026-12-30T00:00:00"/>
    <s v="29/10/2026"/>
    <n v="0.94844622999999995"/>
    <m/>
    <n v="2833000"/>
    <n v="2686948.16"/>
    <n v="2833000"/>
    <n v="2686948.16"/>
    <n v="90000057"/>
    <s v="AMOMPY"/>
    <s v="Momentum Capital Investment S.A."/>
    <s v="25/09/2026"/>
    <s v="25/09/2026"/>
    <n v="32"/>
    <s v="No"/>
    <s v=""/>
    <m/>
    <m/>
    <s v="*MAV251200485"/>
    <s v="*MAV251200485"/>
    <n v="3.288460670331006E-5"/>
  </r>
  <r>
    <x v="234"/>
    <s v="Pesos"/>
    <d v="2026-12-30T00:00:00"/>
    <s v="29/10/2026"/>
    <n v="0.94844618999999997"/>
    <m/>
    <n v="1858362"/>
    <n v="1762556.36"/>
    <n v="1858362"/>
    <n v="1762556.36"/>
    <n v="1487"/>
    <s v="AMOMPY"/>
    <s v="Momentum Capital Investment S.A."/>
    <s v="05/10/2026"/>
    <s v="05/10/2026"/>
    <n v="32"/>
    <s v="No"/>
    <s v=""/>
    <m/>
    <m/>
    <s v="*MAV251200520"/>
    <s v="*MAV251200520"/>
    <n v="2.1571302920491693E-5"/>
  </r>
  <r>
    <x v="445"/>
    <s v="Pesos"/>
    <d v="2026-12-30T00:00:00"/>
    <s v="29/10/2026"/>
    <n v="0.95151204"/>
    <m/>
    <n v="2103264.2599999998"/>
    <n v="2001281.27"/>
    <n v="2103264.2599999998"/>
    <n v="2001281.27"/>
    <n v="141"/>
    <s v="AMOMPY"/>
    <s v="Momentum Capital Investment S.A."/>
    <s v="08/10/2026"/>
    <s v="08/10/2026"/>
    <n v="30"/>
    <s v="No"/>
    <s v=""/>
    <m/>
    <m/>
    <s v="*MAV241200640"/>
    <s v="*MAV241200640"/>
    <n v="2.4492972527855125E-5"/>
  </r>
  <r>
    <x v="48"/>
    <s v="Pesos"/>
    <d v="2026-12-30T00:00:00"/>
    <s v="29/10/2026"/>
    <n v="0.95151220000000003"/>
    <m/>
    <n v="3930000"/>
    <n v="3739442.93"/>
    <n v="3930000"/>
    <n v="3739442.93"/>
    <n v="90000104"/>
    <s v="AMOMPY"/>
    <s v="Momentum Capital Investment S.A."/>
    <s v="14/10/2026"/>
    <s v="14/10/2026"/>
    <n v="30"/>
    <s v="No"/>
    <s v=""/>
    <m/>
    <m/>
    <s v="*MAV281201202"/>
    <s v="*MAV281201202"/>
    <n v="4.5765717356647262E-5"/>
  </r>
  <r>
    <x v="403"/>
    <s v="Pesos"/>
    <d v="2026-12-30T00:00:00"/>
    <s v="29/10/2026"/>
    <n v="0.94844631999999995"/>
    <m/>
    <n v="5476834"/>
    <n v="5194483.04"/>
    <n v="5476834"/>
    <n v="5194483.04"/>
    <n v="41054834"/>
    <s v="AMOMPY"/>
    <s v="Momentum Capital Investment S.A."/>
    <s v="28/10/2026"/>
    <s v="28/10/2026"/>
    <n v="32"/>
    <s v="No"/>
    <s v=""/>
    <m/>
    <m/>
    <s v="*MAV281201363"/>
    <s v="*MAV281201363"/>
    <n v="6.3573437828221604E-5"/>
  </r>
  <r>
    <x v="1"/>
    <s v="Pesos"/>
    <d v="2026-12-30T00:00:00"/>
    <s v="29/10/2026"/>
    <n v="0.95459786000000002"/>
    <m/>
    <n v="21138534"/>
    <n v="20178799.260000002"/>
    <n v="21138534"/>
    <n v="20178799.260000002"/>
    <n v="69612979"/>
    <s v="AMOMPY"/>
    <s v="Momentum Capital Investment S.A."/>
    <s v="21/09/2026"/>
    <s v="21/09/2026"/>
    <n v="28"/>
    <s v="No"/>
    <s v=""/>
    <m/>
    <m/>
    <s v="*AFB241200007"/>
    <s v="*AFB241200007"/>
    <n v="2.4696117598716312E-4"/>
  </r>
  <r>
    <x v="393"/>
    <s v="Pesos"/>
    <d v="2026-12-30T00:00:00"/>
    <s v="29/10/2026"/>
    <n v="0.94692067000000002"/>
    <m/>
    <n v="1800000"/>
    <n v="1704457.21"/>
    <n v="1800000"/>
    <n v="1704457.21"/>
    <n v="30000446"/>
    <s v="AMOMPY"/>
    <s v="Momentum Capital Investment S.A."/>
    <s v="16/10/2026"/>
    <s v="16/10/2026"/>
    <n v="33"/>
    <s v="No"/>
    <s v=""/>
    <m/>
    <m/>
    <s v="*MAV241200662"/>
    <s v="*MAV241200662"/>
    <n v="2.086024800473678E-5"/>
  </r>
  <r>
    <x v="393"/>
    <s v="Pesos"/>
    <d v="2026-12-30T00:00:00"/>
    <s v="29/10/2026"/>
    <n v="0.94692067000000002"/>
    <m/>
    <n v="1800000"/>
    <n v="1704457.21"/>
    <n v="1800000"/>
    <n v="1704457.21"/>
    <n v="30000447"/>
    <s v="AMOMPY"/>
    <s v="Momentum Capital Investment S.A."/>
    <s v="16/10/2026"/>
    <s v="16/10/2026"/>
    <n v="33"/>
    <s v="No"/>
    <s v=""/>
    <m/>
    <m/>
    <s v="*MAV261201653"/>
    <s v="*MAV261201653"/>
    <n v="2.086024800473678E-5"/>
  </r>
  <r>
    <x v="294"/>
    <s v="Pesos"/>
    <d v="2026-12-30T00:00:00"/>
    <s v="29/10/2026"/>
    <n v="0.95151213000000001"/>
    <m/>
    <n v="750000"/>
    <n v="713634.1"/>
    <n v="750000"/>
    <n v="713634.1"/>
    <n v="69995922"/>
    <s v="AMOMPY"/>
    <s v="Momentum Capital Investment S.A."/>
    <s v="25/09/2026"/>
    <s v="25/09/2026"/>
    <n v="30"/>
    <s v="No"/>
    <s v=""/>
    <m/>
    <m/>
    <s v="*MAV261201610"/>
    <s v="*MAV261201610"/>
    <n v="8.7339149515153434E-6"/>
  </r>
  <r>
    <x v="270"/>
    <s v="Pesos"/>
    <d v="2026-12-30T00:00:00"/>
    <s v="29/10/2026"/>
    <n v="0.94997677999999997"/>
    <m/>
    <n v="6509893.4299999997"/>
    <n v="6184247.5999999996"/>
    <n v="6509893.4299999997"/>
    <n v="6184247.5999999996"/>
    <n v="11546"/>
    <s v="AMOMPY"/>
    <s v="Momentum Capital Investment S.A."/>
    <s v="21/10/2026"/>
    <s v="21/10/2026"/>
    <n v="31"/>
    <s v="No"/>
    <s v=""/>
    <m/>
    <m/>
    <s v="*MAV261201663"/>
    <s v="*MAV261201663"/>
    <n v="7.5686815662974737E-5"/>
  </r>
  <r>
    <x v="270"/>
    <s v="Pesos"/>
    <d v="2026-12-30T00:00:00"/>
    <s v="29/10/2026"/>
    <n v="0.94997677999999997"/>
    <m/>
    <n v="6509893.4400000004"/>
    <n v="6184247.6100000003"/>
    <n v="6509893.4400000004"/>
    <n v="6184247.6100000003"/>
    <n v="11547"/>
    <s v="AMOMPY"/>
    <s v="Momentum Capital Investment S.A."/>
    <s v="21/10/2026"/>
    <s v="21/10/2026"/>
    <n v="31"/>
    <s v="No"/>
    <s v=""/>
    <m/>
    <m/>
    <s v="*MAV261201664"/>
    <s v="*MAV261201664"/>
    <n v="7.56868157853612E-5"/>
  </r>
  <r>
    <x v="326"/>
    <s v="Pesos"/>
    <d v="2026-12-30T00:00:00"/>
    <s v="29/10/2026"/>
    <n v="0.94844625999999999"/>
    <m/>
    <n v="11145337.859999999"/>
    <n v="10570754.029999999"/>
    <n v="11145337.859999999"/>
    <n v="10570754.029999999"/>
    <n v="17"/>
    <s v="AMOMPY"/>
    <s v="Momentum Capital Investment S.A."/>
    <s v="29/09/2026"/>
    <s v="29/09/2026"/>
    <n v="32"/>
    <s v="No"/>
    <s v=""/>
    <m/>
    <m/>
    <s v="*MAV271201306"/>
    <s v="*MAV271201306"/>
    <n v="1.2937171397976648E-4"/>
  </r>
  <r>
    <x v="257"/>
    <s v="Pesos"/>
    <d v="2026-12-30T00:00:00"/>
    <s v="29/10/2026"/>
    <n v="0.94844618000000003"/>
    <m/>
    <n v="2336718.2999999998"/>
    <n v="2216251.5499999998"/>
    <n v="2336718.2999999998"/>
    <n v="2216251.5499999998"/>
    <n v="5392"/>
    <s v="AMOMPY"/>
    <s v="Momentum Capital Investment S.A."/>
    <s v="01/10/2026"/>
    <s v="01/10/2026"/>
    <n v="32"/>
    <s v="No"/>
    <s v=""/>
    <m/>
    <m/>
    <s v="*MAV281201099"/>
    <s v="*MAV281201099"/>
    <n v="2.7123917633510022E-5"/>
  </r>
  <r>
    <x v="317"/>
    <s v="Pesos"/>
    <d v="2026-12-30T00:00:00"/>
    <s v="29/10/2026"/>
    <n v="0.94692063000000004"/>
    <m/>
    <n v="36300000"/>
    <n v="34373218.960000001"/>
    <n v="36300000"/>
    <n v="34373218.960000001"/>
    <n v="153"/>
    <s v="AMOMPY"/>
    <s v="Momentum Capital Investment S.A."/>
    <s v="01/10/2026"/>
    <s v="01/10/2026"/>
    <n v="33"/>
    <s v="No"/>
    <s v=""/>
    <m/>
    <m/>
    <s v="MAVR251200044"/>
    <s v="MAVR251200044"/>
    <n v="4.2068165045147746E-4"/>
  </r>
  <r>
    <x v="318"/>
    <s v="Pesos"/>
    <d v="2026-12-30T00:00:00"/>
    <s v="29/10/2026"/>
    <n v="0.94692063000000004"/>
    <m/>
    <n v="7500000"/>
    <n v="7101904.7400000002"/>
    <n v="7500000"/>
    <n v="7101904.7400000002"/>
    <n v="70407058"/>
    <s v="AMOMPY"/>
    <s v="Momentum Capital Investment S.A."/>
    <s v="01/10/2026"/>
    <s v="01/10/2026"/>
    <n v="33"/>
    <s v="No"/>
    <s v=""/>
    <m/>
    <m/>
    <s v="*MAV251200503"/>
    <s v="*MAV251200503"/>
    <n v="8.691769632774512E-5"/>
  </r>
  <r>
    <x v="53"/>
    <s v="Pesos"/>
    <d v="2026-12-30T00:00:00"/>
    <s v="29/10/2026"/>
    <n v="0.94844622999999995"/>
    <m/>
    <n v="90000000"/>
    <n v="85360160.810000002"/>
    <n v="90000000"/>
    <n v="85360160.810000002"/>
    <n v="573"/>
    <s v="AMOMPY"/>
    <s v="Momentum Capital Investment S.A."/>
    <s v="02/10/2026"/>
    <s v="02/10/2026"/>
    <n v="32"/>
    <s v="No"/>
    <s v=""/>
    <m/>
    <m/>
    <s v="*MAV271201314"/>
    <s v="*MAV271201314"/>
    <n v="1.0446927700935439E-3"/>
  </r>
  <r>
    <x v="0"/>
    <s v="Pesos"/>
    <d v="2027-01-04T00:00:00"/>
    <s v="29/10/2026"/>
    <n v="0.94945773"/>
    <m/>
    <n v="3969642.37"/>
    <n v="3769007.65"/>
    <n v="3969642.37"/>
    <n v="3769007.65"/>
    <n v="40781844"/>
    <s v="AMOMPY"/>
    <s v="Momentum Capital Investment S.A."/>
    <s v="28/10/2026"/>
    <s v="28/10/2026"/>
    <n v="29"/>
    <s v="No"/>
    <s v=""/>
    <m/>
    <m/>
    <s v="*TRD291200044"/>
    <s v="*TRD291200044"/>
    <n v="4.6127549491694287E-5"/>
  </r>
  <r>
    <x v="236"/>
    <s v="Pesos"/>
    <d v="2027-01-04T00:00:00"/>
    <s v="29/10/2026"/>
    <n v="0.94780598000000005"/>
    <m/>
    <n v="28000000"/>
    <n v="26538567.370000001"/>
    <n v="28000000"/>
    <n v="26538567.370000001"/>
    <n v="52503"/>
    <s v="AMOMPY"/>
    <s v="Momentum Capital Investment S.A."/>
    <s v="19/10/2026"/>
    <s v="19/10/2026"/>
    <n v="30"/>
    <s v="No"/>
    <s v=""/>
    <m/>
    <m/>
    <s v="*MAV291201424"/>
    <s v="*MAV291201424"/>
    <n v="3.2479612499548475E-4"/>
  </r>
  <r>
    <x v="437"/>
    <s v="Pesos"/>
    <d v="2027-01-04T00:00:00"/>
    <s v="29/10/2026"/>
    <n v="0.94288455000000004"/>
    <m/>
    <n v="7500000"/>
    <n v="7071634.1100000003"/>
    <n v="7500000"/>
    <n v="7071634.1100000003"/>
    <n v="339"/>
    <s v="AMOMPY"/>
    <s v="Momentum Capital Investment S.A."/>
    <s v="22/09/2026"/>
    <s v="22/09/2026"/>
    <n v="33"/>
    <s v="No"/>
    <s v=""/>
    <m/>
    <m/>
    <s v="*MAV291201300"/>
    <s v="*MAV291201300"/>
    <n v="8.654722481027029E-5"/>
  </r>
  <r>
    <x v="55"/>
    <s v="Pesos"/>
    <d v="2027-01-04T00:00:00"/>
    <s v="29/10/2026"/>
    <n v="0.95444799999999996"/>
    <m/>
    <n v="25000000"/>
    <n v="23861200.059999999"/>
    <n v="25000000"/>
    <n v="23861200.059999999"/>
    <n v="9508926"/>
    <s v="AMOMPY"/>
    <s v="Momentum Capital Investment S.A."/>
    <s v="17/07/2026"/>
    <s v="17/07/2026"/>
    <n v="26"/>
    <s v="No"/>
    <s v=""/>
    <m/>
    <m/>
    <s v="*PRO291200014"/>
    <s v="*PRO291200014"/>
    <n v="2.9202877492139572E-4"/>
  </r>
  <r>
    <x v="171"/>
    <s v="Pesos"/>
    <d v="2027-01-04T00:00:00"/>
    <s v="29/10/2026"/>
    <n v="0.94288450000000001"/>
    <m/>
    <n v="2170000"/>
    <n v="2046059.36"/>
    <n v="2170000"/>
    <n v="2046059.36"/>
    <n v="260751"/>
    <s v="AMOMPY"/>
    <s v="Momentum Capital Investment S.A."/>
    <s v="27/08/2026"/>
    <s v="27/08/2026"/>
    <n v="33"/>
    <s v="No"/>
    <s v=""/>
    <m/>
    <m/>
    <s v="*MAV291201238"/>
    <s v="*MAV291201238"/>
    <n v="2.5040995709134299E-5"/>
  </r>
  <r>
    <x v="353"/>
    <s v="Pesos"/>
    <d v="2027-01-04T00:00:00"/>
    <s v="29/10/2026"/>
    <n v="0.94451925000000003"/>
    <m/>
    <n v="12500000"/>
    <n v="11806490.65"/>
    <n v="12500000"/>
    <n v="11806490.65"/>
    <n v="381"/>
    <s v="AMOMPY"/>
    <s v="Momentum Capital Investment S.A."/>
    <s v="02/10/2026"/>
    <s v="02/10/2026"/>
    <n v="32"/>
    <s v="No"/>
    <s v=""/>
    <m/>
    <m/>
    <s v="*MAV291201344"/>
    <s v="*MAV291201344"/>
    <n v="1.4449545672349615E-4"/>
  </r>
  <r>
    <x v="174"/>
    <s v="Pesos"/>
    <d v="2027-01-04T00:00:00"/>
    <s v="29/10/2026"/>
    <n v="0.94451940000000001"/>
    <m/>
    <n v="10000000"/>
    <n v="9445193.9600000009"/>
    <n v="10000000"/>
    <n v="9445193.9600000009"/>
    <n v="14615627"/>
    <s v="AMOMPY"/>
    <s v="Momentum Capital Investment S.A."/>
    <s v="01/10/2026"/>
    <s v="01/10/2026"/>
    <n v="32"/>
    <s v="No"/>
    <s v=""/>
    <m/>
    <m/>
    <s v="*MAV291201331"/>
    <s v="*MAV291201331"/>
    <n v="1.1559638300244681E-4"/>
  </r>
  <r>
    <x v="423"/>
    <s v="Pesos"/>
    <d v="2027-01-04T00:00:00"/>
    <s v="29/10/2026"/>
    <n v="0.94780578999999998"/>
    <m/>
    <n v="50000000"/>
    <n v="47390289.479999997"/>
    <n v="50000000"/>
    <n v="47390289.479999997"/>
    <n v="196472"/>
    <s v="AMOMPY"/>
    <s v="Momentum Capital Investment S.A."/>
    <s v="19/08/2026"/>
    <s v="19/08/2026"/>
    <n v="30"/>
    <s v="No"/>
    <s v=""/>
    <m/>
    <m/>
    <s v="*MAV291201232"/>
    <s v="*MAV291201232"/>
    <n v="5.799929653670029E-4"/>
  </r>
  <r>
    <x v="398"/>
    <s v="Pesos"/>
    <d v="2027-01-04T00:00:00"/>
    <s v="29/10/2026"/>
    <n v="0.94288446000000004"/>
    <m/>
    <n v="528139.15"/>
    <n v="497974.2"/>
    <n v="528139.15"/>
    <n v="497974.2"/>
    <n v="17714"/>
    <s v="AMOMPY"/>
    <s v="Momentum Capital Investment S.A."/>
    <s v="16/10/2026"/>
    <s v="16/10/2026"/>
    <n v="33"/>
    <s v="No"/>
    <s v=""/>
    <m/>
    <m/>
    <s v="*MAV291201412"/>
    <s v="*MAV291201412"/>
    <n v="6.0945298309720515E-6"/>
  </r>
  <r>
    <x v="146"/>
    <s v="Pesos"/>
    <d v="2027-01-04T00:00:00"/>
    <s v="29/10/2026"/>
    <n v="0.94780580000000003"/>
    <m/>
    <n v="15000000"/>
    <n v="14217087.060000001"/>
    <n v="15000000"/>
    <n v="14217087.060000001"/>
    <n v="90004195"/>
    <s v="AMOMPY"/>
    <s v="Momentum Capital Investment S.A."/>
    <s v="21/09/2026"/>
    <s v="21/09/2026"/>
    <n v="30"/>
    <s v="No"/>
    <s v=""/>
    <m/>
    <m/>
    <s v="*MAV291201297"/>
    <s v="*MAV291201297"/>
    <n v="1.7399789225364839E-4"/>
  </r>
  <r>
    <x v="44"/>
    <s v="Pesos"/>
    <d v="2027-01-04T00:00:00"/>
    <s v="29/10/2026"/>
    <n v="0.94288464999999999"/>
    <m/>
    <n v="12500000"/>
    <n v="11786058.15"/>
    <n v="12500000"/>
    <n v="11786058.15"/>
    <n v="14651824"/>
    <s v="AMOMPY"/>
    <s v="Momentum Capital Investment S.A."/>
    <s v="01/10/2026"/>
    <s v="01/10/2026"/>
    <n v="33"/>
    <s v="No"/>
    <s v=""/>
    <m/>
    <m/>
    <s v="*MAV291201336"/>
    <s v="*MAV291201336"/>
    <n v="1.4424539059402328E-4"/>
  </r>
  <r>
    <x v="446"/>
    <s v="Pesos"/>
    <d v="2027-01-04T00:00:00"/>
    <s v="29/10/2026"/>
    <n v="0.94125548000000003"/>
    <m/>
    <n v="784454.61"/>
    <n v="738372.2"/>
    <n v="784454.61"/>
    <n v="738372.2"/>
    <n v="20647351"/>
    <s v="AMOMPY"/>
    <s v="Momentum Capital Investment S.A."/>
    <s v="21/10/2026"/>
    <s v="21/10/2026"/>
    <n v="34"/>
    <s v="No"/>
    <s v=""/>
    <m/>
    <m/>
    <s v="*MAV291201435"/>
    <s v="*MAV291201435"/>
    <n v="9.0366757941685768E-6"/>
  </r>
  <r>
    <x v="63"/>
    <s v="Pesos"/>
    <d v="2027-01-04T00:00:00"/>
    <s v="29/10/2026"/>
    <n v="0.94451921999999999"/>
    <m/>
    <n v="513679.69"/>
    <n v="485180.34"/>
    <n v="513679.69"/>
    <n v="485180.34"/>
    <n v="5288"/>
    <s v="AMOMPY"/>
    <s v="Momentum Capital Investment S.A."/>
    <s v="05/10/2026"/>
    <s v="05/10/2026"/>
    <n v="32"/>
    <s v="No"/>
    <s v=""/>
    <m/>
    <m/>
    <s v="*MAV291201346"/>
    <s v="*MAV291201346"/>
    <n v="5.9379503105405113E-6"/>
  </r>
  <r>
    <x v="447"/>
    <s v="Pesos"/>
    <d v="2027-01-04T00:00:00"/>
    <s v="29/10/2026"/>
    <n v="0.93640164999999997"/>
    <m/>
    <n v="25000000"/>
    <n v="23410041.309999999"/>
    <n v="25000000"/>
    <n v="23410041.309999999"/>
    <n v="1117"/>
    <s v="AMOMPY"/>
    <s v="Momentum Capital Investment S.A."/>
    <s v="11/08/2026"/>
    <s v="11/08/2026"/>
    <n v="37"/>
    <s v="No"/>
    <s v=""/>
    <m/>
    <m/>
    <s v="*MAV291201229"/>
    <s v="*MAV291201229"/>
    <n v="2.8650720279902662E-4"/>
  </r>
  <r>
    <x v="393"/>
    <s v="Pesos"/>
    <d v="2027-01-04T00:00:00"/>
    <s v="29/10/2026"/>
    <n v="0.94288446000000004"/>
    <m/>
    <n v="1800000"/>
    <n v="1697192.03"/>
    <n v="1800000"/>
    <n v="1697192.03"/>
    <n v="30000448"/>
    <s v="AMOMPY"/>
    <s v="Momentum Capital Investment S.A."/>
    <s v="16/10/2026"/>
    <s v="16/10/2026"/>
    <n v="33"/>
    <s v="No"/>
    <s v=""/>
    <m/>
    <m/>
    <s v="*MAV291201411"/>
    <s v="*MAV291201411"/>
    <n v="2.0771332040340672E-5"/>
  </r>
  <r>
    <x v="347"/>
    <s v="Pesos"/>
    <d v="2027-01-04T00:00:00"/>
    <s v="29/10/2026"/>
    <n v="0.94451927999999996"/>
    <m/>
    <n v="10386286.039999999"/>
    <n v="9810047.4600000009"/>
    <n v="10386286.039999999"/>
    <n v="9810047.4600000009"/>
    <n v="54595091"/>
    <s v="AMOMPY"/>
    <s v="Momentum Capital Investment S.A."/>
    <s v="29/09/2026"/>
    <s v="29/09/2026"/>
    <n v="32"/>
    <s v="No"/>
    <s v=""/>
    <m/>
    <m/>
    <s v="*MAV291201317"/>
    <s v="*MAV291201317"/>
    <n v="1.2006169574291521E-4"/>
  </r>
  <r>
    <x v="52"/>
    <s v="Pesos"/>
    <d v="2027-01-04T00:00:00"/>
    <s v="29/10/2026"/>
    <n v="0.94780584000000001"/>
    <m/>
    <n v="5890000"/>
    <n v="5582576.4199999999"/>
    <n v="5890000"/>
    <n v="5582576.4199999999"/>
    <n v="1029"/>
    <s v="AMOMPY"/>
    <s v="Momentum Capital Investment S.A."/>
    <s v="29/09/2026"/>
    <s v="29/09/2026"/>
    <n v="30"/>
    <s v="No"/>
    <s v=""/>
    <m/>
    <m/>
    <s v="*MAV291201327"/>
    <s v="*MAV291201327"/>
    <n v="6.832317522749403E-5"/>
  </r>
  <r>
    <x v="349"/>
    <s v="Pesos"/>
    <d v="2027-01-04T00:00:00"/>
    <s v="29/10/2026"/>
    <n v="0.94451940000000001"/>
    <m/>
    <n v="1055400.46"/>
    <n v="996846.21"/>
    <n v="1055400.46"/>
    <n v="996846.21"/>
    <n v="12532"/>
    <s v="AMOMPY"/>
    <s v="Momentum Capital Investment S.A."/>
    <s v="01/10/2026"/>
    <s v="01/10/2026"/>
    <n v="32"/>
    <s v="No"/>
    <s v=""/>
    <m/>
    <m/>
    <s v="*MAV291201329"/>
    <s v="*MAV291201329"/>
    <n v="1.2200047640493083E-5"/>
  </r>
  <r>
    <x v="94"/>
    <s v="Pesos"/>
    <d v="2027-01-04T00:00:00"/>
    <s v="29/10/2026"/>
    <n v="0.94451940000000001"/>
    <m/>
    <n v="6250000"/>
    <n v="5903246.2300000004"/>
    <n v="6250000"/>
    <n v="5903246.2300000004"/>
    <n v="1412"/>
    <s v="AMOMPY"/>
    <s v="Momentum Capital Investment S.A."/>
    <s v="01/10/2026"/>
    <s v="01/10/2026"/>
    <n v="32"/>
    <s v="No"/>
    <s v=""/>
    <m/>
    <m/>
    <s v="*MAV291201332"/>
    <s v="*MAV291201332"/>
    <n v="7.2247739437722479E-5"/>
  </r>
  <r>
    <x v="0"/>
    <s v="Pesos"/>
    <d v="2027-01-05T00:00:00"/>
    <s v="29/10/2026"/>
    <n v="0.94874197000000005"/>
    <m/>
    <n v="3156141.19"/>
    <n v="2994363.61"/>
    <n v="3156141.19"/>
    <n v="2994363.61"/>
    <n v="7300"/>
    <s v="AMOMPY"/>
    <s v="Momentum Capital Investment S.A."/>
    <s v="28/10/2026"/>
    <s v="28/10/2026"/>
    <n v="29"/>
    <s v="No"/>
    <s v=""/>
    <m/>
    <m/>
    <s v="*TRD301200064"/>
    <s v="*TRD301200064"/>
    <n v="3.6646955496734896E-5"/>
  </r>
  <r>
    <x v="93"/>
    <s v="Pesos"/>
    <d v="2027-01-05T00:00:00"/>
    <s v="29/10/2026"/>
    <n v="0.94706809000000003"/>
    <m/>
    <n v="10625155.1"/>
    <n v="10062745.359999999"/>
    <n v="10625155.1"/>
    <n v="10062745.359999999"/>
    <n v="15818"/>
    <s v="AMOMPY"/>
    <s v="Momentum Capital Investment S.A."/>
    <s v="22/10/2026"/>
    <s v="22/10/2026"/>
    <n v="30"/>
    <s v="No"/>
    <s v=""/>
    <m/>
    <m/>
    <s v="*MAV301201790"/>
    <s v="*MAV301201790"/>
    <n v="1.231543758250841E-4"/>
  </r>
  <r>
    <x v="437"/>
    <s v="Pesos"/>
    <d v="2027-01-05T00:00:00"/>
    <s v="29/10/2026"/>
    <n v="0.94208139999999996"/>
    <m/>
    <n v="7500000"/>
    <n v="7065610.4900000002"/>
    <n v="7500000"/>
    <n v="7065610.4900000002"/>
    <n v="340"/>
    <s v="AMOMPY"/>
    <s v="Momentum Capital Investment S.A."/>
    <s v="22/09/2026"/>
    <s v="22/09/2026"/>
    <n v="33"/>
    <s v="No"/>
    <s v=""/>
    <m/>
    <m/>
    <s v="*MAV301201571"/>
    <s v="*MAV301201571"/>
    <n v="8.647350385890284E-5"/>
  </r>
  <r>
    <x v="333"/>
    <s v="Pesos"/>
    <d v="2027-01-05T00:00:00"/>
    <s v="29/10/2026"/>
    <n v="0.95210777000000002"/>
    <m/>
    <n v="2092000"/>
    <n v="1991809.45"/>
    <n v="2092000"/>
    <n v="1991809.45"/>
    <n v="15804200"/>
    <s v="AMOMPY"/>
    <s v="Momentum Capital Investment S.A."/>
    <s v="29/10/2026"/>
    <s v="29/10/2026"/>
    <n v="27"/>
    <s v="No"/>
    <s v=""/>
    <m/>
    <m/>
    <s v="*ACI301200547"/>
    <s v="*ACI301200547"/>
    <n v="2.4377050278181148E-5"/>
  </r>
  <r>
    <x v="385"/>
    <s v="Pesos"/>
    <d v="2027-01-05T00:00:00"/>
    <s v="29/10/2026"/>
    <n v="0.94706800999999996"/>
    <m/>
    <n v="15000000"/>
    <n v="14206020.1"/>
    <n v="15000000"/>
    <n v="14206020.1"/>
    <n v="1417"/>
    <s v="AMOMPY"/>
    <s v="Momentum Capital Investment S.A."/>
    <s v="28/10/2026"/>
    <s v="28/10/2026"/>
    <n v="30"/>
    <s v="No"/>
    <s v=""/>
    <m/>
    <m/>
    <s v="*MAV301201821"/>
    <s v="*MAV301201821"/>
    <n v="1.7386244765057822E-4"/>
  </r>
  <r>
    <x v="423"/>
    <s v="Pesos"/>
    <d v="2027-01-05T00:00:00"/>
    <s v="29/10/2026"/>
    <n v="0.94706809999999997"/>
    <m/>
    <n v="50000000"/>
    <n v="47353405.079999998"/>
    <n v="50000000"/>
    <n v="47353405.079999998"/>
    <n v="196467"/>
    <s v="AMOMPY"/>
    <s v="Momentum Capital Investment S.A."/>
    <s v="19/08/2026"/>
    <s v="19/08/2026"/>
    <n v="30"/>
    <s v="No"/>
    <s v=""/>
    <m/>
    <m/>
    <s v="*MAV301201510"/>
    <s v="*MAV301201510"/>
    <n v="5.7954155026136592E-4"/>
  </r>
  <r>
    <x v="398"/>
    <s v="Pesos"/>
    <d v="2027-01-05T00:00:00"/>
    <s v="29/10/2026"/>
    <n v="0.94208155000000005"/>
    <m/>
    <n v="528139.15"/>
    <n v="497550.15"/>
    <n v="528139.15"/>
    <n v="497550.15"/>
    <n v="17715"/>
    <s v="AMOMPY"/>
    <s v="Momentum Capital Investment S.A."/>
    <s v="16/10/2026"/>
    <s v="16/10/2026"/>
    <n v="33"/>
    <s v="No"/>
    <s v=""/>
    <m/>
    <m/>
    <s v="*MAV301201744"/>
    <s v="*MAV301201744"/>
    <n v="6.0893400332379046E-6"/>
  </r>
  <r>
    <x v="171"/>
    <s v="Pesos"/>
    <d v="2027-01-05T00:00:00"/>
    <s v="29/10/2026"/>
    <n v="0.94208137999999997"/>
    <m/>
    <n v="2260000"/>
    <n v="2129103.91"/>
    <n v="2260000"/>
    <n v="2129103.91"/>
    <n v="260752"/>
    <s v="AMOMPY"/>
    <s v="Momentum Capital Investment S.A."/>
    <s v="27/08/2026"/>
    <s v="27/08/2026"/>
    <n v="33"/>
    <s v="No"/>
    <s v=""/>
    <m/>
    <m/>
    <s v="*MAV301201523"/>
    <s v="*MAV301201523"/>
    <n v="2.6057348538808307E-5"/>
  </r>
  <r>
    <x v="107"/>
    <s v="Pesos"/>
    <d v="2027-01-05T00:00:00"/>
    <s v="29/10/2026"/>
    <n v="0.94373779000000002"/>
    <m/>
    <n v="175518.88"/>
    <n v="165643.79999999999"/>
    <n v="175518.88"/>
    <n v="165643.79999999999"/>
    <n v="30103757"/>
    <s v="AMOMPY"/>
    <s v="Momentum Capital Investment S.A."/>
    <s v="07/10/2026"/>
    <s v="07/10/2026"/>
    <n v="32"/>
    <s v="No"/>
    <s v=""/>
    <m/>
    <m/>
    <s v="*MAV301201668"/>
    <s v="*MAV301201668"/>
    <n v="2.0272557903914868E-6"/>
  </r>
  <r>
    <x v="41"/>
    <s v="Pesos"/>
    <d v="2027-01-05T00:00:00"/>
    <s v="29/10/2026"/>
    <n v="0.95060707"/>
    <m/>
    <n v="93959909.590000004"/>
    <n v="89318954.790000007"/>
    <n v="93959909.590000004"/>
    <n v="89318954.790000007"/>
    <n v="40801136"/>
    <s v="AMOMPY"/>
    <s v="Momentum Capital Investment S.A."/>
    <s v="29/10/2026"/>
    <s v="29/10/2026"/>
    <n v="27.89"/>
    <s v="No"/>
    <s v=""/>
    <m/>
    <m/>
    <s v="*MAV301201826"/>
    <s v="*MAV301201826"/>
    <n v="1.0931430472480282E-3"/>
  </r>
  <r>
    <x v="41"/>
    <s v="Pesos"/>
    <d v="2027-01-05T00:00:00"/>
    <s v="29/10/2026"/>
    <n v="0.95060707"/>
    <m/>
    <n v="129816471.03"/>
    <n v="123404455.77"/>
    <n v="129816471.03"/>
    <n v="123404455.77"/>
    <n v="40801135"/>
    <s v="AMOMPY"/>
    <s v="Momentum Capital Investment S.A."/>
    <s v="29/10/2026"/>
    <s v="29/10/2026"/>
    <n v="27.89"/>
    <s v="No"/>
    <s v=""/>
    <m/>
    <m/>
    <s v="*MAV301201827"/>
    <s v="*MAV301201827"/>
    <n v="1.5103034192637612E-3"/>
  </r>
  <r>
    <x v="273"/>
    <s v="Pesos"/>
    <d v="2027-01-05T00:00:00"/>
    <s v="29/10/2026"/>
    <n v="0.94208155000000005"/>
    <m/>
    <n v="4000000"/>
    <n v="3768326.21"/>
    <n v="4000000"/>
    <n v="3768326.21"/>
    <n v="70263545"/>
    <s v="AMOMPY"/>
    <s v="Momentum Capital Investment S.A."/>
    <s v="16/10/2026"/>
    <s v="16/10/2026"/>
    <n v="33"/>
    <s v="No"/>
    <s v=""/>
    <m/>
    <m/>
    <s v="*MAV301201742"/>
    <s v="*MAV301201742"/>
    <n v="4.6119209588928207E-5"/>
  </r>
  <r>
    <x v="153"/>
    <s v="Pesos"/>
    <d v="2027-01-05T00:00:00"/>
    <s v="29/10/2026"/>
    <n v="0.94208155000000005"/>
    <m/>
    <n v="2787073.7"/>
    <n v="2625650.71"/>
    <n v="2787073.7"/>
    <n v="2625650.71"/>
    <n v="70327811"/>
    <s v="AMOMPY"/>
    <s v="Momentum Capital Investment S.A."/>
    <s v="16/10/2026"/>
    <s v="16/10/2026"/>
    <n v="33"/>
    <s v="No"/>
    <s v=""/>
    <m/>
    <m/>
    <s v="*MAV301201741"/>
    <s v="*MAV301201741"/>
    <n v="3.2134408926823814E-5"/>
  </r>
  <r>
    <x v="406"/>
    <s v="Pesos"/>
    <d v="2027-01-05T00:00:00"/>
    <s v="29/10/2026"/>
    <n v="0.94208155000000005"/>
    <m/>
    <n v="1490000"/>
    <n v="1403701.51"/>
    <n v="1490000"/>
    <n v="1403701.51"/>
    <n v="90003556"/>
    <s v="AMOMPY"/>
    <s v="Momentum Capital Investment S.A."/>
    <s v="16/10/2026"/>
    <s v="16/10/2026"/>
    <n v="33"/>
    <s v="No"/>
    <s v=""/>
    <m/>
    <m/>
    <s v="*MAV301201740"/>
    <s v="*MAV301201740"/>
    <n v="1.7179405532406124E-5"/>
  </r>
  <r>
    <x v="231"/>
    <s v="Pesos"/>
    <d v="2027-01-05T00:00:00"/>
    <s v="29/10/2026"/>
    <n v="0.94706813000000001"/>
    <m/>
    <n v="4175312.5"/>
    <n v="3954305.39"/>
    <n v="4175312.5"/>
    <n v="3954305.39"/>
    <n v="40952802"/>
    <s v="AMOMPY"/>
    <s v="Momentum Capital Investment S.A."/>
    <s v="19/10/2026"/>
    <s v="19/10/2026"/>
    <n v="30"/>
    <s v="No"/>
    <s v=""/>
    <m/>
    <m/>
    <s v="*MAV301201759"/>
    <s v="*MAV301201759"/>
    <n v="4.8395342891516416E-5"/>
  </r>
  <r>
    <x v="338"/>
    <s v="Pesos"/>
    <d v="2027-01-05T00:00:00"/>
    <s v="29/10/2026"/>
    <n v="0.94874197000000005"/>
    <m/>
    <n v="642421.1"/>
    <n v="609491.86"/>
    <n v="642421.1"/>
    <n v="609491.86"/>
    <n v="70717700"/>
    <s v="AMOMPY"/>
    <s v="Momentum Capital Investment S.A."/>
    <s v="28/10/2026"/>
    <s v="28/10/2026"/>
    <n v="29"/>
    <s v="No"/>
    <s v=""/>
    <m/>
    <m/>
    <s v="*MAV301201822"/>
    <s v="*MAV301201822"/>
    <n v="7.4593549675959943E-6"/>
  </r>
  <r>
    <x v="84"/>
    <s v="Pesos"/>
    <d v="2027-01-05T00:00:00"/>
    <s v="29/10/2026"/>
    <n v="0.94373786999999998"/>
    <m/>
    <n v="716184.35"/>
    <n v="675890.29"/>
    <n v="716184.35"/>
    <n v="675890.29"/>
    <n v="6717"/>
    <s v="AMOMPY"/>
    <s v="Momentum Capital Investment S.A."/>
    <s v="05/10/2026"/>
    <s v="05/10/2026"/>
    <n v="32"/>
    <s v="No"/>
    <s v=""/>
    <m/>
    <m/>
    <s v="*MAV301201640"/>
    <s v="*MAV301201640"/>
    <n v="8.2719818313265045E-6"/>
  </r>
  <r>
    <x v="44"/>
    <s v="Pesos"/>
    <d v="2027-01-05T00:00:00"/>
    <s v="29/10/2026"/>
    <n v="0.94208150999999996"/>
    <m/>
    <n v="20000000"/>
    <n v="18841630.300000001"/>
    <n v="20000000"/>
    <n v="18841630.300000001"/>
    <n v="14725037"/>
    <s v="AMOMPY"/>
    <s v="Momentum Capital Investment S.A."/>
    <s v="19/10/2026"/>
    <s v="19/10/2026"/>
    <n v="33"/>
    <s v="No"/>
    <s v=""/>
    <m/>
    <m/>
    <s v="*MAV301201753"/>
    <s v="*MAV301201753"/>
    <n v="2.3059603876565671E-4"/>
  </r>
  <r>
    <x v="448"/>
    <s v="Pesos"/>
    <d v="2027-01-05T00:00:00"/>
    <s v="29/10/2026"/>
    <n v="0.94208139999999996"/>
    <m/>
    <n v="6222591.4500000002"/>
    <n v="5862187.6699999999"/>
    <n v="6222591.4500000002"/>
    <n v="5862187.6699999999"/>
    <n v="90000228"/>
    <s v="AMOMPY"/>
    <s v="Momentum Capital Investment S.A."/>
    <s v="06/08/2026"/>
    <s v="06/08/2026"/>
    <n v="33"/>
    <s v="No"/>
    <s v=""/>
    <m/>
    <m/>
    <s v="*MAV301201485"/>
    <s v="*MAV301201485"/>
    <n v="7.1745238266503653E-5"/>
  </r>
  <r>
    <x v="449"/>
    <s v="Pesos"/>
    <d v="2027-01-05T00:00:00"/>
    <s v="29/10/2026"/>
    <n v="0.94208139999999996"/>
    <m/>
    <n v="9000000"/>
    <n v="8478732.6099999994"/>
    <n v="9000000"/>
    <n v="8478732.6099999994"/>
    <n v="841126"/>
    <s v="AMOMPY"/>
    <s v="Momentum Capital Investment S.A."/>
    <s v="21/10/2026"/>
    <s v="21/10/2026"/>
    <n v="33"/>
    <s v="No"/>
    <s v=""/>
    <m/>
    <m/>
    <s v="*MAV301201787"/>
    <s v="*MAV301201787"/>
    <n v="1.0376820489993361E-4"/>
  </r>
  <r>
    <x v="291"/>
    <s v="Pesos"/>
    <d v="2027-01-05T00:00:00"/>
    <s v="29/10/2026"/>
    <n v="0.94208159000000002"/>
    <m/>
    <n v="8000000"/>
    <n v="7536652.7000000002"/>
    <n v="8000000"/>
    <n v="7536652.7000000002"/>
    <n v="244"/>
    <s v="AMOMPY"/>
    <s v="Momentum Capital Investment S.A."/>
    <s v="20/10/2026"/>
    <s v="20/10/2026"/>
    <n v="33"/>
    <s v="No"/>
    <s v=""/>
    <m/>
    <m/>
    <s v="*MAV301201761"/>
    <s v="*MAV301201761"/>
    <n v="9.2238422604677225E-5"/>
  </r>
  <r>
    <x v="21"/>
    <s v="Pesos"/>
    <d v="2027-01-05T00:00:00"/>
    <s v="29/10/2026"/>
    <n v="0.94706805999999999"/>
    <m/>
    <n v="83000000"/>
    <n v="78606649.25"/>
    <n v="83000000"/>
    <n v="78606649.25"/>
    <n v="68158884"/>
    <s v="AMOMPY"/>
    <s v="Momentum Capital Investment S.A."/>
    <s v="13/07/2026"/>
    <s v="13/07/2026"/>
    <n v="30"/>
    <s v="No"/>
    <s v=""/>
    <m/>
    <m/>
    <s v="*NIO301200031"/>
    <s v="*NIO301200031"/>
    <n v="9.6203893448070573E-4"/>
  </r>
  <r>
    <x v="450"/>
    <s v="Pesos"/>
    <d v="2027-01-05T00:00:00"/>
    <s v="29/10/2026"/>
    <n v="0.94706813000000001"/>
    <m/>
    <n v="10000000"/>
    <n v="9470681.2799999993"/>
    <n v="10000000"/>
    <n v="9470681.2799999993"/>
    <n v="11218595"/>
    <s v="AMOMPY"/>
    <s v="Momentum Capital Investment S.A."/>
    <s v="19/10/2026"/>
    <s v="19/10/2026"/>
    <n v="30"/>
    <s v="No"/>
    <s v=""/>
    <m/>
    <m/>
    <s v="*MAV301201750"/>
    <s v="*MAV301201750"/>
    <n v="1.1590831328327567E-4"/>
  </r>
  <r>
    <x v="25"/>
    <s v="Pesos"/>
    <d v="2027-01-05T00:00:00"/>
    <s v="29/10/2026"/>
    <n v="0.95210777000000002"/>
    <m/>
    <n v="4701505.6900000004"/>
    <n v="4476340.0999999996"/>
    <n v="4701505.6900000004"/>
    <n v="4476340.0999999996"/>
    <n v="54486956"/>
    <s v="AMOMPY"/>
    <s v="Momentum Capital Investment S.A."/>
    <s v="29/10/2026"/>
    <s v="29/10/2026"/>
    <n v="27"/>
    <s v="No"/>
    <s v=""/>
    <m/>
    <m/>
    <s v="*NEU301200031"/>
    <s v="*NEU301200031"/>
    <n v="5.4784340781161783E-5"/>
  </r>
  <r>
    <x v="29"/>
    <s v="Pesos"/>
    <d v="2027-01-05T00:00:00"/>
    <s v="29/10/2026"/>
    <n v="0.95042183999999996"/>
    <m/>
    <n v="7000000"/>
    <n v="6652952.9100000001"/>
    <n v="7000000"/>
    <n v="6652952.9100000001"/>
    <n v="67768341"/>
    <s v="AMOMPY"/>
    <s v="Momentum Capital Investment S.A."/>
    <s v="07/07/2026"/>
    <s v="07/07/2026"/>
    <n v="28"/>
    <s v="No"/>
    <s v=""/>
    <m/>
    <m/>
    <s v="*MIL301200032"/>
    <s v="*MIL301200032"/>
    <n v="8.1423133917474681E-5"/>
  </r>
  <r>
    <x v="396"/>
    <s v="Pesos"/>
    <d v="2027-01-05T00:00:00"/>
    <s v="29/10/2026"/>
    <n v="0.94208139999999996"/>
    <m/>
    <n v="10215016.380000001"/>
    <n v="9623376.9399999995"/>
    <n v="10215016.380000001"/>
    <n v="9623376.9399999995"/>
    <n v="18"/>
    <s v="AMOMPY"/>
    <s v="Momentum Capital Investment S.A."/>
    <s v="21/10/2026"/>
    <s v="21/10/2026"/>
    <n v="33"/>
    <s v="No"/>
    <s v=""/>
    <m/>
    <m/>
    <s v="*MAV301201789"/>
    <s v="*MAV301201789"/>
    <n v="1.1777710137496789E-4"/>
  </r>
  <r>
    <x v="348"/>
    <s v="Pesos"/>
    <d v="2027-01-05T00:00:00"/>
    <s v="29/10/2026"/>
    <n v="0.94373786999999998"/>
    <m/>
    <n v="1734700"/>
    <n v="1637102.08"/>
    <n v="1734700"/>
    <n v="1637102.08"/>
    <n v="9088653"/>
    <s v="AMOMPY"/>
    <s v="Momentum Capital Investment S.A."/>
    <s v="01/10/2026"/>
    <s v="01/10/2026"/>
    <n v="32"/>
    <s v="No"/>
    <s v=""/>
    <m/>
    <m/>
    <s v="*MAV301201621"/>
    <s v="*MAV301201621"/>
    <n v="2.0035912428608539E-5"/>
  </r>
  <r>
    <x v="257"/>
    <s v="Pesos"/>
    <d v="2027-01-05T00:00:00"/>
    <s v="29/10/2026"/>
    <n v="0.94373783"/>
    <m/>
    <n v="62500000"/>
    <n v="58983614.659999996"/>
    <n v="62500000"/>
    <n v="58983614.659999996"/>
    <n v="5767"/>
    <s v="AMOMPY"/>
    <s v="Momentum Capital Investment S.A."/>
    <s v="22/10/2026"/>
    <s v="22/10/2026"/>
    <n v="32"/>
    <s v="No"/>
    <s v=""/>
    <m/>
    <m/>
    <s v="*MAV301201792"/>
    <s v="*MAV301201792"/>
    <n v="7.2187956541509661E-4"/>
  </r>
  <r>
    <x v="451"/>
    <s v="Pesos"/>
    <d v="2027-01-05T00:00:00"/>
    <s v="29/10/2026"/>
    <n v="0.94208150000000002"/>
    <m/>
    <n v="1500000"/>
    <n v="1413122.25"/>
    <n v="1500000"/>
    <n v="1413122.25"/>
    <n v="70110888"/>
    <s v="AMOMPY"/>
    <s v="Momentum Capital Investment S.A."/>
    <s v="01/10/2026"/>
    <s v="01/10/2026"/>
    <n v="33"/>
    <s v="No"/>
    <s v=""/>
    <m/>
    <m/>
    <s v="*MAV301201627"/>
    <s v="*MAV301201627"/>
    <n v="1.7294702632054723E-5"/>
  </r>
  <r>
    <x v="452"/>
    <s v="Pesos"/>
    <d v="2027-01-05T00:00:00"/>
    <s v="29/10/2026"/>
    <n v="0.94208155999999998"/>
    <m/>
    <n v="30000000"/>
    <n v="28262446.739999998"/>
    <n v="30000000"/>
    <n v="28262446.739999998"/>
    <n v="40876495"/>
    <s v="AMOMPY"/>
    <s v="Momentum Capital Investment S.A."/>
    <s v="02/10/2026"/>
    <s v="02/10/2026"/>
    <n v="33"/>
    <s v="No"/>
    <s v=""/>
    <m/>
    <m/>
    <s v="*MAV301201639"/>
    <s v="*MAV301201639"/>
    <n v="3.4589407393633808E-4"/>
  </r>
  <r>
    <x v="0"/>
    <s v="Pesos"/>
    <d v="2027-01-06T00:00:00"/>
    <s v="29/10/2026"/>
    <n v="0.94802752999999995"/>
    <m/>
    <n v="11916548.66"/>
    <n v="11297216.25"/>
    <n v="11916548.66"/>
    <n v="11297216.25"/>
    <n v="22881"/>
    <s v="AMOMPY"/>
    <s v="Momentum Capital Investment S.A."/>
    <s v="28/10/2026"/>
    <s v="28/10/2026"/>
    <n v="29"/>
    <s v="No"/>
    <s v=""/>
    <m/>
    <m/>
    <s v="*TRD040100023"/>
    <s v="*TRD040100023"/>
    <n v="1.3826262774771709E-4"/>
  </r>
  <r>
    <x v="65"/>
    <s v="Pesos"/>
    <d v="2027-01-06T00:00:00"/>
    <s v="29/10/2026"/>
    <n v="0.94633149000000005"/>
    <m/>
    <n v="5580000"/>
    <n v="5280529.72"/>
    <n v="5580000"/>
    <n v="5280529.72"/>
    <n v="11415147"/>
    <s v="AMOMPY"/>
    <s v="Momentum Capital Investment S.A."/>
    <s v="18/09/2026"/>
    <s v="18/09/2026"/>
    <n v="30"/>
    <s v="No"/>
    <s v=""/>
    <m/>
    <m/>
    <s v="*CVA311200025"/>
    <s v="*CVA311200025"/>
    <n v="6.4626532663488378E-5"/>
  </r>
  <r>
    <x v="283"/>
    <s v="Pesos"/>
    <d v="2027-01-06T00:00:00"/>
    <s v="29/10/2026"/>
    <n v="0.94802748999999997"/>
    <m/>
    <n v="14617599.810000001"/>
    <n v="13857886.42"/>
    <n v="14617599.810000001"/>
    <n v="13857886.42"/>
    <n v="14061"/>
    <s v="AMOMPY"/>
    <s v="Momentum Capital Investment S.A."/>
    <s v="22/09/2026"/>
    <s v="22/09/2026"/>
    <n v="29"/>
    <s v="No"/>
    <s v=""/>
    <m/>
    <m/>
    <s v="*SOL040100009"/>
    <s v="*SOL040100009"/>
    <n v="1.6960176286424575E-4"/>
  </r>
  <r>
    <x v="283"/>
    <s v="Pesos"/>
    <d v="2027-01-06T00:00:00"/>
    <s v="29/10/2026"/>
    <n v="0.94802748999999997"/>
    <m/>
    <n v="41084332.299999997"/>
    <n v="38949076.310000002"/>
    <n v="41084332.299999997"/>
    <n v="38949076.310000002"/>
    <n v="14058"/>
    <s v="AMOMPY"/>
    <s v="Momentum Capital Investment S.A."/>
    <s v="22/09/2026"/>
    <s v="22/09/2026"/>
    <n v="29"/>
    <s v="No"/>
    <s v=""/>
    <m/>
    <m/>
    <s v="*SOL040100006"/>
    <s v="*SOL040100006"/>
    <n v="4.7668394760230922E-4"/>
  </r>
  <r>
    <x v="283"/>
    <s v="Pesos"/>
    <d v="2027-01-06T00:00:00"/>
    <s v="29/10/2026"/>
    <n v="0.94802748999999997"/>
    <m/>
    <n v="41084332.299999997"/>
    <n v="38949076.310000002"/>
    <n v="41084332.299999997"/>
    <n v="38949076.310000002"/>
    <n v="14057"/>
    <s v="AMOMPY"/>
    <s v="Momentum Capital Investment S.A."/>
    <s v="22/09/2026"/>
    <s v="22/09/2026"/>
    <n v="29"/>
    <s v="No"/>
    <s v=""/>
    <m/>
    <m/>
    <s v="*SOL040100007"/>
    <s v="*SOL040100007"/>
    <n v="4.7668394760230922E-4"/>
  </r>
  <r>
    <x v="283"/>
    <s v="Pesos"/>
    <d v="2027-01-06T00:00:00"/>
    <s v="29/10/2026"/>
    <n v="0.94802748999999997"/>
    <m/>
    <n v="41084332.299999997"/>
    <n v="38949076.310000002"/>
    <n v="41084332.299999997"/>
    <n v="38949076.310000002"/>
    <n v="14056"/>
    <s v="AMOMPY"/>
    <s v="Momentum Capital Investment S.A."/>
    <s v="22/09/2026"/>
    <s v="22/09/2026"/>
    <n v="29"/>
    <s v="No"/>
    <s v=""/>
    <m/>
    <m/>
    <s v="*SOL040100008"/>
    <s v="*SOL040100008"/>
    <n v="4.7668394760230922E-4"/>
  </r>
  <r>
    <x v="361"/>
    <s v="Pesos"/>
    <d v="2027-01-06T00:00:00"/>
    <s v="29/10/2026"/>
    <n v="0.93794182999999998"/>
    <m/>
    <n v="25000000"/>
    <n v="23448545.850000001"/>
    <n v="25000000"/>
    <n v="23448545.850000001"/>
    <n v="10685426"/>
    <s v="AMOMPY"/>
    <s v="Momentum Capital Investment S.A."/>
    <s v="18/09/2026"/>
    <s v="18/09/2026"/>
    <n v="35"/>
    <s v="No"/>
    <s v=""/>
    <m/>
    <m/>
    <s v="*MAV010100438"/>
    <s v="*MAV010100438"/>
    <n v="2.8697844622420382E-4"/>
  </r>
  <r>
    <x v="151"/>
    <s v="Pesos"/>
    <d v="2027-01-06T00:00:00"/>
    <s v="29/10/2026"/>
    <n v="0.94295753000000004"/>
    <m/>
    <n v="13000000"/>
    <n v="12258447.93"/>
    <n v="13000000"/>
    <n v="12258447.93"/>
    <n v="1308"/>
    <s v="AMOMPY"/>
    <s v="Momentum Capital Investment S.A."/>
    <s v="04/09/2026"/>
    <s v="04/09/2026"/>
    <n v="32"/>
    <s v="No"/>
    <s v=""/>
    <m/>
    <m/>
    <s v="*MAV040100750"/>
    <s v="*MAV040100750"/>
    <n v="1.5002680177166327E-4"/>
  </r>
  <r>
    <x v="312"/>
    <s v="Pesos"/>
    <d v="2027-01-06T00:00:00"/>
    <s v="29/10/2026"/>
    <n v="0.94295761"/>
    <m/>
    <n v="1660000"/>
    <n v="1565309.63"/>
    <n v="1660000"/>
    <n v="1565309.63"/>
    <n v="380"/>
    <s v="AMOMPY"/>
    <s v="Momentum Capital Investment S.A."/>
    <s v="01/10/2026"/>
    <s v="01/10/2026"/>
    <n v="32"/>
    <s v="No"/>
    <s v=""/>
    <m/>
    <m/>
    <s v="*MAV030100879"/>
    <s v="*MAV030100879"/>
    <n v="1.915727006488052E-5"/>
  </r>
  <r>
    <x v="149"/>
    <s v="Pesos"/>
    <d v="2027-01-06T00:00:00"/>
    <s v="29/10/2026"/>
    <n v="0.94464144000000005"/>
    <m/>
    <n v="1756706.4"/>
    <n v="1659457.67"/>
    <n v="1756706.4"/>
    <n v="1659457.67"/>
    <n v="503"/>
    <s v="AMOMPY"/>
    <s v="Momentum Capital Investment S.A."/>
    <s v="08/09/2026"/>
    <s v="08/09/2026"/>
    <n v="31"/>
    <s v="No"/>
    <s v=""/>
    <m/>
    <m/>
    <s v="*MAV040100756"/>
    <s v="*MAV040100756"/>
    <n v="2.0309514575354252E-5"/>
  </r>
  <r>
    <x v="362"/>
    <s v="Pesos"/>
    <d v="2027-01-06T00:00:00"/>
    <s v="29/10/2026"/>
    <n v="0.94464148999999997"/>
    <m/>
    <n v="11820000"/>
    <n v="11165662.4"/>
    <n v="11820000"/>
    <n v="11165662.4"/>
    <n v="14310296"/>
    <s v="AMOMPY"/>
    <s v="Momentum Capital Investment S.A."/>
    <s v="09/09/2026"/>
    <s v="09/09/2026"/>
    <n v="31"/>
    <s v="No"/>
    <s v=""/>
    <m/>
    <m/>
    <s v="*MAV030100876"/>
    <s v="*MAV030100876"/>
    <n v="1.3665258677932109E-4"/>
  </r>
  <r>
    <x v="168"/>
    <s v="Pesos"/>
    <d v="2027-01-06T00:00:00"/>
    <s v="29/10/2026"/>
    <n v="0.94295759000000001"/>
    <m/>
    <n v="4000000"/>
    <n v="3771830.37"/>
    <n v="4000000"/>
    <n v="3771830.37"/>
    <n v="726"/>
    <s v="AMOMPY"/>
    <s v="Momentum Capital Investment S.A."/>
    <s v="16/09/2026"/>
    <s v="16/09/2026"/>
    <n v="32"/>
    <s v="No"/>
    <s v=""/>
    <m/>
    <m/>
    <s v="*MAV311201148"/>
    <s v="*MAV311201148"/>
    <n v="4.616209576185142E-5"/>
  </r>
  <r>
    <x v="313"/>
    <s v="Pesos"/>
    <d v="2027-01-06T00:00:00"/>
    <s v="29/10/2026"/>
    <n v="0.93960792999999998"/>
    <m/>
    <n v="1592576.4"/>
    <n v="1496397.41"/>
    <n v="1592576.4"/>
    <n v="1496397.41"/>
    <n v="3986551"/>
    <s v="AMOMPY"/>
    <s v="Momentum Capital Investment S.A."/>
    <s v="21/10/2026"/>
    <s v="21/10/2026"/>
    <n v="34"/>
    <s v="No"/>
    <s v=""/>
    <m/>
    <m/>
    <s v="*MAV311201394"/>
    <s v="*MAV311201394"/>
    <n v="1.8313877815827235E-5"/>
  </r>
  <r>
    <x v="6"/>
    <s v="Pesos"/>
    <d v="2027-01-06T00:00:00"/>
    <s v="29/10/2026"/>
    <n v="0.94974656000000002"/>
    <m/>
    <n v="1720542"/>
    <n v="1634078.85"/>
    <n v="1720542"/>
    <n v="1634078.85"/>
    <n v="12866717"/>
    <s v="AMOMPY"/>
    <s v="Momentum Capital Investment S.A."/>
    <s v="16/10/2026"/>
    <s v="16/10/2026"/>
    <n v="27.99"/>
    <s v="No"/>
    <s v=""/>
    <m/>
    <m/>
    <s v="*CRE040100083"/>
    <s v="*CRE040100083"/>
    <n v="1.9998912187590251E-5"/>
  </r>
  <r>
    <x v="6"/>
    <s v="Pesos"/>
    <d v="2027-01-06T00:00:00"/>
    <s v="29/10/2026"/>
    <n v="0.94974656000000002"/>
    <m/>
    <n v="1720542"/>
    <n v="1634078.85"/>
    <n v="1720542"/>
    <n v="1634078.85"/>
    <n v="12866718"/>
    <s v="AMOMPY"/>
    <s v="Momentum Capital Investment S.A."/>
    <s v="16/10/2026"/>
    <s v="16/10/2026"/>
    <n v="27.99"/>
    <s v="No"/>
    <s v=""/>
    <m/>
    <m/>
    <s v="*CRE040100084"/>
    <s v="*CRE040100084"/>
    <n v="1.9998912187590251E-5"/>
  </r>
  <r>
    <x v="395"/>
    <s v="Pesos"/>
    <d v="2027-01-06T00:00:00"/>
    <s v="29/10/2026"/>
    <n v="0.94802737999999998"/>
    <m/>
    <n v="14000000"/>
    <n v="13272383.34"/>
    <n v="14000000"/>
    <n v="13272383.34"/>
    <n v="120"/>
    <s v="AMOMPY"/>
    <s v="Momentum Capital Investment S.A."/>
    <s v="06/07/2026"/>
    <s v="06/07/2026"/>
    <n v="29"/>
    <s v="No"/>
    <s v=""/>
    <m/>
    <m/>
    <s v="*CUY040100016"/>
    <s v="*CUY040100016"/>
    <n v="1.6243599807726279E-4"/>
  </r>
  <r>
    <x v="54"/>
    <s v="Pesos"/>
    <d v="2027-01-06T00:00:00"/>
    <s v="29/10/2026"/>
    <n v="0.94633140000000004"/>
    <m/>
    <n v="10000000"/>
    <n v="9463313.9800000004"/>
    <n v="10000000"/>
    <n v="9463313.9800000004"/>
    <n v="1328673"/>
    <s v="AMOMPY"/>
    <s v="Momentum Capital Investment S.A."/>
    <s v="16/09/2026"/>
    <s v="16/09/2026"/>
    <n v="30"/>
    <s v="No"/>
    <s v=""/>
    <m/>
    <m/>
    <s v="*INP311200049"/>
    <s v="*INP311200049"/>
    <n v="1.1581814750837465E-4"/>
  </r>
  <r>
    <x v="54"/>
    <s v="Pesos"/>
    <d v="2027-01-06T00:00:00"/>
    <s v="29/10/2026"/>
    <n v="0.94633140000000004"/>
    <m/>
    <n v="10000000"/>
    <n v="9463313.9800000004"/>
    <n v="10000000"/>
    <n v="9463313.9800000004"/>
    <n v="1328674"/>
    <s v="AMOMPY"/>
    <s v="Momentum Capital Investment S.A."/>
    <s v="16/09/2026"/>
    <s v="16/09/2026"/>
    <n v="30"/>
    <s v="No"/>
    <s v=""/>
    <m/>
    <m/>
    <s v="*INP030100042"/>
    <s v="*INP030100042"/>
    <n v="1.1581814750837465E-4"/>
  </r>
  <r>
    <x v="453"/>
    <s v="Pesos"/>
    <d v="2027-01-06T00:00:00"/>
    <s v="29/10/2026"/>
    <n v="0.94127969"/>
    <m/>
    <n v="20007806.68"/>
    <n v="18832942"/>
    <n v="20007806.68"/>
    <n v="18832942"/>
    <n v="29851775"/>
    <s v="AMOMPY"/>
    <s v="Momentum Capital Investment S.A."/>
    <s v="11/08/2026"/>
    <s v="11/08/2026"/>
    <n v="33"/>
    <s v="No"/>
    <s v=""/>
    <m/>
    <m/>
    <s v="*MAV311201065"/>
    <s v="*MAV311201065"/>
    <n v="2.3048970573970792E-4"/>
  </r>
  <r>
    <x v="415"/>
    <s v="Pesos"/>
    <d v="2027-01-06T00:00:00"/>
    <s v="29/10/2026"/>
    <n v="0.94633142999999997"/>
    <m/>
    <n v="50000000"/>
    <n v="47316571.520000003"/>
    <n v="50000000"/>
    <n v="47316571.520000003"/>
    <n v="197099"/>
    <s v="AMOMPY"/>
    <s v="Momentum Capital Investment S.A."/>
    <s v="19/08/2026"/>
    <s v="19/08/2026"/>
    <n v="30"/>
    <s v="No"/>
    <s v=""/>
    <m/>
    <m/>
    <s v="*MAV311201075"/>
    <s v="*MAV311201075"/>
    <n v="5.7909075736847933E-4"/>
  </r>
  <r>
    <x v="104"/>
    <s v="Pesos"/>
    <d v="2027-01-06T00:00:00"/>
    <s v="29/10/2026"/>
    <n v="0.94464150000000002"/>
    <m/>
    <n v="8523313"/>
    <n v="8051475.1500000004"/>
    <n v="8523313"/>
    <n v="8051475.1500000004"/>
    <n v="13680135"/>
    <s v="AMOMPY"/>
    <s v="Momentum Capital Investment S.A."/>
    <s v="02/09/2026"/>
    <s v="02/09/2026"/>
    <n v="31"/>
    <s v="No"/>
    <s v=""/>
    <m/>
    <m/>
    <s v="*MAV020101091"/>
    <s v="*MAV020101091"/>
    <n v="9.8539152199060063E-5"/>
  </r>
  <r>
    <x v="454"/>
    <s v="Pesos"/>
    <d v="2027-01-06T00:00:00"/>
    <s v="29/10/2026"/>
    <n v="0.94464154"/>
    <m/>
    <n v="80000000"/>
    <n v="75571323.140000001"/>
    <n v="80000000"/>
    <n v="75571323.140000001"/>
    <n v="3037"/>
    <s v="AMOMPY"/>
    <s v="Momentum Capital Investment S.A."/>
    <s v="03/09/2026"/>
    <s v="03/09/2026"/>
    <n v="31"/>
    <s v="No"/>
    <s v=""/>
    <m/>
    <m/>
    <s v="*MAV311201094"/>
    <s v="*MAV311201094"/>
    <n v="9.2489065345706368E-4"/>
  </r>
  <r>
    <x v="455"/>
    <s v="Dolar 3500"/>
    <d v="2027-01-06T00:00:00"/>
    <s v="29/10/2026"/>
    <n v="0.98510207000000005"/>
    <s v="1 US3 = 1539,5930209017 $"/>
    <n v="415000"/>
    <n v="408817.36"/>
    <n v="638931103.66999996"/>
    <n v="629412354.27999997"/>
    <n v="163818"/>
    <s v="AMOMPY"/>
    <s v="Momentum Capital Investment S.A."/>
    <s v="07/09/2026"/>
    <s v="07/09/2026"/>
    <n v="8"/>
    <s v="No"/>
    <s v=""/>
    <m/>
    <m/>
    <s v="#UMV040170027"/>
    <s v="#UMV040170027"/>
    <n v="7.7031548404351254E-3"/>
  </r>
  <r>
    <x v="398"/>
    <s v="Pesos"/>
    <d v="2027-01-06T00:00:00"/>
    <s v="29/10/2026"/>
    <n v="0.94127974000000003"/>
    <m/>
    <n v="528139.15"/>
    <n v="497126.68"/>
    <n v="528139.15"/>
    <n v="497126.68"/>
    <n v="17716"/>
    <s v="AMOMPY"/>
    <s v="Momentum Capital Investment S.A."/>
    <s v="16/10/2026"/>
    <s v="16/10/2026"/>
    <n v="33"/>
    <s v="No"/>
    <s v=""/>
    <m/>
    <m/>
    <s v="*MAV311201363"/>
    <s v="*MAV311201363"/>
    <n v="6.0841573339182975E-6"/>
  </r>
  <r>
    <x v="289"/>
    <s v="Pesos"/>
    <d v="2027-01-06T00:00:00"/>
    <s v="29/10/2026"/>
    <n v="0.93794191999999998"/>
    <m/>
    <n v="3000000"/>
    <n v="2813825.75"/>
    <n v="3000000"/>
    <n v="2813825.75"/>
    <n v="54"/>
    <s v="AMOMPY"/>
    <s v="Momentum Capital Investment S.A."/>
    <s v="14/10/2026"/>
    <s v="14/10/2026"/>
    <n v="35"/>
    <s v="No"/>
    <s v=""/>
    <m/>
    <m/>
    <s v="*MAV040100891"/>
    <s v="*MAV040100891"/>
    <n v="3.4437416582088604E-5"/>
  </r>
  <r>
    <x v="106"/>
    <s v="Pesos"/>
    <d v="2027-01-06T00:00:00"/>
    <s v="29/10/2026"/>
    <n v="0.94633138999999999"/>
    <m/>
    <n v="5600000"/>
    <n v="5299455.8099999996"/>
    <n v="5600000"/>
    <n v="5299455.8099999996"/>
    <n v="239"/>
    <s v="AMOMPY"/>
    <s v="Momentum Capital Investment S.A."/>
    <s v="02/07/2026"/>
    <s v="02/07/2026"/>
    <n v="30"/>
    <s v="No"/>
    <s v=""/>
    <m/>
    <m/>
    <s v="*MAV010100420"/>
    <s v="*MAV010100420"/>
    <n v="6.4858162374603246E-5"/>
  </r>
  <r>
    <x v="441"/>
    <s v="Pesos"/>
    <d v="2027-01-06T00:00:00"/>
    <s v="29/10/2026"/>
    <n v="0.94464148999999997"/>
    <m/>
    <n v="25000000"/>
    <n v="23616037.219999999"/>
    <n v="25000000"/>
    <n v="23616037.219999999"/>
    <n v="14384931"/>
    <s v="AMOMPY"/>
    <s v="Momentum Capital Investment S.A."/>
    <s v="09/09/2026"/>
    <s v="09/09/2026"/>
    <n v="31"/>
    <s v="No"/>
    <s v=""/>
    <m/>
    <m/>
    <s v="*MAV040100757"/>
    <s v="*MAV040100757"/>
    <n v="2.8902831376934041E-4"/>
  </r>
  <r>
    <x v="146"/>
    <s v="Pesos"/>
    <d v="2027-01-06T00:00:00"/>
    <s v="29/10/2026"/>
    <n v="0.94633137000000001"/>
    <m/>
    <n v="50000000"/>
    <n v="47316568.549999997"/>
    <n v="50000000"/>
    <n v="47316568.549999997"/>
    <n v="90004397"/>
    <s v="AMOMPY"/>
    <s v="Momentum Capital Investment S.A."/>
    <s v="29/10/2026"/>
    <s v="29/10/2026"/>
    <n v="30"/>
    <s v="No"/>
    <s v=""/>
    <m/>
    <m/>
    <s v="*MAV010100558"/>
    <s v="*MAV010100558"/>
    <n v="5.790907210197014E-4"/>
  </r>
  <r>
    <x v="146"/>
    <s v="Pesos"/>
    <d v="2027-01-06T00:00:00"/>
    <s v="29/10/2026"/>
    <n v="0.94633137000000001"/>
    <m/>
    <n v="50000000"/>
    <n v="47316568.549999997"/>
    <n v="50000000"/>
    <n v="47316568.549999997"/>
    <n v="90004398"/>
    <s v="AMOMPY"/>
    <s v="Momentum Capital Investment S.A."/>
    <s v="29/10/2026"/>
    <s v="29/10/2026"/>
    <n v="30"/>
    <s v="No"/>
    <s v=""/>
    <m/>
    <m/>
    <s v="*MAV040100988"/>
    <s v="*MAV040100988"/>
    <n v="5.790907210197014E-4"/>
  </r>
  <r>
    <x v="146"/>
    <s v="Pesos"/>
    <d v="2027-01-06T00:00:00"/>
    <s v="29/10/2026"/>
    <n v="0.94633146000000001"/>
    <m/>
    <n v="15000000"/>
    <n v="14194971.960000001"/>
    <n v="15000000"/>
    <n v="14194971.960000001"/>
    <n v="90004196"/>
    <s v="AMOMPY"/>
    <s v="Momentum Capital Investment S.A."/>
    <s v="21/09/2026"/>
    <s v="21/09/2026"/>
    <n v="30"/>
    <s v="No"/>
    <s v=""/>
    <m/>
    <m/>
    <s v="*MAV040100794"/>
    <s v="*MAV040100794"/>
    <n v="1.7372723337882127E-4"/>
  </r>
  <r>
    <x v="77"/>
    <s v="Pesos"/>
    <d v="2027-01-06T00:00:00"/>
    <s v="29/10/2026"/>
    <n v="0.94464144999999999"/>
    <m/>
    <n v="72849722.840000004"/>
    <n v="68816868.170000002"/>
    <n v="72849722.840000004"/>
    <n v="68816868.170000002"/>
    <n v="30416620"/>
    <s v="AMOMPY"/>
    <s v="Momentum Capital Investment S.A."/>
    <s v="01/09/2026"/>
    <s v="01/09/2026"/>
    <n v="31"/>
    <s v="No"/>
    <s v=""/>
    <m/>
    <m/>
    <s v="*MAV311201090"/>
    <s v="*MAV311201090"/>
    <n v="8.422252717834299E-4"/>
  </r>
  <r>
    <x v="231"/>
    <s v="Pesos"/>
    <d v="2027-01-06T00:00:00"/>
    <s v="29/10/2026"/>
    <n v="0.94633142999999997"/>
    <m/>
    <n v="4175312.5"/>
    <n v="3951229.44"/>
    <n v="4175312.5"/>
    <n v="3951229.44"/>
    <n v="40952818"/>
    <s v="AMOMPY"/>
    <s v="Momentum Capital Investment S.A."/>
    <s v="19/10/2026"/>
    <s v="19/10/2026"/>
    <n v="30"/>
    <s v="No"/>
    <s v=""/>
    <m/>
    <m/>
    <s v="*MAV010100526"/>
    <s v="*MAV010100526"/>
    <n v="4.8357697429093702E-5"/>
  </r>
  <r>
    <x v="17"/>
    <s v="Pesos"/>
    <d v="2027-01-06T00:00:00"/>
    <s v="29/10/2026"/>
    <n v="0.93960792999999998"/>
    <m/>
    <n v="580000000"/>
    <n v="544972596.66999996"/>
    <n v="580000000"/>
    <n v="544972596.66999996"/>
    <n v="170897"/>
    <s v="AMOMPY"/>
    <s v="Momentum Capital Investment S.A."/>
    <s v="28/10/2026"/>
    <s v="28/10/2026"/>
    <n v="34"/>
    <s v="No"/>
    <s v=""/>
    <m/>
    <m/>
    <s v="#MAV050170049"/>
    <s v="#MAV050170049"/>
    <n v="6.6697265590619252E-3"/>
  </r>
  <r>
    <x v="44"/>
    <s v="Pesos"/>
    <d v="2027-01-06T00:00:00"/>
    <s v="29/10/2026"/>
    <n v="0.94127970000000005"/>
    <m/>
    <n v="25000000"/>
    <n v="23531992.539999999"/>
    <n v="25000000"/>
    <n v="23531992.539999999"/>
    <n v="14422600"/>
    <s v="AMOMPY"/>
    <s v="Momentum Capital Investment S.A."/>
    <s v="02/09/2026"/>
    <s v="02/09/2026"/>
    <n v="33"/>
    <s v="No"/>
    <s v=""/>
    <m/>
    <m/>
    <s v="*MAV020101090"/>
    <s v="*MAV020101090"/>
    <n v="2.8799972070288338E-4"/>
  </r>
  <r>
    <x v="44"/>
    <s v="Pesos"/>
    <d v="2027-01-06T00:00:00"/>
    <s v="29/10/2026"/>
    <n v="0.94127974999999997"/>
    <m/>
    <n v="25000000"/>
    <n v="23531993.670000002"/>
    <n v="25000000"/>
    <n v="23531993.670000002"/>
    <n v="14422660"/>
    <s v="AMOMPY"/>
    <s v="Momentum Capital Investment S.A."/>
    <s v="03/09/2026"/>
    <s v="03/09/2026"/>
    <n v="33"/>
    <s v="No"/>
    <s v=""/>
    <m/>
    <m/>
    <s v="*MAV311201097"/>
    <s v="*MAV311201097"/>
    <n v="2.879997345325531E-4"/>
  </r>
  <r>
    <x v="44"/>
    <s v="Pesos"/>
    <d v="2027-01-06T00:00:00"/>
    <s v="29/10/2026"/>
    <n v="0.94295761"/>
    <m/>
    <n v="11000000"/>
    <n v="10372533.75"/>
    <n v="11000000"/>
    <n v="10372533.75"/>
    <n v="14651803"/>
    <s v="AMOMPY"/>
    <s v="Momentum Capital Investment S.A."/>
    <s v="01/10/2026"/>
    <s v="01/10/2026"/>
    <n v="32"/>
    <s v="No"/>
    <s v=""/>
    <m/>
    <m/>
    <s v="*MAV010100465"/>
    <s v="*MAV010100465"/>
    <n v="1.2694576619057653E-4"/>
  </r>
  <r>
    <x v="44"/>
    <s v="Pesos"/>
    <d v="2027-01-06T00:00:00"/>
    <s v="29/10/2026"/>
    <n v="0.94127970999999999"/>
    <m/>
    <n v="12500000"/>
    <n v="11765996.42"/>
    <n v="12500000"/>
    <n v="11765996.42"/>
    <n v="14651826"/>
    <s v="AMOMPY"/>
    <s v="Momentum Capital Investment S.A."/>
    <s v="01/10/2026"/>
    <s v="01/10/2026"/>
    <n v="33"/>
    <s v="No"/>
    <s v=""/>
    <m/>
    <m/>
    <s v="*MAV040100843"/>
    <s v="*MAV040100843"/>
    <n v="1.4399986218723856E-4"/>
  </r>
  <r>
    <x v="44"/>
    <s v="Pesos"/>
    <d v="2027-01-06T00:00:00"/>
    <s v="29/10/2026"/>
    <n v="0.94127970999999999"/>
    <m/>
    <n v="12500000"/>
    <n v="11765996.42"/>
    <n v="12500000"/>
    <n v="11765996.42"/>
    <n v="14651825"/>
    <s v="AMOMPY"/>
    <s v="Momentum Capital Investment S.A."/>
    <s v="01/10/2026"/>
    <s v="01/10/2026"/>
    <n v="33"/>
    <s v="No"/>
    <s v=""/>
    <m/>
    <m/>
    <s v="*MAV311201218"/>
    <s v="*MAV311201218"/>
    <n v="1.4399986218723856E-4"/>
  </r>
  <r>
    <x v="44"/>
    <s v="Pesos"/>
    <d v="2027-01-06T00:00:00"/>
    <s v="29/10/2026"/>
    <n v="0.94295759999999995"/>
    <m/>
    <n v="10000000"/>
    <n v="9429576.0199999996"/>
    <n v="10000000"/>
    <n v="9429576.0199999996"/>
    <n v="14725219"/>
    <s v="AMOMPY"/>
    <s v="Momentum Capital Investment S.A."/>
    <s v="26/10/2026"/>
    <s v="26/10/2026"/>
    <n v="32"/>
    <s v="No"/>
    <s v=""/>
    <m/>
    <m/>
    <s v="*MAV311201417"/>
    <s v="*MAV311201417"/>
    <n v="1.154052405672999E-4"/>
  </r>
  <r>
    <x v="342"/>
    <s v="Pesos"/>
    <d v="2027-01-06T00:00:00"/>
    <s v="29/10/2026"/>
    <n v="0.94802743"/>
    <m/>
    <n v="8650000"/>
    <n v="8200437.29"/>
    <n v="8650000"/>
    <n v="8200437.29"/>
    <n v="2048459"/>
    <s v="AMOMPY"/>
    <s v="Momentum Capital Investment S.A."/>
    <s v="23/10/2026"/>
    <s v="23/10/2026"/>
    <n v="29"/>
    <s v="No"/>
    <s v=""/>
    <m/>
    <m/>
    <s v="*MAV311201407"/>
    <s v="*MAV311201407"/>
    <n v="1.0036224706203778E-4"/>
  </r>
  <r>
    <x v="456"/>
    <s v="Pesos"/>
    <d v="2027-01-06T00:00:00"/>
    <s v="29/10/2026"/>
    <n v="0.93794180999999999"/>
    <m/>
    <n v="719400"/>
    <n v="674755.34"/>
    <n v="719400"/>
    <n v="674755.34"/>
    <n v="2154"/>
    <s v="AMOMPY"/>
    <s v="Momentum Capital Investment S.A."/>
    <s v="23/10/2026"/>
    <s v="23/10/2026"/>
    <n v="35"/>
    <s v="No"/>
    <s v=""/>
    <m/>
    <m/>
    <s v="*MAV040100931"/>
    <s v="*MAV040100931"/>
    <n v="8.2580915803222115E-6"/>
  </r>
  <r>
    <x v="204"/>
    <s v="Pesos"/>
    <d v="2027-01-06T00:00:00"/>
    <s v="29/10/2026"/>
    <n v="0.94295761"/>
    <m/>
    <n v="6207477.2300000004"/>
    <n v="5853387.9199999999"/>
    <n v="6207477.2300000004"/>
    <n v="5853387.9199999999"/>
    <n v="90000731"/>
    <s v="AMOMPY"/>
    <s v="Momentum Capital Investment S.A."/>
    <s v="01/10/2026"/>
    <s v="01/10/2026"/>
    <n v="32"/>
    <s v="No"/>
    <s v=""/>
    <m/>
    <m/>
    <s v="*MAV311201205"/>
    <s v="*MAV311201205"/>
    <n v="7.1637541243485E-5"/>
  </r>
  <r>
    <x v="269"/>
    <s v="Pesos"/>
    <d v="2027-01-06T00:00:00"/>
    <s v="29/10/2026"/>
    <n v="0.94127967000000001"/>
    <m/>
    <n v="25000000"/>
    <n v="23531991.739999998"/>
    <n v="25000000"/>
    <n v="23531991.739999998"/>
    <n v="2369"/>
    <s v="AMOMPY"/>
    <s v="Momentum Capital Investment S.A."/>
    <s v="23/09/2026"/>
    <s v="23/09/2026"/>
    <n v="33"/>
    <s v="No"/>
    <s v=""/>
    <m/>
    <m/>
    <s v="*MAV040100803"/>
    <s v="*MAV040100803"/>
    <n v="2.8799971091196676E-4"/>
  </r>
  <r>
    <x v="205"/>
    <s v="Pesos"/>
    <d v="2027-01-06T00:00:00"/>
    <s v="29/10/2026"/>
    <n v="0.94633142999999997"/>
    <m/>
    <n v="1343298.29"/>
    <n v="1271205.3899999999"/>
    <n v="1343298.29"/>
    <n v="1271205.3899999999"/>
    <n v="10793613"/>
    <s v="AMOMPY"/>
    <s v="Momentum Capital Investment S.A."/>
    <s v="19/10/2026"/>
    <s v="19/10/2026"/>
    <n v="30"/>
    <s v="No"/>
    <s v=""/>
    <m/>
    <m/>
    <s v="*MAV040100904"/>
    <s v="*MAV040100904"/>
    <n v="1.5557832455270695E-5"/>
  </r>
  <r>
    <x v="277"/>
    <s v="Pesos"/>
    <d v="2027-01-06T00:00:00"/>
    <s v="29/10/2026"/>
    <n v="0.93794184999999997"/>
    <m/>
    <n v="85000000"/>
    <n v="79725056.879999995"/>
    <n v="85000000"/>
    <n v="79725056.879999995"/>
    <n v="1688"/>
    <s v="AMOMPY"/>
    <s v="Momentum Capital Investment S.A."/>
    <s v="13/10/2026"/>
    <s v="13/10/2026"/>
    <n v="35"/>
    <s v="No"/>
    <s v=""/>
    <m/>
    <m/>
    <s v="*MAV040100879"/>
    <s v="*MAV040100879"/>
    <n v="9.7572672927855215E-4"/>
  </r>
  <r>
    <x v="120"/>
    <s v="Dolar 3500"/>
    <d v="2027-01-06T00:00:00"/>
    <s v="29/10/2026"/>
    <n v="0.9832708"/>
    <s v="1 US3 = 1539,5930209017 $"/>
    <n v="100000"/>
    <n v="98327.08"/>
    <n v="153959302.09"/>
    <n v="151383686.13"/>
    <n v="170004"/>
    <s v="AMOMPY"/>
    <s v="Momentum Capital Investment S.A."/>
    <s v="20/10/2026"/>
    <s v="20/10/2026"/>
    <n v="9"/>
    <s v="No"/>
    <s v=""/>
    <m/>
    <m/>
    <s v="#UMV040170039"/>
    <s v="#UMV040170039"/>
    <n v="1.8527313082521042E-3"/>
  </r>
  <r>
    <x v="121"/>
    <s v="Dolar 3500"/>
    <d v="2027-01-06T00:00:00"/>
    <s v="29/10/2026"/>
    <n v="0.98144659999999995"/>
    <s v="1 US3 = 1539,5930209017 $"/>
    <n v="263100"/>
    <n v="258218.6"/>
    <n v="405066923.80000001"/>
    <n v="397551554.43000001"/>
    <n v="167179"/>
    <s v="AMOMPY"/>
    <s v="Momentum Capital Investment S.A."/>
    <s v="30/09/2026"/>
    <s v="30/09/2026"/>
    <n v="10"/>
    <s v="No"/>
    <s v=""/>
    <m/>
    <m/>
    <s v="#UMV040170030"/>
    <s v="#UMV040170030"/>
    <n v="4.8654926456490003E-3"/>
  </r>
  <r>
    <x v="121"/>
    <s v="Dolar 3500"/>
    <d v="2027-01-06T00:00:00"/>
    <s v="29/10/2026"/>
    <n v="0.98327103999999999"/>
    <s v="1 US3 = 1539,5930209017 $"/>
    <n v="125000"/>
    <n v="122908.88"/>
    <n v="192449127.61000001"/>
    <n v="189229653.84999999"/>
    <n v="163251"/>
    <s v="AMOMPY"/>
    <s v="Momentum Capital Investment S.A."/>
    <s v="01/09/2026"/>
    <s v="01/09/2026"/>
    <n v="9"/>
    <s v="No"/>
    <s v=""/>
    <m/>
    <m/>
    <s v="#UMV040170023"/>
    <s v="#UMV040170023"/>
    <n v="2.3159147005875811E-3"/>
  </r>
  <r>
    <x v="25"/>
    <s v="Pesos"/>
    <d v="2027-01-06T00:00:00"/>
    <s v="29/10/2026"/>
    <n v="0.95143761000000004"/>
    <m/>
    <n v="4701505.6900000004"/>
    <n v="4473189.32"/>
    <n v="4701505.6900000004"/>
    <n v="4473189.32"/>
    <n v="54486957"/>
    <s v="AMOMPY"/>
    <s v="Momentum Capital Investment S.A."/>
    <s v="29/10/2026"/>
    <s v="29/10/2026"/>
    <n v="27"/>
    <s v="No"/>
    <s v=""/>
    <m/>
    <m/>
    <s v="*NEU030100018"/>
    <s v="*NEU030100018"/>
    <n v="5.4745779500876931E-5"/>
  </r>
  <r>
    <x v="25"/>
    <s v="Pesos"/>
    <d v="2027-01-06T00:00:00"/>
    <s v="29/10/2026"/>
    <n v="0.94633140000000004"/>
    <m/>
    <n v="7000000"/>
    <n v="6624319.79"/>
    <n v="7000000"/>
    <n v="6624319.79"/>
    <n v="3385318"/>
    <s v="AMOMPY"/>
    <s v="Momentum Capital Investment S.A."/>
    <s v="16/09/2026"/>
    <s v="16/09/2026"/>
    <n v="30"/>
    <s v="No"/>
    <s v=""/>
    <m/>
    <m/>
    <s v="*NEU311200026"/>
    <s v="*NEU311200026"/>
    <n v="8.1072703304816836E-5"/>
  </r>
  <r>
    <x v="156"/>
    <s v="Pesos"/>
    <d v="2027-01-06T00:00:00"/>
    <s v="29/10/2026"/>
    <n v="0.94633142999999997"/>
    <m/>
    <n v="75000000"/>
    <n v="70974857.019999996"/>
    <n v="75000000"/>
    <n v="70974857.019999996"/>
    <n v="344"/>
    <s v="AMOMPY"/>
    <s v="Momentum Capital Investment S.A."/>
    <s v="01/10/2026"/>
    <s v="01/10/2026"/>
    <n v="30"/>
    <s v="No"/>
    <s v=""/>
    <m/>
    <m/>
    <s v="*MAV010100469"/>
    <s v="*MAV010100469"/>
    <n v="8.6863613287067106E-4"/>
  </r>
  <r>
    <x v="27"/>
    <s v="Pesos"/>
    <d v="2027-01-06T00:00:00"/>
    <s v="29/10/2026"/>
    <n v="0.94295766999999997"/>
    <m/>
    <n v="6000000"/>
    <n v="5657746.0300000003"/>
    <n v="6000000"/>
    <n v="5657746.0300000003"/>
    <n v="70158562"/>
    <s v="AMOMPY"/>
    <s v="Momentum Capital Investment S.A."/>
    <s v="02/10/2026"/>
    <s v="02/10/2026"/>
    <n v="32"/>
    <s v="No"/>
    <s v=""/>
    <m/>
    <m/>
    <s v="*MAV311201222"/>
    <s v="*MAV311201222"/>
    <n v="6.9243149456133871E-5"/>
  </r>
  <r>
    <x v="457"/>
    <s v="Pesos"/>
    <d v="2027-01-06T00:00:00"/>
    <s v="29/10/2026"/>
    <n v="0.94295766999999997"/>
    <m/>
    <n v="9354800"/>
    <n v="8821180.4199999999"/>
    <n v="9354800"/>
    <n v="8821180.4199999999"/>
    <n v="14300596"/>
    <s v="AMOMPY"/>
    <s v="Momentum Capital Investment S.A."/>
    <s v="02/10/2026"/>
    <s v="02/10/2026"/>
    <n v="32"/>
    <s v="No"/>
    <s v=""/>
    <m/>
    <m/>
    <s v="*MAV040100850"/>
    <s v="*MAV040100850"/>
    <n v="1.0795930233750377E-4"/>
  </r>
  <r>
    <x v="355"/>
    <s v="Pesos"/>
    <d v="2027-01-06T00:00:00"/>
    <s v="29/10/2026"/>
    <n v="0.94295764000000004"/>
    <m/>
    <n v="5106355"/>
    <n v="4815076.46"/>
    <n v="5106355"/>
    <n v="4815076.46"/>
    <n v="10406"/>
    <s v="AMOMPY"/>
    <s v="Momentum Capital Investment S.A."/>
    <s v="05/10/2026"/>
    <s v="05/10/2026"/>
    <n v="32"/>
    <s v="No"/>
    <s v=""/>
    <m/>
    <m/>
    <s v="*MAV040100853"/>
    <s v="*MAV040100853"/>
    <n v="5.8930015096929329E-5"/>
  </r>
  <r>
    <x v="126"/>
    <s v="Pesos"/>
    <d v="2027-01-06T00:00:00"/>
    <s v="29/10/2026"/>
    <n v="0.94295770999999995"/>
    <m/>
    <n v="363375.5"/>
    <n v="342647.73"/>
    <n v="363375.5"/>
    <n v="342647.73"/>
    <n v="306"/>
    <s v="AMOMPY"/>
    <s v="Momentum Capital Investment S.A."/>
    <s v="06/10/2026"/>
    <s v="06/10/2026"/>
    <n v="32"/>
    <s v="No"/>
    <s v=""/>
    <m/>
    <m/>
    <s v="*MAV010100478"/>
    <s v="*MAV010100478"/>
    <n v="4.1935441876303171E-6"/>
  </r>
  <r>
    <x v="127"/>
    <s v="Pesos"/>
    <d v="2027-01-06T00:00:00"/>
    <s v="29/10/2026"/>
    <n v="0.94295770000000001"/>
    <m/>
    <n v="17889421.149999999"/>
    <n v="16868967.379999999"/>
    <n v="17889421.149999999"/>
    <n v="16868967.379999999"/>
    <n v="90000935"/>
    <s v="AMOMPY"/>
    <s v="Momentum Capital Investment S.A."/>
    <s v="06/10/2026"/>
    <s v="06/10/2026"/>
    <n v="32"/>
    <s v="No"/>
    <s v=""/>
    <m/>
    <m/>
    <s v="*MAV311201249"/>
    <s v="*MAV311201249"/>
    <n v="2.0645331608566157E-4"/>
  </r>
  <r>
    <x v="458"/>
    <s v="Pesos"/>
    <d v="2027-01-06T00:00:00"/>
    <s v="29/10/2026"/>
    <n v="0.93794191999999998"/>
    <m/>
    <n v="6000000"/>
    <n v="5627651.5"/>
    <n v="6000000"/>
    <n v="5627651.5"/>
    <n v="69332913"/>
    <s v="AMOMPY"/>
    <s v="Momentum Capital Investment S.A."/>
    <s v="14/10/2026"/>
    <s v="14/10/2026"/>
    <n v="35"/>
    <s v="No"/>
    <s v=""/>
    <m/>
    <m/>
    <s v="*MAV040100890"/>
    <s v="*MAV040100890"/>
    <n v="6.8874833164177208E-5"/>
  </r>
  <r>
    <x v="133"/>
    <s v="Pesos"/>
    <d v="2027-01-06T00:00:00"/>
    <s v="29/10/2026"/>
    <n v="0.94633140000000004"/>
    <m/>
    <n v="2776829.85"/>
    <n v="2627801.2799999998"/>
    <n v="2776829.85"/>
    <n v="2627801.2799999998"/>
    <n v="88"/>
    <s v="AMOMPY"/>
    <s v="Momentum Capital Investment S.A."/>
    <s v="15/10/2026"/>
    <s v="15/10/2026"/>
    <n v="30"/>
    <s v="No"/>
    <s v=""/>
    <m/>
    <m/>
    <s v="*MAV020101129"/>
    <s v="*MAV020101129"/>
    <n v="3.2160728991233966E-5"/>
  </r>
  <r>
    <x v="459"/>
    <s v="Pesos"/>
    <d v="2027-01-06T00:00:00"/>
    <s v="29/10/2026"/>
    <n v="0.94633146999999995"/>
    <m/>
    <n v="26800000"/>
    <n v="25361683.280000001"/>
    <n v="26800000"/>
    <n v="25361683.280000001"/>
    <n v="7042"/>
    <s v="AMOMPY"/>
    <s v="Momentum Capital Investment S.A."/>
    <s v="16/10/2026"/>
    <s v="16/10/2026"/>
    <n v="30"/>
    <s v="No"/>
    <s v=""/>
    <m/>
    <m/>
    <s v="MAVR020100078"/>
    <s v="MAVR020100078"/>
    <n v="3.10392657518452E-4"/>
  </r>
  <r>
    <x v="29"/>
    <s v="Pesos"/>
    <d v="2027-01-06T00:00:00"/>
    <s v="29/10/2026"/>
    <n v="0.94295766999999997"/>
    <m/>
    <n v="15000000"/>
    <n v="14144364.99"/>
    <n v="15000000"/>
    <n v="14144364.99"/>
    <n v="2201"/>
    <s v="AMOMPY"/>
    <s v="Momentum Capital Investment S.A."/>
    <s v="07/09/2026"/>
    <s v="07/09/2026"/>
    <n v="32"/>
    <s v="No"/>
    <s v=""/>
    <m/>
    <m/>
    <s v="*MIL010100006"/>
    <s v="*MIL010100006"/>
    <n v="1.7310787260004979E-4"/>
  </r>
  <r>
    <x v="316"/>
    <s v="Pesos"/>
    <d v="2027-01-06T00:00:00"/>
    <s v="29/10/2026"/>
    <n v="0.95143770999999999"/>
    <m/>
    <n v="22500000"/>
    <n v="21407348.390000001"/>
    <n v="22500000"/>
    <n v="21407348.390000001"/>
    <n v="80314059"/>
    <s v="AMOMPY"/>
    <s v="Momentum Capital Investment S.A."/>
    <s v="31/08/2026"/>
    <s v="31/08/2026"/>
    <n v="27"/>
    <s v="No"/>
    <s v=""/>
    <m/>
    <m/>
    <s v="*POT311200146"/>
    <s v="*POT311200146"/>
    <n v="2.6199695358688569E-4"/>
  </r>
  <r>
    <x v="460"/>
    <s v="Pesos"/>
    <d v="2027-01-06T00:00:00"/>
    <s v="29/10/2026"/>
    <n v="0.94295775999999998"/>
    <m/>
    <n v="21158775.73"/>
    <n v="19951831.73"/>
    <n v="21158775.73"/>
    <n v="19951831.73"/>
    <n v="1051"/>
    <s v="AMOMPY"/>
    <s v="Momentum Capital Investment S.A."/>
    <s v="21/10/2026"/>
    <s v="21/10/2026"/>
    <n v="32"/>
    <s v="No"/>
    <s v=""/>
    <m/>
    <m/>
    <s v="*MAV311201395"/>
    <s v="*MAV311201395"/>
    <n v="2.4418340078867485E-4"/>
  </r>
  <r>
    <x v="137"/>
    <s v="Dolar 3500"/>
    <d v="2027-01-06T00:00:00"/>
    <s v="29/10/2026"/>
    <n v="0.98510149999999996"/>
    <s v="1 US3 = 1539,5930209017 $"/>
    <n v="20000"/>
    <n v="19702.03"/>
    <n v="30791860.420000002"/>
    <n v="30333107.890000001"/>
    <n v="159382"/>
    <s v="AMOMPY"/>
    <s v="Momentum Capital Investment S.A."/>
    <s v="03/08/2026"/>
    <s v="03/08/2026"/>
    <n v="8"/>
    <s v="No"/>
    <s v=""/>
    <m/>
    <m/>
    <s v="#UMV040170022"/>
    <s v="#UMV040170022"/>
    <n v="3.7123616223832222E-4"/>
  </r>
  <r>
    <x v="447"/>
    <s v="Pesos"/>
    <d v="2027-01-06T00:00:00"/>
    <s v="29/10/2026"/>
    <n v="0.93462736999999996"/>
    <m/>
    <n v="25000000"/>
    <n v="23365684.23"/>
    <n v="25000000"/>
    <n v="23365684.23"/>
    <n v="1118"/>
    <s v="AMOMPY"/>
    <s v="Momentum Capital Investment S.A."/>
    <s v="11/08/2026"/>
    <s v="11/08/2026"/>
    <n v="37"/>
    <s v="No"/>
    <s v=""/>
    <m/>
    <m/>
    <s v="*MAV311201066"/>
    <s v="*MAV311201066"/>
    <n v="2.8596433220999849E-4"/>
  </r>
  <r>
    <x v="393"/>
    <s v="Pesos"/>
    <d v="2027-01-06T00:00:00"/>
    <s v="29/10/2026"/>
    <n v="0.94127976000000002"/>
    <m/>
    <n v="1800000"/>
    <n v="1694303.57"/>
    <n v="1800000"/>
    <n v="1694303.57"/>
    <n v="30000449"/>
    <s v="AMOMPY"/>
    <s v="Momentum Capital Investment S.A."/>
    <s v="16/10/2026"/>
    <s v="16/10/2026"/>
    <n v="33"/>
    <s v="No"/>
    <s v=""/>
    <m/>
    <m/>
    <s v="*MAV311201362"/>
    <s v="*MAV311201362"/>
    <n v="2.0735981201611338E-5"/>
  </r>
  <r>
    <x v="368"/>
    <s v="Pesos"/>
    <d v="2027-01-06T00:00:00"/>
    <s v="29/10/2026"/>
    <n v="0.94127985999999997"/>
    <m/>
    <n v="4725000"/>
    <n v="4447547.3499999996"/>
    <n v="4725000"/>
    <n v="4447547.3499999996"/>
    <n v="11163481"/>
    <s v="AMOMPY"/>
    <s v="Momentum Capital Investment S.A."/>
    <s v="21/10/2026"/>
    <s v="21/10/2026"/>
    <n v="33"/>
    <s v="No"/>
    <s v=""/>
    <m/>
    <m/>
    <s v="*MAV040100926"/>
    <s v="*MAV040100926"/>
    <n v="5.4431956513481411E-5"/>
  </r>
  <r>
    <x v="461"/>
    <s v="Pesos"/>
    <d v="2027-01-06T00:00:00"/>
    <s v="29/10/2026"/>
    <n v="0.94127970999999999"/>
    <m/>
    <n v="14000000"/>
    <n v="13177915.99"/>
    <n v="14000000"/>
    <n v="13177915.99"/>
    <n v="90000191"/>
    <s v="AMOMPY"/>
    <s v="Momentum Capital Investment S.A."/>
    <s v="01/10/2026"/>
    <s v="01/10/2026"/>
    <n v="33"/>
    <s v="No"/>
    <s v=""/>
    <m/>
    <m/>
    <s v="*MAV020101109"/>
    <s v="*MAV020101109"/>
    <n v="1.6127984564481173E-4"/>
  </r>
  <r>
    <x v="462"/>
    <s v="Pesos"/>
    <d v="2027-01-06T00:00:00"/>
    <s v="29/10/2026"/>
    <n v="0.96356923999999999"/>
    <m/>
    <n v="479785.49"/>
    <n v="462306.54"/>
    <n v="479785.49"/>
    <n v="462306.54"/>
    <n v="158"/>
    <s v="AMOMPY"/>
    <s v="Momentum Capital Investment S.A."/>
    <s v="02/10/2026"/>
    <s v="02/10/2026"/>
    <n v="20"/>
    <s v="No"/>
    <s v=""/>
    <m/>
    <m/>
    <s v="*MAV311201212"/>
    <s v="*MAV311201212"/>
    <n v="5.6580059751759711E-6"/>
  </r>
  <r>
    <x v="463"/>
    <s v="Pesos"/>
    <d v="2027-01-06T00:00:00"/>
    <s v="29/10/2026"/>
    <n v="0.96356925000000004"/>
    <m/>
    <n v="930850"/>
    <n v="896938.44"/>
    <n v="930850"/>
    <n v="896938.44"/>
    <n v="11272802"/>
    <s v="AMOMPY"/>
    <s v="Momentum Capital Investment S.A."/>
    <s v="02/10/2026"/>
    <s v="02/10/2026"/>
    <n v="20"/>
    <s v="No"/>
    <s v=""/>
    <m/>
    <m/>
    <s v="*MAV010100467"/>
    <s v="*MAV010100467"/>
    <n v="1.0977311834881276E-5"/>
  </r>
  <r>
    <x v="0"/>
    <s v="Pesos"/>
    <d v="2027-01-07T00:00:00"/>
    <s v="29/10/2026"/>
    <n v="0.94731392000000003"/>
    <m/>
    <n v="11916548.66"/>
    <n v="11288712.449999999"/>
    <n v="11916548.66"/>
    <n v="11288712.449999999"/>
    <n v="22882"/>
    <s v="AMOMPY"/>
    <s v="Momentum Capital Investment S.A."/>
    <s v="28/10/2026"/>
    <s v="28/10/2026"/>
    <n v="29"/>
    <s v="No"/>
    <s v=""/>
    <m/>
    <m/>
    <s v="*TRD050100036"/>
    <s v="*TRD050100036"/>
    <n v="1.3815855275191083E-4"/>
  </r>
  <r>
    <x v="1"/>
    <s v="Pesos"/>
    <d v="2027-01-07T00:00:00"/>
    <s v="29/10/2026"/>
    <n v="0.94559585999999995"/>
    <m/>
    <n v="10000000"/>
    <n v="9455958.6199999992"/>
    <n v="10000000"/>
    <n v="9455958.6199999992"/>
    <n v="195811"/>
    <s v="AMOMPY"/>
    <s v="Momentum Capital Investment S.A."/>
    <s v="16/09/2026"/>
    <s v="16/09/2026"/>
    <n v="30"/>
    <s v="No"/>
    <s v=""/>
    <m/>
    <m/>
    <s v="*AFB050100007"/>
    <s v="*AFB050100007"/>
    <n v="1.1572812786290397E-4"/>
  </r>
  <r>
    <x v="54"/>
    <s v="Pesos"/>
    <d v="2027-01-07T00:00:00"/>
    <s v="29/10/2026"/>
    <n v="0.94559590000000004"/>
    <m/>
    <n v="5000000"/>
    <n v="4727979.4800000004"/>
    <n v="5000000"/>
    <n v="4727979.4800000004"/>
    <n v="60078055"/>
    <s v="AMOMPY"/>
    <s v="Momentum Capital Investment S.A."/>
    <s v="24/09/2026"/>
    <s v="24/09/2026"/>
    <n v="30"/>
    <s v="No"/>
    <s v=""/>
    <m/>
    <m/>
    <s v="*INP050100042"/>
    <s v="*INP050100042"/>
    <n v="5.786406601202177E-5"/>
  </r>
  <r>
    <x v="353"/>
    <s v="Pesos"/>
    <d v="2027-01-07T00:00:00"/>
    <s v="29/10/2026"/>
    <n v="0.94559587000000001"/>
    <m/>
    <n v="6250000"/>
    <n v="5909974.1799999997"/>
    <n v="6250000"/>
    <n v="5909974.1799999997"/>
    <n v="391"/>
    <s v="AMOMPY"/>
    <s v="Momentum Capital Investment S.A."/>
    <s v="08/10/2026"/>
    <s v="08/10/2026"/>
    <n v="30"/>
    <s v="No"/>
    <s v=""/>
    <m/>
    <m/>
    <s v="*MAV050101333"/>
    <s v="*MAV050101333"/>
    <n v="7.2330080434457428E-5"/>
  </r>
  <r>
    <x v="289"/>
    <s v="Pesos"/>
    <d v="2027-01-07T00:00:00"/>
    <s v="29/10/2026"/>
    <n v="0.93709902"/>
    <m/>
    <n v="3000000"/>
    <n v="2811297.07"/>
    <n v="3000000"/>
    <n v="2811297.07"/>
    <n v="51"/>
    <s v="AMOMPY"/>
    <s v="Momentum Capital Investment S.A."/>
    <s v="14/10/2026"/>
    <s v="14/10/2026"/>
    <n v="35"/>
    <s v="No"/>
    <s v=""/>
    <m/>
    <m/>
    <s v="*MAV050101367"/>
    <s v="*MAV050101367"/>
    <n v="3.4406468963330479E-5"/>
  </r>
  <r>
    <x v="289"/>
    <s v="Pesos"/>
    <d v="2027-01-07T00:00:00"/>
    <s v="29/10/2026"/>
    <n v="0.94047935999999999"/>
    <m/>
    <n v="2500000"/>
    <n v="2351198.4"/>
    <n v="2500000"/>
    <n v="2351198.4"/>
    <n v="32"/>
    <s v="AMOMPY"/>
    <s v="Momentum Capital Investment S.A."/>
    <s v="13/10/2026"/>
    <s v="13/10/2026"/>
    <n v="33"/>
    <s v="No"/>
    <s v=""/>
    <m/>
    <m/>
    <s v="*MAV050101351"/>
    <s v="*MAV050101351"/>
    <n v="2.8775484326966653E-5"/>
  </r>
  <r>
    <x v="107"/>
    <s v="Pesos"/>
    <d v="2027-01-07T00:00:00"/>
    <s v="29/10/2026"/>
    <n v="0.93878609999999996"/>
    <m/>
    <n v="242300.7"/>
    <n v="227468.53"/>
    <n v="242300.7"/>
    <n v="227468.53"/>
    <n v="30107566"/>
    <s v="AMOMPY"/>
    <s v="Momentum Capital Investment S.A."/>
    <s v="27/10/2026"/>
    <s v="27/10/2026"/>
    <n v="34"/>
    <s v="No"/>
    <s v=""/>
    <m/>
    <m/>
    <s v="*MAV050101423"/>
    <s v="*MAV050101423"/>
    <n v="2.7839067600135933E-6"/>
  </r>
  <r>
    <x v="146"/>
    <s v="Pesos"/>
    <d v="2027-01-07T00:00:00"/>
    <s v="29/10/2026"/>
    <n v="0.94559607999999995"/>
    <m/>
    <n v="50000000"/>
    <n v="47279803.810000002"/>
    <n v="50000000"/>
    <n v="47279803.810000002"/>
    <n v="90004399"/>
    <s v="AMOMPY"/>
    <s v="Momentum Capital Investment S.A."/>
    <s v="29/10/2026"/>
    <s v="29/10/2026"/>
    <n v="30"/>
    <s v="No"/>
    <s v=""/>
    <m/>
    <m/>
    <s v="*MAV050101438"/>
    <s v="*MAV050101438"/>
    <n v="5.7864077039041601E-4"/>
  </r>
  <r>
    <x v="146"/>
    <s v="Pesos"/>
    <d v="2027-01-07T00:00:00"/>
    <s v="29/10/2026"/>
    <n v="0.94559590000000004"/>
    <m/>
    <n v="25000000"/>
    <n v="23639897.399999999"/>
    <n v="25000000"/>
    <n v="23639897.399999999"/>
    <n v="90004233"/>
    <s v="AMOMPY"/>
    <s v="Momentum Capital Investment S.A."/>
    <s v="24/09/2026"/>
    <s v="24/09/2026"/>
    <n v="30"/>
    <s v="No"/>
    <s v=""/>
    <m/>
    <m/>
    <s v="*MAV050101290"/>
    <s v="*MAV050101290"/>
    <n v="2.8932033006010883E-4"/>
  </r>
  <r>
    <x v="406"/>
    <s v="Pesos"/>
    <d v="2027-01-07T00:00:00"/>
    <s v="29/10/2026"/>
    <n v="0.94047930999999996"/>
    <m/>
    <n v="1490000"/>
    <n v="1401314.17"/>
    <n v="1490000"/>
    <n v="1401314.17"/>
    <n v="90003557"/>
    <s v="AMOMPY"/>
    <s v="Momentum Capital Investment S.A."/>
    <s v="23/10/2026"/>
    <s v="23/10/2026"/>
    <n v="33"/>
    <s v="No"/>
    <s v=""/>
    <m/>
    <m/>
    <s v="*MAV050101408"/>
    <s v="*MAV050101408"/>
    <n v="1.7150187723839589E-5"/>
  </r>
  <r>
    <x v="178"/>
    <s v="Pesos"/>
    <d v="2027-01-07T00:00:00"/>
    <s v="29/10/2026"/>
    <n v="0.94047950000000002"/>
    <m/>
    <n v="37700000"/>
    <n v="35456077.039999999"/>
    <n v="37700000"/>
    <n v="35456077.039999999"/>
    <n v="9827966"/>
    <s v="AMOMPY"/>
    <s v="Momentum Capital Investment S.A."/>
    <s v="22/10/2026"/>
    <s v="22/10/2026"/>
    <n v="33"/>
    <s v="No"/>
    <s v=""/>
    <m/>
    <m/>
    <s v="*MAV050101406"/>
    <s v="*MAV050101406"/>
    <n v="4.3393436689997841E-4"/>
  </r>
  <r>
    <x v="44"/>
    <s v="Pesos"/>
    <d v="2027-01-07T00:00:00"/>
    <s v="29/10/2026"/>
    <n v="0.94047943000000001"/>
    <m/>
    <n v="15000000"/>
    <n v="14107191.439999999"/>
    <n v="15000000"/>
    <n v="14107191.439999999"/>
    <n v="14724992"/>
    <s v="AMOMPY"/>
    <s v="Momentum Capital Investment S.A."/>
    <s v="14/10/2026"/>
    <s v="14/10/2026"/>
    <n v="33"/>
    <s v="No"/>
    <s v=""/>
    <m/>
    <m/>
    <s v="*MAV050101359"/>
    <s v="*MAV050101359"/>
    <n v="1.7265291868999151E-4"/>
  </r>
  <r>
    <x v="464"/>
    <s v="Pesos"/>
    <d v="2027-01-07T00:00:00"/>
    <s v="29/10/2026"/>
    <n v="0.93878618999999996"/>
    <m/>
    <n v="847010"/>
    <n v="795161.29"/>
    <n v="847010"/>
    <n v="795161.29"/>
    <n v="70426670"/>
    <s v="AMOMPY"/>
    <s v="Momentum Capital Investment S.A."/>
    <s v="21/10/2026"/>
    <s v="21/10/2026"/>
    <n v="34"/>
    <s v="No"/>
    <s v=""/>
    <m/>
    <m/>
    <s v="*MAV050101397"/>
    <s v="*MAV050101397"/>
    <n v="9.7316973496603206E-6"/>
  </r>
  <r>
    <x v="459"/>
    <s v="Pesos"/>
    <d v="2027-01-07T00:00:00"/>
    <s v="29/10/2026"/>
    <n v="0.94559590999999998"/>
    <m/>
    <n v="27038520.739999998"/>
    <n v="25567514.710000001"/>
    <n v="27038520.739999998"/>
    <n v="25567514.710000001"/>
    <n v="7043"/>
    <s v="AMOMPY"/>
    <s v="Momentum Capital Investment S.A."/>
    <s v="16/10/2026"/>
    <s v="16/10/2026"/>
    <n v="30"/>
    <s v="No"/>
    <s v=""/>
    <m/>
    <m/>
    <s v="MAVR050100052"/>
    <s v="MAVR050100052"/>
    <n v="3.1291175547631131E-4"/>
  </r>
  <r>
    <x v="61"/>
    <s v="Pesos"/>
    <d v="2027-01-07T00:00:00"/>
    <s v="29/10/2026"/>
    <n v="0.94559601999999998"/>
    <m/>
    <n v="475000000"/>
    <n v="449158108.45999998"/>
    <n v="475000000"/>
    <n v="449158108.45999998"/>
    <n v="1372"/>
    <s v="AMOMPY"/>
    <s v="Momentum Capital Investment S.A."/>
    <s v="07/10/2026"/>
    <s v="07/10/2026"/>
    <n v="30"/>
    <s v="No"/>
    <s v=""/>
    <m/>
    <m/>
    <s v="*MAV050101330"/>
    <s v="*MAV050101330"/>
    <n v="5.4970869792701112E-3"/>
  </r>
  <r>
    <x v="318"/>
    <s v="Pesos"/>
    <d v="2027-01-07T00:00:00"/>
    <s v="29/10/2026"/>
    <n v="0.94047928999999997"/>
    <m/>
    <n v="7500000"/>
    <n v="7053594.6799999997"/>
    <n v="7500000"/>
    <n v="7053594.6799999997"/>
    <n v="70407059"/>
    <s v="AMOMPY"/>
    <s v="Momentum Capital Investment S.A."/>
    <s v="01/10/2026"/>
    <s v="01/10/2026"/>
    <n v="33"/>
    <s v="No"/>
    <s v=""/>
    <m/>
    <m/>
    <s v="*MAV050101300"/>
    <s v="*MAV050101300"/>
    <n v="8.6326446616804168E-5"/>
  </r>
  <r>
    <x v="0"/>
    <s v="Pesos"/>
    <d v="2027-01-08T00:00:00"/>
    <s v="29/10/2026"/>
    <n v="0.94660138000000005"/>
    <m/>
    <n v="11916548.66"/>
    <n v="11280221.43"/>
    <n v="11916548.66"/>
    <n v="11280221.43"/>
    <n v="22883"/>
    <s v="AMOMPY"/>
    <s v="Momentum Capital Investment S.A."/>
    <s v="28/10/2026"/>
    <s v="28/10/2026"/>
    <n v="29"/>
    <s v="No"/>
    <s v=""/>
    <m/>
    <m/>
    <s v="*TRD060100033"/>
    <s v="*TRD060100033"/>
    <n v="1.3805463416599739E-4"/>
  </r>
  <r>
    <x v="0"/>
    <s v="Pesos"/>
    <d v="2027-01-08T00:00:00"/>
    <s v="29/10/2026"/>
    <n v="0.94660138000000005"/>
    <m/>
    <n v="4742693.1900000004"/>
    <n v="4489439.93"/>
    <n v="4742693.1900000004"/>
    <n v="4489439.93"/>
    <n v="40781879"/>
    <s v="AMOMPY"/>
    <s v="Momentum Capital Investment S.A."/>
    <s v="28/10/2026"/>
    <s v="28/10/2026"/>
    <n v="29"/>
    <s v="No"/>
    <s v=""/>
    <m/>
    <m/>
    <s v="*TRD060100034"/>
    <s v="*TRD060100034"/>
    <n v="5.494466496003624E-5"/>
  </r>
  <r>
    <x v="1"/>
    <s v="Pesos"/>
    <d v="2027-01-08T00:00:00"/>
    <s v="29/10/2026"/>
    <n v="0.94486150999999996"/>
    <m/>
    <n v="25000000"/>
    <n v="23621537.84"/>
    <n v="25000000"/>
    <n v="23621537.84"/>
    <n v="69741508"/>
    <s v="AMOMPY"/>
    <s v="Momentum Capital Investment S.A."/>
    <s v="17/09/2026"/>
    <s v="17/09/2026"/>
    <n v="30"/>
    <s v="No"/>
    <s v=""/>
    <m/>
    <m/>
    <s v="*AFB060100005"/>
    <s v="*AFB060100005"/>
    <n v="2.8909563390897583E-4"/>
  </r>
  <r>
    <x v="374"/>
    <s v="Pesos"/>
    <d v="2027-01-08T00:00:00"/>
    <s v="29/10/2026"/>
    <n v="0.94140108"/>
    <m/>
    <n v="353613.17"/>
    <n v="332891.82"/>
    <n v="353613.17"/>
    <n v="332891.82"/>
    <n v="2861"/>
    <s v="AMOMPY"/>
    <s v="Momentum Capital Investment S.A."/>
    <s v="15/09/2026"/>
    <s v="15/09/2026"/>
    <n v="32"/>
    <s v="No"/>
    <s v=""/>
    <m/>
    <m/>
    <s v="*MAV060101267"/>
    <s v="*MAV060101267"/>
    <n v="4.0741450610826395E-6"/>
  </r>
  <r>
    <x v="353"/>
    <s v="Pesos"/>
    <d v="2027-01-08T00:00:00"/>
    <s v="29/10/2026"/>
    <n v="0.94486166999999999"/>
    <m/>
    <n v="6250000"/>
    <n v="5905385.4500000002"/>
    <n v="6250000"/>
    <n v="5905385.4500000002"/>
    <n v="392"/>
    <s v="AMOMPY"/>
    <s v="Momentum Capital Investment S.A."/>
    <s v="08/10/2026"/>
    <s v="08/10/2026"/>
    <n v="30"/>
    <s v="No"/>
    <s v=""/>
    <m/>
    <m/>
    <s v="*MAV060101314"/>
    <s v="*MAV060101314"/>
    <n v="7.2273920593503261E-5"/>
  </r>
  <r>
    <x v="289"/>
    <s v="Pesos"/>
    <d v="2027-01-08T00:00:00"/>
    <s v="29/10/2026"/>
    <n v="0.93625765000000005"/>
    <m/>
    <n v="3000000"/>
    <n v="2808772.95"/>
    <n v="3000000"/>
    <n v="2808772.95"/>
    <n v="52"/>
    <s v="AMOMPY"/>
    <s v="Momentum Capital Investment S.A."/>
    <s v="14/10/2026"/>
    <s v="14/10/2026"/>
    <n v="35"/>
    <s v="No"/>
    <s v=""/>
    <m/>
    <m/>
    <s v="*MAV060101336"/>
    <s v="*MAV060101336"/>
    <n v="3.4375577152797019E-5"/>
  </r>
  <r>
    <x v="289"/>
    <s v="Pesos"/>
    <d v="2027-01-08T00:00:00"/>
    <s v="29/10/2026"/>
    <n v="0.93968028000000003"/>
    <m/>
    <n v="2500000"/>
    <n v="2349200.71"/>
    <n v="2500000"/>
    <n v="2349200.71"/>
    <n v="44"/>
    <s v="AMOMPY"/>
    <s v="Momentum Capital Investment S.A."/>
    <s v="13/10/2026"/>
    <s v="13/10/2026"/>
    <n v="33"/>
    <s v="No"/>
    <s v=""/>
    <m/>
    <m/>
    <s v="*MAV060101324"/>
    <s v="*MAV060101324"/>
    <n v="2.8751035306720153E-5"/>
  </r>
  <r>
    <x v="145"/>
    <s v="Pesos"/>
    <d v="2027-01-08T00:00:00"/>
    <s v="29/10/2026"/>
    <n v="0.94486159000000003"/>
    <m/>
    <n v="2006000"/>
    <n v="1895392.35"/>
    <n v="2006000"/>
    <n v="1895392.35"/>
    <n v="70555999"/>
    <s v="AMOMPY"/>
    <s v="Momentum Capital Investment S.A."/>
    <s v="21/10/2026"/>
    <s v="21/10/2026"/>
    <n v="30"/>
    <s v="No"/>
    <s v=""/>
    <m/>
    <m/>
    <s v="*MAV060101375"/>
    <s v="*MAV060101375"/>
    <n v="2.3197035546161268E-5"/>
  </r>
  <r>
    <x v="107"/>
    <s v="Pesos"/>
    <d v="2027-01-08T00:00:00"/>
    <s v="29/10/2026"/>
    <n v="0.93968034"/>
    <m/>
    <n v="181355.13"/>
    <n v="170415.85"/>
    <n v="181355.13"/>
    <n v="170415.85"/>
    <n v="126691"/>
    <s v="AMOMPY"/>
    <s v="Momentum Capital Investment S.A."/>
    <s v="14/10/2026"/>
    <s v="14/10/2026"/>
    <n v="33"/>
    <s v="No"/>
    <s v=""/>
    <m/>
    <m/>
    <s v="*MAV060101334"/>
    <s v="*MAV060101334"/>
    <n v="2.085659219886208E-6"/>
  </r>
  <r>
    <x v="40"/>
    <s v="Pesos"/>
    <d v="2027-01-08T00:00:00"/>
    <s v="29/10/2026"/>
    <n v="0.94140109000000005"/>
    <m/>
    <n v="6000000"/>
    <n v="5648406.5199999996"/>
    <n v="6000000"/>
    <n v="5648406.5199999996"/>
    <n v="40797052"/>
    <s v="AMOMPY"/>
    <s v="Momentum Capital Investment S.A."/>
    <s v="28/10/2026"/>
    <s v="28/10/2026"/>
    <n v="32"/>
    <s v="No"/>
    <s v=""/>
    <m/>
    <m/>
    <s v="*MAV060101405"/>
    <s v="*MAV060101405"/>
    <n v="6.9128846501680268E-5"/>
  </r>
  <r>
    <x v="146"/>
    <s v="Pesos"/>
    <d v="2027-01-08T00:00:00"/>
    <s v="29/10/2026"/>
    <n v="0.94486165"/>
    <m/>
    <n v="50000000"/>
    <n v="47243082.710000001"/>
    <n v="50000000"/>
    <n v="47243082.710000001"/>
    <n v="90004400"/>
    <s v="AMOMPY"/>
    <s v="Momentum Capital Investment S.A."/>
    <s v="29/10/2026"/>
    <s v="29/10/2026"/>
    <n v="30"/>
    <s v="No"/>
    <s v=""/>
    <m/>
    <m/>
    <s v="*MAV060101416"/>
    <s v="*MAV060101416"/>
    <n v="5.7819135385563135E-4"/>
  </r>
  <r>
    <x v="44"/>
    <s v="Pesos"/>
    <d v="2027-01-08T00:00:00"/>
    <s v="29/10/2026"/>
    <n v="0.93968043999999995"/>
    <m/>
    <n v="12500000"/>
    <n v="11746005.439999999"/>
    <n v="12500000"/>
    <n v="11746005.439999999"/>
    <n v="14651827"/>
    <s v="AMOMPY"/>
    <s v="Momentum Capital Investment S.A."/>
    <s v="01/10/2026"/>
    <s v="01/10/2026"/>
    <n v="33"/>
    <s v="No"/>
    <s v=""/>
    <m/>
    <m/>
    <s v="*MAV060101289"/>
    <s v="*MAV060101289"/>
    <n v="1.4375519966464126E-4"/>
  </r>
  <r>
    <x v="291"/>
    <s v="Pesos"/>
    <d v="2027-01-08T00:00:00"/>
    <s v="29/10/2026"/>
    <n v="0.93968026999999998"/>
    <m/>
    <n v="8000000"/>
    <n v="7517442.1799999997"/>
    <n v="8000000"/>
    <n v="7517442.1799999997"/>
    <n v="245"/>
    <s v="AMOMPY"/>
    <s v="Momentum Capital Investment S.A."/>
    <s v="20/10/2026"/>
    <s v="20/10/2026"/>
    <n v="33"/>
    <s v="No"/>
    <s v=""/>
    <m/>
    <m/>
    <s v="*MAV060101364"/>
    <s v="*MAV060101364"/>
    <n v="9.2003311855549082E-5"/>
  </r>
  <r>
    <x v="465"/>
    <s v="Pesos"/>
    <d v="2027-01-08T00:00:00"/>
    <s v="29/10/2026"/>
    <n v="0.93796586000000004"/>
    <m/>
    <n v="1000000"/>
    <n v="937965.86"/>
    <n v="1000000"/>
    <n v="937965.86"/>
    <n v="90000134"/>
    <s v="AMOMPY"/>
    <s v="Momentum Capital Investment S.A."/>
    <s v="21/10/2026"/>
    <s v="21/10/2026"/>
    <n v="34"/>
    <s v="No"/>
    <s v=""/>
    <m/>
    <m/>
    <s v="*MAV060101372"/>
    <s v="*MAV060101372"/>
    <n v="1.147943189467116E-5"/>
  </r>
  <r>
    <x v="0"/>
    <s v="Pesos"/>
    <d v="2027-01-11T00:00:00"/>
    <s v="29/10/2026"/>
    <n v="0.94447044000000002"/>
    <m/>
    <n v="11916548.66"/>
    <n v="11254827.91"/>
    <n v="11916548.66"/>
    <n v="11254827.91"/>
    <n v="22884"/>
    <s v="AMOMPY"/>
    <s v="Momentum Capital Investment S.A."/>
    <s v="28/10/2026"/>
    <s v="28/10/2026"/>
    <n v="29"/>
    <s v="No"/>
    <s v=""/>
    <m/>
    <m/>
    <s v="*TRD070100040"/>
    <s v="*TRD070100040"/>
    <n v="1.3774385187014071E-4"/>
  </r>
  <r>
    <x v="3"/>
    <s v="Pesos"/>
    <d v="2027-01-11T00:00:00"/>
    <s v="29/10/2026"/>
    <n v="0.94266539999999999"/>
    <m/>
    <n v="4000000"/>
    <n v="3770661.59"/>
    <n v="4000000"/>
    <n v="3770661.59"/>
    <n v="48"/>
    <s v="AMOMPY"/>
    <s v="Momentum Capital Investment S.A."/>
    <s v="22/09/2026"/>
    <s v="22/09/2026"/>
    <n v="30"/>
    <s v="No"/>
    <s v=""/>
    <m/>
    <m/>
    <s v="*MOV070100057"/>
    <s v="*MOV070100057"/>
    <n v="4.6147791477461096E-5"/>
  </r>
  <r>
    <x v="166"/>
    <s v="Pesos"/>
    <d v="2027-01-11T00:00:00"/>
    <s v="29/10/2026"/>
    <n v="0.94086727000000003"/>
    <m/>
    <n v="9990457.7699999996"/>
    <n v="9399694.6899999995"/>
    <n v="9990457.7699999996"/>
    <n v="9399694.6899999995"/>
    <n v="3019"/>
    <s v="AMOMPY"/>
    <s v="Momentum Capital Investment S.A."/>
    <s v="08/09/2026"/>
    <s v="08/09/2026"/>
    <n v="31"/>
    <s v="No"/>
    <s v=""/>
    <m/>
    <m/>
    <s v="*MAV070100943"/>
    <s v="*MAV070100943"/>
    <n v="1.1503953355461907E-4"/>
  </r>
  <r>
    <x v="6"/>
    <s v="Pesos"/>
    <d v="2027-01-11T00:00:00"/>
    <s v="29/10/2026"/>
    <n v="0.94992732999999996"/>
    <m/>
    <n v="476066.3"/>
    <n v="452228.39"/>
    <n v="476066.3"/>
    <n v="452228.39"/>
    <n v="35"/>
    <s v="AMOMPY"/>
    <s v="Momentum Capital Investment S.A."/>
    <s v="08/10/2026"/>
    <s v="08/10/2026"/>
    <n v="26"/>
    <s v="No"/>
    <s v=""/>
    <m/>
    <m/>
    <s v="*CRE070100104"/>
    <s v="*CRE070100104"/>
    <n v="5.5346630674188803E-6"/>
  </r>
  <r>
    <x v="272"/>
    <s v="Pesos"/>
    <d v="2027-01-11T00:00:00"/>
    <s v="29/10/2026"/>
    <n v="0.93729136999999996"/>
    <m/>
    <n v="2200000"/>
    <n v="2062041.01"/>
    <n v="2200000"/>
    <n v="2062041.01"/>
    <n v="6761"/>
    <s v="AMOMPY"/>
    <s v="Momentum Capital Investment S.A."/>
    <s v="01/10/2026"/>
    <s v="01/10/2026"/>
    <n v="33"/>
    <s v="No"/>
    <s v=""/>
    <m/>
    <m/>
    <s v="*MAV070100990"/>
    <s v="*MAV070100990"/>
    <n v="2.5236589462130244E-5"/>
  </r>
  <r>
    <x v="466"/>
    <s v="Pesos"/>
    <d v="2027-01-11T00:00:00"/>
    <s v="29/10/2026"/>
    <n v="0.93729138000000001"/>
    <m/>
    <n v="5850000"/>
    <n v="5483154.5599999996"/>
    <n v="5850000"/>
    <n v="5483154.5599999996"/>
    <n v="1395676"/>
    <s v="AMOMPY"/>
    <s v="Momentum Capital Investment S.A."/>
    <s v="23/10/2026"/>
    <s v="23/10/2026"/>
    <n v="33"/>
    <s v="No"/>
    <s v=""/>
    <m/>
    <m/>
    <s v="*MAV070101067"/>
    <s v="*MAV070101067"/>
    <n v="6.7106386302243033E-5"/>
  </r>
  <r>
    <x v="146"/>
    <s v="Pesos"/>
    <d v="2027-01-11T00:00:00"/>
    <s v="29/10/2026"/>
    <n v="0.94266547999999994"/>
    <m/>
    <n v="50000000"/>
    <n v="47133274.100000001"/>
    <n v="50000000"/>
    <n v="47133274.100000001"/>
    <n v="90004401"/>
    <s v="AMOMPY"/>
    <s v="Momentum Capital Investment S.A."/>
    <s v="29/10/2026"/>
    <s v="29/10/2026"/>
    <n v="30"/>
    <s v="No"/>
    <s v=""/>
    <m/>
    <m/>
    <s v="*MAV070101104"/>
    <s v="*MAV070101104"/>
    <n v="5.7684744517654202E-4"/>
  </r>
  <r>
    <x v="406"/>
    <s v="Pesos"/>
    <d v="2027-01-11T00:00:00"/>
    <s v="29/10/2026"/>
    <n v="0.93729138000000001"/>
    <m/>
    <n v="1489016.95"/>
    <n v="1395642.76"/>
    <n v="1489016.95"/>
    <n v="1395642.76"/>
    <n v="90003558"/>
    <s v="AMOMPY"/>
    <s v="Momentum Capital Investment S.A."/>
    <s v="23/10/2026"/>
    <s v="23/10/2026"/>
    <n v="33"/>
    <s v="No"/>
    <s v=""/>
    <m/>
    <m/>
    <s v="*MAV070101065"/>
    <s v="*MAV070101065"/>
    <n v="1.7080777345894965E-5"/>
  </r>
  <r>
    <x v="467"/>
    <s v="Pesos"/>
    <d v="2027-01-11T00:00:00"/>
    <s v="29/10/2026"/>
    <n v="0.93729138000000001"/>
    <m/>
    <n v="3379667.13"/>
    <n v="3167732.88"/>
    <n v="3379667.13"/>
    <n v="3167732.88"/>
    <n v="40933530"/>
    <s v="AMOMPY"/>
    <s v="Momentum Capital Investment S.A."/>
    <s v="23/10/2026"/>
    <s v="23/10/2026"/>
    <n v="33"/>
    <s v="No"/>
    <s v=""/>
    <m/>
    <m/>
    <s v="*MAV070101066"/>
    <s v="*MAV070101066"/>
    <n v="3.8768760577778952E-5"/>
  </r>
  <r>
    <x v="451"/>
    <s v="Pesos"/>
    <d v="2027-01-11T00:00:00"/>
    <s v="29/10/2026"/>
    <n v="0.93729136999999996"/>
    <m/>
    <n v="7500000"/>
    <n v="7029685.2699999996"/>
    <n v="7500000"/>
    <n v="7029685.2699999996"/>
    <n v="70130558"/>
    <s v="AMOMPY"/>
    <s v="Momentum Capital Investment S.A."/>
    <s v="01/10/2026"/>
    <s v="01/10/2026"/>
    <n v="33"/>
    <s v="No"/>
    <s v=""/>
    <m/>
    <m/>
    <s v="*MAV070100991"/>
    <s v="*MAV070100991"/>
    <n v="8.6033827817505037E-5"/>
  </r>
  <r>
    <x v="0"/>
    <s v="Pesos"/>
    <d v="2027-01-12T00:00:00"/>
    <s v="29/10/2026"/>
    <n v="0.94376216999999996"/>
    <m/>
    <n v="11916548.66"/>
    <n v="11246387.77"/>
    <n v="11916548.66"/>
    <n v="11246387.77"/>
    <n v="22885"/>
    <s v="AMOMPY"/>
    <s v="Momentum Capital Investment S.A."/>
    <s v="28/10/2026"/>
    <s v="28/10/2026"/>
    <n v="29"/>
    <s v="No"/>
    <s v=""/>
    <m/>
    <m/>
    <s v="*TRD080100031"/>
    <s v="*TRD080100031"/>
    <n v="1.3764055598652349E-4"/>
  </r>
  <r>
    <x v="1"/>
    <s v="Pesos"/>
    <d v="2027-01-12T00:00:00"/>
    <s v="29/10/2026"/>
    <n v="0.94193563999999996"/>
    <m/>
    <n v="25000000"/>
    <n v="23548391.109999999"/>
    <n v="25000000"/>
    <n v="23548391.109999999"/>
    <n v="69741520"/>
    <s v="AMOMPY"/>
    <s v="Momentum Capital Investment S.A."/>
    <s v="17/09/2026"/>
    <s v="17/09/2026"/>
    <n v="30"/>
    <s v="No"/>
    <s v=""/>
    <m/>
    <m/>
    <s v="*AFB080100007"/>
    <s v="*AFB080100007"/>
    <n v="2.882004169920692E-4"/>
  </r>
  <r>
    <x v="54"/>
    <s v="Pesos"/>
    <d v="2027-01-12T00:00:00"/>
    <s v="29/10/2026"/>
    <n v="0.94559601000000004"/>
    <m/>
    <n v="7000000"/>
    <n v="6619172.0499999998"/>
    <n v="7000000"/>
    <n v="6619172.0499999998"/>
    <n v="6484"/>
    <s v="AMOMPY"/>
    <s v="Momentum Capital Investment S.A."/>
    <s v="17/09/2026"/>
    <s v="17/09/2026"/>
    <n v="28"/>
    <s v="No"/>
    <s v=""/>
    <m/>
    <m/>
    <s v="*INP080100053"/>
    <s v="*INP080100053"/>
    <n v="8.1009701938496867E-5"/>
  </r>
  <r>
    <x v="198"/>
    <s v="Pesos"/>
    <d v="2027-01-12T00:00:00"/>
    <s v="29/10/2026"/>
    <n v="0.93830353"/>
    <m/>
    <n v="5325299.2"/>
    <n v="4996747.03"/>
    <n v="5325299.2"/>
    <n v="4996747.03"/>
    <n v="52046621"/>
    <s v="AMOMPY"/>
    <s v="Momentum Capital Investment S.A."/>
    <s v="05/10/2026"/>
    <s v="02/10/2026"/>
    <n v="32"/>
    <s v="No"/>
    <s v=""/>
    <m/>
    <m/>
    <s v="*MAV080101234"/>
    <s v="*MAV080101234"/>
    <n v="6.1153416848013412E-5"/>
  </r>
  <r>
    <x v="395"/>
    <s v="Pesos"/>
    <d v="2027-01-12T00:00:00"/>
    <s v="29/10/2026"/>
    <n v="0.94193559000000004"/>
    <m/>
    <n v="23167422.219999999"/>
    <n v="21822219.510000002"/>
    <n v="23167422.219999999"/>
    <n v="21822219.510000002"/>
    <n v="440"/>
    <s v="AMOMPY"/>
    <s v="Momentum Capital Investment S.A."/>
    <s v="23/09/2026"/>
    <s v="23/09/2026"/>
    <n v="30"/>
    <s v="No"/>
    <s v=""/>
    <m/>
    <m/>
    <s v="*CUY080100017"/>
    <s v="*CUY080100017"/>
    <n v="2.6707441426024748E-4"/>
  </r>
  <r>
    <x v="68"/>
    <s v="Pesos"/>
    <d v="2027-01-12T00:00:00"/>
    <s v="29/10/2026"/>
    <n v="0.93649797999999995"/>
    <m/>
    <n v="22300000"/>
    <n v="20883904.879999999"/>
    <n v="22300000"/>
    <n v="20883904.879999999"/>
    <n v="391"/>
    <s v="AMOMPY"/>
    <s v="Momentum Capital Investment S.A."/>
    <s v="09/10/2026"/>
    <s v="09/10/2026"/>
    <n v="33"/>
    <s v="No"/>
    <s v=""/>
    <m/>
    <m/>
    <s v="*MAV080101265"/>
    <s v="*MAV080101265"/>
    <n v="2.5559071389309485E-4"/>
  </r>
  <r>
    <x v="289"/>
    <s v="Pesos"/>
    <d v="2027-01-12T00:00:00"/>
    <s v="29/10/2026"/>
    <n v="0.93290742999999998"/>
    <m/>
    <n v="3000000"/>
    <n v="2798722.3"/>
    <n v="3000000"/>
    <n v="2798722.3"/>
    <n v="53"/>
    <s v="AMOMPY"/>
    <s v="Momentum Capital Investment S.A."/>
    <s v="14/10/2026"/>
    <s v="14/10/2026"/>
    <n v="35"/>
    <s v="No"/>
    <s v=""/>
    <m/>
    <m/>
    <s v="*MAV080101286"/>
    <s v="*MAV080101286"/>
    <n v="3.4252570807798296E-5"/>
  </r>
  <r>
    <x v="289"/>
    <s v="Pesos"/>
    <d v="2027-01-12T00:00:00"/>
    <s v="29/10/2026"/>
    <n v="0.93649775999999996"/>
    <m/>
    <n v="2500000"/>
    <n v="2341244.41"/>
    <n v="2500000"/>
    <n v="2341244.41"/>
    <n v="43"/>
    <s v="AMOMPY"/>
    <s v="Momentum Capital Investment S.A."/>
    <s v="13/10/2026"/>
    <s v="13/10/2026"/>
    <n v="33"/>
    <s v="No"/>
    <s v=""/>
    <m/>
    <m/>
    <s v="*MAV080101275"/>
    <s v="*MAV080101275"/>
    <n v="2.8653660969467017E-5"/>
  </r>
  <r>
    <x v="146"/>
    <s v="Pesos"/>
    <d v="2027-01-12T00:00:00"/>
    <s v="29/10/2026"/>
    <n v="0.94193561000000003"/>
    <m/>
    <n v="150000000"/>
    <n v="141290342"/>
    <n v="150000000"/>
    <n v="141290342"/>
    <n v="90004378"/>
    <s v="AMOMPY"/>
    <s v="Momentum Capital Investment S.A."/>
    <s v="22/10/2026"/>
    <s v="22/10/2026"/>
    <n v="30"/>
    <s v="No"/>
    <s v=""/>
    <m/>
    <m/>
    <s v="*MAV080101337"/>
    <s v="*MAV080101337"/>
    <n v="1.7292024449203261E-3"/>
  </r>
  <r>
    <x v="146"/>
    <s v="Pesos"/>
    <d v="2027-01-12T00:00:00"/>
    <s v="29/10/2026"/>
    <n v="0.94193548999999999"/>
    <m/>
    <n v="15000000"/>
    <n v="14129032.369999999"/>
    <n v="15000000"/>
    <n v="14129032.369999999"/>
    <n v="90004197"/>
    <s v="AMOMPY"/>
    <s v="Momentum Capital Investment S.A."/>
    <s v="21/09/2026"/>
    <s v="21/09/2026"/>
    <n v="30"/>
    <s v="No"/>
    <s v=""/>
    <m/>
    <m/>
    <s v="*MAV080101177"/>
    <s v="*MAV080101177"/>
    <n v="1.7292022209531086E-4"/>
  </r>
  <r>
    <x v="354"/>
    <s v="Pesos"/>
    <d v="2027-01-12T00:00:00"/>
    <s v="29/10/2026"/>
    <n v="0.93649795000000002"/>
    <m/>
    <n v="12000000"/>
    <n v="11237975.369999999"/>
    <n v="12000000"/>
    <n v="11237975.369999999"/>
    <n v="4341"/>
    <s v="AMOMPY"/>
    <s v="Momentum Capital Investment S.A."/>
    <s v="05/10/2026"/>
    <s v="05/10/2026"/>
    <n v="33"/>
    <s v="No"/>
    <s v=""/>
    <m/>
    <m/>
    <s v="*MAV080101235"/>
    <s v="*MAV080101235"/>
    <n v="1.3753759960293961E-4"/>
  </r>
  <r>
    <x v="44"/>
    <s v="Pesos"/>
    <d v="2027-01-12T00:00:00"/>
    <s v="29/10/2026"/>
    <n v="0.93649791999999998"/>
    <m/>
    <n v="12500000"/>
    <n v="11706223.99"/>
    <n v="12500000"/>
    <n v="11706223.99"/>
    <n v="14651828"/>
    <s v="AMOMPY"/>
    <s v="Momentum Capital Investment S.A."/>
    <s v="01/10/2026"/>
    <s v="01/10/2026"/>
    <n v="33"/>
    <s v="No"/>
    <s v=""/>
    <m/>
    <m/>
    <s v="*MAV080101220"/>
    <s v="*MAV080101220"/>
    <n v="1.4326832859030785E-4"/>
  </r>
  <r>
    <x v="44"/>
    <s v="Pesos"/>
    <d v="2027-01-12T00:00:00"/>
    <s v="29/10/2026"/>
    <n v="0.93830351000000001"/>
    <m/>
    <n v="10000000"/>
    <n v="9383035.1199999992"/>
    <n v="10000000"/>
    <n v="9383035.1199999992"/>
    <n v="14725220"/>
    <s v="AMOMPY"/>
    <s v="Momentum Capital Investment S.A."/>
    <s v="26/10/2026"/>
    <s v="26/10/2026"/>
    <n v="32"/>
    <s v="No"/>
    <s v=""/>
    <m/>
    <m/>
    <s v="*MAV080101354"/>
    <s v="*MAV080101354"/>
    <n v="1.1483564297889011E-4"/>
  </r>
  <r>
    <x v="468"/>
    <s v="Pesos"/>
    <d v="2027-01-12T00:00:00"/>
    <s v="29/10/2026"/>
    <n v="0.94193554999999995"/>
    <m/>
    <n v="2134101769.0799999"/>
    <n v="2010186314.8599999"/>
    <n v="2134101769.0799999"/>
    <n v="2010186314.8599999"/>
    <n v="436"/>
    <s v="AMOMPY"/>
    <s v="Momentum Capital Investment S.A."/>
    <s v="21/10/2026"/>
    <s v="21/10/2026"/>
    <n v="30"/>
    <s v="No"/>
    <s v=""/>
    <m/>
    <m/>
    <s v="*MAV080101335"/>
    <s v="*MAV080101335"/>
    <n v="2.460195821736557E-2"/>
  </r>
  <r>
    <x v="62"/>
    <s v="Pesos"/>
    <d v="2027-01-12T00:00:00"/>
    <s v="29/10/2026"/>
    <n v="0.94193572000000003"/>
    <m/>
    <n v="50000000"/>
    <n v="47096785.960000001"/>
    <n v="50000000"/>
    <n v="47096785.960000001"/>
    <n v="5505"/>
    <s v="AMOMPY"/>
    <s v="Momentum Capital Investment S.A."/>
    <s v="27/10/2026"/>
    <s v="27/10/2026"/>
    <n v="30"/>
    <s v="No"/>
    <s v=""/>
    <m/>
    <m/>
    <s v="*MAV080101362"/>
    <s v="*MAV080101362"/>
    <n v="5.7640087975667357E-4"/>
  </r>
  <r>
    <x v="234"/>
    <s v="Pesos"/>
    <d v="2027-01-12T00:00:00"/>
    <s v="29/10/2026"/>
    <n v="0.93830354000000005"/>
    <m/>
    <n v="1858362"/>
    <n v="1743707.64"/>
    <n v="1858362"/>
    <n v="1743707.64"/>
    <n v="1488"/>
    <s v="AMOMPY"/>
    <s v="Momentum Capital Investment S.A."/>
    <s v="05/10/2026"/>
    <s v="05/10/2026"/>
    <n v="32"/>
    <s v="No"/>
    <s v=""/>
    <m/>
    <m/>
    <s v="*MAV080101233"/>
    <s v="*MAV080101233"/>
    <n v="2.1340620113399197E-5"/>
  </r>
  <r>
    <x v="29"/>
    <s v="Pesos"/>
    <d v="2027-01-12T00:00:00"/>
    <s v="29/10/2026"/>
    <n v="0.93830338000000002"/>
    <m/>
    <n v="15000000"/>
    <n v="14074550.640000001"/>
    <n v="15000000"/>
    <n v="14074550.640000001"/>
    <n v="2202"/>
    <s v="AMOMPY"/>
    <s v="Momentum Capital Investment S.A."/>
    <s v="07/09/2026"/>
    <s v="07/09/2026"/>
    <n v="32"/>
    <s v="No"/>
    <s v=""/>
    <m/>
    <m/>
    <s v="*MIL080100032"/>
    <s v="*MIL080100032"/>
    <n v="1.7225343950149784E-4"/>
  </r>
  <r>
    <x v="316"/>
    <s v="Pesos"/>
    <d v="2027-01-12T00:00:00"/>
    <s v="29/10/2026"/>
    <n v="0.94559590999999998"/>
    <m/>
    <n v="71389290"/>
    <n v="67505420.640000001"/>
    <n v="71389290"/>
    <n v="67505420.640000001"/>
    <n v="155356"/>
    <s v="AMOMPY"/>
    <s v="Momentum Capital Investment S.A."/>
    <s v="01/07/2026"/>
    <s v="01/07/2026"/>
    <n v="28"/>
    <s v="No"/>
    <s v=""/>
    <m/>
    <m/>
    <s v="#POT090170001"/>
    <s v="#POT090170001"/>
    <n v="8.2617493003211105E-4"/>
  </r>
  <r>
    <x v="447"/>
    <s v="Pesos"/>
    <d v="2027-01-12T00:00:00"/>
    <s v="29/10/2026"/>
    <n v="0.93290739"/>
    <m/>
    <n v="25000000"/>
    <n v="23322684.780000001"/>
    <n v="25000000"/>
    <n v="23322684.780000001"/>
    <n v="380"/>
    <s v="AMOMPY"/>
    <s v="Momentum Capital Investment S.A."/>
    <s v="18/09/2026"/>
    <s v="18/09/2026"/>
    <n v="35"/>
    <s v="No"/>
    <s v=""/>
    <m/>
    <m/>
    <s v="*MAV080101176"/>
    <s v="*MAV080101176"/>
    <n v="2.8543807717361228E-4"/>
  </r>
  <r>
    <x v="469"/>
    <s v="Pesos"/>
    <d v="2027-01-12T00:00:00"/>
    <s v="29/10/2026"/>
    <n v="0.93830334999999998"/>
    <m/>
    <n v="1131607.5"/>
    <n v="1061791.1100000001"/>
    <n v="1131607.5"/>
    <n v="1061791.1100000001"/>
    <n v="69943698"/>
    <s v="AMOMPY"/>
    <s v="Momentum Capital Investment S.A."/>
    <s v="02/10/2026"/>
    <s v="02/10/2026"/>
    <n v="32"/>
    <s v="No"/>
    <s v=""/>
    <m/>
    <m/>
    <s v="*MAV080101230"/>
    <s v="*MAV080101230"/>
    <n v="1.2994885265453367E-5"/>
  </r>
  <r>
    <x v="0"/>
    <s v="Pesos"/>
    <d v="2027-01-13T00:00:00"/>
    <s v="29/10/2026"/>
    <n v="0.94864331999999996"/>
    <m/>
    <n v="3729055.13"/>
    <n v="3537543.24"/>
    <n v="3729055.13"/>
    <n v="3537543.24"/>
    <n v="3032"/>
    <s v="AMOMPY"/>
    <s v="Momentum Capital Investment S.A."/>
    <s v="22/09/2026"/>
    <s v="22/09/2026"/>
    <n v="26"/>
    <s v="No"/>
    <s v=""/>
    <m/>
    <m/>
    <s v="*TRD110100018"/>
    <s v="*TRD110100018"/>
    <n v="4.3294738571864816E-5"/>
  </r>
  <r>
    <x v="0"/>
    <s v="Pesos"/>
    <d v="2027-01-13T00:00:00"/>
    <s v="29/10/2026"/>
    <n v="0.94305521000000003"/>
    <m/>
    <n v="11916548.66"/>
    <n v="11237963.310000001"/>
    <n v="11916548.66"/>
    <n v="11237963.310000001"/>
    <n v="22886"/>
    <s v="AMOMPY"/>
    <s v="Momentum Capital Investment S.A."/>
    <s v="28/10/2026"/>
    <s v="28/10/2026"/>
    <n v="29"/>
    <s v="No"/>
    <s v=""/>
    <m/>
    <m/>
    <s v="*TRD110100021"/>
    <s v="*TRD110100021"/>
    <n v="1.3753745200487179E-4"/>
  </r>
  <r>
    <x v="470"/>
    <s v="Pesos"/>
    <d v="2027-01-13T00:00:00"/>
    <s v="29/10/2026"/>
    <n v="0.93753213000000002"/>
    <m/>
    <n v="1102078.1599999999"/>
    <n v="1033233.68"/>
    <n v="1102078.1599999999"/>
    <n v="1033233.68"/>
    <n v="717"/>
    <s v="AMOMPY"/>
    <s v="Momentum Capital Investment S.A."/>
    <s v="15/09/2026"/>
    <s v="15/09/2026"/>
    <n v="32"/>
    <s v="No"/>
    <s v=""/>
    <m/>
    <m/>
    <s v="*MAV100101370"/>
    <s v="*MAV100101370"/>
    <n v="1.2645380995893022E-5"/>
  </r>
  <r>
    <x v="184"/>
    <s v="Pesos"/>
    <d v="2027-01-13T00:00:00"/>
    <s v="29/10/2026"/>
    <n v="0.93753213000000002"/>
    <m/>
    <n v="8123170.71"/>
    <n v="7615733.5300000003"/>
    <n v="8123170.71"/>
    <n v="7615733.5300000003"/>
    <n v="11246"/>
    <s v="AMOMPY"/>
    <s v="Momentum Capital Investment S.A."/>
    <s v="15/09/2026"/>
    <s v="15/09/2026"/>
    <n v="32"/>
    <s v="No"/>
    <s v=""/>
    <m/>
    <m/>
    <s v="*MAV090101198"/>
    <s v="*MAV090101198"/>
    <n v="9.3206264869382966E-5"/>
  </r>
  <r>
    <x v="197"/>
    <s v="Pesos"/>
    <d v="2027-01-13T00:00:00"/>
    <s v="29/10/2026"/>
    <n v="0.93753213999999996"/>
    <m/>
    <n v="1129854.56"/>
    <n v="1059274.96"/>
    <n v="1129854.56"/>
    <n v="1059274.96"/>
    <n v="1023"/>
    <s v="AMOMPY"/>
    <s v="Momentum Capital Investment S.A."/>
    <s v="15/09/2026"/>
    <s v="15/09/2026"/>
    <n v="32"/>
    <s v="No"/>
    <s v=""/>
    <m/>
    <m/>
    <s v="*MAV110100936"/>
    <s v="*MAV110100936"/>
    <n v="1.2964090996926601E-5"/>
  </r>
  <r>
    <x v="395"/>
    <s v="Pesos"/>
    <d v="2027-01-13T00:00:00"/>
    <s v="29/10/2026"/>
    <n v="0.94305505000000001"/>
    <m/>
    <n v="14000000"/>
    <n v="13202770.699999999"/>
    <n v="14000000"/>
    <n v="13202770.699999999"/>
    <n v="121"/>
    <s v="AMOMPY"/>
    <s v="Momentum Capital Investment S.A."/>
    <s v="06/07/2026"/>
    <s v="06/07/2026"/>
    <n v="29"/>
    <s v="No"/>
    <s v=""/>
    <m/>
    <m/>
    <s v="*CUY110100024"/>
    <s v="*CUY110100024"/>
    <n v="1.6158403363594691E-4"/>
  </r>
  <r>
    <x v="54"/>
    <s v="Pesos"/>
    <d v="2027-01-13T00:00:00"/>
    <s v="29/10/2026"/>
    <n v="0.94120683999999999"/>
    <m/>
    <n v="15000000"/>
    <n v="14118102.529999999"/>
    <n v="15000000"/>
    <n v="14118102.529999999"/>
    <n v="90000067"/>
    <s v="AMOMPY"/>
    <s v="Momentum Capital Investment S.A."/>
    <s v="28/08/2026"/>
    <s v="28/08/2026"/>
    <n v="30"/>
    <s v="No"/>
    <s v=""/>
    <m/>
    <m/>
    <s v="*INP110100049"/>
    <s v="*INP110100049"/>
    <n v="1.7278645565534719E-4"/>
  </r>
  <r>
    <x v="385"/>
    <s v="Pesos"/>
    <d v="2027-01-13T00:00:00"/>
    <s v="29/10/2026"/>
    <n v="0.94120705000000005"/>
    <m/>
    <n v="15000000"/>
    <n v="14118105.68"/>
    <n v="15000000"/>
    <n v="14118105.68"/>
    <n v="1418"/>
    <s v="AMOMPY"/>
    <s v="Momentum Capital Investment S.A."/>
    <s v="28/10/2026"/>
    <s v="28/10/2026"/>
    <n v="30"/>
    <s v="No"/>
    <s v=""/>
    <m/>
    <m/>
    <s v="*MAV100101438"/>
    <s v="*MAV100101438"/>
    <n v="1.7278649420708134E-4"/>
  </r>
  <r>
    <x v="272"/>
    <s v="Pesos"/>
    <d v="2027-01-13T00:00:00"/>
    <s v="29/10/2026"/>
    <n v="0.93570558999999998"/>
    <m/>
    <n v="2200000"/>
    <n v="2058552.3"/>
    <n v="2200000"/>
    <n v="2058552.3"/>
    <n v="6762"/>
    <s v="AMOMPY"/>
    <s v="Momentum Capital Investment S.A."/>
    <s v="01/10/2026"/>
    <s v="01/10/2026"/>
    <n v="33"/>
    <s v="No"/>
    <s v=""/>
    <m/>
    <m/>
    <s v="*MAV110100998"/>
    <s v="*MAV110100998"/>
    <n v="2.519389237628401E-5"/>
  </r>
  <r>
    <x v="314"/>
    <s v="Pesos"/>
    <d v="2027-01-13T00:00:00"/>
    <s v="29/10/2026"/>
    <n v="0.93753218999999999"/>
    <m/>
    <n v="50000000"/>
    <n v="46876609.390000001"/>
    <n v="50000000"/>
    <n v="46876609.390000001"/>
    <n v="1"/>
    <s v="AMOMPY"/>
    <s v="Momentum Capital Investment S.A."/>
    <s v="15/10/2026"/>
    <s v="15/10/2026"/>
    <n v="32"/>
    <s v="No"/>
    <s v=""/>
    <m/>
    <m/>
    <s v="*MAV110101095"/>
    <s v="*MAV110101095"/>
    <n v="5.737062167119895E-4"/>
  </r>
  <r>
    <x v="453"/>
    <s v="Pesos"/>
    <d v="2027-01-13T00:00:00"/>
    <s v="29/10/2026"/>
    <n v="0.93753218000000005"/>
    <m/>
    <n v="17200000"/>
    <n v="16125553.470000001"/>
    <n v="17200000"/>
    <n v="16125553.470000001"/>
    <n v="40780955"/>
    <s v="AMOMPY"/>
    <s v="Momentum Capital Investment S.A."/>
    <s v="16/09/2026"/>
    <s v="16/09/2026"/>
    <n v="32"/>
    <s v="No"/>
    <s v=""/>
    <m/>
    <m/>
    <s v="*MAV090101203"/>
    <s v="*MAV090101203"/>
    <n v="1.9735493658878288E-4"/>
  </r>
  <r>
    <x v="471"/>
    <s v="Pesos"/>
    <d v="2027-01-13T00:00:00"/>
    <s v="29/10/2026"/>
    <n v="0.93936593000000002"/>
    <m/>
    <n v="10000000"/>
    <n v="9393659.2799999993"/>
    <n v="10000000"/>
    <n v="9393659.2799999993"/>
    <n v="141"/>
    <s v="AMOMPY"/>
    <s v="Momentum Capital Investment S.A."/>
    <s v="18/08/2026"/>
    <s v="18/08/2026"/>
    <n v="31"/>
    <s v="No"/>
    <s v=""/>
    <m/>
    <m/>
    <s v="*MAV100101346"/>
    <s v="*MAV100101346"/>
    <n v="1.1496566830961813E-4"/>
  </r>
  <r>
    <x v="222"/>
    <s v="Pesos"/>
    <d v="2027-01-13T00:00:00"/>
    <s v="29/10/2026"/>
    <n v="0.95052097999999996"/>
    <m/>
    <n v="710169.09"/>
    <n v="675030.62"/>
    <n v="710169.09"/>
    <n v="675030.62"/>
    <n v="681501"/>
    <s v="AMOMPY"/>
    <s v="Momentum Capital Investment S.A."/>
    <s v="18/09/2026"/>
    <s v="18/09/2026"/>
    <n v="25"/>
    <s v="No"/>
    <s v=""/>
    <m/>
    <m/>
    <s v="*MAV110100946"/>
    <s v="*MAV110100946"/>
    <n v="8.2614606347267777E-6"/>
  </r>
  <r>
    <x v="222"/>
    <s v="Pesos"/>
    <d v="2027-01-13T00:00:00"/>
    <s v="29/10/2026"/>
    <n v="0.95052099000000001"/>
    <m/>
    <n v="994204.24"/>
    <n v="945012"/>
    <n v="994204.24"/>
    <n v="945012"/>
    <n v="681633"/>
    <s v="AMOMPY"/>
    <s v="Momentum Capital Investment S.A."/>
    <s v="18/09/2026"/>
    <s v="18/09/2026"/>
    <n v="25"/>
    <s v="No"/>
    <s v=""/>
    <m/>
    <m/>
    <s v="*MAV110100947"/>
    <s v="*MAV110100947"/>
    <n v="1.1565667106100197E-5"/>
  </r>
  <r>
    <x v="10"/>
    <s v="Pesos"/>
    <d v="2027-01-13T00:00:00"/>
    <s v="29/10/2026"/>
    <n v="0.94491046999999995"/>
    <m/>
    <n v="50000000"/>
    <n v="47245523.619999997"/>
    <n v="50000000"/>
    <n v="47245523.619999997"/>
    <n v="68037"/>
    <s v="AMOMPY"/>
    <s v="Momentum Capital Investment S.A."/>
    <s v="14/08/2026"/>
    <s v="14/08/2026"/>
    <n v="28"/>
    <s v="No"/>
    <s v=""/>
    <m/>
    <m/>
    <s v="*MAV110100910"/>
    <s v="*MAV110100910"/>
    <n v="5.7822122728845115E-4"/>
  </r>
  <r>
    <x v="466"/>
    <s v="Pesos"/>
    <d v="2027-01-13T00:00:00"/>
    <s v="29/10/2026"/>
    <n v="0.93570564000000001"/>
    <m/>
    <n v="5850000"/>
    <n v="5473877.9900000002"/>
    <n v="5850000"/>
    <n v="5473877.9900000002"/>
    <n v="1395681"/>
    <s v="AMOMPY"/>
    <s v="Momentum Capital Investment S.A."/>
    <s v="23/10/2026"/>
    <s v="23/10/2026"/>
    <n v="33"/>
    <s v="No"/>
    <s v=""/>
    <m/>
    <m/>
    <s v="*MAV090101257"/>
    <s v="*MAV090101257"/>
    <n v="6.6992853648153533E-5"/>
  </r>
  <r>
    <x v="416"/>
    <s v="Pesos"/>
    <d v="2027-01-13T00:00:00"/>
    <s v="29/10/2026"/>
    <n v="0.93570576000000005"/>
    <m/>
    <n v="3271000"/>
    <n v="3060693.53"/>
    <n v="3271000"/>
    <n v="3060693.53"/>
    <n v="13981359"/>
    <s v="AMOMPY"/>
    <s v="Momentum Capital Investment S.A."/>
    <s v="21/10/2026"/>
    <s v="21/10/2026"/>
    <n v="33"/>
    <s v="No"/>
    <s v=""/>
    <m/>
    <m/>
    <s v="*MAV110101133"/>
    <s v="*MAV110101133"/>
    <n v="3.7458743890844444E-5"/>
  </r>
  <r>
    <x v="289"/>
    <s v="Pesos"/>
    <d v="2027-01-13T00:00:00"/>
    <s v="29/10/2026"/>
    <n v="0.93207355999999997"/>
    <m/>
    <n v="3000000"/>
    <n v="2796220.69"/>
    <n v="3000000"/>
    <n v="2796220.69"/>
    <n v="50"/>
    <s v="AMOMPY"/>
    <s v="Momentum Capital Investment S.A."/>
    <s v="14/10/2026"/>
    <s v="14/10/2026"/>
    <n v="35"/>
    <s v="No"/>
    <s v=""/>
    <m/>
    <m/>
    <s v="*MAV110101088"/>
    <s v="*MAV110101088"/>
    <n v="3.4221954489180873E-5"/>
  </r>
  <r>
    <x v="107"/>
    <s v="Pesos"/>
    <d v="2027-01-13T00:00:00"/>
    <s v="29/10/2026"/>
    <n v="0.93570556000000005"/>
    <m/>
    <n v="395997.4"/>
    <n v="370536.97"/>
    <n v="395997.4"/>
    <n v="370536.97"/>
    <n v="30104989"/>
    <s v="AMOMPY"/>
    <s v="Momentum Capital Investment S.A."/>
    <s v="14/10/2026"/>
    <s v="14/10/2026"/>
    <n v="33"/>
    <s v="No"/>
    <s v=""/>
    <m/>
    <m/>
    <s v="*MAV110101084"/>
    <s v="*MAV110101084"/>
    <n v="4.5348707164808856E-6"/>
  </r>
  <r>
    <x v="189"/>
    <s v="Pesos"/>
    <d v="2027-01-13T00:00:00"/>
    <s v="29/10/2026"/>
    <n v="0.93570553000000001"/>
    <m/>
    <n v="25000000"/>
    <n v="23392638.32"/>
    <n v="25000000"/>
    <n v="23392638.32"/>
    <n v="475890"/>
    <s v="AMOMPY"/>
    <s v="Momentum Capital Investment S.A."/>
    <s v="10/08/2026"/>
    <s v="10/08/2026"/>
    <n v="33"/>
    <s v="No"/>
    <s v=""/>
    <m/>
    <m/>
    <s v="*MAV100101345"/>
    <s v="*MAV100101345"/>
    <n v="2.8629421376926746E-4"/>
  </r>
  <r>
    <x v="146"/>
    <s v="Pesos"/>
    <d v="2027-01-13T00:00:00"/>
    <s v="29/10/2026"/>
    <n v="0.94120687000000003"/>
    <m/>
    <n v="150000000"/>
    <n v="141181030.55000001"/>
    <n v="150000000"/>
    <n v="141181030.55000001"/>
    <n v="90004379"/>
    <s v="AMOMPY"/>
    <s v="Momentum Capital Investment S.A."/>
    <s v="22/10/2026"/>
    <s v="22/10/2026"/>
    <n v="30"/>
    <s v="No"/>
    <s v=""/>
    <m/>
    <m/>
    <s v="*MAV110101135"/>
    <s v="*MAV110101135"/>
    <n v="1.7278646208063624E-3"/>
  </r>
  <r>
    <x v="224"/>
    <s v="Pesos"/>
    <d v="2027-01-13T00:00:00"/>
    <s v="29/10/2026"/>
    <n v="0.93936593999999995"/>
    <m/>
    <n v="25000000"/>
    <n v="23484148.57"/>
    <n v="25000000"/>
    <n v="23484148.57"/>
    <n v="10514"/>
    <s v="AMOMPY"/>
    <s v="Momentum Capital Investment S.A."/>
    <s v="15/10/2026"/>
    <s v="15/10/2026"/>
    <n v="31"/>
    <s v="No"/>
    <s v=""/>
    <m/>
    <m/>
    <s v="*MAV090101240"/>
    <s v="*MAV090101240"/>
    <n v="2.8741417530234431E-4"/>
  </r>
  <r>
    <x v="231"/>
    <s v="Pesos"/>
    <d v="2027-01-13T00:00:00"/>
    <s v="29/10/2026"/>
    <n v="0.94120691000000001"/>
    <m/>
    <n v="4175312.5"/>
    <n v="3929832.98"/>
    <n v="4175312.5"/>
    <n v="3929832.98"/>
    <n v="40952836"/>
    <s v="AMOMPY"/>
    <s v="Momentum Capital Investment S.A."/>
    <s v="19/10/2026"/>
    <s v="19/10/2026"/>
    <n v="30"/>
    <s v="No"/>
    <s v=""/>
    <m/>
    <m/>
    <s v="*MAV110101117"/>
    <s v="*MAV110101117"/>
    <n v="4.8095833734654916E-5"/>
  </r>
  <r>
    <x v="231"/>
    <s v="Pesos"/>
    <d v="2027-01-13T00:00:00"/>
    <s v="29/10/2026"/>
    <n v="0.94120691000000001"/>
    <m/>
    <n v="4175312.5"/>
    <n v="3929832.98"/>
    <n v="4175312.5"/>
    <n v="3929832.98"/>
    <n v="40952824"/>
    <s v="AMOMPY"/>
    <s v="Momentum Capital Investment S.A."/>
    <s v="19/10/2026"/>
    <s v="19/10/2026"/>
    <n v="30"/>
    <s v="No"/>
    <s v=""/>
    <m/>
    <m/>
    <s v="*MAV110101118"/>
    <s v="*MAV110101118"/>
    <n v="4.8095833734654916E-5"/>
  </r>
  <r>
    <x v="231"/>
    <s v="Pesos"/>
    <d v="2027-01-13T00:00:00"/>
    <s v="29/10/2026"/>
    <n v="0.94120691000000001"/>
    <m/>
    <n v="4175312.5"/>
    <n v="3929832.98"/>
    <n v="4175312.5"/>
    <n v="3929832.98"/>
    <n v="40952832"/>
    <s v="AMOMPY"/>
    <s v="Momentum Capital Investment S.A."/>
    <s v="19/10/2026"/>
    <s v="19/10/2026"/>
    <n v="30"/>
    <s v="No"/>
    <s v=""/>
    <m/>
    <m/>
    <s v="*MAV110101119"/>
    <s v="*MAV110101119"/>
    <n v="4.8095833734654916E-5"/>
  </r>
  <r>
    <x v="472"/>
    <s v="Pesos"/>
    <d v="2027-01-13T00:00:00"/>
    <s v="29/10/2026"/>
    <n v="0.96002116000000004"/>
    <m/>
    <n v="1139000"/>
    <n v="1093464.1000000001"/>
    <n v="1139000"/>
    <n v="1093464.1000000001"/>
    <n v="70324662"/>
    <s v="AMOMPY"/>
    <s v="Momentum Capital Investment S.A."/>
    <s v="27/10/2026"/>
    <s v="27/10/2026"/>
    <n v="20"/>
    <s v="No"/>
    <s v=""/>
    <m/>
    <m/>
    <s v="*MAV100101428"/>
    <s v="*MAV100101428"/>
    <n v="1.3382519770194936E-5"/>
  </r>
  <r>
    <x v="44"/>
    <s v="Pesos"/>
    <d v="2027-01-13T00:00:00"/>
    <s v="29/10/2026"/>
    <n v="0.93570560000000003"/>
    <m/>
    <n v="12500000"/>
    <n v="11696320.050000001"/>
    <n v="12500000"/>
    <n v="11696320.050000001"/>
    <n v="14651829"/>
    <s v="AMOMPY"/>
    <s v="Momentum Capital Investment S.A."/>
    <s v="01/10/2026"/>
    <s v="01/10/2026"/>
    <n v="33"/>
    <s v="No"/>
    <s v=""/>
    <m/>
    <m/>
    <s v="*MAV110101000"/>
    <s v="*MAV110101000"/>
    <n v="1.4314711777702846E-4"/>
  </r>
  <r>
    <x v="387"/>
    <s v="Pesos"/>
    <d v="2027-01-13T00:00:00"/>
    <s v="29/10/2026"/>
    <n v="0.93570564000000001"/>
    <m/>
    <n v="13000000"/>
    <n v="12164173.300000001"/>
    <n v="13000000"/>
    <n v="12164173.300000001"/>
    <n v="5"/>
    <s v="AMOMPY"/>
    <s v="Momentum Capital Investment S.A."/>
    <s v="23/10/2026"/>
    <s v="23/10/2026"/>
    <n v="33"/>
    <s v="No"/>
    <s v=""/>
    <m/>
    <m/>
    <s v="*MAV100101425"/>
    <s v="*MAV100101425"/>
    <n v="1.488730079710229E-4"/>
  </r>
  <r>
    <x v="473"/>
    <s v="Pesos"/>
    <d v="2027-01-13T00:00:00"/>
    <s v="29/10/2026"/>
    <n v="0.93570564000000001"/>
    <m/>
    <n v="3000000"/>
    <n v="2807116.92"/>
    <n v="3000000"/>
    <n v="2807116.92"/>
    <n v="40961149"/>
    <s v="AMOMPY"/>
    <s v="Momentum Capital Investment S.A."/>
    <s v="23/10/2026"/>
    <s v="23/10/2026"/>
    <n v="33"/>
    <s v="No"/>
    <s v=""/>
    <m/>
    <m/>
    <s v="*MAV110101138"/>
    <s v="*MAV110101138"/>
    <n v="3.4355309588260571E-5"/>
  </r>
  <r>
    <x v="179"/>
    <s v="Pesos"/>
    <d v="2027-01-13T00:00:00"/>
    <s v="29/10/2026"/>
    <n v="0.93753220999999998"/>
    <m/>
    <n v="6791632.5899999999"/>
    <n v="6367374.3200000003"/>
    <n v="6791632.5899999999"/>
    <n v="6367374.3200000003"/>
    <n v="90000916"/>
    <s v="AMOMPY"/>
    <s v="Momentum Capital Investment S.A."/>
    <s v="01/10/2026"/>
    <s v="01/10/2026"/>
    <n v="32"/>
    <s v="No"/>
    <s v=""/>
    <m/>
    <m/>
    <s v="*MAV090101217"/>
    <s v="*MAV090101217"/>
    <n v="7.792803871808095E-5"/>
  </r>
  <r>
    <x v="474"/>
    <s v="Pesos"/>
    <d v="2027-01-13T00:00:00"/>
    <s v="29/10/2026"/>
    <n v="0.94120691000000001"/>
    <m/>
    <n v="2853904.95"/>
    <n v="2686115.06"/>
    <n v="2853904.95"/>
    <n v="2686115.06"/>
    <n v="70128421"/>
    <s v="AMOMPY"/>
    <s v="Momentum Capital Investment S.A."/>
    <s v="19/10/2026"/>
    <s v="19/10/2026"/>
    <n v="30"/>
    <s v="No"/>
    <s v=""/>
    <m/>
    <m/>
    <s v="*MAV100101413"/>
    <s v="*MAV100101413"/>
    <n v="3.2874410687528152E-5"/>
  </r>
  <r>
    <x v="475"/>
    <s v="Pesos"/>
    <d v="2027-01-13T00:00:00"/>
    <s v="29/10/2026"/>
    <n v="0.93936604000000001"/>
    <m/>
    <n v="15124789"/>
    <n v="14207713.119999999"/>
    <n v="15124789"/>
    <n v="14207713.119999999"/>
    <n v="70474408"/>
    <s v="AMOMPY"/>
    <s v="Momentum Capital Investment S.A."/>
    <s v="20/10/2026"/>
    <s v="20/10/2026"/>
    <n v="31"/>
    <s v="No"/>
    <s v=""/>
    <m/>
    <m/>
    <s v="*MAV100101416"/>
    <s v="*MAV100101416"/>
    <n v="1.7388316792262129E-4"/>
  </r>
  <r>
    <x v="205"/>
    <s v="Pesos"/>
    <d v="2027-01-13T00:00:00"/>
    <s v="29/10/2026"/>
    <n v="0.94120691000000001"/>
    <m/>
    <n v="1500000"/>
    <n v="1411810.36"/>
    <n v="1500000"/>
    <n v="1411810.36"/>
    <n v="10793604"/>
    <s v="AMOMPY"/>
    <s v="Momentum Capital Investment S.A."/>
    <s v="19/10/2026"/>
    <s v="19/10/2026"/>
    <n v="30"/>
    <s v="No"/>
    <s v=""/>
    <m/>
    <m/>
    <s v="*MAV110101110"/>
    <s v="*MAV110101110"/>
    <n v="1.7278646875069816E-5"/>
  </r>
  <r>
    <x v="402"/>
    <s v="Pesos"/>
    <d v="2027-01-13T00:00:00"/>
    <s v="29/10/2026"/>
    <n v="0.94305510999999997"/>
    <m/>
    <n v="993860.85"/>
    <n v="937265.55"/>
    <n v="993860.85"/>
    <n v="937265.55"/>
    <n v="726190"/>
    <s v="AMOMPY"/>
    <s v="Momentum Capital Investment S.A."/>
    <s v="23/10/2026"/>
    <s v="23/10/2026"/>
    <n v="29"/>
    <s v="No"/>
    <s v=""/>
    <m/>
    <m/>
    <s v="*MAV110101140"/>
    <s v="*MAV110101140"/>
    <n v="1.1470861048659604E-5"/>
  </r>
  <r>
    <x v="25"/>
    <s v="Pesos"/>
    <d v="2027-01-13T00:00:00"/>
    <s v="29/10/2026"/>
    <n v="0.94120687000000003"/>
    <m/>
    <n v="7000000"/>
    <n v="6588448.1200000001"/>
    <n v="7000000"/>
    <n v="6588448.1200000001"/>
    <n v="3385319"/>
    <s v="AMOMPY"/>
    <s v="Momentum Capital Investment S.A."/>
    <s v="16/09/2026"/>
    <s v="16/09/2026"/>
    <n v="30"/>
    <s v="No"/>
    <s v=""/>
    <m/>
    <m/>
    <s v="*NEU090100022"/>
    <s v="*NEU090100022"/>
    <n v="8.0633682642899441E-5"/>
  </r>
  <r>
    <x v="392"/>
    <s v="Pesos"/>
    <d v="2027-01-13T00:00:00"/>
    <s v="29/10/2026"/>
    <n v="0.93207362999999999"/>
    <m/>
    <n v="30000000"/>
    <n v="27962208.989999998"/>
    <n v="30000000"/>
    <n v="27962208.989999998"/>
    <n v="14984"/>
    <s v="AMOMPY"/>
    <s v="Momentum Capital Investment S.A."/>
    <s v="15/10/2026"/>
    <s v="15/10/2026"/>
    <n v="35"/>
    <s v="No"/>
    <s v=""/>
    <m/>
    <m/>
    <s v="*MAV110101091"/>
    <s v="*MAV110101091"/>
    <n v="3.4221957047057833E-4"/>
  </r>
  <r>
    <x v="476"/>
    <s v="Pesos"/>
    <d v="2027-01-13T00:00:00"/>
    <s v="29/10/2026"/>
    <n v="0.94120694999999999"/>
    <m/>
    <n v="20000000"/>
    <n v="18824138.960000001"/>
    <n v="20000000"/>
    <n v="18824138.960000001"/>
    <n v="66164780"/>
    <s v="AMOMPY"/>
    <s v="Momentum Capital Investment S.A."/>
    <s v="16/10/2026"/>
    <s v="16/10/2026"/>
    <n v="30"/>
    <s v="No"/>
    <s v=""/>
    <m/>
    <m/>
    <s v="MAVR100100118"/>
    <s v="MAVR100100118"/>
    <n v="2.3038196845154472E-4"/>
  </r>
  <r>
    <x v="368"/>
    <s v="Pesos"/>
    <d v="2027-01-13T00:00:00"/>
    <s v="29/10/2026"/>
    <n v="0.93570575"/>
    <m/>
    <n v="4725000"/>
    <n v="4421209.68"/>
    <n v="4725000"/>
    <n v="4421209.68"/>
    <n v="11163482"/>
    <s v="AMOMPY"/>
    <s v="Momentum Capital Investment S.A."/>
    <s v="21/10/2026"/>
    <s v="21/10/2026"/>
    <n v="33"/>
    <s v="No"/>
    <s v=""/>
    <m/>
    <m/>
    <s v="*MAV110101132"/>
    <s v="*MAV110101132"/>
    <n v="5.4109619100231292E-5"/>
  </r>
  <r>
    <x v="477"/>
    <s v="Pesos"/>
    <d v="2027-01-13T00:00:00"/>
    <s v="29/10/2026"/>
    <n v="0.96002114999999999"/>
    <m/>
    <n v="2358919"/>
    <n v="2264612.14"/>
    <n v="2358919"/>
    <n v="2264612.14"/>
    <n v="358"/>
    <s v="AMOMPY"/>
    <s v="Momentum Capital Investment S.A."/>
    <s v="02/10/2026"/>
    <s v="02/10/2026"/>
    <n v="20"/>
    <s v="No"/>
    <s v=""/>
    <m/>
    <m/>
    <s v="*MAV100101381"/>
    <s v="*MAV100101381"/>
    <n v="2.7715785763221181E-5"/>
  </r>
  <r>
    <x v="0"/>
    <s v="Pesos"/>
    <d v="2027-01-14T00:00:00"/>
    <s v="29/10/2026"/>
    <n v="0.94234905999999996"/>
    <m/>
    <n v="11916548.66"/>
    <n v="11229548.439999999"/>
    <n v="11916548.66"/>
    <n v="11229548.439999999"/>
    <n v="22887"/>
    <s v="AMOMPY"/>
    <s v="Momentum Capital Investment S.A."/>
    <s v="28/10/2026"/>
    <s v="28/10/2026"/>
    <n v="29"/>
    <s v="No"/>
    <s v=""/>
    <m/>
    <m/>
    <s v="*TRD120100029"/>
    <s v="*TRD120100029"/>
    <n v="1.3743446539183287E-4"/>
  </r>
  <r>
    <x v="2"/>
    <s v="Pesos"/>
    <d v="2027-01-14T00:00:00"/>
    <s v="29/10/2026"/>
    <n v="0.93124125000000002"/>
    <m/>
    <n v="3081473.68"/>
    <n v="2869595.41"/>
    <n v="3081473.68"/>
    <n v="2869595.41"/>
    <n v="3872"/>
    <s v="AMOMPY"/>
    <s v="Momentum Capital Investment S.A."/>
    <s v="26/10/2026"/>
    <s v="26/10/2026"/>
    <n v="35"/>
    <s v="No"/>
    <s v=""/>
    <m/>
    <m/>
    <s v="*MAV120101741"/>
    <s v="*MAV120101741"/>
    <n v="3.511996169493415E-5"/>
  </r>
  <r>
    <x v="478"/>
    <s v="Pesos"/>
    <d v="2027-01-14T00:00:00"/>
    <s v="29/10/2026"/>
    <n v="0.93676227000000001"/>
    <m/>
    <n v="4000000"/>
    <n v="3747049.1"/>
    <n v="4000000"/>
    <n v="3747049.1"/>
    <n v="14390481"/>
    <s v="AMOMPY"/>
    <s v="Momentum Capital Investment S.A."/>
    <s v="04/09/2026"/>
    <s v="04/09/2026"/>
    <n v="32"/>
    <s v="No"/>
    <s v=""/>
    <m/>
    <m/>
    <s v="*MAV120101517"/>
    <s v="*MAV120101517"/>
    <n v="4.5858806576860769E-5"/>
  </r>
  <r>
    <x v="218"/>
    <s v="Pesos"/>
    <d v="2027-01-14T00:00:00"/>
    <s v="29/10/2026"/>
    <n v="0.93676229"/>
    <m/>
    <n v="1869225"/>
    <n v="1751019.49"/>
    <n v="1869225"/>
    <n v="1751019.49"/>
    <n v="7"/>
    <s v="AMOMPY"/>
    <s v="Momentum Capital Investment S.A."/>
    <s v="15/09/2026"/>
    <s v="15/09/2026"/>
    <n v="32"/>
    <s v="No"/>
    <s v=""/>
    <m/>
    <m/>
    <s v="*MAV120101531"/>
    <s v="*MAV120101531"/>
    <n v="2.1430107255392888E-5"/>
  </r>
  <r>
    <x v="55"/>
    <s v="Pesos"/>
    <d v="2027-01-14T00:00:00"/>
    <s v="29/10/2026"/>
    <n v="0.94800273999999995"/>
    <m/>
    <n v="25000000"/>
    <n v="23700068.57"/>
    <n v="25000000"/>
    <n v="23700068.57"/>
    <n v="9508927"/>
    <s v="AMOMPY"/>
    <s v="Momentum Capital Investment S.A."/>
    <s v="17/07/2026"/>
    <s v="17/07/2026"/>
    <n v="26"/>
    <s v="No"/>
    <s v=""/>
    <m/>
    <m/>
    <s v="*PRO120100011"/>
    <s v="*PRO120100011"/>
    <n v="2.900567436946495E-4"/>
  </r>
  <r>
    <x v="140"/>
    <s v="Pesos"/>
    <d v="2027-01-14T00:00:00"/>
    <s v="29/10/2026"/>
    <n v="0.92941547999999996"/>
    <m/>
    <n v="4945300.8499999996"/>
    <n v="4596239.18"/>
    <n v="4945300.8499999996"/>
    <n v="4596239.18"/>
    <n v="1380"/>
    <s v="AMOMPY"/>
    <s v="Momentum Capital Investment S.A."/>
    <s v="20/10/2026"/>
    <s v="20/10/2026"/>
    <n v="36"/>
    <s v="No"/>
    <s v=""/>
    <m/>
    <m/>
    <s v="*MAV120101712"/>
    <s v="*MAV120101712"/>
    <n v="5.6251743148123978E-5"/>
  </r>
  <r>
    <x v="375"/>
    <s v="Pesos"/>
    <d v="2027-01-14T00:00:00"/>
    <s v="29/10/2026"/>
    <n v="0.93124125000000002"/>
    <m/>
    <n v="2440210.56"/>
    <n v="2272424.7400000002"/>
    <n v="2440210.56"/>
    <n v="2272424.7400000002"/>
    <n v="885"/>
    <s v="AMOMPY"/>
    <s v="Momentum Capital Investment S.A."/>
    <s v="26/10/2026"/>
    <s v="26/10/2026"/>
    <n v="35"/>
    <s v="No"/>
    <s v=""/>
    <m/>
    <m/>
    <s v="*MAV120101740"/>
    <s v="*MAV120101740"/>
    <n v="2.7811401407078741E-5"/>
  </r>
  <r>
    <x v="416"/>
    <s v="Pesos"/>
    <d v="2027-01-14T00:00:00"/>
    <s v="29/10/2026"/>
    <n v="0.93491475999999996"/>
    <m/>
    <n v="3273081.48"/>
    <n v="3060052.18"/>
    <n v="3273081.48"/>
    <n v="3060052.18"/>
    <n v="13981360"/>
    <s v="AMOMPY"/>
    <s v="Momentum Capital Investment S.A."/>
    <s v="21/10/2026"/>
    <s v="21/10/2026"/>
    <n v="33"/>
    <s v="No"/>
    <s v=""/>
    <m/>
    <m/>
    <s v="*MAV120101720"/>
    <s v="*MAV120101720"/>
    <n v="3.7450894635386852E-5"/>
  </r>
  <r>
    <x v="289"/>
    <s v="Pesos"/>
    <d v="2027-01-14T00:00:00"/>
    <s v="29/10/2026"/>
    <n v="0.93124143999999998"/>
    <m/>
    <n v="3000000"/>
    <n v="2793724.32"/>
    <n v="3000000"/>
    <n v="2793724.32"/>
    <n v="49"/>
    <s v="AMOMPY"/>
    <s v="Momentum Capital Investment S.A."/>
    <s v="14/10/2026"/>
    <s v="14/10/2026"/>
    <n v="35"/>
    <s v="No"/>
    <s v=""/>
    <m/>
    <m/>
    <s v="*MAV120101673"/>
    <s v="*MAV120101673"/>
    <n v="3.419140230106722E-5"/>
  </r>
  <r>
    <x v="289"/>
    <s v="Pesos"/>
    <d v="2027-01-14T00:00:00"/>
    <s v="29/10/2026"/>
    <n v="0.93491469999999999"/>
    <m/>
    <n v="2500000"/>
    <n v="2337286.75"/>
    <n v="2500000"/>
    <n v="2337286.75"/>
    <n v="31"/>
    <s v="AMOMPY"/>
    <s v="Momentum Capital Investment S.A."/>
    <s v="13/10/2026"/>
    <s v="13/10/2026"/>
    <n v="33"/>
    <s v="No"/>
    <s v=""/>
    <m/>
    <m/>
    <s v="*MAV120101654"/>
    <s v="*MAV120101654"/>
    <n v="2.8605224570692047E-5"/>
  </r>
  <r>
    <x v="146"/>
    <s v="Pesos"/>
    <d v="2027-01-14T00:00:00"/>
    <s v="29/10/2026"/>
    <n v="0.94047950000000002"/>
    <m/>
    <n v="150000000"/>
    <n v="141071924.78999999"/>
    <n v="150000000"/>
    <n v="141071924.78999999"/>
    <n v="90004403"/>
    <s v="AMOMPY"/>
    <s v="Momentum Capital Investment S.A."/>
    <s v="29/10/2026"/>
    <s v="29/10/2026"/>
    <n v="30"/>
    <s v="No"/>
    <s v=""/>
    <m/>
    <m/>
    <s v="*MAV120101770"/>
    <s v="*MAV120101770"/>
    <n v="1.7265293140594446E-3"/>
  </r>
  <r>
    <x v="146"/>
    <s v="Pesos"/>
    <d v="2027-01-14T00:00:00"/>
    <s v="29/10/2026"/>
    <n v="0.94047950000000002"/>
    <m/>
    <n v="100000000"/>
    <n v="94047949.859999999"/>
    <n v="100000000"/>
    <n v="94047949.859999999"/>
    <n v="90004380"/>
    <s v="AMOMPY"/>
    <s v="Momentum Capital Investment S.A."/>
    <s v="22/10/2026"/>
    <s v="22/10/2026"/>
    <n v="30"/>
    <s v="No"/>
    <s v=""/>
    <m/>
    <m/>
    <s v="*MAV120101722"/>
    <s v="*MAV120101722"/>
    <n v="1.1510195427062964E-3"/>
  </r>
  <r>
    <x v="146"/>
    <s v="Pesos"/>
    <d v="2027-01-14T00:00:00"/>
    <s v="29/10/2026"/>
    <n v="0.94047932000000001"/>
    <m/>
    <n v="25000000"/>
    <n v="23511982.899999999"/>
    <n v="25000000"/>
    <n v="23511982.899999999"/>
    <n v="90004234"/>
    <s v="AMOMPY"/>
    <s v="Momentum Capital Investment S.A."/>
    <s v="24/09/2026"/>
    <s v="24/09/2026"/>
    <n v="30"/>
    <s v="No"/>
    <s v=""/>
    <m/>
    <m/>
    <s v="*MAV120101571"/>
    <s v="*MAV120101571"/>
    <n v="2.8775482980715619E-4"/>
  </r>
  <r>
    <x v="336"/>
    <s v="Pesos"/>
    <d v="2027-01-14T00:00:00"/>
    <s v="29/10/2026"/>
    <n v="0.93491477000000001"/>
    <m/>
    <n v="10000000"/>
    <n v="9349147.6899999995"/>
    <n v="10000000"/>
    <n v="9349147.6899999995"/>
    <n v="90002382"/>
    <s v="AMOMPY"/>
    <s v="Momentum Capital Investment S.A."/>
    <s v="14/10/2026"/>
    <s v="14/10/2026"/>
    <n v="33"/>
    <s v="No"/>
    <s v=""/>
    <m/>
    <m/>
    <s v="*MAV120101663"/>
    <s v="*MAV120101663"/>
    <n v="1.1442090672743376E-4"/>
  </r>
  <r>
    <x v="231"/>
    <s v="Pesos"/>
    <d v="2027-01-14T00:00:00"/>
    <s v="29/10/2026"/>
    <n v="0.94047928999999997"/>
    <m/>
    <n v="4175312.5"/>
    <n v="3926794.95"/>
    <n v="4175312.5"/>
    <n v="3926794.95"/>
    <n v="40952856"/>
    <s v="AMOMPY"/>
    <s v="Momentum Capital Investment S.A."/>
    <s v="19/10/2026"/>
    <s v="19/10/2026"/>
    <n v="30"/>
    <s v="No"/>
    <s v=""/>
    <m/>
    <m/>
    <s v="*MAV120101702"/>
    <s v="*MAV120101702"/>
    <n v="4.8058652361679392E-5"/>
  </r>
  <r>
    <x v="233"/>
    <s v="Dolar 3500"/>
    <d v="2027-01-14T00:00:00"/>
    <s v="29/10/2026"/>
    <n v="0.98340373000000003"/>
    <s v="1 US3 = 1539,5930209017 $"/>
    <n v="18230"/>
    <n v="17927.45"/>
    <n v="28066780.77"/>
    <n v="27600976.899999999"/>
    <n v="146448"/>
    <s v="AMOMPY"/>
    <s v="Momentum Capital Investment S.A."/>
    <s v="17/04/2026"/>
    <s v="17/04/2026"/>
    <n v="8"/>
    <s v="No"/>
    <s v=""/>
    <m/>
    <m/>
    <s v="#UMV120170009"/>
    <s v="#UMV120170009"/>
    <n v="3.3779857888424842E-4"/>
  </r>
  <r>
    <x v="0"/>
    <s v="Pesos"/>
    <d v="2027-01-15T00:00:00"/>
    <s v="29/10/2026"/>
    <n v="0.94164397"/>
    <m/>
    <n v="3472830.99"/>
    <n v="3270170.35"/>
    <n v="3472830.99"/>
    <n v="3270170.35"/>
    <n v="6541"/>
    <s v="AMOMPY"/>
    <s v="Momentum Capital Investment S.A."/>
    <s v="28/10/2026"/>
    <s v="28/10/2026"/>
    <n v="29"/>
    <s v="No"/>
    <s v=""/>
    <m/>
    <m/>
    <s v="*TRD130100035"/>
    <s v="*TRD130100035"/>
    <n v="4.0022456485567557E-5"/>
  </r>
  <r>
    <x v="0"/>
    <s v="Pesos"/>
    <d v="2027-01-15T00:00:00"/>
    <s v="29/10/2026"/>
    <n v="0.94164397"/>
    <m/>
    <n v="11916548.66"/>
    <n v="11221146.18"/>
    <n v="11916548.66"/>
    <n v="11221146.18"/>
    <n v="22888"/>
    <s v="AMOMPY"/>
    <s v="Momentum Capital Investment S.A."/>
    <s v="28/10/2026"/>
    <s v="28/10/2026"/>
    <n v="29"/>
    <s v="No"/>
    <s v=""/>
    <m/>
    <m/>
    <s v="*TRD130100034"/>
    <s v="*TRD130100034"/>
    <n v="1.3733163310811702E-4"/>
  </r>
  <r>
    <x v="2"/>
    <s v="Pesos"/>
    <d v="2027-01-15T00:00:00"/>
    <s v="29/10/2026"/>
    <n v="0.93041063999999996"/>
    <m/>
    <n v="3081473.68"/>
    <n v="2867035.89"/>
    <n v="3081473.68"/>
    <n v="2867035.89"/>
    <n v="3873"/>
    <s v="AMOMPY"/>
    <s v="Momentum Capital Investment S.A."/>
    <s v="26/10/2026"/>
    <s v="26/10/2026"/>
    <n v="35"/>
    <s v="No"/>
    <s v=""/>
    <m/>
    <m/>
    <s v="*MAV130101433"/>
    <s v="*MAV130101433"/>
    <n v="3.5088636636340813E-5"/>
  </r>
  <r>
    <x v="54"/>
    <s v="Pesos"/>
    <d v="2027-01-15T00:00:00"/>
    <s v="29/10/2026"/>
    <n v="0.93786944000000005"/>
    <m/>
    <n v="3700000"/>
    <n v="3470116.92"/>
    <n v="3700000"/>
    <n v="3470116.92"/>
    <n v="164545"/>
    <s v="AMOMPY"/>
    <s v="Momentum Capital Investment S.A."/>
    <s v="18/09/2026"/>
    <s v="18/09/2026"/>
    <n v="31"/>
    <s v="No"/>
    <s v=""/>
    <m/>
    <m/>
    <s v="#IGA140170001"/>
    <s v="#IGA140170001"/>
    <n v="4.2469531726544979E-5"/>
  </r>
  <r>
    <x v="479"/>
    <s v="Pesos"/>
    <d v="2027-01-15T00:00:00"/>
    <s v="29/10/2026"/>
    <n v="0.93599348999999998"/>
    <m/>
    <n v="9084444.3200000003"/>
    <n v="8502980.7200000007"/>
    <n v="9084444.3200000003"/>
    <n v="8502980.7200000007"/>
    <n v="2608"/>
    <s v="AMOMPY"/>
    <s v="Momentum Capital Investment S.A."/>
    <s v="14/09/2026"/>
    <s v="14/09/2026"/>
    <n v="32"/>
    <s v="No"/>
    <s v=""/>
    <m/>
    <m/>
    <s v="*MAV130101286"/>
    <s v="*MAV130101286"/>
    <n v="1.0406496892855135E-4"/>
  </r>
  <r>
    <x v="68"/>
    <s v="Pesos"/>
    <d v="2027-01-15T00:00:00"/>
    <s v="29/10/2026"/>
    <n v="0.93412512000000003"/>
    <m/>
    <n v="22500000"/>
    <n v="21017815.170000002"/>
    <n v="22500000"/>
    <n v="21017815.170000002"/>
    <n v="396"/>
    <s v="AMOMPY"/>
    <s v="Momentum Capital Investment S.A."/>
    <s v="14/10/2026"/>
    <s v="14/10/2026"/>
    <n v="33"/>
    <s v="No"/>
    <s v=""/>
    <m/>
    <m/>
    <s v="*MAV130101347"/>
    <s v="*MAV130101347"/>
    <n v="2.5722959449590345E-4"/>
  </r>
  <r>
    <x v="272"/>
    <s v="Pesos"/>
    <d v="2027-01-15T00:00:00"/>
    <s v="29/10/2026"/>
    <n v="0.93412519999999999"/>
    <m/>
    <n v="2200000"/>
    <n v="2055075.44"/>
    <n v="2200000"/>
    <n v="2055075.44"/>
    <n v="6763"/>
    <s v="AMOMPY"/>
    <s v="Momentum Capital Investment S.A."/>
    <s v="01/10/2026"/>
    <s v="01/10/2026"/>
    <n v="33"/>
    <s v="No"/>
    <s v=""/>
    <m/>
    <m/>
    <s v="*MAV130101320"/>
    <s v="*MAV130101320"/>
    <n v="2.5151340318390019E-5"/>
  </r>
  <r>
    <x v="140"/>
    <s v="Pesos"/>
    <d v="2027-01-15T00:00:00"/>
    <s v="29/10/2026"/>
    <n v="0.92856421"/>
    <m/>
    <n v="4945300.8499999996"/>
    <n v="4592029.37"/>
    <n v="4945300.8499999996"/>
    <n v="4592029.37"/>
    <n v="1381"/>
    <s v="AMOMPY"/>
    <s v="Momentum Capital Investment S.A."/>
    <s v="20/10/2026"/>
    <s v="20/10/2026"/>
    <n v="36"/>
    <s v="No"/>
    <s v=""/>
    <m/>
    <m/>
    <s v="*MAV130101396"/>
    <s v="*MAV130101396"/>
    <n v="5.620022077482086E-5"/>
  </r>
  <r>
    <x v="375"/>
    <s v="Pesos"/>
    <d v="2027-01-15T00:00:00"/>
    <s v="29/10/2026"/>
    <n v="0.93041063999999996"/>
    <m/>
    <n v="2440210.56"/>
    <n v="2270397.86"/>
    <n v="2440210.56"/>
    <n v="2270397.86"/>
    <n v="884"/>
    <s v="AMOMPY"/>
    <s v="Momentum Capital Investment S.A."/>
    <s v="26/10/2026"/>
    <s v="26/10/2026"/>
    <n v="35"/>
    <s v="No"/>
    <s v=""/>
    <m/>
    <m/>
    <s v="*MAV130101432"/>
    <s v="*MAV130101432"/>
    <n v="2.7786595140762529E-5"/>
  </r>
  <r>
    <x v="145"/>
    <s v="Pesos"/>
    <d v="2027-01-15T00:00:00"/>
    <s v="29/10/2026"/>
    <n v="0.93975293999999998"/>
    <m/>
    <n v="2006000"/>
    <n v="1885144.39"/>
    <n v="2006000"/>
    <n v="1885144.39"/>
    <n v="70556048"/>
    <s v="AMOMPY"/>
    <s v="Momentum Capital Investment S.A."/>
    <s v="21/10/2026"/>
    <s v="21/10/2026"/>
    <n v="30"/>
    <s v="No"/>
    <s v=""/>
    <m/>
    <m/>
    <s v="*MAV130101406"/>
    <s v="*MAV130101406"/>
    <n v="2.307161439396782E-5"/>
  </r>
  <r>
    <x v="107"/>
    <s v="Pesos"/>
    <d v="2027-01-15T00:00:00"/>
    <s v="29/10/2026"/>
    <n v="0.93041039000000003"/>
    <m/>
    <n v="335087.09999999998"/>
    <n v="311768.52"/>
    <n v="335087.09999999998"/>
    <n v="311768.52"/>
    <n v="30105966"/>
    <s v="AMOMPY"/>
    <s v="Momentum Capital Investment S.A."/>
    <s v="16/10/2026"/>
    <s v="16/10/2026"/>
    <n v="35"/>
    <s v="No"/>
    <s v=""/>
    <m/>
    <m/>
    <s v="*MAV130101378"/>
    <s v="*MAV130101378"/>
    <n v="3.8156244751194074E-6"/>
  </r>
  <r>
    <x v="465"/>
    <s v="Pesos"/>
    <d v="2027-01-15T00:00:00"/>
    <s v="29/10/2026"/>
    <n v="0.93226410000000004"/>
    <m/>
    <n v="1000000"/>
    <n v="932264.1"/>
    <n v="1000000"/>
    <n v="932264.1"/>
    <n v="90000135"/>
    <s v="AMOMPY"/>
    <s v="Momentum Capital Investment S.A."/>
    <s v="21/10/2026"/>
    <s v="21/10/2026"/>
    <n v="34"/>
    <s v="No"/>
    <s v=""/>
    <m/>
    <m/>
    <s v="*MAV130101404"/>
    <s v="*MAV130101404"/>
    <n v="1.1409650073827744E-5"/>
  </r>
  <r>
    <x v="208"/>
    <s v="Pesos"/>
    <d v="2027-01-15T00:00:00"/>
    <s v="29/10/2026"/>
    <n v="0.93599365999999995"/>
    <m/>
    <n v="8648727.6500000004"/>
    <n v="8095154.21"/>
    <n v="8648727.6500000004"/>
    <n v="8095154.21"/>
    <n v="359"/>
    <s v="AMOMPY"/>
    <s v="Momentum Capital Investment S.A."/>
    <s v="19/10/2026"/>
    <s v="19/10/2026"/>
    <n v="32"/>
    <s v="No"/>
    <s v=""/>
    <m/>
    <m/>
    <s v="*MAV130101384"/>
    <s v="*MAV130101384"/>
    <n v="9.9073724741490608E-5"/>
  </r>
  <r>
    <x v="48"/>
    <s v="Pesos"/>
    <d v="2027-01-15T00:00:00"/>
    <s v="29/10/2026"/>
    <n v="0.93975295000000003"/>
    <m/>
    <n v="3935883.26"/>
    <n v="3698757.9"/>
    <n v="3935883.26"/>
    <n v="3698757.9"/>
    <n v="90000105"/>
    <s v="AMOMPY"/>
    <s v="Momentum Capital Investment S.A."/>
    <s v="14/10/2026"/>
    <s v="14/10/2026"/>
    <n v="30"/>
    <s v="No"/>
    <s v=""/>
    <m/>
    <m/>
    <s v="*MAV130101346"/>
    <s v="*MAV130101346"/>
    <n v="4.5267787686778832E-5"/>
  </r>
  <r>
    <x v="460"/>
    <s v="Pesos"/>
    <d v="2027-01-15T00:00:00"/>
    <s v="29/10/2026"/>
    <n v="0.93599354999999995"/>
    <m/>
    <n v="16368524.48"/>
    <n v="15320833.27"/>
    <n v="16368524.48"/>
    <n v="15320833.27"/>
    <n v="1045"/>
    <s v="AMOMPY"/>
    <s v="Momentum Capital Investment S.A."/>
    <s v="21/10/2026"/>
    <s v="21/10/2026"/>
    <n v="32"/>
    <s v="No"/>
    <s v=""/>
    <m/>
    <m/>
    <s v="*MAV130101405"/>
    <s v="*MAV130101405"/>
    <n v="1.8750625112578942E-4"/>
  </r>
  <r>
    <x v="447"/>
    <s v="Pesos"/>
    <d v="2027-01-15T00:00:00"/>
    <s v="29/10/2026"/>
    <n v="0.93041048000000004"/>
    <m/>
    <n v="25000000"/>
    <n v="23260262"/>
    <n v="25000000"/>
    <n v="23260262"/>
    <n v="381"/>
    <s v="AMOMPY"/>
    <s v="Momentum Capital Investment S.A."/>
    <s v="18/09/2026"/>
    <s v="18/09/2026"/>
    <n v="35"/>
    <s v="No"/>
    <s v=""/>
    <m/>
    <m/>
    <s v="*MAV130101294"/>
    <s v="*MAV130101294"/>
    <n v="2.8467410688189397E-4"/>
  </r>
  <r>
    <x v="0"/>
    <s v="Pesos"/>
    <d v="2027-01-18T00:00:00"/>
    <s v="29/10/2026"/>
    <n v="0.93953525999999998"/>
    <m/>
    <n v="4000000"/>
    <n v="3758141.03"/>
    <n v="4000000"/>
    <n v="3758141.03"/>
    <n v="6542"/>
    <s v="AMOMPY"/>
    <s v="Momentum Capital Investment S.A."/>
    <s v="28/10/2026"/>
    <s v="28/10/2026"/>
    <n v="29"/>
    <s v="No"/>
    <s v=""/>
    <m/>
    <m/>
    <s v="*TRD140100028"/>
    <s v="*TRD140100028"/>
    <n v="4.5994556778915514E-5"/>
  </r>
  <r>
    <x v="0"/>
    <s v="Pesos"/>
    <d v="2027-01-18T00:00:00"/>
    <s v="29/10/2026"/>
    <n v="0.93953525999999998"/>
    <m/>
    <n v="11916548.66"/>
    <n v="11196017.619999999"/>
    <n v="11916548.66"/>
    <n v="11196017.619999999"/>
    <n v="22889"/>
    <s v="AMOMPY"/>
    <s v="Momentum Capital Investment S.A."/>
    <s v="28/10/2026"/>
    <s v="28/10/2026"/>
    <n v="29"/>
    <s v="No"/>
    <s v=""/>
    <m/>
    <m/>
    <s v="*TRD140100027"/>
    <s v="*TRD140100027"/>
    <n v="1.3702409356384067E-4"/>
  </r>
  <r>
    <x v="1"/>
    <s v="Pesos"/>
    <d v="2027-01-18T00:00:00"/>
    <s v="29/10/2026"/>
    <n v="0.93758039999999998"/>
    <m/>
    <n v="51921649.450000003"/>
    <n v="48680720.909999996"/>
    <n v="51921649.450000003"/>
    <n v="48680720.909999996"/>
    <n v="22963"/>
    <s v="AMOMPY"/>
    <s v="Momentum Capital Investment S.A."/>
    <s v="15/09/2026"/>
    <s v="15/09/2026"/>
    <n v="30"/>
    <s v="No"/>
    <s v=""/>
    <m/>
    <m/>
    <s v="*AFB140100006"/>
    <s v="*AFB140100006"/>
    <n v="5.9578609851518392E-4"/>
  </r>
  <r>
    <x v="2"/>
    <s v="Pesos"/>
    <d v="2027-01-18T00:00:00"/>
    <s v="29/10/2026"/>
    <n v="0.92792706999999996"/>
    <m/>
    <n v="3081473.68"/>
    <n v="2859382.84"/>
    <n v="3081473.68"/>
    <n v="2859382.84"/>
    <n v="3874"/>
    <s v="AMOMPY"/>
    <s v="Momentum Capital Investment S.A."/>
    <s v="26/10/2026"/>
    <s v="26/10/2026"/>
    <n v="35"/>
    <s v="No"/>
    <s v=""/>
    <m/>
    <m/>
    <s v="*MAV140101387"/>
    <s v="*MAV140101387"/>
    <n v="3.4994973668414115E-5"/>
  </r>
  <r>
    <x v="480"/>
    <s v="Pesos"/>
    <d v="2027-01-18T00:00:00"/>
    <s v="29/10/2026"/>
    <n v="0.93176440999999999"/>
    <m/>
    <n v="6006148"/>
    <n v="5596314.96"/>
    <n v="6006148"/>
    <n v="5596314.96"/>
    <n v="1370643"/>
    <s v="AMOMPY"/>
    <s v="Momentum Capital Investment S.A."/>
    <s v="23/09/2026"/>
    <s v="23/09/2026"/>
    <n v="33"/>
    <s v="No"/>
    <s v=""/>
    <m/>
    <m/>
    <s v="*MAV140101244"/>
    <s v="*MAV140101244"/>
    <n v="6.8491316351801287E-5"/>
  </r>
  <r>
    <x v="54"/>
    <s v="Pesos"/>
    <d v="2027-01-18T00:00:00"/>
    <s v="29/10/2026"/>
    <n v="0.93758037000000005"/>
    <m/>
    <n v="16000000"/>
    <n v="15001285.98"/>
    <n v="16000000"/>
    <n v="15001285.98"/>
    <n v="11005432"/>
    <s v="AMOMPY"/>
    <s v="Momentum Capital Investment S.A."/>
    <s v="18/09/2026"/>
    <s v="18/09/2026"/>
    <n v="30"/>
    <s v="No"/>
    <s v=""/>
    <m/>
    <m/>
    <s v="*INP140100063"/>
    <s v="*INP140100063"/>
    <n v="1.8359542504019848E-4"/>
  </r>
  <r>
    <x v="239"/>
    <s v="Pesos"/>
    <d v="2027-01-18T00:00:00"/>
    <s v="29/10/2026"/>
    <n v="0.93369502000000004"/>
    <m/>
    <n v="1566916.35"/>
    <n v="1463021.99"/>
    <n v="1566916.35"/>
    <n v="1463021.99"/>
    <n v="1183"/>
    <s v="AMOMPY"/>
    <s v="Momentum Capital Investment S.A."/>
    <s v="15/09/2026"/>
    <s v="15/09/2026"/>
    <n v="32"/>
    <s v="No"/>
    <s v=""/>
    <m/>
    <m/>
    <s v="*MAV140101234"/>
    <s v="*MAV140101234"/>
    <n v="1.7905407873386001E-5"/>
  </r>
  <r>
    <x v="140"/>
    <s v="Pesos"/>
    <d v="2027-01-18T00:00:00"/>
    <s v="29/10/2026"/>
    <n v="0.92601999000000002"/>
    <m/>
    <n v="4945300.8499999996"/>
    <n v="4579447.42"/>
    <n v="4945300.8499999996"/>
    <n v="4579447.42"/>
    <n v="1382"/>
    <s v="AMOMPY"/>
    <s v="Momentum Capital Investment S.A."/>
    <s v="20/10/2026"/>
    <s v="20/10/2026"/>
    <n v="36"/>
    <s v="No"/>
    <s v=""/>
    <m/>
    <m/>
    <s v="*MAV140101361"/>
    <s v="*MAV140101361"/>
    <n v="5.6046234745812129E-5"/>
  </r>
  <r>
    <x v="2"/>
    <s v="Pesos"/>
    <d v="2027-01-18T00:00:00"/>
    <s v="29/10/2026"/>
    <n v="0.92602001"/>
    <m/>
    <n v="2440210.56"/>
    <n v="2259683.81"/>
    <n v="2440210.56"/>
    <n v="2259683.81"/>
    <n v="3720"/>
    <s v="AMOMPY"/>
    <s v="Momentum Capital Investment S.A."/>
    <s v="06/10/2026"/>
    <s v="06/10/2026"/>
    <n v="36"/>
    <s v="No"/>
    <s v=""/>
    <m/>
    <m/>
    <s v="*MAV140101283"/>
    <s v="*MAV140101283"/>
    <n v="2.7655469678167227E-5"/>
  </r>
  <r>
    <x v="222"/>
    <s v="Pesos"/>
    <d v="2027-01-18T00:00:00"/>
    <s v="29/10/2026"/>
    <n v="0.93758041000000003"/>
    <m/>
    <n v="231663.18"/>
    <n v="217202.86"/>
    <n v="231663.18"/>
    <n v="217202.86"/>
    <n v="692245"/>
    <s v="AMOMPY"/>
    <s v="Momentum Capital Investment S.A."/>
    <s v="13/10/2026"/>
    <s v="13/10/2026"/>
    <n v="30"/>
    <s v="No"/>
    <s v=""/>
    <m/>
    <m/>
    <s v="*MAV140101307"/>
    <s v="*MAV140101307"/>
    <n v="2.6582688614037557E-6"/>
  </r>
  <r>
    <x v="222"/>
    <s v="Pesos"/>
    <d v="2027-01-18T00:00:00"/>
    <s v="29/10/2026"/>
    <n v="0.93758041000000003"/>
    <m/>
    <n v="231663.18"/>
    <n v="217202.86"/>
    <n v="231663.18"/>
    <n v="217202.86"/>
    <n v="692199"/>
    <s v="AMOMPY"/>
    <s v="Momentum Capital Investment S.A."/>
    <s v="13/10/2026"/>
    <s v="13/10/2026"/>
    <n v="30"/>
    <s v="No"/>
    <s v=""/>
    <m/>
    <m/>
    <s v="*MAV140101308"/>
    <s v="*MAV140101308"/>
    <n v="2.6582688614037557E-6"/>
  </r>
  <r>
    <x v="222"/>
    <s v="Pesos"/>
    <d v="2027-01-18T00:00:00"/>
    <s v="29/10/2026"/>
    <n v="0.93758041000000003"/>
    <m/>
    <n v="231663.18"/>
    <n v="217202.86"/>
    <n v="231663.18"/>
    <n v="217202.86"/>
    <n v="692176"/>
    <s v="AMOMPY"/>
    <s v="Momentum Capital Investment S.A."/>
    <s v="13/10/2026"/>
    <s v="13/10/2026"/>
    <n v="30"/>
    <s v="No"/>
    <s v=""/>
    <m/>
    <m/>
    <s v="*MAV140101309"/>
    <s v="*MAV140101309"/>
    <n v="2.6582688614037557E-6"/>
  </r>
  <r>
    <x v="222"/>
    <s v="Pesos"/>
    <d v="2027-01-18T00:00:00"/>
    <s v="29/10/2026"/>
    <n v="0.93758041000000003"/>
    <m/>
    <n v="231663.18"/>
    <n v="217202.86"/>
    <n v="231663.18"/>
    <n v="217202.86"/>
    <n v="692235"/>
    <s v="AMOMPY"/>
    <s v="Momentum Capital Investment S.A."/>
    <s v="13/10/2026"/>
    <s v="13/10/2026"/>
    <n v="30"/>
    <s v="No"/>
    <s v=""/>
    <m/>
    <m/>
    <s v="*MAV140101310"/>
    <s v="*MAV140101310"/>
    <n v="2.6582688614037557E-6"/>
  </r>
  <r>
    <x v="222"/>
    <s v="Pesos"/>
    <d v="2027-01-18T00:00:00"/>
    <s v="29/10/2026"/>
    <n v="0.94149815000000003"/>
    <m/>
    <n v="411845.62"/>
    <n v="387751.89"/>
    <n v="411845.62"/>
    <n v="387751.89"/>
    <n v="682953"/>
    <s v="AMOMPY"/>
    <s v="Momentum Capital Investment S.A."/>
    <s v="01/10/2026"/>
    <s v="01/10/2026"/>
    <n v="28"/>
    <s v="No"/>
    <s v=""/>
    <m/>
    <m/>
    <s v="*MAV140101268"/>
    <s v="*MAV140101268"/>
    <n v="4.745558024132161E-6"/>
  </r>
  <r>
    <x v="222"/>
    <s v="Pesos"/>
    <d v="2027-01-18T00:00:00"/>
    <s v="29/10/2026"/>
    <n v="0.94346945999999998"/>
    <m/>
    <n v="2493401.42"/>
    <n v="2352448.09"/>
    <n v="2493401.42"/>
    <n v="2352448.09"/>
    <n v="677251"/>
    <s v="AMOMPY"/>
    <s v="Momentum Capital Investment S.A."/>
    <s v="07/09/2026"/>
    <s v="07/09/2026"/>
    <n v="27"/>
    <s v="No"/>
    <s v=""/>
    <m/>
    <m/>
    <s v="*MAV140101219"/>
    <s v="*MAV140101219"/>
    <n v="2.8790778840185345E-5"/>
  </r>
  <r>
    <x v="222"/>
    <s v="Pesos"/>
    <d v="2027-01-18T00:00:00"/>
    <s v="29/10/2026"/>
    <n v="0.94346945999999998"/>
    <m/>
    <n v="2493401.42"/>
    <n v="2352448.09"/>
    <n v="2493401.42"/>
    <n v="2352448.09"/>
    <n v="677265"/>
    <s v="AMOMPY"/>
    <s v="Momentum Capital Investment S.A."/>
    <s v="07/09/2026"/>
    <s v="07/09/2026"/>
    <n v="27"/>
    <s v="No"/>
    <s v=""/>
    <m/>
    <m/>
    <s v="*MAV140101220"/>
    <s v="*MAV140101220"/>
    <n v="2.8790778840185345E-5"/>
  </r>
  <r>
    <x v="222"/>
    <s v="Pesos"/>
    <d v="2027-01-18T00:00:00"/>
    <s v="29/10/2026"/>
    <n v="0.94346945999999998"/>
    <m/>
    <n v="2493401.42"/>
    <n v="2352448.09"/>
    <n v="2493401.42"/>
    <n v="2352448.09"/>
    <n v="677245"/>
    <s v="AMOMPY"/>
    <s v="Momentum Capital Investment S.A."/>
    <s v="07/09/2026"/>
    <s v="07/09/2026"/>
    <n v="27"/>
    <s v="No"/>
    <s v=""/>
    <m/>
    <m/>
    <s v="*MAV140101221"/>
    <s v="*MAV140101221"/>
    <n v="2.8790778840185345E-5"/>
  </r>
  <r>
    <x v="222"/>
    <s v="Pesos"/>
    <d v="2027-01-18T00:00:00"/>
    <s v="29/10/2026"/>
    <n v="0.94346945999999998"/>
    <m/>
    <n v="2493401.42"/>
    <n v="2352448.09"/>
    <n v="2493401.42"/>
    <n v="2352448.09"/>
    <n v="670019"/>
    <s v="AMOMPY"/>
    <s v="Momentum Capital Investment S.A."/>
    <s v="07/09/2026"/>
    <s v="07/09/2026"/>
    <n v="27"/>
    <s v="No"/>
    <s v=""/>
    <m/>
    <m/>
    <s v="*MAV140101222"/>
    <s v="*MAV140101222"/>
    <n v="2.8790778840185345E-5"/>
  </r>
  <r>
    <x v="466"/>
    <s v="Pesos"/>
    <d v="2027-01-18T00:00:00"/>
    <s v="29/10/2026"/>
    <n v="0.93176426999999995"/>
    <m/>
    <n v="5850000"/>
    <n v="5450820.9699999997"/>
    <n v="5850000"/>
    <n v="5450820.9699999997"/>
    <n v="1395686"/>
    <s v="AMOMPY"/>
    <s v="Momentum Capital Investment S.A."/>
    <s v="23/10/2026"/>
    <s v="23/10/2026"/>
    <n v="33"/>
    <s v="No"/>
    <s v=""/>
    <m/>
    <m/>
    <s v="*MAV140101372"/>
    <s v="*MAV140101372"/>
    <n v="6.6710666948113006E-5"/>
  </r>
  <r>
    <x v="416"/>
    <s v="Pesos"/>
    <d v="2027-01-18T00:00:00"/>
    <s v="29/10/2026"/>
    <n v="0.93176439"/>
    <m/>
    <n v="5814000"/>
    <n v="5417278.1500000004"/>
    <n v="5814000"/>
    <n v="5417278.1500000004"/>
    <n v="736"/>
    <s v="AMOMPY"/>
    <s v="Momentum Capital Investment S.A."/>
    <s v="21/10/2026"/>
    <s v="21/10/2026"/>
    <n v="33"/>
    <s v="No"/>
    <s v=""/>
    <m/>
    <m/>
    <s v="*MAV140101368"/>
    <s v="*MAV140101368"/>
    <n v="6.6300148256371696E-5"/>
  </r>
  <r>
    <x v="481"/>
    <s v="Pesos"/>
    <d v="2027-01-18T00:00:00"/>
    <s v="29/10/2026"/>
    <n v="0.92792706999999996"/>
    <m/>
    <n v="2440210.56"/>
    <n v="2264337.44"/>
    <n v="2440210.56"/>
    <n v="2264337.44"/>
    <n v="301"/>
    <s v="AMOMPY"/>
    <s v="Momentum Capital Investment S.A."/>
    <s v="26/10/2026"/>
    <s v="26/10/2026"/>
    <n v="35"/>
    <s v="No"/>
    <s v=""/>
    <m/>
    <m/>
    <s v="*MAV140101386"/>
    <s v="*MAV140101386"/>
    <n v="2.7712423807231152E-5"/>
  </r>
  <r>
    <x v="44"/>
    <s v="Pesos"/>
    <d v="2027-01-18T00:00:00"/>
    <s v="29/10/2026"/>
    <n v="0.93176424000000002"/>
    <m/>
    <n v="20000000"/>
    <n v="18635284.850000001"/>
    <n v="20000000"/>
    <n v="18635284.850000001"/>
    <n v="14725038"/>
    <s v="AMOMPY"/>
    <s v="Momentum Capital Investment S.A."/>
    <s v="19/10/2026"/>
    <s v="19/10/2026"/>
    <n v="33"/>
    <s v="No"/>
    <s v=""/>
    <m/>
    <m/>
    <s v="*MAV140101346"/>
    <s v="*MAV140101346"/>
    <n v="2.2807064989910429E-4"/>
  </r>
  <r>
    <x v="247"/>
    <s v="Pesos"/>
    <d v="2027-01-18T00:00:00"/>
    <s v="29/10/2026"/>
    <n v="0.92984171000000004"/>
    <m/>
    <n v="1260746.67"/>
    <n v="1172294.8400000001"/>
    <n v="1260746.67"/>
    <n v="1172294.8400000001"/>
    <n v="70472502"/>
    <s v="AMOMPY"/>
    <s v="Momentum Capital Investment S.A."/>
    <s v="21/10/2026"/>
    <s v="21/10/2026"/>
    <n v="34"/>
    <s v="No"/>
    <s v=""/>
    <m/>
    <m/>
    <s v="*MAV140101363"/>
    <s v="*MAV140101363"/>
    <n v="1.4347301271982783E-5"/>
  </r>
  <r>
    <x v="248"/>
    <s v="Pesos"/>
    <d v="2027-01-18T00:00:00"/>
    <s v="29/10/2026"/>
    <n v="0.92984171999999998"/>
    <m/>
    <n v="1416494.71"/>
    <n v="1317115.8700000001"/>
    <n v="1416494.71"/>
    <n v="1317115.8700000001"/>
    <n v="252"/>
    <s v="AMOMPY"/>
    <s v="Momentum Capital Investment S.A."/>
    <s v="21/10/2026"/>
    <s v="21/10/2026"/>
    <n v="34"/>
    <s v="No"/>
    <s v=""/>
    <m/>
    <m/>
    <s v="*MAV140101364"/>
    <s v="*MAV140101364"/>
    <n v="1.6119714556621022E-5"/>
  </r>
  <r>
    <x v="0"/>
    <s v="Pesos"/>
    <d v="2027-01-19T00:00:00"/>
    <s v="29/10/2026"/>
    <n v="0.93685834000000001"/>
    <m/>
    <n v="20000000"/>
    <n v="18737166.760000002"/>
    <n v="20000000"/>
    <n v="18737166.760000002"/>
    <n v="68586588"/>
    <s v="AMOMPY"/>
    <s v="Momentum Capital Investment S.A."/>
    <s v="21/09/2026"/>
    <s v="21/09/2026"/>
    <n v="30"/>
    <s v="No"/>
    <s v=""/>
    <m/>
    <m/>
    <s v="TRND150100006"/>
    <s v="TRND150100006"/>
    <n v="2.2931754650485497E-4"/>
  </r>
  <r>
    <x v="0"/>
    <s v="Pesos"/>
    <d v="2027-01-19T00:00:00"/>
    <s v="29/10/2026"/>
    <n v="0.93883437000000003"/>
    <m/>
    <n v="11916548.66"/>
    <n v="11187665.42"/>
    <n v="11916548.66"/>
    <n v="11187665.42"/>
    <n v="22890"/>
    <s v="AMOMPY"/>
    <s v="Momentum Capital Investment S.A."/>
    <s v="28/10/2026"/>
    <s v="28/10/2026"/>
    <n v="29"/>
    <s v="No"/>
    <s v=""/>
    <m/>
    <m/>
    <s v="*TRD150100045"/>
    <s v="*TRD150100045"/>
    <n v="1.3692187394673152E-4"/>
  </r>
  <r>
    <x v="65"/>
    <s v="Pesos"/>
    <d v="2027-01-19T00:00:00"/>
    <s v="29/10/2026"/>
    <n v="0.93685837000000005"/>
    <m/>
    <n v="5580000"/>
    <n v="5227669.7"/>
    <n v="5580000"/>
    <n v="5227669.7"/>
    <n v="11415146"/>
    <s v="AMOMPY"/>
    <s v="Momentum Capital Investment S.A."/>
    <s v="18/09/2026"/>
    <s v="18/09/2026"/>
    <n v="30"/>
    <s v="No"/>
    <s v=""/>
    <m/>
    <m/>
    <s v="*CVA150100021"/>
    <s v="*CVA150100021"/>
    <n v="6.3979597603889353E-5"/>
  </r>
  <r>
    <x v="65"/>
    <s v="Pesos"/>
    <d v="2027-01-19T00:00:00"/>
    <s v="29/10/2026"/>
    <n v="0.94081870000000001"/>
    <m/>
    <n v="18040295.57"/>
    <n v="16972647.510000002"/>
    <n v="18040295.57"/>
    <n v="16972647.510000002"/>
    <n v="20905"/>
    <s v="AMOMPY"/>
    <s v="Momentum Capital Investment S.A."/>
    <s v="28/10/2026"/>
    <s v="28/10/2026"/>
    <n v="28"/>
    <s v="No"/>
    <s v=""/>
    <m/>
    <m/>
    <s v="*CVA150100023"/>
    <s v="*CVA150100023"/>
    <n v="2.077222204689892E-4"/>
  </r>
  <r>
    <x v="2"/>
    <s v="Pesos"/>
    <d v="2027-01-19T00:00:00"/>
    <s v="29/10/2026"/>
    <n v="0.92710205999999995"/>
    <m/>
    <n v="3081473.68"/>
    <n v="2856840.6"/>
    <n v="3081473.68"/>
    <n v="2856840.6"/>
    <n v="3875"/>
    <s v="AMOMPY"/>
    <s v="Momentum Capital Investment S.A."/>
    <s v="26/10/2026"/>
    <s v="26/10/2026"/>
    <n v="35"/>
    <s v="No"/>
    <s v=""/>
    <m/>
    <m/>
    <s v="*MAV150101875"/>
    <s v="*MAV150101875"/>
    <n v="3.4963860093619499E-5"/>
  </r>
  <r>
    <x v="235"/>
    <s v="Pesos"/>
    <d v="2027-01-19T00:00:00"/>
    <s v="29/10/2026"/>
    <n v="0.93293132999999995"/>
    <m/>
    <n v="1027513.96"/>
    <n v="958599.97"/>
    <n v="1027513.96"/>
    <n v="958599.97"/>
    <n v="3585517"/>
    <s v="AMOMPY"/>
    <s v="Momentum Capital Investment S.A."/>
    <s v="16/09/2026"/>
    <s v="16/09/2026"/>
    <n v="32"/>
    <s v="No"/>
    <s v=""/>
    <m/>
    <m/>
    <s v="*MAV150101635"/>
    <s v="*MAV150101635"/>
    <n v="1.1731965457515497E-5"/>
  </r>
  <r>
    <x v="361"/>
    <s v="Pesos"/>
    <d v="2027-01-19T00:00:00"/>
    <s v="29/10/2026"/>
    <n v="0.92710190999999997"/>
    <m/>
    <n v="25000000"/>
    <n v="23177547.850000001"/>
    <n v="25000000"/>
    <n v="23177547.850000001"/>
    <n v="10685427"/>
    <s v="AMOMPY"/>
    <s v="Momentum Capital Investment S.A."/>
    <s v="18/09/2026"/>
    <s v="18/09/2026"/>
    <n v="35"/>
    <s v="No"/>
    <s v=""/>
    <m/>
    <m/>
    <s v="*MAV150101643"/>
    <s v="*MAV150101643"/>
    <n v="2.836617977007788E-4"/>
  </r>
  <r>
    <x v="54"/>
    <s v="Pesos"/>
    <d v="2027-01-19T00:00:00"/>
    <s v="29/10/2026"/>
    <n v="0.93098000000000003"/>
    <m/>
    <n v="10000000"/>
    <n v="9309800.0299999993"/>
    <n v="10000000"/>
    <n v="9309800.0299999993"/>
    <n v="2285690"/>
    <s v="AMOMPY"/>
    <s v="Momentum Capital Investment S.A."/>
    <s v="07/09/2026"/>
    <s v="07/09/2026"/>
    <n v="33"/>
    <s v="No"/>
    <s v=""/>
    <m/>
    <m/>
    <s v="*INP150100062"/>
    <s v="*INP150100062"/>
    <n v="1.1393934465524419E-4"/>
  </r>
  <r>
    <x v="3"/>
    <s v="Pesos"/>
    <d v="2027-01-19T00:00:00"/>
    <s v="29/10/2026"/>
    <n v="0.93685837000000005"/>
    <m/>
    <n v="25000000"/>
    <n v="23421459.239999998"/>
    <n v="25000000"/>
    <n v="23421459.239999998"/>
    <n v="69808450"/>
    <s v="AMOMPY"/>
    <s v="Momentum Capital Investment S.A."/>
    <s v="18/09/2026"/>
    <s v="18/09/2026"/>
    <n v="30"/>
    <s v="No"/>
    <s v=""/>
    <m/>
    <m/>
    <s v="*MOV150100104"/>
    <s v="*MOV150100104"/>
    <n v="2.8664694279959885E-4"/>
  </r>
  <r>
    <x v="405"/>
    <s v="Pesos"/>
    <d v="2027-01-19T00:00:00"/>
    <s v="29/10/2026"/>
    <n v="0.93293126000000004"/>
    <m/>
    <n v="108911054"/>
    <n v="101606526.79000001"/>
    <n v="108911054"/>
    <n v="101606526.79000001"/>
    <n v="90000136"/>
    <s v="AMOMPY"/>
    <s v="Momentum Capital Investment S.A."/>
    <s v="11/09/2026"/>
    <s v="11/09/2026"/>
    <n v="32"/>
    <s v="No"/>
    <s v=""/>
    <m/>
    <m/>
    <s v="*MAV150101625"/>
    <s v="*MAV150101625"/>
    <n v="1.2435262881954848E-3"/>
  </r>
  <r>
    <x v="241"/>
    <s v="Pesos"/>
    <d v="2027-01-19T00:00:00"/>
    <s v="29/10/2026"/>
    <n v="0.93098004000000001"/>
    <m/>
    <n v="520000000"/>
    <n v="484109621.63"/>
    <n v="520000000"/>
    <n v="484109621.63"/>
    <n v="91310541"/>
    <s v="AMOMPY"/>
    <s v="Momentum Capital Investment S.A."/>
    <s v="15/09/2026"/>
    <s v="15/09/2026"/>
    <n v="33"/>
    <s v="No"/>
    <s v=""/>
    <m/>
    <m/>
    <s v="MAVR150100186"/>
    <s v="MAVR150100186"/>
    <n v="5.9248461677023183E-3"/>
  </r>
  <r>
    <x v="55"/>
    <s v="Pesos"/>
    <d v="2027-01-19T00:00:00"/>
    <s v="29/10/2026"/>
    <n v="0.94281141000000002"/>
    <m/>
    <n v="2000000"/>
    <n v="1885622.83"/>
    <n v="2000000"/>
    <n v="1885622.83"/>
    <n v="113"/>
    <s v="AMOMPY"/>
    <s v="Momentum Capital Investment S.A."/>
    <s v="06/07/2026"/>
    <s v="06/07/2026"/>
    <n v="27"/>
    <s v="No"/>
    <s v=""/>
    <m/>
    <m/>
    <s v="*PRO150100020"/>
    <s v="*PRO150100020"/>
    <n v="2.3077469851644807E-5"/>
  </r>
  <r>
    <x v="68"/>
    <s v="Pesos"/>
    <d v="2027-01-19T00:00:00"/>
    <s v="29/10/2026"/>
    <n v="0.93098018999999999"/>
    <m/>
    <n v="11250000"/>
    <n v="10473527.18"/>
    <n v="11250000"/>
    <n v="10473527.18"/>
    <n v="410"/>
    <s v="AMOMPY"/>
    <s v="Momentum Capital Investment S.A."/>
    <s v="16/10/2026"/>
    <s v="16/10/2026"/>
    <n v="33"/>
    <s v="No"/>
    <s v=""/>
    <m/>
    <m/>
    <s v="*MAV150101803"/>
    <s v="*MAV150101803"/>
    <n v="1.2818178900434317E-4"/>
  </r>
  <r>
    <x v="272"/>
    <s v="Pesos"/>
    <d v="2027-01-19T00:00:00"/>
    <s v="29/10/2026"/>
    <n v="0.93098013000000002"/>
    <m/>
    <n v="2200000"/>
    <n v="2048156.28"/>
    <n v="2200000"/>
    <n v="2048156.28"/>
    <n v="6764"/>
    <s v="AMOMPY"/>
    <s v="Momentum Capital Investment S.A."/>
    <s v="01/10/2026"/>
    <s v="01/10/2026"/>
    <n v="33"/>
    <s v="No"/>
    <s v=""/>
    <m/>
    <m/>
    <s v="*MAV150101703"/>
    <s v="*MAV150101703"/>
    <n v="2.5066659170199473E-5"/>
  </r>
  <r>
    <x v="140"/>
    <s v="Pesos"/>
    <d v="2027-01-19T00:00:00"/>
    <s v="29/10/2026"/>
    <n v="0.92517492000000001"/>
    <m/>
    <n v="4945300.8499999996"/>
    <n v="4575268.3"/>
    <n v="4945300.8499999996"/>
    <n v="4575268.3"/>
    <n v="1383"/>
    <s v="AMOMPY"/>
    <s v="Momentum Capital Investment S.A."/>
    <s v="20/10/2026"/>
    <s v="20/10/2026"/>
    <n v="36"/>
    <s v="No"/>
    <s v=""/>
    <m/>
    <m/>
    <s v="*MAV150101824"/>
    <s v="*MAV150101824"/>
    <n v="5.5995087976547347E-5"/>
  </r>
  <r>
    <x v="2"/>
    <s v="Pesos"/>
    <d v="2027-01-19T00:00:00"/>
    <s v="29/10/2026"/>
    <n v="0.92517495000000005"/>
    <m/>
    <n v="2440210.56"/>
    <n v="2257621.6800000002"/>
    <n v="2440210.56"/>
    <n v="2257621.6800000002"/>
    <n v="3721"/>
    <s v="AMOMPY"/>
    <s v="Momentum Capital Investment S.A."/>
    <s v="06/10/2026"/>
    <s v="06/10/2026"/>
    <n v="36"/>
    <s v="No"/>
    <s v=""/>
    <m/>
    <m/>
    <s v="*MAV150101734"/>
    <s v="*MAV150101734"/>
    <n v="2.7630231999588013E-5"/>
  </r>
  <r>
    <x v="482"/>
    <s v="Pesos"/>
    <d v="2027-01-19T00:00:00"/>
    <s v="29/10/2026"/>
    <n v="0.93293126000000004"/>
    <m/>
    <n v="2383603"/>
    <n v="2223737.75"/>
    <n v="2383603"/>
    <n v="2223737.75"/>
    <n v="111053"/>
    <s v="AMOMPY"/>
    <s v="Momentum Capital Investment S.A."/>
    <s v="04/09/2026"/>
    <s v="04/09/2026"/>
    <n v="32"/>
    <s v="No"/>
    <s v=""/>
    <m/>
    <m/>
    <s v="*MAV150101611"/>
    <s v="*MAV150101611"/>
    <n v="2.7215538583391812E-5"/>
  </r>
  <r>
    <x v="10"/>
    <s v="Pesos"/>
    <d v="2027-01-19T00:00:00"/>
    <s v="29/10/2026"/>
    <n v="0.93685837000000005"/>
    <m/>
    <n v="50000000"/>
    <n v="46842918.479999997"/>
    <n v="50000000"/>
    <n v="46842918.479999997"/>
    <n v="68076"/>
    <s v="AMOMPY"/>
    <s v="Momentum Capital Investment S.A."/>
    <s v="18/09/2026"/>
    <s v="18/09/2026"/>
    <n v="30"/>
    <s v="No"/>
    <s v=""/>
    <m/>
    <m/>
    <s v="*MAV150101639"/>
    <s v="*MAV150101639"/>
    <n v="5.7329388559919771E-4"/>
  </r>
  <r>
    <x v="416"/>
    <s v="Pesos"/>
    <d v="2027-01-19T00:00:00"/>
    <s v="29/10/2026"/>
    <n v="0.93098004000000001"/>
    <m/>
    <n v="5816000"/>
    <n v="5414579.9199999999"/>
    <n v="5816000"/>
    <n v="5414579.9199999999"/>
    <n v="737"/>
    <s v="AMOMPY"/>
    <s v="Momentum Capital Investment S.A."/>
    <s v="21/10/2026"/>
    <s v="21/10/2026"/>
    <n v="33"/>
    <s v="No"/>
    <s v=""/>
    <m/>
    <m/>
    <s v="*MAV150101839"/>
    <s v="*MAV150101839"/>
    <n v="6.6267125575225112E-5"/>
  </r>
  <r>
    <x v="483"/>
    <s v="Pesos"/>
    <d v="2027-01-19T00:00:00"/>
    <s v="29/10/2026"/>
    <n v="0.93098018999999999"/>
    <m/>
    <n v="2631589"/>
    <n v="2449957.2200000002"/>
    <n v="2631589"/>
    <n v="2449957.2200000002"/>
    <n v="70552284"/>
    <s v="AMOMPY"/>
    <s v="Momentum Capital Investment S.A."/>
    <s v="23/10/2026"/>
    <s v="23/10/2026"/>
    <n v="33"/>
    <s v="No"/>
    <s v=""/>
    <m/>
    <m/>
    <s v="*MAV150101851"/>
    <s v="*MAV150101851"/>
    <n v="2.9984158540533545E-5"/>
  </r>
  <r>
    <x v="289"/>
    <s v="Pesos"/>
    <d v="2027-01-19T00:00:00"/>
    <s v="29/10/2026"/>
    <n v="0.92710197000000005"/>
    <m/>
    <n v="3000000"/>
    <n v="2781305.9"/>
    <n v="3000000"/>
    <n v="2781305.9"/>
    <n v="48"/>
    <s v="AMOMPY"/>
    <s v="Momentum Capital Investment S.A."/>
    <s v="14/10/2026"/>
    <s v="14/10/2026"/>
    <n v="35"/>
    <s v="No"/>
    <s v=""/>
    <m/>
    <m/>
    <s v="*MAV150101773"/>
    <s v="*MAV150101773"/>
    <n v="3.4039417657799483E-5"/>
  </r>
  <r>
    <x v="189"/>
    <s v="Pesos"/>
    <d v="2027-01-19T00:00:00"/>
    <s v="29/10/2026"/>
    <n v="0.93098007000000005"/>
    <m/>
    <n v="25000000"/>
    <n v="23274501.870000001"/>
    <n v="25000000"/>
    <n v="23274501.870000001"/>
    <n v="475892"/>
    <s v="AMOMPY"/>
    <s v="Momentum Capital Investment S.A."/>
    <s v="18/08/2026"/>
    <s v="18/08/2026"/>
    <n v="33"/>
    <s v="No"/>
    <s v=""/>
    <m/>
    <m/>
    <s v="*MAV150101587"/>
    <s v="*MAV150101587"/>
    <n v="2.8484838360647962E-4"/>
  </r>
  <r>
    <x v="484"/>
    <s v="Pesos"/>
    <d v="2027-01-19T00:00:00"/>
    <s v="29/10/2026"/>
    <n v="0.93098018999999999"/>
    <m/>
    <n v="4000000"/>
    <n v="3723920.74"/>
    <n v="4000000"/>
    <n v="3723920.74"/>
    <n v="200"/>
    <s v="AMOMPY"/>
    <s v="Momentum Capital Investment S.A."/>
    <s v="23/10/2026"/>
    <s v="23/10/2026"/>
    <n v="33"/>
    <s v="No"/>
    <s v=""/>
    <m/>
    <m/>
    <s v="*MAV150101854"/>
    <s v="*MAV150101854"/>
    <n v="4.5575746771831794E-5"/>
  </r>
  <r>
    <x v="178"/>
    <s v="Pesos"/>
    <d v="2027-01-19T00:00:00"/>
    <s v="29/10/2026"/>
    <n v="0.93098011999999997"/>
    <m/>
    <n v="38000000"/>
    <n v="35377244.390000001"/>
    <n v="38000000"/>
    <n v="35377244.390000001"/>
    <n v="9827967"/>
    <s v="AMOMPY"/>
    <s v="Momentum Capital Investment S.A."/>
    <s v="22/10/2026"/>
    <s v="22/10/2026"/>
    <n v="33"/>
    <s v="No"/>
    <s v=""/>
    <m/>
    <m/>
    <s v="*MAV150101849"/>
    <s v="*MAV150101849"/>
    <n v="4.3296956202237721E-4"/>
  </r>
  <r>
    <x v="44"/>
    <s v="Pesos"/>
    <d v="2027-01-19T00:00:00"/>
    <s v="29/10/2026"/>
    <n v="0.93098006"/>
    <m/>
    <n v="15000000"/>
    <n v="13964700.83"/>
    <n v="15000000"/>
    <n v="13964700.83"/>
    <n v="14724993"/>
    <s v="AMOMPY"/>
    <s v="Momentum Capital Investment S.A."/>
    <s v="14/10/2026"/>
    <s v="14/10/2026"/>
    <n v="33"/>
    <s v="No"/>
    <s v=""/>
    <m/>
    <m/>
    <s v="*MAV150101766"/>
    <s v="*MAV150101766"/>
    <n v="1.709090265902032E-4"/>
  </r>
  <r>
    <x v="44"/>
    <s v="Pesos"/>
    <d v="2027-01-19T00:00:00"/>
    <s v="29/10/2026"/>
    <n v="0.93293137999999998"/>
    <m/>
    <n v="10000000"/>
    <n v="9329313.8499999996"/>
    <n v="10000000"/>
    <n v="9329313.8499999996"/>
    <n v="14725221"/>
    <s v="AMOMPY"/>
    <s v="Momentum Capital Investment S.A."/>
    <s v="26/10/2026"/>
    <s v="26/10/2026"/>
    <n v="32"/>
    <s v="No"/>
    <s v=""/>
    <m/>
    <m/>
    <s v="*MAV150101872"/>
    <s v="*MAV150101872"/>
    <n v="1.1417816738563106E-4"/>
  </r>
  <r>
    <x v="473"/>
    <s v="Pesos"/>
    <d v="2027-01-19T00:00:00"/>
    <s v="29/10/2026"/>
    <n v="0.93098018999999999"/>
    <m/>
    <n v="3000000"/>
    <n v="2792940.57"/>
    <n v="3000000"/>
    <n v="2792940.57"/>
    <n v="40961150"/>
    <s v="AMOMPY"/>
    <s v="Momentum Capital Investment S.A."/>
    <s v="23/10/2026"/>
    <s v="23/10/2026"/>
    <n v="33"/>
    <s v="No"/>
    <s v=""/>
    <m/>
    <m/>
    <s v="*MAV150101853"/>
    <s v="*MAV150101853"/>
    <n v="3.4181810262453524E-5"/>
  </r>
  <r>
    <x v="485"/>
    <s v="Pesos"/>
    <d v="2027-01-19T00:00:00"/>
    <s v="29/10/2026"/>
    <n v="0.93098018999999999"/>
    <m/>
    <n v="1249867.6100000001"/>
    <n v="1163601.98"/>
    <n v="1249867.6100000001"/>
    <n v="1163601.98"/>
    <n v="41006118"/>
    <s v="AMOMPY"/>
    <s v="Momentum Capital Investment S.A."/>
    <s v="23/10/2026"/>
    <s v="23/10/2026"/>
    <n v="33"/>
    <s v="No"/>
    <s v=""/>
    <m/>
    <m/>
    <s v="*MAV150101852"/>
    <s v="*MAV150101852"/>
    <n v="1.4240912437809317E-5"/>
  </r>
  <r>
    <x v="486"/>
    <s v="Pesos"/>
    <d v="2027-01-19T00:00:00"/>
    <s v="29/10/2026"/>
    <n v="0.93098018999999999"/>
    <m/>
    <n v="6956487.5"/>
    <n v="6476352.0499999998"/>
    <n v="6956487.5"/>
    <n v="6476352.0499999998"/>
    <n v="90000333"/>
    <s v="AMOMPY"/>
    <s v="Momentum Capital Investment S.A."/>
    <s v="23/10/2026"/>
    <s v="23/10/2026"/>
    <n v="33"/>
    <s v="No"/>
    <s v=""/>
    <m/>
    <m/>
    <s v="*MAV150101855"/>
    <s v="*MAV150101855"/>
    <n v="7.9261778551181964E-5"/>
  </r>
  <r>
    <x v="62"/>
    <s v="Pesos"/>
    <d v="2027-01-19T00:00:00"/>
    <s v="29/10/2026"/>
    <n v="0.93685856999999995"/>
    <m/>
    <n v="50000000"/>
    <n v="46842928.530000001"/>
    <n v="50000000"/>
    <n v="46842928.530000001"/>
    <n v="5506"/>
    <s v="AMOMPY"/>
    <s v="Momentum Capital Investment S.A."/>
    <s v="27/10/2026"/>
    <s v="27/10/2026"/>
    <n v="30"/>
    <s v="No"/>
    <s v=""/>
    <m/>
    <m/>
    <s v="*MAV150101880"/>
    <s v="*MAV150101880"/>
    <n v="5.7329400859758761E-4"/>
  </r>
  <r>
    <x v="410"/>
    <s v="Pesos"/>
    <d v="2027-01-19T00:00:00"/>
    <s v="29/10/2026"/>
    <n v="0.92903694999999997"/>
    <m/>
    <n v="1183000"/>
    <n v="1099050.71"/>
    <n v="1183000"/>
    <n v="1099050.71"/>
    <n v="24"/>
    <s v="AMOMPY"/>
    <s v="Momentum Capital Investment S.A."/>
    <s v="21/10/2026"/>
    <s v="21/10/2026"/>
    <n v="34"/>
    <s v="No"/>
    <s v=""/>
    <m/>
    <m/>
    <s v="*MAV150101832"/>
    <s v="*MAV150101832"/>
    <n v="1.345089231097919E-5"/>
  </r>
  <r>
    <x v="403"/>
    <s v="Pesos"/>
    <d v="2027-01-19T00:00:00"/>
    <s v="29/10/2026"/>
    <n v="0.93098006"/>
    <m/>
    <n v="4198532"/>
    <n v="3908749.55"/>
    <n v="4198532"/>
    <n v="3908749.55"/>
    <n v="40949989"/>
    <s v="AMOMPY"/>
    <s v="Momentum Capital Investment S.A."/>
    <s v="14/10/2026"/>
    <s v="14/10/2026"/>
    <n v="33"/>
    <s v="No"/>
    <s v=""/>
    <m/>
    <m/>
    <s v="*MAV150101764"/>
    <s v="*MAV150101764"/>
    <n v="4.7837801103498096E-5"/>
  </r>
  <r>
    <x v="447"/>
    <s v="Pesos"/>
    <d v="2027-01-19T00:00:00"/>
    <s v="29/10/2026"/>
    <n v="0.92710190999999997"/>
    <m/>
    <n v="25000000"/>
    <n v="23177547.850000001"/>
    <n v="25000000"/>
    <n v="23177547.850000001"/>
    <n v="382"/>
    <s v="AMOMPY"/>
    <s v="Momentum Capital Investment S.A."/>
    <s v="18/09/2026"/>
    <s v="18/09/2026"/>
    <n v="35"/>
    <s v="No"/>
    <s v=""/>
    <m/>
    <m/>
    <s v="*MAV150101644"/>
    <s v="*MAV150101644"/>
    <n v="2.836617977007788E-4"/>
  </r>
  <r>
    <x v="65"/>
    <s v="Pesos"/>
    <d v="2027-01-20T00:00:00"/>
    <s v="29/10/2026"/>
    <n v="0.94014036000000001"/>
    <m/>
    <n v="18040295.600000001"/>
    <n v="16960410.010000002"/>
    <n v="18040295.600000001"/>
    <n v="16960410.010000002"/>
    <n v="20906"/>
    <s v="AMOMPY"/>
    <s v="Momentum Capital Investment S.A."/>
    <s v="28/10/2026"/>
    <s v="28/10/2026"/>
    <n v="28"/>
    <s v="No"/>
    <s v=""/>
    <m/>
    <m/>
    <s v="*CVA180100016"/>
    <s v="*CVA180100016"/>
    <n v="2.0757245004151219E-4"/>
  </r>
  <r>
    <x v="412"/>
    <s v="Pesos"/>
    <d v="2027-01-20T00:00:00"/>
    <s v="29/10/2026"/>
    <n v="0.93216885000000005"/>
    <m/>
    <n v="21145734.48"/>
    <n v="19711394.949999999"/>
    <n v="21145734.48"/>
    <n v="19711394.949999999"/>
    <n v="1985962"/>
    <s v="AMOMPY"/>
    <s v="Momentum Capital Investment S.A."/>
    <s v="16/09/2026"/>
    <s v="16/09/2026"/>
    <n v="32"/>
    <s v="No"/>
    <s v=""/>
    <m/>
    <m/>
    <s v="*MAV160101295"/>
    <s v="*MAV160101295"/>
    <n v="2.4124078021079575E-4"/>
  </r>
  <r>
    <x v="236"/>
    <s v="Pesos"/>
    <d v="2027-01-20T00:00:00"/>
    <s v="29/10/2026"/>
    <n v="0.93216891999999996"/>
    <m/>
    <n v="45000000"/>
    <n v="41947601.530000001"/>
    <n v="45000000"/>
    <n v="41947601.530000001"/>
    <n v="51177"/>
    <s v="AMOMPY"/>
    <s v="Momentum Capital Investment S.A."/>
    <s v="21/09/2026"/>
    <s v="21/09/2026"/>
    <n v="32"/>
    <s v="No"/>
    <s v=""/>
    <m/>
    <m/>
    <s v="*MAV180100971"/>
    <s v="*MAV180100971"/>
    <n v="5.1338183556962167E-4"/>
  </r>
  <r>
    <x v="236"/>
    <s v="Pesos"/>
    <d v="2027-01-20T00:00:00"/>
    <s v="29/10/2026"/>
    <n v="0.93216889000000003"/>
    <m/>
    <n v="55000000"/>
    <n v="51269289.020000003"/>
    <n v="55000000"/>
    <n v="51269289.020000003"/>
    <n v="51408"/>
    <s v="AMOMPY"/>
    <s v="Momentum Capital Investment S.A."/>
    <s v="24/09/2026"/>
    <s v="24/09/2026"/>
    <n v="32"/>
    <s v="No"/>
    <s v=""/>
    <m/>
    <m/>
    <s v="*MAV180100988"/>
    <s v="*MAV180100988"/>
    <n v="6.2746666663678139E-4"/>
  </r>
  <r>
    <x v="487"/>
    <s v="Pesos"/>
    <d v="2027-01-20T00:00:00"/>
    <s v="29/10/2026"/>
    <n v="0.94417715000000002"/>
    <m/>
    <n v="3948801"/>
    <n v="3728367.67"/>
    <n v="3948801"/>
    <n v="3728367.67"/>
    <n v="1016"/>
    <s v="AMOMPY"/>
    <s v="Momentum Capital Investment S.A."/>
    <s v="29/07/2026"/>
    <s v="29/07/2026"/>
    <n v="26"/>
    <s v="No"/>
    <s v=""/>
    <m/>
    <m/>
    <s v="*MAV160101270"/>
    <s v="*MAV160101270"/>
    <n v="4.563017117281731E-5"/>
  </r>
  <r>
    <x v="395"/>
    <s v="Pesos"/>
    <d v="2027-01-20T00:00:00"/>
    <s v="29/10/2026"/>
    <n v="0.93813460999999998"/>
    <m/>
    <n v="14000000"/>
    <n v="13133884.48"/>
    <n v="14000000"/>
    <n v="13133884.48"/>
    <n v="122"/>
    <s v="AMOMPY"/>
    <s v="Momentum Capital Investment S.A."/>
    <s v="06/07/2026"/>
    <s v="06/07/2026"/>
    <n v="29"/>
    <s v="No"/>
    <s v=""/>
    <m/>
    <m/>
    <s v="*CUY180100020"/>
    <s v="*CUY180100020"/>
    <n v="1.6074095959168339E-4"/>
  </r>
  <r>
    <x v="353"/>
    <s v="Pesos"/>
    <d v="2027-01-20T00:00:00"/>
    <s v="29/10/2026"/>
    <n v="0.93216889000000003"/>
    <m/>
    <n v="10000000"/>
    <n v="9321688.8900000006"/>
    <n v="10000000"/>
    <n v="9321688.8900000006"/>
    <n v="427"/>
    <s v="AMOMPY"/>
    <s v="Momentum Capital Investment S.A."/>
    <s v="19/10/2026"/>
    <s v="19/10/2026"/>
    <n v="32"/>
    <s v="No"/>
    <s v=""/>
    <m/>
    <m/>
    <s v="*MAV180101070"/>
    <s v="*MAV180101070"/>
    <n v="1.1408484820126376E-4"/>
  </r>
  <r>
    <x v="453"/>
    <s v="Pesos"/>
    <d v="2027-01-20T00:00:00"/>
    <s v="29/10/2026"/>
    <n v="0.93216885000000005"/>
    <m/>
    <n v="18500000"/>
    <n v="17245123.68"/>
    <n v="18500000"/>
    <n v="17245123.68"/>
    <n v="40780954"/>
    <s v="AMOMPY"/>
    <s v="Momentum Capital Investment S.A."/>
    <s v="16/09/2026"/>
    <s v="16/09/2026"/>
    <n v="32"/>
    <s v="No"/>
    <s v=""/>
    <m/>
    <m/>
    <s v="*MAV160101297"/>
    <s v="*MAV160101297"/>
    <n v="2.1105695979141596E-4"/>
  </r>
  <r>
    <x v="8"/>
    <s v="Pesos"/>
    <d v="2027-01-20T00:00:00"/>
    <s v="29/10/2026"/>
    <n v="0.93019711999999999"/>
    <m/>
    <n v="10000000"/>
    <n v="9301971.2400000002"/>
    <n v="10000000"/>
    <n v="9301971.2400000002"/>
    <n v="147"/>
    <s v="AMOMPY"/>
    <s v="Momentum Capital Investment S.A."/>
    <s v="01/10/2026"/>
    <s v="01/10/2026"/>
    <n v="33"/>
    <s v="No"/>
    <s v=""/>
    <m/>
    <m/>
    <s v="*MAV170101263"/>
    <s v="*MAV170101263"/>
    <n v="1.138435308677118E-4"/>
  </r>
  <r>
    <x v="439"/>
    <s v="Pesos"/>
    <d v="2027-01-20T00:00:00"/>
    <s v="29/10/2026"/>
    <n v="0.92239269000000002"/>
    <m/>
    <n v="25000000"/>
    <n v="23059817.309999999"/>
    <n v="25000000"/>
    <n v="23059817.309999999"/>
    <n v="41"/>
    <s v="AMOMPY"/>
    <s v="Momentum Capital Investment S.A."/>
    <s v="24/08/2026"/>
    <s v="24/08/2026"/>
    <n v="37"/>
    <s v="No"/>
    <s v=""/>
    <m/>
    <m/>
    <s v="*MAV160101279"/>
    <s v="*MAV160101279"/>
    <n v="2.8222093532669101E-4"/>
  </r>
  <r>
    <x v="466"/>
    <s v="Pesos"/>
    <d v="2027-01-20T00:00:00"/>
    <s v="29/10/2026"/>
    <n v="0.93019715999999997"/>
    <m/>
    <n v="5850000"/>
    <n v="5441653.4000000004"/>
    <n v="5850000"/>
    <n v="5441653.4000000004"/>
    <n v="1395694"/>
    <s v="AMOMPY"/>
    <s v="Momentum Capital Investment S.A."/>
    <s v="23/10/2026"/>
    <s v="23/10/2026"/>
    <n v="33"/>
    <s v="No"/>
    <s v=""/>
    <m/>
    <m/>
    <s v="*MAV160101367"/>
    <s v="*MAV160101367"/>
    <n v="6.6598468306411243E-5"/>
  </r>
  <r>
    <x v="416"/>
    <s v="Pesos"/>
    <d v="2027-01-20T00:00:00"/>
    <s v="29/10/2026"/>
    <n v="0.93019702000000004"/>
    <m/>
    <n v="5820883.9699999997"/>
    <n v="5414568.9000000004"/>
    <n v="5820883.9699999997"/>
    <n v="5414568.9000000004"/>
    <n v="738"/>
    <s v="AMOMPY"/>
    <s v="Momentum Capital Investment S.A."/>
    <s v="21/10/2026"/>
    <s v="21/10/2026"/>
    <n v="33"/>
    <s v="No"/>
    <s v=""/>
    <m/>
    <m/>
    <s v="*MAV180101095"/>
    <s v="*MAV180101095"/>
    <n v="6.6266990705348845E-5"/>
  </r>
  <r>
    <x v="289"/>
    <s v="Pesos"/>
    <d v="2027-01-20T00:00:00"/>
    <s v="29/10/2026"/>
    <n v="0.92627842000000005"/>
    <m/>
    <n v="3000000"/>
    <n v="2778835.27"/>
    <n v="3000000"/>
    <n v="2778835.27"/>
    <n v="47"/>
    <s v="AMOMPY"/>
    <s v="Momentum Capital Investment S.A."/>
    <s v="14/10/2026"/>
    <s v="14/10/2026"/>
    <n v="35"/>
    <s v="No"/>
    <s v=""/>
    <m/>
    <m/>
    <s v="*MAV180101054"/>
    <s v="*MAV180101054"/>
    <n v="3.4009180492427671E-5"/>
  </r>
  <r>
    <x v="261"/>
    <s v="Pesos"/>
    <d v="2027-01-20T00:00:00"/>
    <s v="29/10/2026"/>
    <n v="0.93019702000000004"/>
    <m/>
    <n v="20858250"/>
    <n v="19402282.02"/>
    <n v="20858250"/>
    <n v="19402282.02"/>
    <n v="69879181"/>
    <s v="AMOMPY"/>
    <s v="Momentum Capital Investment S.A."/>
    <s v="22/09/2026"/>
    <s v="22/09/2026"/>
    <n v="33"/>
    <s v="No"/>
    <s v=""/>
    <m/>
    <m/>
    <s v="*MAV160101299"/>
    <s v="*MAV160101299"/>
    <n v="2.3745765656096776E-4"/>
  </r>
  <r>
    <x v="107"/>
    <s v="Pesos"/>
    <d v="2027-01-20T00:00:00"/>
    <s v="29/10/2026"/>
    <n v="0.92627839999999995"/>
    <m/>
    <n v="181355.13"/>
    <n v="167985.34"/>
    <n v="181355.13"/>
    <n v="167985.34"/>
    <n v="127541"/>
    <s v="AMOMPY"/>
    <s v="Momentum Capital Investment S.A."/>
    <s v="21/10/2026"/>
    <s v="21/10/2026"/>
    <n v="35"/>
    <s v="No"/>
    <s v=""/>
    <m/>
    <m/>
    <s v="*MAV180101089"/>
    <s v="*MAV180101089"/>
    <n v="2.0559130689822538E-6"/>
  </r>
  <r>
    <x v="224"/>
    <s v="Pesos"/>
    <d v="2027-01-20T00:00:00"/>
    <s v="29/10/2026"/>
    <n v="0.93414900000000001"/>
    <m/>
    <n v="25000000"/>
    <n v="23353724.949999999"/>
    <n v="25000000"/>
    <n v="23353724.949999999"/>
    <n v="10513"/>
    <s v="AMOMPY"/>
    <s v="Momentum Capital Investment S.A."/>
    <s v="15/10/2026"/>
    <s v="15/10/2026"/>
    <n v="31"/>
    <s v="No"/>
    <s v=""/>
    <m/>
    <m/>
    <s v="*MAV160101336"/>
    <s v="*MAV160101336"/>
    <n v="2.8581796681854455E-4"/>
  </r>
  <r>
    <x v="488"/>
    <s v="Pesos"/>
    <d v="2027-01-20T00:00:00"/>
    <s v="29/10/2026"/>
    <n v="0.93019702000000004"/>
    <m/>
    <n v="4082482.01"/>
    <n v="3797512.59"/>
    <n v="4082482.01"/>
    <n v="3797512.59"/>
    <n v="90016638"/>
    <s v="AMOMPY"/>
    <s v="Momentum Capital Investment S.A."/>
    <s v="21/10/2026"/>
    <s v="21/10/2026"/>
    <n v="33"/>
    <s v="No"/>
    <s v=""/>
    <m/>
    <m/>
    <s v="*MAV160101361"/>
    <s v="*MAV160101361"/>
    <n v="4.6476411354738731E-5"/>
  </r>
  <r>
    <x v="414"/>
    <s v="Pesos"/>
    <d v="2027-01-20T00:00:00"/>
    <s v="29/10/2026"/>
    <n v="0.92627855999999997"/>
    <m/>
    <n v="391319.8"/>
    <n v="362471.14"/>
    <n v="391319.8"/>
    <n v="362471.14"/>
    <n v="286"/>
    <s v="AMOMPY"/>
    <s v="Momentum Capital Investment S.A."/>
    <s v="23/10/2026"/>
    <s v="23/10/2026"/>
    <n v="35"/>
    <s v="No"/>
    <s v=""/>
    <m/>
    <m/>
    <s v="*MAV160101368"/>
    <s v="*MAV160101368"/>
    <n v="4.4361558803577512E-6"/>
  </r>
  <r>
    <x v="475"/>
    <s v="Pesos"/>
    <d v="2027-01-20T00:00:00"/>
    <s v="29/10/2026"/>
    <n v="0.93414909999999995"/>
    <m/>
    <n v="15045230"/>
    <n v="14054487.99"/>
    <n v="15045230"/>
    <n v="14054487.99"/>
    <n v="70474349"/>
    <s v="AMOMPY"/>
    <s v="Momentum Capital Investment S.A."/>
    <s v="20/10/2026"/>
    <s v="20/10/2026"/>
    <n v="31"/>
    <s v="No"/>
    <s v=""/>
    <m/>
    <m/>
    <s v="*MAV160101352"/>
    <s v="*MAV160101352"/>
    <n v="1.72007899835159E-4"/>
  </r>
  <r>
    <x v="465"/>
    <s v="Pesos"/>
    <d v="2027-01-20T00:00:00"/>
    <s v="29/10/2026"/>
    <n v="0.92823358"/>
    <m/>
    <n v="1000000"/>
    <n v="928233.58"/>
    <n v="1000000"/>
    <n v="928233.58"/>
    <n v="90000136"/>
    <s v="AMOMPY"/>
    <s v="Momentum Capital Investment S.A."/>
    <s v="21/10/2026"/>
    <s v="21/10/2026"/>
    <n v="34"/>
    <s v="No"/>
    <s v=""/>
    <m/>
    <m/>
    <s v="*MAV170101280"/>
    <s v="*MAV170101280"/>
    <n v="1.1360321967322769E-5"/>
  </r>
  <r>
    <x v="249"/>
    <s v="Pesos"/>
    <d v="2027-01-20T00:00:00"/>
    <s v="29/10/2026"/>
    <n v="0.92823358"/>
    <m/>
    <n v="618696.5"/>
    <n v="574294.87"/>
    <n v="618696.5"/>
    <n v="574294.87"/>
    <n v="70496867"/>
    <s v="AMOMPY"/>
    <s v="Momentum Capital Investment S.A."/>
    <s v="21/10/2026"/>
    <s v="21/10/2026"/>
    <n v="34"/>
    <s v="No"/>
    <s v=""/>
    <m/>
    <m/>
    <s v="*MAV160101355"/>
    <s v="*MAV160101355"/>
    <n v="7.0285914751993505E-6"/>
  </r>
  <r>
    <x v="421"/>
    <s v="Pesos"/>
    <d v="2027-01-20T00:00:00"/>
    <s v="29/10/2026"/>
    <n v="0.92823356999999995"/>
    <m/>
    <n v="4927055.72"/>
    <n v="4573458.54"/>
    <n v="4927055.72"/>
    <n v="4573458.54"/>
    <n v="1496"/>
    <s v="AMOMPY"/>
    <s v="Momentum Capital Investment S.A."/>
    <s v="21/10/2026"/>
    <s v="21/10/2026"/>
    <n v="34"/>
    <s v="No"/>
    <s v=""/>
    <m/>
    <m/>
    <s v="*MAV180101086"/>
    <s v="*MAV180101086"/>
    <n v="5.5972938964998363E-5"/>
  </r>
  <r>
    <x v="269"/>
    <s v="Pesos"/>
    <d v="2027-01-20T00:00:00"/>
    <s v="29/10/2026"/>
    <n v="0.93216893000000001"/>
    <m/>
    <n v="100000000"/>
    <n v="93216892.879999995"/>
    <n v="100000000"/>
    <n v="93216892.879999995"/>
    <n v="2495"/>
    <s v="AMOMPY"/>
    <s v="Momentum Capital Investment S.A."/>
    <s v="16/10/2026"/>
    <s v="16/10/2026"/>
    <n v="32"/>
    <s v="No"/>
    <s v=""/>
    <m/>
    <m/>
    <s v="*MAV180101064"/>
    <s v="*MAV180101064"/>
    <n v="1.1408485307224474E-3"/>
  </r>
  <r>
    <x v="384"/>
    <s v="Pesos"/>
    <d v="2027-01-20T00:00:00"/>
    <s v="29/10/2026"/>
    <n v="0.93019702000000004"/>
    <m/>
    <n v="6368218.4000000004"/>
    <n v="5923697.75"/>
    <n v="6368218.4000000004"/>
    <n v="5923697.75"/>
    <n v="70527779"/>
    <s v="AMOMPY"/>
    <s v="Momentum Capital Investment S.A."/>
    <s v="21/10/2026"/>
    <s v="21/10/2026"/>
    <n v="33"/>
    <s v="No"/>
    <s v=""/>
    <m/>
    <m/>
    <s v="*MAV170101281"/>
    <s v="*MAV170101281"/>
    <n v="7.2498038346237667E-5"/>
  </r>
  <r>
    <x v="384"/>
    <s v="Pesos"/>
    <d v="2027-01-20T00:00:00"/>
    <s v="29/10/2026"/>
    <n v="0.93019702000000004"/>
    <m/>
    <n v="6368218.4000000004"/>
    <n v="5923697.75"/>
    <n v="6368218.4000000004"/>
    <n v="5923697.75"/>
    <n v="70527778"/>
    <s v="AMOMPY"/>
    <s v="Momentum Capital Investment S.A."/>
    <s v="21/10/2026"/>
    <s v="21/10/2026"/>
    <n v="33"/>
    <s v="No"/>
    <s v=""/>
    <m/>
    <m/>
    <s v="*MAV170101282"/>
    <s v="*MAV170101282"/>
    <n v="7.2498038346237667E-5"/>
  </r>
  <r>
    <x v="65"/>
    <s v="Pesos"/>
    <d v="2027-01-21T00:00:00"/>
    <s v="29/10/2026"/>
    <n v="0.93946275000000001"/>
    <m/>
    <n v="18040295.600000001"/>
    <n v="16948185.73"/>
    <n v="18040295.600000001"/>
    <n v="16948185.73"/>
    <n v="20907"/>
    <s v="AMOMPY"/>
    <s v="Momentum Capital Investment S.A."/>
    <s v="28/10/2026"/>
    <s v="28/10/2026"/>
    <n v="28"/>
    <s v="No"/>
    <s v=""/>
    <m/>
    <m/>
    <s v="*CVA190100018"/>
    <s v="*CVA190100018"/>
    <n v="2.0742284140893211E-4"/>
  </r>
  <r>
    <x v="2"/>
    <s v="Pesos"/>
    <d v="2027-01-21T00:00:00"/>
    <s v="29/10/2026"/>
    <n v="0.92545644000000005"/>
    <m/>
    <n v="3081473.68"/>
    <n v="2851769.65"/>
    <n v="3081473.68"/>
    <n v="2851769.65"/>
    <n v="3876"/>
    <s v="AMOMPY"/>
    <s v="Momentum Capital Investment S.A."/>
    <s v="26/10/2026"/>
    <s v="26/10/2026"/>
    <n v="35"/>
    <s v="No"/>
    <s v=""/>
    <m/>
    <m/>
    <s v="*MAV190101374"/>
    <s v="*MAV190101374"/>
    <n v="3.4901798532907384E-5"/>
  </r>
  <r>
    <x v="272"/>
    <s v="Pesos"/>
    <d v="2027-01-21T00:00:00"/>
    <s v="29/10/2026"/>
    <n v="0.92941543000000004"/>
    <m/>
    <n v="2200000"/>
    <n v="2044713.94"/>
    <n v="2200000"/>
    <n v="2044713.94"/>
    <n v="6765"/>
    <s v="AMOMPY"/>
    <s v="Momentum Capital Investment S.A."/>
    <s v="01/10/2026"/>
    <s v="01/10/2026"/>
    <n v="33"/>
    <s v="No"/>
    <s v=""/>
    <m/>
    <m/>
    <s v="*MAV190101293"/>
    <s v="*MAV190101293"/>
    <n v="2.5024529590357085E-5"/>
  </r>
  <r>
    <x v="140"/>
    <s v="Pesos"/>
    <d v="2027-01-21T00:00:00"/>
    <s v="29/10/2026"/>
    <n v="0.92348967000000004"/>
    <m/>
    <n v="4945300.8499999996"/>
    <n v="4566934.24"/>
    <n v="4945300.8499999996"/>
    <n v="4566934.24"/>
    <n v="1384"/>
    <s v="AMOMPY"/>
    <s v="Momentum Capital Investment S.A."/>
    <s v="20/10/2026"/>
    <s v="20/10/2026"/>
    <n v="36"/>
    <s v="No"/>
    <s v=""/>
    <m/>
    <m/>
    <s v="*MAV190101349"/>
    <s v="*MAV190101349"/>
    <n v="5.5893090368472256E-5"/>
  </r>
  <r>
    <x v="2"/>
    <s v="Pesos"/>
    <d v="2027-01-21T00:00:00"/>
    <s v="29/10/2026"/>
    <n v="0.92348969000000003"/>
    <m/>
    <n v="2440210.56"/>
    <n v="2253509.29"/>
    <n v="2440210.56"/>
    <n v="2253509.29"/>
    <n v="3722"/>
    <s v="AMOMPY"/>
    <s v="Momentum Capital Investment S.A."/>
    <s v="06/10/2026"/>
    <s v="06/10/2026"/>
    <n v="36"/>
    <s v="No"/>
    <s v=""/>
    <m/>
    <m/>
    <s v="*MAV190101303"/>
    <s v="*MAV190101303"/>
    <n v="2.7579901915154738E-5"/>
  </r>
  <r>
    <x v="174"/>
    <s v="Pesos"/>
    <d v="2027-01-21T00:00:00"/>
    <s v="29/10/2026"/>
    <n v="0.93140776999999997"/>
    <m/>
    <n v="7360000"/>
    <n v="6855161.1799999997"/>
    <n v="7360000"/>
    <n v="6855161.1799999997"/>
    <n v="14822336"/>
    <s v="AMOMPY"/>
    <s v="Momentum Capital Investment S.A."/>
    <s v="28/10/2026"/>
    <s v="28/10/2026"/>
    <n v="32"/>
    <s v="No"/>
    <s v=""/>
    <m/>
    <m/>
    <s v="*MAV190101389"/>
    <s v="*MAV190101389"/>
    <n v="8.3897889303565467E-5"/>
  </r>
  <r>
    <x v="289"/>
    <s v="Pesos"/>
    <d v="2027-01-21T00:00:00"/>
    <s v="29/10/2026"/>
    <n v="0.92545661000000001"/>
    <m/>
    <n v="3000000"/>
    <n v="2776369.84"/>
    <n v="3000000"/>
    <n v="2776369.84"/>
    <n v="46"/>
    <s v="AMOMPY"/>
    <s v="Momentum Capital Investment S.A."/>
    <s v="14/10/2026"/>
    <s v="14/10/2026"/>
    <n v="35"/>
    <s v="No"/>
    <s v=""/>
    <m/>
    <m/>
    <s v="*MAV190101327"/>
    <s v="*MAV190101327"/>
    <n v="3.3979006968013807E-5"/>
  </r>
  <r>
    <x v="289"/>
    <s v="Pesos"/>
    <d v="2027-01-21T00:00:00"/>
    <s v="29/10/2026"/>
    <n v="0.92941551"/>
    <m/>
    <n v="2500000"/>
    <n v="2323538.77"/>
    <n v="2500000"/>
    <n v="2323538.77"/>
    <n v="30"/>
    <s v="AMOMPY"/>
    <s v="Momentum Capital Investment S.A."/>
    <s v="13/10/2026"/>
    <s v="13/10/2026"/>
    <n v="33"/>
    <s v="No"/>
    <s v=""/>
    <m/>
    <m/>
    <s v="*MAV190101317"/>
    <s v="*MAV190101317"/>
    <n v="2.8436967913568834E-5"/>
  </r>
  <r>
    <x v="199"/>
    <s v="Pesos"/>
    <d v="2027-01-21T00:00:00"/>
    <s v="29/10/2026"/>
    <n v="0.93541786999999998"/>
    <m/>
    <n v="4396000"/>
    <n v="4112096.95"/>
    <n v="4396000"/>
    <n v="4112096.95"/>
    <n v="6405484"/>
    <s v="AMOMPY"/>
    <s v="Momentum Capital Investment S.A."/>
    <s v="13/10/2026"/>
    <s v="13/10/2026"/>
    <n v="30"/>
    <s v="No"/>
    <s v=""/>
    <m/>
    <m/>
    <s v="*MAV190101318"/>
    <s v="*MAV190101318"/>
    <n v="5.0326497898132451E-5"/>
  </r>
  <r>
    <x v="489"/>
    <s v="Pesos"/>
    <d v="2027-01-21T00:00:00"/>
    <s v="29/10/2026"/>
    <n v="0.93340842999999996"/>
    <m/>
    <n v="5000000"/>
    <n v="4667042.17"/>
    <n v="5000000"/>
    <n v="4667042.17"/>
    <n v="468"/>
    <s v="AMOMPY"/>
    <s v="Momentum Capital Investment S.A."/>
    <s v="23/10/2026"/>
    <s v="23/10/2026"/>
    <n v="31"/>
    <s v="No"/>
    <s v=""/>
    <m/>
    <m/>
    <s v="*MAV190101362"/>
    <s v="*MAV190101362"/>
    <n v="5.7118275861419202E-5"/>
  </r>
  <r>
    <x v="146"/>
    <s v="Pesos"/>
    <d v="2027-01-21T00:00:00"/>
    <s v="29/10/2026"/>
    <n v="0.93541781000000002"/>
    <m/>
    <n v="25000000"/>
    <n v="23385445.23"/>
    <n v="25000000"/>
    <n v="23385445.23"/>
    <n v="90004235"/>
    <s v="AMOMPY"/>
    <s v="Momentum Capital Investment S.A."/>
    <s v="24/09/2026"/>
    <s v="24/09/2026"/>
    <n v="30"/>
    <s v="No"/>
    <s v=""/>
    <m/>
    <m/>
    <s v="*MAV190101280"/>
    <s v="*MAV190101280"/>
    <n v="2.8620618008884412E-4"/>
  </r>
  <r>
    <x v="336"/>
    <s v="Pesos"/>
    <d v="2027-01-21T00:00:00"/>
    <s v="29/10/2026"/>
    <n v="0.92941556999999997"/>
    <m/>
    <n v="10000000"/>
    <n v="9294155.7200000007"/>
    <n v="10000000"/>
    <n v="9294155.7200000007"/>
    <n v="90002384"/>
    <s v="AMOMPY"/>
    <s v="Momentum Capital Investment S.A."/>
    <s v="14/10/2026"/>
    <s v="14/10/2026"/>
    <n v="33"/>
    <s v="No"/>
    <s v=""/>
    <m/>
    <m/>
    <s v="*MAV190101321"/>
    <s v="*MAV190101321"/>
    <n v="1.1374787948700863E-4"/>
  </r>
  <r>
    <x v="490"/>
    <s v="Pesos"/>
    <d v="2027-01-21T00:00:00"/>
    <s v="29/10/2026"/>
    <n v="0.93340842999999996"/>
    <m/>
    <n v="5000000"/>
    <n v="4667042.17"/>
    <n v="5000000"/>
    <n v="4667042.17"/>
    <n v="13097176"/>
    <s v="AMOMPY"/>
    <s v="Momentum Capital Investment S.A."/>
    <s v="23/10/2026"/>
    <s v="23/10/2026"/>
    <n v="31"/>
    <s v="No"/>
    <s v=""/>
    <m/>
    <m/>
    <s v="*MAV190101361"/>
    <s v="*MAV190101361"/>
    <n v="5.7118275861419202E-5"/>
  </r>
  <r>
    <x v="277"/>
    <s v="Pesos"/>
    <d v="2027-01-21T00:00:00"/>
    <s v="29/10/2026"/>
    <n v="0.92545653000000005"/>
    <m/>
    <n v="125000000"/>
    <n v="115682066.18000001"/>
    <n v="125000000"/>
    <n v="115682066.18000001"/>
    <n v="1788"/>
    <s v="AMOMPY"/>
    <s v="Momentum Capital Investment S.A."/>
    <s v="20/10/2026"/>
    <s v="20/10/2026"/>
    <n v="35"/>
    <s v="No"/>
    <s v=""/>
    <m/>
    <m/>
    <s v="*MAV190101347"/>
    <s v="*MAV190101347"/>
    <n v="1.4157918286579769E-3"/>
  </r>
  <r>
    <x v="403"/>
    <s v="Pesos"/>
    <d v="2027-01-21T00:00:00"/>
    <s v="29/10/2026"/>
    <n v="0.92941556999999997"/>
    <m/>
    <n v="4719302"/>
    <n v="4386192.76"/>
    <n v="4719302"/>
    <n v="4386192.76"/>
    <n v="14433000"/>
    <s v="AMOMPY"/>
    <s v="Momentum Capital Investment S.A."/>
    <s v="14/10/2026"/>
    <s v="14/10/2026"/>
    <n v="33"/>
    <s v="No"/>
    <s v=""/>
    <m/>
    <m/>
    <s v="*MAV190101320"/>
    <s v="*MAV190101320"/>
    <n v="5.3681059420776489E-5"/>
  </r>
  <r>
    <x v="0"/>
    <s v="Pesos"/>
    <d v="2027-01-22T00:00:00"/>
    <s v="29/10/2026"/>
    <n v="0.93673819999999997"/>
    <m/>
    <n v="3321697.25"/>
    <n v="3111560.72"/>
    <n v="3321697.25"/>
    <n v="3111560.72"/>
    <n v="6599"/>
    <s v="AMOMPY"/>
    <s v="Momentum Capital Investment S.A."/>
    <s v="28/10/2026"/>
    <s v="28/10/2026"/>
    <n v="29"/>
    <s v="No"/>
    <s v=""/>
    <m/>
    <m/>
    <s v="*TRD200100048"/>
    <s v="*TRD200100048"/>
    <n v="3.8081289410015372E-5"/>
  </r>
  <r>
    <x v="65"/>
    <s v="Pesos"/>
    <d v="2027-01-22T00:00:00"/>
    <s v="29/10/2026"/>
    <n v="0.93571764999999996"/>
    <m/>
    <n v="5633315"/>
    <n v="5271192.25"/>
    <n v="5633315"/>
    <n v="5271192.25"/>
    <n v="69874671"/>
    <s v="AMOMPY"/>
    <s v="Momentum Capital Investment S.A."/>
    <s v="23/09/2026"/>
    <s v="23/09/2026"/>
    <n v="29.5"/>
    <s v="No"/>
    <s v=""/>
    <m/>
    <m/>
    <s v="*CVA200100029"/>
    <s v="*CVA200100029"/>
    <n v="6.4512254675872142E-5"/>
  </r>
  <r>
    <x v="65"/>
    <s v="Pesos"/>
    <d v="2027-01-22T00:00:00"/>
    <s v="29/10/2026"/>
    <n v="0.93878611999999995"/>
    <m/>
    <n v="18040295.600000001"/>
    <n v="16935979.02"/>
    <n v="18040295.600000001"/>
    <n v="16935979.02"/>
    <n v="20908"/>
    <s v="AMOMPY"/>
    <s v="Momentum Capital Investment S.A."/>
    <s v="28/10/2026"/>
    <s v="28/10/2026"/>
    <n v="28"/>
    <s v="No"/>
    <s v=""/>
    <m/>
    <m/>
    <s v="*CVA200100031"/>
    <s v="*CVA200100031"/>
    <n v="2.0727344780935801E-4"/>
  </r>
  <r>
    <x v="2"/>
    <s v="Pesos"/>
    <d v="2027-01-22T00:00:00"/>
    <s v="29/10/2026"/>
    <n v="0.92463609999999996"/>
    <m/>
    <n v="3081473.68"/>
    <n v="2849241.81"/>
    <n v="3081473.68"/>
    <n v="2849241.81"/>
    <n v="3877"/>
    <s v="AMOMPY"/>
    <s v="Momentum Capital Investment S.A."/>
    <s v="26/10/2026"/>
    <s v="26/10/2026"/>
    <n v="35"/>
    <s v="No"/>
    <s v=""/>
    <m/>
    <m/>
    <s v="*MAV200101937"/>
    <s v="*MAV200101937"/>
    <n v="3.4870861194611693E-5"/>
  </r>
  <r>
    <x v="6"/>
    <s v="Pesos"/>
    <d v="2027-01-22T00:00:00"/>
    <s v="29/10/2026"/>
    <n v="0.93878620000000002"/>
    <m/>
    <n v="41582115.490000002"/>
    <n v="39036716.07"/>
    <n v="41582115.490000002"/>
    <n v="39036716.07"/>
    <n v="40912140"/>
    <s v="AMOMPY"/>
    <s v="Momentum Capital Investment S.A."/>
    <s v="08/10/2026"/>
    <s v="08/10/2026"/>
    <n v="28"/>
    <s v="No"/>
    <s v=""/>
    <m/>
    <m/>
    <s v="*CRE200100189"/>
    <s v="*CRE200100189"/>
    <n v="4.777565395793619E-4"/>
  </r>
  <r>
    <x v="333"/>
    <s v="Pesos"/>
    <d v="2027-01-22T00:00:00"/>
    <s v="29/10/2026"/>
    <n v="0.94084305999999995"/>
    <m/>
    <n v="23900405"/>
    <n v="22486530.25"/>
    <n v="23900405"/>
    <n v="22486530.25"/>
    <n v="90001870"/>
    <s v="AMOMPY"/>
    <s v="Momentum Capital Investment S.A."/>
    <s v="29/10/2026"/>
    <s v="29/10/2026"/>
    <n v="27"/>
    <s v="No"/>
    <s v=""/>
    <m/>
    <m/>
    <s v="*ACI200100470"/>
    <s v="*ACI200100470"/>
    <n v="2.7520467808107412E-4"/>
  </r>
  <r>
    <x v="333"/>
    <s v="Pesos"/>
    <d v="2027-01-22T00:00:00"/>
    <s v="29/10/2026"/>
    <n v="0.94084305999999995"/>
    <m/>
    <n v="29962188.5"/>
    <n v="28189717.210000001"/>
    <n v="29962188.5"/>
    <n v="28189717.210000001"/>
    <n v="85238772"/>
    <s v="AMOMPY"/>
    <s v="Momentum Capital Investment S.A."/>
    <s v="29/10/2026"/>
    <s v="29/10/2026"/>
    <n v="27"/>
    <s v="No"/>
    <s v=""/>
    <m/>
    <m/>
    <s v="*ACI200100469"/>
    <s v="*ACI200100469"/>
    <n v="3.4500396298244214E-4"/>
  </r>
  <r>
    <x v="385"/>
    <s v="Pesos"/>
    <d v="2027-01-22T00:00:00"/>
    <s v="29/10/2026"/>
    <n v="0.93469922000000005"/>
    <m/>
    <n v="15000000"/>
    <n v="14020488.26"/>
    <n v="15000000"/>
    <n v="14020488.26"/>
    <n v="1419"/>
    <s v="AMOMPY"/>
    <s v="Momentum Capital Investment S.A."/>
    <s v="28/10/2026"/>
    <s v="28/10/2026"/>
    <n v="30"/>
    <s v="No"/>
    <s v=""/>
    <m/>
    <m/>
    <s v="*MAV200101954"/>
    <s v="*MAV200101954"/>
    <n v="1.7159178918378388E-4"/>
  </r>
  <r>
    <x v="140"/>
    <s v="Pesos"/>
    <d v="2027-01-22T00:00:00"/>
    <s v="29/10/2026"/>
    <n v="0.92463609999999996"/>
    <m/>
    <n v="4945300.8499999996"/>
    <n v="4572603.7"/>
    <n v="4945300.8499999996"/>
    <n v="4572603.7"/>
    <n v="1385"/>
    <s v="AMOMPY"/>
    <s v="Momentum Capital Investment S.A."/>
    <s v="26/10/2026"/>
    <s v="26/10/2026"/>
    <n v="35"/>
    <s v="No"/>
    <s v=""/>
    <m/>
    <m/>
    <s v="*MAV200101935"/>
    <s v="*MAV200101935"/>
    <n v="5.596247688105765E-5"/>
  </r>
  <r>
    <x v="2"/>
    <s v="Pesos"/>
    <d v="2027-01-22T00:00:00"/>
    <s v="29/10/2026"/>
    <n v="0.92264922999999999"/>
    <m/>
    <n v="2440210.56"/>
    <n v="2251458.39"/>
    <n v="2440210.56"/>
    <n v="2251458.39"/>
    <n v="3723"/>
    <s v="AMOMPY"/>
    <s v="Momentum Capital Investment S.A."/>
    <s v="06/10/2026"/>
    <s v="06/10/2026"/>
    <n v="36"/>
    <s v="No"/>
    <s v=""/>
    <m/>
    <m/>
    <s v="*MAV200101820"/>
    <s v="*MAV200101820"/>
    <n v="2.7554801676567396E-5"/>
  </r>
  <r>
    <x v="453"/>
    <s v="Pesos"/>
    <d v="2027-01-22T00:00:00"/>
    <s v="29/10/2026"/>
    <n v="0.93064780000000003"/>
    <m/>
    <n v="19500000"/>
    <n v="18147632.100000001"/>
    <n v="19500000"/>
    <n v="18147632.100000001"/>
    <n v="40780952"/>
    <s v="AMOMPY"/>
    <s v="Momentum Capital Investment S.A."/>
    <s v="16/09/2026"/>
    <s v="16/09/2026"/>
    <n v="32"/>
    <s v="No"/>
    <s v=""/>
    <m/>
    <m/>
    <s v="*MAV200101763"/>
    <s v="*MAV200101763"/>
    <n v="2.2210244063840254E-4"/>
  </r>
  <r>
    <x v="439"/>
    <s v="Pesos"/>
    <d v="2027-01-22T00:00:00"/>
    <s v="29/10/2026"/>
    <n v="0.92067107000000004"/>
    <m/>
    <n v="25000000"/>
    <n v="23016776.629999999"/>
    <n v="25000000"/>
    <n v="23016776.629999999"/>
    <n v="42"/>
    <s v="AMOMPY"/>
    <s v="Momentum Capital Investment S.A."/>
    <s v="24/08/2026"/>
    <s v="24/08/2026"/>
    <n v="37"/>
    <s v="No"/>
    <s v=""/>
    <m/>
    <m/>
    <s v="*MAV200101722"/>
    <s v="*MAV200101722"/>
    <n v="2.8169417569094013E-4"/>
  </r>
  <r>
    <x v="375"/>
    <s v="Pesos"/>
    <d v="2027-01-22T00:00:00"/>
    <s v="29/10/2026"/>
    <n v="0.92463609999999996"/>
    <m/>
    <n v="1785645.28"/>
    <n v="1651072.09"/>
    <n v="1785645.28"/>
    <n v="1651072.09"/>
    <n v="823"/>
    <s v="AMOMPY"/>
    <s v="Momentum Capital Investment S.A."/>
    <s v="26/10/2026"/>
    <s v="26/10/2026"/>
    <n v="35"/>
    <s v="No"/>
    <s v=""/>
    <m/>
    <m/>
    <s v="*MAV200101936"/>
    <s v="*MAV200101936"/>
    <n v="2.0206886432249647E-5"/>
  </r>
  <r>
    <x v="489"/>
    <s v="Pesos"/>
    <d v="2027-01-22T00:00:00"/>
    <s v="29/10/2026"/>
    <n v="0.93266897999999998"/>
    <m/>
    <n v="5000000"/>
    <n v="4663344.92"/>
    <n v="5000000"/>
    <n v="4663344.92"/>
    <n v="452"/>
    <s v="AMOMPY"/>
    <s v="Momentum Capital Investment S.A."/>
    <s v="23/10/2026"/>
    <s v="23/10/2026"/>
    <n v="31"/>
    <s v="No"/>
    <s v=""/>
    <m/>
    <m/>
    <s v="*MAV200101917"/>
    <s v="*MAV200101917"/>
    <n v="5.7073026528386361E-5"/>
  </r>
  <r>
    <x v="107"/>
    <s v="Pesos"/>
    <d v="2027-01-22T00:00:00"/>
    <s v="29/10/2026"/>
    <n v="0.92863529"/>
    <m/>
    <n v="357707.35"/>
    <n v="332179.67"/>
    <n v="357707.35"/>
    <n v="332179.67"/>
    <n v="129160"/>
    <s v="AMOMPY"/>
    <s v="Momentum Capital Investment S.A."/>
    <s v="26/10/2026"/>
    <s v="26/10/2026"/>
    <n v="33"/>
    <s v="No"/>
    <s v=""/>
    <m/>
    <m/>
    <s v="*MAV200101931"/>
    <s v="*MAV200101931"/>
    <n v="4.0654293095052954E-6"/>
  </r>
  <r>
    <x v="189"/>
    <s v="Pesos"/>
    <d v="2027-01-22T00:00:00"/>
    <s v="29/10/2026"/>
    <n v="0.92863514999999996"/>
    <m/>
    <n v="25000000"/>
    <n v="23215878.760000002"/>
    <n v="25000000"/>
    <n v="23215878.760000002"/>
    <n v="475891"/>
    <s v="AMOMPY"/>
    <s v="Momentum Capital Investment S.A."/>
    <s v="10/08/2026"/>
    <s v="10/08/2026"/>
    <n v="33"/>
    <s v="No"/>
    <s v=""/>
    <m/>
    <m/>
    <s v="*MAV200101714"/>
    <s v="*MAV200101714"/>
    <n v="2.8413091612989276E-4"/>
  </r>
  <r>
    <x v="42"/>
    <s v="Pesos"/>
    <d v="2027-01-22T00:00:00"/>
    <s v="29/10/2026"/>
    <n v="0.93469926999999997"/>
    <m/>
    <n v="50000000"/>
    <n v="46734963.329999998"/>
    <n v="50000000"/>
    <n v="46734963.329999998"/>
    <n v="6856"/>
    <s v="AMOMPY"/>
    <s v="Momentum Capital Investment S.A."/>
    <s v="16/09/2026"/>
    <s v="16/09/2026"/>
    <n v="30"/>
    <s v="No"/>
    <s v=""/>
    <m/>
    <m/>
    <s v="*MAV200101762"/>
    <s v="*MAV200101762"/>
    <n v="5.7197266076047695E-4"/>
  </r>
  <r>
    <x v="336"/>
    <s v="Pesos"/>
    <d v="2027-01-22T00:00:00"/>
    <s v="29/10/2026"/>
    <n v="0.92863527999999995"/>
    <m/>
    <n v="14000000"/>
    <n v="13000893.93"/>
    <n v="14000000"/>
    <n v="13000893.93"/>
    <n v="90002511"/>
    <s v="AMOMPY"/>
    <s v="Momentum Capital Investment S.A."/>
    <s v="19/10/2026"/>
    <s v="19/10/2026"/>
    <n v="33"/>
    <s v="No"/>
    <s v=""/>
    <m/>
    <m/>
    <s v="*MAV200101879"/>
    <s v="*MAV200101879"/>
    <n v="1.5911333536092526E-4"/>
  </r>
  <r>
    <x v="307"/>
    <s v="Pesos"/>
    <d v="2027-01-22T00:00:00"/>
    <s v="29/10/2026"/>
    <n v="0.92663125999999996"/>
    <m/>
    <n v="1257626.54"/>
    <n v="1165356.06"/>
    <n v="1257626.54"/>
    <n v="1165356.06"/>
    <n v="115"/>
    <s v="AMOMPY"/>
    <s v="Momentum Capital Investment S.A."/>
    <s v="21/10/2026"/>
    <s v="21/10/2026"/>
    <n v="34"/>
    <s v="No"/>
    <s v=""/>
    <m/>
    <m/>
    <s v="*MAV200101894"/>
    <s v="*MAV200101894"/>
    <n v="1.4262380001562443E-5"/>
  </r>
  <r>
    <x v="403"/>
    <s v="Pesos"/>
    <d v="2027-01-22T00:00:00"/>
    <s v="29/10/2026"/>
    <n v="0.92863518"/>
    <m/>
    <n v="4868387"/>
    <n v="4520955.4400000004"/>
    <n v="4868387"/>
    <n v="4520955.4400000004"/>
    <n v="70134611"/>
    <s v="AMOMPY"/>
    <s v="Momentum Capital Investment S.A."/>
    <s v="14/10/2026"/>
    <s v="14/10/2026"/>
    <n v="33"/>
    <s v="No"/>
    <s v=""/>
    <m/>
    <m/>
    <s v="*MAV200101852"/>
    <s v="*MAV200101852"/>
    <n v="5.5330372122843675E-5"/>
  </r>
  <r>
    <x v="476"/>
    <s v="Pesos"/>
    <d v="2027-01-22T00:00:00"/>
    <s v="29/10/2026"/>
    <n v="0.93469913999999998"/>
    <m/>
    <n v="20000000"/>
    <n v="18693982.77"/>
    <n v="20000000"/>
    <n v="18693982.77"/>
    <n v="66164781"/>
    <s v="AMOMPY"/>
    <s v="Momentum Capital Investment S.A."/>
    <s v="16/10/2026"/>
    <s v="16/10/2026"/>
    <n v="30"/>
    <s v="No"/>
    <s v=""/>
    <m/>
    <m/>
    <s v="MAVR200100139"/>
    <s v="MAVR200100139"/>
    <n v="2.2878903294878036E-4"/>
  </r>
  <r>
    <x v="417"/>
    <s v="Pesos"/>
    <d v="2027-01-22T00:00:00"/>
    <s v="29/10/2026"/>
    <n v="0.92863505000000002"/>
    <m/>
    <n v="2643916.21"/>
    <n v="2455233.27"/>
    <n v="2643916.21"/>
    <n v="2455233.27"/>
    <n v="90023088"/>
    <s v="AMOMPY"/>
    <s v="Momentum Capital Investment S.A."/>
    <s v="23/10/2026"/>
    <s v="23/10/2026"/>
    <n v="33"/>
    <s v="No"/>
    <s v=""/>
    <m/>
    <m/>
    <s v="*MAV200101916"/>
    <s v="*MAV200101916"/>
    <n v="3.0048730247490848E-5"/>
  </r>
  <r>
    <x v="447"/>
    <s v="Pesos"/>
    <d v="2027-01-22T00:00:00"/>
    <s v="29/10/2026"/>
    <n v="0.92463594000000005"/>
    <m/>
    <n v="25000000"/>
    <n v="23115898.579999998"/>
    <n v="25000000"/>
    <n v="23115898.579999998"/>
    <n v="383"/>
    <s v="AMOMPY"/>
    <s v="Momentum Capital Investment S.A."/>
    <s v="18/09/2026"/>
    <s v="18/09/2026"/>
    <n v="35"/>
    <s v="No"/>
    <s v=""/>
    <m/>
    <m/>
    <s v="*MAV200101768"/>
    <s v="*MAV200101768"/>
    <n v="2.829072941239415E-4"/>
  </r>
  <r>
    <x v="0"/>
    <s v="Pesos"/>
    <d v="2027-01-25T00:00:00"/>
    <s v="29/10/2026"/>
    <n v="0.93465138999999997"/>
    <m/>
    <n v="4000000"/>
    <n v="3738605.55"/>
    <n v="4000000"/>
    <n v="3738605.55"/>
    <n v="40793520"/>
    <s v="AMOMPY"/>
    <s v="Momentum Capital Investment S.A."/>
    <s v="28/10/2026"/>
    <s v="28/10/2026"/>
    <n v="29"/>
    <s v="No"/>
    <s v=""/>
    <m/>
    <m/>
    <s v="*TRD210100048"/>
    <s v="*TRD210100048"/>
    <n v="4.5755468959461499E-5"/>
  </r>
  <r>
    <x v="65"/>
    <s v="Pesos"/>
    <d v="2027-01-25T00:00:00"/>
    <s v="29/10/2026"/>
    <n v="0.93676229"/>
    <m/>
    <n v="18040295.600000001"/>
    <n v="16899468.609999999"/>
    <n v="18040295.600000001"/>
    <n v="16899468.609999999"/>
    <n v="20909"/>
    <s v="AMOMPY"/>
    <s v="Momentum Capital Investment S.A."/>
    <s v="28/10/2026"/>
    <s v="28/10/2026"/>
    <n v="28"/>
    <s v="No"/>
    <s v=""/>
    <m/>
    <m/>
    <s v="*CVA210100014"/>
    <s v="*CVA210100014"/>
    <n v="2.0682660983484846E-4"/>
  </r>
  <r>
    <x v="480"/>
    <s v="Pesos"/>
    <d v="2027-01-25T00:00:00"/>
    <s v="29/10/2026"/>
    <n v="0.92630190000000001"/>
    <m/>
    <n v="6006148"/>
    <n v="5563506.3300000001"/>
    <n v="6006148"/>
    <n v="5563506.3300000001"/>
    <n v="1370646"/>
    <s v="AMOMPY"/>
    <s v="Momentum Capital Investment S.A."/>
    <s v="23/09/2026"/>
    <s v="23/09/2026"/>
    <n v="33"/>
    <s v="No"/>
    <s v=""/>
    <m/>
    <m/>
    <s v="*MAV210101162"/>
    <s v="*MAV210101162"/>
    <n v="6.8089783151389853E-5"/>
  </r>
  <r>
    <x v="299"/>
    <s v="Pesos"/>
    <d v="2027-01-25T00:00:00"/>
    <s v="29/10/2026"/>
    <n v="0.92837537000000003"/>
    <m/>
    <n v="1648012.48"/>
    <n v="1529974.19"/>
    <n v="1648012.48"/>
    <n v="1529974.19"/>
    <n v="3410389"/>
    <s v="AMOMPY"/>
    <s v="Momentum Capital Investment S.A."/>
    <s v="15/09/2026"/>
    <s v="15/09/2026"/>
    <n v="32"/>
    <s v="No"/>
    <s v=""/>
    <m/>
    <m/>
    <s v="*MAV210101145"/>
    <s v="*MAV210101145"/>
    <n v="1.8724812131978528E-5"/>
  </r>
  <r>
    <x v="333"/>
    <s v="Pesos"/>
    <d v="2027-01-25T00:00:00"/>
    <s v="29/10/2026"/>
    <n v="0.93888280999999996"/>
    <m/>
    <n v="2092000"/>
    <n v="1964142.84"/>
    <n v="2092000"/>
    <n v="1964142.84"/>
    <n v="17704202"/>
    <s v="AMOMPY"/>
    <s v="Momentum Capital Investment S.A."/>
    <s v="29/10/2026"/>
    <s v="29/10/2026"/>
    <n v="27"/>
    <s v="No"/>
    <s v=""/>
    <m/>
    <m/>
    <s v="*ACI210100349"/>
    <s v="*ACI210100349"/>
    <n v="2.4038448439035931E-5"/>
  </r>
  <r>
    <x v="272"/>
    <s v="Pesos"/>
    <d v="2027-01-25T00:00:00"/>
    <s v="29/10/2026"/>
    <n v="0.92630195000000004"/>
    <m/>
    <n v="2200000"/>
    <n v="2037864.29"/>
    <n v="2200000"/>
    <n v="2037864.29"/>
    <n v="6766"/>
    <s v="AMOMPY"/>
    <s v="Momentum Capital Investment S.A."/>
    <s v="01/10/2026"/>
    <s v="01/10/2026"/>
    <n v="33"/>
    <s v="No"/>
    <s v=""/>
    <m/>
    <m/>
    <s v="*MAV210101182"/>
    <s v="*MAV210101182"/>
    <n v="2.4940699150433255E-5"/>
  </r>
  <r>
    <x v="2"/>
    <s v="Pesos"/>
    <d v="2027-01-25T00:00:00"/>
    <s v="29/10/2026"/>
    <n v="0.92013729"/>
    <m/>
    <n v="2440210.56"/>
    <n v="2245328.73"/>
    <n v="2440210.56"/>
    <n v="2245328.73"/>
    <n v="3724"/>
    <s v="AMOMPY"/>
    <s v="Momentum Capital Investment S.A."/>
    <s v="06/10/2026"/>
    <s v="06/10/2026"/>
    <n v="36"/>
    <s v="No"/>
    <s v=""/>
    <m/>
    <m/>
    <s v="*MAV210101192"/>
    <s v="*MAV210101192"/>
    <n v="2.7479782939203659E-5"/>
  </r>
  <r>
    <x v="375"/>
    <s v="Pesos"/>
    <d v="2027-01-25T00:00:00"/>
    <s v="29/10/2026"/>
    <n v="0.92218294000000001"/>
    <m/>
    <n v="1785645.28"/>
    <n v="1646691.62"/>
    <n v="1785645.28"/>
    <n v="1646691.62"/>
    <n v="824"/>
    <s v="AMOMPY"/>
    <s v="Momentum Capital Investment S.A."/>
    <s v="26/10/2026"/>
    <s v="26/10/2026"/>
    <n v="35"/>
    <s v="No"/>
    <s v=""/>
    <m/>
    <m/>
    <s v="*MAV210101255"/>
    <s v="*MAV210101255"/>
    <n v="2.0153275411661276E-5"/>
  </r>
  <r>
    <x v="466"/>
    <s v="Pesos"/>
    <d v="2027-01-25T00:00:00"/>
    <s v="29/10/2026"/>
    <n v="0.92630195999999998"/>
    <m/>
    <n v="5850000"/>
    <n v="5418866.4900000002"/>
    <n v="5850000"/>
    <n v="5418866.4900000002"/>
    <n v="1395699"/>
    <s v="AMOMPY"/>
    <s v="Momentum Capital Investment S.A."/>
    <s v="23/10/2026"/>
    <s v="23/10/2026"/>
    <n v="33"/>
    <s v="No"/>
    <s v=""/>
    <m/>
    <m/>
    <s v="*MAV210101236"/>
    <s v="*MAV210101236"/>
    <n v="6.6319587386976704E-5"/>
  </r>
  <r>
    <x v="204"/>
    <s v="Pesos"/>
    <d v="2027-01-25T00:00:00"/>
    <s v="29/10/2026"/>
    <n v="0.92630193999999999"/>
    <m/>
    <n v="5101408.41"/>
    <n v="4725444.49"/>
    <n v="5101408.41"/>
    <n v="4725444.49"/>
    <n v="90000742"/>
    <s v="AMOMPY"/>
    <s v="Momentum Capital Investment S.A."/>
    <s v="19/10/2026"/>
    <s v="19/10/2026"/>
    <n v="33"/>
    <s v="No"/>
    <s v=""/>
    <m/>
    <m/>
    <s v="*MAV210101217"/>
    <s v="*MAV210101217"/>
    <n v="5.7833041167408905E-5"/>
  </r>
  <r>
    <x v="204"/>
    <s v="Pesos"/>
    <d v="2027-01-25T00:00:00"/>
    <s v="29/10/2026"/>
    <n v="0.92630193999999999"/>
    <m/>
    <n v="5391304.5499999998"/>
    <n v="4993975.8499999996"/>
    <n v="5391304.5499999998"/>
    <n v="4993975.8499999996"/>
    <n v="90000762"/>
    <s v="AMOMPY"/>
    <s v="Momentum Capital Investment S.A."/>
    <s v="19/10/2026"/>
    <s v="19/10/2026"/>
    <n v="33"/>
    <s v="No"/>
    <s v=""/>
    <m/>
    <m/>
    <s v="*MAV210101218"/>
    <s v="*MAV210101218"/>
    <n v="6.1119501357658699E-5"/>
  </r>
  <r>
    <x v="44"/>
    <s v="Pesos"/>
    <d v="2027-01-25T00:00:00"/>
    <s v="29/10/2026"/>
    <n v="0.92837523"/>
    <m/>
    <n v="10000000"/>
    <n v="9283752.3499999996"/>
    <n v="10000000"/>
    <n v="9283752.3499999996"/>
    <n v="14725222"/>
    <s v="AMOMPY"/>
    <s v="Momentum Capital Investment S.A."/>
    <s v="26/10/2026"/>
    <s v="26/10/2026"/>
    <n v="32"/>
    <s v="No"/>
    <s v=""/>
    <m/>
    <m/>
    <s v="*MAV210101254"/>
    <s v="*MAV210101254"/>
    <n v="1.1362055632687775E-4"/>
  </r>
  <r>
    <x v="154"/>
    <s v="Pesos"/>
    <d v="2027-01-25T00:00:00"/>
    <s v="29/10/2026"/>
    <n v="0.93045789999999995"/>
    <m/>
    <n v="5000000"/>
    <n v="4652289.49"/>
    <n v="5000000"/>
    <n v="4652289.49"/>
    <n v="804"/>
    <s v="AMOMPY"/>
    <s v="Momentum Capital Investment S.A."/>
    <s v="23/10/2026"/>
    <s v="23/10/2026"/>
    <n v="31"/>
    <s v="No"/>
    <s v=""/>
    <m/>
    <m/>
    <s v="*MAV210101238"/>
    <s v="*MAV210101238"/>
    <n v="5.6937723036901822E-5"/>
  </r>
  <r>
    <x v="491"/>
    <s v="Pesos"/>
    <d v="2027-01-25T00:00:00"/>
    <s v="29/10/2026"/>
    <n v="0.92218299000000004"/>
    <m/>
    <n v="1518463.43"/>
    <n v="1400301.15"/>
    <n v="1518463.43"/>
    <n v="1400301.15"/>
    <n v="11460875"/>
    <s v="AMOMPY"/>
    <s v="Momentum Capital Investment S.A."/>
    <s v="23/10/2026"/>
    <s v="23/10/2026"/>
    <n v="35"/>
    <s v="No"/>
    <s v=""/>
    <m/>
    <m/>
    <s v="*MAV210101235"/>
    <s v="*MAV210101235"/>
    <n v="1.7137789730912703E-5"/>
  </r>
  <r>
    <x v="0"/>
    <s v="Pesos"/>
    <d v="2027-01-26T00:00:00"/>
    <s v="29/10/2026"/>
    <n v="0.93395775999999997"/>
    <m/>
    <n v="4130886.2"/>
    <n v="3858073.23"/>
    <n v="4130886.2"/>
    <n v="3858073.23"/>
    <n v="40793521"/>
    <s v="AMOMPY"/>
    <s v="Momentum Capital Investment S.A."/>
    <s v="28/10/2026"/>
    <s v="28/10/2026"/>
    <n v="29"/>
    <s v="No"/>
    <s v=""/>
    <m/>
    <m/>
    <s v="*TRD220100032"/>
    <s v="*TRD220100032"/>
    <n v="4.721759157464322E-5"/>
  </r>
  <r>
    <x v="162"/>
    <s v="Pesos"/>
    <d v="2027-01-26T00:00:00"/>
    <s v="29/10/2026"/>
    <n v="0.93289544999999996"/>
    <m/>
    <n v="50000000"/>
    <n v="46644772.270000003"/>
    <n v="50000000"/>
    <n v="46644772.270000003"/>
    <n v="60074597"/>
    <s v="AMOMPY"/>
    <s v="Momentum Capital Investment S.A."/>
    <s v="17/09/2026"/>
    <s v="17/09/2026"/>
    <n v="29.5"/>
    <s v="No"/>
    <s v=""/>
    <m/>
    <m/>
    <s v="*AAR220100014"/>
    <s v="*AAR220100014"/>
    <n v="5.7086884432649922E-4"/>
  </r>
  <r>
    <x v="65"/>
    <s v="Pesos"/>
    <d v="2027-01-26T00:00:00"/>
    <s v="29/10/2026"/>
    <n v="0.93608954"/>
    <m/>
    <n v="18040295.600000001"/>
    <n v="16887331.969999999"/>
    <n v="18040295.600000001"/>
    <n v="16887331.969999999"/>
    <n v="20910"/>
    <s v="AMOMPY"/>
    <s v="Momentum Capital Investment S.A."/>
    <s v="28/10/2026"/>
    <s v="28/10/2026"/>
    <n v="28"/>
    <s v="No"/>
    <s v=""/>
    <m/>
    <m/>
    <s v="*CVA220100016"/>
    <s v="*CVA220100016"/>
    <n v="2.0667807379718271E-4"/>
  </r>
  <r>
    <x v="236"/>
    <s v="Pesos"/>
    <d v="2027-01-26T00:00:00"/>
    <s v="29/10/2026"/>
    <n v="0.92762025000000004"/>
    <m/>
    <n v="45000000"/>
    <n v="41742911.219999999"/>
    <n v="45000000"/>
    <n v="41742911.219999999"/>
    <n v="51178"/>
    <s v="AMOMPY"/>
    <s v="Momentum Capital Investment S.A."/>
    <s v="21/09/2026"/>
    <s v="21/09/2026"/>
    <n v="32"/>
    <s v="No"/>
    <s v=""/>
    <m/>
    <m/>
    <s v="*MAV220101205"/>
    <s v="*MAV220101205"/>
    <n v="5.1087670337521089E-4"/>
  </r>
  <r>
    <x v="236"/>
    <s v="Pesos"/>
    <d v="2027-01-26T00:00:00"/>
    <s v="29/10/2026"/>
    <n v="0.92762022"/>
    <m/>
    <n v="55000000"/>
    <n v="51019111.859999999"/>
    <n v="55000000"/>
    <n v="51019111.859999999"/>
    <n v="51410"/>
    <s v="AMOMPY"/>
    <s v="Momentum Capital Investment S.A."/>
    <s v="24/09/2026"/>
    <s v="24/09/2026"/>
    <n v="32"/>
    <s v="No"/>
    <s v=""/>
    <m/>
    <m/>
    <s v="*MAV220101216"/>
    <s v="*MAV220101216"/>
    <n v="6.2440483699852318E-4"/>
  </r>
  <r>
    <x v="171"/>
    <s v="Pesos"/>
    <d v="2027-01-26T00:00:00"/>
    <s v="29/10/2026"/>
    <n v="0.92552699999999999"/>
    <m/>
    <n v="2500000"/>
    <n v="2313817.5"/>
    <n v="2500000"/>
    <n v="2313817.5"/>
    <n v="1569"/>
    <s v="AMOMPY"/>
    <s v="Momentum Capital Investment S.A."/>
    <s v="01/10/2026"/>
    <s v="01/10/2026"/>
    <n v="33"/>
    <s v="No"/>
    <s v=""/>
    <m/>
    <m/>
    <s v="*MAV220101237"/>
    <s v="*MAV220101237"/>
    <n v="2.8317992733710249E-5"/>
  </r>
  <r>
    <x v="287"/>
    <s v="Pesos"/>
    <d v="2027-01-26T00:00:00"/>
    <s v="29/10/2026"/>
    <n v="0.92762029000000001"/>
    <m/>
    <n v="50000000"/>
    <n v="46381014.670000002"/>
    <n v="50000000"/>
    <n v="46381014.670000002"/>
    <n v="29937729"/>
    <s v="AMOMPY"/>
    <s v="Momentum Capital Investment S.A."/>
    <s v="24/08/2026"/>
    <s v="24/08/2026"/>
    <n v="32"/>
    <s v="No"/>
    <s v=""/>
    <m/>
    <m/>
    <s v="*MAV220101183"/>
    <s v="*MAV220101183"/>
    <n v="5.6764080849382832E-4"/>
  </r>
  <r>
    <x v="287"/>
    <s v="Pesos"/>
    <d v="2027-01-26T00:00:00"/>
    <s v="29/10/2026"/>
    <n v="0.93395771000000005"/>
    <m/>
    <n v="50000000"/>
    <n v="46697885.590000004"/>
    <n v="50000000"/>
    <n v="46697885.590000004"/>
    <n v="29867211"/>
    <s v="AMOMPY"/>
    <s v="Momentum Capital Investment S.A."/>
    <s v="12/08/2026"/>
    <s v="12/08/2026"/>
    <n v="29"/>
    <s v="No"/>
    <s v=""/>
    <m/>
    <m/>
    <s v="*MAV220101179"/>
    <s v="*MAV220101179"/>
    <n v="5.7151887943506896E-4"/>
  </r>
  <r>
    <x v="2"/>
    <s v="Pesos"/>
    <d v="2027-01-26T00:00:00"/>
    <s v="29/10/2026"/>
    <n v="0.91930290999999997"/>
    <m/>
    <n v="2440210.56"/>
    <n v="2243292.67"/>
    <n v="2440210.56"/>
    <n v="2243292.67"/>
    <n v="3725"/>
    <s v="AMOMPY"/>
    <s v="Momentum Capital Investment S.A."/>
    <s v="06/10/2026"/>
    <s v="06/10/2026"/>
    <n v="36"/>
    <s v="No"/>
    <s v=""/>
    <m/>
    <m/>
    <s v="*MAV220101260"/>
    <s v="*MAV220101260"/>
    <n v="2.7454864322119385E-5"/>
  </r>
  <r>
    <x v="289"/>
    <s v="Pesos"/>
    <d v="2027-01-26T00:00:00"/>
    <s v="29/10/2026"/>
    <n v="0.92136828999999998"/>
    <m/>
    <n v="3000000"/>
    <n v="2764104.88"/>
    <n v="3000000"/>
    <n v="2764104.88"/>
    <n v="45"/>
    <s v="AMOMPY"/>
    <s v="Momentum Capital Investment S.A."/>
    <s v="14/10/2026"/>
    <s v="14/10/2026"/>
    <n v="35"/>
    <s v="No"/>
    <s v=""/>
    <m/>
    <m/>
    <s v="*MAV220101281"/>
    <s v="*MAV220101281"/>
    <n v="3.3828900467324256E-5"/>
  </r>
  <r>
    <x v="289"/>
    <s v="Pesos"/>
    <d v="2027-01-26T00:00:00"/>
    <s v="29/10/2026"/>
    <n v="0.92552685000000001"/>
    <m/>
    <n v="2500000"/>
    <n v="2313817.12"/>
    <n v="2500000"/>
    <n v="2313817.12"/>
    <n v="42"/>
    <s v="AMOMPY"/>
    <s v="Momentum Capital Investment S.A."/>
    <s v="13/10/2026"/>
    <s v="13/10/2026"/>
    <n v="33"/>
    <s v="No"/>
    <s v=""/>
    <m/>
    <m/>
    <s v="*MAV220101277"/>
    <s v="*MAV220101277"/>
    <n v="2.8317988083024864E-5"/>
  </r>
  <r>
    <x v="489"/>
    <s v="Pesos"/>
    <d v="2027-01-26T00:00:00"/>
    <s v="29/10/2026"/>
    <n v="0.92972337000000005"/>
    <m/>
    <n v="5000000"/>
    <n v="4648616.83"/>
    <n v="5000000"/>
    <n v="4648616.83"/>
    <n v="453"/>
    <s v="AMOMPY"/>
    <s v="Momentum Capital Investment S.A."/>
    <s v="23/10/2026"/>
    <s v="23/10/2026"/>
    <n v="31"/>
    <s v="No"/>
    <s v=""/>
    <m/>
    <m/>
    <s v="*MAV220101338"/>
    <s v="*MAV220101338"/>
    <n v="5.6892774652168194E-5"/>
  </r>
  <r>
    <x v="484"/>
    <s v="Pesos"/>
    <d v="2027-01-26T00:00:00"/>
    <s v="29/10/2026"/>
    <n v="0.92552705000000002"/>
    <m/>
    <n v="4000000"/>
    <n v="3702108.19"/>
    <n v="4000000"/>
    <n v="3702108.19"/>
    <n v="201"/>
    <s v="AMOMPY"/>
    <s v="Momentum Capital Investment S.A."/>
    <s v="23/10/2026"/>
    <s v="23/10/2026"/>
    <n v="33"/>
    <s v="No"/>
    <s v=""/>
    <m/>
    <m/>
    <s v="*MAV220101335"/>
    <s v="*MAV220101335"/>
    <n v="4.5308790699279097E-5"/>
  </r>
  <r>
    <x v="304"/>
    <s v="Pesos"/>
    <d v="2027-01-26T00:00:00"/>
    <s v="29/10/2026"/>
    <n v="0.92552701000000004"/>
    <m/>
    <n v="5368571.43"/>
    <n v="4968757.8499999996"/>
    <n v="5368571.43"/>
    <n v="4968757.8499999996"/>
    <n v="468"/>
    <s v="AMOMPY"/>
    <s v="Momentum Capital Investment S.A."/>
    <s v="26/10/2026"/>
    <s v="26/10/2026"/>
    <n v="33"/>
    <s v="No"/>
    <s v=""/>
    <m/>
    <m/>
    <s v="*MAV220101350"/>
    <s v="*MAV220101350"/>
    <n v="6.0810867188905675E-5"/>
  </r>
  <r>
    <x v="492"/>
    <s v="Pesos"/>
    <d v="2027-01-26T00:00:00"/>
    <s v="29/10/2026"/>
    <n v="0.93183574999999996"/>
    <m/>
    <n v="20000000"/>
    <n v="18636714.989999998"/>
    <n v="20000000"/>
    <n v="18636714.989999998"/>
    <n v="67863975"/>
    <s v="AMOMPY"/>
    <s v="Momentum Capital Investment S.A."/>
    <s v="29/10/2026"/>
    <s v="29/10/2026"/>
    <n v="30"/>
    <s v="No"/>
    <s v=""/>
    <m/>
    <m/>
    <s v="*MAV220101379"/>
    <s v="*MAV220101379"/>
    <n v="2.280881528759502E-4"/>
  </r>
  <r>
    <x v="154"/>
    <s v="Pesos"/>
    <d v="2027-01-26T00:00:00"/>
    <s v="29/10/2026"/>
    <n v="0.92972337000000005"/>
    <m/>
    <n v="5000000"/>
    <n v="4648616.83"/>
    <n v="5000000"/>
    <n v="4648616.83"/>
    <n v="805"/>
    <s v="AMOMPY"/>
    <s v="Momentum Capital Investment S.A."/>
    <s v="23/10/2026"/>
    <s v="23/10/2026"/>
    <n v="31"/>
    <s v="No"/>
    <s v=""/>
    <m/>
    <m/>
    <s v="*MAV220101340"/>
    <s v="*MAV220101340"/>
    <n v="5.6892774652168194E-5"/>
  </r>
  <r>
    <x v="486"/>
    <s v="Pesos"/>
    <d v="2027-01-26T00:00:00"/>
    <s v="29/10/2026"/>
    <n v="0.92552705000000002"/>
    <m/>
    <n v="6956450"/>
    <n v="6438382.6200000001"/>
    <n v="6956450"/>
    <n v="6438382.6200000001"/>
    <n v="90000334"/>
    <s v="AMOMPY"/>
    <s v="Momentum Capital Investment S.A."/>
    <s v="23/10/2026"/>
    <s v="23/10/2026"/>
    <n v="33"/>
    <s v="No"/>
    <s v=""/>
    <m/>
    <m/>
    <s v="*MAV220101336"/>
    <s v="*MAV220101336"/>
    <n v="7.8797084147736967E-5"/>
  </r>
  <r>
    <x v="419"/>
    <s v="Pesos"/>
    <d v="2027-01-26T00:00:00"/>
    <s v="29/10/2026"/>
    <n v="0.92136841999999997"/>
    <m/>
    <n v="240000"/>
    <n v="221128.42"/>
    <n v="240000"/>
    <n v="221128.42"/>
    <n v="70595565"/>
    <s v="AMOMPY"/>
    <s v="Momentum Capital Investment S.A."/>
    <s v="23/10/2026"/>
    <s v="23/10/2026"/>
    <n v="35"/>
    <s v="No"/>
    <s v=""/>
    <m/>
    <m/>
    <s v="*MAV220101334"/>
    <s v="*MAV220101334"/>
    <n v="2.7063123996498551E-6"/>
  </r>
  <r>
    <x v="179"/>
    <s v="Pesos"/>
    <d v="2027-01-26T00:00:00"/>
    <s v="29/10/2026"/>
    <n v="0.92972337000000005"/>
    <m/>
    <n v="5000000"/>
    <n v="4648616.83"/>
    <n v="5000000"/>
    <n v="4648616.83"/>
    <n v="14693859"/>
    <s v="AMOMPY"/>
    <s v="Momentum Capital Investment S.A."/>
    <s v="23/10/2026"/>
    <s v="23/10/2026"/>
    <n v="31"/>
    <s v="No"/>
    <s v=""/>
    <m/>
    <m/>
    <s v="*MAV220101339"/>
    <s v="*MAV220101339"/>
    <n v="5.6892774652168194E-5"/>
  </r>
  <r>
    <x v="409"/>
    <s v="Pesos"/>
    <d v="2027-01-26T00:00:00"/>
    <s v="29/10/2026"/>
    <n v="0.92972315999999999"/>
    <m/>
    <n v="7000000"/>
    <n v="6508062.0999999996"/>
    <n v="7000000"/>
    <n v="6508062.0999999996"/>
    <n v="368"/>
    <s v="AMOMPY"/>
    <s v="Momentum Capital Investment S.A."/>
    <s v="20/10/2026"/>
    <s v="20/10/2026"/>
    <n v="31"/>
    <s v="No"/>
    <s v=""/>
    <m/>
    <m/>
    <s v="*MAV220101315"/>
    <s v="*MAV220101315"/>
    <n v="7.9649866620135363E-5"/>
  </r>
  <r>
    <x v="234"/>
    <s v="Pesos"/>
    <d v="2027-01-26T00:00:00"/>
    <s v="29/10/2026"/>
    <n v="0.92762020999999995"/>
    <m/>
    <n v="1858362"/>
    <n v="1723854.15"/>
    <n v="1858362"/>
    <n v="1723854.15"/>
    <n v="1489"/>
    <s v="AMOMPY"/>
    <s v="Momentum Capital Investment S.A."/>
    <s v="05/10/2026"/>
    <s v="05/10/2026"/>
    <n v="32"/>
    <s v="No"/>
    <s v=""/>
    <m/>
    <m/>
    <s v="*MAV220101249"/>
    <s v="*MAV220101249"/>
    <n v="2.1097640282207331E-5"/>
  </r>
  <r>
    <x v="403"/>
    <s v="Pesos"/>
    <d v="2027-01-26T00:00:00"/>
    <s v="29/10/2026"/>
    <n v="0.92552701000000004"/>
    <m/>
    <n v="4198532"/>
    <n v="3885854.78"/>
    <n v="4198532"/>
    <n v="3885854.78"/>
    <n v="40949984"/>
    <s v="AMOMPY"/>
    <s v="Momentum Capital Investment S.A."/>
    <s v="19/10/2026"/>
    <s v="19/10/2026"/>
    <n v="33"/>
    <s v="No"/>
    <s v=""/>
    <m/>
    <m/>
    <s v="*MAV220101312"/>
    <s v="*MAV220101312"/>
    <n v="4.7557600123731991E-5"/>
  </r>
  <r>
    <x v="458"/>
    <s v="Pesos"/>
    <d v="2027-01-26T00:00:00"/>
    <s v="29/10/2026"/>
    <n v="0.92136830000000003"/>
    <m/>
    <n v="4500000"/>
    <n v="4146157.34"/>
    <n v="4500000"/>
    <n v="4146157.34"/>
    <n v="69406924"/>
    <s v="AMOMPY"/>
    <s v="Momentum Capital Investment S.A."/>
    <s v="14/10/2026"/>
    <s v="14/10/2026"/>
    <n v="35"/>
    <s v="No"/>
    <s v=""/>
    <m/>
    <m/>
    <s v="*MAV220101279"/>
    <s v="*MAV220101279"/>
    <n v="5.0743350945759302E-5"/>
  </r>
  <r>
    <x v="29"/>
    <s v="Pesos"/>
    <d v="2027-01-26T00:00:00"/>
    <s v="29/10/2026"/>
    <n v="0.92762027000000002"/>
    <m/>
    <n v="15000000"/>
    <n v="13914304.119999999"/>
    <n v="15000000"/>
    <n v="13914304.119999999"/>
    <n v="2203"/>
    <s v="AMOMPY"/>
    <s v="Momentum Capital Investment S.A."/>
    <s v="07/09/2026"/>
    <s v="07/09/2026"/>
    <n v="32"/>
    <s v="No"/>
    <s v=""/>
    <m/>
    <m/>
    <s v="*MIL220100031"/>
    <s v="*MIL220100031"/>
    <n v="1.7029223910908903E-4"/>
  </r>
  <r>
    <x v="447"/>
    <s v="Pesos"/>
    <d v="2027-01-26T00:00:00"/>
    <s v="29/10/2026"/>
    <n v="0.92136825"/>
    <m/>
    <n v="25000000"/>
    <n v="23034206.18"/>
    <n v="25000000"/>
    <n v="23034206.18"/>
    <n v="384"/>
    <s v="AMOMPY"/>
    <s v="Momentum Capital Investment S.A."/>
    <s v="18/09/2026"/>
    <s v="18/09/2026"/>
    <n v="35"/>
    <s v="No"/>
    <s v=""/>
    <m/>
    <m/>
    <s v="*MAV220101204"/>
    <s v="*MAV220101204"/>
    <n v="2.8190748977913069E-4"/>
  </r>
  <r>
    <x v="310"/>
    <s v="Pesos"/>
    <d v="2027-01-26T00:00:00"/>
    <s v="29/10/2026"/>
    <n v="0.93183567"/>
    <m/>
    <n v="3535037.55"/>
    <n v="3294074.07"/>
    <n v="3535037.55"/>
    <n v="3294074.07"/>
    <n v="3658348"/>
    <s v="AMOMPY"/>
    <s v="Momentum Capital Investment S.A."/>
    <s v="29/09/2026"/>
    <s v="29/09/2026"/>
    <n v="30"/>
    <s v="No"/>
    <s v=""/>
    <m/>
    <m/>
    <s v="*MAV220101235"/>
    <s v="*MAV220101235"/>
    <n v="4.0315005646972306E-5"/>
  </r>
  <r>
    <x v="65"/>
    <s v="Pesos"/>
    <d v="2027-01-27T00:00:00"/>
    <s v="29/10/2026"/>
    <n v="0.93541775000000005"/>
    <m/>
    <n v="18040295.600000001"/>
    <n v="16875212.75"/>
    <n v="18040295.600000001"/>
    <n v="16875212.75"/>
    <n v="20911"/>
    <s v="AMOMPY"/>
    <s v="Momentum Capital Investment S.A."/>
    <s v="28/10/2026"/>
    <s v="28/10/2026"/>
    <n v="28"/>
    <s v="No"/>
    <s v=""/>
    <m/>
    <m/>
    <s v="*CVA250100016"/>
    <s v="*CVA250100016"/>
    <n v="2.0652975095672608E-4"/>
  </r>
  <r>
    <x v="493"/>
    <s v="Dolar 3500"/>
    <d v="2027-01-27T00:00:00"/>
    <s v="29/10/2026"/>
    <n v="0.97593713999999998"/>
    <s v="1 US3 = 1539,5930209017 $"/>
    <n v="13904"/>
    <n v="13569.43"/>
    <n v="21406501.359999999"/>
    <n v="20891399.73"/>
    <n v="134916"/>
    <s v="AMOMPY"/>
    <s v="Momentum Capital Investment S.A."/>
    <s v="30/12/2025"/>
    <s v="30/12/2025"/>
    <n v="10"/>
    <s v="No"/>
    <s v=""/>
    <m/>
    <m/>
    <s v="#UMV250170065"/>
    <s v="#UMV250170065"/>
    <n v="2.5568244070726248E-4"/>
  </r>
  <r>
    <x v="236"/>
    <s v="Pesos"/>
    <d v="2027-01-27T00:00:00"/>
    <s v="29/10/2026"/>
    <n v="0.92686661000000004"/>
    <m/>
    <n v="45000000"/>
    <n v="41708997.439999998"/>
    <n v="45000000"/>
    <n v="41708997.439999998"/>
    <n v="51180"/>
    <s v="AMOMPY"/>
    <s v="Momentum Capital Investment S.A."/>
    <s v="21/09/2026"/>
    <s v="21/09/2026"/>
    <n v="32"/>
    <s v="No"/>
    <s v=""/>
    <m/>
    <m/>
    <s v="*MAV250100991"/>
    <s v="*MAV250100991"/>
    <n v="5.1046164463543881E-4"/>
  </r>
  <r>
    <x v="236"/>
    <s v="Pesos"/>
    <d v="2027-01-27T00:00:00"/>
    <s v="29/10/2026"/>
    <n v="0.92686658"/>
    <m/>
    <n v="55000000"/>
    <n v="50977661.780000001"/>
    <n v="55000000"/>
    <n v="50977661.780000001"/>
    <n v="51411"/>
    <s v="AMOMPY"/>
    <s v="Momentum Capital Investment S.A."/>
    <s v="24/09/2026"/>
    <s v="24/09/2026"/>
    <n v="32"/>
    <s v="No"/>
    <s v=""/>
    <m/>
    <m/>
    <s v="*MAV250100997"/>
    <s v="*MAV250100997"/>
    <n v="6.238975441527168E-4"/>
  </r>
  <r>
    <x v="236"/>
    <s v="Pesos"/>
    <d v="2027-01-27T00:00:00"/>
    <s v="29/10/2026"/>
    <n v="0.93112258999999997"/>
    <m/>
    <n v="28000000"/>
    <n v="26071432.52"/>
    <n v="28000000"/>
    <n v="26071432.52"/>
    <n v="52504"/>
    <s v="AMOMPY"/>
    <s v="Momentum Capital Investment S.A."/>
    <s v="19/10/2026"/>
    <s v="19/10/2026"/>
    <n v="30"/>
    <s v="No"/>
    <s v=""/>
    <m/>
    <m/>
    <s v="*MAV230101267"/>
    <s v="*MAV230101267"/>
    <n v="3.1907902704460359E-4"/>
  </r>
  <r>
    <x v="437"/>
    <s v="Pesos"/>
    <d v="2027-01-27T00:00:00"/>
    <s v="29/10/2026"/>
    <n v="0.92898974000000001"/>
    <m/>
    <n v="5000000"/>
    <n v="4644948.7"/>
    <n v="5000000"/>
    <n v="4644948.7"/>
    <n v="422"/>
    <s v="AMOMPY"/>
    <s v="Momentum Capital Investment S.A."/>
    <s v="23/10/2026"/>
    <s v="23/10/2026"/>
    <n v="31"/>
    <s v="No"/>
    <s v=""/>
    <m/>
    <m/>
    <s v="*MAV250101108"/>
    <s v="*MAV250101108"/>
    <n v="5.6847881708499865E-5"/>
  </r>
  <r>
    <x v="164"/>
    <s v="Pesos"/>
    <d v="2027-01-27T00:00:00"/>
    <s v="29/10/2026"/>
    <n v="0.92055505000000004"/>
    <m/>
    <n v="705770"/>
    <n v="649700.14"/>
    <n v="705770"/>
    <n v="649700.14"/>
    <n v="2506"/>
    <s v="AMOMPY"/>
    <s v="Momentum Capital Investment S.A."/>
    <s v="23/10/2026"/>
    <s v="23/10/2026"/>
    <n v="35"/>
    <s v="No"/>
    <s v=""/>
    <m/>
    <m/>
    <s v="*MAV240101237"/>
    <s v="*MAV240101237"/>
    <n v="7.9514498630987674E-6"/>
  </r>
  <r>
    <x v="54"/>
    <s v="Pesos"/>
    <d v="2027-01-27T00:00:00"/>
    <s v="29/10/2026"/>
    <n v="0.93112258999999997"/>
    <m/>
    <n v="5000000"/>
    <n v="4655612.95"/>
    <n v="5000000"/>
    <n v="4655612.95"/>
    <n v="40810976"/>
    <s v="AMOMPY"/>
    <s v="Momentum Capital Investment S.A."/>
    <s v="24/09/2026"/>
    <s v="24/09/2026"/>
    <n v="30"/>
    <s v="No"/>
    <s v=""/>
    <m/>
    <m/>
    <s v="*INP250100058"/>
    <s v="*INP250100058"/>
    <n v="5.697839768653636E-5"/>
  </r>
  <r>
    <x v="333"/>
    <s v="Pesos"/>
    <d v="2027-01-27T00:00:00"/>
    <s v="29/10/2026"/>
    <n v="0.93758034999999995"/>
    <m/>
    <n v="23900405"/>
    <n v="22408550.140000001"/>
    <n v="23900405"/>
    <n v="22408550.140000001"/>
    <n v="90001871"/>
    <s v="AMOMPY"/>
    <s v="Momentum Capital Investment S.A."/>
    <s v="29/10/2026"/>
    <s v="29/10/2026"/>
    <n v="27"/>
    <s v="No"/>
    <s v=""/>
    <m/>
    <m/>
    <s v="*ACI250100333"/>
    <s v="*ACI250100333"/>
    <n v="2.7425030713852834E-4"/>
  </r>
  <r>
    <x v="55"/>
    <s v="Pesos"/>
    <d v="2027-01-27T00:00:00"/>
    <s v="29/10/2026"/>
    <n v="0.93326534999999999"/>
    <m/>
    <n v="2950000"/>
    <n v="2753132.77"/>
    <n v="2950000"/>
    <n v="2753132.77"/>
    <n v="41040331"/>
    <s v="AMOMPY"/>
    <s v="Momentum Capital Investment S.A."/>
    <s v="27/10/2026"/>
    <s v="27/10/2026"/>
    <n v="29"/>
    <s v="No"/>
    <s v=""/>
    <m/>
    <m/>
    <s v="*PRO240100013"/>
    <s v="*PRO240100013"/>
    <n v="3.3694616699804362E-5"/>
  </r>
  <r>
    <x v="55"/>
    <s v="Pesos"/>
    <d v="2027-01-27T00:00:00"/>
    <s v="29/10/2026"/>
    <n v="0.93326516999999998"/>
    <m/>
    <n v="30000000"/>
    <n v="27997955"/>
    <n v="30000000"/>
    <n v="27997955"/>
    <n v="21805"/>
    <s v="AMOMPY"/>
    <s v="Momentum Capital Investment S.A."/>
    <s v="28/10/2026"/>
    <s v="28/10/2026"/>
    <n v="29"/>
    <s v="No"/>
    <s v=""/>
    <m/>
    <m/>
    <s v="*PRO250100013"/>
    <s v="*PRO250100013"/>
    <n v="3.4265705322426967E-4"/>
  </r>
  <r>
    <x v="272"/>
    <s v="Pesos"/>
    <d v="2027-01-27T00:00:00"/>
    <s v="29/10/2026"/>
    <n v="0.92475311999999998"/>
    <m/>
    <n v="2200000"/>
    <n v="2034456.87"/>
    <n v="2200000"/>
    <n v="2034456.87"/>
    <n v="6767"/>
    <s v="AMOMPY"/>
    <s v="Momentum Capital Investment S.A."/>
    <s v="01/10/2026"/>
    <s v="01/10/2026"/>
    <n v="33"/>
    <s v="No"/>
    <s v=""/>
    <m/>
    <m/>
    <s v="*MAV250101018"/>
    <s v="*MAV250101018"/>
    <n v="2.4898996944100777E-5"/>
  </r>
  <r>
    <x v="366"/>
    <s v="Pesos"/>
    <d v="2027-01-27T00:00:00"/>
    <s v="29/10/2026"/>
    <n v="0.92055494000000004"/>
    <m/>
    <n v="10000000"/>
    <n v="9205549.3699999992"/>
    <n v="10000000"/>
    <n v="9205549.3699999992"/>
    <n v="2285694"/>
    <s v="AMOMPY"/>
    <s v="Momentum Capital Investment S.A."/>
    <s v="01/09/2026"/>
    <s v="01/09/2026"/>
    <n v="35"/>
    <s v="No"/>
    <s v=""/>
    <m/>
    <m/>
    <s v="*MAV230101218"/>
    <s v="*MAV230101218"/>
    <n v="1.1266345775735163E-4"/>
  </r>
  <r>
    <x v="288"/>
    <s v="Pesos"/>
    <d v="2027-01-27T00:00:00"/>
    <s v="29/10/2026"/>
    <n v="0.92686645999999995"/>
    <m/>
    <n v="37500000"/>
    <n v="34757492.07"/>
    <n v="37500000"/>
    <n v="34757492.07"/>
    <n v="90000192"/>
    <s v="AMOMPY"/>
    <s v="Momentum Capital Investment S.A."/>
    <s v="29/09/2026"/>
    <s v="29/09/2026"/>
    <n v="32"/>
    <s v="No"/>
    <s v=""/>
    <m/>
    <m/>
    <s v="*MAV230101233"/>
    <s v="*MAV230101233"/>
    <n v="4.2538463291951579E-4"/>
  </r>
  <r>
    <x v="288"/>
    <s v="Pesos"/>
    <d v="2027-01-27T00:00:00"/>
    <s v="29/10/2026"/>
    <n v="0.92686645999999995"/>
    <m/>
    <n v="37500000"/>
    <n v="34757492.07"/>
    <n v="37500000"/>
    <n v="34757492.07"/>
    <n v="90000194"/>
    <s v="AMOMPY"/>
    <s v="Momentum Capital Investment S.A."/>
    <s v="29/09/2026"/>
    <s v="29/09/2026"/>
    <n v="32"/>
    <s v="No"/>
    <s v=""/>
    <m/>
    <m/>
    <s v="*MAV240101222"/>
    <s v="*MAV240101222"/>
    <n v="4.2538463291951579E-4"/>
  </r>
  <r>
    <x v="288"/>
    <s v="Pesos"/>
    <d v="2027-01-27T00:00:00"/>
    <s v="29/10/2026"/>
    <n v="0.92686645999999995"/>
    <m/>
    <n v="37500000"/>
    <n v="34757492.07"/>
    <n v="37500000"/>
    <n v="34757492.07"/>
    <n v="90000191"/>
    <s v="AMOMPY"/>
    <s v="Momentum Capital Investment S.A."/>
    <s v="29/09/2026"/>
    <s v="29/09/2026"/>
    <n v="32"/>
    <s v="No"/>
    <s v=""/>
    <m/>
    <m/>
    <s v="*MAV250101014"/>
    <s v="*MAV250101014"/>
    <n v="4.2538463291951579E-4"/>
  </r>
  <r>
    <x v="471"/>
    <s v="Pesos"/>
    <d v="2027-01-27T00:00:00"/>
    <s v="29/10/2026"/>
    <n v="0.92898966000000005"/>
    <m/>
    <n v="10000000"/>
    <n v="9289896.5600000005"/>
    <n v="10000000"/>
    <n v="9289896.5600000005"/>
    <n v="142"/>
    <s v="AMOMPY"/>
    <s v="Momentum Capital Investment S.A."/>
    <s v="18/08/2026"/>
    <s v="18/08/2026"/>
    <n v="31"/>
    <s v="No"/>
    <s v=""/>
    <m/>
    <m/>
    <s v="*MAV230101214"/>
    <s v="*MAV230101214"/>
    <n v="1.1369575313653729E-4"/>
  </r>
  <r>
    <x v="466"/>
    <s v="Pesos"/>
    <d v="2027-01-27T00:00:00"/>
    <s v="29/10/2026"/>
    <n v="0.92475315999999996"/>
    <m/>
    <n v="5850000"/>
    <n v="5409806"/>
    <n v="5850000"/>
    <n v="5409806"/>
    <n v="1395702"/>
    <s v="AMOMPY"/>
    <s v="Momentum Capital Investment S.A."/>
    <s v="23/10/2026"/>
    <s v="23/10/2026"/>
    <n v="33"/>
    <s v="No"/>
    <s v=""/>
    <m/>
    <m/>
    <s v="*MAV230101276"/>
    <s v="*MAV230101276"/>
    <n v="6.620869925946282E-5"/>
  </r>
  <r>
    <x v="261"/>
    <s v="Pesos"/>
    <d v="2027-01-27T00:00:00"/>
    <s v="29/10/2026"/>
    <n v="0.92055502"/>
    <m/>
    <n v="20858250"/>
    <n v="19201166.66"/>
    <n v="20858250"/>
    <n v="19201166.66"/>
    <n v="69879215"/>
    <s v="AMOMPY"/>
    <s v="Momentum Capital Investment S.A."/>
    <s v="24/09/2026"/>
    <s v="24/09/2026"/>
    <n v="35"/>
    <s v="No"/>
    <s v=""/>
    <m/>
    <m/>
    <s v="*MAV230101228"/>
    <s v="*MAV230101228"/>
    <n v="2.3499627691321356E-4"/>
  </r>
  <r>
    <x v="489"/>
    <s v="Pesos"/>
    <d v="2027-01-27T00:00:00"/>
    <s v="29/10/2026"/>
    <n v="0.92898974000000001"/>
    <m/>
    <n v="5000000"/>
    <n v="4644948.7"/>
    <n v="5000000"/>
    <n v="4644948.7"/>
    <n v="469"/>
    <s v="AMOMPY"/>
    <s v="Momentum Capital Investment S.A."/>
    <s v="23/10/2026"/>
    <s v="23/10/2026"/>
    <n v="31"/>
    <s v="No"/>
    <s v=""/>
    <m/>
    <m/>
    <s v="*MAV250101109"/>
    <s v="*MAV250101109"/>
    <n v="5.6847881708499865E-5"/>
  </r>
  <r>
    <x v="107"/>
    <s v="Pesos"/>
    <d v="2027-01-27T00:00:00"/>
    <s v="29/10/2026"/>
    <n v="0.92264913999999998"/>
    <m/>
    <n v="215553.52"/>
    <n v="198880.27"/>
    <n v="215553.52"/>
    <n v="198880.27"/>
    <n v="30107611"/>
    <s v="AMOMPY"/>
    <s v="Momentum Capital Investment S.A."/>
    <s v="28/10/2026"/>
    <s v="28/10/2026"/>
    <n v="34"/>
    <s v="No"/>
    <s v=""/>
    <m/>
    <m/>
    <s v="*MAV250101143"/>
    <s v="*MAV250101143"/>
    <n v="2.434025173004497E-6"/>
  </r>
  <r>
    <x v="107"/>
    <s v="Pesos"/>
    <d v="2027-01-27T00:00:00"/>
    <s v="29/10/2026"/>
    <n v="0.92264937000000002"/>
    <m/>
    <n v="361280.85"/>
    <n v="333335.55"/>
    <n v="361280.85"/>
    <n v="333335.55"/>
    <n v="30106874"/>
    <s v="AMOMPY"/>
    <s v="Momentum Capital Investment S.A."/>
    <s v="27/10/2026"/>
    <s v="27/10/2026"/>
    <n v="34"/>
    <s v="No"/>
    <s v=""/>
    <m/>
    <m/>
    <s v="*MAV250101127"/>
    <s v="*MAV250101127"/>
    <n v="4.0795757153653261E-6"/>
  </r>
  <r>
    <x v="42"/>
    <s v="Pesos"/>
    <d v="2027-01-27T00:00:00"/>
    <s v="29/10/2026"/>
    <n v="0.93112254999999999"/>
    <m/>
    <n v="50000000"/>
    <n v="46556127.369999997"/>
    <n v="50000000"/>
    <n v="46556127.369999997"/>
    <n v="6857"/>
    <s v="AMOMPY"/>
    <s v="Momentum Capital Investment S.A."/>
    <s v="16/09/2026"/>
    <s v="16/09/2026"/>
    <n v="30"/>
    <s v="No"/>
    <s v=""/>
    <m/>
    <m/>
    <s v="*MAV230101224"/>
    <s v="*MAV230101224"/>
    <n v="5.6978395079704811E-4"/>
  </r>
  <r>
    <x v="42"/>
    <s v="Pesos"/>
    <d v="2027-01-27T00:00:00"/>
    <s v="29/10/2026"/>
    <n v="0.93112254999999999"/>
    <m/>
    <n v="50000000"/>
    <n v="46556127.369999997"/>
    <n v="50000000"/>
    <n v="46556127.369999997"/>
    <n v="6858"/>
    <s v="AMOMPY"/>
    <s v="Momentum Capital Investment S.A."/>
    <s v="16/09/2026"/>
    <s v="16/09/2026"/>
    <n v="30"/>
    <s v="No"/>
    <s v=""/>
    <m/>
    <m/>
    <s v="*MAV250100985"/>
    <s v="*MAV250100985"/>
    <n v="5.6978395079704811E-4"/>
  </r>
  <r>
    <x v="443"/>
    <s v="Pesos"/>
    <d v="2027-01-27T00:00:00"/>
    <s v="29/10/2026"/>
    <n v="0.92264915999999997"/>
    <m/>
    <n v="19131395.420000002"/>
    <n v="17651565.899999999"/>
    <n v="19131395.420000002"/>
    <n v="17651565.899999999"/>
    <n v="282"/>
    <s v="AMOMPY"/>
    <s v="Momentum Capital Investment S.A."/>
    <s v="28/10/2026"/>
    <s v="28/10/2026"/>
    <n v="34"/>
    <s v="No"/>
    <s v=""/>
    <m/>
    <m/>
    <s v="*MAV250101144"/>
    <s v="*MAV250101144"/>
    <n v="2.160312621435388E-4"/>
  </r>
  <r>
    <x v="444"/>
    <s v="Pesos"/>
    <d v="2027-01-27T00:00:00"/>
    <s v="29/10/2026"/>
    <n v="0.92264915999999997"/>
    <m/>
    <n v="12701545.390000001"/>
    <n v="11719070.18"/>
    <n v="12701545.390000001"/>
    <n v="11719070.18"/>
    <n v="139"/>
    <s v="AMOMPY"/>
    <s v="Momentum Capital Investment S.A."/>
    <s v="28/10/2026"/>
    <s v="28/10/2026"/>
    <n v="34"/>
    <s v="No"/>
    <s v=""/>
    <m/>
    <m/>
    <s v="*MAV250101149"/>
    <s v="*MAV250101149"/>
    <n v="1.4342554855907195E-4"/>
  </r>
  <r>
    <x v="354"/>
    <s v="Pesos"/>
    <d v="2027-01-27T00:00:00"/>
    <s v="29/10/2026"/>
    <n v="0.92475309000000006"/>
    <m/>
    <n v="7692308"/>
    <n v="7113485.5800000001"/>
    <n v="7692308"/>
    <n v="7113485.5800000001"/>
    <n v="4446"/>
    <s v="AMOMPY"/>
    <s v="Momentum Capital Investment S.A."/>
    <s v="22/10/2026"/>
    <s v="22/10/2026"/>
    <n v="33"/>
    <s v="No"/>
    <s v=""/>
    <m/>
    <m/>
    <s v="*MAV250101102"/>
    <s v="*MAV250101102"/>
    <n v="8.7059430126097955E-5"/>
  </r>
  <r>
    <x v="494"/>
    <s v="Pesos"/>
    <d v="2027-01-27T00:00:00"/>
    <s v="29/10/2026"/>
    <n v="0.93112254000000005"/>
    <m/>
    <n v="150000000"/>
    <n v="139668380.81999999"/>
    <n v="150000000"/>
    <n v="139668380.81999999"/>
    <n v="8711"/>
    <s v="AMOMPY"/>
    <s v="Momentum Capital Investment S.A."/>
    <s v="29/10/2026"/>
    <s v="29/10/2026"/>
    <n v="30"/>
    <s v="No"/>
    <s v=""/>
    <m/>
    <m/>
    <s v="*MAV230101293"/>
    <s v="*MAV230101293"/>
    <n v="1.7093518366032912E-3"/>
  </r>
  <r>
    <x v="306"/>
    <s v="Pesos"/>
    <d v="2027-01-27T00:00:00"/>
    <s v="29/10/2026"/>
    <n v="0.92686654999999996"/>
    <m/>
    <n v="661730"/>
    <n v="613335.4"/>
    <n v="661730"/>
    <n v="613335.4"/>
    <n v="1254"/>
    <s v="AMOMPY"/>
    <s v="Momentum Capital Investment S.A."/>
    <s v="01/10/2026"/>
    <s v="01/10/2026"/>
    <n v="32"/>
    <s v="No"/>
    <s v=""/>
    <m/>
    <m/>
    <s v="*MAV240101223"/>
    <s v="*MAV240101223"/>
    <n v="7.5063946921169325E-6"/>
  </r>
  <r>
    <x v="178"/>
    <s v="Pesos"/>
    <d v="2027-01-27T00:00:00"/>
    <s v="29/10/2026"/>
    <n v="0.92475309000000006"/>
    <m/>
    <n v="38400000"/>
    <n v="35510518.609999999"/>
    <n v="38400000"/>
    <n v="35510518.609999999"/>
    <n v="9827968"/>
    <s v="AMOMPY"/>
    <s v="Momentum Capital Investment S.A."/>
    <s v="22/10/2026"/>
    <s v="22/10/2026"/>
    <n v="33"/>
    <s v="No"/>
    <s v=""/>
    <m/>
    <m/>
    <s v="*MAV250101106"/>
    <s v="*MAV250101106"/>
    <n v="4.3460065798977778E-4"/>
  </r>
  <r>
    <x v="44"/>
    <s v="Pesos"/>
    <d v="2027-01-27T00:00:00"/>
    <s v="29/10/2026"/>
    <n v="0.92475302999999998"/>
    <m/>
    <n v="15000000"/>
    <n v="13871295.51"/>
    <n v="15000000"/>
    <n v="13871295.51"/>
    <n v="14724994"/>
    <s v="AMOMPY"/>
    <s v="Momentum Capital Investment S.A."/>
    <s v="14/10/2026"/>
    <s v="14/10/2026"/>
    <n v="33"/>
    <s v="No"/>
    <s v=""/>
    <m/>
    <m/>
    <s v="*MAV250101067"/>
    <s v="*MAV250101067"/>
    <n v="1.6976587196670766E-4"/>
  </r>
  <r>
    <x v="495"/>
    <s v="Pesos"/>
    <d v="2027-01-27T00:00:00"/>
    <s v="29/10/2026"/>
    <n v="0.92686647"/>
    <m/>
    <n v="4466336.49"/>
    <n v="4139697.53"/>
    <n v="4466336.49"/>
    <n v="4139697.53"/>
    <n v="265338"/>
    <s v="AMOMPY"/>
    <s v="Momentum Capital Investment S.A."/>
    <s v="21/10/2026"/>
    <s v="21/10/2026"/>
    <n v="32"/>
    <s v="No"/>
    <s v=""/>
    <m/>
    <m/>
    <s v="*MAV250101096"/>
    <s v="*MAV250101096"/>
    <n v="5.0664291619498197E-5"/>
  </r>
  <r>
    <x v="488"/>
    <s v="Pesos"/>
    <d v="2027-01-27T00:00:00"/>
    <s v="29/10/2026"/>
    <n v="0.92475302000000004"/>
    <m/>
    <n v="2320040.0499999998"/>
    <n v="2145464.04"/>
    <n v="2320040.0499999998"/>
    <n v="2145464.04"/>
    <n v="90016643"/>
    <s v="AMOMPY"/>
    <s v="Momentum Capital Investment S.A."/>
    <s v="21/10/2026"/>
    <s v="21/10/2026"/>
    <n v="33"/>
    <s v="No"/>
    <s v=""/>
    <m/>
    <m/>
    <s v="*MAV230101273"/>
    <s v="*MAV230101273"/>
    <n v="2.6257574374451158E-5"/>
  </r>
  <r>
    <x v="490"/>
    <s v="Pesos"/>
    <d v="2027-01-27T00:00:00"/>
    <s v="29/10/2026"/>
    <n v="0.92898974000000001"/>
    <m/>
    <n v="5000000"/>
    <n v="4644948.7"/>
    <n v="5000000"/>
    <n v="4644948.7"/>
    <n v="13097177"/>
    <s v="AMOMPY"/>
    <s v="Momentum Capital Investment S.A."/>
    <s v="23/10/2026"/>
    <s v="23/10/2026"/>
    <n v="31"/>
    <s v="No"/>
    <s v=""/>
    <m/>
    <m/>
    <s v="*MAV250101111"/>
    <s v="*MAV250101111"/>
    <n v="5.6847881708499865E-5"/>
  </r>
  <r>
    <x v="496"/>
    <s v="Pesos"/>
    <d v="2027-01-27T00:00:00"/>
    <s v="29/10/2026"/>
    <n v="0.92898974000000001"/>
    <m/>
    <n v="15000000"/>
    <n v="13934846.09"/>
    <n v="15000000"/>
    <n v="13934846.09"/>
    <n v="11426078"/>
    <s v="AMOMPY"/>
    <s v="Momentum Capital Investment S.A."/>
    <s v="23/10/2026"/>
    <s v="23/10/2026"/>
    <n v="31"/>
    <s v="No"/>
    <s v=""/>
    <m/>
    <m/>
    <s v="*MAV250101107"/>
    <s v="*MAV250101107"/>
    <n v="1.7054364500311312E-4"/>
  </r>
  <r>
    <x v="497"/>
    <s v="Pesos"/>
    <d v="2027-01-27T00:00:00"/>
    <s v="29/10/2026"/>
    <n v="0.92055505000000004"/>
    <m/>
    <n v="7345493.4699999997"/>
    <n v="6761931.0999999996"/>
    <n v="7345493.4699999997"/>
    <n v="6761931.0999999996"/>
    <n v="41018392"/>
    <s v="AMOMPY"/>
    <s v="Momentum Capital Investment S.A."/>
    <s v="23/10/2026"/>
    <s v="23/10/2026"/>
    <n v="35"/>
    <s v="No"/>
    <s v=""/>
    <m/>
    <m/>
    <s v="*MAV230101275"/>
    <s v="*MAV230101275"/>
    <n v="8.2756879380352748E-5"/>
  </r>
  <r>
    <x v="179"/>
    <s v="Pesos"/>
    <d v="2027-01-27T00:00:00"/>
    <s v="29/10/2026"/>
    <n v="0.92898974000000001"/>
    <m/>
    <n v="5000000"/>
    <n v="4644948.7"/>
    <n v="5000000"/>
    <n v="4644948.7"/>
    <n v="14693860"/>
    <s v="AMOMPY"/>
    <s v="Momentum Capital Investment S.A."/>
    <s v="23/10/2026"/>
    <s v="23/10/2026"/>
    <n v="31"/>
    <s v="No"/>
    <s v=""/>
    <m/>
    <m/>
    <s v="*MAV250101110"/>
    <s v="*MAV250101110"/>
    <n v="5.6847881708499865E-5"/>
  </r>
  <r>
    <x v="25"/>
    <s v="Pesos"/>
    <d v="2027-01-27T00:00:00"/>
    <s v="29/10/2026"/>
    <n v="0.93436180999999996"/>
    <m/>
    <n v="3000000"/>
    <n v="2803085.44"/>
    <n v="3000000"/>
    <n v="2803085.44"/>
    <n v="3966972"/>
    <s v="AMOMPY"/>
    <s v="Momentum Capital Investment S.A."/>
    <s v="29/10/2026"/>
    <s v="29/10/2026"/>
    <n v="28.49"/>
    <s v="No"/>
    <s v=""/>
    <m/>
    <m/>
    <s v="*NEU250100029"/>
    <s v="*NEU250100029"/>
    <n v="3.4305969732655664E-5"/>
  </r>
  <r>
    <x v="156"/>
    <s v="Pesos"/>
    <d v="2027-01-27T00:00:00"/>
    <s v="29/10/2026"/>
    <n v="0.93112254000000005"/>
    <m/>
    <n v="110000000"/>
    <n v="102423479.27"/>
    <n v="110000000"/>
    <n v="102423479.27"/>
    <n v="349"/>
    <s v="AMOMPY"/>
    <s v="Momentum Capital Investment S.A."/>
    <s v="29/10/2026"/>
    <s v="29/10/2026"/>
    <n v="30"/>
    <s v="No"/>
    <s v=""/>
    <m/>
    <m/>
    <s v="*MAV250101159"/>
    <s v="*MAV250101159"/>
    <n v="1.2535246802002243E-3"/>
  </r>
  <r>
    <x v="498"/>
    <s v="Pesos"/>
    <d v="2027-01-27T00:00:00"/>
    <s v="29/10/2026"/>
    <n v="0.9315504"/>
    <m/>
    <n v="100000000"/>
    <n v="93155040.280000001"/>
    <n v="100000000"/>
    <n v="93155040.280000001"/>
    <n v="2524"/>
    <s v="AMOMPY"/>
    <s v="Momentum Capital Investment S.A."/>
    <s v="27/10/2026"/>
    <s v="27/10/2026"/>
    <n v="29.8"/>
    <s v="No"/>
    <s v=""/>
    <m/>
    <m/>
    <s v="*AGV250100002"/>
    <s v="*AGV250100002"/>
    <n v="1.1400915386617682E-3"/>
  </r>
  <r>
    <x v="458"/>
    <s v="Pesos"/>
    <d v="2027-01-27T00:00:00"/>
    <s v="29/10/2026"/>
    <n v="0.92055491"/>
    <m/>
    <n v="4500000"/>
    <n v="4142497.11"/>
    <n v="4500000"/>
    <n v="4142497.11"/>
    <n v="69406938"/>
    <s v="AMOMPY"/>
    <s v="Momentum Capital Investment S.A."/>
    <s v="14/10/2026"/>
    <s v="14/10/2026"/>
    <n v="35"/>
    <s v="No"/>
    <s v=""/>
    <m/>
    <m/>
    <s v="*MAV240101228"/>
    <s v="*MAV240101228"/>
    <n v="5.0698554687392462E-5"/>
  </r>
  <r>
    <x v="499"/>
    <s v="Pesos"/>
    <d v="2027-01-27T00:00:00"/>
    <s v="29/10/2026"/>
    <n v="0.93112254000000005"/>
    <m/>
    <n v="35345018"/>
    <n v="32910542.890000001"/>
    <n v="35345018"/>
    <n v="32910542.890000001"/>
    <n v="2684"/>
    <s v="AMOMPY"/>
    <s v="Momentum Capital Investment S.A."/>
    <s v="29/10/2026"/>
    <s v="29/10/2026"/>
    <n v="30"/>
    <s v="No"/>
    <s v=""/>
    <m/>
    <m/>
    <s v="*MAV250101160"/>
    <s v="*MAV250101160"/>
    <n v="4.0278047617043245E-4"/>
  </r>
  <r>
    <x v="1"/>
    <s v="Pesos"/>
    <d v="2027-01-27T00:00:00"/>
    <s v="29/10/2026"/>
    <n v="0.93112249000000002"/>
    <m/>
    <n v="20000000"/>
    <n v="18622449.75"/>
    <n v="20000000"/>
    <n v="18622449.75"/>
    <n v="40808737"/>
    <s v="AMOMPY"/>
    <s v="Momentum Capital Investment S.A."/>
    <s v="22/09/2026"/>
    <s v="22/09/2026"/>
    <n v="30"/>
    <s v="No"/>
    <s v=""/>
    <m/>
    <m/>
    <s v="*AFB250100004"/>
    <s v="*AFB250100004"/>
    <n v="2.2791356565692164E-4"/>
  </r>
  <r>
    <x v="317"/>
    <s v="Pesos"/>
    <d v="2027-01-27T00:00:00"/>
    <s v="29/10/2026"/>
    <n v="0.92475311999999998"/>
    <m/>
    <n v="36300000"/>
    <n v="33568538.340000004"/>
    <n v="36300000"/>
    <n v="33568538.340000004"/>
    <n v="154"/>
    <s v="AMOMPY"/>
    <s v="Momentum Capital Investment S.A."/>
    <s v="01/10/2026"/>
    <s v="01/10/2026"/>
    <n v="33"/>
    <s v="No"/>
    <s v=""/>
    <m/>
    <m/>
    <s v="MAVR250100079"/>
    <s v="MAVR250100079"/>
    <n v="4.1083344939408319E-4"/>
  </r>
  <r>
    <x v="318"/>
    <s v="Pesos"/>
    <d v="2027-01-27T00:00:00"/>
    <s v="29/10/2026"/>
    <n v="0.92475311999999998"/>
    <m/>
    <n v="10000000"/>
    <n v="9247531.1999999993"/>
    <n v="10000000"/>
    <n v="9247531.1999999993"/>
    <n v="70407060"/>
    <s v="AMOMPY"/>
    <s v="Momentum Capital Investment S.A."/>
    <s v="01/10/2026"/>
    <s v="01/10/2026"/>
    <n v="33"/>
    <s v="No"/>
    <s v=""/>
    <m/>
    <m/>
    <s v="*MAV250101017"/>
    <s v="*MAV250101017"/>
    <n v="1.1317725850304046E-4"/>
  </r>
  <r>
    <x v="54"/>
    <s v="Pesos"/>
    <d v="2027-01-28T00:00:00"/>
    <s v="29/10/2026"/>
    <n v="0.93041059999999998"/>
    <m/>
    <n v="5500000"/>
    <n v="5117258.32"/>
    <n v="5500000"/>
    <n v="5117258.32"/>
    <n v="987"/>
    <s v="AMOMPY"/>
    <s v="Momentum Capital Investment S.A."/>
    <s v="28/10/2026"/>
    <s v="28/10/2026"/>
    <n v="30"/>
    <s v="No"/>
    <s v=""/>
    <m/>
    <m/>
    <s v="*INP260100064"/>
    <s v="*INP260100064"/>
    <n v="6.2628311836295796E-5"/>
  </r>
  <r>
    <x v="3"/>
    <s v="Pesos"/>
    <d v="2027-01-28T00:00:00"/>
    <s v="29/10/2026"/>
    <n v="0.93041057000000005"/>
    <m/>
    <n v="20000000"/>
    <n v="18608211.460000001"/>
    <n v="20000000"/>
    <n v="18608211.460000001"/>
    <n v="40808736"/>
    <s v="AMOMPY"/>
    <s v="Momentum Capital Investment S.A."/>
    <s v="22/09/2026"/>
    <s v="22/09/2026"/>
    <n v="30"/>
    <s v="No"/>
    <s v=""/>
    <m/>
    <m/>
    <s v="*MOV260100076"/>
    <s v="*MOV260100076"/>
    <n v="2.2773930826939628E-4"/>
  </r>
  <r>
    <x v="55"/>
    <s v="Pesos"/>
    <d v="2027-01-28T00:00:00"/>
    <s v="29/10/2026"/>
    <n v="0.93912423"/>
    <m/>
    <n v="25000000"/>
    <n v="23478105.800000001"/>
    <n v="25000000"/>
    <n v="23478105.800000001"/>
    <n v="9508928"/>
    <s v="AMOMPY"/>
    <s v="Momentum Capital Investment S.A."/>
    <s v="17/07/2026"/>
    <s v="17/07/2026"/>
    <n v="26"/>
    <s v="No"/>
    <s v=""/>
    <m/>
    <m/>
    <s v="*PRO260100013"/>
    <s v="*PRO260100013"/>
    <n v="2.8734021998091057E-4"/>
  </r>
  <r>
    <x v="171"/>
    <s v="Pesos"/>
    <d v="2027-01-28T00:00:00"/>
    <s v="29/10/2026"/>
    <n v="0.92398055000000001"/>
    <m/>
    <n v="2500000"/>
    <n v="2309951.38"/>
    <n v="2500000"/>
    <n v="2309951.38"/>
    <n v="1570"/>
    <s v="AMOMPY"/>
    <s v="Momentum Capital Investment S.A."/>
    <s v="01/10/2026"/>
    <s v="01/10/2026"/>
    <n v="33"/>
    <s v="No"/>
    <s v=""/>
    <m/>
    <m/>
    <s v="*MAV260101300"/>
    <s v="*MAV260101300"/>
    <n v="2.8270676660568071E-5"/>
  </r>
  <r>
    <x v="2"/>
    <s v="Pesos"/>
    <d v="2027-01-28T00:00:00"/>
    <s v="29/10/2026"/>
    <n v="0.91763897000000005"/>
    <m/>
    <n v="2440210.56"/>
    <n v="2239232.2999999998"/>
    <n v="2440210.56"/>
    <n v="2239232.2999999998"/>
    <n v="3726"/>
    <s v="AMOMPY"/>
    <s v="Momentum Capital Investment S.A."/>
    <s v="06/10/2026"/>
    <s v="06/10/2026"/>
    <n v="36"/>
    <s v="No"/>
    <s v=""/>
    <m/>
    <m/>
    <s v="*MAV260101318"/>
    <s v="*MAV260101318"/>
    <n v="2.7405170892038499E-5"/>
  </r>
  <r>
    <x v="288"/>
    <s v="Pesos"/>
    <d v="2027-01-28T00:00:00"/>
    <s v="29/10/2026"/>
    <n v="0.92611405000000002"/>
    <m/>
    <n v="37500000"/>
    <n v="34729276.850000001"/>
    <n v="37500000"/>
    <n v="34729276.850000001"/>
    <n v="90000193"/>
    <s v="AMOMPY"/>
    <s v="Momentum Capital Investment S.A."/>
    <s v="29/09/2026"/>
    <s v="29/09/2026"/>
    <n v="32"/>
    <s v="No"/>
    <s v=""/>
    <m/>
    <m/>
    <s v="*MAV260101294"/>
    <s v="*MAV260101294"/>
    <n v="4.2503931683692068E-4"/>
  </r>
  <r>
    <x v="289"/>
    <s v="Pesos"/>
    <d v="2027-01-28T00:00:00"/>
    <s v="29/10/2026"/>
    <n v="0.92398062000000003"/>
    <m/>
    <n v="2500000"/>
    <n v="2309951.56"/>
    <n v="2500000"/>
    <n v="2309951.56"/>
    <n v="29"/>
    <s v="AMOMPY"/>
    <s v="Momentum Capital Investment S.A."/>
    <s v="13/10/2026"/>
    <s v="13/10/2026"/>
    <n v="33"/>
    <s v="No"/>
    <s v=""/>
    <m/>
    <m/>
    <s v="*MAV260101336"/>
    <s v="*MAV260101336"/>
    <n v="2.8270678863524309E-5"/>
  </r>
  <r>
    <x v="489"/>
    <s v="Pesos"/>
    <d v="2027-01-28T00:00:00"/>
    <s v="29/10/2026"/>
    <n v="0.92825727000000002"/>
    <m/>
    <n v="5000000"/>
    <n v="4641286.3499999996"/>
    <n v="5000000"/>
    <n v="4641286.3499999996"/>
    <n v="454"/>
    <s v="AMOMPY"/>
    <s v="Momentum Capital Investment S.A."/>
    <s v="23/10/2026"/>
    <s v="23/10/2026"/>
    <n v="31"/>
    <s v="No"/>
    <s v=""/>
    <m/>
    <m/>
    <s v="*MAV260101373"/>
    <s v="*MAV260101373"/>
    <n v="5.6803059504204012E-5"/>
  </r>
  <r>
    <x v="146"/>
    <s v="Pesos"/>
    <d v="2027-01-28T00:00:00"/>
    <s v="29/10/2026"/>
    <n v="0.93041048999999998"/>
    <m/>
    <n v="25000000"/>
    <n v="23260262.27"/>
    <n v="25000000"/>
    <n v="23260262.27"/>
    <n v="90004236"/>
    <s v="AMOMPY"/>
    <s v="Momentum Capital Investment S.A."/>
    <s v="24/09/2026"/>
    <s v="24/09/2026"/>
    <n v="30"/>
    <s v="No"/>
    <s v=""/>
    <m/>
    <m/>
    <s v="*MAV260101283"/>
    <s v="*MAV260101283"/>
    <n v="2.8467411018632833E-4"/>
  </r>
  <r>
    <x v="354"/>
    <s v="Pesos"/>
    <d v="2027-01-28T00:00:00"/>
    <s v="29/10/2026"/>
    <n v="0.92398049999999998"/>
    <m/>
    <n v="7692308"/>
    <n v="7107542.5700000003"/>
    <n v="7692308"/>
    <n v="7107542.5700000003"/>
    <n v="4447"/>
    <s v="AMOMPY"/>
    <s v="Momentum Capital Investment S.A."/>
    <s v="22/10/2026"/>
    <s v="22/10/2026"/>
    <n v="33"/>
    <s v="No"/>
    <s v=""/>
    <m/>
    <m/>
    <s v="*MAV260101368"/>
    <s v="*MAV260101368"/>
    <n v="8.6986695731965159E-5"/>
  </r>
  <r>
    <x v="179"/>
    <s v="Pesos"/>
    <d v="2027-01-28T00:00:00"/>
    <s v="29/10/2026"/>
    <n v="0.92825727000000002"/>
    <m/>
    <n v="5000000"/>
    <n v="4641286.3499999996"/>
    <n v="5000000"/>
    <n v="4641286.3499999996"/>
    <n v="14693861"/>
    <s v="AMOMPY"/>
    <s v="Momentum Capital Investment S.A."/>
    <s v="23/10/2026"/>
    <s v="23/10/2026"/>
    <n v="31"/>
    <s v="No"/>
    <s v=""/>
    <m/>
    <m/>
    <s v="*MAV260101374"/>
    <s v="*MAV260101374"/>
    <n v="5.6803059504204012E-5"/>
  </r>
  <r>
    <x v="474"/>
    <s v="Pesos"/>
    <d v="2027-01-28T00:00:00"/>
    <s v="29/10/2026"/>
    <n v="0.93041048000000004"/>
    <m/>
    <n v="5850000"/>
    <n v="5442901.2999999998"/>
    <n v="5850000"/>
    <n v="5442901.2999999998"/>
    <n v="69910395"/>
    <s v="AMOMPY"/>
    <s v="Momentum Capital Investment S.A."/>
    <s v="19/10/2026"/>
    <s v="19/10/2026"/>
    <n v="30"/>
    <s v="No"/>
    <s v=""/>
    <m/>
    <m/>
    <s v="*MAV260101355"/>
    <s v="*MAV260101355"/>
    <n v="6.6613740912454023E-5"/>
  </r>
  <r>
    <x v="123"/>
    <s v="Pesos"/>
    <d v="2027-01-28T00:00:00"/>
    <s v="29/10/2026"/>
    <n v="0.92398060000000004"/>
    <m/>
    <n v="2000000"/>
    <n v="1847961.21"/>
    <n v="2000000"/>
    <n v="1847961.21"/>
    <n v="44"/>
    <s v="AMOMPY"/>
    <s v="Momentum Capital Investment S.A."/>
    <s v="13/08/2026"/>
    <s v="13/08/2026"/>
    <n v="33"/>
    <s v="No"/>
    <s v=""/>
    <m/>
    <m/>
    <s v="*MAV260101257"/>
    <s v="*MAV260101257"/>
    <n v="2.2616542625750907E-5"/>
  </r>
  <r>
    <x v="270"/>
    <s v="Pesos"/>
    <d v="2027-01-28T00:00:00"/>
    <s v="29/10/2026"/>
    <n v="0.92825738000000002"/>
    <m/>
    <n v="6509893.4400000004"/>
    <n v="6042856.6299999999"/>
    <n v="6509893.4400000004"/>
    <n v="6042856.6299999999"/>
    <n v="11548"/>
    <s v="AMOMPY"/>
    <s v="Momentum Capital Investment S.A."/>
    <s v="21/10/2026"/>
    <s v="21/10/2026"/>
    <n v="31"/>
    <s v="No"/>
    <s v=""/>
    <m/>
    <m/>
    <s v="*MAV260101363"/>
    <s v="*MAV260101363"/>
    <n v="7.395638166760897E-5"/>
  </r>
  <r>
    <x v="270"/>
    <s v="Pesos"/>
    <d v="2027-01-28T00:00:00"/>
    <s v="29/10/2026"/>
    <n v="0.92825738000000002"/>
    <m/>
    <n v="6509893.4400000004"/>
    <n v="6042856.6299999999"/>
    <n v="6509893.4400000004"/>
    <n v="6042856.6299999999"/>
    <n v="11549"/>
    <s v="AMOMPY"/>
    <s v="Momentum Capital Investment S.A."/>
    <s v="21/10/2026"/>
    <s v="21/10/2026"/>
    <n v="31"/>
    <s v="No"/>
    <s v=""/>
    <m/>
    <m/>
    <s v="*MAV260101364"/>
    <s v="*MAV260101364"/>
    <n v="7.395638166760897E-5"/>
  </r>
  <r>
    <x v="326"/>
    <s v="Pesos"/>
    <d v="2027-01-28T00:00:00"/>
    <s v="29/10/2026"/>
    <n v="0.92611405000000002"/>
    <m/>
    <n v="11145337.859999999"/>
    <n v="10321853.98"/>
    <n v="11145337.859999999"/>
    <n v="10321853.98"/>
    <n v="18"/>
    <s v="AMOMPY"/>
    <s v="Momentum Capital Investment S.A."/>
    <s v="29/09/2026"/>
    <s v="29/09/2026"/>
    <n v="32"/>
    <s v="No"/>
    <s v=""/>
    <m/>
    <m/>
    <s v="*MAV260101292"/>
    <s v="*MAV260101292"/>
    <n v="1.2632551443839379E-4"/>
  </r>
  <r>
    <x v="369"/>
    <s v="Pesos"/>
    <d v="2027-01-29T00:00:00"/>
    <s v="29/10/2026"/>
    <n v="0.92536264999999995"/>
    <m/>
    <n v="5000000"/>
    <n v="4626813.2300000004"/>
    <n v="5000000"/>
    <n v="4626813.2300000004"/>
    <n v="1826"/>
    <s v="AMOMPY"/>
    <s v="Momentum Capital Investment S.A."/>
    <s v="18/09/2026"/>
    <s v="18/09/2026"/>
    <n v="32"/>
    <s v="No"/>
    <s v=""/>
    <m/>
    <m/>
    <s v="*MAV270101300"/>
    <s v="*MAV270101300"/>
    <n v="5.6625928115495049E-5"/>
  </r>
  <r>
    <x v="236"/>
    <s v="Pesos"/>
    <d v="2027-01-29T00:00:00"/>
    <s v="29/10/2026"/>
    <n v="0.92969944999999998"/>
    <m/>
    <n v="28000000"/>
    <n v="26031584.68"/>
    <n v="28000000"/>
    <n v="26031584.68"/>
    <n v="52505"/>
    <s v="AMOMPY"/>
    <s v="Momentum Capital Investment S.A."/>
    <s v="19/10/2026"/>
    <s v="19/10/2026"/>
    <n v="30"/>
    <s v="No"/>
    <s v=""/>
    <m/>
    <m/>
    <s v="*MAV270101374"/>
    <s v="*MAV270101374"/>
    <n v="3.1859134344657826E-4"/>
  </r>
  <r>
    <x v="3"/>
    <s v="Pesos"/>
    <d v="2027-01-29T00:00:00"/>
    <s v="29/10/2026"/>
    <n v="0.93628166999999995"/>
    <m/>
    <n v="10000000"/>
    <n v="9362816.7300000004"/>
    <n v="10000000"/>
    <n v="9362816.7300000004"/>
    <n v="72"/>
    <s v="AMOMPY"/>
    <s v="Momentum Capital Investment S.A."/>
    <s v="28/10/2026"/>
    <s v="28/10/2026"/>
    <n v="27"/>
    <s v="No"/>
    <s v=""/>
    <m/>
    <m/>
    <s v="*MOV270100070"/>
    <s v="*MOV270100070"/>
    <n v="1.1458819726586076E-4"/>
  </r>
  <r>
    <x v="3"/>
    <s v="Pesos"/>
    <d v="2027-01-29T00:00:00"/>
    <s v="29/10/2026"/>
    <n v="0.93628166999999995"/>
    <m/>
    <n v="20000000"/>
    <n v="18725633.460000001"/>
    <n v="20000000"/>
    <n v="18725633.460000001"/>
    <n v="70"/>
    <s v="AMOMPY"/>
    <s v="Momentum Capital Investment S.A."/>
    <s v="28/10/2026"/>
    <s v="28/10/2026"/>
    <n v="27"/>
    <s v="No"/>
    <s v=""/>
    <m/>
    <m/>
    <s v="*MOV270100069"/>
    <s v="*MOV270100069"/>
    <n v="2.2917639453172152E-4"/>
  </r>
  <r>
    <x v="3"/>
    <s v="Pesos"/>
    <d v="2027-01-29T00:00:00"/>
    <s v="29/10/2026"/>
    <n v="0.93628166999999995"/>
    <m/>
    <n v="20000000"/>
    <n v="18725633.460000001"/>
    <n v="20000000"/>
    <n v="18725633.460000001"/>
    <n v="71"/>
    <s v="AMOMPY"/>
    <s v="Momentum Capital Investment S.A."/>
    <s v="28/10/2026"/>
    <s v="28/10/2026"/>
    <n v="27"/>
    <s v="No"/>
    <s v=""/>
    <m/>
    <m/>
    <s v="*MOV270100068"/>
    <s v="*MOV270100068"/>
    <n v="2.2917639453172152E-4"/>
  </r>
  <r>
    <x v="171"/>
    <s v="Pesos"/>
    <d v="2027-01-29T00:00:00"/>
    <s v="29/10/2026"/>
    <n v="0.92320924000000004"/>
    <m/>
    <n v="2500000"/>
    <n v="2308023.11"/>
    <n v="2500000"/>
    <n v="2308023.11"/>
    <n v="1571"/>
    <s v="AMOMPY"/>
    <s v="Momentum Capital Investment S.A."/>
    <s v="01/10/2026"/>
    <s v="01/10/2026"/>
    <n v="33"/>
    <s v="No"/>
    <s v=""/>
    <m/>
    <m/>
    <s v="*MAV270101328"/>
    <s v="*MAV270101328"/>
    <n v="2.824707724711017E-5"/>
  </r>
  <r>
    <x v="272"/>
    <s v="Pesos"/>
    <d v="2027-01-29T00:00:00"/>
    <s v="29/10/2026"/>
    <n v="0.92320926000000003"/>
    <m/>
    <n v="2200000"/>
    <n v="2031060.37"/>
    <n v="2200000"/>
    <n v="2031060.37"/>
    <n v="6768"/>
    <s v="AMOMPY"/>
    <s v="Momentum Capital Investment S.A."/>
    <s v="01/10/2026"/>
    <s v="01/10/2026"/>
    <n v="33"/>
    <s v="No"/>
    <s v=""/>
    <m/>
    <m/>
    <s v="*MAV270101327"/>
    <s v="*MAV270101327"/>
    <n v="2.485742838377999E-5"/>
  </r>
  <r>
    <x v="2"/>
    <s v="Pesos"/>
    <d v="2027-01-29T00:00:00"/>
    <s v="29/10/2026"/>
    <n v="0.91680912000000003"/>
    <m/>
    <n v="2440210.56"/>
    <n v="2237207.2999999998"/>
    <n v="2440210.56"/>
    <n v="2237207.2999999998"/>
    <n v="3727"/>
    <s v="AMOMPY"/>
    <s v="Momentum Capital Investment S.A."/>
    <s v="06/10/2026"/>
    <s v="06/10/2026"/>
    <n v="36"/>
    <s v="No"/>
    <s v=""/>
    <m/>
    <m/>
    <s v="*MAV270101335"/>
    <s v="*MAV270101335"/>
    <n v="2.7380387634376318E-5"/>
  </r>
  <r>
    <x v="42"/>
    <s v="Pesos"/>
    <d v="2027-01-29T00:00:00"/>
    <s v="29/10/2026"/>
    <n v="0.92969944000000004"/>
    <m/>
    <n v="50000000"/>
    <n v="46484972.090000004"/>
    <n v="50000000"/>
    <n v="46484972.090000004"/>
    <n v="6859"/>
    <s v="AMOMPY"/>
    <s v="Momentum Capital Investment S.A."/>
    <s v="16/09/2026"/>
    <s v="16/09/2026"/>
    <n v="30"/>
    <s v="No"/>
    <s v=""/>
    <m/>
    <m/>
    <s v="*MAV270101297"/>
    <s v="*MAV270101297"/>
    <n v="5.6891310653123847E-4"/>
  </r>
  <r>
    <x v="484"/>
    <s v="Pesos"/>
    <d v="2027-01-29T00:00:00"/>
    <s v="29/10/2026"/>
    <n v="0.92320926999999997"/>
    <m/>
    <n v="3077616.76"/>
    <n v="2841284.31"/>
    <n v="3077616.76"/>
    <n v="2841284.31"/>
    <n v="202"/>
    <s v="AMOMPY"/>
    <s v="Momentum Capital Investment S.A."/>
    <s v="23/10/2026"/>
    <s v="23/10/2026"/>
    <n v="33"/>
    <s v="No"/>
    <s v=""/>
    <m/>
    <m/>
    <s v="*MAV270101389"/>
    <s v="*MAV270101389"/>
    <n v="3.4773472170983641E-5"/>
  </r>
  <r>
    <x v="354"/>
    <s v="Pesos"/>
    <d v="2027-01-29T00:00:00"/>
    <s v="29/10/2026"/>
    <n v="0.92320946000000004"/>
    <m/>
    <n v="7692308"/>
    <n v="7101611.4900000002"/>
    <n v="7692308"/>
    <n v="7101611.4900000002"/>
    <n v="4448"/>
    <s v="AMOMPY"/>
    <s v="Momentum Capital Investment S.A."/>
    <s v="22/10/2026"/>
    <s v="22/10/2026"/>
    <n v="33"/>
    <s v="No"/>
    <s v=""/>
    <m/>
    <m/>
    <s v="*MAV270101384"/>
    <s v="*MAV270101384"/>
    <n v="8.6914107344876262E-5"/>
  </r>
  <r>
    <x v="496"/>
    <s v="Pesos"/>
    <d v="2027-01-29T00:00:00"/>
    <s v="29/10/2026"/>
    <n v="0.92752595999999998"/>
    <m/>
    <n v="20000000"/>
    <n v="18550519.140000001"/>
    <n v="20000000"/>
    <n v="18550519.140000001"/>
    <n v="11426080"/>
    <s v="AMOMPY"/>
    <s v="Momentum Capital Investment S.A."/>
    <s v="23/10/2026"/>
    <s v="23/10/2026"/>
    <n v="31"/>
    <s v="No"/>
    <s v=""/>
    <m/>
    <m/>
    <s v="*MAV270101390"/>
    <s v="*MAV270101390"/>
    <n v="2.2703323240189555E-4"/>
  </r>
  <r>
    <x v="25"/>
    <s v="Pesos"/>
    <d v="2027-01-29T00:00:00"/>
    <s v="29/10/2026"/>
    <n v="0.93300101999999996"/>
    <m/>
    <n v="3000000"/>
    <n v="2799003.07"/>
    <n v="3000000"/>
    <n v="2799003.07"/>
    <n v="3966973"/>
    <s v="AMOMPY"/>
    <s v="Momentum Capital Investment S.A."/>
    <s v="29/10/2026"/>
    <s v="29/10/2026"/>
    <n v="28.49"/>
    <s v="No"/>
    <s v=""/>
    <m/>
    <m/>
    <s v="*NEU270100024"/>
    <s v="*NEU270100024"/>
    <n v="3.4256007052368081E-5"/>
  </r>
  <r>
    <x v="61"/>
    <s v="Pesos"/>
    <d v="2027-01-29T00:00:00"/>
    <s v="29/10/2026"/>
    <n v="0.92536280000000004"/>
    <m/>
    <n v="475000000"/>
    <n v="439547329.19"/>
    <n v="475000000"/>
    <n v="439547329.19"/>
    <n v="1423"/>
    <s v="AMOMPY"/>
    <s v="Momentum Capital Investment S.A."/>
    <s v="26/10/2026"/>
    <s v="26/10/2026"/>
    <n v="32"/>
    <s v="No"/>
    <s v=""/>
    <m/>
    <m/>
    <s v="*MAV270101394"/>
    <s v="*MAV270101394"/>
    <n v="5.3794640563156635E-3"/>
  </r>
  <r>
    <x v="257"/>
    <s v="Pesos"/>
    <d v="2027-01-29T00:00:00"/>
    <s v="29/10/2026"/>
    <n v="0.92536257"/>
    <m/>
    <n v="2336718.2999999998"/>
    <n v="2162311.65"/>
    <n v="2336718.2999999998"/>
    <n v="2162311.65"/>
    <n v="5393"/>
    <s v="AMOMPY"/>
    <s v="Momentum Capital Investment S.A."/>
    <s v="01/10/2026"/>
    <s v="01/10/2026"/>
    <n v="32"/>
    <s v="No"/>
    <s v=""/>
    <m/>
    <m/>
    <s v="*MAV270101325"/>
    <s v="*MAV270101325"/>
    <n v="2.6463766305128653E-5"/>
  </r>
  <r>
    <x v="369"/>
    <s v="Pesos"/>
    <d v="2027-02-01T00:00:00"/>
    <s v="29/10/2026"/>
    <n v="0.92311597000000001"/>
    <m/>
    <n v="5000000"/>
    <n v="4615579.8600000003"/>
    <n v="5000000"/>
    <n v="4615579.8600000003"/>
    <n v="1827"/>
    <s v="AMOMPY"/>
    <s v="Momentum Capital Investment S.A."/>
    <s v="18/09/2026"/>
    <s v="18/09/2026"/>
    <n v="32"/>
    <s v="No"/>
    <s v=""/>
    <m/>
    <m/>
    <s v="*MAV280101073"/>
    <s v="*MAV280101073"/>
    <n v="5.6488446879384129E-5"/>
  </r>
  <r>
    <x v="480"/>
    <s v="Pesos"/>
    <d v="2027-02-01T00:00:00"/>
    <s v="29/10/2026"/>
    <n v="0.92090326"/>
    <m/>
    <n v="6006148"/>
    <n v="5531081.2999999998"/>
    <n v="6006148"/>
    <n v="5531081.2999999998"/>
    <n v="1370652"/>
    <s v="AMOMPY"/>
    <s v="Momentum Capital Investment S.A."/>
    <s v="23/09/2026"/>
    <s v="23/09/2026"/>
    <n v="33"/>
    <s v="No"/>
    <s v=""/>
    <m/>
    <m/>
    <s v="*MAV280101078"/>
    <s v="*MAV280101078"/>
    <n v="6.7692944695491608E-5"/>
  </r>
  <r>
    <x v="171"/>
    <s v="Pesos"/>
    <d v="2027-02-01T00:00:00"/>
    <s v="29/10/2026"/>
    <n v="0.92090329999999998"/>
    <m/>
    <n v="2500000"/>
    <n v="2302258.2599999998"/>
    <n v="2500000"/>
    <n v="2302258.2599999998"/>
    <n v="1572"/>
    <s v="AMOMPY"/>
    <s v="Momentum Capital Investment S.A."/>
    <s v="01/10/2026"/>
    <s v="01/10/2026"/>
    <n v="33"/>
    <s v="No"/>
    <s v=""/>
    <m/>
    <m/>
    <s v="*MAV280101097"/>
    <s v="*MAV280101097"/>
    <n v="2.817652329010581E-5"/>
  </r>
  <r>
    <x v="353"/>
    <s v="Pesos"/>
    <d v="2027-02-01T00:00:00"/>
    <s v="29/10/2026"/>
    <n v="0.92757330999999998"/>
    <m/>
    <n v="17500000"/>
    <n v="16232532.98"/>
    <n v="17500000"/>
    <n v="16232532.98"/>
    <n v="460"/>
    <s v="AMOMPY"/>
    <s v="Momentum Capital Investment S.A."/>
    <s v="29/10/2026"/>
    <s v="29/10/2026"/>
    <n v="30"/>
    <s v="No"/>
    <s v=""/>
    <m/>
    <m/>
    <s v="*MAV280101195"/>
    <s v="*MAV280101195"/>
    <n v="1.9866422091515515E-4"/>
  </r>
  <r>
    <x v="68"/>
    <s v="Pesos"/>
    <d v="2027-02-01T00:00:00"/>
    <s v="29/10/2026"/>
    <n v="0.92090329999999998"/>
    <m/>
    <n v="22000000"/>
    <n v="20259872.640000001"/>
    <n v="22000000"/>
    <n v="20259872.640000001"/>
    <n v="431"/>
    <s v="AMOMPY"/>
    <s v="Momentum Capital Investment S.A."/>
    <s v="19/10/2026"/>
    <s v="19/10/2026"/>
    <n v="33"/>
    <s v="No"/>
    <s v=""/>
    <m/>
    <m/>
    <s v="*MAV280101138"/>
    <s v="*MAV280101138"/>
    <n v="2.4795340436547614E-4"/>
  </r>
  <r>
    <x v="2"/>
    <s v="Pesos"/>
    <d v="2027-02-01T00:00:00"/>
    <s v="29/10/2026"/>
    <n v="0.91432882000000004"/>
    <m/>
    <n v="2440210.56"/>
    <n v="2231154.84"/>
    <n v="2440210.56"/>
    <n v="2231154.84"/>
    <n v="3728"/>
    <s v="AMOMPY"/>
    <s v="Momentum Capital Investment S.A."/>
    <s v="06/10/2026"/>
    <s v="06/10/2026"/>
    <n v="36"/>
    <s v="No"/>
    <s v=""/>
    <m/>
    <m/>
    <s v="*MAV280101106"/>
    <s v="*MAV280101106"/>
    <n v="2.7306313720465187E-5"/>
  </r>
  <r>
    <x v="438"/>
    <s v="Pesos"/>
    <d v="2027-02-01T00:00:00"/>
    <s v="29/10/2026"/>
    <n v="0.92311584999999996"/>
    <m/>
    <n v="20000000"/>
    <n v="18462317.079999998"/>
    <n v="20000000"/>
    <n v="18462317.079999998"/>
    <n v="53979"/>
    <s v="AMOMPY"/>
    <s v="Momentum Capital Investment S.A."/>
    <s v="14/08/2026"/>
    <s v="14/08/2026"/>
    <n v="32"/>
    <s v="No"/>
    <s v=""/>
    <m/>
    <m/>
    <s v="*MAV280101052"/>
    <s v="*MAV280101052"/>
    <n v="2.2595375863433247E-4"/>
  </r>
  <r>
    <x v="39"/>
    <s v="Pesos"/>
    <d v="2027-02-01T00:00:00"/>
    <s v="29/10/2026"/>
    <n v="0.92311591000000004"/>
    <m/>
    <n v="766335"/>
    <n v="707416.03"/>
    <n v="766335"/>
    <n v="707416.03"/>
    <n v="50492553"/>
    <s v="AMOMPY"/>
    <s v="Momentum Capital Investment S.A."/>
    <s v="05/10/2026"/>
    <s v="05/10/2026"/>
    <n v="32"/>
    <s v="No"/>
    <s v=""/>
    <m/>
    <m/>
    <s v="*MAV280101102"/>
    <s v="*MAV280101102"/>
    <n v="8.6578141954800477E-6"/>
  </r>
  <r>
    <x v="466"/>
    <s v="Pesos"/>
    <d v="2027-02-01T00:00:00"/>
    <s v="29/10/2026"/>
    <n v="0.92090333000000002"/>
    <m/>
    <n v="5805595.3099999996"/>
    <n v="5346392.04"/>
    <n v="5805595.3099999996"/>
    <n v="5346392.04"/>
    <n v="1395704"/>
    <s v="AMOMPY"/>
    <s v="Momentum Capital Investment S.A."/>
    <s v="23/10/2026"/>
    <s v="23/10/2026"/>
    <n v="33"/>
    <s v="No"/>
    <s v=""/>
    <m/>
    <m/>
    <s v="*MAV280101154"/>
    <s v="*MAV280101154"/>
    <n v="6.5432598266840981E-5"/>
  </r>
  <r>
    <x v="339"/>
    <s v="Pesos"/>
    <d v="2027-02-01T00:00:00"/>
    <s v="29/10/2026"/>
    <n v="0.92757330999999998"/>
    <m/>
    <n v="25254118.149999999"/>
    <n v="23425046.039999999"/>
    <n v="25254118.149999999"/>
    <n v="23425046.039999999"/>
    <n v="921"/>
    <s v="AMOMPY"/>
    <s v="Momentum Capital Investment S.A."/>
    <s v="29/10/2026"/>
    <s v="29/10/2026"/>
    <n v="30"/>
    <s v="No"/>
    <s v=""/>
    <m/>
    <m/>
    <s v="*MAV280101194"/>
    <s v="*MAV280101194"/>
    <n v="2.8669084037420759E-4"/>
  </r>
  <r>
    <x v="354"/>
    <s v="Pesos"/>
    <d v="2027-02-01T00:00:00"/>
    <s v="29/10/2026"/>
    <n v="0.92090326"/>
    <m/>
    <n v="7692308"/>
    <n v="7083871.4900000002"/>
    <n v="7692308"/>
    <n v="7083871.4900000002"/>
    <n v="4449"/>
    <s v="AMOMPY"/>
    <s v="Momentum Capital Investment S.A."/>
    <s v="22/10/2026"/>
    <s v="22/10/2026"/>
    <n v="33"/>
    <s v="No"/>
    <s v=""/>
    <m/>
    <m/>
    <s v="*MAV280101150"/>
    <s v="*MAV280101150"/>
    <n v="8.6696993769109807E-5"/>
  </r>
  <r>
    <x v="44"/>
    <s v="Pesos"/>
    <d v="2027-02-01T00:00:00"/>
    <s v="29/10/2026"/>
    <n v="0.92311586999999995"/>
    <m/>
    <n v="10000000"/>
    <n v="9231158.7200000007"/>
    <n v="10000000"/>
    <n v="9231158.7200000007"/>
    <n v="14725223"/>
    <s v="AMOMPY"/>
    <s v="Momentum Capital Investment S.A."/>
    <s v="26/10/2026"/>
    <s v="26/10/2026"/>
    <n v="32"/>
    <s v="No"/>
    <s v=""/>
    <m/>
    <m/>
    <s v="*MAV280101164"/>
    <s v="*MAV280101164"/>
    <n v="1.1297688152012249E-4"/>
  </r>
  <r>
    <x v="277"/>
    <s v="Pesos"/>
    <d v="2027-02-01T00:00:00"/>
    <s v="29/10/2026"/>
    <n v="0.91651002000000004"/>
    <m/>
    <n v="100000000"/>
    <n v="91651001.650000006"/>
    <n v="100000000"/>
    <n v="91651001.650000006"/>
    <n v="2027"/>
    <s v="AMOMPY"/>
    <s v="Momentum Capital Investment S.A."/>
    <s v="29/10/2026"/>
    <s v="29/10/2026"/>
    <n v="35"/>
    <s v="No"/>
    <s v=""/>
    <m/>
    <m/>
    <s v="*MAV280101189"/>
    <s v="*MAV280101189"/>
    <n v="1.1216841426611936E-3"/>
  </r>
  <r>
    <x v="94"/>
    <s v="Pesos"/>
    <d v="2027-02-01T00:00:00"/>
    <s v="29/10/2026"/>
    <n v="0.92311589999999999"/>
    <m/>
    <n v="6250000"/>
    <n v="5769474.3499999996"/>
    <n v="6250000"/>
    <n v="5769474.3499999996"/>
    <n v="1413"/>
    <s v="AMOMPY"/>
    <s v="Momentum Capital Investment S.A."/>
    <s v="01/10/2026"/>
    <s v="01/10/2026"/>
    <n v="32"/>
    <s v="No"/>
    <s v=""/>
    <m/>
    <m/>
    <s v="*MAV280101093"/>
    <s v="*MAV280101093"/>
    <n v="7.0610552785873421E-5"/>
  </r>
  <r>
    <x v="0"/>
    <s v="Pesos"/>
    <d v="2027-02-02T00:00:00"/>
    <s v="29/10/2026"/>
    <n v="0.92913155999999997"/>
    <m/>
    <n v="5046812.3"/>
    <n v="4689152.58"/>
    <n v="5046812.3"/>
    <n v="4689152.58"/>
    <n v="5265"/>
    <s v="AMOMPY"/>
    <s v="Momentum Capital Investment S.A."/>
    <s v="28/10/2026"/>
    <s v="28/10/2026"/>
    <n v="29"/>
    <s v="No"/>
    <s v=""/>
    <m/>
    <m/>
    <s v="*TRD290100030"/>
    <s v="*TRD290100030"/>
    <n v="5.7388877336997702E-5"/>
  </r>
  <r>
    <x v="65"/>
    <s v="Pesos"/>
    <d v="2027-02-02T00:00:00"/>
    <s v="29/10/2026"/>
    <n v="0.92686650999999998"/>
    <m/>
    <n v="5580000"/>
    <n v="5171915.1399999997"/>
    <n v="5580000"/>
    <n v="5171915.1399999997"/>
    <n v="11415145"/>
    <s v="AMOMPY"/>
    <s v="Momentum Capital Investment S.A."/>
    <s v="18/09/2026"/>
    <s v="18/09/2026"/>
    <n v="30"/>
    <s v="No"/>
    <s v=""/>
    <m/>
    <m/>
    <s v="*CVA290100009"/>
    <s v="*CVA290100009"/>
    <n v="6.3297237294594768E-5"/>
  </r>
  <r>
    <x v="236"/>
    <s v="Pesos"/>
    <d v="2027-02-02T00:00:00"/>
    <s v="29/10/2026"/>
    <n v="0.92236940999999995"/>
    <m/>
    <n v="40000000"/>
    <n v="36894776.32"/>
    <n v="40000000"/>
    <n v="36894776.32"/>
    <n v="51181"/>
    <s v="AMOMPY"/>
    <s v="Momentum Capital Investment S.A."/>
    <s v="21/09/2026"/>
    <s v="21/09/2026"/>
    <n v="32"/>
    <s v="No"/>
    <s v=""/>
    <m/>
    <m/>
    <s v="*MAV290101085"/>
    <s v="*MAV290101085"/>
    <n v="4.515420977417731E-4"/>
  </r>
  <r>
    <x v="236"/>
    <s v="Pesos"/>
    <d v="2027-02-02T00:00:00"/>
    <s v="29/10/2026"/>
    <n v="0.92236936999999997"/>
    <m/>
    <n v="55000000"/>
    <n v="50730315.590000004"/>
    <n v="55000000"/>
    <n v="50730315.590000004"/>
    <n v="51412"/>
    <s v="AMOMPY"/>
    <s v="Momentum Capital Investment S.A."/>
    <s v="24/09/2026"/>
    <s v="24/09/2026"/>
    <n v="32"/>
    <s v="No"/>
    <s v=""/>
    <m/>
    <m/>
    <s v="*MAV290101094"/>
    <s v="*MAV290101094"/>
    <n v="6.2087036175344332E-4"/>
  </r>
  <r>
    <x v="54"/>
    <s v="Pesos"/>
    <d v="2027-02-02T00:00:00"/>
    <s v="29/10/2026"/>
    <n v="0.92013721999999998"/>
    <m/>
    <n v="10000000"/>
    <n v="9201372.2100000009"/>
    <n v="10000000"/>
    <n v="9201372.2100000009"/>
    <n v="2285691"/>
    <s v="AMOMPY"/>
    <s v="Momentum Capital Investment S.A."/>
    <s v="07/09/2026"/>
    <s v="07/09/2026"/>
    <n v="33"/>
    <s v="No"/>
    <s v=""/>
    <m/>
    <m/>
    <s v="*INP290100056"/>
    <s v="*INP290100056"/>
    <n v="1.1261233497583257E-4"/>
  </r>
  <r>
    <x v="333"/>
    <s v="Pesos"/>
    <d v="2027-02-02T00:00:00"/>
    <s v="29/10/2026"/>
    <n v="0.93369504000000003"/>
    <m/>
    <n v="8228053.0700000003"/>
    <n v="7682492.3099999996"/>
    <n v="8228053.0700000003"/>
    <n v="7682492.3099999996"/>
    <n v="1546"/>
    <s v="AMOMPY"/>
    <s v="Momentum Capital Investment S.A."/>
    <s v="29/10/2026"/>
    <s v="29/10/2026"/>
    <n v="27"/>
    <s v="No"/>
    <s v=""/>
    <m/>
    <m/>
    <s v="*ACI290100313"/>
    <s v="*ACI290100313"/>
    <n v="9.4023301929112765E-5"/>
  </r>
  <r>
    <x v="68"/>
    <s v="Pesos"/>
    <d v="2027-02-02T00:00:00"/>
    <s v="29/10/2026"/>
    <n v="0.92013734000000003"/>
    <m/>
    <n v="22000000"/>
    <n v="20243021.5"/>
    <n v="22000000"/>
    <n v="20243021.5"/>
    <n v="441"/>
    <s v="AMOMPY"/>
    <s v="Momentum Capital Investment S.A."/>
    <s v="22/10/2026"/>
    <s v="22/10/2026"/>
    <n v="33"/>
    <s v="No"/>
    <s v=""/>
    <m/>
    <m/>
    <s v="*MAV290101172"/>
    <s v="*MAV290101172"/>
    <n v="2.4774716923237913E-4"/>
  </r>
  <r>
    <x v="287"/>
    <s v="Pesos"/>
    <d v="2027-02-02T00:00:00"/>
    <s v="29/10/2026"/>
    <n v="0.92236945000000004"/>
    <m/>
    <n v="50000000"/>
    <n v="46118472.530000001"/>
    <n v="50000000"/>
    <n v="46118472.530000001"/>
    <n v="29937730"/>
    <s v="AMOMPY"/>
    <s v="Momentum Capital Investment S.A."/>
    <s v="24/08/2026"/>
    <s v="24/08/2026"/>
    <n v="32"/>
    <s v="No"/>
    <s v=""/>
    <m/>
    <m/>
    <s v="*MAV290101066"/>
    <s v="*MAV290101066"/>
    <n v="5.6442764824553185E-4"/>
  </r>
  <r>
    <x v="2"/>
    <s v="Pesos"/>
    <d v="2027-02-02T00:00:00"/>
    <s v="29/10/2026"/>
    <n v="0.91350494999999998"/>
    <m/>
    <n v="2440210.56"/>
    <n v="2229144.4300000002"/>
    <n v="2440210.56"/>
    <n v="2229144.4300000002"/>
    <n v="3729"/>
    <s v="AMOMPY"/>
    <s v="Momentum Capital Investment S.A."/>
    <s v="06/10/2026"/>
    <s v="06/10/2026"/>
    <n v="36"/>
    <s v="No"/>
    <s v=""/>
    <m/>
    <m/>
    <s v="*MAV290101125"/>
    <s v="*MAV290101125"/>
    <n v="2.7281709024644632E-5"/>
  </r>
  <r>
    <x v="289"/>
    <s v="Pesos"/>
    <d v="2027-02-02T00:00:00"/>
    <s v="29/10/2026"/>
    <n v="0.92013721999999998"/>
    <m/>
    <n v="2500000"/>
    <n v="2300343.04"/>
    <n v="2500000"/>
    <n v="2300343.04"/>
    <n v="41"/>
    <s v="AMOMPY"/>
    <s v="Momentum Capital Investment S.A."/>
    <s v="13/10/2026"/>
    <s v="13/10/2026"/>
    <n v="33"/>
    <s v="No"/>
    <s v=""/>
    <m/>
    <m/>
    <s v="*MAV290101139"/>
    <s v="*MAV290101139"/>
    <n v="2.8153083590975067E-5"/>
  </r>
  <r>
    <x v="492"/>
    <s v="Pesos"/>
    <d v="2027-02-02T00:00:00"/>
    <s v="29/10/2026"/>
    <n v="0.92686661000000004"/>
    <m/>
    <n v="20000000"/>
    <n v="18537332.210000001"/>
    <n v="20000000"/>
    <n v="18537332.210000001"/>
    <n v="67863976"/>
    <s v="AMOMPY"/>
    <s v="Momentum Capital Investment S.A."/>
    <s v="29/10/2026"/>
    <s v="29/10/2026"/>
    <n v="30"/>
    <s v="No"/>
    <s v=""/>
    <m/>
    <m/>
    <s v="*MAV290101208"/>
    <s v="*MAV290101208"/>
    <n v="2.2687184223697549E-4"/>
  </r>
  <r>
    <x v="354"/>
    <s v="Pesos"/>
    <d v="2027-02-02T00:00:00"/>
    <s v="29/10/2026"/>
    <n v="0.92013734000000003"/>
    <m/>
    <n v="7692308"/>
    <n v="7077979.8300000001"/>
    <n v="7692308"/>
    <n v="7077979.8300000001"/>
    <n v="4450"/>
    <s v="AMOMPY"/>
    <s v="Momentum Capital Investment S.A."/>
    <s v="22/10/2026"/>
    <s v="22/10/2026"/>
    <n v="33"/>
    <s v="No"/>
    <s v=""/>
    <m/>
    <m/>
    <s v="*MAV290101171"/>
    <s v="*MAV290101171"/>
    <n v="8.6624887829436735E-5"/>
  </r>
  <r>
    <x v="84"/>
    <s v="Pesos"/>
    <d v="2027-02-02T00:00:00"/>
    <s v="29/10/2026"/>
    <n v="0.92236936999999997"/>
    <m/>
    <n v="716184.35"/>
    <n v="660586.51"/>
    <n v="716184.35"/>
    <n v="660586.51"/>
    <n v="6718"/>
    <s v="AMOMPY"/>
    <s v="Momentum Capital Investment S.A."/>
    <s v="05/10/2026"/>
    <s v="05/10/2026"/>
    <n v="32"/>
    <s v="No"/>
    <s v=""/>
    <m/>
    <m/>
    <s v="*MAV290101120"/>
    <s v="*MAV290101120"/>
    <n v="8.0846842891312799E-6"/>
  </r>
  <r>
    <x v="44"/>
    <s v="Pesos"/>
    <d v="2027-02-02T00:00:00"/>
    <s v="29/10/2026"/>
    <n v="0.92013738"/>
    <m/>
    <n v="20000000"/>
    <n v="18402747.620000001"/>
    <n v="20000000"/>
    <n v="18402747.620000001"/>
    <n v="14725039"/>
    <s v="AMOMPY"/>
    <s v="Momentum Capital Investment S.A."/>
    <s v="19/10/2026"/>
    <s v="19/10/2026"/>
    <n v="33"/>
    <s v="No"/>
    <s v=""/>
    <m/>
    <m/>
    <s v="*MAV290101162"/>
    <s v="*MAV290101162"/>
    <n v="2.2522470911533156E-4"/>
  </r>
  <r>
    <x v="446"/>
    <s v="Pesos"/>
    <d v="2027-02-02T00:00:00"/>
    <s v="29/10/2026"/>
    <n v="0.91791584999999998"/>
    <m/>
    <n v="784454.61"/>
    <n v="720063.32"/>
    <n v="784454.61"/>
    <n v="720063.32"/>
    <n v="20647352"/>
    <s v="AMOMPY"/>
    <s v="Momentum Capital Investment S.A."/>
    <s v="21/10/2026"/>
    <s v="21/10/2026"/>
    <n v="34"/>
    <s v="No"/>
    <s v=""/>
    <m/>
    <m/>
    <s v="*MAV290101166"/>
    <s v="*MAV290101166"/>
    <n v="8.8125998976026759E-6"/>
  </r>
  <r>
    <x v="63"/>
    <s v="Pesos"/>
    <d v="2027-02-02T00:00:00"/>
    <s v="29/10/2026"/>
    <n v="0.92236938999999996"/>
    <m/>
    <n v="513679.69"/>
    <n v="473802.42"/>
    <n v="513679.69"/>
    <n v="473802.42"/>
    <n v="5289"/>
    <s v="AMOMPY"/>
    <s v="Momentum Capital Investment S.A."/>
    <s v="05/10/2026"/>
    <s v="05/10/2026"/>
    <n v="32"/>
    <s v="No"/>
    <s v=""/>
    <m/>
    <m/>
    <s v="*MAV290101121"/>
    <s v="*MAV290101121"/>
    <n v="5.7986999781851129E-6"/>
  </r>
  <r>
    <x v="459"/>
    <s v="Pesos"/>
    <d v="2027-02-02T00:00:00"/>
    <s v="29/10/2026"/>
    <n v="0.92686645999999995"/>
    <m/>
    <n v="26800000"/>
    <n v="24840021.16"/>
    <n v="26800000"/>
    <n v="24840021.16"/>
    <n v="7044"/>
    <s v="AMOMPY"/>
    <s v="Momentum Capital Investment S.A."/>
    <s v="16/10/2026"/>
    <s v="16/10/2026"/>
    <n v="30"/>
    <s v="No"/>
    <s v=""/>
    <m/>
    <m/>
    <s v="MAVR290100096"/>
    <s v="MAVR290100096"/>
    <n v="3.0400821962582998E-4"/>
  </r>
  <r>
    <x v="500"/>
    <s v="Pesos"/>
    <d v="2027-02-02T00:00:00"/>
    <s v="29/10/2026"/>
    <n v="0.92686645999999995"/>
    <m/>
    <n v="22250000"/>
    <n v="20622778.760000002"/>
    <n v="22250000"/>
    <n v="20622778.760000002"/>
    <n v="6028601"/>
    <s v="AMOMPY"/>
    <s v="Momentum Capital Investment S.A."/>
    <s v="16/10/2026"/>
    <s v="16/10/2026"/>
    <n v="30"/>
    <s v="No"/>
    <s v=""/>
    <m/>
    <m/>
    <s v="MAVR290100095"/>
    <s v="MAVR290100095"/>
    <n v="2.5239488381196624E-4"/>
  </r>
  <r>
    <x v="29"/>
    <s v="Pesos"/>
    <d v="2027-02-02T00:00:00"/>
    <s v="29/10/2026"/>
    <n v="0.92236943000000005"/>
    <m/>
    <n v="10000000"/>
    <n v="9223694.3300000001"/>
    <n v="10000000"/>
    <n v="9223694.3300000001"/>
    <n v="2204"/>
    <s v="AMOMPY"/>
    <s v="Momentum Capital Investment S.A."/>
    <s v="07/09/2026"/>
    <s v="07/09/2026"/>
    <n v="32"/>
    <s v="No"/>
    <s v=""/>
    <m/>
    <m/>
    <s v="*MIL290100025"/>
    <s v="*MIL290100025"/>
    <n v="1.1288552749510471E-4"/>
  </r>
  <r>
    <x v="368"/>
    <s v="Pesos"/>
    <d v="2027-02-02T00:00:00"/>
    <s v="29/10/2026"/>
    <n v="0.92013727000000001"/>
    <m/>
    <n v="4725000"/>
    <n v="4347648.5999999996"/>
    <n v="4725000"/>
    <n v="4347648.5999999996"/>
    <n v="11163483"/>
    <s v="AMOMPY"/>
    <s v="Momentum Capital Investment S.A."/>
    <s v="21/10/2026"/>
    <s v="21/10/2026"/>
    <n v="33"/>
    <s v="No"/>
    <s v=""/>
    <m/>
    <m/>
    <s v="*MAV290101170"/>
    <s v="*MAV290101170"/>
    <n v="5.3209331100454351E-5"/>
  </r>
  <r>
    <x v="347"/>
    <s v="Pesos"/>
    <d v="2027-02-02T00:00:00"/>
    <s v="29/10/2026"/>
    <n v="0.92236945000000004"/>
    <m/>
    <n v="10386286.039999999"/>
    <n v="9579992.9700000007"/>
    <n v="10386286.039999999"/>
    <n v="9579992.9700000007"/>
    <n v="54595092"/>
    <s v="AMOMPY"/>
    <s v="Momentum Capital Investment S.A."/>
    <s v="29/09/2026"/>
    <s v="29/09/2026"/>
    <n v="32"/>
    <s v="No"/>
    <s v=""/>
    <m/>
    <m/>
    <s v="*MAV290101099"/>
    <s v="*MAV290101099"/>
    <n v="1.1724614033451442E-4"/>
  </r>
  <r>
    <x v="1"/>
    <s v="Pesos"/>
    <d v="2027-02-03T00:00:00"/>
    <s v="29/10/2026"/>
    <n v="0.92616098999999996"/>
    <m/>
    <n v="14000000"/>
    <n v="12966253.82"/>
    <n v="14000000"/>
    <n v="12966253.82"/>
    <n v="3385320"/>
    <s v="AMOMPY"/>
    <s v="Momentum Capital Investment S.A."/>
    <s v="16/09/2026"/>
    <s v="16/09/2026"/>
    <n v="30"/>
    <s v="No"/>
    <s v=""/>
    <m/>
    <m/>
    <s v="*NEU300100027"/>
    <s v="*NEU300100027"/>
    <n v="1.5868938732557897E-4"/>
  </r>
  <r>
    <x v="1"/>
    <s v="Pesos"/>
    <d v="2027-02-03T00:00:00"/>
    <s v="29/10/2026"/>
    <n v="0.92616091"/>
    <m/>
    <n v="13500000"/>
    <n v="12503172.25"/>
    <n v="13500000"/>
    <n v="12503172.25"/>
    <n v="166"/>
    <s v="AMOMPY"/>
    <s v="Momentum Capital Investment S.A."/>
    <s v="18/09/2026"/>
    <s v="18/09/2026"/>
    <n v="30"/>
    <s v="No"/>
    <s v=""/>
    <m/>
    <m/>
    <s v="*AFB300100012"/>
    <s v="*AFB300100012"/>
    <n v="1.5302189603278032E-4"/>
  </r>
  <r>
    <x v="480"/>
    <s v="Pesos"/>
    <d v="2027-02-03T00:00:00"/>
    <s v="29/10/2026"/>
    <n v="0.91937241999999997"/>
    <m/>
    <n v="6006148"/>
    <n v="5521886.8399999999"/>
    <n v="6006148"/>
    <n v="5521886.8399999999"/>
    <n v="1370653"/>
    <s v="AMOMPY"/>
    <s v="Momentum Capital Investment S.A."/>
    <s v="23/09/2026"/>
    <s v="23/09/2026"/>
    <n v="33"/>
    <s v="No"/>
    <s v=""/>
    <m/>
    <m/>
    <s v="*MAV310101577"/>
    <s v="*MAV310101577"/>
    <n v="6.7580416956605378E-5"/>
  </r>
  <r>
    <x v="3"/>
    <s v="Pesos"/>
    <d v="2027-02-03T00:00:00"/>
    <s v="29/10/2026"/>
    <n v="0.92616091"/>
    <m/>
    <n v="6441003"/>
    <n v="5965405.1799999997"/>
    <n v="6441003"/>
    <n v="5965405.1799999997"/>
    <n v="14097860"/>
    <s v="AMOMPY"/>
    <s v="Momentum Capital Investment S.A."/>
    <s v="18/09/2026"/>
    <s v="18/09/2026"/>
    <n v="30"/>
    <s v="No"/>
    <s v=""/>
    <m/>
    <m/>
    <s v="*MOV010200049"/>
    <s v="*MOV010200049"/>
    <n v="7.3008480807530186E-5"/>
  </r>
  <r>
    <x v="3"/>
    <s v="Pesos"/>
    <d v="2027-02-03T00:00:00"/>
    <s v="29/10/2026"/>
    <n v="0.92616089999999995"/>
    <m/>
    <n v="961486.87"/>
    <n v="890491.55"/>
    <n v="961486.87"/>
    <n v="890491.55"/>
    <n v="285"/>
    <s v="AMOMPY"/>
    <s v="Momentum Capital Investment S.A."/>
    <s v="18/09/2026"/>
    <s v="18/09/2026"/>
    <n v="30"/>
    <s v="No"/>
    <s v=""/>
    <m/>
    <m/>
    <s v="*MOV310100091"/>
    <s v="*MOV310100091"/>
    <n v="1.0898410631923382E-5"/>
  </r>
  <r>
    <x v="6"/>
    <s v="Pesos"/>
    <d v="2027-02-03T00:00:00"/>
    <s v="29/10/2026"/>
    <n v="0.93074268999999998"/>
    <m/>
    <n v="8876079"/>
    <n v="8261345.6200000001"/>
    <n v="8876079"/>
    <n v="8261345.6200000001"/>
    <n v="718564"/>
    <s v="AMOMPY"/>
    <s v="Momentum Capital Investment S.A."/>
    <s v="08/10/2026"/>
    <s v="08/10/2026"/>
    <n v="28"/>
    <s v="No"/>
    <s v=""/>
    <m/>
    <m/>
    <s v="*CRE300100160"/>
    <s v="*CRE300100160"/>
    <n v="1.0110768253668623E-4"/>
  </r>
  <r>
    <x v="333"/>
    <s v="Pesos"/>
    <d v="2027-02-03T00:00:00"/>
    <s v="29/10/2026"/>
    <n v="0.93305053999999998"/>
    <m/>
    <n v="8000000"/>
    <n v="7464404.2800000003"/>
    <n v="8000000"/>
    <n v="7464404.2800000003"/>
    <n v="90017121"/>
    <s v="AMOMPY"/>
    <s v="Momentum Capital Investment S.A."/>
    <s v="29/10/2026"/>
    <s v="29/10/2026"/>
    <n v="27"/>
    <s v="No"/>
    <s v=""/>
    <m/>
    <m/>
    <s v="*ACI300100460"/>
    <s v="*ACI300100460"/>
    <n v="9.1354199785642436E-5"/>
  </r>
  <r>
    <x v="385"/>
    <s v="Pesos"/>
    <d v="2027-02-03T00:00:00"/>
    <s v="29/10/2026"/>
    <n v="0.92616091"/>
    <m/>
    <n v="15000000"/>
    <n v="13892413.67"/>
    <n v="15000000"/>
    <n v="13892413.67"/>
    <n v="1420"/>
    <s v="AMOMPY"/>
    <s v="Momentum Capital Investment S.A."/>
    <s v="28/10/2026"/>
    <s v="28/10/2026"/>
    <n v="30"/>
    <s v="No"/>
    <s v=""/>
    <m/>
    <m/>
    <s v="*MAV300101511"/>
    <s v="*MAV300101511"/>
    <n v="1.700243296460317E-4"/>
  </r>
  <r>
    <x v="454"/>
    <s v="Pesos"/>
    <d v="2027-02-03T00:00:00"/>
    <s v="29/10/2026"/>
    <n v="0.92388691999999994"/>
    <m/>
    <n v="60000000"/>
    <n v="55433215.18"/>
    <n v="60000000"/>
    <n v="55433215.18"/>
    <n v="3040"/>
    <s v="AMOMPY"/>
    <s v="Momentum Capital Investment S.A."/>
    <s v="03/09/2026"/>
    <s v="03/09/2026"/>
    <n v="31"/>
    <s v="No"/>
    <s v=""/>
    <m/>
    <m/>
    <s v="*MAV310101565"/>
    <s v="*MAV310101565"/>
    <n v="6.7842748387607788E-4"/>
  </r>
  <r>
    <x v="501"/>
    <s v="Pesos"/>
    <d v="2027-02-03T00:00:00"/>
    <s v="29/10/2026"/>
    <n v="0.91490174999999996"/>
    <m/>
    <n v="32000000"/>
    <n v="29276855.940000001"/>
    <n v="32000000"/>
    <n v="29276855.940000001"/>
    <n v="90000140"/>
    <s v="AMOMPY"/>
    <s v="Momentum Capital Investment S.A."/>
    <s v="16/09/2026"/>
    <s v="16/09/2026"/>
    <n v="35"/>
    <s v="No"/>
    <s v=""/>
    <m/>
    <m/>
    <s v="*MAV300101434"/>
    <s v="*MAV300101434"/>
    <n v="3.5830906878991182E-4"/>
  </r>
  <r>
    <x v="146"/>
    <s v="Pesos"/>
    <d v="2027-02-03T00:00:00"/>
    <s v="29/10/2026"/>
    <n v="0.92616105999999998"/>
    <m/>
    <n v="40000000"/>
    <n v="37046442.479999997"/>
    <n v="40000000"/>
    <n v="37046442.479999997"/>
    <n v="90004381"/>
    <s v="AMOMPY"/>
    <s v="Momentum Capital Investment S.A."/>
    <s v="23/10/2026"/>
    <s v="23/10/2026"/>
    <n v="30"/>
    <s v="No"/>
    <s v=""/>
    <m/>
    <m/>
    <s v="*MAV300101502"/>
    <s v="*MAV300101502"/>
    <n v="4.5339828614765628E-4"/>
  </r>
  <r>
    <x v="502"/>
    <s v="Pesos"/>
    <d v="2027-02-03T00:00:00"/>
    <s v="29/10/2026"/>
    <n v="0.92616091"/>
    <m/>
    <n v="100000000"/>
    <n v="92616091.159999996"/>
    <n v="100000000"/>
    <n v="92616091.159999996"/>
    <n v="12316"/>
    <s v="AMOMPY"/>
    <s v="Momentum Capital Investment S.A."/>
    <s v="28/10/2026"/>
    <s v="28/10/2026"/>
    <n v="30"/>
    <s v="No"/>
    <s v=""/>
    <m/>
    <m/>
    <s v="*MAV310101636"/>
    <s v="*MAV310101636"/>
    <n v="1.1334955312999086E-3"/>
  </r>
  <r>
    <x v="502"/>
    <s v="Pesos"/>
    <d v="2027-02-03T00:00:00"/>
    <s v="29/10/2026"/>
    <n v="0.92616091"/>
    <m/>
    <n v="100000000"/>
    <n v="92616091.159999996"/>
    <n v="100000000"/>
    <n v="92616091.159999996"/>
    <n v="12318"/>
    <s v="AMOMPY"/>
    <s v="Momentum Capital Investment S.A."/>
    <s v="28/10/2026"/>
    <s v="28/10/2026"/>
    <n v="30"/>
    <s v="No"/>
    <s v=""/>
    <m/>
    <m/>
    <s v="*MAV310101635"/>
    <s v="*MAV310101635"/>
    <n v="1.1334955312999086E-3"/>
  </r>
  <r>
    <x v="503"/>
    <s v="Pesos"/>
    <d v="2027-02-03T00:00:00"/>
    <s v="29/10/2026"/>
    <n v="0.92616098000000002"/>
    <m/>
    <n v="113000000"/>
    <n v="104656191"/>
    <n v="113000000"/>
    <n v="104656191"/>
    <n v="14846952"/>
    <s v="AMOMPY"/>
    <s v="Momentum Capital Investment S.A."/>
    <s v="29/10/2026"/>
    <s v="29/10/2026"/>
    <n v="30"/>
    <s v="No"/>
    <s v=""/>
    <m/>
    <m/>
    <s v="*MAV310101652"/>
    <s v="*MAV310101652"/>
    <n v="1.2808500481458853E-3"/>
  </r>
  <r>
    <x v="504"/>
    <s v="Pesos"/>
    <d v="2027-02-03T00:00:00"/>
    <s v="29/10/2026"/>
    <n v="0.92616098000000002"/>
    <m/>
    <n v="100000000"/>
    <n v="92616098.230000004"/>
    <n v="100000000"/>
    <n v="92616098.230000004"/>
    <n v="1877"/>
    <s v="AMOMPY"/>
    <s v="Momentum Capital Investment S.A."/>
    <s v="29/10/2026"/>
    <s v="29/10/2026"/>
    <n v="30"/>
    <s v="No"/>
    <s v=""/>
    <m/>
    <m/>
    <s v="*MAV300101523"/>
    <s v="*MAV300101523"/>
    <n v="1.1334956178271341E-3"/>
  </r>
  <r>
    <x v="494"/>
    <s v="Pesos"/>
    <d v="2027-02-03T00:00:00"/>
    <s v="29/10/2026"/>
    <n v="0.92616098000000002"/>
    <m/>
    <n v="150000000"/>
    <n v="138924147.34999999"/>
    <n v="150000000"/>
    <n v="138924147.34999999"/>
    <n v="8712"/>
    <s v="AMOMPY"/>
    <s v="Momentum Capital Investment S.A."/>
    <s v="29/10/2026"/>
    <s v="29/10/2026"/>
    <n v="30"/>
    <s v="No"/>
    <s v=""/>
    <m/>
    <m/>
    <s v="*MAV300101522"/>
    <s v="*MAV300101522"/>
    <n v="1.7002434268018943E-3"/>
  </r>
  <r>
    <x v="342"/>
    <s v="Pesos"/>
    <d v="2027-02-03T00:00:00"/>
    <s v="29/10/2026"/>
    <n v="0.92844623999999998"/>
    <m/>
    <n v="8621773.1799999997"/>
    <n v="8004852.9299999997"/>
    <n v="8621773.1799999997"/>
    <n v="8004852.9299999997"/>
    <n v="2048460"/>
    <s v="AMOMPY"/>
    <s v="Momentum Capital Investment S.A."/>
    <s v="23/10/2026"/>
    <s v="23/10/2026"/>
    <n v="29"/>
    <s v="No"/>
    <s v=""/>
    <m/>
    <m/>
    <s v="*MAV310101619"/>
    <s v="*MAV310101619"/>
    <n v="9.7968559363977156E-5"/>
  </r>
  <r>
    <x v="505"/>
    <s v="Pesos"/>
    <d v="2027-02-03T00:00:00"/>
    <s v="29/10/2026"/>
    <n v="0.92844627999999996"/>
    <m/>
    <n v="10000000"/>
    <n v="9284462.8100000005"/>
    <n v="10000000"/>
    <n v="9284462.8100000005"/>
    <n v="1055"/>
    <s v="AMOMPY"/>
    <s v="Momentum Capital Investment S.A."/>
    <s v="20/10/2026"/>
    <s v="20/10/2026"/>
    <n v="29"/>
    <s v="No"/>
    <s v=""/>
    <m/>
    <m/>
    <s v="*MAV300101490"/>
    <s v="*MAV300101490"/>
    <n v="1.1362925139514378E-4"/>
  </r>
  <r>
    <x v="465"/>
    <s v="Pesos"/>
    <d v="2027-02-03T00:00:00"/>
    <s v="29/10/2026"/>
    <n v="0.91713157000000001"/>
    <m/>
    <n v="1000000"/>
    <n v="917131.57"/>
    <n v="1000000"/>
    <n v="917131.57"/>
    <n v="90000138"/>
    <s v="AMOMPY"/>
    <s v="Momentum Capital Investment S.A."/>
    <s v="21/10/2026"/>
    <s v="21/10/2026"/>
    <n v="34"/>
    <s v="No"/>
    <s v=""/>
    <m/>
    <m/>
    <s v="*MAV300101494"/>
    <s v="*MAV300101494"/>
    <n v="1.1224448399718765E-5"/>
  </r>
  <r>
    <x v="120"/>
    <s v="Dolar 3500"/>
    <d v="2027-02-03T00:00:00"/>
    <s v="29/10/2026"/>
    <n v="0.97664099999999998"/>
    <s v="1 US3 = 1539,5930209017 $"/>
    <n v="70000"/>
    <n v="68364.87"/>
    <n v="107771511.45999999"/>
    <n v="105254076.73"/>
    <n v="167559"/>
    <s v="AMOMPY"/>
    <s v="Momentum Capital Investment S.A."/>
    <s v="01/10/2026"/>
    <s v="01/10/2026"/>
    <n v="9"/>
    <s v="No"/>
    <s v=""/>
    <m/>
    <m/>
    <s v="#UMV010270020"/>
    <s v="#UMV010270020"/>
    <n v="1.2881673597997774E-3"/>
  </r>
  <r>
    <x v="26"/>
    <s v="Dolar 3500"/>
    <d v="2027-02-03T00:00:00"/>
    <s v="29/10/2026"/>
    <n v="0.97918260000000001"/>
    <s v="1 US3 = 1539,5930209017 $"/>
    <n v="50000"/>
    <n v="48959.13"/>
    <n v="76979651.049999997"/>
    <n v="75377134.859999999"/>
    <n v="170696"/>
    <s v="AMOMPY"/>
    <s v="Momentum Capital Investment S.A."/>
    <s v="26/10/2026"/>
    <s v="26/10/2026"/>
    <n v="8"/>
    <s v="No"/>
    <s v=""/>
    <m/>
    <m/>
    <s v="#UMV010270024"/>
    <s v="#UMV010270024"/>
    <n v="9.2251405188757435E-4"/>
  </r>
  <r>
    <x v="156"/>
    <s v="Pesos"/>
    <d v="2027-02-03T00:00:00"/>
    <s v="29/10/2026"/>
    <n v="0.92616098000000002"/>
    <m/>
    <n v="110000000"/>
    <n v="101877708.05"/>
    <n v="110000000"/>
    <n v="101877708.05"/>
    <n v="350"/>
    <s v="AMOMPY"/>
    <s v="Momentum Capital Investment S.A."/>
    <s v="29/10/2026"/>
    <s v="29/10/2026"/>
    <n v="30"/>
    <s v="No"/>
    <s v=""/>
    <m/>
    <m/>
    <s v="*MAV310101654"/>
    <s v="*MAV310101654"/>
    <n v="1.2468451795731314E-3"/>
  </r>
  <r>
    <x v="123"/>
    <s v="Pesos"/>
    <d v="2027-02-03T00:00:00"/>
    <s v="29/10/2026"/>
    <n v="0.91937236"/>
    <m/>
    <n v="2000000"/>
    <n v="1838744.73"/>
    <n v="2000000"/>
    <n v="1838744.73"/>
    <n v="45"/>
    <s v="AMOMPY"/>
    <s v="Momentum Capital Investment S.A."/>
    <s v="13/08/2026"/>
    <s v="13/08/2026"/>
    <n v="33"/>
    <s v="No"/>
    <s v=""/>
    <m/>
    <m/>
    <s v="*MAV300101407"/>
    <s v="*MAV300101407"/>
    <n v="2.2503745391885064E-5"/>
  </r>
  <r>
    <x v="355"/>
    <s v="Pesos"/>
    <d v="2027-02-03T00:00:00"/>
    <s v="29/10/2026"/>
    <n v="0.92162425999999997"/>
    <m/>
    <n v="5106356"/>
    <n v="4706141.59"/>
    <n v="5106356"/>
    <n v="4706141.59"/>
    <n v="10407"/>
    <s v="AMOMPY"/>
    <s v="Momentum Capital Investment S.A."/>
    <s v="05/10/2026"/>
    <s v="05/10/2026"/>
    <n v="32"/>
    <s v="No"/>
    <s v=""/>
    <m/>
    <m/>
    <s v="*MAV010200862"/>
    <s v="*MAV010200862"/>
    <n v="5.7596799812185532E-5"/>
  </r>
  <r>
    <x v="126"/>
    <s v="Pesos"/>
    <d v="2027-02-03T00:00:00"/>
    <s v="29/10/2026"/>
    <n v="0.92162412999999999"/>
    <m/>
    <n v="363375.5"/>
    <n v="334895.63"/>
    <n v="363375.5"/>
    <n v="334895.63"/>
    <n v="307"/>
    <s v="AMOMPY"/>
    <s v="Momentum Capital Investment S.A."/>
    <s v="06/10/2026"/>
    <s v="06/10/2026"/>
    <n v="32"/>
    <s v="No"/>
    <s v=""/>
    <m/>
    <m/>
    <s v="*MAV010200861"/>
    <s v="*MAV010200861"/>
    <n v="4.0986689818411853E-6"/>
  </r>
  <r>
    <x v="127"/>
    <s v="Pesos"/>
    <d v="2027-02-03T00:00:00"/>
    <s v="29/10/2026"/>
    <n v="0.92162411"/>
    <m/>
    <n v="17889421.149999999"/>
    <n v="16487321.77"/>
    <n v="17889421.149999999"/>
    <n v="16487321.77"/>
    <n v="90000936"/>
    <s v="AMOMPY"/>
    <s v="Momentum Capital Investment S.A."/>
    <s v="06/10/2026"/>
    <s v="06/10/2026"/>
    <n v="32"/>
    <s v="No"/>
    <s v=""/>
    <m/>
    <m/>
    <s v="*MAV300101457"/>
    <s v="*MAV300101457"/>
    <n v="2.0178249065935528E-4"/>
  </r>
  <r>
    <x v="499"/>
    <s v="Pesos"/>
    <d v="2027-02-03T00:00:00"/>
    <s v="29/10/2026"/>
    <n v="0.92616107000000003"/>
    <m/>
    <n v="39096780"/>
    <n v="36209915.560000002"/>
    <n v="39096780"/>
    <n v="36209915.560000002"/>
    <n v="2425"/>
    <s v="AMOMPY"/>
    <s v="Momentum Capital Investment S.A."/>
    <s v="16/10/2026"/>
    <s v="16/10/2026"/>
    <n v="30"/>
    <s v="No"/>
    <s v=""/>
    <m/>
    <m/>
    <s v="MAVR300100110"/>
    <s v="MAVR300100110"/>
    <n v="4.4316032950582394E-4"/>
  </r>
  <r>
    <x v="459"/>
    <s v="Pesos"/>
    <d v="2027-02-03T00:00:00"/>
    <s v="29/10/2026"/>
    <n v="0.92616107000000003"/>
    <m/>
    <n v="26800000"/>
    <n v="24821116.649999999"/>
    <n v="26800000"/>
    <n v="24821116.649999999"/>
    <n v="7045"/>
    <s v="AMOMPY"/>
    <s v="Momentum Capital Investment S.A."/>
    <s v="16/10/2026"/>
    <s v="16/10/2026"/>
    <n v="30"/>
    <s v="No"/>
    <s v=""/>
    <m/>
    <m/>
    <s v="MAVR300100111"/>
    <s v="MAVR300100111"/>
    <n v="3.0377685402469055E-4"/>
  </r>
  <r>
    <x v="348"/>
    <s v="Pesos"/>
    <d v="2027-02-03T00:00:00"/>
    <s v="29/10/2026"/>
    <n v="0.92162423999999998"/>
    <m/>
    <n v="1734700"/>
    <n v="1598741.57"/>
    <n v="1734700"/>
    <n v="1598741.57"/>
    <n v="9088654"/>
    <s v="AMOMPY"/>
    <s v="Momentum Capital Investment S.A."/>
    <s v="01/10/2026"/>
    <s v="01/10/2026"/>
    <n v="32"/>
    <s v="No"/>
    <s v=""/>
    <m/>
    <m/>
    <s v="*MAV300101447"/>
    <s v="*MAV300101447"/>
    <n v="1.9566431735580062E-5"/>
  </r>
  <r>
    <x v="27"/>
    <s v="Pesos"/>
    <d v="2027-02-03T00:00:00"/>
    <s v="29/10/2026"/>
    <n v="0.92162409000000001"/>
    <m/>
    <n v="6000000"/>
    <n v="5529744.5099999998"/>
    <n v="6000000"/>
    <n v="5529744.5099999998"/>
    <n v="70158559"/>
    <s v="AMOMPY"/>
    <s v="Momentum Capital Investment S.A."/>
    <s v="02/10/2026"/>
    <s v="02/10/2026"/>
    <n v="32"/>
    <s v="No"/>
    <s v=""/>
    <m/>
    <m/>
    <s v="*MAV310101589"/>
    <s v="*MAV310101589"/>
    <n v="6.7676584196227289E-5"/>
  </r>
  <r>
    <x v="68"/>
    <s v="Pesos"/>
    <d v="2027-02-04T00:00:00"/>
    <s v="29/10/2026"/>
    <n v="0.91860885000000003"/>
    <m/>
    <n v="11250000"/>
    <n v="10334349.59"/>
    <n v="11250000"/>
    <n v="10334349.59"/>
    <n v="430"/>
    <s v="AMOMPY"/>
    <s v="Momentum Capital Investment S.A."/>
    <s v="19/10/2026"/>
    <s v="19/10/2026"/>
    <n v="33"/>
    <s v="No"/>
    <s v=""/>
    <m/>
    <m/>
    <s v="*MAV020201180"/>
    <s v="*MAV020201180"/>
    <n v="1.2647844378272768E-4"/>
  </r>
  <r>
    <x v="289"/>
    <s v="Pesos"/>
    <d v="2027-02-04T00:00:00"/>
    <s v="29/10/2026"/>
    <n v="0.91860892999999999"/>
    <m/>
    <n v="2500000"/>
    <n v="2296522.33"/>
    <n v="2500000"/>
    <n v="2296522.33"/>
    <n v="40"/>
    <s v="AMOMPY"/>
    <s v="Momentum Capital Investment S.A."/>
    <s v="13/10/2026"/>
    <s v="13/10/2026"/>
    <n v="33"/>
    <s v="No"/>
    <s v=""/>
    <m/>
    <m/>
    <s v="*MAV020201176"/>
    <s v="*MAV020201176"/>
    <n v="2.8106323274736809E-5"/>
  </r>
  <r>
    <x v="133"/>
    <s v="Pesos"/>
    <d v="2027-02-04T00:00:00"/>
    <s v="29/10/2026"/>
    <n v="0.92545646000000004"/>
    <m/>
    <n v="2776829.85"/>
    <n v="2569835.12"/>
    <n v="2776829.85"/>
    <n v="2569835.12"/>
    <n v="89"/>
    <s v="AMOMPY"/>
    <s v="Momentum Capital Investment S.A."/>
    <s v="15/10/2026"/>
    <s v="15/10/2026"/>
    <n v="30"/>
    <s v="No"/>
    <s v=""/>
    <m/>
    <m/>
    <s v="*MAV020201178"/>
    <s v="*MAV020201178"/>
    <n v="3.1451301692978557E-5"/>
  </r>
  <r>
    <x v="459"/>
    <s v="Pesos"/>
    <d v="2027-02-04T00:00:00"/>
    <s v="29/10/2026"/>
    <n v="0.92545652"/>
    <m/>
    <n v="26800000"/>
    <n v="24802234.809999999"/>
    <n v="26800000"/>
    <n v="24802234.809999999"/>
    <n v="7046"/>
    <s v="AMOMPY"/>
    <s v="Momentum Capital Investment S.A."/>
    <s v="16/10/2026"/>
    <s v="16/10/2026"/>
    <n v="30"/>
    <s v="No"/>
    <s v=""/>
    <m/>
    <m/>
    <s v="MAVR020200028"/>
    <s v="MAVR020200028"/>
    <n v="3.0354576587365053E-4"/>
  </r>
  <r>
    <x v="506"/>
    <s v="Pesos"/>
    <d v="2027-02-04T00:00:00"/>
    <s v="29/10/2026"/>
    <n v="0.91860891"/>
    <m/>
    <n v="9000000"/>
    <n v="8267480.2199999997"/>
    <n v="9000000"/>
    <n v="8267480.2199999997"/>
    <n v="5018"/>
    <s v="AMOMPY"/>
    <s v="Momentum Capital Investment S.A."/>
    <s v="02/10/2026"/>
    <s v="02/10/2026"/>
    <n v="33"/>
    <s v="No"/>
    <s v=""/>
    <m/>
    <m/>
    <s v="*MAV020201143"/>
    <s v="*MAV020201143"/>
    <n v="1.0118276173296001E-4"/>
  </r>
  <r>
    <x v="0"/>
    <s v="Pesos"/>
    <d v="2027-02-05T00:00:00"/>
    <s v="29/10/2026"/>
    <n v="0.92475311000000004"/>
    <m/>
    <n v="5000000"/>
    <n v="4623765.57"/>
    <n v="5000000"/>
    <n v="4623765.57"/>
    <n v="3897146"/>
    <s v="AMOMPY"/>
    <s v="Momentum Capital Investment S.A."/>
    <s v="22/09/2026"/>
    <s v="22/09/2026"/>
    <n v="30"/>
    <s v="No"/>
    <s v=""/>
    <m/>
    <m/>
    <s v="*TRD030200026"/>
    <s v="*TRD030200026"/>
    <n v="5.6588628884360861E-5"/>
  </r>
  <r>
    <x v="0"/>
    <s v="Pesos"/>
    <d v="2027-02-05T00:00:00"/>
    <s v="29/10/2026"/>
    <n v="0.92707846000000005"/>
    <m/>
    <n v="5000000"/>
    <n v="4635392.28"/>
    <n v="5000000"/>
    <n v="4635392.28"/>
    <n v="6699"/>
    <s v="AMOMPY"/>
    <s v="Momentum Capital Investment S.A."/>
    <s v="28/10/2026"/>
    <s v="28/10/2026"/>
    <n v="29"/>
    <s v="No"/>
    <s v=""/>
    <m/>
    <m/>
    <s v="*TRD030200029"/>
    <s v="*TRD030200029"/>
    <n v="5.6730924069394667E-5"/>
  </r>
  <r>
    <x v="480"/>
    <s v="Pesos"/>
    <d v="2027-02-05T00:00:00"/>
    <s v="29/10/2026"/>
    <n v="0.91784646000000003"/>
    <m/>
    <n v="6006148"/>
    <n v="5512721.6699999999"/>
    <n v="6006148"/>
    <n v="5512721.6699999999"/>
    <n v="1370657"/>
    <s v="AMOMPY"/>
    <s v="Momentum Capital Investment S.A."/>
    <s v="23/09/2026"/>
    <s v="23/09/2026"/>
    <n v="33"/>
    <s v="No"/>
    <s v=""/>
    <m/>
    <m/>
    <s v="*MAV030201141"/>
    <s v="*MAV030201141"/>
    <n v="6.7468247687653426E-5"/>
  </r>
  <r>
    <x v="312"/>
    <s v="Pesos"/>
    <d v="2027-02-05T00:00:00"/>
    <s v="29/10/2026"/>
    <n v="0.92013718"/>
    <m/>
    <n v="1660000"/>
    <n v="1527427.71"/>
    <n v="1660000"/>
    <n v="1527427.71"/>
    <n v="381"/>
    <s v="AMOMPY"/>
    <s v="Momentum Capital Investment S.A."/>
    <s v="01/10/2026"/>
    <s v="01/10/2026"/>
    <n v="32"/>
    <s v="No"/>
    <s v=""/>
    <m/>
    <m/>
    <s v="*MAV030201146"/>
    <s v="*MAV030201146"/>
    <n v="1.869364666532589E-5"/>
  </r>
  <r>
    <x v="362"/>
    <s v="Pesos"/>
    <d v="2027-02-05T00:00:00"/>
    <s v="29/10/2026"/>
    <n v="0.92243931000000001"/>
    <m/>
    <n v="11820000"/>
    <n v="10903232.68"/>
    <n v="11820000"/>
    <n v="10903232.68"/>
    <n v="14310297"/>
    <s v="AMOMPY"/>
    <s v="Momentum Capital Investment S.A."/>
    <s v="09/09/2026"/>
    <s v="09/09/2026"/>
    <n v="31"/>
    <s v="No"/>
    <s v=""/>
    <m/>
    <m/>
    <s v="*MAV030201112"/>
    <s v="*MAV030201112"/>
    <n v="1.3344080239958083E-4"/>
  </r>
  <r>
    <x v="289"/>
    <s v="Pesos"/>
    <d v="2027-02-05T00:00:00"/>
    <s v="29/10/2026"/>
    <n v="0.91784657000000003"/>
    <m/>
    <n v="2500000"/>
    <n v="2294616.4300000002"/>
    <n v="2500000"/>
    <n v="2294616.4300000002"/>
    <n v="39"/>
    <s v="AMOMPY"/>
    <s v="Momentum Capital Investment S.A."/>
    <s v="13/10/2026"/>
    <s v="13/10/2026"/>
    <n v="33"/>
    <s v="No"/>
    <s v=""/>
    <m/>
    <m/>
    <s v="*MAV030201161"/>
    <s v="*MAV030201161"/>
    <n v="2.8082997639784538E-5"/>
  </r>
  <r>
    <x v="189"/>
    <s v="Pesos"/>
    <d v="2027-02-05T00:00:00"/>
    <s v="29/10/2026"/>
    <n v="0.91784648999999996"/>
    <m/>
    <n v="25000000"/>
    <n v="22946162.190000001"/>
    <n v="25000000"/>
    <n v="22946162.190000001"/>
    <n v="1353268"/>
    <s v="AMOMPY"/>
    <s v="Momentum Capital Investment S.A."/>
    <s v="09/09/2026"/>
    <s v="09/09/2026"/>
    <n v="33"/>
    <s v="No"/>
    <s v=""/>
    <m/>
    <m/>
    <s v="*MAV030201111"/>
    <s v="*MAV030201111"/>
    <n v="2.8082995057430283E-4"/>
  </r>
  <r>
    <x v="269"/>
    <s v="Pesos"/>
    <d v="2027-02-05T00:00:00"/>
    <s v="29/10/2026"/>
    <n v="0.92013736999999995"/>
    <m/>
    <n v="100000000"/>
    <n v="92013737.480000004"/>
    <n v="100000000"/>
    <n v="92013737.480000004"/>
    <n v="3229"/>
    <s v="AMOMPY"/>
    <s v="Momentum Capital Investment S.A."/>
    <s v="29/10/2026"/>
    <s v="29/10/2026"/>
    <n v="32"/>
    <s v="No"/>
    <s v=""/>
    <m/>
    <m/>
    <s v="*MAV030201201"/>
    <s v="*MAV030201201"/>
    <n v="1.1261235379886974E-3"/>
  </r>
  <r>
    <x v="447"/>
    <s v="Pesos"/>
    <d v="2027-02-05T00:00:00"/>
    <s v="29/10/2026"/>
    <n v="0.91329927"/>
    <m/>
    <n v="25000000"/>
    <n v="22832481.760000002"/>
    <n v="25000000"/>
    <n v="22832481.760000002"/>
    <n v="1149"/>
    <s v="AMOMPY"/>
    <s v="Momentum Capital Investment S.A."/>
    <s v="18/09/2026"/>
    <s v="18/09/2026"/>
    <n v="35"/>
    <s v="No"/>
    <s v=""/>
    <m/>
    <m/>
    <s v="*MAV030201133"/>
    <s v="*MAV030201133"/>
    <n v="2.7943865606179047E-4"/>
  </r>
  <r>
    <x v="506"/>
    <s v="Pesos"/>
    <d v="2027-02-05T00:00:00"/>
    <s v="29/10/2026"/>
    <n v="0.91784655999999998"/>
    <m/>
    <n v="9000000"/>
    <n v="8260619.0499999998"/>
    <n v="9000000"/>
    <n v="8260619.0499999998"/>
    <n v="5019"/>
    <s v="AMOMPY"/>
    <s v="Momentum Capital Investment S.A."/>
    <s v="02/10/2026"/>
    <s v="02/10/2026"/>
    <n v="33"/>
    <s v="No"/>
    <s v=""/>
    <m/>
    <m/>
    <s v="*MAV030201147"/>
    <s v="*MAV030201147"/>
    <n v="1.0109879030383705E-4"/>
  </r>
  <r>
    <x v="0"/>
    <s v="Pesos"/>
    <d v="2027-02-10T00:00:00"/>
    <s v="29/10/2026"/>
    <n v="0.92367653999999999"/>
    <m/>
    <n v="4000000"/>
    <n v="3694706.17"/>
    <n v="4000000"/>
    <n v="3694706.17"/>
    <n v="9826687"/>
    <s v="AMOMPY"/>
    <s v="Momentum Capital Investment S.A."/>
    <s v="28/10/2026"/>
    <s v="28/10/2026"/>
    <n v="29"/>
    <s v="No"/>
    <s v=""/>
    <m/>
    <m/>
    <s v="*TRD040200027"/>
    <s v="*TRD040200027"/>
    <n v="4.5218199998597307E-5"/>
  </r>
  <r>
    <x v="0"/>
    <s v="Pesos"/>
    <d v="2027-02-10T00:00:00"/>
    <s v="29/10/2026"/>
    <n v="0.92367653999999999"/>
    <m/>
    <n v="5000000"/>
    <n v="4618382.71"/>
    <n v="5000000"/>
    <n v="4618382.71"/>
    <n v="6700"/>
    <s v="AMOMPY"/>
    <s v="Momentum Capital Investment S.A."/>
    <s v="28/10/2026"/>
    <s v="28/10/2026"/>
    <n v="29"/>
    <s v="No"/>
    <s v=""/>
    <m/>
    <m/>
    <s v="*TRD040200026"/>
    <s v="*TRD040200026"/>
    <n v="5.652274996765002E-5"/>
  </r>
  <r>
    <x v="151"/>
    <s v="Pesos"/>
    <d v="2027-02-10T00:00:00"/>
    <s v="29/10/2026"/>
    <n v="0.91644077000000002"/>
    <m/>
    <n v="13000000"/>
    <n v="11913730.029999999"/>
    <n v="13000000"/>
    <n v="11913730.029999999"/>
    <n v="1309"/>
    <s v="AMOMPY"/>
    <s v="Momentum Capital Investment S.A."/>
    <s v="04/09/2026"/>
    <s v="04/09/2026"/>
    <n v="32"/>
    <s v="No"/>
    <s v=""/>
    <m/>
    <m/>
    <s v="*MAV040200872"/>
    <s v="*MAV040200872"/>
    <n v="1.4580792150674181E-4"/>
  </r>
  <r>
    <x v="106"/>
    <s v="Pesos"/>
    <d v="2027-02-10T00:00:00"/>
    <s v="29/10/2026"/>
    <n v="0.92125199999999996"/>
    <m/>
    <n v="12500000"/>
    <n v="11515649.99"/>
    <n v="12500000"/>
    <n v="11515649.99"/>
    <n v="240"/>
    <s v="AMOMPY"/>
    <s v="Momentum Capital Investment S.A."/>
    <s v="02/07/2026"/>
    <s v="02/07/2026"/>
    <n v="30"/>
    <s v="No"/>
    <s v=""/>
    <m/>
    <m/>
    <s v="*MAV040200868"/>
    <s v="*MAV040200868"/>
    <n v="1.409359609134128E-4"/>
  </r>
  <r>
    <x v="145"/>
    <s v="Pesos"/>
    <d v="2027-02-10T00:00:00"/>
    <s v="29/10/2026"/>
    <n v="0.92125195999999998"/>
    <m/>
    <n v="2006000"/>
    <n v="1848031.44"/>
    <n v="2006000"/>
    <n v="1848031.44"/>
    <n v="70556120"/>
    <s v="AMOMPY"/>
    <s v="Momentum Capital Investment S.A."/>
    <s v="21/10/2026"/>
    <s v="21/10/2026"/>
    <n v="30"/>
    <s v="No"/>
    <s v=""/>
    <m/>
    <m/>
    <s v="*MAV040200916"/>
    <s v="*MAV040200916"/>
    <n v="2.261740214584257E-5"/>
  </r>
  <r>
    <x v="507"/>
    <s v="Pesos"/>
    <d v="2027-02-10T00:00:00"/>
    <s v="29/10/2026"/>
    <n v="0.91405389000000004"/>
    <m/>
    <n v="27000000"/>
    <n v="24679455.07"/>
    <n v="27000000"/>
    <n v="24679455.07"/>
    <n v="80314322"/>
    <s v="AMOMPY"/>
    <s v="Momentum Capital Investment S.A."/>
    <s v="17/09/2026"/>
    <s v="17/09/2026"/>
    <n v="33"/>
    <s v="No"/>
    <s v=""/>
    <m/>
    <m/>
    <s v="*MAV040200876"/>
    <s v="*MAV040200876"/>
    <n v="3.0204310812939595E-4"/>
  </r>
  <r>
    <x v="456"/>
    <s v="Pesos"/>
    <d v="2027-02-10T00:00:00"/>
    <s v="29/10/2026"/>
    <n v="0.90931764000000004"/>
    <m/>
    <n v="719400"/>
    <n v="654163.11"/>
    <n v="719400"/>
    <n v="654163.11"/>
    <n v="2155"/>
    <s v="AMOMPY"/>
    <s v="Momentum Capital Investment S.A."/>
    <s v="23/10/2026"/>
    <s v="23/10/2026"/>
    <n v="35"/>
    <s v="No"/>
    <s v=""/>
    <m/>
    <m/>
    <s v="*MAV040200920"/>
    <s v="*MAV040200920"/>
    <n v="8.0060705719622662E-6"/>
  </r>
  <r>
    <x v="447"/>
    <s v="Pesos"/>
    <d v="2027-02-10T00:00:00"/>
    <s v="29/10/2026"/>
    <n v="0.90931744999999997"/>
    <m/>
    <n v="25000000"/>
    <n v="22732936.140000001"/>
    <n v="25000000"/>
    <n v="22732936.140000001"/>
    <n v="1150"/>
    <s v="AMOMPY"/>
    <s v="Momentum Capital Investment S.A."/>
    <s v="18/09/2026"/>
    <s v="18/09/2026"/>
    <n v="35"/>
    <s v="No"/>
    <s v=""/>
    <m/>
    <m/>
    <s v="*MAV040200879"/>
    <s v="*MAV040200879"/>
    <n v="2.7822035248174033E-4"/>
  </r>
  <r>
    <x v="506"/>
    <s v="Pesos"/>
    <d v="2027-02-10T00:00:00"/>
    <s v="29/10/2026"/>
    <n v="0.91405391999999996"/>
    <m/>
    <n v="9000000"/>
    <n v="8226485.2400000002"/>
    <n v="9000000"/>
    <n v="8226485.2400000002"/>
    <n v="5020"/>
    <s v="AMOMPY"/>
    <s v="Momentum Capital Investment S.A."/>
    <s v="02/10/2026"/>
    <s v="02/10/2026"/>
    <n v="33"/>
    <s v="No"/>
    <s v=""/>
    <m/>
    <m/>
    <s v="*MAV040200888"/>
    <s v="*MAV040200888"/>
    <n v="1.0068103869483857E-4"/>
  </r>
  <r>
    <x v="0"/>
    <s v="Pesos"/>
    <d v="2027-02-11T00:00:00"/>
    <s v="29/10/2026"/>
    <n v="0.92299935"/>
    <m/>
    <n v="4537348.54"/>
    <n v="4187969.75"/>
    <n v="4537348.54"/>
    <n v="4187969.75"/>
    <n v="9826686"/>
    <s v="AMOMPY"/>
    <s v="Momentum Capital Investment S.A."/>
    <s v="28/10/2026"/>
    <s v="28/10/2026"/>
    <n v="29"/>
    <s v="No"/>
    <s v=""/>
    <m/>
    <m/>
    <s v="*TRD050200043"/>
    <s v="*TRD050200043"/>
    <n v="5.1255078220083625E-5"/>
  </r>
  <r>
    <x v="0"/>
    <s v="Pesos"/>
    <d v="2027-02-11T00:00:00"/>
    <s v="29/10/2026"/>
    <n v="0.92299935"/>
    <m/>
    <n v="5297622.96"/>
    <n v="4889702.55"/>
    <n v="5297622.96"/>
    <n v="4889702.55"/>
    <n v="6701"/>
    <s v="AMOMPY"/>
    <s v="Momentum Capital Investment S.A."/>
    <s v="28/10/2026"/>
    <s v="28/10/2026"/>
    <n v="29"/>
    <s v="No"/>
    <s v=""/>
    <m/>
    <m/>
    <s v="*TRD050200042"/>
    <s v="*TRD050200042"/>
    <n v="5.9843337376826166E-5"/>
  </r>
  <r>
    <x v="1"/>
    <s v="Pesos"/>
    <d v="2027-02-11T00:00:00"/>
    <s v="29/10/2026"/>
    <n v="0.92055498999999996"/>
    <m/>
    <n v="5000000"/>
    <n v="4602774.93"/>
    <n v="5000000"/>
    <n v="4602774.93"/>
    <n v="1035"/>
    <s v="AMOMPY"/>
    <s v="Momentum Capital Investment S.A."/>
    <s v="17/09/2026"/>
    <s v="17/09/2026"/>
    <n v="30"/>
    <s v="No"/>
    <s v=""/>
    <m/>
    <m/>
    <s v="*AFB050200018"/>
    <s v="*AFB050200018"/>
    <n v="5.6331731877144026E-5"/>
  </r>
  <r>
    <x v="54"/>
    <s v="Pesos"/>
    <d v="2027-02-11T00:00:00"/>
    <s v="29/10/2026"/>
    <n v="0.91329932000000003"/>
    <m/>
    <n v="10000000"/>
    <n v="9132993.1899999995"/>
    <n v="10000000"/>
    <n v="9132993.1899999995"/>
    <n v="2285692"/>
    <s v="AMOMPY"/>
    <s v="Momentum Capital Investment S.A."/>
    <s v="07/09/2026"/>
    <s v="07/09/2026"/>
    <n v="33"/>
    <s v="No"/>
    <s v=""/>
    <m/>
    <m/>
    <s v="*INP050200047"/>
    <s v="*INP050200047"/>
    <n v="1.1177546837269801E-4"/>
  </r>
  <r>
    <x v="54"/>
    <s v="Pesos"/>
    <d v="2027-02-11T00:00:00"/>
    <s v="29/10/2026"/>
    <n v="0.92055498000000002"/>
    <m/>
    <n v="5000000"/>
    <n v="4602774.88"/>
    <n v="5000000"/>
    <n v="4602774.88"/>
    <n v="40810975"/>
    <s v="AMOMPY"/>
    <s v="Momentum Capital Investment S.A."/>
    <s v="24/09/2026"/>
    <s v="24/09/2026"/>
    <n v="30"/>
    <s v="No"/>
    <s v=""/>
    <m/>
    <m/>
    <s v="*INP050200048"/>
    <s v="*INP050200048"/>
    <n v="5.6331731265211741E-5"/>
  </r>
  <r>
    <x v="333"/>
    <s v="Pesos"/>
    <d v="2027-02-11T00:00:00"/>
    <s v="29/10/2026"/>
    <n v="0.92792682999999998"/>
    <m/>
    <n v="2092000"/>
    <n v="1941222.94"/>
    <n v="2092000"/>
    <n v="1941222.94"/>
    <n v="14604204"/>
    <s v="AMOMPY"/>
    <s v="Momentum Capital Investment S.A."/>
    <s v="29/10/2026"/>
    <s v="29/10/2026"/>
    <n v="27"/>
    <s v="No"/>
    <s v=""/>
    <m/>
    <m/>
    <s v="*ACI050200315"/>
    <s v="*ACI050200315"/>
    <n v="2.3757939902101895E-5"/>
  </r>
  <r>
    <x v="333"/>
    <s v="Pesos"/>
    <d v="2027-02-11T00:00:00"/>
    <s v="29/10/2026"/>
    <n v="0.92792684000000003"/>
    <m/>
    <n v="8228053.0700000003"/>
    <n v="7635031.2599999998"/>
    <n v="8228053.0700000003"/>
    <n v="7635031.2599999998"/>
    <n v="1547"/>
    <s v="AMOMPY"/>
    <s v="Momentum Capital Investment S.A."/>
    <s v="29/10/2026"/>
    <s v="29/10/2026"/>
    <n v="27"/>
    <s v="No"/>
    <s v=""/>
    <m/>
    <m/>
    <s v="*ACI050200314"/>
    <s v="*ACI050200314"/>
    <n v="9.3442442950807751E-5"/>
  </r>
  <r>
    <x v="68"/>
    <s v="Pesos"/>
    <d v="2027-02-11T00:00:00"/>
    <s v="29/10/2026"/>
    <n v="0.91329932000000003"/>
    <m/>
    <n v="22000000"/>
    <n v="20092585.07"/>
    <n v="22000000"/>
    <n v="20092585.07"/>
    <n v="450"/>
    <s v="AMOMPY"/>
    <s v="Momentum Capital Investment S.A."/>
    <s v="27/10/2026"/>
    <s v="27/10/2026"/>
    <n v="33"/>
    <s v="No"/>
    <s v=""/>
    <m/>
    <m/>
    <s v="*MAV050201136"/>
    <s v="*MAV050201136"/>
    <n v="2.4590603105634521E-4"/>
  </r>
  <r>
    <x v="289"/>
    <s v="Pesos"/>
    <d v="2027-02-11T00:00:00"/>
    <s v="29/10/2026"/>
    <n v="0.91329934000000002"/>
    <m/>
    <n v="2500000"/>
    <n v="2283248.35"/>
    <n v="2500000"/>
    <n v="2283248.35"/>
    <n v="37"/>
    <s v="AMOMPY"/>
    <s v="Momentum Capital Investment S.A."/>
    <s v="13/10/2026"/>
    <s v="13/10/2026"/>
    <n v="33"/>
    <s v="No"/>
    <s v=""/>
    <m/>
    <m/>
    <s v="*MAV050201101"/>
    <s v="*MAV050201101"/>
    <n v="2.7943867735703407E-5"/>
  </r>
  <r>
    <x v="44"/>
    <s v="Pesos"/>
    <d v="2027-02-11T00:00:00"/>
    <s v="29/10/2026"/>
    <n v="0.91570521999999999"/>
    <m/>
    <n v="10000000"/>
    <n v="9157052.2300000004"/>
    <n v="10000000"/>
    <n v="9157052.2300000004"/>
    <n v="14822652"/>
    <s v="AMOMPY"/>
    <s v="Momentum Capital Investment S.A."/>
    <s v="28/10/2026"/>
    <s v="28/10/2026"/>
    <n v="32"/>
    <s v="No"/>
    <s v=""/>
    <m/>
    <m/>
    <s v="*MAV050201141"/>
    <s v="*MAV050201141"/>
    <n v="1.1206991844056209E-4"/>
  </r>
  <r>
    <x v="44"/>
    <s v="Pesos"/>
    <d v="2027-02-11T00:00:00"/>
    <s v="29/10/2026"/>
    <n v="0.91570507000000001"/>
    <m/>
    <n v="10000000"/>
    <n v="9157050.7400000002"/>
    <n v="10000000"/>
    <n v="9157050.7400000002"/>
    <n v="14725224"/>
    <s v="AMOMPY"/>
    <s v="Momentum Capital Investment S.A."/>
    <s v="26/10/2026"/>
    <s v="26/10/2026"/>
    <n v="32"/>
    <s v="No"/>
    <s v=""/>
    <m/>
    <m/>
    <s v="*MAV050201134"/>
    <s v="*MAV050201134"/>
    <n v="1.120699002049799E-4"/>
  </r>
  <r>
    <x v="44"/>
    <s v="Pesos"/>
    <d v="2027-02-11T00:00:00"/>
    <s v="29/10/2026"/>
    <n v="0.91570507000000001"/>
    <m/>
    <n v="10000000"/>
    <n v="9157050.7400000002"/>
    <n v="10000000"/>
    <n v="9157050.7400000002"/>
    <n v="14725225"/>
    <s v="AMOMPY"/>
    <s v="Momentum Capital Investment S.A."/>
    <s v="26/10/2026"/>
    <s v="26/10/2026"/>
    <n v="32"/>
    <s v="No"/>
    <s v=""/>
    <m/>
    <m/>
    <s v="*MAV050201135"/>
    <s v="*MAV050201135"/>
    <n v="1.120699002049799E-4"/>
  </r>
  <r>
    <x v="464"/>
    <s v="Pesos"/>
    <d v="2027-02-11T00:00:00"/>
    <s v="29/10/2026"/>
    <n v="0.91090590999999999"/>
    <m/>
    <n v="980655"/>
    <n v="893284.44"/>
    <n v="980655"/>
    <n v="893284.44"/>
    <n v="70426712"/>
    <s v="AMOMPY"/>
    <s v="Momentum Capital Investment S.A."/>
    <s v="21/10/2026"/>
    <s v="21/10/2026"/>
    <n v="34"/>
    <s v="No"/>
    <s v=""/>
    <m/>
    <m/>
    <s v="*MAV050201122"/>
    <s v="*MAV050201122"/>
    <n v="1.0932591823277518E-5"/>
  </r>
  <r>
    <x v="459"/>
    <s v="Pesos"/>
    <d v="2027-02-11T00:00:00"/>
    <s v="29/10/2026"/>
    <n v="0.92055500999999995"/>
    <m/>
    <n v="27038520.739999998"/>
    <n v="24890445.620000001"/>
    <n v="27038520.739999998"/>
    <n v="24890445.620000001"/>
    <n v="7047"/>
    <s v="AMOMPY"/>
    <s v="Momentum Capital Investment S.A."/>
    <s v="16/10/2026"/>
    <s v="16/10/2026"/>
    <n v="30"/>
    <s v="No"/>
    <s v=""/>
    <m/>
    <m/>
    <s v="MAVR050200077"/>
    <s v="MAVR050200077"/>
    <n v="3.0462534672936402E-4"/>
  </r>
  <r>
    <x v="316"/>
    <s v="Pesos"/>
    <d v="2027-02-11T00:00:00"/>
    <s v="29/10/2026"/>
    <n v="0.92545643"/>
    <m/>
    <n v="74495580"/>
    <n v="68942413.439999998"/>
    <n v="74495580"/>
    <n v="68942413.439999998"/>
    <n v="155357"/>
    <s v="AMOMPY"/>
    <s v="Momentum Capital Investment S.A."/>
    <s v="01/07/2026"/>
    <s v="01/07/2026"/>
    <n v="28"/>
    <s v="No"/>
    <s v=""/>
    <m/>
    <m/>
    <s v="#POT080270001"/>
    <s v="#POT080270001"/>
    <n v="8.437617758696906E-4"/>
  </r>
  <r>
    <x v="447"/>
    <s v="Pesos"/>
    <d v="2027-02-11T00:00:00"/>
    <s v="29/10/2026"/>
    <n v="0.90852520000000003"/>
    <m/>
    <n v="25000000"/>
    <n v="22713130.059999999"/>
    <n v="25000000"/>
    <n v="22713130.059999999"/>
    <n v="1152"/>
    <s v="AMOMPY"/>
    <s v="Momentum Capital Investment S.A."/>
    <s v="18/09/2026"/>
    <s v="18/09/2026"/>
    <n v="35"/>
    <s v="No"/>
    <s v=""/>
    <m/>
    <m/>
    <s v="*MAV050201064"/>
    <s v="*MAV050201064"/>
    <n v="2.7797795288474387E-4"/>
  </r>
  <r>
    <x v="447"/>
    <s v="Pesos"/>
    <d v="2027-02-11T00:00:00"/>
    <s v="29/10/2026"/>
    <n v="0.90852520000000003"/>
    <m/>
    <n v="25000000"/>
    <n v="22713130.059999999"/>
    <n v="25000000"/>
    <n v="22713130.059999999"/>
    <n v="1151"/>
    <s v="AMOMPY"/>
    <s v="Momentum Capital Investment S.A."/>
    <s v="18/09/2026"/>
    <s v="18/09/2026"/>
    <n v="35"/>
    <s v="No"/>
    <s v=""/>
    <m/>
    <m/>
    <s v="*MAV050201065"/>
    <s v="*MAV050201065"/>
    <n v="2.7797795288474387E-4"/>
  </r>
  <r>
    <x v="508"/>
    <s v="Pesos"/>
    <d v="2027-02-11T00:00:00"/>
    <s v="29/10/2026"/>
    <n v="0.91570499999999999"/>
    <m/>
    <n v="250000"/>
    <n v="228926.25"/>
    <n v="250000"/>
    <n v="228926.25"/>
    <n v="103"/>
    <s v="AMOMPY"/>
    <s v="Momentum Capital Investment S.A."/>
    <s v="01/10/2026"/>
    <s v="01/10/2026"/>
    <n v="32"/>
    <s v="No"/>
    <s v=""/>
    <m/>
    <m/>
    <s v="*MAV050201077"/>
    <s v="*MAV050201077"/>
    <n v="2.801747278709551E-6"/>
  </r>
  <r>
    <x v="318"/>
    <s v="Pesos"/>
    <d v="2027-02-11T00:00:00"/>
    <s v="29/10/2026"/>
    <n v="0.91329925999999995"/>
    <m/>
    <n v="10000000"/>
    <n v="9132992.5899999999"/>
    <n v="10000000"/>
    <n v="9132992.5899999999"/>
    <n v="70407061"/>
    <s v="AMOMPY"/>
    <s v="Momentum Capital Investment S.A."/>
    <s v="01/10/2026"/>
    <s v="01/10/2026"/>
    <n v="33"/>
    <s v="No"/>
    <s v=""/>
    <m/>
    <m/>
    <s v="*MAV050201078"/>
    <s v="*MAV050201078"/>
    <n v="1.1177546102951057E-4"/>
  </r>
  <r>
    <x v="506"/>
    <s v="Pesos"/>
    <d v="2027-02-11T00:00:00"/>
    <s v="29/10/2026"/>
    <n v="0.91329932000000003"/>
    <m/>
    <n v="9000000"/>
    <n v="8219693.8700000001"/>
    <n v="9000000"/>
    <n v="8219693.8700000001"/>
    <n v="5021"/>
    <s v="AMOMPY"/>
    <s v="Momentum Capital Investment S.A."/>
    <s v="02/10/2026"/>
    <s v="02/10/2026"/>
    <n v="33"/>
    <s v="No"/>
    <s v=""/>
    <m/>
    <m/>
    <s v="*MAV050201082"/>
    <s v="*MAV050201082"/>
    <n v="1.0059792152318957E-4"/>
  </r>
  <r>
    <x v="0"/>
    <s v="Pesos"/>
    <d v="2027-02-12T00:00:00"/>
    <s v="29/10/2026"/>
    <n v="0.91985903000000002"/>
    <m/>
    <n v="3000000"/>
    <n v="2759577.09"/>
    <n v="3000000"/>
    <n v="2759577.09"/>
    <n v="3897147"/>
    <s v="AMOMPY"/>
    <s v="Momentum Capital Investment S.A."/>
    <s v="22/09/2026"/>
    <s v="22/09/2026"/>
    <n v="30"/>
    <s v="No"/>
    <s v=""/>
    <m/>
    <m/>
    <s v="*TRD090200018"/>
    <s v="*TRD090200018"/>
    <n v="3.3773486449442654E-5"/>
  </r>
  <r>
    <x v="0"/>
    <s v="Pesos"/>
    <d v="2027-02-12T00:00:00"/>
    <s v="29/10/2026"/>
    <n v="0.92232291"/>
    <m/>
    <n v="20000000"/>
    <n v="18446458.100000001"/>
    <n v="20000000"/>
    <n v="18446458.100000001"/>
    <n v="5324"/>
    <s v="AMOMPY"/>
    <s v="Momentum Capital Investment S.A."/>
    <s v="28/10/2026"/>
    <s v="28/10/2026"/>
    <n v="29"/>
    <s v="No"/>
    <s v=""/>
    <m/>
    <m/>
    <s v="*TRD100200036"/>
    <s v="*TRD100200036"/>
    <n v="2.2575966619601184E-4"/>
  </r>
  <r>
    <x v="0"/>
    <s v="Pesos"/>
    <d v="2027-02-12T00:00:00"/>
    <s v="29/10/2026"/>
    <n v="0.92232291"/>
    <m/>
    <n v="15191494.890000001"/>
    <n v="14011463.699999999"/>
    <n v="15191494.890000001"/>
    <n v="14011463.699999999"/>
    <n v="5323"/>
    <s v="AMOMPY"/>
    <s v="Momentum Capital Investment S.A."/>
    <s v="28/10/2026"/>
    <s v="28/10/2026"/>
    <n v="29"/>
    <s v="No"/>
    <s v=""/>
    <m/>
    <m/>
    <s v="*TRD090200019"/>
    <s v="*TRD090200019"/>
    <n v="1.7148134079081212E-4"/>
  </r>
  <r>
    <x v="480"/>
    <s v="Pesos"/>
    <d v="2027-02-12T00:00:00"/>
    <s v="29/10/2026"/>
    <n v="0.91254564999999999"/>
    <m/>
    <n v="6006148"/>
    <n v="5480884.21"/>
    <n v="6006148"/>
    <n v="5480884.21"/>
    <n v="1370659"/>
    <s v="AMOMPY"/>
    <s v="Momentum Capital Investment S.A."/>
    <s v="23/09/2026"/>
    <s v="23/09/2026"/>
    <n v="33"/>
    <s v="No"/>
    <s v=""/>
    <m/>
    <m/>
    <s v="*MAV100201661"/>
    <s v="*MAV100201661"/>
    <n v="6.7078600292843859E-5"/>
  </r>
  <r>
    <x v="54"/>
    <s v="Pesos"/>
    <d v="2027-02-12T00:00:00"/>
    <s v="29/10/2026"/>
    <n v="0.91497059999999997"/>
    <m/>
    <n v="3000000"/>
    <n v="2744911.81"/>
    <n v="3000000"/>
    <n v="2744911.81"/>
    <n v="30"/>
    <s v="AMOMPY"/>
    <s v="Momentum Capital Investment S.A."/>
    <s v="28/10/2026"/>
    <s v="28/10/2026"/>
    <n v="32"/>
    <s v="No"/>
    <s v=""/>
    <m/>
    <m/>
    <s v="*INP100200081"/>
    <s v="*INP100200081"/>
    <n v="3.3594003282564613E-5"/>
  </r>
  <r>
    <x v="166"/>
    <s v="Pesos"/>
    <d v="2027-02-12T00:00:00"/>
    <s v="29/10/2026"/>
    <n v="0.91740818000000002"/>
    <m/>
    <n v="9990457.7699999996"/>
    <n v="9165327.6799999997"/>
    <n v="9990457.7699999996"/>
    <n v="9165327.6799999997"/>
    <n v="3018"/>
    <s v="AMOMPY"/>
    <s v="Momentum Capital Investment S.A."/>
    <s v="09/09/2026"/>
    <s v="09/09/2026"/>
    <n v="31"/>
    <s v="No"/>
    <s v=""/>
    <m/>
    <m/>
    <s v="*MAV080200766"/>
    <s v="*MAV080200766"/>
    <n v="1.1217119874160924E-4"/>
  </r>
  <r>
    <x v="374"/>
    <s v="Pesos"/>
    <d v="2027-02-12T00:00:00"/>
    <s v="29/10/2026"/>
    <n v="0.91497059000000003"/>
    <m/>
    <n v="353613.17"/>
    <n v="323545.65000000002"/>
    <n v="353613.17"/>
    <n v="323545.65000000002"/>
    <n v="2860"/>
    <s v="AMOMPY"/>
    <s v="Momentum Capital Investment S.A."/>
    <s v="15/09/2026"/>
    <s v="15/09/2026"/>
    <n v="32"/>
    <s v="No"/>
    <s v=""/>
    <m/>
    <m/>
    <s v="*MAV060201210"/>
    <s v="*MAV060201210"/>
    <n v="3.9597605972482966E-6"/>
  </r>
  <r>
    <x v="184"/>
    <s v="Pesos"/>
    <d v="2027-02-12T00:00:00"/>
    <s v="29/10/2026"/>
    <n v="0.91497059000000003"/>
    <m/>
    <n v="8123170.71"/>
    <n v="7432462.2999999998"/>
    <n v="8123170.71"/>
    <n v="7432462.2999999998"/>
    <n v="11247"/>
    <s v="AMOMPY"/>
    <s v="Momentum Capital Investment S.A."/>
    <s v="15/09/2026"/>
    <s v="15/09/2026"/>
    <n v="32"/>
    <s v="No"/>
    <s v=""/>
    <m/>
    <m/>
    <s v="*MAV080200769"/>
    <s v="*MAV080200769"/>
    <n v="9.0963273207578119E-5"/>
  </r>
  <r>
    <x v="198"/>
    <s v="Pesos"/>
    <d v="2027-02-12T00:00:00"/>
    <s v="29/10/2026"/>
    <n v="0.91497050000000002"/>
    <m/>
    <n v="5325299.2"/>
    <n v="4872491.6900000004"/>
    <n v="5325299.2"/>
    <n v="4872491.6900000004"/>
    <n v="52046622"/>
    <s v="AMOMPY"/>
    <s v="Momentum Capital Investment S.A."/>
    <s v="05/10/2026"/>
    <s v="05/10/2026"/>
    <n v="32"/>
    <s v="No"/>
    <s v=""/>
    <m/>
    <m/>
    <s v="*MAV080200779"/>
    <s v="*MAV080200779"/>
    <n v="5.963269975807668E-5"/>
  </r>
  <r>
    <x v="385"/>
    <s v="Pesos"/>
    <d v="2027-02-12T00:00:00"/>
    <s v="29/10/2026"/>
    <n v="0.91985903999999996"/>
    <m/>
    <n v="15000000"/>
    <n v="13797885.65"/>
    <n v="15000000"/>
    <n v="13797885.65"/>
    <n v="1421"/>
    <s v="AMOMPY"/>
    <s v="Momentum Capital Investment S.A."/>
    <s v="28/10/2026"/>
    <s v="28/10/2026"/>
    <n v="30"/>
    <s v="No"/>
    <s v=""/>
    <m/>
    <m/>
    <s v="*MAV100201755"/>
    <s v="*MAV100201755"/>
    <n v="1.6886743469494243E-4"/>
  </r>
  <r>
    <x v="10"/>
    <s v="Pesos"/>
    <d v="2027-02-12T00:00:00"/>
    <s v="29/10/2026"/>
    <n v="0.92479986000000003"/>
    <m/>
    <n v="50000000"/>
    <n v="46239992.890000001"/>
    <n v="50000000"/>
    <n v="46239992.890000001"/>
    <n v="68036"/>
    <s v="AMOMPY"/>
    <s v="Momentum Capital Investment S.A."/>
    <s v="14/08/2026"/>
    <s v="14/08/2026"/>
    <n v="28"/>
    <s v="No"/>
    <s v=""/>
    <m/>
    <m/>
    <s v="*MAV100201605"/>
    <s v="*MAV100201605"/>
    <n v="5.6591489288409038E-4"/>
  </r>
  <r>
    <x v="289"/>
    <s v="Pesos"/>
    <d v="2027-02-12T00:00:00"/>
    <s v="29/10/2026"/>
    <n v="0.91254577000000003"/>
    <m/>
    <n v="2500000"/>
    <n v="2281364.41"/>
    <n v="2500000"/>
    <n v="2281364.41"/>
    <n v="38"/>
    <s v="AMOMPY"/>
    <s v="Momentum Capital Investment S.A."/>
    <s v="13/10/2026"/>
    <s v="13/10/2026"/>
    <n v="33"/>
    <s v="No"/>
    <s v=""/>
    <m/>
    <m/>
    <s v="*MAV100201693"/>
    <s v="*MAV100201693"/>
    <n v="2.7920810861412009E-5"/>
  </r>
  <r>
    <x v="146"/>
    <s v="Pesos"/>
    <d v="2027-02-12T00:00:00"/>
    <s v="29/10/2026"/>
    <n v="0.91985894999999995"/>
    <m/>
    <n v="40000000"/>
    <n v="36794357.880000003"/>
    <n v="40000000"/>
    <n v="36794357.880000003"/>
    <n v="90004382"/>
    <s v="AMOMPY"/>
    <s v="Momentum Capital Investment S.A."/>
    <s v="23/10/2026"/>
    <s v="23/10/2026"/>
    <n v="30"/>
    <s v="No"/>
    <s v=""/>
    <m/>
    <m/>
    <s v="*MAV070201091"/>
    <s v="*MAV070201091"/>
    <n v="4.503131120269315E-4"/>
  </r>
  <r>
    <x v="354"/>
    <s v="Pesos"/>
    <d v="2027-02-12T00:00:00"/>
    <s v="29/10/2026"/>
    <n v="0.91254570999999995"/>
    <m/>
    <n v="13000000"/>
    <n v="11863094.25"/>
    <n v="13000000"/>
    <n v="11863094.25"/>
    <n v="4342"/>
    <s v="AMOMPY"/>
    <s v="Momentum Capital Investment S.A."/>
    <s v="05/10/2026"/>
    <s v="05/10/2026"/>
    <n v="33"/>
    <s v="No"/>
    <s v=""/>
    <m/>
    <m/>
    <s v="*MAV080200780"/>
    <s v="*MAV080200780"/>
    <n v="1.4518820813258602E-4"/>
  </r>
  <r>
    <x v="354"/>
    <s v="Pesos"/>
    <d v="2027-02-12T00:00:00"/>
    <s v="29/10/2026"/>
    <n v="0.91254583"/>
    <m/>
    <n v="13000000"/>
    <n v="11863095.83"/>
    <n v="13000000"/>
    <n v="11863095.83"/>
    <n v="4372"/>
    <s v="AMOMPY"/>
    <s v="Momentum Capital Investment S.A."/>
    <s v="14/10/2026"/>
    <s v="14/10/2026"/>
    <n v="33"/>
    <s v="No"/>
    <s v=""/>
    <m/>
    <m/>
    <s v="*MAV080200788"/>
    <s v="*MAV080200788"/>
    <n v="1.4518822746964632E-4"/>
  </r>
  <r>
    <x v="44"/>
    <s v="Pesos"/>
    <d v="2027-02-12T00:00:00"/>
    <s v="29/10/2026"/>
    <n v="0.91497059999999997"/>
    <m/>
    <n v="10000000"/>
    <n v="9149706.0299999993"/>
    <n v="10000000"/>
    <n v="9149706.0299999993"/>
    <n v="14822653"/>
    <s v="AMOMPY"/>
    <s v="Momentum Capital Investment S.A."/>
    <s v="28/10/2026"/>
    <s v="28/10/2026"/>
    <n v="32"/>
    <s v="No"/>
    <s v=""/>
    <m/>
    <m/>
    <s v="*MAV080200802"/>
    <s v="*MAV080200802"/>
    <n v="1.1198001090108656E-4"/>
  </r>
  <r>
    <x v="497"/>
    <s v="Pesos"/>
    <d v="2027-02-12T00:00:00"/>
    <s v="29/10/2026"/>
    <n v="0.90773448000000001"/>
    <m/>
    <n v="7345493.4699999997"/>
    <n v="6667757.7000000002"/>
    <n v="7345493.4699999997"/>
    <n v="6667757.7000000002"/>
    <n v="41018389"/>
    <s v="AMOMPY"/>
    <s v="Momentum Capital Investment S.A."/>
    <s v="23/10/2026"/>
    <s v="23/10/2026"/>
    <n v="35"/>
    <s v="No"/>
    <s v=""/>
    <m/>
    <m/>
    <s v="*MAV060201235"/>
    <s v="*MAV060201235"/>
    <n v="8.1604324497822574E-5"/>
  </r>
  <r>
    <x v="25"/>
    <s v="Pesos"/>
    <d v="2027-02-12T00:00:00"/>
    <s v="29/10/2026"/>
    <n v="0.92232296999999996"/>
    <m/>
    <n v="30000000"/>
    <n v="27669689.23"/>
    <n v="30000000"/>
    <n v="27669689.23"/>
    <n v="327"/>
    <s v="AMOMPY"/>
    <s v="Momentum Capital Investment S.A."/>
    <s v="29/10/2026"/>
    <s v="29/10/2026"/>
    <n v="29"/>
    <s v="No"/>
    <s v=""/>
    <m/>
    <m/>
    <s v="*NEU100200028"/>
    <s v="*NEU100200028"/>
    <n v="3.3863952475040091E-4"/>
  </r>
  <r>
    <x v="211"/>
    <s v="Pesos"/>
    <d v="2027-02-12T00:00:00"/>
    <s v="29/10/2026"/>
    <n v="0.91985899999999998"/>
    <m/>
    <n v="2624182.96"/>
    <n v="2413878.31"/>
    <n v="2624182.96"/>
    <n v="2413878.31"/>
    <n v="16108037"/>
    <s v="AMOMPY"/>
    <s v="Momentum Capital Investment S.A."/>
    <s v="13/10/2026"/>
    <s v="13/10/2026"/>
    <n v="30"/>
    <s v="No"/>
    <s v=""/>
    <m/>
    <m/>
    <s v="*MAV060201221"/>
    <s v="*MAV060201221"/>
    <n v="2.9542601541669032E-5"/>
  </r>
  <r>
    <x v="138"/>
    <s v="Dolar Link"/>
    <d v="2027-02-12T00:00:00"/>
    <s v="29/10/2026"/>
    <n v="0.96227309999999999"/>
    <s v="1 BNA = 1560,0000998400 $"/>
    <n v="5817.6"/>
    <n v="5598.12"/>
    <n v="9075456.5800000001"/>
    <n v="8733067.7599999998"/>
    <n v="60"/>
    <s v="AMOMPY"/>
    <s v="Momentum Capital Investment S.A."/>
    <s v="29/10/2026"/>
    <s v="29/10/2026"/>
    <n v="13.5"/>
    <s v="No"/>
    <s v=""/>
    <m/>
    <m/>
    <s v="%UQQ110200001"/>
    <s v="%UQQ110200001"/>
    <n v="1.0688092270487161E-4"/>
  </r>
  <r>
    <x v="138"/>
    <s v="Dolar Link"/>
    <d v="2027-02-12T00:00:00"/>
    <s v="29/10/2026"/>
    <n v="0.96227496999999995"/>
    <s v="1 BNA = 1560,0000998400 $"/>
    <n v="3067.99"/>
    <n v="2952.25"/>
    <n v="4786064.71"/>
    <n v="4605510.29"/>
    <n v="61"/>
    <s v="AMOMPY"/>
    <s v="Momentum Capital Investment S.A."/>
    <s v="29/10/2026"/>
    <s v="29/10/2026"/>
    <n v="13.5"/>
    <s v="No"/>
    <s v=""/>
    <m/>
    <m/>
    <s v="%UQQ110200002"/>
    <s v="%UQQ110200002"/>
    <n v="5.636520897920765E-5"/>
  </r>
  <r>
    <x v="0"/>
    <s v="Pesos"/>
    <d v="2027-02-15T00:00:00"/>
    <s v="29/10/2026"/>
    <n v="0.92029974999999997"/>
    <m/>
    <n v="20000000"/>
    <n v="18405994.969999999"/>
    <n v="20000000"/>
    <n v="18405994.969999999"/>
    <n v="5325"/>
    <s v="AMOMPY"/>
    <s v="Momentum Capital Investment S.A."/>
    <s v="28/10/2026"/>
    <s v="28/10/2026"/>
    <n v="29"/>
    <s v="No"/>
    <s v=""/>
    <m/>
    <m/>
    <s v="*TRD110200026"/>
    <s v="*TRD110200026"/>
    <n v="2.2526445228163733E-4"/>
  </r>
  <r>
    <x v="197"/>
    <s v="Pesos"/>
    <d v="2027-02-15T00:00:00"/>
    <s v="29/10/2026"/>
    <n v="0.91277383000000001"/>
    <m/>
    <n v="1129854.56"/>
    <n v="1031301.67"/>
    <n v="1129854.56"/>
    <n v="1031301.67"/>
    <n v="1027"/>
    <s v="AMOMPY"/>
    <s v="Momentum Capital Investment S.A."/>
    <s v="15/09/2026"/>
    <s v="15/09/2026"/>
    <n v="32"/>
    <s v="No"/>
    <s v=""/>
    <m/>
    <m/>
    <s v="*MAV110201007"/>
    <s v="*MAV110201007"/>
    <n v="1.2621735809899981E-5"/>
  </r>
  <r>
    <x v="145"/>
    <s v="Pesos"/>
    <d v="2027-02-15T00:00:00"/>
    <s v="29/10/2026"/>
    <n v="0.91777744000000006"/>
    <m/>
    <n v="2012911.53"/>
    <n v="1847404.79"/>
    <n v="2012911.53"/>
    <n v="1847404.79"/>
    <n v="70556164"/>
    <s v="AMOMPY"/>
    <s v="Momentum Capital Investment S.A."/>
    <s v="21/10/2026"/>
    <s v="21/10/2026"/>
    <n v="30"/>
    <s v="No"/>
    <s v=""/>
    <m/>
    <m/>
    <s v="*MAV110201053"/>
    <s v="*MAV110201053"/>
    <n v="2.2609732798477629E-5"/>
  </r>
  <r>
    <x v="509"/>
    <s v="Pesos"/>
    <d v="2027-02-15T00:00:00"/>
    <s v="29/10/2026"/>
    <n v="0.90782494999999996"/>
    <m/>
    <n v="1049734.68"/>
    <n v="952975.33"/>
    <n v="1049734.68"/>
    <n v="952975.33"/>
    <n v="1544"/>
    <s v="AMOMPY"/>
    <s v="Momentum Capital Investment S.A."/>
    <s v="21/10/2026"/>
    <s v="21/10/2026"/>
    <n v="34"/>
    <s v="No"/>
    <s v=""/>
    <m/>
    <m/>
    <s v="*MAV110201051"/>
    <s v="*MAV110201051"/>
    <n v="1.1663127481033024E-5"/>
  </r>
  <r>
    <x v="233"/>
    <s v="Dolar 3500"/>
    <d v="2027-02-15T00:00:00"/>
    <s v="29/10/2026"/>
    <n v="0.97666649000000005"/>
    <s v="1 US3 = 1539,5930209017 $"/>
    <n v="18230"/>
    <n v="17804.63"/>
    <n v="28066780.77"/>
    <n v="27411884.09"/>
    <n v="146450"/>
    <s v="AMOMPY"/>
    <s v="Momentum Capital Investment S.A."/>
    <s v="17/04/2026"/>
    <s v="17/04/2026"/>
    <n v="8"/>
    <s v="No"/>
    <s v=""/>
    <m/>
    <m/>
    <s v="#UMV110270012"/>
    <s v="#UMV110270012"/>
    <n v="3.3548433896706529E-4"/>
  </r>
  <r>
    <x v="510"/>
    <s v="Pesos"/>
    <d v="2027-02-15T00:00:00"/>
    <s v="29/10/2026"/>
    <n v="0.91277392999999996"/>
    <m/>
    <n v="1211583.6200000001"/>
    <n v="1105901.94"/>
    <n v="1211583.6200000001"/>
    <n v="1105901.94"/>
    <n v="81825816"/>
    <s v="AMOMPY"/>
    <s v="Momentum Capital Investment S.A."/>
    <s v="01/10/2026"/>
    <s v="01/10/2026"/>
    <n v="32"/>
    <s v="No"/>
    <s v=""/>
    <m/>
    <m/>
    <s v="*MAV110201016"/>
    <s v="*MAV110201016"/>
    <n v="1.3534742087963319E-5"/>
  </r>
  <r>
    <x v="0"/>
    <s v="Pesos"/>
    <d v="2027-02-16T00:00:00"/>
    <s v="29/10/2026"/>
    <n v="0.91962725000000001"/>
    <m/>
    <n v="20000000"/>
    <n v="18392545.059999999"/>
    <n v="20000000"/>
    <n v="18392545.059999999"/>
    <n v="5326"/>
    <s v="AMOMPY"/>
    <s v="Momentum Capital Investment S.A."/>
    <s v="28/10/2026"/>
    <s v="28/10/2026"/>
    <n v="29"/>
    <s v="No"/>
    <s v=""/>
    <m/>
    <m/>
    <s v="*TRD120200024"/>
    <s v="*TRD120200024"/>
    <n v="2.2509984359765552E-4"/>
  </r>
  <r>
    <x v="54"/>
    <s v="Pesos"/>
    <d v="2027-02-16T00:00:00"/>
    <s v="29/10/2026"/>
    <n v="0.91455788000000005"/>
    <m/>
    <n v="3700000"/>
    <n v="3383864.15"/>
    <n v="3700000"/>
    <n v="3383864.15"/>
    <n v="164553"/>
    <s v="AMOMPY"/>
    <s v="Momentum Capital Investment S.A."/>
    <s v="18/09/2026"/>
    <s v="18/09/2026"/>
    <n v="31"/>
    <s v="No"/>
    <s v=""/>
    <m/>
    <m/>
    <s v="#IGA130270001"/>
    <s v="#IGA130270001"/>
    <n v="4.1413914628773711E-5"/>
  </r>
  <r>
    <x v="470"/>
    <s v="Pesos"/>
    <d v="2027-02-16T00:00:00"/>
    <s v="29/10/2026"/>
    <n v="0.91204412000000001"/>
    <m/>
    <n v="1264579.98"/>
    <n v="1153352.74"/>
    <n v="1264579.98"/>
    <n v="1153352.74"/>
    <n v="798"/>
    <s v="AMOMPY"/>
    <s v="Momentum Capital Investment S.A."/>
    <s v="15/09/2026"/>
    <s v="15/09/2026"/>
    <n v="32"/>
    <s v="No"/>
    <s v=""/>
    <m/>
    <m/>
    <s v="*MAV120201173"/>
    <s v="*MAV120201173"/>
    <n v="1.4115475620149303E-5"/>
  </r>
  <r>
    <x v="287"/>
    <s v="Pesos"/>
    <d v="2027-02-16T00:00:00"/>
    <s v="29/10/2026"/>
    <n v="0.91204410000000002"/>
    <m/>
    <n v="50000000"/>
    <n v="45602204.920000002"/>
    <n v="50000000"/>
    <n v="45602204.920000002"/>
    <n v="40679255"/>
    <s v="AMOMPY"/>
    <s v="Momentum Capital Investment S.A."/>
    <s v="31/08/2026"/>
    <s v="31/08/2026"/>
    <n v="32"/>
    <s v="No"/>
    <s v=""/>
    <m/>
    <m/>
    <s v="*MAV120201158"/>
    <s v="*MAV120201158"/>
    <n v="5.5810923184984379E-4"/>
  </r>
  <r>
    <x v="511"/>
    <s v="Pesos"/>
    <d v="2027-02-16T00:00:00"/>
    <s v="29/10/2026"/>
    <n v="0.90954404"/>
    <m/>
    <n v="11276671.109999999"/>
    <n v="10256628.99"/>
    <n v="11276671.109999999"/>
    <n v="10256628.99"/>
    <n v="2743"/>
    <s v="AMOMPY"/>
    <s v="Momentum Capital Investment S.A."/>
    <s v="23/10/2026"/>
    <s v="23/10/2026"/>
    <n v="33"/>
    <s v="No"/>
    <s v=""/>
    <m/>
    <m/>
    <s v="*MAV120201266"/>
    <s v="*MAV120201266"/>
    <n v="1.2552724889114284E-4"/>
  </r>
  <r>
    <x v="106"/>
    <s v="Pesos"/>
    <d v="2027-02-16T00:00:00"/>
    <s v="29/10/2026"/>
    <n v="0.91708546000000002"/>
    <m/>
    <n v="12500000"/>
    <n v="11463568.220000001"/>
    <n v="12500000"/>
    <n v="11463568.220000001"/>
    <n v="241"/>
    <s v="AMOMPY"/>
    <s v="Momentum Capital Investment S.A."/>
    <s v="02/07/2026"/>
    <s v="02/07/2026"/>
    <n v="30"/>
    <s v="No"/>
    <s v=""/>
    <m/>
    <m/>
    <s v="*MAV120201148"/>
    <s v="*MAV120201148"/>
    <n v="1.4029855057987579E-4"/>
  </r>
  <r>
    <x v="12"/>
    <s v="Pesos"/>
    <d v="2027-02-16T00:00:00"/>
    <s v="29/10/2026"/>
    <n v="0.90954404"/>
    <m/>
    <n v="11321347.060000001"/>
    <n v="10297263.74"/>
    <n v="11321347.060000001"/>
    <n v="10297263.74"/>
    <n v="31225"/>
    <s v="AMOMPY"/>
    <s v="Momentum Capital Investment S.A."/>
    <s v="23/10/2026"/>
    <s v="23/10/2026"/>
    <n v="33"/>
    <s v="No"/>
    <s v=""/>
    <m/>
    <m/>
    <s v="*MAV120201265"/>
    <s v="*MAV120201265"/>
    <n v="1.2602456320190251E-4"/>
  </r>
  <r>
    <x v="234"/>
    <s v="Pesos"/>
    <d v="2027-02-16T00:00:00"/>
    <s v="29/10/2026"/>
    <n v="0.91204403000000001"/>
    <m/>
    <n v="1858362"/>
    <n v="1694907.96"/>
    <n v="1858362"/>
    <n v="1694907.96"/>
    <n v="1490"/>
    <s v="AMOMPY"/>
    <s v="Momentum Capital Investment S.A."/>
    <s v="05/10/2026"/>
    <s v="05/10/2026"/>
    <n v="32"/>
    <s v="No"/>
    <s v=""/>
    <m/>
    <m/>
    <s v="*MAV120201196"/>
    <s v="*MAV120201196"/>
    <n v="2.0743378116721681E-5"/>
  </r>
  <r>
    <x v="0"/>
    <s v="Pesos"/>
    <d v="2027-02-17T00:00:00"/>
    <s v="29/10/2026"/>
    <n v="0.91639470999999995"/>
    <m/>
    <n v="20000000"/>
    <n v="18327894.210000001"/>
    <n v="20000000"/>
    <n v="18327894.210000001"/>
    <n v="68586589"/>
    <s v="AMOMPY"/>
    <s v="Momentum Capital Investment S.A."/>
    <s v="21/09/2026"/>
    <s v="21/09/2026"/>
    <n v="30"/>
    <s v="No"/>
    <s v=""/>
    <m/>
    <m/>
    <s v="TRND150200008"/>
    <s v="TRND150200008"/>
    <n v="2.2430860474648075E-4"/>
  </r>
  <r>
    <x v="65"/>
    <s v="Pesos"/>
    <d v="2027-02-17T00:00:00"/>
    <s v="29/10/2026"/>
    <n v="0.91639473999999999"/>
    <m/>
    <n v="5580000"/>
    <n v="5113482.67"/>
    <n v="5580000"/>
    <n v="5113482.67"/>
    <n v="11415144"/>
    <s v="AMOMPY"/>
    <s v="Momentum Capital Investment S.A."/>
    <s v="18/09/2026"/>
    <s v="18/09/2026"/>
    <n v="30"/>
    <s v="No"/>
    <s v=""/>
    <m/>
    <m/>
    <s v="*CVA150200010"/>
    <s v="*CVA150200010"/>
    <n v="6.2582102993435427E-5"/>
  </r>
  <r>
    <x v="1"/>
    <s v="Pesos"/>
    <d v="2027-02-17T00:00:00"/>
    <s v="29/10/2026"/>
    <n v="0.91639473999999999"/>
    <m/>
    <n v="13500000"/>
    <n v="12371329.039999999"/>
    <n v="13500000"/>
    <n v="12371329.039999999"/>
    <n v="163"/>
    <s v="AMOMPY"/>
    <s v="Momentum Capital Investment S.A."/>
    <s v="18/09/2026"/>
    <s v="18/09/2026"/>
    <n v="30"/>
    <s v="No"/>
    <s v=""/>
    <m/>
    <m/>
    <s v="*AFB150200007"/>
    <s v="*AFB150200007"/>
    <n v="1.5140831368984744E-4"/>
  </r>
  <r>
    <x v="235"/>
    <s v="Pesos"/>
    <d v="2027-02-17T00:00:00"/>
    <s v="29/10/2026"/>
    <n v="0.91131545999999997"/>
    <m/>
    <n v="1027513.96"/>
    <n v="936389.36"/>
    <n v="1027513.96"/>
    <n v="936389.36"/>
    <n v="3585518"/>
    <s v="AMOMPY"/>
    <s v="Momentum Capital Investment S.A."/>
    <s v="16/09/2026"/>
    <s v="16/09/2026"/>
    <n v="32"/>
    <s v="No"/>
    <s v=""/>
    <m/>
    <m/>
    <s v="*MAV150201136"/>
    <s v="*MAV150201136"/>
    <n v="1.1460137669631936E-5"/>
  </r>
  <r>
    <x v="54"/>
    <s v="Pesos"/>
    <d v="2027-02-17T00:00:00"/>
    <s v="29/10/2026"/>
    <n v="0.91131536999999996"/>
    <m/>
    <n v="2500000"/>
    <n v="2278288.4300000002"/>
    <n v="2500000"/>
    <n v="2278288.4300000002"/>
    <n v="70665281"/>
    <s v="AMOMPY"/>
    <s v="Momentum Capital Investment S.A."/>
    <s v="28/10/2026"/>
    <s v="28/10/2026"/>
    <n v="32"/>
    <s v="No"/>
    <s v=""/>
    <m/>
    <m/>
    <s v="*INP150200083"/>
    <s v="*INP150200083"/>
    <n v="2.7883165031829925E-5"/>
  </r>
  <r>
    <x v="239"/>
    <s v="Pesos"/>
    <d v="2027-02-17T00:00:00"/>
    <s v="29/10/2026"/>
    <n v="0.91131541000000005"/>
    <m/>
    <n v="1566916.35"/>
    <n v="1427955.02"/>
    <n v="1566916.35"/>
    <n v="1427955.02"/>
    <n v="1184"/>
    <s v="AMOMPY"/>
    <s v="Momentum Capital Investment S.A."/>
    <s v="15/09/2026"/>
    <s v="15/09/2026"/>
    <n v="32"/>
    <s v="No"/>
    <s v=""/>
    <m/>
    <m/>
    <s v="*MAV140201268"/>
    <s v="*MAV140201268"/>
    <n v="1.7476235649710953E-5"/>
  </r>
  <r>
    <x v="6"/>
    <s v="Pesos"/>
    <d v="2027-02-17T00:00:00"/>
    <s v="29/10/2026"/>
    <n v="0.91895570000000004"/>
    <m/>
    <n v="12244199.85"/>
    <n v="11251877.27"/>
    <n v="12244199.85"/>
    <n v="11251877.27"/>
    <n v="70060272"/>
    <s v="AMOMPY"/>
    <s v="Momentum Capital Investment S.A."/>
    <s v="02/10/2026"/>
    <s v="02/10/2026"/>
    <n v="29"/>
    <s v="No"/>
    <s v=""/>
    <m/>
    <m/>
    <s v="*CRE150200146"/>
    <s v="*CRE150200146"/>
    <n v="1.3770774003241809E-4"/>
  </r>
  <r>
    <x v="333"/>
    <s v="Pesos"/>
    <d v="2027-02-17T00:00:00"/>
    <s v="29/10/2026"/>
    <n v="0.92412095000000005"/>
    <m/>
    <n v="23900405"/>
    <n v="22086865.079999998"/>
    <n v="23900405"/>
    <n v="22086865.079999998"/>
    <n v="90001872"/>
    <s v="AMOMPY"/>
    <s v="Momentum Capital Investment S.A."/>
    <s v="29/10/2026"/>
    <s v="29/10/2026"/>
    <n v="27"/>
    <s v="No"/>
    <s v=""/>
    <m/>
    <m/>
    <s v="*ACI140200320"/>
    <s v="*ACI140200320"/>
    <n v="2.7031331764319294E-4"/>
  </r>
  <r>
    <x v="54"/>
    <s v="Pesos"/>
    <d v="2027-02-17T00:00:00"/>
    <s v="29/10/2026"/>
    <n v="0.91639482000000005"/>
    <m/>
    <n v="35000000"/>
    <n v="32073818.800000001"/>
    <n v="35000000"/>
    <n v="32073818.800000001"/>
    <n v="509301"/>
    <s v="AMOMPY"/>
    <s v="Momentum Capital Investment S.A."/>
    <s v="16/09/2026"/>
    <s v="16/09/2026"/>
    <n v="30"/>
    <s v="No"/>
    <s v=""/>
    <m/>
    <m/>
    <s v="*AFB140200003"/>
    <s v="*AFB140200003"/>
    <n v="3.9254010643481575E-4"/>
  </r>
  <r>
    <x v="439"/>
    <s v="Pesos"/>
    <d v="2027-02-17T00:00:00"/>
    <s v="29/10/2026"/>
    <n v="0.89885990000000004"/>
    <m/>
    <n v="25000000"/>
    <n v="22471497.460000001"/>
    <n v="25000000"/>
    <n v="22471497.460000001"/>
    <n v="43"/>
    <s v="AMOMPY"/>
    <s v="Momentum Capital Investment S.A."/>
    <s v="24/08/2026"/>
    <s v="24/08/2026"/>
    <n v="37"/>
    <s v="No"/>
    <s v=""/>
    <m/>
    <m/>
    <s v="*MAV140201265"/>
    <s v="*MAV140201265"/>
    <n v="2.7502069708949318E-4"/>
  </r>
  <r>
    <x v="12"/>
    <s v="Pesos"/>
    <d v="2027-02-17T00:00:00"/>
    <s v="29/10/2026"/>
    <n v="0.90879690000000002"/>
    <m/>
    <n v="11321347.039999999"/>
    <n v="10288805.060000001"/>
    <n v="11321347.039999999"/>
    <n v="10288805.060000001"/>
    <n v="31226"/>
    <s v="AMOMPY"/>
    <s v="Momentum Capital Investment S.A."/>
    <s v="23/10/2026"/>
    <s v="23/10/2026"/>
    <n v="33"/>
    <s v="No"/>
    <s v=""/>
    <m/>
    <m/>
    <s v="*MAV150201212"/>
    <s v="*MAV150201212"/>
    <n v="1.2592104041379292E-4"/>
  </r>
  <r>
    <x v="222"/>
    <s v="Pesos"/>
    <d v="2027-02-17T00:00:00"/>
    <s v="29/10/2026"/>
    <n v="0.91639472"/>
    <m/>
    <n v="1822304.03"/>
    <n v="1669949.79"/>
    <n v="1822304.03"/>
    <n v="1669949.79"/>
    <n v="692244"/>
    <s v="AMOMPY"/>
    <s v="Momentum Capital Investment S.A."/>
    <s v="13/10/2026"/>
    <s v="13/10/2026"/>
    <n v="30"/>
    <s v="No"/>
    <s v=""/>
    <m/>
    <m/>
    <s v="*MAV150201182"/>
    <s v="*MAV150201182"/>
    <n v="2.043792391529624E-5"/>
  </r>
  <r>
    <x v="222"/>
    <s v="Pesos"/>
    <d v="2027-02-17T00:00:00"/>
    <s v="29/10/2026"/>
    <n v="0.91639472"/>
    <m/>
    <n v="1822304.03"/>
    <n v="1669949.79"/>
    <n v="1822304.03"/>
    <n v="1669949.79"/>
    <n v="692234"/>
    <s v="AMOMPY"/>
    <s v="Momentum Capital Investment S.A."/>
    <s v="13/10/2026"/>
    <s v="13/10/2026"/>
    <n v="30"/>
    <s v="No"/>
    <s v=""/>
    <m/>
    <m/>
    <s v="*MAV150201183"/>
    <s v="*MAV150201183"/>
    <n v="2.043792391529624E-5"/>
  </r>
  <r>
    <x v="222"/>
    <s v="Pesos"/>
    <d v="2027-02-17T00:00:00"/>
    <s v="29/10/2026"/>
    <n v="0.91639472"/>
    <m/>
    <n v="1822304.03"/>
    <n v="1669949.79"/>
    <n v="1822304.03"/>
    <n v="1669949.79"/>
    <n v="692185"/>
    <s v="AMOMPY"/>
    <s v="Momentum Capital Investment S.A."/>
    <s v="13/10/2026"/>
    <s v="13/10/2026"/>
    <n v="30"/>
    <s v="No"/>
    <s v=""/>
    <m/>
    <m/>
    <s v="*MAV150201184"/>
    <s v="*MAV150201184"/>
    <n v="2.043792391529624E-5"/>
  </r>
  <r>
    <x v="222"/>
    <s v="Pesos"/>
    <d v="2027-02-17T00:00:00"/>
    <s v="29/10/2026"/>
    <n v="0.91639472"/>
    <m/>
    <n v="1822304.03"/>
    <n v="1669949.79"/>
    <n v="1822304.03"/>
    <n v="1669949.79"/>
    <n v="692236"/>
    <s v="AMOMPY"/>
    <s v="Momentum Capital Investment S.A."/>
    <s v="13/10/2026"/>
    <s v="13/10/2026"/>
    <n v="30"/>
    <s v="No"/>
    <s v=""/>
    <m/>
    <m/>
    <s v="*MAV150201185"/>
    <s v="*MAV150201185"/>
    <n v="2.043792391529624E-5"/>
  </r>
  <r>
    <x v="289"/>
    <s v="Pesos"/>
    <d v="2027-02-17T00:00:00"/>
    <s v="29/10/2026"/>
    <n v="0.90879670000000001"/>
    <m/>
    <n v="2500000"/>
    <n v="2271991.7599999998"/>
    <n v="2500000"/>
    <n v="2271991.7599999998"/>
    <n v="35"/>
    <s v="AMOMPY"/>
    <s v="Momentum Capital Investment S.A."/>
    <s v="13/10/2026"/>
    <s v="13/10/2026"/>
    <n v="33"/>
    <s v="No"/>
    <s v=""/>
    <m/>
    <m/>
    <s v="*MAV150201179"/>
    <s v="*MAV150201179"/>
    <n v="2.7806102318237959E-5"/>
  </r>
  <r>
    <x v="146"/>
    <s v="Pesos"/>
    <d v="2027-02-17T00:00:00"/>
    <s v="29/10/2026"/>
    <n v="0.91639490000000001"/>
    <m/>
    <n v="40000000"/>
    <n v="36655796.079999998"/>
    <n v="40000000"/>
    <n v="36655796.079999998"/>
    <n v="90004383"/>
    <s v="AMOMPY"/>
    <s v="Momentum Capital Investment S.A."/>
    <s v="23/10/2026"/>
    <s v="23/10/2026"/>
    <n v="30"/>
    <s v="No"/>
    <s v=""/>
    <m/>
    <m/>
    <s v="*MAV140201280"/>
    <s v="*MAV140201280"/>
    <n v="4.4861730324098793E-4"/>
  </r>
  <r>
    <x v="512"/>
    <s v="Pesos"/>
    <d v="2027-02-17T00:00:00"/>
    <s v="29/10/2026"/>
    <n v="0.90380115000000005"/>
    <m/>
    <n v="139858.32999999999"/>
    <n v="126404.12"/>
    <n v="139858.32999999999"/>
    <n v="126404.12"/>
    <n v="70367344"/>
    <s v="AMOMPY"/>
    <s v="Momentum Capital Investment S.A."/>
    <s v="23/10/2026"/>
    <s v="23/10/2026"/>
    <n v="35"/>
    <s v="No"/>
    <s v=""/>
    <m/>
    <m/>
    <s v="*MAV130201298"/>
    <s v="*MAV130201298"/>
    <n v="1.5470152471709799E-6"/>
  </r>
  <r>
    <x v="513"/>
    <s v="Pesos"/>
    <d v="2027-02-17T00:00:00"/>
    <s v="29/10/2026"/>
    <n v="0.91639482999999999"/>
    <m/>
    <n v="50000000"/>
    <n v="45819741.280000001"/>
    <n v="50000000"/>
    <n v="45819741.280000001"/>
    <n v="881"/>
    <s v="AMOMPY"/>
    <s v="Momentum Capital Investment S.A."/>
    <s v="29/10/2026"/>
    <s v="29/10/2026"/>
    <n v="30"/>
    <s v="No"/>
    <s v=""/>
    <m/>
    <m/>
    <s v="*MAV150201248"/>
    <s v="*MAV150201248"/>
    <n v="5.6077158229960822E-4"/>
  </r>
  <r>
    <x v="505"/>
    <s v="Pesos"/>
    <d v="2027-02-17T00:00:00"/>
    <s v="29/10/2026"/>
    <n v="0.91895568999999999"/>
    <m/>
    <n v="10000000"/>
    <n v="9189556.9199999999"/>
    <n v="10000000"/>
    <n v="9189556.9199999999"/>
    <n v="1056"/>
    <s v="AMOMPY"/>
    <s v="Momentum Capital Investment S.A."/>
    <s v="20/10/2026"/>
    <s v="20/10/2026"/>
    <n v="29"/>
    <s v="No"/>
    <s v=""/>
    <m/>
    <m/>
    <s v="*MAV150201200"/>
    <s v="*MAV150201200"/>
    <n v="1.1246773182698149E-4"/>
  </r>
  <r>
    <x v="514"/>
    <s v="Pesos"/>
    <d v="2027-02-17T00:00:00"/>
    <s v="29/10/2026"/>
    <n v="0.90629201000000004"/>
    <m/>
    <n v="803060"/>
    <n v="727806.86"/>
    <n v="803060"/>
    <n v="727806.86"/>
    <n v="96"/>
    <s v="AMOMPY"/>
    <s v="Momentum Capital Investment S.A."/>
    <s v="21/10/2026"/>
    <s v="21/10/2026"/>
    <n v="34"/>
    <s v="No"/>
    <s v=""/>
    <m/>
    <m/>
    <s v="*MAV150201206"/>
    <s v="*MAV150201206"/>
    <n v="8.9073703405841097E-6"/>
  </r>
  <r>
    <x v="410"/>
    <s v="Pesos"/>
    <d v="2027-02-17T00:00:00"/>
    <s v="29/10/2026"/>
    <n v="0.90629199999999999"/>
    <m/>
    <n v="1183000"/>
    <n v="1072143.44"/>
    <n v="1183000"/>
    <n v="1072143.44"/>
    <n v="25"/>
    <s v="AMOMPY"/>
    <s v="Momentum Capital Investment S.A."/>
    <s v="21/10/2026"/>
    <s v="21/10/2026"/>
    <n v="34"/>
    <s v="No"/>
    <s v=""/>
    <m/>
    <m/>
    <s v="*MAV150201205"/>
    <s v="*MAV150201205"/>
    <n v="1.3121583765104685E-5"/>
  </r>
  <r>
    <x v="248"/>
    <s v="Pesos"/>
    <d v="2027-02-17T00:00:00"/>
    <s v="29/10/2026"/>
    <n v="0.90629201000000004"/>
    <m/>
    <n v="1416494.71"/>
    <n v="1283757.83"/>
    <n v="1416494.71"/>
    <n v="1283757.83"/>
    <n v="251"/>
    <s v="AMOMPY"/>
    <s v="Momentum Capital Investment S.A."/>
    <s v="21/10/2026"/>
    <s v="21/10/2026"/>
    <n v="34"/>
    <s v="No"/>
    <s v=""/>
    <m/>
    <m/>
    <s v="*MAV140201278"/>
    <s v="*MAV140201278"/>
    <n v="1.5711457321843076E-5"/>
  </r>
  <r>
    <x v="515"/>
    <s v="Pesos"/>
    <d v="2027-02-17T00:00:00"/>
    <s v="29/10/2026"/>
    <n v="0.90629201000000004"/>
    <m/>
    <n v="1820648.76"/>
    <n v="1650039.42"/>
    <n v="1820648.76"/>
    <n v="1650039.42"/>
    <n v="10"/>
    <s v="AMOMPY"/>
    <s v="Momentum Capital Investment S.A."/>
    <s v="21/10/2026"/>
    <s v="21/10/2026"/>
    <n v="34"/>
    <s v="No"/>
    <s v=""/>
    <m/>
    <m/>
    <s v="*MAV130201291"/>
    <s v="*MAV130201291"/>
    <n v="2.0194247949933595E-5"/>
  </r>
  <r>
    <x v="123"/>
    <s v="Pesos"/>
    <d v="2027-02-17T00:00:00"/>
    <s v="29/10/2026"/>
    <n v="0.91131534000000003"/>
    <m/>
    <n v="2833000"/>
    <n v="2581756.35"/>
    <n v="2833000"/>
    <n v="2581756.35"/>
    <n v="90000058"/>
    <s v="AMOMPY"/>
    <s v="Momentum Capital Investment S.A."/>
    <s v="25/09/2026"/>
    <s v="25/09/2026"/>
    <n v="32"/>
    <s v="No"/>
    <s v=""/>
    <m/>
    <m/>
    <s v="*MAV140201270"/>
    <s v="*MAV140201270"/>
    <n v="3.1597201403961335E-5"/>
  </r>
  <r>
    <x v="0"/>
    <s v="Pesos"/>
    <d v="2027-02-18T00:00:00"/>
    <s v="29/10/2026"/>
    <n v="0.91828520999999996"/>
    <m/>
    <n v="6934251.4900000002"/>
    <n v="6367620.5700000003"/>
    <n v="6934251.4900000002"/>
    <n v="6367620.5700000003"/>
    <n v="9842511"/>
    <s v="AMOMPY"/>
    <s v="Momentum Capital Investment S.A."/>
    <s v="28/10/2026"/>
    <s v="28/10/2026"/>
    <n v="29"/>
    <s v="No"/>
    <s v=""/>
    <m/>
    <m/>
    <s v="*TRD160200032"/>
    <s v="*TRD160200032"/>
    <n v="7.7931052484599128E-5"/>
  </r>
  <r>
    <x v="412"/>
    <s v="Pesos"/>
    <d v="2027-02-18T00:00:00"/>
    <s v="29/10/2026"/>
    <n v="0.91058786999999997"/>
    <m/>
    <n v="21145734.48"/>
    <n v="19255049.27"/>
    <n v="21145734.48"/>
    <n v="19255049.27"/>
    <n v="1985963"/>
    <s v="AMOMPY"/>
    <s v="Momentum Capital Investment S.A."/>
    <s v="16/09/2026"/>
    <s v="16/09/2026"/>
    <n v="32"/>
    <s v="No"/>
    <s v=""/>
    <m/>
    <m/>
    <s v="*MAV160201172"/>
    <s v="*MAV160201172"/>
    <n v="2.3565572708957939E-4"/>
  </r>
  <r>
    <x v="487"/>
    <s v="Pesos"/>
    <d v="2027-02-18T00:00:00"/>
    <s v="29/10/2026"/>
    <n v="0.92611389"/>
    <m/>
    <n v="3948801"/>
    <n v="3657039.44"/>
    <n v="3948801"/>
    <n v="3657039.44"/>
    <n v="1017"/>
    <s v="AMOMPY"/>
    <s v="Momentum Capital Investment S.A."/>
    <s v="29/07/2026"/>
    <s v="29/07/2026"/>
    <n v="26"/>
    <s v="No"/>
    <s v=""/>
    <m/>
    <m/>
    <s v="*MAV160201157"/>
    <s v="*MAV160201157"/>
    <n v="4.4757210233223583E-5"/>
  </r>
  <r>
    <x v="12"/>
    <s v="Pesos"/>
    <d v="2027-02-18T00:00:00"/>
    <s v="29/10/2026"/>
    <n v="0.90805073000000003"/>
    <m/>
    <n v="11321347.039999999"/>
    <n v="10280357.41"/>
    <n v="11321347.039999999"/>
    <n v="10280357.41"/>
    <n v="31227"/>
    <s v="AMOMPY"/>
    <s v="Momentum Capital Investment S.A."/>
    <s v="23/10/2026"/>
    <s v="23/10/2026"/>
    <n v="33"/>
    <s v="No"/>
    <s v=""/>
    <m/>
    <m/>
    <s v="*MAV160201232"/>
    <s v="*MAV160201232"/>
    <n v="1.2581765261794603E-4"/>
  </r>
  <r>
    <x v="414"/>
    <s v="Pesos"/>
    <d v="2027-02-18T00:00:00"/>
    <s v="29/10/2026"/>
    <n v="0.90805068"/>
    <m/>
    <n v="391319.8"/>
    <n v="355338.21"/>
    <n v="391319.8"/>
    <n v="355338.21"/>
    <n v="287"/>
    <s v="AMOMPY"/>
    <s v="Momentum Capital Investment S.A."/>
    <s v="26/10/2026"/>
    <s v="26/10/2026"/>
    <n v="33"/>
    <s v="No"/>
    <s v=""/>
    <m/>
    <m/>
    <s v="*MAV160201235"/>
    <s v="*MAV160201235"/>
    <n v="4.3488584768632821E-6"/>
  </r>
  <r>
    <x v="249"/>
    <s v="Pesos"/>
    <d v="2027-02-18T00:00:00"/>
    <s v="29/10/2026"/>
    <n v="0.90552745999999995"/>
    <m/>
    <n v="618696.5"/>
    <n v="560246.67000000004"/>
    <n v="618696.5"/>
    <n v="560246.67000000004"/>
    <n v="70497068"/>
    <s v="AMOMPY"/>
    <s v="Momentum Capital Investment S.A."/>
    <s v="21/10/2026"/>
    <s v="21/10/2026"/>
    <n v="34"/>
    <s v="No"/>
    <s v=""/>
    <m/>
    <m/>
    <s v="*MAV160201226"/>
    <s v="*MAV160201226"/>
    <n v="6.8566605318463384E-6"/>
  </r>
  <r>
    <x v="0"/>
    <s v="Pesos"/>
    <d v="2027-02-19T00:00:00"/>
    <s v="29/10/2026"/>
    <n v="0.91501646999999997"/>
    <m/>
    <n v="5000000"/>
    <n v="4575082.33"/>
    <n v="5000000"/>
    <n v="4575082.33"/>
    <n v="3897148"/>
    <s v="AMOMPY"/>
    <s v="Momentum Capital Investment S.A."/>
    <s v="22/09/2026"/>
    <s v="22/09/2026"/>
    <n v="30"/>
    <s v="No"/>
    <s v=""/>
    <m/>
    <m/>
    <s v="*TRD170200036"/>
    <s v="*TRD170200036"/>
    <n v="5.5992811955595534E-5"/>
  </r>
  <r>
    <x v="480"/>
    <s v="Pesos"/>
    <d v="2027-02-19T00:00:00"/>
    <s v="29/10/2026"/>
    <n v="0.90730571000000004"/>
    <m/>
    <n v="6006148"/>
    <n v="5449412.3799999999"/>
    <n v="6006148"/>
    <n v="5449412.3799999999"/>
    <n v="1370661"/>
    <s v="AMOMPY"/>
    <s v="Momentum Capital Investment S.A."/>
    <s v="23/09/2026"/>
    <s v="23/09/2026"/>
    <n v="33"/>
    <s v="No"/>
    <s v=""/>
    <m/>
    <m/>
    <s v="*MAV170201155"/>
    <s v="*MAV170201155"/>
    <n v="6.6693427714083193E-5"/>
  </r>
  <r>
    <x v="12"/>
    <s v="Pesos"/>
    <d v="2027-02-19T00:00:00"/>
    <s v="29/10/2026"/>
    <n v="0.90730577999999995"/>
    <m/>
    <n v="11321347.039999999"/>
    <n v="10271923.57"/>
    <n v="11321347.039999999"/>
    <n v="10271923.57"/>
    <n v="31228"/>
    <s v="AMOMPY"/>
    <s v="Momentum Capital Investment S.A."/>
    <s v="23/10/2026"/>
    <s v="23/10/2026"/>
    <n v="33"/>
    <s v="No"/>
    <s v=""/>
    <m/>
    <m/>
    <s v="*MAV170201221"/>
    <s v="*MAV170201221"/>
    <n v="1.2571443383779709E-4"/>
  </r>
  <r>
    <x v="289"/>
    <s v="Pesos"/>
    <d v="2027-02-19T00:00:00"/>
    <s v="29/10/2026"/>
    <n v="0.90730582999999998"/>
    <m/>
    <n v="2500000"/>
    <n v="2268264.58"/>
    <n v="2500000"/>
    <n v="2268264.58"/>
    <n v="36"/>
    <s v="AMOMPY"/>
    <s v="Momentum Capital Investment S.A."/>
    <s v="13/10/2026"/>
    <s v="13/10/2026"/>
    <n v="33"/>
    <s v="No"/>
    <s v=""/>
    <m/>
    <m/>
    <s v="*MAV170201193"/>
    <s v="*MAV170201193"/>
    <n v="2.7760486682537554E-5"/>
  </r>
  <r>
    <x v="162"/>
    <s v="Pesos"/>
    <d v="2027-02-22T00:00:00"/>
    <s v="29/10/2026"/>
    <n v="0.91031525999999996"/>
    <m/>
    <n v="40000000"/>
    <n v="36412610.369999997"/>
    <n v="40000000"/>
    <n v="36412610.369999997"/>
    <n v="14046"/>
    <s v="AMOMPY"/>
    <s v="Momentum Capital Investment S.A."/>
    <s v="22/09/2026"/>
    <s v="22/09/2026"/>
    <n v="31"/>
    <s v="No"/>
    <s v=""/>
    <m/>
    <m/>
    <s v="*AAR180200021"/>
    <s v="*AAR180200021"/>
    <n v="4.4564103948262229E-4"/>
  </r>
  <r>
    <x v="162"/>
    <s v="Pesos"/>
    <d v="2027-02-22T00:00:00"/>
    <s v="29/10/2026"/>
    <n v="0.91031525999999996"/>
    <m/>
    <n v="21076489.489999998"/>
    <n v="19186249.989999998"/>
    <n v="21076489.489999998"/>
    <n v="19186249.989999998"/>
    <n v="14049"/>
    <s v="AMOMPY"/>
    <s v="Momentum Capital Investment S.A."/>
    <s v="22/09/2026"/>
    <s v="22/09/2026"/>
    <n v="31"/>
    <s v="No"/>
    <s v=""/>
    <m/>
    <m/>
    <s v="*AAR180200022"/>
    <s v="*AAR180200022"/>
    <n v="2.3481371707317813E-4"/>
  </r>
  <r>
    <x v="162"/>
    <s v="Pesos"/>
    <d v="2027-02-22T00:00:00"/>
    <s v="29/10/2026"/>
    <n v="0.91031525999999996"/>
    <m/>
    <n v="3640499.43"/>
    <n v="3314002.18"/>
    <n v="3640499.43"/>
    <n v="3314002.18"/>
    <n v="14050"/>
    <s v="AMOMPY"/>
    <s v="Momentum Capital Investment S.A."/>
    <s v="22/09/2026"/>
    <s v="22/09/2026"/>
    <n v="31"/>
    <s v="No"/>
    <s v=""/>
    <m/>
    <m/>
    <s v="*AAR180200023"/>
    <s v="*AAR180200023"/>
    <n v="4.0558898725910722E-5"/>
  </r>
  <r>
    <x v="162"/>
    <s v="Pesos"/>
    <d v="2027-02-22T00:00:00"/>
    <s v="29/10/2026"/>
    <n v="0.91031525999999996"/>
    <m/>
    <n v="26701225.219999999"/>
    <n v="24306532.760000002"/>
    <n v="26701225.219999999"/>
    <n v="24306532.760000002"/>
    <n v="14047"/>
    <s v="AMOMPY"/>
    <s v="Momentum Capital Investment S.A."/>
    <s v="22/09/2026"/>
    <s v="22/09/2026"/>
    <n v="31"/>
    <s v="No"/>
    <s v=""/>
    <m/>
    <m/>
    <s v="*AAR180200024"/>
    <s v="*AAR180200024"/>
    <n v="2.9747904408164005E-4"/>
  </r>
  <r>
    <x v="385"/>
    <s v="Pesos"/>
    <d v="2027-02-22T00:00:00"/>
    <s v="29/10/2026"/>
    <n v="0.91295671"/>
    <m/>
    <n v="15000000"/>
    <n v="13694350.67"/>
    <n v="15000000"/>
    <n v="13694350.67"/>
    <n v="1422"/>
    <s v="AMOMPY"/>
    <s v="Momentum Capital Investment S.A."/>
    <s v="28/10/2026"/>
    <s v="28/10/2026"/>
    <n v="30"/>
    <s v="No"/>
    <s v=""/>
    <m/>
    <m/>
    <s v="*MAV180201192"/>
    <s v="*MAV180201192"/>
    <n v="1.6760030675104675E-4"/>
  </r>
  <r>
    <x v="12"/>
    <s v="Pesos"/>
    <d v="2027-02-22T00:00:00"/>
    <s v="29/10/2026"/>
    <n v="0.90507850999999995"/>
    <m/>
    <n v="11321347.039999999"/>
    <n v="10246707.859999999"/>
    <n v="11321347.039999999"/>
    <n v="10246707.859999999"/>
    <n v="31229"/>
    <s v="AMOMPY"/>
    <s v="Momentum Capital Investment S.A."/>
    <s v="23/10/2026"/>
    <s v="23/10/2026"/>
    <n v="33"/>
    <s v="No"/>
    <s v=""/>
    <m/>
    <m/>
    <s v="*MAV180201185"/>
    <s v="*MAV180201185"/>
    <n v="1.2540582769554284E-4"/>
  </r>
  <r>
    <x v="421"/>
    <s v="Pesos"/>
    <d v="2027-02-22T00:00:00"/>
    <s v="29/10/2026"/>
    <n v="0.90248245000000005"/>
    <m/>
    <n v="4927055.72"/>
    <n v="4446581.33"/>
    <n v="4927055.72"/>
    <n v="4446581.33"/>
    <n v="1497"/>
    <s v="AMOMPY"/>
    <s v="Momentum Capital Investment S.A."/>
    <s v="21/10/2026"/>
    <s v="21/10/2026"/>
    <n v="34"/>
    <s v="No"/>
    <s v=""/>
    <m/>
    <m/>
    <s v="*MAV180201173"/>
    <s v="*MAV180201173"/>
    <n v="5.4420133736905208E-5"/>
  </r>
  <r>
    <x v="65"/>
    <s v="Pesos"/>
    <d v="2027-02-23T00:00:00"/>
    <s v="29/10/2026"/>
    <n v="0.91360777000000004"/>
    <m/>
    <n v="5633315"/>
    <n v="5146640.33"/>
    <n v="5633315"/>
    <n v="5146640.33"/>
    <n v="69874693"/>
    <s v="AMOMPY"/>
    <s v="Momentum Capital Investment S.A."/>
    <s v="23/09/2026"/>
    <s v="23/09/2026"/>
    <n v="29.5"/>
    <s v="No"/>
    <s v=""/>
    <m/>
    <m/>
    <s v="*CVA190200010"/>
    <s v="*CVA190200010"/>
    <n v="6.2987907848376172E-5"/>
  </r>
  <r>
    <x v="236"/>
    <s v="Pesos"/>
    <d v="2027-02-23T00:00:00"/>
    <s v="29/10/2026"/>
    <n v="0.90696756999999995"/>
    <m/>
    <n v="75000000"/>
    <n v="68022567.709999993"/>
    <n v="75000000"/>
    <n v="68022567.709999993"/>
    <n v="51413"/>
    <s v="AMOMPY"/>
    <s v="Momentum Capital Investment S.A."/>
    <s v="24/09/2026"/>
    <s v="24/09/2026"/>
    <n v="32"/>
    <s v="No"/>
    <s v=""/>
    <m/>
    <m/>
    <s v="*MAV190200967"/>
    <s v="*MAV190200967"/>
    <n v="8.325041098271983E-4"/>
  </r>
  <r>
    <x v="236"/>
    <s v="Pesos"/>
    <d v="2027-02-23T00:00:00"/>
    <s v="29/10/2026"/>
    <n v="0.90696759000000005"/>
    <m/>
    <n v="55000000"/>
    <n v="49883217.630000003"/>
    <n v="55000000"/>
    <n v="49883217.630000003"/>
    <n v="51556"/>
    <s v="AMOMPY"/>
    <s v="Momentum Capital Investment S.A."/>
    <s v="28/09/2026"/>
    <s v="28/09/2026"/>
    <n v="32"/>
    <s v="No"/>
    <s v=""/>
    <m/>
    <m/>
    <s v="*MAV190200972"/>
    <s v="*MAV190200972"/>
    <n v="6.1050302989774572E-4"/>
  </r>
  <r>
    <x v="6"/>
    <s v="Pesos"/>
    <d v="2027-02-23T00:00:00"/>
    <s v="29/10/2026"/>
    <n v="0.91494759000000003"/>
    <m/>
    <n v="12252176.529999999"/>
    <n v="11210099.41"/>
    <n v="12252176.529999999"/>
    <n v="11210099.41"/>
    <n v="70060287"/>
    <s v="AMOMPY"/>
    <s v="Momentum Capital Investment S.A."/>
    <s v="02/10/2026"/>
    <s v="02/10/2026"/>
    <n v="29"/>
    <s v="No"/>
    <s v=""/>
    <m/>
    <m/>
    <s v="*CRE190200113"/>
    <s v="*CRE190200113"/>
    <n v="1.3719643560330475E-4"/>
  </r>
  <r>
    <x v="12"/>
    <s v="Pesos"/>
    <d v="2027-02-23T00:00:00"/>
    <s v="29/10/2026"/>
    <n v="0.90433843000000003"/>
    <m/>
    <n v="11321347.039999999"/>
    <n v="10238329.15"/>
    <n v="11321347.039999999"/>
    <n v="10238329.15"/>
    <n v="31230"/>
    <s v="AMOMPY"/>
    <s v="Momentum Capital Investment S.A."/>
    <s v="23/10/2026"/>
    <s v="23/10/2026"/>
    <n v="33"/>
    <s v="No"/>
    <s v=""/>
    <m/>
    <m/>
    <s v="*MAV190201010"/>
    <s v="*MAV190201010"/>
    <n v="1.2530328363193462E-4"/>
  </r>
  <r>
    <x v="307"/>
    <s v="Pesos"/>
    <d v="2027-02-23T00:00:00"/>
    <s v="29/10/2026"/>
    <n v="0.90172459000000005"/>
    <m/>
    <n v="1257626.56"/>
    <n v="1134032.79"/>
    <n v="1257626.56"/>
    <n v="1134032.79"/>
    <n v="129"/>
    <s v="AMOMPY"/>
    <s v="Momentum Capital Investment S.A."/>
    <s v="21/10/2026"/>
    <s v="21/10/2026"/>
    <n v="34"/>
    <s v="No"/>
    <s v=""/>
    <m/>
    <m/>
    <s v="*MAV190201003"/>
    <s v="*MAV190201003"/>
    <n v="1.3879025596015747E-5"/>
  </r>
  <r>
    <x v="419"/>
    <s v="Pesos"/>
    <d v="2027-02-23T00:00:00"/>
    <s v="29/10/2026"/>
    <n v="0.90433832999999997"/>
    <m/>
    <n v="240000"/>
    <n v="217041.2"/>
    <n v="240000"/>
    <n v="217041.2"/>
    <n v="70595585"/>
    <s v="AMOMPY"/>
    <s v="Momentum Capital Investment S.A."/>
    <s v="26/10/2026"/>
    <s v="26/10/2026"/>
    <n v="33"/>
    <s v="No"/>
    <s v=""/>
    <m/>
    <m/>
    <s v="*MAV190201016"/>
    <s v="*MAV190201016"/>
    <n v="2.6562903619303394E-6"/>
  </r>
  <r>
    <x v="236"/>
    <s v="Pesos"/>
    <d v="2027-02-24T00:00:00"/>
    <s v="29/10/2026"/>
    <n v="0.91158859000000003"/>
    <m/>
    <n v="10000000"/>
    <n v="9115885.8900000006"/>
    <n v="10000000"/>
    <n v="9115885.8900000006"/>
    <n v="52711"/>
    <s v="AMOMPY"/>
    <s v="Momentum Capital Investment S.A."/>
    <s v="22/10/2026"/>
    <s v="22/10/2026"/>
    <n v="30"/>
    <s v="No"/>
    <s v=""/>
    <m/>
    <m/>
    <s v="*MAV200201459"/>
    <s v="*MAV200201459"/>
    <n v="1.1156609818810335E-4"/>
  </r>
  <r>
    <x v="54"/>
    <s v="Pesos"/>
    <d v="2027-02-24T00:00:00"/>
    <s v="29/10/2026"/>
    <n v="0.90359962000000005"/>
    <m/>
    <n v="10000000"/>
    <n v="9035996.2400000002"/>
    <n v="10000000"/>
    <n v="9035996.2400000002"/>
    <n v="69401185"/>
    <s v="AMOMPY"/>
    <s v="Momentum Capital Investment S.A."/>
    <s v="07/09/2026"/>
    <s v="07/09/2026"/>
    <n v="33"/>
    <s v="No"/>
    <s v=""/>
    <m/>
    <m/>
    <s v="*INP200200087"/>
    <s v="*INP200200087"/>
    <n v="1.1058835706193473E-4"/>
  </r>
  <r>
    <x v="54"/>
    <s v="Pesos"/>
    <d v="2027-02-24T00:00:00"/>
    <s v="29/10/2026"/>
    <n v="0.90624700000000002"/>
    <m/>
    <n v="4500000"/>
    <n v="4078111.5"/>
    <n v="4500000"/>
    <n v="4078111.5"/>
    <n v="70661149"/>
    <s v="AMOMPY"/>
    <s v="Momentum Capital Investment S.A."/>
    <s v="28/10/2026"/>
    <s v="28/10/2026"/>
    <n v="32"/>
    <s v="No"/>
    <s v=""/>
    <m/>
    <m/>
    <s v="*INP200200089"/>
    <s v="*INP200200089"/>
    <n v="4.9910562014618791E-5"/>
  </r>
  <r>
    <x v="6"/>
    <s v="Pesos"/>
    <d v="2027-02-24T00:00:00"/>
    <s v="29/10/2026"/>
    <n v="0.91428290999999995"/>
    <m/>
    <n v="12258159.039999999"/>
    <n v="11207425.26"/>
    <n v="12258159.039999999"/>
    <n v="11207425.26"/>
    <n v="70060311"/>
    <s v="AMOMPY"/>
    <s v="Momentum Capital Investment S.A."/>
    <s v="02/10/2026"/>
    <s v="02/10/2026"/>
    <n v="29"/>
    <s v="No"/>
    <s v=""/>
    <m/>
    <m/>
    <s v="*CRE220200099"/>
    <s v="*CRE220200099"/>
    <n v="1.3716370762874804E-4"/>
  </r>
  <r>
    <x v="333"/>
    <s v="Pesos"/>
    <d v="2027-02-24T00:00:00"/>
    <s v="29/10/2026"/>
    <n v="0.91971994999999995"/>
    <m/>
    <n v="19550000"/>
    <n v="17980525.09"/>
    <n v="19550000"/>
    <n v="17980525.09"/>
    <n v="90017129"/>
    <s v="AMOMPY"/>
    <s v="Momentum Capital Investment S.A."/>
    <s v="29/10/2026"/>
    <s v="29/10/2026"/>
    <n v="27"/>
    <s v="No"/>
    <s v=""/>
    <m/>
    <m/>
    <s v="*ACI210200246"/>
    <s v="*ACI210200246"/>
    <n v="2.2005727713914986E-4"/>
  </r>
  <r>
    <x v="333"/>
    <s v="Pesos"/>
    <d v="2027-02-24T00:00:00"/>
    <s v="29/10/2026"/>
    <n v="0.91971994999999995"/>
    <m/>
    <n v="30000000"/>
    <n v="27591598.609999999"/>
    <n v="30000000"/>
    <n v="27591598.609999999"/>
    <n v="1832"/>
    <s v="AMOMPY"/>
    <s v="Momentum Capital Investment S.A."/>
    <s v="29/10/2026"/>
    <s v="29/10/2026"/>
    <n v="27"/>
    <s v="No"/>
    <s v=""/>
    <m/>
    <m/>
    <s v="*ACI200200473"/>
    <s v="*ACI200200473"/>
    <n v="3.3768380131511227E-4"/>
  </r>
  <r>
    <x v="189"/>
    <s v="Pesos"/>
    <d v="2027-02-24T00:00:00"/>
    <s v="29/10/2026"/>
    <n v="0.90359966999999997"/>
    <m/>
    <n v="20000000"/>
    <n v="18071993.32"/>
    <n v="20000000"/>
    <n v="18071993.32"/>
    <n v="1405376"/>
    <s v="AMOMPY"/>
    <s v="Momentum Capital Investment S.A."/>
    <s v="21/10/2026"/>
    <s v="21/10/2026"/>
    <n v="33"/>
    <s v="No"/>
    <s v=""/>
    <m/>
    <m/>
    <s v="*MAV200201455"/>
    <s v="*MAV200201455"/>
    <n v="2.2117672440433189E-4"/>
  </r>
  <r>
    <x v="146"/>
    <s v="Pesos"/>
    <d v="2027-02-24T00:00:00"/>
    <s v="29/10/2026"/>
    <n v="0.91158841999999995"/>
    <m/>
    <n v="40000000"/>
    <n v="36463536.68"/>
    <n v="40000000"/>
    <n v="36463536.68"/>
    <n v="90004384"/>
    <s v="AMOMPY"/>
    <s v="Momentum Capital Investment S.A."/>
    <s v="23/10/2026"/>
    <s v="23/10/2026"/>
    <n v="30"/>
    <s v="No"/>
    <s v=""/>
    <m/>
    <m/>
    <s v="*MAV210201185"/>
    <s v="*MAV210201185"/>
    <n v="4.4626430855053054E-4"/>
  </r>
  <r>
    <x v="12"/>
    <s v="Pesos"/>
    <d v="2027-02-24T00:00:00"/>
    <s v="29/10/2026"/>
    <n v="0.90359955000000003"/>
    <m/>
    <n v="11321347.039999999"/>
    <n v="10229964.119999999"/>
    <n v="11321347.039999999"/>
    <n v="10229964.119999999"/>
    <n v="31231"/>
    <s v="AMOMPY"/>
    <s v="Momentum Capital Investment S.A."/>
    <s v="23/10/2026"/>
    <s v="23/10/2026"/>
    <n v="33"/>
    <s v="No"/>
    <s v=""/>
    <m/>
    <m/>
    <s v="*MAV220200957"/>
    <s v="*MAV220200957"/>
    <n v="1.2520090699300032E-4"/>
  </r>
  <r>
    <x v="304"/>
    <s v="Pesos"/>
    <d v="2027-02-24T00:00:00"/>
    <s v="29/10/2026"/>
    <n v="0.90359977000000002"/>
    <m/>
    <n v="5368571.43"/>
    <n v="4851039.9000000004"/>
    <n v="5368571.43"/>
    <n v="4851039.9000000004"/>
    <n v="469"/>
    <s v="AMOMPY"/>
    <s v="Momentum Capital Investment S.A."/>
    <s v="26/10/2026"/>
    <s v="26/10/2026"/>
    <n v="33"/>
    <s v="No"/>
    <s v=""/>
    <m/>
    <m/>
    <s v="*MAV220200960"/>
    <s v="*MAV220200960"/>
    <n v="5.9370158899368038E-5"/>
  </r>
  <r>
    <x v="497"/>
    <s v="Pesos"/>
    <d v="2027-02-24T00:00:00"/>
    <s v="29/10/2026"/>
    <n v="0.90359977000000002"/>
    <m/>
    <n v="7345493.4699999997"/>
    <n v="6637386.1799999997"/>
    <n v="7345493.4699999997"/>
    <n v="6637386.1799999997"/>
    <n v="41018391"/>
    <s v="AMOMPY"/>
    <s v="Momentum Capital Investment S.A."/>
    <s v="26/10/2026"/>
    <s v="26/10/2026"/>
    <n v="33"/>
    <s v="No"/>
    <s v=""/>
    <m/>
    <m/>
    <s v="*MAV200201463"/>
    <s v="*MAV200201463"/>
    <n v="8.1232618223377098E-5"/>
  </r>
  <r>
    <x v="491"/>
    <s v="Pesos"/>
    <d v="2027-02-24T00:00:00"/>
    <s v="29/10/2026"/>
    <n v="0.90359977000000002"/>
    <m/>
    <n v="1518463.43"/>
    <n v="1372083.2"/>
    <n v="1518463.43"/>
    <n v="1372083.2"/>
    <n v="11460876"/>
    <s v="AMOMPY"/>
    <s v="Momentum Capital Investment S.A."/>
    <s v="26/10/2026"/>
    <s v="26/10/2026"/>
    <n v="33"/>
    <s v="No"/>
    <s v=""/>
    <m/>
    <m/>
    <s v="*MAV210201186"/>
    <s v="*MAV210201186"/>
    <n v="1.6792440236814662E-5"/>
  </r>
  <r>
    <x v="417"/>
    <s v="Pesos"/>
    <d v="2027-02-24T00:00:00"/>
    <s v="29/10/2026"/>
    <n v="0.90359955999999997"/>
    <m/>
    <n v="2643916.21"/>
    <n v="2389041.5099999998"/>
    <n v="2643916.21"/>
    <n v="2389041.5099999998"/>
    <n v="90023089"/>
    <s v="AMOMPY"/>
    <s v="Momentum Capital Investment S.A."/>
    <s v="23/10/2026"/>
    <s v="23/10/2026"/>
    <n v="33"/>
    <s v="No"/>
    <s v=""/>
    <m/>
    <m/>
    <s v="*MAV200201460"/>
    <s v="*MAV200201460"/>
    <n v="2.9238632744679372E-5"/>
  </r>
  <r>
    <x v="12"/>
    <s v="Pesos"/>
    <d v="2027-02-25T00:00:00"/>
    <s v="29/10/2026"/>
    <n v="0.90286213999999998"/>
    <m/>
    <n v="11321347.039999999"/>
    <n v="10221615.65"/>
    <n v="11321347.039999999"/>
    <n v="10221615.65"/>
    <n v="31232"/>
    <s v="AMOMPY"/>
    <s v="Momentum Capital Investment S.A."/>
    <s v="23/10/2026"/>
    <s v="23/10/2026"/>
    <n v="33"/>
    <s v="No"/>
    <s v=""/>
    <m/>
    <m/>
    <s v="*MAV230201172"/>
    <s v="*MAV230201172"/>
    <n v="1.2509873302603985E-4"/>
  </r>
  <r>
    <x v="0"/>
    <s v="Pesos"/>
    <d v="2027-02-26T00:00:00"/>
    <s v="29/10/2026"/>
    <n v="0.91022462999999998"/>
    <m/>
    <n v="5000000"/>
    <n v="4551123.13"/>
    <n v="5000000"/>
    <n v="4551123.13"/>
    <n v="3897149"/>
    <s v="AMOMPY"/>
    <s v="Momentum Capital Investment S.A."/>
    <s v="22/09/2026"/>
    <s v="22/09/2026"/>
    <n v="30"/>
    <s v="No"/>
    <s v=""/>
    <m/>
    <m/>
    <s v="*TRD240200026"/>
    <s v="*TRD240200026"/>
    <n v="5.5699583794124062E-5"/>
  </r>
  <r>
    <x v="236"/>
    <s v="Pesos"/>
    <d v="2027-02-26T00:00:00"/>
    <s v="29/10/2026"/>
    <n v="0.90480925000000001"/>
    <m/>
    <n v="45000000"/>
    <n v="40716416.439999998"/>
    <n v="45000000"/>
    <n v="40716416.439999998"/>
    <n v="51558"/>
    <s v="AMOMPY"/>
    <s v="Momentum Capital Investment S.A."/>
    <s v="28/09/2026"/>
    <s v="28/09/2026"/>
    <n v="32"/>
    <s v="No"/>
    <s v=""/>
    <m/>
    <m/>
    <s v="*MAV240201211"/>
    <s v="*MAV240201211"/>
    <n v="4.9831379738922389E-4"/>
  </r>
  <r>
    <x v="236"/>
    <s v="Pesos"/>
    <d v="2027-02-26T00:00:00"/>
    <s v="29/10/2026"/>
    <n v="0.91022449000000005"/>
    <m/>
    <n v="10000000"/>
    <n v="9102244.8800000008"/>
    <n v="10000000"/>
    <n v="9102244.8800000008"/>
    <n v="52712"/>
    <s v="AMOMPY"/>
    <s v="Momentum Capital Investment S.A."/>
    <s v="22/10/2026"/>
    <s v="22/10/2026"/>
    <n v="30"/>
    <s v="No"/>
    <s v=""/>
    <m/>
    <m/>
    <s v="*MAV240201272"/>
    <s v="*MAV240201272"/>
    <n v="1.1139915069891699E-4"/>
  </r>
  <r>
    <x v="164"/>
    <s v="Pesos"/>
    <d v="2027-02-26T00:00:00"/>
    <s v="29/10/2026"/>
    <n v="0.90212563000000001"/>
    <m/>
    <n v="565911.67000000004"/>
    <n v="510523.42"/>
    <n v="565911.67000000004"/>
    <n v="510523.42"/>
    <n v="2507"/>
    <s v="AMOMPY"/>
    <s v="Momentum Capital Investment S.A."/>
    <s v="26/10/2026"/>
    <s v="26/10/2026"/>
    <n v="33"/>
    <s v="No"/>
    <s v=""/>
    <m/>
    <m/>
    <s v="*MAV240201275"/>
    <s v="*MAV240201275"/>
    <n v="6.2481152891050857E-6"/>
  </r>
  <r>
    <x v="480"/>
    <s v="Pesos"/>
    <d v="2027-02-26T00:00:00"/>
    <s v="29/10/2026"/>
    <n v="0.90212561000000002"/>
    <m/>
    <n v="6006148"/>
    <n v="5418299.9299999997"/>
    <n v="6006148"/>
    <n v="5418299.9299999997"/>
    <n v="1370662"/>
    <s v="AMOMPY"/>
    <s v="Momentum Capital Investment S.A."/>
    <s v="23/09/2026"/>
    <s v="23/09/2026"/>
    <n v="33"/>
    <s v="No"/>
    <s v=""/>
    <m/>
    <m/>
    <s v="*MAV240201203"/>
    <s v="*MAV240201203"/>
    <n v="6.6312653459835421E-5"/>
  </r>
  <r>
    <x v="54"/>
    <s v="Pesos"/>
    <d v="2027-02-26T00:00:00"/>
    <s v="29/10/2026"/>
    <n v="0.90212572000000002"/>
    <m/>
    <n v="10000000"/>
    <n v="9021257.1899999995"/>
    <n v="10000000"/>
    <n v="9021257.1899999995"/>
    <n v="69401363"/>
    <s v="AMOMPY"/>
    <s v="Momentum Capital Investment S.A."/>
    <s v="07/09/2026"/>
    <s v="07/09/2026"/>
    <n v="33"/>
    <s v="No"/>
    <s v=""/>
    <m/>
    <m/>
    <s v="*INP240200080"/>
    <s v="*INP240200080"/>
    <n v="1.1040797105015903E-4"/>
  </r>
  <r>
    <x v="12"/>
    <s v="Pesos"/>
    <d v="2027-02-26T00:00:00"/>
    <s v="29/10/2026"/>
    <n v="0.90212568000000004"/>
    <m/>
    <n v="11321347.039999999"/>
    <n v="10213277.890000001"/>
    <n v="11321347.039999999"/>
    <n v="10213277.890000001"/>
    <n v="31233"/>
    <s v="AMOMPY"/>
    <s v="Momentum Capital Investment S.A."/>
    <s v="23/10/2026"/>
    <s v="23/10/2026"/>
    <n v="33"/>
    <s v="No"/>
    <s v=""/>
    <m/>
    <m/>
    <s v="*MAV240201273"/>
    <s v="*MAV240201273"/>
    <n v="1.2499669013497545E-4"/>
  </r>
  <r>
    <x v="289"/>
    <s v="Pesos"/>
    <d v="2027-02-26T00:00:00"/>
    <s v="29/10/2026"/>
    <n v="0.90212574000000001"/>
    <m/>
    <n v="2500000"/>
    <n v="2255314.35"/>
    <n v="2500000"/>
    <n v="2255314.35"/>
    <n v="33"/>
    <s v="AMOMPY"/>
    <s v="Momentum Capital Investment S.A."/>
    <s v="13/10/2026"/>
    <s v="13/10/2026"/>
    <n v="33"/>
    <s v="No"/>
    <s v=""/>
    <m/>
    <m/>
    <s v="*MAV240201246"/>
    <s v="*MAV240201246"/>
    <n v="2.7601993405068664E-5"/>
  </r>
  <r>
    <x v="443"/>
    <s v="Pesos"/>
    <d v="2027-02-26T00:00:00"/>
    <s v="29/10/2026"/>
    <n v="0.89945808999999999"/>
    <m/>
    <n v="19131395.420000002"/>
    <n v="17207888.43"/>
    <n v="19131395.420000002"/>
    <n v="17207888.43"/>
    <n v="283"/>
    <s v="AMOMPY"/>
    <s v="Momentum Capital Investment S.A."/>
    <s v="28/10/2026"/>
    <s v="28/10/2026"/>
    <n v="34"/>
    <s v="No"/>
    <s v=""/>
    <m/>
    <m/>
    <s v="*MAV240201281"/>
    <s v="*MAV240201281"/>
    <n v="2.1060125075691435E-4"/>
  </r>
  <r>
    <x v="444"/>
    <s v="Pesos"/>
    <d v="2027-02-26T00:00:00"/>
    <s v="29/10/2026"/>
    <n v="0.89945808999999999"/>
    <m/>
    <n v="12701545.390000001"/>
    <n v="11424507.789999999"/>
    <n v="12701545.390000001"/>
    <n v="11424507.789999999"/>
    <n v="140"/>
    <s v="AMOMPY"/>
    <s v="Momentum Capital Investment S.A."/>
    <s v="28/10/2026"/>
    <s v="28/10/2026"/>
    <n v="34"/>
    <s v="No"/>
    <s v=""/>
    <m/>
    <m/>
    <s v="*MAV240201282"/>
    <s v="*MAV240201282"/>
    <n v="1.3982050381390758E-4"/>
  </r>
  <r>
    <x v="306"/>
    <s v="Pesos"/>
    <d v="2027-02-26T00:00:00"/>
    <s v="29/10/2026"/>
    <n v="0.90480921000000003"/>
    <m/>
    <n v="661730"/>
    <n v="598739.4"/>
    <n v="661730"/>
    <n v="598739.4"/>
    <n v="1255"/>
    <s v="AMOMPY"/>
    <s v="Momentum Capital Investment S.A."/>
    <s v="01/10/2026"/>
    <s v="01/10/2026"/>
    <n v="32"/>
    <s v="No"/>
    <s v=""/>
    <m/>
    <m/>
    <s v="*MAV240201213"/>
    <s v="*MAV240201213"/>
    <n v="7.3277594186170842E-6"/>
  </r>
  <r>
    <x v="498"/>
    <s v="Pesos"/>
    <d v="2027-02-26T00:00:00"/>
    <s v="29/10/2026"/>
    <n v="0.91076968000000003"/>
    <m/>
    <n v="300000000"/>
    <n v="273230903.10000002"/>
    <n v="300000000"/>
    <n v="273230903.10000002"/>
    <n v="2529"/>
    <s v="AMOMPY"/>
    <s v="Momentum Capital Investment S.A."/>
    <s v="27/10/2026"/>
    <s v="27/10/2026"/>
    <n v="29.8"/>
    <s v="No"/>
    <s v=""/>
    <m/>
    <m/>
    <s v="*AGV240200001"/>
    <s v="*AGV240200001"/>
    <n v="3.3439762334803373E-3"/>
  </r>
  <r>
    <x v="385"/>
    <s v="Pesos"/>
    <d v="2027-03-01T00:00:00"/>
    <s v="29/10/2026"/>
    <n v="0.90818611999999999"/>
    <m/>
    <n v="15000000"/>
    <n v="13622791.82"/>
    <n v="15000000"/>
    <n v="13622791.82"/>
    <n v="1423"/>
    <s v="AMOMPY"/>
    <s v="Momentum Capital Investment S.A."/>
    <s v="28/10/2026"/>
    <s v="28/10/2026"/>
    <n v="30"/>
    <s v="No"/>
    <s v=""/>
    <m/>
    <m/>
    <s v="*MAV250201235"/>
    <s v="*MAV250201235"/>
    <n v="1.6672452333496806E-4"/>
  </r>
  <r>
    <x v="12"/>
    <s v="Pesos"/>
    <d v="2027-03-01T00:00:00"/>
    <s v="29/10/2026"/>
    <n v="0.89992373000000003"/>
    <m/>
    <n v="11321347.039999999"/>
    <n v="10188348.91"/>
    <n v="11321347.039999999"/>
    <n v="10188348.91"/>
    <n v="31234"/>
    <s v="AMOMPY"/>
    <s v="Momentum Capital Investment S.A."/>
    <s v="23/10/2026"/>
    <s v="23/10/2026"/>
    <n v="33"/>
    <s v="No"/>
    <s v=""/>
    <m/>
    <m/>
    <s v="*MAV250201230"/>
    <s v="*MAV250201230"/>
    <n v="1.2469159317961972E-4"/>
  </r>
  <r>
    <x v="516"/>
    <s v="Pesos"/>
    <d v="2027-03-01T00:00:00"/>
    <s v="29/10/2026"/>
    <n v="0.90266113000000003"/>
    <m/>
    <n v="6700113.5999999996"/>
    <n v="6047932.1100000003"/>
    <n v="6700113.5999999996"/>
    <n v="6047932.1100000003"/>
    <n v="20"/>
    <s v="AMOMPY"/>
    <s v="Momentum Capital Investment S.A."/>
    <s v="01/10/2026"/>
    <s v="01/10/2026"/>
    <n v="32"/>
    <s v="No"/>
    <s v=""/>
    <m/>
    <m/>
    <s v="*MAV250201200"/>
    <s v="*MAV250201200"/>
    <n v="7.4018498669386378E-5"/>
  </r>
  <r>
    <x v="283"/>
    <s v="Pesos"/>
    <d v="2027-03-02T00:00:00"/>
    <s v="29/10/2026"/>
    <n v="0.91031525000000002"/>
    <m/>
    <n v="13318880"/>
    <n v="12124379.560000001"/>
    <n v="13318880"/>
    <n v="12124379.560000001"/>
    <n v="547"/>
    <s v="AMOMPY"/>
    <s v="Momentum Capital Investment S.A."/>
    <s v="29/10/2026"/>
    <s v="29/10/2026"/>
    <n v="29"/>
    <s v="No"/>
    <s v=""/>
    <m/>
    <m/>
    <s v="*SOL260200004"/>
    <s v="*SOL260200004"/>
    <n v="1.4838598648373309E-4"/>
  </r>
  <r>
    <x v="236"/>
    <s v="Pesos"/>
    <d v="2027-03-02T00:00:00"/>
    <s v="29/10/2026"/>
    <n v="0.90194730999999995"/>
    <m/>
    <n v="75000000"/>
    <n v="67646047.950000003"/>
    <n v="75000000"/>
    <n v="67646047.950000003"/>
    <n v="51414"/>
    <s v="AMOMPY"/>
    <s v="Momentum Capital Investment S.A."/>
    <s v="24/09/2026"/>
    <s v="24/09/2026"/>
    <n v="32"/>
    <s v="No"/>
    <s v=""/>
    <m/>
    <m/>
    <s v="*MAV260201119"/>
    <s v="*MAV260201119"/>
    <n v="8.278960178632564E-4"/>
  </r>
  <r>
    <x v="517"/>
    <s v="Pesos"/>
    <d v="2027-03-02T00:00:00"/>
    <s v="29/10/2026"/>
    <n v="0.89919205000000002"/>
    <m/>
    <n v="26750000"/>
    <n v="24053387.329999998"/>
    <n v="26750000"/>
    <n v="24053387.329999998"/>
    <n v="17"/>
    <s v="AMOMPY"/>
    <s v="Momentum Capital Investment S.A."/>
    <s v="24/09/2026"/>
    <s v="24/09/2026"/>
    <n v="33"/>
    <s v="No"/>
    <s v=""/>
    <m/>
    <m/>
    <s v="*MAV260201117"/>
    <s v="*MAV260201117"/>
    <n v="2.9438088683833455E-4"/>
  </r>
  <r>
    <x v="54"/>
    <s v="Pesos"/>
    <d v="2027-03-02T00:00:00"/>
    <s v="29/10/2026"/>
    <n v="0.90471950000000001"/>
    <m/>
    <n v="2000000"/>
    <n v="1809439"/>
    <n v="2000000"/>
    <n v="1809439"/>
    <n v="69223307"/>
    <s v="AMOMPY"/>
    <s v="Momentum Capital Investment S.A."/>
    <s v="24/09/2026"/>
    <s v="24/09/2026"/>
    <n v="31"/>
    <s v="No"/>
    <s v=""/>
    <m/>
    <m/>
    <s v="*INP260200084"/>
    <s v="*INP260200084"/>
    <n v="2.2145082943703184E-5"/>
  </r>
  <r>
    <x v="54"/>
    <s v="Pesos"/>
    <d v="2027-03-02T00:00:00"/>
    <s v="29/10/2026"/>
    <n v="0.90750878999999995"/>
    <m/>
    <n v="5000000"/>
    <n v="4537543.93"/>
    <n v="5000000"/>
    <n v="4537543.93"/>
    <n v="40810974"/>
    <s v="AMOMPY"/>
    <s v="Momentum Capital Investment S.A."/>
    <s v="24/09/2026"/>
    <s v="24/09/2026"/>
    <n v="30"/>
    <s v="No"/>
    <s v=""/>
    <m/>
    <m/>
    <s v="*INP260200085"/>
    <s v="*INP260200085"/>
    <n v="5.5533392775632065E-5"/>
  </r>
  <r>
    <x v="6"/>
    <s v="Pesos"/>
    <d v="2027-03-02T00:00:00"/>
    <s v="29/10/2026"/>
    <n v="0.91031536999999996"/>
    <m/>
    <n v="12266135.710000001"/>
    <n v="11166051.83"/>
    <n v="12266135.710000001"/>
    <n v="11166051.83"/>
    <n v="70060348"/>
    <s v="AMOMPY"/>
    <s v="Momentum Capital Investment S.A."/>
    <s v="02/10/2026"/>
    <s v="02/10/2026"/>
    <n v="29"/>
    <s v="No"/>
    <s v=""/>
    <m/>
    <m/>
    <s v="*CRE260200122"/>
    <s v="*CRE260200122"/>
    <n v="1.3665735287513906E-4"/>
  </r>
  <r>
    <x v="333"/>
    <s v="Pesos"/>
    <d v="2027-03-02T00:00:00"/>
    <s v="29/10/2026"/>
    <n v="0.91884014999999997"/>
    <m/>
    <n v="25000000"/>
    <n v="22971003.629999999"/>
    <n v="25000000"/>
    <n v="22971003.629999999"/>
    <n v="1163"/>
    <s v="AMOMPY"/>
    <s v="Momentum Capital Investment S.A."/>
    <s v="22/09/2026"/>
    <s v="22/09/2026"/>
    <n v="26"/>
    <s v="No"/>
    <s v=""/>
    <m/>
    <m/>
    <s v="*ACI260200307"/>
    <s v="*ACI260200307"/>
    <n v="2.8113397615860879E-4"/>
  </r>
  <r>
    <x v="12"/>
    <s v="Pesos"/>
    <d v="2027-03-02T00:00:00"/>
    <s v="29/10/2026"/>
    <n v="0.89919205999999996"/>
    <m/>
    <n v="11321347.039999999"/>
    <n v="10180065.34"/>
    <n v="11321347.039999999"/>
    <n v="10180065.34"/>
    <n v="31235"/>
    <s v="AMOMPY"/>
    <s v="Momentum Capital Investment S.A."/>
    <s v="23/10/2026"/>
    <s v="23/10/2026"/>
    <n v="33"/>
    <s v="No"/>
    <s v=""/>
    <m/>
    <m/>
    <s v="*MAV260201156"/>
    <s v="*MAV260201156"/>
    <n v="1.2459021350076901E-4"/>
  </r>
  <r>
    <x v="289"/>
    <s v="Pesos"/>
    <d v="2027-03-02T00:00:00"/>
    <s v="29/10/2026"/>
    <n v="0.89919210000000005"/>
    <m/>
    <n v="2500000"/>
    <n v="2247980.2599999998"/>
    <n v="2500000"/>
    <n v="2247980.2599999998"/>
    <n v="34"/>
    <s v="AMOMPY"/>
    <s v="Momentum Capital Investment S.A."/>
    <s v="13/10/2026"/>
    <s v="13/10/2026"/>
    <n v="33"/>
    <s v="No"/>
    <s v=""/>
    <m/>
    <m/>
    <s v="*MAV260201138"/>
    <s v="*MAV260201138"/>
    <n v="2.751223407559329E-5"/>
  </r>
  <r>
    <x v="234"/>
    <s v="Pesos"/>
    <d v="2027-03-02T00:00:00"/>
    <s v="29/10/2026"/>
    <n v="0.90194730999999995"/>
    <m/>
    <n v="1858362"/>
    <n v="1676144.61"/>
    <n v="1858362"/>
    <n v="1676144.61"/>
    <n v="1491"/>
    <s v="AMOMPY"/>
    <s v="Momentum Capital Investment S.A."/>
    <s v="05/10/2026"/>
    <s v="05/10/2026"/>
    <n v="32"/>
    <s v="No"/>
    <s v=""/>
    <m/>
    <m/>
    <s v="*MAV260201131"/>
    <s v="*MAV260201131"/>
    <n v="2.0513740122817639E-5"/>
  </r>
  <r>
    <x v="257"/>
    <s v="Pesos"/>
    <d v="2027-03-02T00:00:00"/>
    <s v="29/10/2026"/>
    <n v="0.90194728999999996"/>
    <m/>
    <n v="2336718.2999999998"/>
    <n v="2107596.7400000002"/>
    <n v="2336718.2999999998"/>
    <n v="2107596.7400000002"/>
    <n v="5394"/>
    <s v="AMOMPY"/>
    <s v="Momentum Capital Investment S.A."/>
    <s v="01/10/2026"/>
    <s v="01/10/2026"/>
    <n v="32"/>
    <s v="No"/>
    <s v=""/>
    <m/>
    <m/>
    <s v="*MAV260201125"/>
    <s v="*MAV260201125"/>
    <n v="2.5794129903897529E-5"/>
  </r>
  <r>
    <x v="65"/>
    <s v="Pesos"/>
    <d v="2027-03-03T00:00:00"/>
    <s v="29/10/2026"/>
    <n v="0.90683239000000004"/>
    <m/>
    <n v="5580000"/>
    <n v="5060124.76"/>
    <n v="5580000"/>
    <n v="5060124.76"/>
    <n v="11415143"/>
    <s v="AMOMPY"/>
    <s v="Momentum Capital Investment S.A."/>
    <s v="18/09/2026"/>
    <s v="18/09/2026"/>
    <n v="30"/>
    <s v="No"/>
    <s v=""/>
    <m/>
    <m/>
    <s v="*CVA010300008"/>
    <s v="*CVA010300008"/>
    <n v="6.19290744344994E-5"/>
  </r>
  <r>
    <x v="1"/>
    <s v="Pesos"/>
    <d v="2027-03-03T00:00:00"/>
    <s v="29/10/2026"/>
    <n v="0.90123472000000004"/>
    <m/>
    <n v="25000000"/>
    <n v="22530867.949999999"/>
    <n v="25000000"/>
    <n v="22530867.949999999"/>
    <n v="2703"/>
    <s v="AMOMPY"/>
    <s v="Momentum Capital Investment S.A."/>
    <s v="14/08/2026"/>
    <s v="14/08/2026"/>
    <n v="32"/>
    <s v="No"/>
    <s v=""/>
    <m/>
    <m/>
    <s v="*AFB010300005"/>
    <s v="*AFB010300005"/>
    <n v="2.7574731148514742E-4"/>
  </r>
  <r>
    <x v="480"/>
    <s v="Pesos"/>
    <d v="2027-03-03T00:00:00"/>
    <s v="29/10/2026"/>
    <n v="0.89846172000000002"/>
    <m/>
    <n v="6006148"/>
    <n v="5396294.0700000003"/>
    <n v="6006148"/>
    <n v="5396294.0700000003"/>
    <n v="1370664"/>
    <s v="AMOMPY"/>
    <s v="Momentum Capital Investment S.A."/>
    <s v="23/09/2026"/>
    <s v="23/09/2026"/>
    <n v="33"/>
    <s v="No"/>
    <s v=""/>
    <m/>
    <m/>
    <s v="*MAV280201815"/>
    <s v="*MAV280201815"/>
    <n v="6.6043331534671045E-5"/>
  </r>
  <r>
    <x v="54"/>
    <s v="Pesos"/>
    <d v="2027-03-03T00:00:00"/>
    <s v="29/10/2026"/>
    <n v="0.89846163999999995"/>
    <m/>
    <n v="10000000"/>
    <n v="8984616.3499999996"/>
    <n v="10000000"/>
    <n v="8984616.3499999996"/>
    <n v="69401460"/>
    <s v="AMOMPY"/>
    <s v="Momentum Capital Investment S.A."/>
    <s v="07/09/2026"/>
    <s v="07/09/2026"/>
    <n v="33"/>
    <s v="No"/>
    <s v=""/>
    <m/>
    <m/>
    <s v="*INP270200088"/>
    <s v="*INP270200088"/>
    <n v="1.0995953678908311E-4"/>
  </r>
  <r>
    <x v="54"/>
    <s v="Pesos"/>
    <d v="2027-03-03T00:00:00"/>
    <s v="29/10/2026"/>
    <n v="0.90402479000000002"/>
    <m/>
    <n v="1667000"/>
    <n v="1507009.33"/>
    <n v="1667000"/>
    <n v="1507009.33"/>
    <n v="752"/>
    <s v="AMOMPY"/>
    <s v="Momentum Capital Investment S.A."/>
    <s v="24/09/2026"/>
    <s v="24/09/2026"/>
    <n v="31"/>
    <s v="No"/>
    <s v=""/>
    <m/>
    <m/>
    <s v="*INP280200088"/>
    <s v="*INP280200088"/>
    <n v="1.8443753345531166E-5"/>
  </r>
  <r>
    <x v="3"/>
    <s v="Pesos"/>
    <d v="2027-03-03T00:00:00"/>
    <s v="29/10/2026"/>
    <n v="0.90683239000000004"/>
    <m/>
    <n v="6441003"/>
    <n v="5840910.1699999999"/>
    <n v="6441003"/>
    <n v="5840910.1699999999"/>
    <n v="14097861"/>
    <s v="AMOMPY"/>
    <s v="Momentum Capital Investment S.A."/>
    <s v="18/09/2026"/>
    <s v="18/09/2026"/>
    <n v="30"/>
    <s v="No"/>
    <s v=""/>
    <m/>
    <m/>
    <s v="*MOV010300046"/>
    <s v="*MOV010300046"/>
    <n v="7.1484830481364364E-5"/>
  </r>
  <r>
    <x v="3"/>
    <s v="Pesos"/>
    <d v="2027-03-03T00:00:00"/>
    <s v="29/10/2026"/>
    <n v="0.90683239000000004"/>
    <m/>
    <n v="2122114"/>
    <n v="1924401.72"/>
    <n v="2122114"/>
    <n v="1924401.72"/>
    <n v="10558308"/>
    <s v="AMOMPY"/>
    <s v="Momentum Capital Investment S.A."/>
    <s v="18/09/2026"/>
    <s v="18/09/2026"/>
    <n v="30"/>
    <s v="No"/>
    <s v=""/>
    <m/>
    <m/>
    <s v="*MOV270200077"/>
    <s v="*MOV270200077"/>
    <n v="2.3552070949285978E-5"/>
  </r>
  <r>
    <x v="3"/>
    <s v="Pesos"/>
    <d v="2027-03-03T00:00:00"/>
    <s v="29/10/2026"/>
    <n v="0.90123469"/>
    <m/>
    <n v="16500000"/>
    <n v="14870372.390000001"/>
    <n v="16500000"/>
    <n v="14870372.390000001"/>
    <n v="194"/>
    <s v="AMOMPY"/>
    <s v="Momentum Capital Investment S.A."/>
    <s v="28/10/2026"/>
    <s v="28/10/2026"/>
    <n v="32"/>
    <s v="No"/>
    <s v=""/>
    <m/>
    <m/>
    <s v="*MOV270200079"/>
    <s v="*MOV270200079"/>
    <n v="1.819932199871362E-4"/>
  </r>
  <r>
    <x v="6"/>
    <s v="Pesos"/>
    <d v="2027-03-03T00:00:00"/>
    <s v="29/10/2026"/>
    <n v="0.91249999999999998"/>
    <m/>
    <n v="8876079"/>
    <n v="8099422.0899999999"/>
    <n v="8876079"/>
    <n v="8099422.0899999999"/>
    <n v="718565"/>
    <s v="AMOMPY"/>
    <s v="Momentum Capital Investment S.A."/>
    <s v="08/10/2026"/>
    <s v="08/10/2026"/>
    <n v="28"/>
    <s v="No"/>
    <s v=""/>
    <m/>
    <m/>
    <s v="*CRE280200257"/>
    <s v="*CRE280200257"/>
    <n v="9.9125957812952958E-5"/>
  </r>
  <r>
    <x v="333"/>
    <s v="Pesos"/>
    <d v="2027-03-03T00:00:00"/>
    <s v="29/10/2026"/>
    <n v="0.91536066999999999"/>
    <m/>
    <n v="23900405"/>
    <n v="21877490.760000002"/>
    <n v="23900405"/>
    <n v="21877490.760000002"/>
    <n v="90001873"/>
    <s v="AMOMPY"/>
    <s v="Momentum Capital Investment S.A."/>
    <s v="29/10/2026"/>
    <s v="29/10/2026"/>
    <n v="27"/>
    <s v="No"/>
    <s v=""/>
    <m/>
    <m/>
    <s v="*ACI280200581"/>
    <s v="*ACI280200581"/>
    <n v="2.677508595096602E-4"/>
  </r>
  <r>
    <x v="54"/>
    <s v="Pesos"/>
    <d v="2027-03-03T00:00:00"/>
    <s v="29/10/2026"/>
    <n v="0.90965741"/>
    <m/>
    <n v="4715388"/>
    <n v="4289387.66"/>
    <n v="4715388"/>
    <n v="4289387.66"/>
    <n v="4614"/>
    <s v="AMOMPY"/>
    <s v="Momentum Capital Investment S.A."/>
    <s v="18/09/2026"/>
    <s v="18/09/2026"/>
    <n v="29"/>
    <s v="No"/>
    <s v=""/>
    <m/>
    <m/>
    <s v="*INP280200087"/>
    <s v="*INP280200087"/>
    <n v="5.2496296094202081E-5"/>
  </r>
  <r>
    <x v="385"/>
    <s v="Pesos"/>
    <d v="2027-03-03T00:00:00"/>
    <s v="29/10/2026"/>
    <n v="0.90683241999999997"/>
    <m/>
    <n v="15000000"/>
    <n v="13602486.25"/>
    <n v="15000000"/>
    <n v="13602486.25"/>
    <n v="1424"/>
    <s v="AMOMPY"/>
    <s v="Momentum Capital Investment S.A."/>
    <s v="28/10/2026"/>
    <s v="28/10/2026"/>
    <n v="30"/>
    <s v="No"/>
    <s v=""/>
    <m/>
    <m/>
    <s v="*MAV280201870"/>
    <s v="*MAV280201870"/>
    <n v="1.6647601065680141E-4"/>
  </r>
  <r>
    <x v="454"/>
    <s v="Pesos"/>
    <d v="2027-03-03T00:00:00"/>
    <s v="29/10/2026"/>
    <n v="0.90402484000000005"/>
    <m/>
    <n v="65000000"/>
    <n v="58761614.640000001"/>
    <n v="65000000"/>
    <n v="58761614.640000001"/>
    <n v="3042"/>
    <s v="AMOMPY"/>
    <s v="Momentum Capital Investment S.A."/>
    <s v="03/09/2026"/>
    <s v="03/09/2026"/>
    <n v="31"/>
    <s v="No"/>
    <s v=""/>
    <m/>
    <m/>
    <s v="*MAV280201801"/>
    <s v="*MAV280201801"/>
    <n v="7.1916258581180322E-4"/>
  </r>
  <r>
    <x v="12"/>
    <s v="Pesos"/>
    <d v="2027-03-03T00:00:00"/>
    <s v="29/10/2026"/>
    <n v="0.89846157000000004"/>
    <m/>
    <n v="11321347.039999999"/>
    <n v="10171795.189999999"/>
    <n v="11321347.039999999"/>
    <n v="10171795.189999999"/>
    <n v="31236"/>
    <s v="AMOMPY"/>
    <s v="Momentum Capital Investment S.A."/>
    <s v="23/10/2026"/>
    <s v="23/10/2026"/>
    <n v="33"/>
    <s v="No"/>
    <s v=""/>
    <m/>
    <m/>
    <s v="*MAV010300918"/>
    <s v="*MAV010300918"/>
    <n v="1.2448899806454436E-4"/>
  </r>
  <r>
    <x v="502"/>
    <s v="Pesos"/>
    <d v="2027-03-03T00:00:00"/>
    <s v="29/10/2026"/>
    <n v="0.90683241999999997"/>
    <m/>
    <n v="100000000"/>
    <n v="90683241.640000001"/>
    <n v="100000000"/>
    <n v="90683241.640000001"/>
    <n v="12331"/>
    <s v="AMOMPY"/>
    <s v="Momentum Capital Investment S.A."/>
    <s v="28/10/2026"/>
    <s v="28/10/2026"/>
    <n v="30"/>
    <s v="No"/>
    <s v=""/>
    <m/>
    <m/>
    <s v="*MAV280201864"/>
    <s v="*MAV280201864"/>
    <n v="1.1098400707189788E-3"/>
  </r>
  <r>
    <x v="502"/>
    <s v="Pesos"/>
    <d v="2027-03-03T00:00:00"/>
    <s v="29/10/2026"/>
    <n v="0.90683241999999997"/>
    <m/>
    <n v="100000000"/>
    <n v="90683241.640000001"/>
    <n v="100000000"/>
    <n v="90683241.640000001"/>
    <n v="12329"/>
    <s v="AMOMPY"/>
    <s v="Momentum Capital Investment S.A."/>
    <s v="28/10/2026"/>
    <s v="28/10/2026"/>
    <n v="30"/>
    <s v="No"/>
    <s v=""/>
    <m/>
    <m/>
    <s v="*MAV280201865"/>
    <s v="*MAV280201865"/>
    <n v="1.1098400707189788E-3"/>
  </r>
  <r>
    <x v="502"/>
    <s v="Pesos"/>
    <d v="2027-03-03T00:00:00"/>
    <s v="29/10/2026"/>
    <n v="0.90683241999999997"/>
    <m/>
    <n v="100000000"/>
    <n v="90683241.640000001"/>
    <n v="100000000"/>
    <n v="90683241.640000001"/>
    <n v="12333"/>
    <s v="AMOMPY"/>
    <s v="Momentum Capital Investment S.A."/>
    <s v="28/10/2026"/>
    <s v="28/10/2026"/>
    <n v="30"/>
    <s v="No"/>
    <s v=""/>
    <m/>
    <m/>
    <s v="*MAV280201866"/>
    <s v="*MAV280201866"/>
    <n v="1.1098400707189788E-3"/>
  </r>
  <r>
    <x v="503"/>
    <s v="Pesos"/>
    <d v="2027-03-03T00:00:00"/>
    <s v="29/10/2026"/>
    <n v="0.90683248000000005"/>
    <m/>
    <n v="113000000"/>
    <n v="102472070.69"/>
    <n v="113000000"/>
    <n v="102472070.69"/>
    <n v="14846957"/>
    <s v="AMOMPY"/>
    <s v="Momentum Capital Investment S.A."/>
    <s v="29/10/2026"/>
    <s v="29/10/2026"/>
    <n v="30"/>
    <s v="No"/>
    <s v=""/>
    <m/>
    <m/>
    <s v="*MAV280201880"/>
    <s v="*MAV280201880"/>
    <n v="1.254119373376536E-3"/>
  </r>
  <r>
    <x v="503"/>
    <s v="Pesos"/>
    <d v="2027-03-03T00:00:00"/>
    <s v="29/10/2026"/>
    <n v="0.90683248000000005"/>
    <m/>
    <n v="113000000"/>
    <n v="102472070.69"/>
    <n v="113000000"/>
    <n v="102472070.69"/>
    <n v="14846955"/>
    <s v="AMOMPY"/>
    <s v="Momentum Capital Investment S.A."/>
    <s v="29/10/2026"/>
    <s v="29/10/2026"/>
    <n v="30"/>
    <s v="No"/>
    <s v=""/>
    <m/>
    <m/>
    <s v="*MAV280201881"/>
    <s v="*MAV280201881"/>
    <n v="1.254119373376536E-3"/>
  </r>
  <r>
    <x v="503"/>
    <s v="Pesos"/>
    <d v="2027-03-03T00:00:00"/>
    <s v="29/10/2026"/>
    <n v="0.90683248000000005"/>
    <m/>
    <n v="113000000"/>
    <n v="102472070.69"/>
    <n v="113000000"/>
    <n v="102472070.69"/>
    <n v="14846958"/>
    <s v="AMOMPY"/>
    <s v="Momentum Capital Investment S.A."/>
    <s v="29/10/2026"/>
    <s v="29/10/2026"/>
    <n v="30"/>
    <s v="No"/>
    <s v=""/>
    <m/>
    <m/>
    <s v="*MAV280201882"/>
    <s v="*MAV280201882"/>
    <n v="1.254119373376536E-3"/>
  </r>
  <r>
    <x v="449"/>
    <s v="Pesos"/>
    <d v="2027-03-03T00:00:00"/>
    <s v="29/10/2026"/>
    <n v="0.89296657999999995"/>
    <m/>
    <n v="11000000"/>
    <n v="9822632.4000000004"/>
    <n v="11000000"/>
    <n v="9822632.4000000004"/>
    <n v="841128"/>
    <s v="AMOMPY"/>
    <s v="Momentum Capital Investment S.A."/>
    <s v="22/10/2026"/>
    <s v="22/10/2026"/>
    <n v="35"/>
    <s v="No"/>
    <s v=""/>
    <m/>
    <m/>
    <s v="*MAV280201848"/>
    <s v="*MAV280201848"/>
    <n v="1.2021571836547476E-4"/>
  </r>
  <r>
    <x v="25"/>
    <s v="Pesos"/>
    <d v="2027-03-03T00:00:00"/>
    <s v="29/10/2026"/>
    <n v="0.90683248000000005"/>
    <m/>
    <n v="25000000"/>
    <n v="22670812.100000001"/>
    <n v="25000000"/>
    <n v="22670812.100000001"/>
    <n v="24648"/>
    <s v="AMOMPY"/>
    <s v="Momentum Capital Investment S.A."/>
    <s v="29/10/2026"/>
    <s v="29/10/2026"/>
    <n v="30"/>
    <s v="No"/>
    <s v=""/>
    <m/>
    <m/>
    <s v="*NEU280200044"/>
    <s v="*NEU280200044"/>
    <n v="2.7746003836305605E-4"/>
  </r>
  <r>
    <x v="25"/>
    <s v="Pesos"/>
    <d v="2027-03-03T00:00:00"/>
    <s v="29/10/2026"/>
    <n v="0.90965750000000001"/>
    <m/>
    <n v="30000000"/>
    <n v="27289725.07"/>
    <n v="30000000"/>
    <n v="27289725.07"/>
    <n v="3839914"/>
    <s v="AMOMPY"/>
    <s v="Momentum Capital Investment S.A."/>
    <s v="29/10/2026"/>
    <s v="29/10/2026"/>
    <n v="29"/>
    <s v="No"/>
    <s v=""/>
    <m/>
    <m/>
    <s v="*NEU270200027"/>
    <s v="*NEU270200027"/>
    <n v="3.3398927799500628E-4"/>
  </r>
  <r>
    <x v="63"/>
    <s v="Pesos"/>
    <d v="2027-03-03T00:00:00"/>
    <s v="29/10/2026"/>
    <n v="0.9012346"/>
    <m/>
    <n v="513679.7"/>
    <n v="462945.92"/>
    <n v="513679.7"/>
    <n v="462945.92"/>
    <n v="5290"/>
    <s v="AMOMPY"/>
    <s v="Momentum Capital Investment S.A."/>
    <s v="05/10/2026"/>
    <s v="05/10/2026"/>
    <n v="32"/>
    <s v="No"/>
    <s v=""/>
    <m/>
    <m/>
    <s v="*MAV280201831"/>
    <s v="*MAV280201831"/>
    <n v="5.6658311205014251E-6"/>
  </r>
  <r>
    <x v="27"/>
    <s v="Pesos"/>
    <d v="2027-03-03T00:00:00"/>
    <s v="29/10/2026"/>
    <n v="0.90123463999999998"/>
    <m/>
    <n v="6000000"/>
    <n v="5407407.8600000003"/>
    <n v="6000000"/>
    <n v="5407407.8600000003"/>
    <n v="70158560"/>
    <s v="AMOMPY"/>
    <s v="Momentum Capital Investment S.A."/>
    <s v="02/10/2026"/>
    <s v="02/10/2026"/>
    <n v="32"/>
    <s v="No"/>
    <s v=""/>
    <m/>
    <m/>
    <s v="*MAV280201830"/>
    <s v="*MAV280201830"/>
    <n v="6.6179349273522096E-5"/>
  </r>
  <r>
    <x v="0"/>
    <s v="Pesos"/>
    <d v="2027-03-04T00:00:00"/>
    <s v="29/10/2026"/>
    <n v="0.90615696999999995"/>
    <m/>
    <n v="6000000"/>
    <n v="5436941.7999999998"/>
    <n v="6000000"/>
    <n v="5436941.7999999998"/>
    <n v="3897150"/>
    <s v="AMOMPY"/>
    <s v="Momentum Capital Investment S.A."/>
    <s v="22/09/2026"/>
    <s v="22/09/2026"/>
    <n v="30"/>
    <s v="No"/>
    <s v=""/>
    <m/>
    <m/>
    <s v="*TRD020300030"/>
    <s v="*TRD020300030"/>
    <n v="6.6540804703052656E-5"/>
  </r>
  <r>
    <x v="12"/>
    <s v="Pesos"/>
    <d v="2027-03-04T00:00:00"/>
    <s v="29/10/2026"/>
    <n v="0.89773252000000003"/>
    <m/>
    <n v="11321347.039999999"/>
    <n v="10163541.35"/>
    <n v="11321347.039999999"/>
    <n v="10163541.35"/>
    <n v="31237"/>
    <s v="AMOMPY"/>
    <s v="Momentum Capital Investment S.A."/>
    <s v="23/10/2026"/>
    <s v="23/10/2026"/>
    <n v="33"/>
    <s v="No"/>
    <s v=""/>
    <m/>
    <m/>
    <s v="*MAV020301103"/>
    <s v="*MAV020301103"/>
    <n v="1.2438798224063207E-4"/>
  </r>
  <r>
    <x v="518"/>
    <s v="Pesos"/>
    <d v="2027-03-04T00:00:00"/>
    <s v="29/10/2026"/>
    <n v="0.89773243000000003"/>
    <m/>
    <n v="10000000"/>
    <n v="8977324.3200000003"/>
    <n v="10000000"/>
    <n v="8977324.3200000003"/>
    <n v="670"/>
    <s v="AMOMPY"/>
    <s v="Momentum Capital Investment S.A."/>
    <s v="29/10/2026"/>
    <s v="29/10/2026"/>
    <n v="33"/>
    <s v="No"/>
    <s v=""/>
    <m/>
    <m/>
    <s v="*MAV020301110"/>
    <s v="*MAV020301110"/>
    <n v="1.0987029221704837E-4"/>
  </r>
  <r>
    <x v="54"/>
    <s v="Pesos"/>
    <d v="2027-03-05T00:00:00"/>
    <s v="29/10/2026"/>
    <n v="0.90263879000000002"/>
    <m/>
    <n v="9000000"/>
    <n v="8123749.1500000004"/>
    <n v="9000000"/>
    <n v="8123749.1500000004"/>
    <n v="4970"/>
    <s v="AMOMPY"/>
    <s v="Momentum Capital Investment S.A."/>
    <s v="24/09/2026"/>
    <s v="24/09/2026"/>
    <n v="31"/>
    <s v="No"/>
    <s v=""/>
    <m/>
    <m/>
    <s v="*INP030300058"/>
    <s v="*INP030300058"/>
    <n v="9.9423688082653382E-5"/>
  </r>
  <r>
    <x v="54"/>
    <s v="Pesos"/>
    <d v="2027-03-05T00:00:00"/>
    <s v="29/10/2026"/>
    <n v="0.90263879000000002"/>
    <m/>
    <n v="9000000"/>
    <n v="8123749.1500000004"/>
    <n v="9000000"/>
    <n v="8123749.1500000004"/>
    <n v="4969"/>
    <s v="AMOMPY"/>
    <s v="Momentum Capital Investment S.A."/>
    <s v="24/09/2026"/>
    <s v="24/09/2026"/>
    <n v="31"/>
    <s v="No"/>
    <s v=""/>
    <m/>
    <m/>
    <s v="*INP030300057"/>
    <s v="*INP030300057"/>
    <n v="9.9423688082653382E-5"/>
  </r>
  <r>
    <x v="362"/>
    <s v="Pesos"/>
    <d v="2027-03-05T00:00:00"/>
    <s v="29/10/2026"/>
    <n v="0.89981266999999998"/>
    <m/>
    <n v="11820000"/>
    <n v="10635785.76"/>
    <n v="11820000"/>
    <n v="10635785.76"/>
    <n v="14310298"/>
    <s v="AMOMPY"/>
    <s v="Momentum Capital Investment S.A."/>
    <s v="15/09/2026"/>
    <s v="15/09/2026"/>
    <n v="32"/>
    <s v="No"/>
    <s v=""/>
    <m/>
    <m/>
    <s v="*MAV030301176"/>
    <s v="*MAV030301176"/>
    <n v="1.3016761428633804E-4"/>
  </r>
  <r>
    <x v="12"/>
    <s v="Pesos"/>
    <d v="2027-03-05T00:00:00"/>
    <s v="29/10/2026"/>
    <n v="0.89700438999999998"/>
    <m/>
    <n v="11321347.039999999"/>
    <n v="10155298.039999999"/>
    <n v="11321347.039999999"/>
    <n v="10155298.039999999"/>
    <n v="31238"/>
    <s v="AMOMPY"/>
    <s v="Momentum Capital Investment S.A."/>
    <s v="23/10/2026"/>
    <s v="23/10/2026"/>
    <n v="33"/>
    <s v="No"/>
    <s v=""/>
    <m/>
    <m/>
    <s v="*MAV030301198"/>
    <s v="*MAV030301198"/>
    <n v="1.242870952896596E-4"/>
  </r>
  <r>
    <x v="480"/>
    <s v="Pesos"/>
    <d v="2027-03-08T00:00:00"/>
    <s v="29/10/2026"/>
    <n v="0.89482726999999995"/>
    <m/>
    <n v="6006148"/>
    <n v="5374465.0300000003"/>
    <n v="6006148"/>
    <n v="5374465.0300000003"/>
    <n v="1370673"/>
    <s v="AMOMPY"/>
    <s v="Momentum Capital Investment S.A."/>
    <s v="23/09/2026"/>
    <s v="23/09/2026"/>
    <n v="33"/>
    <s v="No"/>
    <s v=""/>
    <m/>
    <m/>
    <s v="*MAV040301189"/>
    <s v="*MAV040301189"/>
    <n v="6.577617364684979E-5"/>
  </r>
  <r>
    <x v="12"/>
    <s v="Pesos"/>
    <d v="2027-03-08T00:00:00"/>
    <s v="29/10/2026"/>
    <n v="0.89482735000000002"/>
    <m/>
    <n v="11321347.039999999"/>
    <n v="10130650.99"/>
    <n v="11321347.039999999"/>
    <n v="10130650.99"/>
    <n v="31239"/>
    <s v="AMOMPY"/>
    <s v="Momentum Capital Investment S.A."/>
    <s v="23/10/2026"/>
    <s v="23/10/2026"/>
    <n v="33"/>
    <s v="No"/>
    <s v=""/>
    <m/>
    <m/>
    <s v="*MAV040301197"/>
    <s v="*MAV040301197"/>
    <n v="1.2398544877570273E-4"/>
  </r>
  <r>
    <x v="456"/>
    <s v="Pesos"/>
    <d v="2027-03-08T00:00:00"/>
    <s v="29/10/2026"/>
    <n v="0.89482731000000004"/>
    <m/>
    <n v="719400"/>
    <n v="643738.77"/>
    <n v="719400"/>
    <n v="643738.77"/>
    <n v="2156"/>
    <s v="AMOMPY"/>
    <s v="Momentum Capital Investment S.A."/>
    <s v="26/10/2026"/>
    <s v="26/10/2026"/>
    <n v="33"/>
    <s v="No"/>
    <s v=""/>
    <m/>
    <m/>
    <s v="*MAV040301200"/>
    <s v="*MAV040301200"/>
    <n v="7.8784907674298312E-6"/>
  </r>
  <r>
    <x v="95"/>
    <s v="Pesos"/>
    <d v="2027-03-09T00:00:00"/>
    <s v="29/10/2026"/>
    <n v="0.89410394999999998"/>
    <m/>
    <n v="25000000"/>
    <n v="22352598.649999999"/>
    <n v="25000000"/>
    <n v="22352598.649999999"/>
    <n v="70440450"/>
    <s v="AMOMPY"/>
    <s v="Momentum Capital Investment S.A."/>
    <s v="16/10/2026"/>
    <s v="16/10/2026"/>
    <n v="33"/>
    <s v="No"/>
    <s v=""/>
    <m/>
    <m/>
    <s v="*MAV050301132"/>
    <s v="*MAV050301132"/>
    <n v="2.7356553667272441E-4"/>
  </r>
  <r>
    <x v="54"/>
    <s v="Pesos"/>
    <d v="2027-03-09T00:00:00"/>
    <s v="29/10/2026"/>
    <n v="0.90279505000000004"/>
    <m/>
    <n v="5000000"/>
    <n v="4513975.2699999996"/>
    <n v="5000000"/>
    <n v="4513975.2699999996"/>
    <n v="40810973"/>
    <s v="AMOMPY"/>
    <s v="Momentum Capital Investment S.A."/>
    <s v="24/09/2026"/>
    <s v="24/09/2026"/>
    <n v="30"/>
    <s v="No"/>
    <s v=""/>
    <m/>
    <m/>
    <s v="*INP050300044"/>
    <s v="*INP050300044"/>
    <n v="5.5244944294875355E-5"/>
  </r>
  <r>
    <x v="333"/>
    <s v="Pesos"/>
    <d v="2027-03-09T00:00:00"/>
    <s v="29/10/2026"/>
    <n v="0.91165673999999997"/>
    <m/>
    <n v="25000000"/>
    <n v="22791418.539999999"/>
    <n v="25000000"/>
    <n v="22791418.539999999"/>
    <n v="1831"/>
    <s v="AMOMPY"/>
    <s v="Momentum Capital Investment S.A."/>
    <s v="29/10/2026"/>
    <s v="29/10/2026"/>
    <n v="27"/>
    <s v="No"/>
    <s v=""/>
    <m/>
    <m/>
    <s v="*ACI050300289"/>
    <s v="*ACI050300289"/>
    <n v="2.7893609785848241E-4"/>
  </r>
  <r>
    <x v="464"/>
    <s v="Pesos"/>
    <d v="2027-03-09T00:00:00"/>
    <s v="29/10/2026"/>
    <n v="0.89124407000000005"/>
    <m/>
    <n v="980655"/>
    <n v="874002.95"/>
    <n v="980655"/>
    <n v="874002.95"/>
    <n v="70426831"/>
    <s v="AMOMPY"/>
    <s v="Momentum Capital Investment S.A."/>
    <s v="21/10/2026"/>
    <s v="21/10/2026"/>
    <n v="34"/>
    <s v="No"/>
    <s v=""/>
    <m/>
    <m/>
    <s v="*MAV050301134"/>
    <s v="*MAV050301134"/>
    <n v="1.0696612497459858E-5"/>
  </r>
  <r>
    <x v="25"/>
    <s v="Pesos"/>
    <d v="2027-03-09T00:00:00"/>
    <s v="29/10/2026"/>
    <n v="0.90279498000000002"/>
    <m/>
    <n v="20000000"/>
    <n v="18055899.609999999"/>
    <n v="20000000"/>
    <n v="18055899.609999999"/>
    <n v="24650"/>
    <s v="AMOMPY"/>
    <s v="Momentum Capital Investment S.A."/>
    <s v="29/10/2026"/>
    <s v="29/10/2026"/>
    <n v="30"/>
    <s v="No"/>
    <s v=""/>
    <m/>
    <m/>
    <s v="*NEU050300027"/>
    <s v="*NEU050300027"/>
    <n v="2.2097975918869216E-4"/>
  </r>
  <r>
    <x v="374"/>
    <s v="Pesos"/>
    <d v="2027-03-10T00:00:00"/>
    <s v="29/10/2026"/>
    <n v="0.89627749999999995"/>
    <m/>
    <n v="353613.17"/>
    <n v="316935.53000000003"/>
    <n v="353613.17"/>
    <n v="316935.53000000003"/>
    <n v="2863"/>
    <s v="AMOMPY"/>
    <s v="Momentum Capital Investment S.A."/>
    <s v="15/09/2026"/>
    <s v="15/09/2026"/>
    <n v="32"/>
    <s v="No"/>
    <s v=""/>
    <m/>
    <m/>
    <s v="*MAV060301353"/>
    <s v="*MAV060301353"/>
    <n v="3.8788616801431436E-6"/>
  </r>
  <r>
    <x v="518"/>
    <s v="Pesos"/>
    <d v="2027-03-10T00:00:00"/>
    <s v="29/10/2026"/>
    <n v="0.89338185000000003"/>
    <m/>
    <n v="10000000"/>
    <n v="8933818.5199999996"/>
    <n v="10000000"/>
    <n v="8933818.5199999996"/>
    <n v="671"/>
    <s v="AMOMPY"/>
    <s v="Momentum Capital Investment S.A."/>
    <s v="29/10/2026"/>
    <s v="29/10/2026"/>
    <n v="33"/>
    <s v="No"/>
    <s v=""/>
    <m/>
    <m/>
    <s v="*MAV080300984"/>
    <s v="*MAV080300984"/>
    <n v="1.0933784014238204E-4"/>
  </r>
  <r>
    <x v="497"/>
    <s v="Pesos"/>
    <d v="2027-03-10T00:00:00"/>
    <s v="29/10/2026"/>
    <n v="0.89338163999999998"/>
    <m/>
    <n v="7345493.4699999997"/>
    <n v="6562328.9699999997"/>
    <n v="7345493.4699999997"/>
    <n v="6562328.9699999997"/>
    <n v="41018390"/>
    <s v="AMOMPY"/>
    <s v="Momentum Capital Investment S.A."/>
    <s v="26/10/2026"/>
    <s v="26/10/2026"/>
    <n v="33"/>
    <s v="No"/>
    <s v=""/>
    <m/>
    <m/>
    <s v="*MAV060301361"/>
    <s v="*MAV060301361"/>
    <n v="8.0314019618520598E-5"/>
  </r>
  <r>
    <x v="0"/>
    <s v="Pesos"/>
    <d v="2027-03-12T00:00:00"/>
    <s v="29/10/2026"/>
    <n v="0.90078975999999999"/>
    <m/>
    <n v="5000000"/>
    <n v="4503948.82"/>
    <n v="5000000"/>
    <n v="4503948.82"/>
    <n v="3927501"/>
    <s v="AMOMPY"/>
    <s v="Momentum Capital Investment S.A."/>
    <s v="22/09/2026"/>
    <s v="22/09/2026"/>
    <n v="30"/>
    <s v="No"/>
    <s v=""/>
    <m/>
    <m/>
    <s v="*TRD100300038"/>
    <s v="*TRD100300038"/>
    <n v="5.512223412510402E-5"/>
  </r>
  <r>
    <x v="184"/>
    <s v="Pesos"/>
    <d v="2027-03-12T00:00:00"/>
    <s v="29/10/2026"/>
    <n v="0.89487108000000004"/>
    <m/>
    <n v="8123170.7400000002"/>
    <n v="7269190.6100000003"/>
    <n v="8123170.7400000002"/>
    <n v="7269190.6100000003"/>
    <n v="11248"/>
    <s v="AMOMPY"/>
    <s v="Momentum Capital Investment S.A."/>
    <s v="15/09/2026"/>
    <s v="15/09/2026"/>
    <n v="32"/>
    <s v="No"/>
    <s v=""/>
    <m/>
    <m/>
    <s v="*MAV100301603"/>
    <s v="*MAV100301603"/>
    <n v="8.8965048831178263E-5"/>
  </r>
  <r>
    <x v="480"/>
    <s v="Pesos"/>
    <d v="2027-03-15T00:00:00"/>
    <s v="29/10/2026"/>
    <n v="0.88978827999999999"/>
    <m/>
    <n v="6006148"/>
    <n v="5344200.1100000003"/>
    <n v="6006148"/>
    <n v="5344200.1100000003"/>
    <n v="1370676"/>
    <s v="AMOMPY"/>
    <s v="Momentum Capital Investment S.A."/>
    <s v="23/09/2026"/>
    <s v="23/09/2026"/>
    <n v="33"/>
    <s v="No"/>
    <s v=""/>
    <m/>
    <m/>
    <s v="*MAV110301338"/>
    <s v="*MAV110301338"/>
    <n v="6.540577201204224E-5"/>
  </r>
  <r>
    <x v="197"/>
    <s v="Pesos"/>
    <d v="2027-03-15T00:00:00"/>
    <s v="29/10/2026"/>
    <n v="0.89276986000000003"/>
    <m/>
    <n v="1129854.56"/>
    <n v="1008700.1"/>
    <n v="1129854.56"/>
    <n v="1008700.1"/>
    <n v="1028"/>
    <s v="AMOMPY"/>
    <s v="Momentum Capital Investment S.A."/>
    <s v="15/09/2026"/>
    <s v="15/09/2026"/>
    <n v="32"/>
    <s v="No"/>
    <s v=""/>
    <m/>
    <m/>
    <s v="*MAV110301337"/>
    <s v="*MAV110301337"/>
    <n v="1.234512320107044E-5"/>
  </r>
  <r>
    <x v="54"/>
    <s v="Pesos"/>
    <d v="2027-03-16T00:00:00"/>
    <s v="29/10/2026"/>
    <n v="0.89509066999999998"/>
    <m/>
    <n v="3700000"/>
    <n v="3311835.49"/>
    <n v="3700000"/>
    <n v="3311835.49"/>
    <n v="164546"/>
    <s v="AMOMPY"/>
    <s v="Momentum Capital Investment S.A."/>
    <s v="18/09/2026"/>
    <s v="18/09/2026"/>
    <n v="31"/>
    <s v="No"/>
    <s v=""/>
    <m/>
    <m/>
    <s v="#IGA150370001"/>
    <s v="#IGA150370001"/>
    <n v="4.0532381374530939E-5"/>
  </r>
  <r>
    <x v="0"/>
    <s v="Pesos"/>
    <d v="2027-03-17T00:00:00"/>
    <s v="29/10/2026"/>
    <n v="0.89746751999999996"/>
    <m/>
    <n v="20000000"/>
    <n v="17949350.32"/>
    <n v="20000000"/>
    <n v="17949350.32"/>
    <n v="68586590"/>
    <s v="AMOMPY"/>
    <s v="Momentum Capital Investment S.A."/>
    <s v="21/09/2026"/>
    <s v="21/09/2026"/>
    <n v="30"/>
    <s v="No"/>
    <s v=""/>
    <m/>
    <m/>
    <s v="TRND150300005"/>
    <s v="TRND150300005"/>
    <n v="2.1967574017249839E-4"/>
  </r>
  <r>
    <x v="519"/>
    <s v="Pesos"/>
    <d v="2027-03-17T00:00:00"/>
    <s v="29/10/2026"/>
    <n v="0.88835896999999997"/>
    <m/>
    <n v="19588994.07"/>
    <n v="17402058.68"/>
    <n v="19588994.07"/>
    <n v="17402058.68"/>
    <n v="69546964"/>
    <s v="AMOMPY"/>
    <s v="Momentum Capital Investment S.A."/>
    <s v="07/09/2026"/>
    <s v="07/09/2026"/>
    <n v="33"/>
    <s v="No"/>
    <s v=""/>
    <m/>
    <m/>
    <s v="*MAV150301331"/>
    <s v="*MAV150301331"/>
    <n v="2.1297763166362057E-4"/>
  </r>
  <r>
    <x v="333"/>
    <s v="Pesos"/>
    <d v="2027-03-17T00:00:00"/>
    <s v="29/10/2026"/>
    <n v="0.90676491999999997"/>
    <m/>
    <n v="23900405"/>
    <n v="21672048.75"/>
    <n v="23900405"/>
    <n v="21672048.75"/>
    <n v="90001874"/>
    <s v="AMOMPY"/>
    <s v="Momentum Capital Investment S.A."/>
    <s v="29/10/2026"/>
    <s v="29/10/2026"/>
    <n v="27"/>
    <s v="No"/>
    <s v=""/>
    <m/>
    <m/>
    <s v="*ACI140300245"/>
    <s v="*ACI140300245"/>
    <n v="2.6523652752523234E-4"/>
  </r>
  <r>
    <x v="222"/>
    <s v="Pesos"/>
    <d v="2027-03-17T00:00:00"/>
    <s v="29/10/2026"/>
    <n v="0.90676471999999997"/>
    <m/>
    <n v="13688973.9"/>
    <n v="12412678.529999999"/>
    <n v="13688973.9"/>
    <n v="12412678.529999999"/>
    <n v="606303"/>
    <s v="AMOMPY"/>
    <s v="Momentum Capital Investment S.A."/>
    <s v="01/09/2026"/>
    <s v="01/09/2026"/>
    <n v="27"/>
    <s v="No"/>
    <s v=""/>
    <m/>
    <m/>
    <s v="*MAV150301329"/>
    <s v="*MAV150301329"/>
    <n v="1.5191437545027697E-4"/>
  </r>
  <r>
    <x v="518"/>
    <s v="Pesos"/>
    <d v="2027-03-17T00:00:00"/>
    <s v="29/10/2026"/>
    <n v="0.88835909000000002"/>
    <m/>
    <n v="10000000"/>
    <n v="8883590.8599999994"/>
    <n v="10000000"/>
    <n v="8883590.8599999994"/>
    <n v="672"/>
    <s v="AMOMPY"/>
    <s v="Momentum Capital Investment S.A."/>
    <s v="29/10/2026"/>
    <s v="29/10/2026"/>
    <n v="33"/>
    <s v="No"/>
    <s v=""/>
    <m/>
    <m/>
    <s v="*MAV150301379"/>
    <s v="*MAV150301379"/>
    <n v="1.0872312160433344E-4"/>
  </r>
  <r>
    <x v="509"/>
    <s v="Pesos"/>
    <d v="2027-03-17T00:00:00"/>
    <s v="29/10/2026"/>
    <n v="0.88536378000000004"/>
    <m/>
    <n v="1049734.68"/>
    <n v="929397.07"/>
    <n v="1049734.68"/>
    <n v="929397.07"/>
    <n v="1545"/>
    <s v="AMOMPY"/>
    <s v="Momentum Capital Investment S.A."/>
    <s v="21/10/2026"/>
    <s v="21/10/2026"/>
    <n v="34"/>
    <s v="No"/>
    <s v=""/>
    <m/>
    <m/>
    <s v="*MAV130301499"/>
    <s v="*MAV130301499"/>
    <n v="1.1374561509277026E-5"/>
  </r>
  <r>
    <x v="233"/>
    <s v="Dolar 3500"/>
    <d v="2027-03-17T00:00:00"/>
    <s v="29/10/2026"/>
    <n v="0.97043718999999995"/>
    <s v="1 US3 = 1539,5930209017 $"/>
    <n v="18230"/>
    <n v="17691.07"/>
    <n v="28066780.77"/>
    <n v="27237047.899999999"/>
    <n v="146451"/>
    <s v="AMOMPY"/>
    <s v="Momentum Capital Investment S.A."/>
    <s v="17/04/2026"/>
    <s v="17/04/2026"/>
    <n v="8"/>
    <s v="No"/>
    <s v=""/>
    <m/>
    <m/>
    <s v="#UMV130370002"/>
    <s v="#UMV130370002"/>
    <n v="3.333445807717843E-4"/>
  </r>
  <r>
    <x v="514"/>
    <s v="Pesos"/>
    <d v="2027-03-17T00:00:00"/>
    <s v="29/10/2026"/>
    <n v="0.88536380000000003"/>
    <m/>
    <n v="803060"/>
    <n v="711000.25"/>
    <n v="803060"/>
    <n v="711000.25"/>
    <n v="97"/>
    <s v="AMOMPY"/>
    <s v="Momentum Capital Investment S.A."/>
    <s v="21/10/2026"/>
    <s v="21/10/2026"/>
    <n v="34"/>
    <s v="No"/>
    <s v=""/>
    <m/>
    <m/>
    <s v="*MAV150301360"/>
    <s v="*MAV150301360"/>
    <n v="8.7016801943827335E-6"/>
  </r>
  <r>
    <x v="410"/>
    <s v="Pesos"/>
    <d v="2027-03-17T00:00:00"/>
    <s v="29/10/2026"/>
    <n v="0.88536378999999998"/>
    <m/>
    <n v="1183000"/>
    <n v="1047385.36"/>
    <n v="1183000"/>
    <n v="1047385.36"/>
    <n v="26"/>
    <s v="AMOMPY"/>
    <s v="Momentum Capital Investment S.A."/>
    <s v="21/10/2026"/>
    <s v="21/10/2026"/>
    <n v="34"/>
    <s v="No"/>
    <s v=""/>
    <m/>
    <m/>
    <s v="*MAV150301361"/>
    <s v="*MAV150301361"/>
    <n v="1.2818578394309186E-5"/>
  </r>
  <r>
    <x v="248"/>
    <s v="Pesos"/>
    <d v="2027-03-17T00:00:00"/>
    <s v="29/10/2026"/>
    <n v="0.88536378999999998"/>
    <m/>
    <n v="1416494.71"/>
    <n v="1254113.1200000001"/>
    <n v="1416494.71"/>
    <n v="1254113.1200000001"/>
    <n v="250"/>
    <s v="AMOMPY"/>
    <s v="Momentum Capital Investment S.A."/>
    <s v="21/10/2026"/>
    <s v="21/10/2026"/>
    <n v="34"/>
    <s v="No"/>
    <s v=""/>
    <m/>
    <m/>
    <s v="*MAV140301244"/>
    <s v="*MAV140301244"/>
    <n v="1.5348646217521778E-5"/>
  </r>
  <r>
    <x v="515"/>
    <s v="Pesos"/>
    <d v="2027-03-17T00:00:00"/>
    <s v="29/10/2026"/>
    <n v="0.88536378000000004"/>
    <m/>
    <n v="1820648.76"/>
    <n v="1611936.47"/>
    <n v="1820648.76"/>
    <n v="1611936.47"/>
    <n v="11"/>
    <s v="AMOMPY"/>
    <s v="Momentum Capital Investment S.A."/>
    <s v="21/10/2026"/>
    <s v="21/10/2026"/>
    <n v="34"/>
    <s v="No"/>
    <s v=""/>
    <m/>
    <m/>
    <s v="*MAV130301498"/>
    <s v="*MAV130301498"/>
    <n v="1.972791944250683E-5"/>
  </r>
  <r>
    <x v="123"/>
    <s v="Pesos"/>
    <d v="2027-03-17T00:00:00"/>
    <s v="29/10/2026"/>
    <n v="0.89137454999999999"/>
    <m/>
    <n v="2833000"/>
    <n v="2525264.1"/>
    <n v="2833000"/>
    <n v="2525264.1"/>
    <n v="90000059"/>
    <s v="AMOMPY"/>
    <s v="Momentum Capital Investment S.A."/>
    <s v="25/09/2026"/>
    <s v="25/09/2026"/>
    <n v="32"/>
    <s v="No"/>
    <s v=""/>
    <m/>
    <m/>
    <s v="*MAV140301241"/>
    <s v="*MAV140301241"/>
    <n v="3.0905812768076721E-5"/>
  </r>
  <r>
    <x v="498"/>
    <s v="Pesos"/>
    <d v="2027-03-17T00:00:00"/>
    <s v="29/10/2026"/>
    <n v="0.90054548000000001"/>
    <m/>
    <n v="85000000"/>
    <n v="76546365.609999999"/>
    <n v="85000000"/>
    <n v="76546365.609999999"/>
    <n v="9844156"/>
    <s v="AMOMPY"/>
    <s v="Momentum Capital Investment S.A."/>
    <s v="29/10/2026"/>
    <s v="29/10/2026"/>
    <n v="29"/>
    <s v="No"/>
    <s v=""/>
    <m/>
    <m/>
    <s v="*AGV150300001"/>
    <s v="*AGV150300001"/>
    <n v="9.3682385284747313E-4"/>
  </r>
  <r>
    <x v="65"/>
    <s v="Pesos"/>
    <d v="2027-03-18T00:00:00"/>
    <s v="29/10/2026"/>
    <n v="0.89680596999999995"/>
    <m/>
    <n v="5580000"/>
    <n v="5004177.33"/>
    <n v="5580000"/>
    <n v="5004177.33"/>
    <n v="11415142"/>
    <s v="AMOMPY"/>
    <s v="Momentum Capital Investment S.A."/>
    <s v="18/09/2026"/>
    <s v="18/09/2026"/>
    <n v="30"/>
    <s v="No"/>
    <s v=""/>
    <m/>
    <m/>
    <s v="*CVA160300014"/>
    <s v="*CVA160300014"/>
    <n v="6.1244353657597265E-5"/>
  </r>
  <r>
    <x v="412"/>
    <s v="Pesos"/>
    <d v="2027-03-18T00:00:00"/>
    <s v="29/10/2026"/>
    <n v="0.89067854999999996"/>
    <m/>
    <n v="21145734.48"/>
    <n v="18834052.059999999"/>
    <n v="21145734.48"/>
    <n v="18834052.059999999"/>
    <n v="1985965"/>
    <s v="AMOMPY"/>
    <s v="Momentum Capital Investment S.A."/>
    <s v="16/09/2026"/>
    <s v="16/09/2026"/>
    <n v="32"/>
    <s v="No"/>
    <s v=""/>
    <m/>
    <m/>
    <s v="*MAV160301227"/>
    <s v="*MAV160301227"/>
    <n v="2.3050329137081925E-4"/>
  </r>
  <r>
    <x v="54"/>
    <s v="Pesos"/>
    <d v="2027-03-18T00:00:00"/>
    <s v="29/10/2026"/>
    <n v="0.89680605000000002"/>
    <m/>
    <n v="2500000"/>
    <n v="2242015.13"/>
    <n v="2500000"/>
    <n v="2242015.13"/>
    <n v="90003967"/>
    <s v="AMOMPY"/>
    <s v="Momentum Capital Investment S.A."/>
    <s v="29/10/2026"/>
    <s v="29/10/2026"/>
    <n v="30"/>
    <s v="No"/>
    <s v=""/>
    <m/>
    <m/>
    <s v="*INP160300056"/>
    <s v="*INP160300056"/>
    <n v="2.7439228962616298E-5"/>
  </r>
  <r>
    <x v="487"/>
    <s v="Pesos"/>
    <d v="2027-03-18T00:00:00"/>
    <s v="29/10/2026"/>
    <n v="0.90931744999999997"/>
    <m/>
    <n v="3948801"/>
    <n v="3590713.64"/>
    <n v="3948801"/>
    <n v="3590713.64"/>
    <n v="1018"/>
    <s v="AMOMPY"/>
    <s v="Momentum Capital Investment S.A."/>
    <s v="29/07/2026"/>
    <s v="29/07/2026"/>
    <n v="26"/>
    <s v="No"/>
    <s v=""/>
    <m/>
    <m/>
    <s v="*MAV160301224"/>
    <s v="*MAV160301224"/>
    <n v="4.3945472262334559E-5"/>
  </r>
  <r>
    <x v="189"/>
    <s v="Pesos"/>
    <d v="2027-03-18T00:00:00"/>
    <s v="29/10/2026"/>
    <n v="0.88764602999999997"/>
    <m/>
    <n v="25000000"/>
    <n v="22191150.66"/>
    <n v="25000000"/>
    <n v="22191150.66"/>
    <n v="475896"/>
    <s v="AMOMPY"/>
    <s v="Momentum Capital Investment S.A."/>
    <s v="21/10/2026"/>
    <s v="21/10/2026"/>
    <n v="33"/>
    <s v="No"/>
    <s v=""/>
    <m/>
    <m/>
    <s v="*MAV160301247"/>
    <s v="*MAV160301247"/>
    <n v="2.7158963191459544E-4"/>
  </r>
  <r>
    <x v="249"/>
    <s v="Pesos"/>
    <d v="2027-03-18T00:00:00"/>
    <s v="29/10/2026"/>
    <n v="0.88463413000000002"/>
    <m/>
    <n v="618696.5"/>
    <n v="547320.04"/>
    <n v="618696.5"/>
    <n v="547320.04"/>
    <n v="70497144"/>
    <s v="AMOMPY"/>
    <s v="Momentum Capital Investment S.A."/>
    <s v="21/10/2026"/>
    <s v="21/10/2026"/>
    <n v="34"/>
    <s v="No"/>
    <s v=""/>
    <m/>
    <m/>
    <s v="*MAV160301246"/>
    <s v="*MAV160301246"/>
    <n v="6.6984560864173624E-6"/>
  </r>
  <r>
    <x v="0"/>
    <s v="Pesos"/>
    <d v="2027-03-19T00:00:00"/>
    <s v="29/10/2026"/>
    <n v="0.89614539000000004"/>
    <m/>
    <n v="5000000"/>
    <n v="4480726.95"/>
    <n v="5000000"/>
    <n v="4480726.95"/>
    <n v="3927502"/>
    <s v="AMOMPY"/>
    <s v="Momentum Capital Investment S.A."/>
    <s v="22/09/2026"/>
    <s v="22/09/2026"/>
    <n v="30"/>
    <s v="No"/>
    <s v=""/>
    <m/>
    <m/>
    <s v="*TRD170300034"/>
    <s v="*TRD170300034"/>
    <n v="5.4838029884310107E-5"/>
  </r>
  <r>
    <x v="54"/>
    <s v="Pesos"/>
    <d v="2027-03-19T00:00:00"/>
    <s v="29/10/2026"/>
    <n v="0.89305391000000001"/>
    <m/>
    <n v="20000000"/>
    <n v="17861078.170000002"/>
    <n v="20000000"/>
    <n v="17861078.170000002"/>
    <n v="69904903"/>
    <s v="AMOMPY"/>
    <s v="Momentum Capital Investment S.A."/>
    <s v="24/09/2026"/>
    <s v="24/09/2026"/>
    <n v="31"/>
    <s v="No"/>
    <s v=""/>
    <m/>
    <m/>
    <s v="*INP170300062"/>
    <s v="*INP170300062"/>
    <n v="2.1859540859825411E-4"/>
  </r>
  <r>
    <x v="54"/>
    <s v="Pesos"/>
    <d v="2027-03-19T00:00:00"/>
    <s v="29/10/2026"/>
    <n v="0.89614543999999996"/>
    <m/>
    <n v="2500000"/>
    <n v="2240363.59"/>
    <n v="2500000"/>
    <n v="2240363.59"/>
    <n v="90003968"/>
    <s v="AMOMPY"/>
    <s v="Momentum Capital Investment S.A."/>
    <s v="29/10/2026"/>
    <s v="29/10/2026"/>
    <n v="30"/>
    <s v="No"/>
    <s v=""/>
    <m/>
    <m/>
    <s v="*INP170300068"/>
    <s v="*INP170300068"/>
    <n v="2.7419016349599313E-5"/>
  </r>
  <r>
    <x v="333"/>
    <s v="Pesos"/>
    <d v="2027-03-19T00:00:00"/>
    <s v="29/10/2026"/>
    <n v="0.90239334999999998"/>
    <m/>
    <n v="19000000"/>
    <n v="17145473.600000001"/>
    <n v="19000000"/>
    <n v="17145473.600000001"/>
    <n v="1558096"/>
    <s v="AMOMPY"/>
    <s v="Momentum Capital Investment S.A."/>
    <s v="17/09/2026"/>
    <s v="17/09/2026"/>
    <n v="28"/>
    <s v="No"/>
    <s v=""/>
    <m/>
    <m/>
    <s v="*ACI170300249"/>
    <s v="*ACI170300249"/>
    <n v="2.0983737776242983E-4"/>
  </r>
  <r>
    <x v="189"/>
    <s v="Pesos"/>
    <d v="2027-03-19T00:00:00"/>
    <s v="29/10/2026"/>
    <n v="0.88693416999999997"/>
    <m/>
    <n v="25000000"/>
    <n v="22173354.16"/>
    <n v="25000000"/>
    <n v="22173354.16"/>
    <n v="70562980"/>
    <s v="AMOMPY"/>
    <s v="Momentum Capital Investment S.A."/>
    <s v="21/10/2026"/>
    <s v="21/10/2026"/>
    <n v="33"/>
    <s v="No"/>
    <s v=""/>
    <m/>
    <m/>
    <s v="*MAV170301339"/>
    <s v="*MAV170301339"/>
    <n v="2.7137182685534359E-4"/>
  </r>
  <r>
    <x v="498"/>
    <s v="Pesos"/>
    <d v="2027-03-19T00:00:00"/>
    <s v="29/10/2026"/>
    <n v="0.89676643"/>
    <m/>
    <n v="100000000"/>
    <n v="89676643.209999993"/>
    <n v="100000000"/>
    <n v="89676643.209999993"/>
    <n v="2528"/>
    <s v="AMOMPY"/>
    <s v="Momentum Capital Investment S.A."/>
    <s v="27/10/2026"/>
    <s v="27/10/2026"/>
    <n v="29.8"/>
    <s v="No"/>
    <s v=""/>
    <m/>
    <m/>
    <s v="*AGV170300001"/>
    <s v="*AGV170300001"/>
    <n v="1.0975206691125408E-3"/>
  </r>
  <r>
    <x v="480"/>
    <s v="Pesos"/>
    <d v="2027-03-22T00:00:00"/>
    <s v="29/10/2026"/>
    <n v="0.88480572999999996"/>
    <m/>
    <n v="6006148"/>
    <n v="5314274.1500000004"/>
    <n v="6006148"/>
    <n v="5314274.1500000004"/>
    <n v="1370682"/>
    <s v="AMOMPY"/>
    <s v="Momentum Capital Investment S.A."/>
    <s v="23/09/2026"/>
    <s v="23/09/2026"/>
    <n v="33"/>
    <s v="No"/>
    <s v=""/>
    <m/>
    <m/>
    <s v="*MAV180301345"/>
    <s v="*MAV180301345"/>
    <n v="6.5039518788601188E-5"/>
  </r>
  <r>
    <x v="54"/>
    <s v="Pesos"/>
    <d v="2027-03-22T00:00:00"/>
    <s v="29/10/2026"/>
    <n v="0.89416965999999998"/>
    <m/>
    <n v="2500000"/>
    <n v="2235424.14"/>
    <n v="2500000"/>
    <n v="2235424.14"/>
    <n v="90003969"/>
    <s v="AMOMPY"/>
    <s v="Momentum Capital Investment S.A."/>
    <s v="29/10/2026"/>
    <s v="29/10/2026"/>
    <n v="30"/>
    <s v="No"/>
    <s v=""/>
    <m/>
    <m/>
    <s v="*INP180300071"/>
    <s v="*INP180300071"/>
    <n v="2.735856417080452E-5"/>
  </r>
  <r>
    <x v="421"/>
    <s v="Pesos"/>
    <d v="2027-03-22T00:00:00"/>
    <s v="29/10/2026"/>
    <n v="0.88172779000000001"/>
    <m/>
    <n v="4927055.72"/>
    <n v="4344321.96"/>
    <n v="4927055.72"/>
    <n v="4344321.96"/>
    <n v="1498"/>
    <s v="AMOMPY"/>
    <s v="Momentum Capital Investment S.A."/>
    <s v="21/10/2026"/>
    <s v="21/10/2026"/>
    <n v="34"/>
    <s v="No"/>
    <s v=""/>
    <m/>
    <m/>
    <s v="*MAV180301364"/>
    <s v="*MAV180301364"/>
    <n v="5.3168617531926294E-5"/>
  </r>
  <r>
    <x v="236"/>
    <s v="Pesos"/>
    <d v="2027-03-23T00:00:00"/>
    <s v="29/10/2026"/>
    <n v="0.88721455000000005"/>
    <m/>
    <n v="45000000"/>
    <n v="39924654.859999999"/>
    <n v="45000000"/>
    <n v="39924654.859999999"/>
    <n v="51559"/>
    <s v="AMOMPY"/>
    <s v="Momentum Capital Investment S.A."/>
    <s v="28/09/2026"/>
    <s v="28/09/2026"/>
    <n v="32"/>
    <s v="No"/>
    <s v=""/>
    <m/>
    <m/>
    <s v="*MAV190301060"/>
    <s v="*MAV190301060"/>
    <n v="4.8862370788593725E-4"/>
  </r>
  <r>
    <x v="333"/>
    <s v="Pesos"/>
    <d v="2027-03-23T00:00:00"/>
    <s v="29/10/2026"/>
    <n v="0.89990152000000001"/>
    <m/>
    <n v="19000000"/>
    <n v="17098128.800000001"/>
    <n v="19000000"/>
    <n v="17098128.800000001"/>
    <n v="1558097"/>
    <s v="AMOMPY"/>
    <s v="Momentum Capital Investment S.A."/>
    <s v="17/09/2026"/>
    <s v="17/09/2026"/>
    <n v="28"/>
    <s v="No"/>
    <s v=""/>
    <m/>
    <m/>
    <s v="*ACI190300237"/>
    <s v="*ACI190300237"/>
    <n v="2.092579415266943E-4"/>
  </r>
  <r>
    <x v="518"/>
    <s v="Pesos"/>
    <d v="2027-03-23T00:00:00"/>
    <s v="29/10/2026"/>
    <n v="0.88409841"/>
    <m/>
    <n v="10000000"/>
    <n v="8840984.1199999992"/>
    <n v="10000000"/>
    <n v="8840984.1199999992"/>
    <n v="673"/>
    <s v="AMOMPY"/>
    <s v="Momentum Capital Investment S.A."/>
    <s v="29/10/2026"/>
    <s v="29/10/2026"/>
    <n v="33"/>
    <s v="No"/>
    <s v=""/>
    <m/>
    <m/>
    <s v="*MAV190301090"/>
    <s v="*MAV190301090"/>
    <n v="1.0820167280652329E-4"/>
  </r>
  <r>
    <x v="65"/>
    <s v="Pesos"/>
    <d v="2027-03-29T00:00:00"/>
    <s v="29/10/2026"/>
    <n v="0.8912331"/>
    <m/>
    <n v="5633315"/>
    <n v="5020596.78"/>
    <n v="5633315"/>
    <n v="5020596.78"/>
    <n v="69874720"/>
    <s v="AMOMPY"/>
    <s v="Momentum Capital Investment S.A."/>
    <s v="23/09/2026"/>
    <s v="23/09/2026"/>
    <n v="29.5"/>
    <s v="No"/>
    <s v=""/>
    <m/>
    <m/>
    <s v="*CVA210300008"/>
    <s v="*CVA210300008"/>
    <n v="6.1445305489706548E-5"/>
  </r>
  <r>
    <x v="296"/>
    <s v="Pesos"/>
    <d v="2027-03-29T00:00:00"/>
    <s v="29/10/2026"/>
    <n v="0.87987857000000003"/>
    <m/>
    <n v="182156"/>
    <n v="160275.16"/>
    <n v="182156"/>
    <n v="160275.16"/>
    <n v="2232886"/>
    <s v="AMOMPY"/>
    <s v="Momentum Capital Investment S.A."/>
    <s v="22/09/2026"/>
    <s v="22/09/2026"/>
    <n v="33"/>
    <s v="No"/>
    <s v=""/>
    <m/>
    <m/>
    <s v="*MAV220300963"/>
    <s v="*MAV220300963"/>
    <n v="1.9615509072233434E-6"/>
  </r>
  <r>
    <x v="95"/>
    <s v="Pesos"/>
    <d v="2027-03-29T00:00:00"/>
    <s v="29/10/2026"/>
    <n v="0.87987852"/>
    <m/>
    <n v="25000000"/>
    <n v="21996963.010000002"/>
    <n v="25000000"/>
    <n v="21996963.010000002"/>
    <n v="2987"/>
    <s v="AMOMPY"/>
    <s v="Momentum Capital Investment S.A."/>
    <s v="16/10/2026"/>
    <s v="16/10/2026"/>
    <n v="33"/>
    <s v="No"/>
    <s v=""/>
    <m/>
    <m/>
    <s v="*MAV200301787"/>
    <s v="*MAV200301787"/>
    <n v="2.6921303805545302E-4"/>
  </r>
  <r>
    <x v="517"/>
    <s v="Pesos"/>
    <d v="2027-03-29T00:00:00"/>
    <s v="29/10/2026"/>
    <n v="0.87987850999999995"/>
    <m/>
    <n v="25000000"/>
    <n v="21996962.850000001"/>
    <n v="25000000"/>
    <n v="21996962.850000001"/>
    <n v="20"/>
    <s v="AMOMPY"/>
    <s v="Momentum Capital Investment S.A."/>
    <s v="24/09/2026"/>
    <s v="24/09/2026"/>
    <n v="33"/>
    <s v="No"/>
    <s v=""/>
    <m/>
    <m/>
    <s v="*MAV220300967"/>
    <s v="*MAV220300967"/>
    <n v="2.6921303609726973E-4"/>
  </r>
  <r>
    <x v="54"/>
    <s v="Pesos"/>
    <d v="2027-03-29T00:00:00"/>
    <s v="29/10/2026"/>
    <n v="0.88959312999999995"/>
    <m/>
    <n v="2500000"/>
    <n v="2223982.83"/>
    <n v="2500000"/>
    <n v="2223982.83"/>
    <n v="90003970"/>
    <s v="AMOMPY"/>
    <s v="Momentum Capital Investment S.A."/>
    <s v="29/10/2026"/>
    <s v="29/10/2026"/>
    <n v="30"/>
    <s v="No"/>
    <s v=""/>
    <m/>
    <m/>
    <s v="*INP220300065"/>
    <s v="*INP220300065"/>
    <n v="2.7218538030694452E-5"/>
  </r>
  <r>
    <x v="520"/>
    <s v="Pesos"/>
    <d v="2027-03-29T00:00:00"/>
    <s v="29/10/2026"/>
    <n v="0.87987866000000003"/>
    <m/>
    <n v="22918216.550000001"/>
    <n v="20165249.699999999"/>
    <n v="22918216.550000001"/>
    <n v="20165249.699999999"/>
    <n v="1368028"/>
    <s v="AMOMPY"/>
    <s v="Momentum Capital Investment S.A."/>
    <s v="23/09/2026"/>
    <s v="23/09/2026"/>
    <n v="33"/>
    <s v="No"/>
    <s v=""/>
    <m/>
    <m/>
    <s v="*MAV200301774"/>
    <s v="*MAV200301774"/>
    <n v="2.4679534772213143E-4"/>
  </r>
  <r>
    <x v="520"/>
    <s v="Pesos"/>
    <d v="2027-03-29T00:00:00"/>
    <s v="29/10/2026"/>
    <n v="0.87987866000000003"/>
    <m/>
    <n v="24000000"/>
    <n v="21117087.870000001"/>
    <n v="24000000"/>
    <n v="21117087.870000001"/>
    <n v="40811462"/>
    <s v="AMOMPY"/>
    <s v="Momentum Capital Investment S.A."/>
    <s v="23/09/2026"/>
    <s v="23/09/2026"/>
    <n v="33"/>
    <s v="No"/>
    <s v=""/>
    <m/>
    <m/>
    <s v="*MAV200301775"/>
    <s v="*MAV200301775"/>
    <n v="2.5844455790475303E-4"/>
  </r>
  <r>
    <x v="520"/>
    <s v="Pesos"/>
    <d v="2027-03-29T00:00:00"/>
    <s v="29/10/2026"/>
    <n v="0.87987866000000003"/>
    <m/>
    <n v="24000000"/>
    <n v="21117087.870000001"/>
    <n v="24000000"/>
    <n v="21117087.870000001"/>
    <n v="10718061"/>
    <s v="AMOMPY"/>
    <s v="Momentum Capital Investment S.A."/>
    <s v="23/09/2026"/>
    <s v="23/09/2026"/>
    <n v="33"/>
    <s v="No"/>
    <s v=""/>
    <m/>
    <m/>
    <s v="*MAV200301776"/>
    <s v="*MAV200301776"/>
    <n v="2.5844455790475303E-4"/>
  </r>
  <r>
    <x v="162"/>
    <s v="Pesos"/>
    <d v="2027-03-30T00:00:00"/>
    <s v="29/10/2026"/>
    <n v="0.88240984"/>
    <m/>
    <n v="50000000"/>
    <n v="44120492.219999999"/>
    <n v="50000000"/>
    <n v="44120492.219999999"/>
    <n v="41040859"/>
    <s v="AMOMPY"/>
    <s v="Momentum Capital Investment S.A."/>
    <s v="28/10/2026"/>
    <s v="28/10/2026"/>
    <n v="32"/>
    <s v="No"/>
    <s v=""/>
    <m/>
    <m/>
    <s v="*AAR230300025"/>
    <s v="*AAR230300025"/>
    <n v="5.3997507499778169E-4"/>
  </r>
  <r>
    <x v="0"/>
    <s v="Pesos"/>
    <d v="2027-03-31T00:00:00"/>
    <s v="29/10/2026"/>
    <n v="0.88829416999999999"/>
    <m/>
    <n v="6000000"/>
    <n v="5329765"/>
    <n v="6000000"/>
    <n v="5329765"/>
    <n v="3927503"/>
    <s v="AMOMPY"/>
    <s v="Momentum Capital Investment S.A."/>
    <s v="22/09/2026"/>
    <s v="22/09/2026"/>
    <n v="30"/>
    <s v="No"/>
    <s v=""/>
    <m/>
    <m/>
    <s v="*TRD240300020"/>
    <s v="*TRD240300020"/>
    <n v="6.5229105814258568E-5"/>
  </r>
  <r>
    <x v="162"/>
    <s v="Pesos"/>
    <d v="2027-03-31T00:00:00"/>
    <s v="29/10/2026"/>
    <n v="0.88172790000000001"/>
    <m/>
    <n v="50000000"/>
    <n v="44086395.100000001"/>
    <n v="50000000"/>
    <n v="44086395.100000001"/>
    <n v="41040858"/>
    <s v="AMOMPY"/>
    <s v="Momentum Capital Investment S.A."/>
    <s v="28/10/2026"/>
    <s v="28/10/2026"/>
    <n v="32"/>
    <s v="No"/>
    <s v=""/>
    <m/>
    <m/>
    <s v="*AAR250300047"/>
    <s v="*AAR250300047"/>
    <n v="5.3955777242469612E-4"/>
  </r>
  <r>
    <x v="65"/>
    <s v="Pesos"/>
    <d v="2027-03-31T00:00:00"/>
    <s v="29/10/2026"/>
    <n v="0.89161396000000004"/>
    <m/>
    <n v="5000000"/>
    <n v="4458069.82"/>
    <n v="5000000"/>
    <n v="4458069.82"/>
    <n v="103"/>
    <s v="AMOMPY"/>
    <s v="Momentum Capital Investment S.A."/>
    <s v="29/10/2026"/>
    <s v="29/10/2026"/>
    <n v="29"/>
    <s v="No"/>
    <s v=""/>
    <m/>
    <m/>
    <s v="*CVA260300021"/>
    <s v="*CVA260300021"/>
    <n v="5.4560737296322193E-5"/>
  </r>
  <r>
    <x v="236"/>
    <s v="Pesos"/>
    <d v="2027-03-31T00:00:00"/>
    <s v="29/10/2026"/>
    <n v="0.88172782000000005"/>
    <m/>
    <n v="45000000"/>
    <n v="39677752.07"/>
    <n v="45000000"/>
    <n v="39677752.07"/>
    <n v="51560"/>
    <s v="AMOMPY"/>
    <s v="Momentum Capital Investment S.A."/>
    <s v="28/09/2026"/>
    <s v="28/09/2026"/>
    <n v="32"/>
    <s v="No"/>
    <s v=""/>
    <m/>
    <m/>
    <s v="*MAV260301224"/>
    <s v="*MAV260301224"/>
    <n v="4.8560195210219342E-4"/>
  </r>
  <r>
    <x v="480"/>
    <s v="Pesos"/>
    <d v="2027-03-31T00:00:00"/>
    <s v="29/10/2026"/>
    <n v="0.87848088000000002"/>
    <m/>
    <n v="6006148"/>
    <n v="5276286.1500000004"/>
    <n v="6006148"/>
    <n v="5276286.1500000004"/>
    <n v="1370685"/>
    <s v="AMOMPY"/>
    <s v="Momentum Capital Investment S.A."/>
    <s v="23/09/2026"/>
    <s v="23/09/2026"/>
    <n v="33"/>
    <s v="No"/>
    <s v=""/>
    <m/>
    <m/>
    <s v="*MAV250301643"/>
    <s v="*MAV250301643"/>
    <n v="6.4574597113504429E-5"/>
  </r>
  <r>
    <x v="3"/>
    <s v="Pesos"/>
    <d v="2027-03-31T00:00:00"/>
    <s v="29/10/2026"/>
    <n v="0.88172790000000001"/>
    <m/>
    <n v="16500000"/>
    <n v="14548510.380000001"/>
    <n v="16500000"/>
    <n v="14548510.380000001"/>
    <n v="195"/>
    <s v="AMOMPY"/>
    <s v="Momentum Capital Investment S.A."/>
    <s v="28/10/2026"/>
    <s v="28/10/2026"/>
    <n v="32"/>
    <s v="No"/>
    <s v=""/>
    <m/>
    <m/>
    <s v="*MOV270300075"/>
    <s v="*MOV270300075"/>
    <n v="1.7805406486343377E-4"/>
  </r>
  <r>
    <x v="521"/>
    <s v="Pesos"/>
    <d v="2027-03-31T00:00:00"/>
    <s v="29/10/2026"/>
    <n v="0.92264926000000003"/>
    <m/>
    <n v="5000000"/>
    <n v="4613246.3099999996"/>
    <n v="5000000"/>
    <n v="4613246.3099999996"/>
    <n v="100"/>
    <s v="AMOMPY"/>
    <s v="Momentum Capital Investment S.A."/>
    <s v="11/09/2026"/>
    <s v="11/09/2026"/>
    <n v="20"/>
    <s v="No"/>
    <s v=""/>
    <m/>
    <m/>
    <s v="*MAV260301221"/>
    <s v="*MAV260301221"/>
    <n v="5.6459887387572965E-5"/>
  </r>
  <r>
    <x v="333"/>
    <s v="Pesos"/>
    <d v="2027-03-31T00:00:00"/>
    <s v="29/10/2026"/>
    <n v="0.89495891000000005"/>
    <m/>
    <n v="19000000"/>
    <n v="17004219.25"/>
    <n v="19000000"/>
    <n v="17004219.25"/>
    <n v="1558098"/>
    <s v="AMOMPY"/>
    <s v="Momentum Capital Investment S.A."/>
    <s v="17/09/2026"/>
    <s v="17/09/2026"/>
    <n v="28"/>
    <s v="No"/>
    <s v=""/>
    <m/>
    <m/>
    <s v="*ACI240300132"/>
    <s v="*ACI240300132"/>
    <n v="2.0810861581084763E-4"/>
  </r>
  <r>
    <x v="333"/>
    <s v="Pesos"/>
    <d v="2027-03-31T00:00:00"/>
    <s v="29/10/2026"/>
    <n v="0.89832888"/>
    <m/>
    <n v="23900411.600000001"/>
    <n v="21470429.960000001"/>
    <n v="23900411.600000001"/>
    <n v="21470429.960000001"/>
    <n v="90001875"/>
    <s v="AMOMPY"/>
    <s v="Momentum Capital Investment S.A."/>
    <s v="29/10/2026"/>
    <s v="29/10/2026"/>
    <n v="27"/>
    <s v="No"/>
    <s v=""/>
    <m/>
    <m/>
    <s v="*ACI280300246"/>
    <s v="*ACI280300246"/>
    <n v="2.6276898657604365E-4"/>
  </r>
  <r>
    <x v="189"/>
    <s v="Pesos"/>
    <d v="2027-03-31T00:00:00"/>
    <s v="29/10/2026"/>
    <n v="0.87848104999999999"/>
    <m/>
    <n v="25000000"/>
    <n v="21962026.170000002"/>
    <n v="25000000"/>
    <n v="21962026.170000002"/>
    <n v="70563011"/>
    <s v="AMOMPY"/>
    <s v="Momentum Capital Investment S.A."/>
    <s v="21/10/2026"/>
    <s v="21/10/2026"/>
    <n v="33"/>
    <s v="No"/>
    <s v=""/>
    <m/>
    <m/>
    <s v="*MAV240300795"/>
    <s v="*MAV240300795"/>
    <n v="2.6878545844675062E-4"/>
  </r>
  <r>
    <x v="443"/>
    <s v="Pesos"/>
    <d v="2027-03-31T00:00:00"/>
    <s v="29/10/2026"/>
    <n v="0.87525799000000004"/>
    <m/>
    <n v="19131395.420000002"/>
    <n v="16744906.699999999"/>
    <n v="19131395.420000002"/>
    <n v="16744906.699999999"/>
    <n v="284"/>
    <s v="AMOMPY"/>
    <s v="Momentum Capital Investment S.A."/>
    <s v="28/10/2026"/>
    <s v="28/10/2026"/>
    <n v="34"/>
    <s v="No"/>
    <s v=""/>
    <m/>
    <m/>
    <s v="*MAV260301240"/>
    <s v="*MAV260301240"/>
    <n v="2.0493498137050828E-4"/>
  </r>
  <r>
    <x v="444"/>
    <s v="Pesos"/>
    <d v="2027-03-31T00:00:00"/>
    <s v="29/10/2026"/>
    <n v="0.87525799000000004"/>
    <m/>
    <n v="12701545.390000001"/>
    <n v="11117129.09"/>
    <n v="12701545.390000001"/>
    <n v="11117129.09"/>
    <n v="141"/>
    <s v="AMOMPY"/>
    <s v="Momentum Capital Investment S.A."/>
    <s v="28/10/2026"/>
    <s v="28/10/2026"/>
    <n v="34"/>
    <s v="No"/>
    <s v=""/>
    <m/>
    <m/>
    <s v="*MAV260301241"/>
    <s v="*MAV260301241"/>
    <n v="1.3605860479071441E-4"/>
  </r>
  <r>
    <x v="522"/>
    <s v="Pesos"/>
    <d v="2027-03-31T00:00:00"/>
    <s v="29/10/2026"/>
    <n v="0.87205847999999997"/>
    <m/>
    <n v="119630072.31"/>
    <n v="104324418.81"/>
    <n v="119630072.31"/>
    <n v="104324418.81"/>
    <n v="54555152"/>
    <s v="AMOMPY"/>
    <s v="Momentum Capital Investment S.A."/>
    <s v="06/10/2026"/>
    <s v="06/10/2026"/>
    <n v="35"/>
    <s v="No"/>
    <s v=""/>
    <m/>
    <m/>
    <s v="*MAV290300925"/>
    <s v="*MAV290300925"/>
    <n v="1.276789605839754E-3"/>
  </r>
  <r>
    <x v="523"/>
    <s v="Pesos"/>
    <d v="2027-03-31T00:00:00"/>
    <s v="29/10/2026"/>
    <n v="0.88499868999999998"/>
    <m/>
    <n v="15000000"/>
    <n v="13274980.289999999"/>
    <n v="15000000"/>
    <n v="13274980.289999999"/>
    <n v="8288"/>
    <s v="AMOMPY"/>
    <s v="Momentum Capital Investment S.A."/>
    <s v="29/10/2026"/>
    <s v="29/10/2026"/>
    <n v="31"/>
    <s v="No"/>
    <s v=""/>
    <m/>
    <m/>
    <s v="*AFB270300007"/>
    <s v="*AFB270300007"/>
    <n v="1.6246778122836687E-4"/>
  </r>
  <r>
    <x v="236"/>
    <s v="Pesos"/>
    <d v="2027-04-01T00:00:00"/>
    <s v="29/10/2026"/>
    <n v="0.88104669999999996"/>
    <m/>
    <n v="45000000"/>
    <n v="39647101.530000001"/>
    <n v="45000000"/>
    <n v="39647101.530000001"/>
    <n v="51561"/>
    <s v="AMOMPY"/>
    <s v="Momentum Capital Investment S.A."/>
    <s v="28/09/2026"/>
    <s v="28/09/2026"/>
    <n v="32"/>
    <s v="No"/>
    <s v=""/>
    <m/>
    <m/>
    <s v="*MAV300301219"/>
    <s v="*MAV300301219"/>
    <n v="4.8522683100080821E-4"/>
  </r>
  <r>
    <x v="95"/>
    <s v="Pesos"/>
    <d v="2027-04-01T00:00:00"/>
    <s v="29/10/2026"/>
    <n v="0.87778370999999999"/>
    <m/>
    <n v="28000000"/>
    <n v="24577944.02"/>
    <n v="28000000"/>
    <n v="24577944.02"/>
    <n v="70440580"/>
    <s v="AMOMPY"/>
    <s v="Momentum Capital Investment S.A."/>
    <s v="16/10/2026"/>
    <s v="16/10/2026"/>
    <n v="33"/>
    <s v="No"/>
    <s v=""/>
    <m/>
    <m/>
    <s v="*MAV300301229"/>
    <s v="*MAV300301229"/>
    <n v="3.0080075034781149E-4"/>
  </r>
  <r>
    <x v="518"/>
    <s v="Pesos"/>
    <d v="2027-04-01T00:00:00"/>
    <s v="29/10/2026"/>
    <n v="0.87778385999999997"/>
    <m/>
    <n v="10000000"/>
    <n v="8777838.6099999994"/>
    <n v="10000000"/>
    <n v="8777838.6099999994"/>
    <n v="674"/>
    <s v="AMOMPY"/>
    <s v="Momentum Capital Investment S.A."/>
    <s v="29/10/2026"/>
    <s v="29/10/2026"/>
    <n v="33"/>
    <s v="No"/>
    <s v=""/>
    <m/>
    <m/>
    <s v="*MAV300301238"/>
    <s v="*MAV300301238"/>
    <n v="1.0742885727835547E-4"/>
  </r>
  <r>
    <x v="0"/>
    <s v="Pesos"/>
    <d v="2027-04-05T00:00:00"/>
    <s v="29/10/2026"/>
    <n v="0.88506315000000002"/>
    <m/>
    <n v="4000000"/>
    <n v="3540252.62"/>
    <n v="4000000"/>
    <n v="3540252.62"/>
    <n v="3927504"/>
    <s v="AMOMPY"/>
    <s v="Momentum Capital Investment S.A."/>
    <s v="22/09/2026"/>
    <s v="22/09/2026"/>
    <n v="30"/>
    <s v="No"/>
    <s v=""/>
    <m/>
    <m/>
    <s v="*TRD310300036"/>
    <s v="*TRD310300036"/>
    <n v="4.332789771391161E-5"/>
  </r>
  <r>
    <x v="65"/>
    <s v="Pesos"/>
    <d v="2027-04-05T00:00:00"/>
    <s v="29/10/2026"/>
    <n v="0.88506313000000003"/>
    <m/>
    <n v="5580000"/>
    <n v="4938652.29"/>
    <n v="5580000"/>
    <n v="4938652.29"/>
    <n v="11415141"/>
    <s v="AMOMPY"/>
    <s v="Momentum Capital Investment S.A."/>
    <s v="18/09/2026"/>
    <s v="18/09/2026"/>
    <n v="30"/>
    <s v="No"/>
    <s v=""/>
    <m/>
    <m/>
    <s v="*CVA310300029"/>
    <s v="*CVA310300029"/>
    <n v="6.0442415904686303E-5"/>
  </r>
  <r>
    <x v="480"/>
    <s v="Pesos"/>
    <d v="2027-04-05T00:00:00"/>
    <s v="29/10/2026"/>
    <n v="0.87500617000000003"/>
    <m/>
    <n v="6006148"/>
    <n v="5255416.55"/>
    <n v="6006148"/>
    <n v="5255416.55"/>
    <n v="1370687"/>
    <s v="AMOMPY"/>
    <s v="Momentum Capital Investment S.A."/>
    <s v="23/09/2026"/>
    <s v="23/09/2026"/>
    <n v="33"/>
    <s v="No"/>
    <s v=""/>
    <m/>
    <m/>
    <s v="*MAV310301582"/>
    <s v="*MAV310301582"/>
    <n v="6.4319181471970282E-5"/>
  </r>
  <r>
    <x v="517"/>
    <s v="Pesos"/>
    <d v="2027-04-05T00:00:00"/>
    <s v="29/10/2026"/>
    <n v="0.87500602000000005"/>
    <m/>
    <n v="25000000"/>
    <n v="21875150.489999998"/>
    <n v="25000000"/>
    <n v="21875150.489999998"/>
    <n v="69974642"/>
    <s v="AMOMPY"/>
    <s v="Momentum Capital Investment S.A."/>
    <s v="24/09/2026"/>
    <s v="24/09/2026"/>
    <n v="33"/>
    <s v="No"/>
    <s v=""/>
    <m/>
    <m/>
    <s v="*MAV310301583"/>
    <s v="*MAV310301583"/>
    <n v="2.6772221777414949E-4"/>
  </r>
  <r>
    <x v="189"/>
    <s v="Pesos"/>
    <d v="2027-04-05T00:00:00"/>
    <s v="29/10/2026"/>
    <n v="0.87500612"/>
    <m/>
    <n v="25000000"/>
    <n v="21875152.98"/>
    <n v="25000000"/>
    <n v="21875152.98"/>
    <n v="70563028"/>
    <s v="AMOMPY"/>
    <s v="Momentum Capital Investment S.A."/>
    <s v="21/10/2026"/>
    <s v="21/10/2026"/>
    <n v="33"/>
    <s v="No"/>
    <s v=""/>
    <m/>
    <m/>
    <s v="*MAV310301602"/>
    <s v="*MAV310301602"/>
    <n v="2.677222482483775E-4"/>
  </r>
  <r>
    <x v="25"/>
    <s v="Pesos"/>
    <d v="2027-04-05T00:00:00"/>
    <s v="29/10/2026"/>
    <n v="0.89535412999999997"/>
    <m/>
    <n v="9200000"/>
    <n v="8237257.9699999997"/>
    <n v="9200000"/>
    <n v="8237257.9699999997"/>
    <n v="90017126"/>
    <s v="AMOMPY"/>
    <s v="Momentum Capital Investment S.A."/>
    <s v="29/10/2026"/>
    <s v="29/10/2026"/>
    <n v="27"/>
    <s v="No"/>
    <s v=""/>
    <m/>
    <m/>
    <s v="*ACI310300509"/>
    <s v="*ACI310300509"/>
    <n v="1.0081288232116701E-4"/>
  </r>
  <r>
    <x v="27"/>
    <s v="Pesos"/>
    <d v="2027-04-05T00:00:00"/>
    <s v="29/10/2026"/>
    <n v="0.87833291999999996"/>
    <m/>
    <n v="6000000"/>
    <n v="5269997.51"/>
    <n v="6000000"/>
    <n v="5269997.51"/>
    <n v="70158561"/>
    <s v="AMOMPY"/>
    <s v="Momentum Capital Investment S.A."/>
    <s v="02/10/2026"/>
    <s v="02/10/2026"/>
    <n v="32"/>
    <s v="No"/>
    <s v=""/>
    <m/>
    <m/>
    <s v="*MAV310301591"/>
    <s v="*MAV310301591"/>
    <n v="6.4497632676237913E-5"/>
  </r>
  <r>
    <x v="328"/>
    <s v="Pesos"/>
    <d v="2027-04-07T00:00:00"/>
    <s v="29/10/2026"/>
    <n v="0.87362375000000003"/>
    <m/>
    <n v="27362969"/>
    <n v="23904939.59"/>
    <n v="27362969"/>
    <n v="23904939.59"/>
    <n v="90004141"/>
    <s v="AMOMPY"/>
    <s v="Momentum Capital Investment S.A."/>
    <s v="22/09/2026"/>
    <s v="22/09/2026"/>
    <n v="33"/>
    <s v="No"/>
    <s v=""/>
    <m/>
    <m/>
    <s v="*MAV020400539"/>
    <s v="*MAV020400539"/>
    <n v="2.9256408753473536E-4"/>
  </r>
  <r>
    <x v="464"/>
    <s v="Pesos"/>
    <d v="2027-04-07T00:00:00"/>
    <s v="29/10/2026"/>
    <n v="0.87029113000000002"/>
    <m/>
    <n v="980654.48"/>
    <n v="853454.9"/>
    <n v="980654.48"/>
    <n v="853454.9"/>
    <n v="70426906"/>
    <s v="AMOMPY"/>
    <s v="Momentum Capital Investment S.A."/>
    <s v="21/10/2026"/>
    <s v="21/10/2026"/>
    <n v="34"/>
    <s v="No"/>
    <s v=""/>
    <m/>
    <m/>
    <s v="*MAV050401014"/>
    <s v="*MAV050401014"/>
    <n v="1.0445132192469549E-5"/>
  </r>
  <r>
    <x v="54"/>
    <s v="Pesos"/>
    <d v="2027-04-09T00:00:00"/>
    <s v="29/10/2026"/>
    <n v="0.87563581000000001"/>
    <m/>
    <n v="2000000"/>
    <n v="1751271.63"/>
    <n v="2000000"/>
    <n v="1751271.63"/>
    <n v="70525975"/>
    <s v="AMOMPY"/>
    <s v="Momentum Capital Investment S.A."/>
    <s v="28/10/2026"/>
    <s v="28/10/2026"/>
    <n v="32"/>
    <s v="No"/>
    <s v=""/>
    <m/>
    <m/>
    <s v="*INP070400059"/>
    <s v="*INP070400059"/>
    <n v="2.1433193107534584E-5"/>
  </r>
  <r>
    <x v="509"/>
    <s v="Pesos"/>
    <d v="2027-04-14T00:00:00"/>
    <s v="29/10/2026"/>
    <n v="0.86538006999999995"/>
    <m/>
    <n v="1049734.6499999999"/>
    <n v="908419.44"/>
    <n v="1049734.6499999999"/>
    <n v="908419.44"/>
    <n v="1546"/>
    <s v="AMOMPY"/>
    <s v="Momentum Capital Investment S.A."/>
    <s v="21/10/2026"/>
    <s v="21/10/2026"/>
    <n v="34"/>
    <s v="No"/>
    <s v=""/>
    <m/>
    <m/>
    <s v="*MAV120401147"/>
    <s v="*MAV120401147"/>
    <n v="1.1117823726841522E-5"/>
  </r>
  <r>
    <x v="233"/>
    <s v="Dolar 3500"/>
    <d v="2027-04-14T00:00:00"/>
    <s v="29/10/2026"/>
    <n v="0.96469117000000004"/>
    <s v="1 US3 = 1539,5930209017 $"/>
    <n v="18230"/>
    <n v="17586.32"/>
    <n v="28066780.77"/>
    <n v="27075775.539999999"/>
    <n v="146452"/>
    <s v="AMOMPY"/>
    <s v="Momentum Capital Investment S.A."/>
    <s v="17/04/2026"/>
    <s v="17/04/2026"/>
    <n v="8"/>
    <s v="No"/>
    <s v=""/>
    <m/>
    <m/>
    <s v="#UMV120470004"/>
    <s v="#UMV120470004"/>
    <n v="3.3137082548700996E-4"/>
  </r>
  <r>
    <x v="54"/>
    <s v="Pesos"/>
    <d v="2027-04-15T00:00:00"/>
    <s v="29/10/2026"/>
    <n v="0.87513200999999996"/>
    <m/>
    <n v="3700000"/>
    <n v="3237988.44"/>
    <n v="3700000"/>
    <n v="3237988.44"/>
    <n v="164548"/>
    <s v="AMOMPY"/>
    <s v="Momentum Capital Investment S.A."/>
    <s v="18/09/2026"/>
    <s v="18/09/2026"/>
    <n v="31"/>
    <s v="No"/>
    <s v=""/>
    <m/>
    <m/>
    <s v="#IGA140470001"/>
    <s v="#IGA140470001"/>
    <n v="3.9628593489226264E-5"/>
  </r>
  <r>
    <x v="222"/>
    <s v="Pesos"/>
    <d v="2027-04-16T00:00:00"/>
    <s v="29/10/2026"/>
    <n v="0.88523478"/>
    <m/>
    <n v="9126668.3499999996"/>
    <n v="8079244.2199999997"/>
    <n v="9126668.3499999996"/>
    <n v="8079244.2199999997"/>
    <n v="617535"/>
    <s v="AMOMPY"/>
    <s v="Momentum Capital Investment S.A."/>
    <s v="01/10/2026"/>
    <s v="01/10/2026"/>
    <n v="28"/>
    <s v="No"/>
    <s v=""/>
    <m/>
    <m/>
    <s v="*MAV140401424"/>
    <s v="*MAV140401424"/>
    <n v="9.8879008009849755E-5"/>
  </r>
  <r>
    <x v="248"/>
    <s v="Pesos"/>
    <d v="2027-04-16T00:00:00"/>
    <s v="29/10/2026"/>
    <n v="0.86398724000000005"/>
    <m/>
    <n v="1416494.72"/>
    <n v="1223833.3700000001"/>
    <n v="1416494.72"/>
    <n v="1223833.3700000001"/>
    <n v="249"/>
    <s v="AMOMPY"/>
    <s v="Momentum Capital Investment S.A."/>
    <s v="21/10/2026"/>
    <s v="21/10/2026"/>
    <n v="34"/>
    <s v="No"/>
    <s v=""/>
    <m/>
    <m/>
    <s v="*MAV140401429"/>
    <s v="*MAV140401429"/>
    <n v="1.4978063083597619E-5"/>
  </r>
  <r>
    <x v="487"/>
    <s v="Pesos"/>
    <d v="2027-04-19T00:00:00"/>
    <s v="29/10/2026"/>
    <n v="0.89085238"/>
    <m/>
    <n v="3948801"/>
    <n v="3517798.77"/>
    <n v="3948801"/>
    <n v="3517798.77"/>
    <n v="1019"/>
    <s v="AMOMPY"/>
    <s v="Momentum Capital Investment S.A."/>
    <s v="29/07/2026"/>
    <s v="29/07/2026"/>
    <n v="26"/>
    <s v="No"/>
    <s v=""/>
    <m/>
    <m/>
    <s v="*MAV150401628"/>
    <s v="*MAV150401628"/>
    <n v="4.3053092997833605E-5"/>
  </r>
  <r>
    <x v="514"/>
    <s v="Pesos"/>
    <d v="2027-04-19T00:00:00"/>
    <s v="29/10/2026"/>
    <n v="0.86190626000000004"/>
    <m/>
    <n v="803060"/>
    <n v="692162.44"/>
    <n v="803060"/>
    <n v="692162.44"/>
    <n v="98"/>
    <s v="AMOMPY"/>
    <s v="Momentum Capital Investment S.A."/>
    <s v="21/10/2026"/>
    <s v="21/10/2026"/>
    <n v="34"/>
    <s v="No"/>
    <s v=""/>
    <m/>
    <m/>
    <s v="*MAV150401646"/>
    <s v="*MAV150401646"/>
    <n v="8.4711309109154704E-6"/>
  </r>
  <r>
    <x v="410"/>
    <s v="Pesos"/>
    <d v="2027-04-19T00:00:00"/>
    <s v="29/10/2026"/>
    <n v="0.86190628000000002"/>
    <m/>
    <n v="1186053.25"/>
    <n v="1022266.74"/>
    <n v="1186053.25"/>
    <n v="1022266.74"/>
    <n v="27"/>
    <s v="AMOMPY"/>
    <s v="Momentum Capital Investment S.A."/>
    <s v="21/10/2026"/>
    <s v="21/10/2026"/>
    <n v="34"/>
    <s v="No"/>
    <s v=""/>
    <m/>
    <m/>
    <s v="*MAV150401645"/>
    <s v="*MAV150401645"/>
    <n v="1.2511160502171699E-5"/>
  </r>
  <r>
    <x v="123"/>
    <s v="Pesos"/>
    <d v="2027-04-19T00:00:00"/>
    <s v="29/10/2026"/>
    <n v="0.86896496999999995"/>
    <m/>
    <n v="2833000"/>
    <n v="2461777.7599999998"/>
    <n v="2833000"/>
    <n v="2461777.7599999998"/>
    <n v="90000060"/>
    <s v="AMOMPY"/>
    <s v="Momentum Capital Investment S.A."/>
    <s v="25/09/2026"/>
    <s v="25/09/2026"/>
    <n v="32"/>
    <s v="No"/>
    <s v=""/>
    <m/>
    <m/>
    <s v="*MAV150401636"/>
    <s v="*MAV150401636"/>
    <n v="3.012882594227483E-5"/>
  </r>
  <r>
    <x v="498"/>
    <s v="Pesos"/>
    <d v="2027-04-19T00:00:00"/>
    <s v="29/10/2026"/>
    <n v="0.87977265999999998"/>
    <m/>
    <n v="85000000"/>
    <n v="74780676.209999993"/>
    <n v="85000000"/>
    <n v="74780676.209999993"/>
    <n v="9844157"/>
    <s v="AMOMPY"/>
    <s v="Momentum Capital Investment S.A."/>
    <s v="29/10/2026"/>
    <s v="29/10/2026"/>
    <n v="29"/>
    <s v="No"/>
    <s v=""/>
    <m/>
    <m/>
    <s v="*AGV150400011"/>
    <s v="*AGV150400011"/>
    <n v="9.1521420576027234E-4"/>
  </r>
  <r>
    <x v="249"/>
    <s v="Pesos"/>
    <d v="2027-04-20T00:00:00"/>
    <s v="29/10/2026"/>
    <n v="0.86121477000000002"/>
    <m/>
    <n v="618696.5"/>
    <n v="532830.56000000006"/>
    <n v="618696.5"/>
    <n v="532830.56000000006"/>
    <n v="70497242"/>
    <s v="AMOMPY"/>
    <s v="Momentum Capital Investment S.A."/>
    <s v="21/10/2026"/>
    <s v="21/10/2026"/>
    <n v="34"/>
    <s v="No"/>
    <s v=""/>
    <m/>
    <m/>
    <s v="*MAV160401189"/>
    <s v="*MAV160401189"/>
    <n v="6.5211244734637737E-6"/>
  </r>
  <r>
    <x v="515"/>
    <s v="Pesos"/>
    <d v="2027-04-21T00:00:00"/>
    <s v="29/10/2026"/>
    <n v="0.86052437000000004"/>
    <m/>
    <n v="1820648.76"/>
    <n v="1566712.63"/>
    <n v="1820648.76"/>
    <n v="1566712.63"/>
    <n v="12"/>
    <s v="AMOMPY"/>
    <s v="Momentum Capital Investment S.A."/>
    <s v="21/10/2026"/>
    <s v="21/10/2026"/>
    <n v="34"/>
    <s v="No"/>
    <s v=""/>
    <m/>
    <m/>
    <s v="*MAV170401386"/>
    <s v="*MAV170401386"/>
    <n v="1.9174440884880538E-5"/>
  </r>
  <r>
    <x v="57"/>
    <s v="Pesos"/>
    <d v="2027-04-27T00:00:00"/>
    <s v="29/10/2026"/>
    <n v="0.86739560000000004"/>
    <m/>
    <n v="391000000"/>
    <n v="339151678.35000002"/>
    <n v="391000000"/>
    <n v="339151678.35000002"/>
    <n v="171189"/>
    <s v="AMOMPY"/>
    <s v="Momentum Capital Investment S.A."/>
    <s v="29/10/2026"/>
    <s v="29/10/2026"/>
    <n v="31"/>
    <s v="No"/>
    <s v=""/>
    <m/>
    <m/>
    <s v="#MAV260470013"/>
    <s v="#MAV260470013"/>
    <n v="4.150757249930445E-3"/>
  </r>
  <r>
    <x v="3"/>
    <s v="Pesos"/>
    <d v="2027-04-29T00:00:00"/>
    <s v="29/10/2026"/>
    <n v="0.86239505999999999"/>
    <m/>
    <n v="17000000"/>
    <n v="14660716.07"/>
    <n v="17000000"/>
    <n v="14660716.07"/>
    <n v="196"/>
    <s v="AMOMPY"/>
    <s v="Momentum Capital Investment S.A."/>
    <s v="28/10/2026"/>
    <s v="28/10/2026"/>
    <n v="32"/>
    <s v="No"/>
    <s v=""/>
    <m/>
    <m/>
    <s v="*MOV270400061"/>
    <s v="*MOV270400061"/>
    <n v="1.7942731055549935E-4"/>
  </r>
  <r>
    <x v="162"/>
    <s v="Pesos"/>
    <d v="2027-05-04T00:00:00"/>
    <s v="29/10/2026"/>
    <n v="0.85538199999999998"/>
    <m/>
    <n v="19000000"/>
    <n v="16252257.91"/>
    <n v="19000000"/>
    <n v="16252257.91"/>
    <n v="41023120"/>
    <s v="AMOMPY"/>
    <s v="Momentum Capital Investment S.A."/>
    <s v="28/10/2026"/>
    <s v="28/10/2026"/>
    <n v="33"/>
    <s v="No"/>
    <s v=""/>
    <m/>
    <m/>
    <s v="*AAR300400036"/>
    <s v="*AAR300400036"/>
    <n v="1.9890562734604822E-4"/>
  </r>
  <r>
    <x v="524"/>
    <s v="Pesos"/>
    <d v="2027-05-04T00:00:00"/>
    <s v="29/10/2026"/>
    <n v="0.85538199999999998"/>
    <m/>
    <n v="33537555.399999999"/>
    <n v="28687421.050000001"/>
    <n v="33537555.399999999"/>
    <n v="28687421.050000001"/>
    <n v="3940"/>
    <s v="AMOMPY"/>
    <s v="Momentum Capital Investment S.A."/>
    <s v="28/10/2026"/>
    <s v="28/10/2026"/>
    <n v="33"/>
    <s v="No"/>
    <s v=""/>
    <m/>
    <m/>
    <s v="*MAV300402074"/>
    <s v="*MAV300402074"/>
    <n v="3.5109518397314677E-4"/>
  </r>
  <r>
    <x v="525"/>
    <s v="Dolar 3500"/>
    <d v="2027-05-05T00:00:00"/>
    <s v="29/10/2026"/>
    <n v="0.95569758999999999"/>
    <s v="1 US3 = 1539,5930209017 $"/>
    <n v="1300000"/>
    <n v="1242406.8700000001"/>
    <n v="2001470927.1700001"/>
    <n v="1912800946.1700001"/>
    <n v="168117"/>
    <s v="AMOMPY"/>
    <s v="Momentum Capital Investment S.A."/>
    <s v="05/10/2026"/>
    <s v="05/10/2026"/>
    <n v="9"/>
    <s v="No"/>
    <s v=""/>
    <m/>
    <m/>
    <s v="#UMV030570015"/>
    <s v="#UMV030570015"/>
    <n v="2.3410093187849153E-2"/>
  </r>
  <r>
    <x v="147"/>
    <s v="Pesos"/>
    <d v="2027-05-06T00:00:00"/>
    <s v="29/10/2026"/>
    <n v="0.84657331999999996"/>
    <m/>
    <n v="12500000"/>
    <n v="10582166.529999999"/>
    <n v="12500000"/>
    <n v="10582166.529999999"/>
    <n v="28"/>
    <s v="AMOMPY"/>
    <s v="Momentum Capital Investment S.A."/>
    <s v="06/10/2026"/>
    <s v="06/10/2026"/>
    <n v="35"/>
    <s v="No"/>
    <s v=""/>
    <m/>
    <m/>
    <s v="*ARP040500187"/>
    <s v="*ARP040500187"/>
    <n v="1.2951138752449222E-4"/>
  </r>
  <r>
    <x v="443"/>
    <s v="Pesos"/>
    <d v="2027-05-12T00:00:00"/>
    <s v="29/10/2026"/>
    <n v="0.84627876999999996"/>
    <m/>
    <n v="19131395.399999999"/>
    <n v="16190493.67"/>
    <n v="19131395.399999999"/>
    <n v="16190493.67"/>
    <n v="285"/>
    <s v="AMOMPY"/>
    <s v="Momentum Capital Investment S.A."/>
    <s v="28/10/2026"/>
    <s v="28/10/2026"/>
    <n v="34"/>
    <s v="No"/>
    <s v=""/>
    <m/>
    <m/>
    <s v="*MAV100501441"/>
    <s v="*MAV100501441"/>
    <n v="1.9814971669210809E-4"/>
  </r>
  <r>
    <x v="444"/>
    <s v="Pesos"/>
    <d v="2027-05-12T00:00:00"/>
    <s v="29/10/2026"/>
    <n v="0.84627876999999996"/>
    <m/>
    <n v="12701545.390000001"/>
    <n v="10749048.15"/>
    <n v="12701545.390000001"/>
    <n v="10749048.15"/>
    <n v="142"/>
    <s v="AMOMPY"/>
    <s v="Momentum Capital Investment S.A."/>
    <s v="28/10/2026"/>
    <s v="28/10/2026"/>
    <n v="34"/>
    <s v="No"/>
    <s v=""/>
    <m/>
    <m/>
    <s v="*MAV100501442"/>
    <s v="*MAV100501442"/>
    <n v="1.3155379255537725E-4"/>
  </r>
  <r>
    <x v="147"/>
    <s v="Pesos"/>
    <d v="2027-05-13T00:00:00"/>
    <s v="29/10/2026"/>
    <n v="0.84178967000000005"/>
    <m/>
    <n v="12500000"/>
    <n v="10522370.85"/>
    <n v="12500000"/>
    <n v="10522370.85"/>
    <n v="27"/>
    <s v="AMOMPY"/>
    <s v="Momentum Capital Investment S.A."/>
    <s v="06/10/2026"/>
    <s v="06/10/2026"/>
    <n v="35"/>
    <s v="No"/>
    <s v=""/>
    <m/>
    <m/>
    <s v="*ARP110500195"/>
    <s v="*ARP110500195"/>
    <n v="1.2877956937904763E-4"/>
  </r>
  <r>
    <x v="54"/>
    <s v="Pesos"/>
    <d v="2027-05-14T00:00:00"/>
    <s v="29/10/2026"/>
    <n v="0.85272422000000003"/>
    <m/>
    <n v="2000000"/>
    <n v="1705448.44"/>
    <n v="2000000"/>
    <n v="1705448.44"/>
    <n v="70526002"/>
    <s v="AMOMPY"/>
    <s v="Momentum Capital Investment S.A."/>
    <s v="28/10/2026"/>
    <s v="28/10/2026"/>
    <n v="32"/>
    <s v="No"/>
    <s v=""/>
    <m/>
    <m/>
    <s v="*INP120500083"/>
    <s v="*INP120500083"/>
    <n v="2.0872379317572574E-5"/>
  </r>
  <r>
    <x v="233"/>
    <s v="Dolar 3500"/>
    <d v="2027-05-14T00:00:00"/>
    <s v="29/10/2026"/>
    <n v="0.95860999000000002"/>
    <s v="1 US3 = 1539,5930209017 $"/>
    <n v="18230"/>
    <n v="17475.46"/>
    <n v="28066780.77"/>
    <n v="26905096.25"/>
    <n v="146453"/>
    <s v="AMOMPY"/>
    <s v="Momentum Capital Investment S.A."/>
    <s v="17/04/2026"/>
    <s v="17/04/2026"/>
    <n v="8"/>
    <s v="No"/>
    <s v=""/>
    <m/>
    <m/>
    <s v="#UMV120570002"/>
    <s v="#UMV120570002"/>
    <n v="3.2928194211828503E-4"/>
  </r>
  <r>
    <x v="54"/>
    <s v="Pesos"/>
    <d v="2027-05-17T00:00:00"/>
    <s v="29/10/2026"/>
    <n v="0.85480111999999997"/>
    <m/>
    <n v="3700000"/>
    <n v="3162764.13"/>
    <n v="3700000"/>
    <n v="3162764.13"/>
    <n v="164551"/>
    <s v="AMOMPY"/>
    <s v="Momentum Capital Investment S.A."/>
    <s v="18/09/2026"/>
    <s v="18/09/2026"/>
    <n v="31"/>
    <s v="No"/>
    <s v=""/>
    <m/>
    <m/>
    <s v="#IGA140570001"/>
    <s v="#IGA140570001"/>
    <n v="3.8707949806663414E-5"/>
  </r>
  <r>
    <x v="498"/>
    <s v="Pesos"/>
    <d v="2027-05-18T00:00:00"/>
    <s v="29/10/2026"/>
    <n v="0.86229319000000004"/>
    <m/>
    <n v="85000000"/>
    <n v="73294921.260000005"/>
    <n v="85000000"/>
    <n v="73294921.260000005"/>
    <n v="9844158"/>
    <s v="AMOMPY"/>
    <s v="Momentum Capital Investment S.A."/>
    <s v="29/10/2026"/>
    <s v="29/10/2026"/>
    <n v="29"/>
    <s v="No"/>
    <s v=""/>
    <m/>
    <m/>
    <s v="*AGV140500006"/>
    <s v="*AGV140500006"/>
    <n v="8.9703057724239066E-4"/>
  </r>
  <r>
    <x v="54"/>
    <s v="Pesos"/>
    <d v="2027-05-19T00:00:00"/>
    <s v="29/10/2026"/>
    <n v="0.84163447999999996"/>
    <m/>
    <n v="6000000"/>
    <n v="5049806.87"/>
    <n v="6000000"/>
    <n v="5049806.87"/>
    <n v="355"/>
    <s v="AMOMPY"/>
    <s v="Momentum Capital Investment S.A."/>
    <s v="28/10/2026"/>
    <s v="28/10/2026"/>
    <n v="34"/>
    <s v="No"/>
    <s v=""/>
    <m/>
    <m/>
    <s v="*INP170500058"/>
    <s v="*INP170500058"/>
    <n v="6.1802797433808035E-5"/>
  </r>
  <r>
    <x v="123"/>
    <s v="Pesos"/>
    <d v="2027-05-19T00:00:00"/>
    <s v="29/10/2026"/>
    <n v="0.84954852999999997"/>
    <m/>
    <n v="2833000"/>
    <n v="2406770.98"/>
    <n v="2833000"/>
    <n v="2406770.98"/>
    <n v="90000061"/>
    <s v="AMOMPY"/>
    <s v="Momentum Capital Investment S.A."/>
    <s v="25/09/2026"/>
    <s v="25/09/2026"/>
    <n v="32"/>
    <s v="No"/>
    <s v=""/>
    <m/>
    <m/>
    <s v="*MAV150501968"/>
    <s v="*MAV150501968"/>
    <n v="2.9455617447505995E-5"/>
  </r>
  <r>
    <x v="147"/>
    <s v="Pesos"/>
    <d v="2027-05-20T00:00:00"/>
    <s v="29/10/2026"/>
    <n v="0.83705998999999998"/>
    <m/>
    <n v="12500000"/>
    <n v="10463249.869999999"/>
    <n v="12500000"/>
    <n v="10463249.869999999"/>
    <n v="26"/>
    <s v="AMOMPY"/>
    <s v="Momentum Capital Investment S.A."/>
    <s v="06/10/2026"/>
    <s v="06/10/2026"/>
    <n v="35"/>
    <s v="No"/>
    <s v=""/>
    <m/>
    <m/>
    <s v="*ARP180500231"/>
    <s v="*ARP180500231"/>
    <n v="1.280560086478967E-4"/>
  </r>
  <r>
    <x v="524"/>
    <s v="Pesos"/>
    <d v="2027-05-24T00:00:00"/>
    <s v="29/10/2026"/>
    <n v="0.84235305000000005"/>
    <m/>
    <n v="29918092.050000001"/>
    <n v="25201596.199999999"/>
    <n v="29918092.050000001"/>
    <n v="25201596.199999999"/>
    <n v="3941"/>
    <s v="AMOMPY"/>
    <s v="Momentum Capital Investment S.A."/>
    <s v="28/10/2026"/>
    <s v="28/10/2026"/>
    <n v="33"/>
    <s v="No"/>
    <s v=""/>
    <m/>
    <m/>
    <s v="*MAV200501935"/>
    <s v="*MAV200501935"/>
    <n v="3.0843340845572301E-4"/>
  </r>
  <r>
    <x v="526"/>
    <s v="Pesos"/>
    <d v="2027-05-27T00:00:00"/>
    <s v="29/10/2026"/>
    <n v="0.84043294000000002"/>
    <m/>
    <n v="31000000"/>
    <n v="26053421.190000001"/>
    <n v="31000000"/>
    <n v="26053421.190000001"/>
    <n v="4482"/>
    <s v="AMOMPY"/>
    <s v="Momentum Capital Investment S.A."/>
    <s v="11/09/2026"/>
    <s v="11/09/2026"/>
    <n v="33"/>
    <s v="No"/>
    <s v=""/>
    <m/>
    <m/>
    <s v="*MAV220501677"/>
    <s v="*MAV220501677"/>
    <n v="3.1885859275708337E-4"/>
  </r>
  <r>
    <x v="524"/>
    <s v="Pesos"/>
    <d v="2027-05-27T00:00:00"/>
    <s v="29/10/2026"/>
    <n v="0.84043292999999997"/>
    <m/>
    <n v="29918092.050000001"/>
    <n v="25144149.620000001"/>
    <n v="29918092.050000001"/>
    <n v="25144149.620000001"/>
    <n v="3942"/>
    <s v="AMOMPY"/>
    <s v="Momentum Capital Investment S.A."/>
    <s v="28/10/2026"/>
    <s v="28/10/2026"/>
    <n v="33"/>
    <s v="No"/>
    <s v=""/>
    <m/>
    <m/>
    <s v="*MAV230501282"/>
    <s v="*MAV230501282"/>
    <n v="3.0773034011303115E-4"/>
  </r>
  <r>
    <x v="527"/>
    <s v="Pesos"/>
    <d v="2027-05-28T00:00:00"/>
    <s v="29/10/2026"/>
    <n v="0.89636556999999994"/>
    <m/>
    <n v="4412500"/>
    <n v="3955213.08"/>
    <n v="4412500"/>
    <n v="3955213.08"/>
    <n v="70031136"/>
    <s v="AMOMPY"/>
    <s v="Momentum Capital Investment S.A."/>
    <s v="28/10/2026"/>
    <s v="28/10/2026"/>
    <n v="20"/>
    <s v="No"/>
    <s v=""/>
    <m/>
    <m/>
    <s v="*MAV250500782"/>
    <s v="*MAV250500782"/>
    <n v="4.8406451787885495E-5"/>
  </r>
  <r>
    <x v="147"/>
    <s v="Pesos"/>
    <d v="2027-05-28T00:00:00"/>
    <s v="29/10/2026"/>
    <n v="0.83171945999999997"/>
    <m/>
    <n v="12500000"/>
    <n v="10396493.279999999"/>
    <n v="12500000"/>
    <n v="10396493.279999999"/>
    <n v="25"/>
    <s v="AMOMPY"/>
    <s v="Momentum Capital Investment S.A."/>
    <s v="06/10/2026"/>
    <s v="06/10/2026"/>
    <n v="35"/>
    <s v="No"/>
    <s v=""/>
    <m/>
    <m/>
    <s v="*ARP250500152"/>
    <s v="*ARP250500152"/>
    <n v="1.2723899839080111E-4"/>
  </r>
  <r>
    <x v="525"/>
    <s v="Dolar 3500"/>
    <d v="2027-06-03T00:00:00"/>
    <s v="29/10/2026"/>
    <n v="0.94921078000000003"/>
    <s v="1 US3 = 1539,5930209017 $"/>
    <n v="500000"/>
    <n v="474605.39"/>
    <n v="769796510.45000005"/>
    <n v="730699146.13"/>
    <n v="169666"/>
    <s v="AMOMPY"/>
    <s v="Momentum Capital Investment S.A."/>
    <s v="16/10/2026"/>
    <s v="16/10/2026"/>
    <n v="9"/>
    <s v="No"/>
    <s v=""/>
    <m/>
    <m/>
    <s v="#UMV010670044"/>
    <s v="#UMV010670044"/>
    <n v="8.9427680059631434E-3"/>
  </r>
  <r>
    <x v="528"/>
    <s v="Pesos"/>
    <d v="2027-06-10T00:00:00"/>
    <s v="29/10/2026"/>
    <n v="0.89067848000000005"/>
    <m/>
    <n v="3582000"/>
    <n v="3190410.3"/>
    <n v="3582000"/>
    <n v="3190410.3"/>
    <n v="2012495"/>
    <s v="AMOMPY"/>
    <s v="Momentum Capital Investment S.A."/>
    <s v="29/10/2026"/>
    <s v="29/10/2026"/>
    <n v="20"/>
    <s v="No"/>
    <s v=""/>
    <m/>
    <m/>
    <s v="MAVR080600072"/>
    <s v="MAVR080600072"/>
    <n v="3.9046301487889313E-5"/>
  </r>
  <r>
    <x v="529"/>
    <s v="Pesos"/>
    <d v="2027-06-10T00:00:00"/>
    <s v="29/10/2026"/>
    <n v="0.89067848000000005"/>
    <m/>
    <n v="4462500"/>
    <n v="3974652.73"/>
    <n v="4462500"/>
    <n v="3974652.73"/>
    <n v="33823275"/>
    <s v="AMOMPY"/>
    <s v="Momentum Capital Investment S.A."/>
    <s v="29/10/2026"/>
    <s v="29/10/2026"/>
    <n v="20"/>
    <s v="No"/>
    <s v=""/>
    <m/>
    <m/>
    <s v="MAVR080600073"/>
    <s v="MAVR080600073"/>
    <n v="4.8644366777916412E-5"/>
  </r>
  <r>
    <x v="95"/>
    <s v="Pesos"/>
    <d v="2027-06-14T00:00:00"/>
    <s v="29/10/2026"/>
    <n v="0.82909337999999999"/>
    <m/>
    <n v="15000000"/>
    <n v="12436400.710000001"/>
    <n v="15000000"/>
    <n v="12436400.710000001"/>
    <n v="11349753"/>
    <s v="AMOMPY"/>
    <s v="Momentum Capital Investment S.A."/>
    <s v="26/10/2026"/>
    <s v="26/10/2026"/>
    <n v="33"/>
    <s v="No"/>
    <s v=""/>
    <m/>
    <m/>
    <s v="*MAV100602060"/>
    <s v="*MAV100602060"/>
    <n v="1.5220470280793064E-4"/>
  </r>
  <r>
    <x v="530"/>
    <s v="Pesos"/>
    <d v="2027-06-14T00:00:00"/>
    <s v="29/10/2026"/>
    <n v="0.88894309000000005"/>
    <m/>
    <n v="5468750"/>
    <n v="4861407.55"/>
    <n v="5468750"/>
    <n v="4861407.55"/>
    <n v="682060"/>
    <s v="AMOMPY"/>
    <s v="Momentum Capital Investment S.A."/>
    <s v="29/10/2026"/>
    <s v="29/10/2026"/>
    <n v="20"/>
    <s v="No"/>
    <s v=""/>
    <m/>
    <m/>
    <s v="MAVR100600109"/>
    <s v="MAVR100600109"/>
    <n v="5.9497044895072384E-5"/>
  </r>
  <r>
    <x v="233"/>
    <s v="Dolar 3500"/>
    <d v="2027-06-15T00:00:00"/>
    <s v="29/10/2026"/>
    <n v="0.95221283999999995"/>
    <s v="1 US3 = 1539,5930209017 $"/>
    <n v="18230"/>
    <n v="17358.84"/>
    <n v="28066780.77"/>
    <n v="26725548.91"/>
    <n v="146455"/>
    <s v="AMOMPY"/>
    <s v="Momentum Capital Investment S.A."/>
    <s v="17/04/2026"/>
    <s v="17/04/2026"/>
    <n v="8"/>
    <s v="No"/>
    <s v=""/>
    <m/>
    <m/>
    <s v="#UMV110670002"/>
    <s v="#UMV110670002"/>
    <n v="3.2708452582703605E-4"/>
  </r>
  <r>
    <x v="123"/>
    <s v="Pesos"/>
    <d v="2027-06-16T00:00:00"/>
    <s v="29/10/2026"/>
    <n v="0.83219346999999999"/>
    <m/>
    <n v="2833000"/>
    <n v="2357604.11"/>
    <n v="2833000"/>
    <n v="2357604.11"/>
    <n v="90000062"/>
    <s v="AMOMPY"/>
    <s v="Momentum Capital Investment S.A."/>
    <s v="25/09/2026"/>
    <s v="25/09/2026"/>
    <n v="32"/>
    <s v="No"/>
    <s v=""/>
    <m/>
    <m/>
    <s v="*MAV130601373"/>
    <s v="*MAV130601373"/>
    <n v="2.8853881542492188E-5"/>
  </r>
  <r>
    <x v="498"/>
    <s v="Pesos"/>
    <d v="2027-06-17T00:00:00"/>
    <s v="29/10/2026"/>
    <n v="0.84492712000000003"/>
    <m/>
    <n v="85000000"/>
    <n v="71818804.780000001"/>
    <n v="85000000"/>
    <n v="71818804.780000001"/>
    <n v="9844159"/>
    <s v="AMOMPY"/>
    <s v="Momentum Capital Investment S.A."/>
    <s v="29/10/2026"/>
    <s v="29/10/2026"/>
    <n v="29"/>
    <s v="No"/>
    <s v=""/>
    <m/>
    <m/>
    <s v="*AGV150600008"/>
    <s v="*AGV150600008"/>
    <n v="8.7896491054449851E-4"/>
  </r>
  <r>
    <x v="531"/>
    <s v="Pesos"/>
    <d v="2027-06-24T00:00:00"/>
    <s v="29/10/2026"/>
    <n v="0.88463415000000001"/>
    <m/>
    <n v="2583333"/>
    <n v="2285304.59"/>
    <n v="2583333"/>
    <n v="2285304.59"/>
    <n v="40006963"/>
    <s v="AMOMPY"/>
    <s v="Momentum Capital Investment S.A."/>
    <s v="29/10/2026"/>
    <s v="29/10/2026"/>
    <n v="20"/>
    <s v="No"/>
    <s v=""/>
    <m/>
    <m/>
    <s v="MAVR190600071"/>
    <s v="MAVR190600071"/>
    <n v="2.79690333286591E-5"/>
  </r>
  <r>
    <x v="532"/>
    <s v="Pesos"/>
    <d v="2027-07-07T00:00:00"/>
    <s v="29/10/2026"/>
    <n v="0.81504149000000004"/>
    <m/>
    <n v="5504622.8200000003"/>
    <n v="4486495.99"/>
    <n v="5504622.8200000003"/>
    <n v="4486495.99"/>
    <n v="11121186"/>
    <s v="AMOMPY"/>
    <s v="Momentum Capital Investment S.A."/>
    <s v="23/09/2026"/>
    <s v="23/09/2026"/>
    <n v="33"/>
    <s v="No"/>
    <s v=""/>
    <m/>
    <m/>
    <s v="*MAV040701256"/>
    <s v="*MAV040701256"/>
    <n v="5.4908635121240197E-5"/>
  </r>
  <r>
    <x v="233"/>
    <s v="Dolar 3500"/>
    <d v="2027-07-14T00:00:00"/>
    <s v="29/10/2026"/>
    <n v="0.94647760999999997"/>
    <s v="1 US3 = 1539,5930209017 $"/>
    <n v="20100"/>
    <n v="19024.2"/>
    <n v="30945819.719999999"/>
    <n v="29289525.550000001"/>
    <n v="160644"/>
    <s v="AMOMPY"/>
    <s v="Momentum Capital Investment S.A."/>
    <s v="11/08/2026"/>
    <s v="11/08/2026"/>
    <n v="8"/>
    <s v="No"/>
    <s v=""/>
    <m/>
    <m/>
    <s v="#UMV110770001"/>
    <s v="#UMV110770001"/>
    <n v="3.5846412765860782E-4"/>
  </r>
  <r>
    <x v="532"/>
    <s v="Pesos"/>
    <d v="2027-07-19T00:00:00"/>
    <s v="29/10/2026"/>
    <n v="0.80789749"/>
    <m/>
    <n v="15885271.07"/>
    <n v="12833670.6"/>
    <n v="15885271.07"/>
    <n v="12833670.6"/>
    <n v="11121183"/>
    <s v="AMOMPY"/>
    <s v="Momentum Capital Investment S.A."/>
    <s v="23/09/2026"/>
    <s v="23/09/2026"/>
    <n v="33"/>
    <s v="No"/>
    <s v=""/>
    <m/>
    <m/>
    <s v="*MAV150702299"/>
    <s v="*MAV150702299"/>
    <n v="1.570667482623979E-4"/>
  </r>
  <r>
    <x v="533"/>
    <s v="Pesos"/>
    <d v="2027-07-19T00:00:00"/>
    <s v="29/10/2026"/>
    <n v="0.80322185000000001"/>
    <m/>
    <n v="18692268.289999999"/>
    <n v="15014038.26"/>
    <n v="18692268.289999999"/>
    <n v="15014038.26"/>
    <n v="1922"/>
    <s v="AMOMPY"/>
    <s v="Momentum Capital Investment S.A."/>
    <s v="21/10/2026"/>
    <s v="21/10/2026"/>
    <n v="34"/>
    <s v="No"/>
    <s v=""/>
    <m/>
    <m/>
    <s v="*MAV150702301"/>
    <s v="*MAV150702301"/>
    <n v="1.8375149567773937E-4"/>
  </r>
  <r>
    <x v="532"/>
    <s v="Pesos"/>
    <d v="2027-07-21T00:00:00"/>
    <s v="29/10/2026"/>
    <n v="0.80671906999999998"/>
    <m/>
    <n v="13120819.52"/>
    <n v="10584815.369999999"/>
    <n v="13120819.52"/>
    <n v="10584815.369999999"/>
    <n v="11121180"/>
    <s v="AMOMPY"/>
    <s v="Momentum Capital Investment S.A."/>
    <s v="23/09/2026"/>
    <s v="23/09/2026"/>
    <n v="33"/>
    <s v="No"/>
    <s v=""/>
    <m/>
    <m/>
    <s v="*MAV180701508"/>
    <s v="*MAV180701508"/>
    <n v="1.2954380573892478E-4"/>
  </r>
  <r>
    <x v="531"/>
    <s v="Pesos"/>
    <d v="2027-07-21T00:00:00"/>
    <s v="29/10/2026"/>
    <n v="0.87320580000000003"/>
    <m/>
    <n v="2583333"/>
    <n v="2255781.37"/>
    <n v="2583333"/>
    <n v="2255781.37"/>
    <n v="40006964"/>
    <s v="AMOMPY"/>
    <s v="Momentum Capital Investment S.A."/>
    <s v="29/10/2026"/>
    <s v="29/10/2026"/>
    <n v="20"/>
    <s v="No"/>
    <s v=""/>
    <m/>
    <m/>
    <s v="MAVR190700140"/>
    <s v="MAVR190700140"/>
    <n v="2.7607709097411077E-5"/>
  </r>
  <r>
    <x v="534"/>
    <s v="Pesos"/>
    <d v="2027-07-21T00:00:00"/>
    <s v="29/10/2026"/>
    <n v="0.80671904999999999"/>
    <m/>
    <n v="13767552"/>
    <n v="11106546.470000001"/>
    <n v="13767552"/>
    <n v="11106546.470000001"/>
    <n v="10747024"/>
    <s v="AMOMPY"/>
    <s v="Momentum Capital Investment S.A."/>
    <s v="07/10/2026"/>
    <s v="07/10/2026"/>
    <n v="33"/>
    <s v="No"/>
    <s v=""/>
    <m/>
    <m/>
    <s v="*MAV170702182"/>
    <s v="*MAV170702182"/>
    <n v="1.3592908785333124E-4"/>
  </r>
  <r>
    <x v="493"/>
    <s v="Dolar 3500"/>
    <d v="2027-07-28T00:00:00"/>
    <s v="29/10/2026"/>
    <n v="0.93064778000000004"/>
    <s v="1 US3 = 1539,5930209017 $"/>
    <n v="20856"/>
    <n v="19409.59"/>
    <n v="32109752.039999999"/>
    <n v="29882869.300000001"/>
    <n v="134917"/>
    <s v="AMOMPY"/>
    <s v="Momentum Capital Investment S.A."/>
    <s v="30/12/2025"/>
    <s v="30/12/2025"/>
    <n v="10"/>
    <s v="No"/>
    <s v=""/>
    <m/>
    <m/>
    <s v="#UMV250770007"/>
    <s v="#UMV250770007"/>
    <n v="3.657258516282348E-4"/>
  </r>
  <r>
    <x v="535"/>
    <s v="Pesos"/>
    <d v="2027-08-02T00:00:00"/>
    <s v="29/10/2026"/>
    <n v="0.79971972999999996"/>
    <m/>
    <n v="9933029.1600000001"/>
    <n v="7943639.3499999996"/>
    <n v="9933029.1600000001"/>
    <n v="7943639.3499999996"/>
    <n v="9836296"/>
    <s v="AMOMPY"/>
    <s v="Momentum Capital Investment S.A."/>
    <s v="28/10/2026"/>
    <s v="28/10/2026"/>
    <n v="33"/>
    <s v="No"/>
    <s v=""/>
    <m/>
    <m/>
    <s v="*MAV290701612"/>
    <s v="*MAV290701612"/>
    <n v="9.7219388042710722E-5"/>
  </r>
  <r>
    <x v="532"/>
    <s v="Pesos"/>
    <d v="2027-08-05T00:00:00"/>
    <s v="29/10/2026"/>
    <n v="0.79798871000000005"/>
    <m/>
    <n v="5504622.8200000003"/>
    <n v="4392626.8600000003"/>
    <n v="5504622.8200000003"/>
    <n v="4392626.8600000003"/>
    <n v="11121185"/>
    <s v="AMOMPY"/>
    <s v="Momentum Capital Investment S.A."/>
    <s v="23/09/2026"/>
    <s v="23/09/2026"/>
    <n v="33"/>
    <s v="No"/>
    <s v=""/>
    <m/>
    <m/>
    <s v="*MAV030801378"/>
    <s v="*MAV030801378"/>
    <n v="5.3759804091455134E-5"/>
  </r>
  <r>
    <x v="528"/>
    <s v="Pesos"/>
    <d v="2027-08-11T00:00:00"/>
    <s v="29/10/2026"/>
    <n v="0.86451928"/>
    <m/>
    <n v="7700000"/>
    <n v="6656798.4500000002"/>
    <n v="7700000"/>
    <n v="6656798.4500000002"/>
    <n v="2012498"/>
    <s v="AMOMPY"/>
    <s v="Momentum Capital Investment S.A."/>
    <s v="29/10/2026"/>
    <s v="29/10/2026"/>
    <n v="20"/>
    <s v="No"/>
    <s v=""/>
    <m/>
    <m/>
    <s v="MAVR080800051"/>
    <s v="MAVR080800051"/>
    <n v="8.1470198119287134E-5"/>
  </r>
  <r>
    <x v="532"/>
    <s v="Pesos"/>
    <d v="2027-08-19T00:00:00"/>
    <s v="29/10/2026"/>
    <n v="0.79000919999999997"/>
    <m/>
    <n v="16097126.970000001"/>
    <n v="12716878.42"/>
    <n v="16097126.970000001"/>
    <n v="12716878.42"/>
    <n v="11121182"/>
    <s v="AMOMPY"/>
    <s v="Momentum Capital Investment S.A."/>
    <s v="23/09/2026"/>
    <s v="23/09/2026"/>
    <n v="33"/>
    <s v="No"/>
    <s v=""/>
    <m/>
    <m/>
    <s v="*MAV140802014"/>
    <s v="*MAV140802014"/>
    <n v="1.5563737014394466E-4"/>
  </r>
  <r>
    <x v="532"/>
    <s v="Pesos"/>
    <d v="2027-08-19T00:00:00"/>
    <s v="29/10/2026"/>
    <n v="0.79000919999999997"/>
    <m/>
    <n v="13593316.07"/>
    <n v="10738844.699999999"/>
    <n v="13593316.07"/>
    <n v="10738844.699999999"/>
    <n v="11121188"/>
    <s v="AMOMPY"/>
    <s v="Momentum Capital Investment S.A."/>
    <s v="23/09/2026"/>
    <s v="23/09/2026"/>
    <n v="33"/>
    <s v="No"/>
    <s v=""/>
    <m/>
    <m/>
    <s v="*MAV150801907"/>
    <s v="*MAV150801907"/>
    <n v="1.3142891614530654E-4"/>
  </r>
  <r>
    <x v="532"/>
    <s v="Pesos"/>
    <d v="2027-08-19T00:00:00"/>
    <s v="29/10/2026"/>
    <n v="0.79000919999999997"/>
    <m/>
    <n v="13295806.970000001"/>
    <n v="10503809.84"/>
    <n v="13295806.970000001"/>
    <n v="10503809.84"/>
    <n v="11121179"/>
    <s v="AMOMPY"/>
    <s v="Momentum Capital Investment S.A."/>
    <s v="23/09/2026"/>
    <s v="23/09/2026"/>
    <n v="33"/>
    <s v="No"/>
    <s v=""/>
    <m/>
    <m/>
    <s v="*MAV170801088"/>
    <s v="*MAV170801088"/>
    <n v="1.2855240775272648E-4"/>
  </r>
  <r>
    <x v="233"/>
    <s v="Dolar 3500"/>
    <d v="2027-08-19T00:00:00"/>
    <s v="29/10/2026"/>
    <n v="0.93946368000000002"/>
    <s v="1 US3 = 1539,5930209017 $"/>
    <n v="20100"/>
    <n v="18883.22"/>
    <n v="30945819.719999999"/>
    <n v="29072473.719999999"/>
    <n v="160645"/>
    <s v="AMOMPY"/>
    <s v="Momentum Capital Investment S.A."/>
    <s v="11/08/2026"/>
    <s v="11/08/2026"/>
    <n v="8"/>
    <s v="No"/>
    <s v=""/>
    <m/>
    <m/>
    <s v="#UMV150870013"/>
    <s v="#UMV150870013"/>
    <n v="3.5580770719987302E-4"/>
  </r>
  <r>
    <x v="533"/>
    <s v="Pesos"/>
    <d v="2027-08-19T00:00:00"/>
    <s v="29/10/2026"/>
    <n v="0.78501381999999997"/>
    <m/>
    <n v="18692268.289999999"/>
    <n v="14673688.92"/>
    <n v="18692268.289999999"/>
    <n v="14673688.92"/>
    <n v="1923"/>
    <s v="AMOMPY"/>
    <s v="Momentum Capital Investment S.A."/>
    <s v="21/10/2026"/>
    <s v="21/10/2026"/>
    <n v="34"/>
    <s v="No"/>
    <s v=""/>
    <m/>
    <m/>
    <s v="*MAV150801908"/>
    <s v="*MAV150801908"/>
    <n v="1.795860806711353E-4"/>
  </r>
  <r>
    <x v="532"/>
    <s v="Pesos"/>
    <d v="2027-08-20T00:00:00"/>
    <s v="29/10/2026"/>
    <n v="0.78944528000000003"/>
    <m/>
    <n v="1954301.77"/>
    <n v="1542814.31"/>
    <n v="1954301.77"/>
    <n v="1542814.31"/>
    <n v="11121177"/>
    <s v="AMOMPY"/>
    <s v="Momentum Capital Investment S.A."/>
    <s v="23/09/2026"/>
    <s v="23/09/2026"/>
    <n v="33"/>
    <s v="No"/>
    <s v=""/>
    <m/>
    <m/>
    <s v="*MAV180801978"/>
    <s v="*MAV180801978"/>
    <n v="1.8881957812162887E-5"/>
  </r>
  <r>
    <x v="532"/>
    <s v="Pesos"/>
    <d v="2027-09-02T00:00:00"/>
    <s v="29/10/2026"/>
    <n v="0.78218768999999999"/>
    <m/>
    <n v="5017285.6500000004"/>
    <n v="3924459.06"/>
    <n v="5017285.6500000004"/>
    <n v="3924459.06"/>
    <n v="11121164"/>
    <s v="AMOMPY"/>
    <s v="Momentum Capital Investment S.A."/>
    <s v="23/09/2026"/>
    <s v="23/09/2026"/>
    <n v="33"/>
    <s v="No"/>
    <s v=""/>
    <m/>
    <m/>
    <s v="*MAV310802034"/>
    <s v="*MAV310802034"/>
    <n v="4.8030064231437165E-5"/>
  </r>
  <r>
    <x v="233"/>
    <s v="Dolar 3500"/>
    <d v="2027-09-16T00:00:00"/>
    <s v="29/10/2026"/>
    <n v="0.93407761"/>
    <s v="1 US3 = 1539,5930209017 $"/>
    <n v="20100"/>
    <n v="18774.96"/>
    <n v="30945819.719999999"/>
    <n v="28905797.379999999"/>
    <n v="160646"/>
    <s v="AMOMPY"/>
    <s v="Momentum Capital Investment S.A."/>
    <s v="11/08/2026"/>
    <s v="11/08/2026"/>
    <n v="8"/>
    <s v="No"/>
    <s v=""/>
    <m/>
    <m/>
    <s v="#UMV140970003"/>
    <s v="#UMV140970003"/>
    <n v="3.5376781451818944E-4"/>
  </r>
  <r>
    <x v="533"/>
    <s v="Pesos"/>
    <d v="2027-09-17T00:00:00"/>
    <s v="29/10/2026"/>
    <n v="0.76871241999999995"/>
    <m/>
    <n v="18692268.289999999"/>
    <n v="14368978.73"/>
    <n v="18692268.289999999"/>
    <n v="14368978.73"/>
    <n v="1924"/>
    <s v="AMOMPY"/>
    <s v="Momentum Capital Investment S.A."/>
    <s v="21/10/2026"/>
    <s v="21/10/2026"/>
    <n v="34"/>
    <s v="No"/>
    <s v=""/>
    <m/>
    <m/>
    <s v="*MAV150902315"/>
    <s v="*MAV150902315"/>
    <n v="1.7585684059653675E-4"/>
  </r>
  <r>
    <x v="536"/>
    <s v="Pesos"/>
    <d v="2027-09-20T00:00:00"/>
    <s v="29/10/2026"/>
    <n v="0.77235602999999997"/>
    <m/>
    <n v="6600000"/>
    <n v="5097549.8"/>
    <n v="6600000"/>
    <n v="5097549.8"/>
    <n v="3903546"/>
    <s v="AMOMPY"/>
    <s v="Momentum Capital Investment S.A."/>
    <s v="27/10/2026"/>
    <s v="27/10/2026"/>
    <n v="33"/>
    <s v="No"/>
    <s v=""/>
    <m/>
    <m/>
    <s v="*MAV160901879"/>
    <s v="*MAV160901879"/>
    <n v="6.2387106241579618E-5"/>
  </r>
  <r>
    <x v="537"/>
    <s v="Pesos"/>
    <d v="2027-10-06T00:00:00"/>
    <s v="29/10/2026"/>
    <n v="0.76382209000000001"/>
    <m/>
    <n v="61761900.200000003"/>
    <n v="47175103.640000001"/>
    <n v="61761900.200000003"/>
    <n v="47175103.640000001"/>
    <n v="106"/>
    <s v="AMOMPY"/>
    <s v="Momentum Capital Investment S.A."/>
    <s v="07/10/2026"/>
    <s v="07/10/2026"/>
    <n v="33"/>
    <s v="No"/>
    <s v=""/>
    <m/>
    <m/>
    <s v="*MAV021001740"/>
    <s v="*MAV021001740"/>
    <n v="5.7735938209886822E-4"/>
  </r>
  <r>
    <x v="538"/>
    <s v="Pesos"/>
    <d v="2027-10-14T00:00:00"/>
    <s v="29/10/2026"/>
    <n v="0.75962545000000004"/>
    <m/>
    <n v="65324321.270000003"/>
    <n v="49622016.649999999"/>
    <n v="65324321.270000003"/>
    <n v="49622016.649999999"/>
    <n v="1226"/>
    <s v="AMOMPY"/>
    <s v="Momentum Capital Investment S.A."/>
    <s v="26/10/2026"/>
    <s v="26/10/2026"/>
    <n v="33"/>
    <s v="No"/>
    <s v=""/>
    <m/>
    <m/>
    <s v="*MAV111001160"/>
    <s v="*MAV111001160"/>
    <n v="6.0730628363159537E-4"/>
  </r>
  <r>
    <x v="536"/>
    <s v="Pesos"/>
    <d v="2027-10-20T00:00:00"/>
    <s v="29/10/2026"/>
    <n v="0.75650821000000001"/>
    <m/>
    <n v="6600000"/>
    <n v="4992954.22"/>
    <n v="6600000"/>
    <n v="4992954.22"/>
    <n v="3903547"/>
    <s v="AMOMPY"/>
    <s v="Momentum Capital Investment S.A."/>
    <s v="27/10/2026"/>
    <s v="27/10/2026"/>
    <n v="33"/>
    <s v="No"/>
    <s v=""/>
    <m/>
    <m/>
    <s v="*MAV161002065"/>
    <s v="*MAV161002065"/>
    <n v="6.1106997989991829E-5"/>
  </r>
  <r>
    <x v="493"/>
    <s v="Dolar 3500"/>
    <d v="2028-01-27T00:00:00"/>
    <s v="29/10/2026"/>
    <n v="0.88916043"/>
    <s v="1 US3 = 1539,5930209017 $"/>
    <n v="20856"/>
    <n v="18544.330000000002"/>
    <n v="32109752.039999999"/>
    <n v="28550721.050000001"/>
    <n v="134918"/>
    <s v="AMOMPY"/>
    <s v="Momentum Capital Investment S.A."/>
    <s v="30/12/2025"/>
    <s v="30/12/2025"/>
    <n v="10"/>
    <s v="No"/>
    <s v=""/>
    <m/>
    <m/>
    <s v="#UMV250180006"/>
    <s v="#UMV250180006"/>
    <n v="3.4942216109787755E-4"/>
  </r>
  <r>
    <x v="493"/>
    <s v="Dolar 3500"/>
    <d v="2028-07-27T00:00:00"/>
    <s v="29/10/2026"/>
    <n v="0.85141303000000002"/>
    <s v="1 US3 = 1539,5930209017 $"/>
    <n v="20856"/>
    <n v="17757.07"/>
    <n v="32109752.039999999"/>
    <n v="27338661.039999999"/>
    <n v="134919"/>
    <s v="AMOMPY"/>
    <s v="Momentum Capital Investment S.A."/>
    <s v="30/12/2025"/>
    <s v="30/12/2025"/>
    <n v="10"/>
    <s v="No"/>
    <s v=""/>
    <m/>
    <m/>
    <s v="#UMV250780006"/>
    <s v="#UMV250780006"/>
    <n v="3.3458818799671431E-4"/>
  </r>
  <r>
    <x v="539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8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545" firstHeaderRow="2" firstDataRow="2" firstDataCol="1"/>
  <pivotFields count="23">
    <pivotField axis="axisRow" compact="0" outline="0" showAll="0" includeNewItemsInFilter="1" sortType="descending">
      <items count="1100">
        <item x="17"/>
        <item m="1" x="1067"/>
        <item m="1" x="963"/>
        <item m="1" x="1083"/>
        <item x="20"/>
        <item m="1" x="558"/>
        <item m="1" x="1098"/>
        <item m="1" x="1091"/>
        <item m="1" x="1092"/>
        <item x="62"/>
        <item x="85"/>
        <item m="1" x="1087"/>
        <item m="1" x="1074"/>
        <item m="1" x="1055"/>
        <item m="1" x="1040"/>
        <item x="146"/>
        <item m="1" x="970"/>
        <item m="1" x="1085"/>
        <item h="1" x="539"/>
        <item m="1" x="1007"/>
        <item m="1" x="1062"/>
        <item x="269"/>
        <item x="18"/>
        <item m="1" x="1097"/>
        <item m="1" x="1049"/>
        <item m="1" x="994"/>
        <item x="81"/>
        <item m="1" x="1093"/>
        <item m="1" x="1059"/>
        <item m="1" x="976"/>
        <item m="1" x="1086"/>
        <item m="1" x="1070"/>
        <item m="1" x="1058"/>
        <item m="1" x="1088"/>
        <item m="1" x="871"/>
        <item x="121"/>
        <item m="1" x="964"/>
        <item m="1" x="1089"/>
        <item m="1" x="986"/>
        <item m="1" x="985"/>
        <item m="1" x="1094"/>
        <item m="1" x="902"/>
        <item x="77"/>
        <item x="25"/>
        <item m="1" x="805"/>
        <item m="1" x="689"/>
        <item m="1" x="1095"/>
        <item m="1" x="1096"/>
        <item m="1" x="971"/>
        <item x="333"/>
        <item m="1" x="997"/>
        <item x="61"/>
        <item x="144"/>
        <item m="1" x="1081"/>
        <item m="1" x="1079"/>
        <item m="1" x="1076"/>
        <item m="1" x="1003"/>
        <item m="1" x="1000"/>
        <item m="1" x="1090"/>
        <item m="1" x="578"/>
        <item m="1" x="1039"/>
        <item m="1" x="1078"/>
        <item m="1" x="706"/>
        <item x="354"/>
        <item x="455"/>
        <item m="1" x="1009"/>
        <item m="1" x="993"/>
        <item m="1" x="1069"/>
        <item m="1" x="1060"/>
        <item m="1" x="1072"/>
        <item m="1" x="1068"/>
        <item m="1" x="1030"/>
        <item x="120"/>
        <item m="1" x="565"/>
        <item m="1" x="974"/>
        <item x="160"/>
        <item x="137"/>
        <item m="1" x="575"/>
        <item x="494"/>
        <item m="1" x="1054"/>
        <item m="1" x="1082"/>
        <item m="1" x="1084"/>
        <item m="1" x="1075"/>
        <item m="1" x="1077"/>
        <item m="1" x="1064"/>
        <item m="1" x="708"/>
        <item m="1" x="983"/>
        <item m="1" x="995"/>
        <item m="1" x="1080"/>
        <item m="1" x="1073"/>
        <item m="1" x="1011"/>
        <item m="1" x="980"/>
        <item x="171"/>
        <item m="1" x="975"/>
        <item m="1" x="1036"/>
        <item m="1" x="1071"/>
        <item m="1" x="926"/>
        <item m="1" x="1010"/>
        <item m="1" x="984"/>
        <item x="23"/>
        <item x="115"/>
        <item m="1" x="1033"/>
        <item m="1" x="577"/>
        <item m="1" x="996"/>
        <item m="1" x="1056"/>
        <item m="1" x="954"/>
        <item m="1" x="1044"/>
        <item m="1" x="879"/>
        <item m="1" x="916"/>
        <item m="1" x="978"/>
        <item m="1" x="973"/>
        <item m="1" x="1027"/>
        <item m="1" x="1028"/>
        <item m="1" x="981"/>
        <item m="1" x="1048"/>
        <item m="1" x="977"/>
        <item m="1" x="1001"/>
        <item x="277"/>
        <item m="1" x="982"/>
        <item m="1" x="989"/>
        <item m="1" x="1015"/>
        <item m="1" x="1052"/>
        <item m="1" x="901"/>
        <item m="1" x="1006"/>
        <item m="1" x="1063"/>
        <item m="1" x="1051"/>
        <item m="1" x="1024"/>
        <item m="1" x="1065"/>
        <item m="1" x="957"/>
        <item m="1" x="962"/>
        <item m="1" x="1002"/>
        <item m="1" x="1066"/>
        <item m="1" x="1019"/>
        <item m="1" x="800"/>
        <item m="1" x="961"/>
        <item m="1" x="1061"/>
        <item x="10"/>
        <item x="189"/>
        <item m="1" x="1023"/>
        <item m="1" x="928"/>
        <item m="1" x="1057"/>
        <item x="40"/>
        <item m="1" x="967"/>
        <item m="1" x="999"/>
        <item m="1" x="1016"/>
        <item m="1" x="1020"/>
        <item m="1" x="949"/>
        <item m="1" x="990"/>
        <item m="1" x="1021"/>
        <item m="1" x="1014"/>
        <item m="1" x="1029"/>
        <item x="385"/>
        <item m="1" x="1025"/>
        <item m="1" x="1050"/>
        <item m="1" x="1008"/>
        <item m="1" x="1045"/>
        <item x="526"/>
        <item x="353"/>
        <item m="1" x="987"/>
        <item x="68"/>
        <item m="1" x="925"/>
        <item m="1" x="988"/>
        <item m="1" x="1037"/>
        <item m="1" x="1034"/>
        <item m="1" x="1053"/>
        <item m="1" x="972"/>
        <item x="180"/>
        <item m="1" x="1046"/>
        <item m="1" x="960"/>
        <item m="1" x="1047"/>
        <item m="1" x="1043"/>
        <item m="1" x="1042"/>
        <item m="1" x="1041"/>
        <item m="1" x="1038"/>
        <item m="1" x="1032"/>
        <item m="1" x="1035"/>
        <item m="1" x="1031"/>
        <item m="1" x="1012"/>
        <item m="1" x="1022"/>
        <item m="1" x="1017"/>
        <item m="1" x="1018"/>
        <item m="1" x="1013"/>
        <item x="92"/>
        <item m="1" x="1026"/>
        <item m="1" x="572"/>
        <item x="58"/>
        <item m="1" x="903"/>
        <item m="1" x="1004"/>
        <item m="1" x="943"/>
        <item x="222"/>
        <item m="1" x="937"/>
        <item m="1" x="1005"/>
        <item m="1" x="991"/>
        <item m="1" x="940"/>
        <item m="1" x="813"/>
        <item m="1" x="969"/>
        <item m="1" x="998"/>
        <item m="1" x="965"/>
        <item m="1" x="942"/>
        <item m="1" x="979"/>
        <item x="172"/>
        <item m="1" x="955"/>
        <item m="1" x="992"/>
        <item m="1" x="968"/>
        <item m="1" x="948"/>
        <item m="1" x="950"/>
        <item m="1" x="947"/>
        <item m="1" x="952"/>
        <item m="1" x="923"/>
        <item m="1" x="679"/>
        <item m="1" x="698"/>
        <item m="1" x="763"/>
        <item x="272"/>
        <item m="1" x="966"/>
        <item m="1" x="958"/>
        <item m="1" x="944"/>
        <item m="1" x="951"/>
        <item m="1" x="946"/>
        <item m="1" x="956"/>
        <item m="1" x="953"/>
        <item x="287"/>
        <item m="1" x="945"/>
        <item m="1" x="720"/>
        <item m="1" x="959"/>
        <item x="140"/>
        <item m="1" x="935"/>
        <item x="181"/>
        <item x="2"/>
        <item m="1" x="900"/>
        <item m="1" x="867"/>
        <item x="29"/>
        <item x="493"/>
        <item x="12"/>
        <item x="525"/>
        <item m="1" x="670"/>
        <item m="1" x="888"/>
        <item x="93"/>
        <item m="1" x="803"/>
        <item x="232"/>
        <item m="1" x="792"/>
        <item m="1" x="915"/>
        <item x="501"/>
        <item m="1" x="933"/>
        <item m="1" x="934"/>
        <item x="467"/>
        <item m="1" x="929"/>
        <item m="1" x="930"/>
        <item x="383"/>
        <item m="1" x="773"/>
        <item m="1" x="909"/>
        <item m="1" x="912"/>
        <item m="1" x="918"/>
        <item m="1" x="823"/>
        <item m="1" x="924"/>
        <item x="511"/>
        <item m="1" x="863"/>
        <item m="1" x="919"/>
        <item m="1" x="920"/>
        <item m="1" x="874"/>
        <item m="1" x="921"/>
        <item m="1" x="922"/>
        <item m="1" x="678"/>
        <item x="393"/>
        <item m="1" x="828"/>
        <item x="271"/>
        <item m="1" x="913"/>
        <item m="1" x="914"/>
        <item m="1" x="604"/>
        <item m="1" x="908"/>
        <item m="1" x="910"/>
        <item m="1" x="911"/>
        <item m="1" x="906"/>
        <item m="1" x="748"/>
        <item m="1" x="904"/>
        <item m="1" x="905"/>
        <item m="1" x="778"/>
        <item m="1" x="806"/>
        <item m="1" x="899"/>
        <item x="396"/>
        <item m="1" x="824"/>
        <item m="1" x="932"/>
        <item m="1" x="941"/>
        <item m="1" x="936"/>
        <item m="1" x="938"/>
        <item m="1" x="939"/>
        <item m="1" x="927"/>
        <item m="1" x="931"/>
        <item x="138"/>
        <item m="1" x="917"/>
        <item m="1" x="907"/>
        <item m="1" x="875"/>
        <item x="82"/>
        <item m="1" x="897"/>
        <item m="1" x="896"/>
        <item x="376"/>
        <item m="1" x="864"/>
        <item m="1" x="898"/>
        <item m="1" x="894"/>
        <item x="384"/>
        <item m="1" x="895"/>
        <item m="1" x="635"/>
        <item m="1" x="890"/>
        <item m="1" x="886"/>
        <item m="1" x="840"/>
        <item m="1" x="880"/>
        <item m="1" x="877"/>
        <item m="1" x="878"/>
        <item m="1" x="666"/>
        <item m="1" x="795"/>
        <item m="1" x="810"/>
        <item x="440"/>
        <item m="1" x="843"/>
        <item m="1" x="885"/>
        <item m="1" x="881"/>
        <item m="1" x="620"/>
        <item m="1" x="829"/>
        <item m="1" x="882"/>
        <item m="1" x="883"/>
        <item x="105"/>
        <item m="1" x="869"/>
        <item m="1" x="876"/>
        <item x="45"/>
        <item m="1" x="872"/>
        <item m="1" x="856"/>
        <item m="1" x="857"/>
        <item x="368"/>
        <item m="1" x="807"/>
        <item m="1" x="812"/>
        <item m="1" x="608"/>
        <item x="359"/>
        <item m="1" x="891"/>
        <item m="1" x="889"/>
        <item m="1" x="770"/>
        <item m="1" x="887"/>
        <item m="1" x="848"/>
        <item m="1" x="826"/>
        <item x="30"/>
        <item m="1" x="596"/>
        <item m="1" x="870"/>
        <item m="1" x="854"/>
        <item x="404"/>
        <item x="26"/>
        <item m="1" x="884"/>
        <item m="1" x="847"/>
        <item m="1" x="858"/>
        <item m="1" x="737"/>
        <item m="1" x="859"/>
        <item m="1" x="849"/>
        <item m="1" x="850"/>
        <item m="1" x="815"/>
        <item x="223"/>
        <item x="90"/>
        <item m="1" x="844"/>
        <item m="1" x="643"/>
        <item m="1" x="842"/>
        <item m="1" x="830"/>
        <item m="1" x="825"/>
        <item m="1" x="892"/>
        <item x="191"/>
        <item m="1" x="845"/>
        <item x="156"/>
        <item x="91"/>
        <item m="1" x="873"/>
        <item m="1" x="860"/>
        <item m="1" x="861"/>
        <item m="1" x="862"/>
        <item m="1" x="851"/>
        <item m="1" x="762"/>
        <item x="381"/>
        <item m="1" x="841"/>
        <item m="1" x="831"/>
        <item m="1" x="827"/>
        <item m="1" x="820"/>
        <item m="1" x="816"/>
        <item m="1" x="793"/>
        <item x="123"/>
        <item m="1" x="893"/>
        <item x="122"/>
        <item x="162"/>
        <item x="87"/>
        <item m="1" x="799"/>
        <item m="1" x="817"/>
        <item m="1" x="811"/>
        <item x="1"/>
        <item m="1" x="818"/>
        <item m="1" x="767"/>
        <item m="1" x="821"/>
        <item m="1" x="794"/>
        <item x="112"/>
        <item x="19"/>
        <item m="1" x="865"/>
        <item m="1" x="855"/>
        <item m="1" x="846"/>
        <item x="3"/>
        <item x="65"/>
        <item m="1" x="791"/>
        <item m="1" x="718"/>
        <item m="1" x="669"/>
        <item m="1" x="868"/>
        <item m="1" x="866"/>
        <item x="44"/>
        <item m="1" x="852"/>
        <item m="1" x="853"/>
        <item m="1" x="542"/>
        <item m="1" x="832"/>
        <item m="1" x="833"/>
        <item m="1" x="834"/>
        <item m="1" x="835"/>
        <item m="1" x="836"/>
        <item m="1" x="837"/>
        <item m="1" x="838"/>
        <item m="1" x="839"/>
        <item x="448"/>
        <item m="1" x="822"/>
        <item m="1" x="819"/>
        <item x="340"/>
        <item m="1" x="700"/>
        <item x="233"/>
        <item x="225"/>
        <item m="1" x="751"/>
        <item x="154"/>
        <item m="1" x="602"/>
        <item m="1" x="662"/>
        <item m="1" x="685"/>
        <item x="54"/>
        <item x="364"/>
        <item x="22"/>
        <item x="0"/>
        <item m="1" x="787"/>
        <item x="55"/>
        <item m="1" x="809"/>
        <item x="155"/>
        <item x="179"/>
        <item m="1" x="802"/>
        <item x="204"/>
        <item m="1" x="776"/>
        <item m="1" x="796"/>
        <item m="1" x="765"/>
        <item x="395"/>
        <item x="42"/>
        <item m="1" x="798"/>
        <item m="1" x="786"/>
        <item m="1" x="783"/>
        <item m="1" x="663"/>
        <item m="1" x="784"/>
        <item x="290"/>
        <item m="1" x="690"/>
        <item m="1" x="814"/>
        <item m="1" x="561"/>
        <item m="1" x="785"/>
        <item x="273"/>
        <item x="378"/>
        <item x="13"/>
        <item x="178"/>
        <item x="152"/>
        <item x="109"/>
        <item x="274"/>
        <item x="78"/>
        <item x="263"/>
        <item x="305"/>
        <item m="1" x="790"/>
        <item m="1" x="774"/>
        <item m="1" x="745"/>
        <item x="110"/>
        <item m="1" x="694"/>
        <item m="1" x="682"/>
        <item m="1" x="675"/>
        <item m="1" x="789"/>
        <item m="1" x="781"/>
        <item m="1" x="777"/>
        <item x="153"/>
        <item m="1" x="735"/>
        <item m="1" x="771"/>
        <item m="1" x="772"/>
        <item m="1" x="758"/>
        <item x="406"/>
        <item m="1" x="757"/>
        <item m="1" x="766"/>
        <item m="1" x="768"/>
        <item x="303"/>
        <item m="1" x="764"/>
        <item m="1" x="656"/>
        <item x="335"/>
        <item m="1" x="755"/>
        <item m="1" x="756"/>
        <item m="1" x="759"/>
        <item m="1" x="808"/>
        <item m="1" x="801"/>
        <item x="14"/>
        <item m="1" x="589"/>
        <item x="336"/>
        <item x="79"/>
        <item m="1" x="804"/>
        <item m="1" x="727"/>
        <item m="1" x="761"/>
        <item m="1" x="769"/>
        <item m="1" x="760"/>
        <item m="1" x="676"/>
        <item m="1" x="752"/>
        <item m="1" x="753"/>
        <item m="1" x="750"/>
        <item m="1" x="743"/>
        <item m="1" x="747"/>
        <item m="1" x="746"/>
        <item m="1" x="741"/>
        <item m="1" x="740"/>
        <item m="1" x="734"/>
        <item x="484"/>
        <item m="1" x="636"/>
        <item x="15"/>
        <item m="1" x="724"/>
        <item m="1" x="728"/>
        <item m="1" x="595"/>
        <item m="1" x="779"/>
        <item m="1" x="742"/>
        <item m="1" x="780"/>
        <item x="224"/>
        <item m="1" x="754"/>
        <item x="268"/>
        <item m="1" x="732"/>
        <item m="1" x="621"/>
        <item m="1" x="797"/>
        <item m="1" x="707"/>
        <item x="43"/>
        <item m="1" x="713"/>
        <item m="1" x="705"/>
        <item x="80"/>
        <item x="278"/>
        <item m="1" x="788"/>
        <item x="136"/>
        <item x="231"/>
        <item x="507"/>
        <item x="206"/>
        <item m="1" x="597"/>
        <item x="301"/>
        <item m="1" x="782"/>
        <item m="1" x="775"/>
        <item x="56"/>
        <item m="1" x="749"/>
        <item m="1" x="680"/>
        <item m="1" x="744"/>
        <item m="1" x="726"/>
        <item x="289"/>
        <item x="21"/>
        <item x="316"/>
        <item x="106"/>
        <item x="441"/>
        <item m="1" x="699"/>
        <item x="57"/>
        <item x="74"/>
        <item m="1" x="614"/>
        <item m="1" x="615"/>
        <item x="49"/>
        <item m="1" x="704"/>
        <item x="205"/>
        <item m="1" x="710"/>
        <item m="1" x="697"/>
        <item x="199"/>
        <item m="1" x="650"/>
        <item m="1" x="733"/>
        <item m="1" x="725"/>
        <item m="1" x="618"/>
        <item m="1" x="729"/>
        <item x="194"/>
        <item m="1" x="683"/>
        <item m="1" x="686"/>
        <item m="1" x="691"/>
        <item m="1" x="674"/>
        <item m="1" x="668"/>
        <item m="1" x="612"/>
        <item m="1" x="616"/>
        <item m="1" x="582"/>
        <item x="145"/>
        <item m="1" x="714"/>
        <item x="302"/>
        <item m="1" x="629"/>
        <item x="377"/>
        <item m="1" x="723"/>
        <item m="1" x="736"/>
        <item m="1" x="630"/>
        <item m="1" x="701"/>
        <item x="261"/>
        <item x="111"/>
        <item m="1" x="657"/>
        <item m="1" x="658"/>
        <item m="1" x="659"/>
        <item m="1" x="660"/>
        <item m="1" x="649"/>
        <item m="1" x="651"/>
        <item m="1" x="652"/>
        <item x="489"/>
        <item m="1" x="644"/>
        <item m="1" x="640"/>
        <item m="1" x="641"/>
        <item x="434"/>
        <item m="1" x="738"/>
        <item m="1" x="730"/>
        <item m="1" x="586"/>
        <item m="1" x="721"/>
        <item m="1" x="719"/>
        <item m="1" x="687"/>
        <item m="1" x="716"/>
        <item m="1" x="717"/>
        <item m="1" x="702"/>
        <item m="1" x="622"/>
        <item m="1" x="623"/>
        <item m="1" x="624"/>
        <item x="286"/>
        <item x="170"/>
        <item m="1" x="731"/>
        <item m="1" x="581"/>
        <item m="1" x="739"/>
        <item m="1" x="688"/>
        <item x="219"/>
        <item x="228"/>
        <item x="243"/>
        <item x="322"/>
        <item x="334"/>
        <item x="107"/>
        <item x="487"/>
        <item m="1" x="591"/>
        <item x="483"/>
        <item x="173"/>
        <item x="300"/>
        <item m="1" x="692"/>
        <item m="1" x="703"/>
        <item x="69"/>
        <item m="1" x="544"/>
        <item m="1" x="709"/>
        <item m="1" x="693"/>
        <item m="1" x="695"/>
        <item x="158"/>
        <item x="41"/>
        <item x="70"/>
        <item x="174"/>
        <item m="1" x="722"/>
        <item m="1" x="681"/>
        <item m="1" x="671"/>
        <item x="265"/>
        <item x="279"/>
        <item m="1" x="587"/>
        <item m="1" x="665"/>
        <item m="1" x="654"/>
        <item m="1" x="655"/>
        <item m="1" x="601"/>
        <item m="1" x="646"/>
        <item m="1" x="634"/>
        <item m="1" x="647"/>
        <item m="1" x="642"/>
        <item x="11"/>
        <item m="1" x="638"/>
        <item x="7"/>
        <item m="1" x="543"/>
        <item x="262"/>
        <item m="1" x="625"/>
        <item m="1" x="617"/>
        <item m="1" x="570"/>
        <item x="314"/>
        <item x="101"/>
        <item x="366"/>
        <item m="1" x="715"/>
        <item x="447"/>
        <item x="453"/>
        <item m="1" x="711"/>
        <item m="1" x="712"/>
        <item x="188"/>
        <item x="288"/>
        <item x="323"/>
        <item m="1" x="588"/>
        <item x="8"/>
        <item m="1" x="696"/>
        <item m="1" x="648"/>
        <item x="220"/>
        <item x="438"/>
        <item x="150"/>
        <item x="471"/>
        <item m="1" x="639"/>
        <item x="141"/>
        <item m="1" x="627"/>
        <item m="1" x="677"/>
        <item m="1" x="672"/>
        <item m="1" x="600"/>
        <item x="397"/>
        <item x="71"/>
        <item x="202"/>
        <item x="415"/>
        <item x="423"/>
        <item m="1" x="573"/>
        <item x="375"/>
        <item x="229"/>
        <item x="439"/>
        <item m="1" x="661"/>
        <item x="221"/>
        <item x="159"/>
        <item m="1" x="585"/>
        <item x="102"/>
        <item m="1" x="583"/>
        <item m="1" x="563"/>
        <item m="1" x="564"/>
        <item x="75"/>
        <item m="1" x="540"/>
        <item x="35"/>
        <item x="76"/>
        <item m="1" x="653"/>
        <item x="72"/>
        <item x="103"/>
        <item x="36"/>
        <item m="1" x="560"/>
        <item x="175"/>
        <item m="1" x="626"/>
        <item m="1" x="610"/>
        <item m="1" x="613"/>
        <item m="1" x="576"/>
        <item m="1" x="568"/>
        <item x="142"/>
        <item m="1" x="541"/>
        <item x="73"/>
        <item x="245"/>
        <item x="104"/>
        <item x="143"/>
        <item x="260"/>
        <item x="9"/>
        <item x="324"/>
        <item m="1" x="673"/>
        <item m="1" x="645"/>
        <item m="1" x="599"/>
        <item m="1" x="628"/>
        <item x="86"/>
        <item x="230"/>
        <item x="37"/>
        <item x="454"/>
        <item m="1" x="684"/>
        <item m="1" x="667"/>
        <item x="38"/>
        <item x="151"/>
        <item x="4"/>
        <item x="117"/>
        <item x="139"/>
        <item x="424"/>
        <item x="478"/>
        <item x="482"/>
        <item x="149"/>
        <item m="1" x="664"/>
        <item x="312"/>
        <item m="1" x="619"/>
        <item m="1" x="611"/>
        <item m="1" x="593"/>
        <item m="1" x="569"/>
        <item x="227"/>
        <item x="519"/>
        <item m="1" x="594"/>
        <item x="166"/>
        <item x="167"/>
        <item x="96"/>
        <item x="386"/>
        <item x="362"/>
        <item m="1" x="554"/>
        <item x="402"/>
        <item m="1" x="605"/>
        <item x="108"/>
        <item x="371"/>
        <item x="372"/>
        <item x="521"/>
        <item x="332"/>
        <item x="405"/>
        <item m="1" x="574"/>
        <item x="97"/>
        <item x="98"/>
        <item x="5"/>
        <item x="217"/>
        <item x="31"/>
        <item m="1" x="609"/>
        <item x="242"/>
        <item x="400"/>
        <item x="168"/>
        <item x="479"/>
        <item x="196"/>
        <item x="198"/>
        <item m="1" x="637"/>
        <item x="313"/>
        <item m="1" x="603"/>
        <item x="373"/>
        <item x="99"/>
        <item m="1" x="584"/>
        <item x="218"/>
        <item x="184"/>
        <item x="197"/>
        <item x="238"/>
        <item x="239"/>
        <item x="240"/>
        <item x="157"/>
        <item m="1" x="549"/>
        <item x="24"/>
        <item x="32"/>
        <item x="33"/>
        <item x="67"/>
        <item x="100"/>
        <item x="169"/>
        <item x="177"/>
        <item x="185"/>
        <item x="186"/>
        <item x="241"/>
        <item x="267"/>
        <item x="266"/>
        <item x="299"/>
        <item x="374"/>
        <item x="470"/>
        <item x="187"/>
        <item x="183"/>
        <item x="235"/>
        <item x="281"/>
        <item x="282"/>
        <item x="369"/>
        <item x="394"/>
        <item x="412"/>
        <item x="66"/>
        <item x="283"/>
        <item x="295"/>
        <item m="1" x="631"/>
        <item m="1" x="632"/>
        <item m="1" x="633"/>
        <item x="361"/>
        <item x="370"/>
        <item x="413"/>
        <item m="1" x="579"/>
        <item x="236"/>
        <item x="163"/>
        <item x="164"/>
        <item x="165"/>
        <item x="237"/>
        <item x="258"/>
        <item x="284"/>
        <item x="296"/>
        <item x="297"/>
        <item x="327"/>
        <item x="328"/>
        <item x="329"/>
        <item x="357"/>
        <item x="437"/>
        <item x="192"/>
        <item x="330"/>
        <item x="480"/>
        <item x="95"/>
        <item m="1" x="580"/>
        <item x="298"/>
        <item x="331"/>
        <item m="1" x="566"/>
        <item x="285"/>
        <item x="532"/>
        <item x="135"/>
        <item x="520"/>
        <item m="1" x="606"/>
        <item m="1" x="559"/>
        <item m="1" x="567"/>
        <item x="517"/>
        <item m="1" x="592"/>
        <item m="1" x="598"/>
        <item x="50"/>
        <item m="1" x="590"/>
        <item x="182"/>
        <item m="1" x="552"/>
        <item x="161"/>
        <item x="259"/>
        <item x="147"/>
        <item x="195"/>
        <item x="256"/>
        <item x="280"/>
        <item x="294"/>
        <item m="1" x="607"/>
        <item x="51"/>
        <item x="34"/>
        <item x="270"/>
        <item x="213"/>
        <item x="52"/>
        <item m="1" x="556"/>
        <item m="1" x="557"/>
        <item x="310"/>
        <item x="212"/>
        <item x="326"/>
        <item x="347"/>
        <item x="16"/>
        <item x="94"/>
        <item x="306"/>
        <item x="317"/>
        <item x="318"/>
        <item x="348"/>
        <item x="349"/>
        <item x="257"/>
        <item x="451"/>
        <item x="461"/>
        <item x="508"/>
        <item x="510"/>
        <item x="516"/>
        <item x="27"/>
        <item m="1" x="571"/>
        <item m="1" x="548"/>
        <item x="53"/>
        <item x="124"/>
        <item x="214"/>
        <item x="215"/>
        <item x="216"/>
        <item x="208"/>
        <item x="311"/>
        <item x="321"/>
        <item x="325"/>
        <item x="350"/>
        <item x="351"/>
        <item x="352"/>
        <item x="452"/>
        <item x="462"/>
        <item x="463"/>
        <item x="457"/>
        <item x="469"/>
        <item x="477"/>
        <item x="506"/>
        <item x="6"/>
        <item x="39"/>
        <item x="63"/>
        <item x="84"/>
        <item x="125"/>
        <item x="46"/>
        <item x="113"/>
        <item x="234"/>
        <item x="355"/>
        <item x="127"/>
        <item x="28"/>
        <item x="47"/>
        <item x="64"/>
        <item x="83"/>
        <item x="126"/>
        <item x="522"/>
        <item m="1" x="545"/>
        <item x="209"/>
        <item x="308"/>
        <item x="534"/>
        <item x="537"/>
        <item m="1" x="553"/>
        <item m="1" x="550"/>
        <item m="1" x="551"/>
        <item m="1" x="546"/>
        <item m="1" x="547"/>
        <item x="129"/>
        <item x="128"/>
        <item x="320"/>
        <item x="360"/>
        <item x="390"/>
        <item x="445"/>
        <item x="130"/>
        <item x="131"/>
        <item x="132"/>
        <item x="114"/>
        <item x="148"/>
        <item m="1" x="555"/>
        <item m="1" x="562"/>
        <item x="193"/>
        <item x="207"/>
        <item x="210"/>
        <item x="211"/>
        <item x="250"/>
        <item x="251"/>
        <item x="292"/>
        <item x="344"/>
        <item x="382"/>
        <item x="391"/>
        <item x="429"/>
        <item x="430"/>
        <item x="425"/>
        <item x="436"/>
        <item x="48"/>
        <item x="252"/>
        <item x="253"/>
        <item x="345"/>
        <item x="356"/>
        <item x="458"/>
        <item x="403"/>
        <item x="134"/>
        <item x="133"/>
        <item x="226"/>
        <item x="254"/>
        <item x="293"/>
        <item x="309"/>
        <item x="346"/>
        <item x="392"/>
        <item x="255"/>
        <item x="315"/>
        <item x="401"/>
        <item x="398"/>
        <item x="411"/>
        <item x="422"/>
        <item x="420"/>
        <item x="431"/>
        <item x="432"/>
        <item x="433"/>
        <item x="459"/>
        <item x="476"/>
        <item x="500"/>
        <item x="499"/>
        <item x="89"/>
        <item x="118"/>
        <item x="119"/>
        <item x="190"/>
        <item x="244"/>
        <item x="246"/>
        <item x="276"/>
        <item x="343"/>
        <item x="358"/>
        <item x="367"/>
        <item x="379"/>
        <item x="380"/>
        <item x="450"/>
        <item x="474"/>
        <item x="291"/>
        <item x="409"/>
        <item x="475"/>
        <item x="505"/>
        <item x="59"/>
        <item x="60"/>
        <item x="88"/>
        <item x="203"/>
        <item x="247"/>
        <item x="248"/>
        <item x="249"/>
        <item x="264"/>
        <item x="275"/>
        <item x="307"/>
        <item x="365"/>
        <item x="410"/>
        <item x="416"/>
        <item x="421"/>
        <item x="427"/>
        <item x="435"/>
        <item x="446"/>
        <item x="449"/>
        <item x="460"/>
        <item x="464"/>
        <item x="465"/>
        <item x="468"/>
        <item x="488"/>
        <item x="495"/>
        <item x="509"/>
        <item x="514"/>
        <item x="515"/>
        <item x="533"/>
        <item x="116"/>
        <item x="341"/>
        <item x="342"/>
        <item x="337"/>
        <item x="387"/>
        <item x="388"/>
        <item x="389"/>
        <item x="399"/>
        <item x="408"/>
        <item x="414"/>
        <item x="417"/>
        <item x="419"/>
        <item x="442"/>
        <item x="456"/>
        <item x="466"/>
        <item x="473"/>
        <item x="485"/>
        <item x="486"/>
        <item x="490"/>
        <item x="491"/>
        <item x="496"/>
        <item x="497"/>
        <item x="512"/>
        <item x="304"/>
        <item x="481"/>
        <item x="538"/>
        <item x="176"/>
        <item x="200"/>
        <item x="536"/>
        <item x="472"/>
        <item x="498"/>
        <item x="319"/>
        <item x="338"/>
        <item x="363"/>
        <item x="407"/>
        <item x="426"/>
        <item x="443"/>
        <item x="444"/>
        <item x="502"/>
        <item x="524"/>
        <item x="527"/>
        <item x="535"/>
        <item x="201"/>
        <item x="339"/>
        <item x="418"/>
        <item x="428"/>
        <item x="492"/>
        <item x="503"/>
        <item x="504"/>
        <item x="513"/>
        <item x="518"/>
        <item x="523"/>
        <item x="528"/>
        <item x="529"/>
        <item x="530"/>
        <item x="53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540">
    <i>
      <x/>
    </i>
    <i>
      <x v="185"/>
    </i>
    <i>
      <x v="15"/>
    </i>
    <i>
      <x v="233"/>
    </i>
    <i>
      <x v="733"/>
    </i>
    <i>
      <x v="51"/>
    </i>
    <i>
      <x v="1036"/>
    </i>
    <i>
      <x v="341"/>
    </i>
    <i>
      <x v="869"/>
    </i>
    <i>
      <x v="801"/>
    </i>
    <i>
      <x v="870"/>
    </i>
    <i>
      <x v="400"/>
    </i>
    <i>
      <x v="424"/>
    </i>
    <i>
      <x v="291"/>
    </i>
    <i>
      <x v="35"/>
    </i>
    <i>
      <x v="825"/>
    </i>
    <i>
      <x v="393"/>
    </i>
    <i>
      <x v="429"/>
    </i>
    <i>
      <x v="665"/>
    </i>
    <i>
      <x v="336"/>
    </i>
    <i>
      <x v="383"/>
    </i>
    <i>
      <x v="427"/>
    </i>
    <i>
      <x v="117"/>
    </i>
    <i>
      <x v="100"/>
    </i>
    <i>
      <x v="230"/>
    </i>
    <i>
      <x v="1073"/>
    </i>
    <i>
      <x v="896"/>
    </i>
    <i>
      <x v="457"/>
    </i>
    <i>
      <x v="426"/>
    </i>
    <i>
      <x v="548"/>
    </i>
    <i>
      <x v="9"/>
    </i>
    <i>
      <x v="64"/>
    </i>
    <i>
      <x v="632"/>
    </i>
    <i>
      <x v="849"/>
    </i>
    <i>
      <x v="200"/>
    </i>
    <i>
      <x v="439"/>
    </i>
    <i>
      <x v="72"/>
    </i>
    <i>
      <x v="543"/>
    </i>
    <i>
      <x v="340"/>
    </i>
    <i>
      <x v="1081"/>
    </i>
    <i>
      <x v="21"/>
    </i>
    <i>
      <x v="136"/>
    </i>
    <i>
      <x v="816"/>
    </i>
    <i>
      <x v="666"/>
    </i>
    <i>
      <x v="22"/>
    </i>
    <i>
      <x v="360"/>
    </i>
    <i>
      <x v="1090"/>
    </i>
    <i>
      <x v="182"/>
    </i>
    <i>
      <x v="361"/>
    </i>
    <i>
      <x v="227"/>
    </i>
    <i>
      <x v="887"/>
    </i>
    <i>
      <x v="232"/>
    </i>
    <i>
      <x v="220"/>
    </i>
    <i>
      <x v="137"/>
    </i>
    <i>
      <x v="488"/>
    </i>
    <i>
      <x v="49"/>
    </i>
    <i>
      <x v="1088"/>
    </i>
    <i>
      <x v="378"/>
    </i>
    <i>
      <x v="159"/>
    </i>
    <i>
      <x v="552"/>
    </i>
    <i>
      <x v="417"/>
    </i>
    <i>
      <x v="99"/>
    </i>
    <i>
      <x v="704"/>
    </i>
    <i>
      <x v="166"/>
    </i>
    <i>
      <x v="459"/>
    </i>
    <i>
      <x v="685"/>
    </i>
    <i>
      <x v="686"/>
    </i>
    <i>
      <x v="78"/>
    </i>
    <i>
      <x v="63"/>
    </i>
    <i>
      <x v="394"/>
    </i>
    <i>
      <x v="43"/>
    </i>
    <i>
      <x v="318"/>
    </i>
    <i>
      <x v="544"/>
    </i>
    <i>
      <x v="661"/>
    </i>
    <i>
      <x v="453"/>
    </i>
    <i>
      <x v="379"/>
    </i>
    <i>
      <x v="863"/>
    </i>
    <i>
      <x v="682"/>
    </i>
    <i>
      <x v="692"/>
    </i>
    <i>
      <x v="764"/>
    </i>
    <i>
      <x v="717"/>
    </i>
    <i>
      <x v="238"/>
    </i>
    <i>
      <x v="933"/>
    </i>
    <i>
      <x v="730"/>
    </i>
    <i>
      <x v="76"/>
    </i>
    <i>
      <x v="456"/>
    </i>
    <i>
      <x v="189"/>
    </i>
    <i>
      <x v="672"/>
    </i>
    <i>
      <x v="915"/>
    </i>
    <i>
      <x v="823"/>
    </i>
    <i>
      <x v="993"/>
    </i>
    <i>
      <x v="983"/>
    </i>
    <i>
      <x v="509"/>
    </i>
    <i>
      <x v="151"/>
    </i>
    <i>
      <x v="684"/>
    </i>
    <i>
      <x v="438"/>
    </i>
    <i>
      <x v="542"/>
    </i>
    <i>
      <x v="877"/>
    </i>
    <i>
      <x v="157"/>
    </i>
    <i>
      <x v="10"/>
    </i>
    <i>
      <x v="563"/>
    </i>
    <i>
      <x v="518"/>
    </i>
    <i>
      <x v="231"/>
    </i>
    <i>
      <x v="930"/>
    </i>
    <i>
      <x v="674"/>
    </i>
    <i>
      <x v="883"/>
    </i>
    <i>
      <x v="815"/>
    </i>
    <i>
      <x v="582"/>
    </i>
    <i>
      <x v="482"/>
    </i>
    <i>
      <x v="963"/>
    </i>
    <i>
      <x v="657"/>
    </i>
    <i>
      <x v="821"/>
    </i>
    <i>
      <x v="1091"/>
    </i>
    <i>
      <x v="690"/>
    </i>
    <i>
      <x v="817"/>
    </i>
    <i>
      <x v="581"/>
    </i>
    <i>
      <x v="42"/>
    </i>
    <i>
      <x v="1079"/>
    </i>
    <i>
      <x v="842"/>
    </i>
    <i>
      <x v="431"/>
    </i>
    <i>
      <x v="793"/>
    </i>
    <i>
      <x v="1082"/>
    </i>
    <i>
      <x v="814"/>
    </i>
    <i>
      <x v="516"/>
    </i>
    <i>
      <x v="841"/>
    </i>
    <i>
      <x v="1086"/>
    </i>
    <i>
      <x v="425"/>
    </i>
    <i>
      <x v="848"/>
    </i>
    <i>
      <x v="662"/>
    </i>
    <i>
      <x v="141"/>
    </i>
    <i>
      <x v="996"/>
    </i>
    <i>
      <x v="924"/>
    </i>
    <i>
      <x v="728"/>
    </i>
    <i>
      <x v="854"/>
    </i>
    <i>
      <x v="735"/>
    </i>
    <i>
      <x v="658"/>
    </i>
    <i>
      <x v="490"/>
    </i>
    <i>
      <x v="530"/>
    </i>
    <i>
      <x v="224"/>
    </i>
    <i>
      <x v="850"/>
    </i>
    <i>
      <x v="634"/>
    </i>
    <i>
      <x v="752"/>
    </i>
    <i>
      <x v="92"/>
    </i>
    <i>
      <x v="545"/>
    </i>
    <i>
      <x v="1080"/>
    </i>
    <i>
      <x v="982"/>
    </i>
    <i>
      <x v="1000"/>
    </i>
    <i>
      <x v="812"/>
    </i>
    <i>
      <x v="454"/>
    </i>
    <i>
      <x v="651"/>
    </i>
    <i>
      <x v="835"/>
    </i>
    <i>
      <x v="52"/>
    </i>
    <i>
      <x v="1068"/>
    </i>
    <i>
      <x v="734"/>
    </i>
    <i>
      <x v="4"/>
    </i>
    <i>
      <x v="871"/>
    </i>
    <i>
      <x v="776"/>
    </i>
    <i>
      <x v="840"/>
    </i>
    <i>
      <x v="772"/>
    </i>
    <i>
      <x v="727"/>
    </i>
    <i>
      <x v="546"/>
    </i>
    <i>
      <x v="935"/>
    </i>
    <i>
      <x v="884"/>
    </i>
    <i>
      <x v="1092"/>
    </i>
    <i>
      <x v="861"/>
    </i>
    <i>
      <x v="706"/>
    </i>
    <i>
      <x v="683"/>
    </i>
    <i>
      <x v="1093"/>
    </i>
    <i>
      <x v="755"/>
    </i>
    <i>
      <x v="1042"/>
    </i>
    <i>
      <x v="702"/>
    </i>
    <i>
      <x v="375"/>
    </i>
    <i>
      <x v="920"/>
    </i>
    <i>
      <x v="434"/>
    </i>
    <i>
      <x v="955"/>
    </i>
    <i>
      <x v="669"/>
    </i>
    <i>
      <x v="75"/>
    </i>
    <i>
      <x v="893"/>
    </i>
    <i>
      <x v="667"/>
    </i>
    <i>
      <x v="479"/>
    </i>
    <i>
      <x v="452"/>
    </i>
    <i>
      <x v="1011"/>
    </i>
    <i>
      <x v="785"/>
    </i>
    <i>
      <x v="751"/>
    </i>
    <i>
      <x v="1057"/>
    </i>
    <i>
      <x v="1027"/>
    </i>
    <i>
      <x v="994"/>
    </i>
    <i>
      <x v="673"/>
    </i>
    <i>
      <x v="701"/>
    </i>
    <i>
      <x v="1089"/>
    </i>
    <i>
      <x v="420"/>
    </i>
    <i>
      <x v="807"/>
    </i>
    <i>
      <x v="919"/>
    </i>
    <i>
      <x v="1033"/>
    </i>
    <i>
      <x v="932"/>
    </i>
    <i>
      <x v="800"/>
    </i>
    <i>
      <x v="212"/>
    </i>
    <i>
      <x v="914"/>
    </i>
    <i>
      <x v="1063"/>
    </i>
    <i>
      <x v="1053"/>
    </i>
    <i>
      <x v="878"/>
    </i>
    <i>
      <x v="970"/>
    </i>
    <i>
      <x v="432"/>
    </i>
    <i>
      <x v="236"/>
    </i>
    <i>
      <x v="879"/>
    </i>
    <i>
      <x v="241"/>
    </i>
    <i>
      <x v="873"/>
    </i>
    <i>
      <x v="26"/>
    </i>
    <i>
      <x v="908"/>
    </i>
    <i>
      <x v="1013"/>
    </i>
    <i>
      <x v="865"/>
    </i>
    <i>
      <x v="688"/>
    </i>
    <i>
      <x v="960"/>
    </i>
    <i>
      <x v="649"/>
    </i>
    <i>
      <x v="974"/>
    </i>
    <i>
      <x v="325"/>
    </i>
    <i>
      <x v="1064"/>
    </i>
    <i>
      <x v="226"/>
    </i>
    <i>
      <x v="862"/>
    </i>
    <i>
      <x v="156"/>
    </i>
    <i>
      <x v="1047"/>
    </i>
    <i>
      <x v="718"/>
    </i>
    <i>
      <x v="532"/>
    </i>
    <i>
      <x v="531"/>
    </i>
    <i>
      <x v="1045"/>
    </i>
    <i>
      <x v="614"/>
    </i>
    <i>
      <x v="774"/>
    </i>
    <i>
      <x v="881"/>
    </i>
    <i>
      <x v="822"/>
    </i>
    <i>
      <x v="659"/>
    </i>
    <i>
      <x v="838"/>
    </i>
    <i>
      <x v="590"/>
    </i>
    <i>
      <x v="968"/>
    </i>
    <i>
      <x v="803"/>
    </i>
    <i>
      <x v="350"/>
    </i>
    <i>
      <x v="995"/>
    </i>
    <i>
      <x v="705"/>
    </i>
    <i>
      <x v="777"/>
    </i>
    <i>
      <x v="638"/>
    </i>
    <i>
      <x v="622"/>
    </i>
    <i>
      <x v="999"/>
    </i>
    <i>
      <x v="534"/>
    </i>
    <i>
      <x v="1066"/>
    </i>
    <i>
      <x v="455"/>
    </i>
    <i>
      <x v="763"/>
    </i>
    <i>
      <x v="901"/>
    </i>
    <i>
      <x v="967"/>
    </i>
    <i>
      <x v="529"/>
    </i>
    <i>
      <x v="975"/>
    </i>
    <i>
      <x v="675"/>
    </i>
    <i>
      <x v="1003"/>
    </i>
    <i>
      <x v="951"/>
    </i>
    <i>
      <x v="1014"/>
    </i>
    <i>
      <x v="1032"/>
    </i>
    <i>
      <x v="961"/>
    </i>
    <i>
      <x v="1028"/>
    </i>
    <i>
      <x v="928"/>
    </i>
    <i>
      <x v="826"/>
    </i>
    <i>
      <x v="749"/>
    </i>
    <i>
      <x v="572"/>
    </i>
    <i>
      <x v="262"/>
    </i>
    <i>
      <x v="526"/>
    </i>
    <i>
      <x v="653"/>
    </i>
    <i>
      <x v="458"/>
    </i>
    <i>
      <x v="828"/>
    </i>
    <i>
      <x v="527"/>
    </i>
    <i>
      <x v="1022"/>
    </i>
    <i>
      <x v="790"/>
    </i>
    <i>
      <x v="834"/>
    </i>
    <i>
      <x v="1012"/>
    </i>
    <i>
      <x v="287"/>
    </i>
    <i>
      <x v="966"/>
    </i>
    <i>
      <x v="618"/>
    </i>
    <i>
      <x v="926"/>
    </i>
    <i>
      <x v="998"/>
    </i>
    <i>
      <x v="298"/>
    </i>
    <i>
      <x v="619"/>
    </i>
    <i>
      <x v="923"/>
    </i>
    <i>
      <x v="708"/>
    </i>
    <i>
      <x v="554"/>
    </i>
    <i>
      <x v="738"/>
    </i>
    <i>
      <x v="922"/>
    </i>
    <i>
      <x v="802"/>
    </i>
    <i>
      <x v="973"/>
    </i>
    <i>
      <x v="450"/>
    </i>
    <i>
      <x v="1085"/>
    </i>
    <i>
      <x v="1094"/>
    </i>
    <i>
      <x v="889"/>
    </i>
    <i>
      <x v="1060"/>
    </i>
    <i>
      <x v="557"/>
    </i>
    <i>
      <x v="576"/>
    </i>
    <i>
      <x v="766"/>
    </i>
    <i>
      <x v="978"/>
    </i>
    <i>
      <x v="729"/>
    </i>
    <i>
      <x v="633"/>
    </i>
    <i>
      <x v="491"/>
    </i>
    <i>
      <x v="781"/>
    </i>
    <i>
      <x v="445"/>
    </i>
    <i>
      <x v="934"/>
    </i>
    <i>
      <x v="278"/>
    </i>
    <i>
      <x v="759"/>
    </i>
    <i>
      <x v="549"/>
    </i>
    <i>
      <x v="976"/>
    </i>
    <i>
      <x v="943"/>
    </i>
    <i>
      <x v="962"/>
    </i>
    <i>
      <x v="507"/>
    </i>
    <i>
      <x v="254"/>
    </i>
    <i>
      <x v="876"/>
    </i>
    <i>
      <x v="1071"/>
    </i>
    <i>
      <x v="470"/>
    </i>
    <i>
      <x v="1070"/>
    </i>
    <i>
      <x v="714"/>
    </i>
    <i>
      <x v="1095"/>
    </i>
    <i>
      <x v="789"/>
    </i>
    <i>
      <x v="971"/>
    </i>
    <i>
      <x v="1076"/>
    </i>
    <i>
      <x v="1009"/>
    </i>
    <i>
      <x v="880"/>
    </i>
    <i>
      <x v="1061"/>
    </i>
    <i>
      <x v="1030"/>
    </i>
    <i>
      <x v="911"/>
    </i>
    <i>
      <x v="949"/>
    </i>
    <i>
      <x v="607"/>
    </i>
    <i>
      <x v="775"/>
    </i>
    <i>
      <x v="888"/>
    </i>
    <i>
      <x v="899"/>
    </i>
    <i>
      <x v="947"/>
    </i>
    <i>
      <x v="1010"/>
    </i>
    <i>
      <x v="1084"/>
    </i>
    <i>
      <x v="574"/>
    </i>
    <i>
      <x v="475"/>
    </i>
    <i>
      <x v="1025"/>
    </i>
    <i>
      <x v="1020"/>
    </i>
    <i>
      <x v="1050"/>
    </i>
    <i>
      <x v="767"/>
    </i>
    <i>
      <x v="743"/>
    </i>
    <i>
      <x v="941"/>
    </i>
    <i>
      <x v="294"/>
    </i>
    <i>
      <x v="986"/>
    </i>
    <i>
      <x v="748"/>
    </i>
    <i>
      <x v="639"/>
    </i>
    <i>
      <x v="792"/>
    </i>
    <i>
      <x v="699"/>
    </i>
    <i>
      <x v="695"/>
    </i>
    <i>
      <x v="948"/>
    </i>
    <i>
      <x v="1029"/>
    </i>
    <i>
      <x v="368"/>
    </i>
    <i>
      <x v="1055"/>
    </i>
    <i>
      <x v="451"/>
    </i>
    <i>
      <x v="892"/>
    </i>
    <i>
      <x v="689"/>
    </i>
    <i>
      <x v="833"/>
    </i>
    <i>
      <x v="1037"/>
    </i>
    <i>
      <x v="788"/>
    </i>
    <i>
      <x v="412"/>
    </i>
    <i>
      <x v="769"/>
    </i>
    <i>
      <x v="321"/>
    </i>
    <i>
      <x v="247"/>
    </i>
    <i>
      <x v="1058"/>
    </i>
    <i>
      <x v="1046"/>
    </i>
    <i>
      <x v="784"/>
    </i>
    <i>
      <x v="613"/>
    </i>
    <i>
      <x v="1026"/>
    </i>
    <i>
      <x v="786"/>
    </i>
    <i>
      <x v="631"/>
    </i>
    <i>
      <x v="977"/>
    </i>
    <i>
      <x v="1007"/>
    </i>
    <i>
      <x v="693"/>
    </i>
    <i>
      <x v="415"/>
    </i>
    <i>
      <x v="957"/>
    </i>
    <i>
      <x v="626"/>
    </i>
    <i>
      <x v="885"/>
    </i>
    <i>
      <x v="969"/>
    </i>
    <i>
      <x v="1097"/>
    </i>
    <i>
      <x v="1041"/>
    </i>
    <i>
      <x v="537"/>
    </i>
    <i>
      <x v="927"/>
    </i>
    <i>
      <x v="737"/>
    </i>
    <i>
      <x v="1024"/>
    </i>
    <i>
      <x v="857"/>
    </i>
    <i>
      <x v="358"/>
    </i>
    <i>
      <x v="945"/>
    </i>
    <i>
      <x v="804"/>
    </i>
    <i>
      <x v="950"/>
    </i>
    <i>
      <x v="762"/>
    </i>
    <i>
      <x v="389"/>
    </i>
    <i>
      <x v="1098"/>
    </i>
    <i>
      <x v="608"/>
    </i>
    <i>
      <x v="1038"/>
    </i>
    <i>
      <x v="787"/>
    </i>
    <i>
      <x v="902"/>
    </i>
    <i>
      <x v="418"/>
    </i>
    <i>
      <x v="1096"/>
    </i>
    <i>
      <x v="1083"/>
    </i>
    <i>
      <x v="809"/>
    </i>
    <i>
      <x v="739"/>
    </i>
    <i>
      <x v="997"/>
    </i>
    <i>
      <x v="329"/>
    </i>
    <i>
      <x v="1035"/>
    </i>
    <i>
      <x v="770"/>
    </i>
    <i>
      <x v="1019"/>
    </i>
    <i>
      <x v="351"/>
    </i>
    <i>
      <x v="1034"/>
    </i>
    <i>
      <x v="1021"/>
    </i>
    <i>
      <x v="741"/>
    </i>
    <i>
      <x v="617"/>
    </i>
    <i>
      <x v="244"/>
    </i>
    <i>
      <x v="719"/>
    </i>
    <i>
      <x v="965"/>
    </i>
    <i>
      <x v="925"/>
    </i>
    <i>
      <x v="388"/>
    </i>
    <i>
      <x v="897"/>
    </i>
    <i>
      <x v="779"/>
    </i>
    <i>
      <x v="757"/>
    </i>
    <i>
      <x v="916"/>
    </i>
    <i>
      <x v="859"/>
    </i>
    <i>
      <x v="1039"/>
    </i>
    <i>
      <x v="1062"/>
    </i>
    <i>
      <x v="918"/>
    </i>
    <i>
      <x v="736"/>
    </i>
    <i>
      <x v="1018"/>
    </i>
    <i>
      <x v="768"/>
    </i>
    <i>
      <x v="1015"/>
    </i>
    <i>
      <x v="1002"/>
    </i>
    <i>
      <x v="867"/>
    </i>
    <i>
      <x v="463"/>
    </i>
    <i>
      <x v="972"/>
    </i>
    <i>
      <x v="872"/>
    </i>
    <i>
      <x v="882"/>
    </i>
    <i>
      <x v="621"/>
    </i>
    <i>
      <x v="917"/>
    </i>
    <i>
      <x v="716"/>
    </i>
    <i>
      <x v="754"/>
    </i>
    <i>
      <x v="1043"/>
    </i>
    <i>
      <x v="913"/>
    </i>
    <i>
      <x v="1067"/>
    </i>
    <i>
      <x v="740"/>
    </i>
    <i>
      <x v="806"/>
    </i>
    <i>
      <x v="677"/>
    </i>
    <i>
      <x v="921"/>
    </i>
    <i>
      <x v="845"/>
    </i>
    <i>
      <x v="1040"/>
    </i>
    <i>
      <x v="797"/>
    </i>
    <i>
      <x v="886"/>
    </i>
    <i>
      <x v="946"/>
    </i>
    <i>
      <x v="1056"/>
    </i>
    <i>
      <x v="942"/>
    </i>
    <i>
      <x v="829"/>
    </i>
    <i>
      <x v="954"/>
    </i>
    <i>
      <x v="1001"/>
    </i>
    <i>
      <x v="796"/>
    </i>
    <i>
      <x v="1078"/>
    </i>
    <i>
      <x v="864"/>
    </i>
    <i>
      <x v="844"/>
    </i>
    <i>
      <x v="898"/>
    </i>
    <i>
      <x v="980"/>
    </i>
    <i>
      <x v="1031"/>
    </i>
    <i>
      <x v="782"/>
    </i>
    <i>
      <x v="929"/>
    </i>
    <i>
      <x v="264"/>
    </i>
    <i>
      <x v="984"/>
    </i>
    <i>
      <x v="839"/>
    </i>
    <i>
      <x v="616"/>
    </i>
    <i>
      <x v="990"/>
    </i>
    <i>
      <x v="1008"/>
    </i>
    <i>
      <x v="594"/>
    </i>
    <i>
      <x v="805"/>
    </i>
    <i>
      <x v="1049"/>
    </i>
    <i>
      <x v="827"/>
    </i>
    <i>
      <x v="1075"/>
    </i>
    <i>
      <x v="721"/>
    </i>
    <i>
      <x v="847"/>
    </i>
    <i>
      <x v="1059"/>
    </i>
    <i>
      <x v="981"/>
    </i>
    <i>
      <x v="891"/>
    </i>
    <i>
      <x v="1072"/>
    </i>
    <i>
      <x v="1052"/>
    </i>
    <i>
      <x v="964"/>
    </i>
    <i>
      <x v="912"/>
    </i>
    <i>
      <x v="991"/>
    </i>
    <i>
      <x v="523"/>
    </i>
    <i>
      <x v="1069"/>
    </i>
    <i>
      <x v="987"/>
    </i>
    <i>
      <x v="1017"/>
    </i>
    <i>
      <x v="722"/>
    </i>
    <i>
      <x v="720"/>
    </i>
    <i>
      <x v="910"/>
    </i>
    <i>
      <x v="623"/>
    </i>
    <i>
      <x v="799"/>
    </i>
    <i>
      <x v="906"/>
    </i>
    <i>
      <x v="831"/>
    </i>
    <i>
      <x v="1005"/>
    </i>
    <i>
      <x v="1074"/>
    </i>
    <i>
      <x v="1048"/>
    </i>
    <i>
      <x v="944"/>
    </i>
    <i>
      <x v="615"/>
    </i>
    <i>
      <x v="794"/>
    </i>
    <i>
      <x v="1044"/>
    </i>
    <i>
      <x v="985"/>
    </i>
    <i>
      <x v="1054"/>
    </i>
    <i>
      <x v="795"/>
    </i>
    <i>
      <x v="773"/>
    </i>
    <i>
      <x v="905"/>
    </i>
    <i>
      <x v="979"/>
    </i>
    <i>
      <x v="1006"/>
    </i>
    <i>
      <x v="1077"/>
    </i>
    <i>
      <x v="830"/>
    </i>
    <i>
      <x v="989"/>
    </i>
    <i>
      <x v="836"/>
    </i>
    <i>
      <x v="956"/>
    </i>
    <i>
      <x v="1051"/>
    </i>
    <i>
      <x v="909"/>
    </i>
    <i>
      <x v="798"/>
    </i>
    <i>
      <x v="808"/>
    </i>
    <i>
      <x v="837"/>
    </i>
    <i>
      <x v="959"/>
    </i>
    <i>
      <x v="377"/>
    </i>
    <i>
      <x v="753"/>
    </i>
    <i>
      <x v="832"/>
    </i>
    <i>
      <x v="907"/>
    </i>
    <i>
      <x v="866"/>
    </i>
    <i>
      <x v="992"/>
    </i>
    <i>
      <x v="811"/>
    </i>
    <i>
      <x v="1023"/>
    </i>
    <i>
      <x v="988"/>
    </i>
    <i>
      <x v="958"/>
    </i>
    <i>
      <x v="890"/>
    </i>
    <i>
      <x v="1087"/>
    </i>
    <i>
      <x v="760"/>
    </i>
    <i>
      <x v="310"/>
    </i>
    <i>
      <x v="904"/>
    </i>
    <i>
      <x v="1004"/>
    </i>
    <i>
      <x v="903"/>
    </i>
    <i>
      <x v="1016"/>
    </i>
    <i>
      <x v="1065"/>
    </i>
    <i>
      <x v="761"/>
    </i>
    <i>
      <x v="810"/>
    </i>
    <i>
      <x v="813"/>
    </i>
    <i>
      <x v="900"/>
    </i>
    <i t="grand">
      <x/>
    </i>
  </rowItems>
  <colItems count="1">
    <i/>
  </colItems>
  <dataFields count="1">
    <dataField name="Suma de %" fld="22" baseField="0" baseItem="0" numFmtId="183"/>
  </dataFields>
  <formats count="2">
    <format dxfId="23">
      <pivotArea outline="0" collapsedLevelsAreSubtotals="1" fieldPosition="0"/>
    </format>
    <format dxfId="22">
      <pivotArea type="topRight" dataOnly="0" labelOnly="1"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52B7AEB-D622-4435-9791-63DAD4016F58}" autoFormatId="16" applyNumberFormats="0" applyBorderFormats="0" applyFontFormats="0" applyPatternFormats="0" applyAlignmentFormats="0" applyWidthHeightFormats="0">
  <queryTableRefresh nextId="4">
    <queryTableFields count="3">
      <queryTableField id="1" name="Concertación" tableColumnId="1"/>
      <queryTableField id="2" name="Liquidación" tableColumnId="2"/>
      <queryTableField id="3" name="Suma de Neto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3808D-B90A-4F3F-BC37-9B13C01D6D2F}" name="Operaciones" displayName="Operaciones" ref="U66:W68" tableType="queryTable" totalsRowShown="0" headerRowDxfId="28" dataDxfId="27">
  <tableColumns count="3">
    <tableColumn id="1" xr3:uid="{71D68D03-16ED-4D1C-B20F-8E24C3373D3F}" uniqueName="1" name="Concertación" queryTableFieldId="1" dataDxfId="26"/>
    <tableColumn id="2" xr3:uid="{65B17961-7AC6-4897-A659-144504A89FC3}" uniqueName="2" name="Liquidación" queryTableFieldId="2" dataDxfId="25"/>
    <tableColumn id="3" xr3:uid="{D87AD870-9D0F-4443-9DC3-27648FA7667F}" uniqueName="3" name="Suma de Neto" queryTableFieldId="3" dataDxfId="24" dataCellStyle="Millar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3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155C77-0C02-4381-A3ED-CB0B4B30C93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3f233c4-e365-4660-8a44-fd712de04cf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C0B81101-614D-488A-B466-5A3DC6EACE2C}">
  <we:reference id="wa104380862" version="3.0.0.0" store="es-E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X3115"/>
  <sheetViews>
    <sheetView tabSelected="1" zoomScale="85" zoomScaleNormal="85" workbookViewId="0">
      <selection activeCell="N46" sqref="N46"/>
    </sheetView>
  </sheetViews>
  <sheetFormatPr baseColWidth="10" defaultColWidth="11.42578125" defaultRowHeight="15"/>
  <cols>
    <col min="1" max="1" width="60" customWidth="1"/>
    <col min="2" max="2" width="23" customWidth="1"/>
    <col min="3" max="3" width="25" customWidth="1"/>
    <col min="4" max="5" width="18" customWidth="1"/>
    <col min="6" max="6" width="19" customWidth="1"/>
    <col min="7" max="9" width="15" customWidth="1"/>
    <col min="10" max="10" width="14.140625" style="58" bestFit="1" customWidth="1"/>
    <col min="11" max="11" width="32.42578125" style="58" customWidth="1"/>
    <col min="12" max="12" width="18.7109375" style="73" customWidth="1"/>
    <col min="13" max="13" width="20" style="74" bestFit="1" customWidth="1"/>
    <col min="14" max="14" width="18.28515625" style="58" bestFit="1" customWidth="1"/>
    <col min="15" max="15" width="15.7109375" style="58" bestFit="1" customWidth="1"/>
    <col min="16" max="16" width="12.28515625" style="58" hidden="1" customWidth="1"/>
    <col min="17" max="17" width="14.140625" style="58" hidden="1" customWidth="1"/>
    <col min="18" max="18" width="12.7109375" style="58" hidden="1" customWidth="1"/>
    <col min="19" max="19" width="19.28515625" style="58" hidden="1" customWidth="1"/>
    <col min="20" max="20" width="17.140625" style="58" hidden="1" customWidth="1"/>
    <col min="21" max="21" width="12.7109375" style="58" bestFit="1" customWidth="1"/>
    <col min="22" max="22" width="15.140625" style="58" bestFit="1" customWidth="1"/>
    <col min="23" max="23" width="15.28515625" style="58" bestFit="1" customWidth="1"/>
    <col min="24" max="24" width="14.140625" style="58" bestFit="1" customWidth="1"/>
    <col min="25" max="16384" width="11.42578125" style="58"/>
  </cols>
  <sheetData>
    <row r="1" spans="1:24">
      <c r="A1" s="10" t="s">
        <v>17</v>
      </c>
      <c r="B1" s="10"/>
      <c r="C1" s="10"/>
      <c r="D1" s="10"/>
      <c r="E1" s="10"/>
      <c r="F1" s="10"/>
      <c r="G1" s="10"/>
      <c r="H1" s="10"/>
      <c r="I1" s="10"/>
      <c r="K1" s="63"/>
      <c r="L1" s="64"/>
      <c r="M1" s="65"/>
      <c r="N1" s="66"/>
      <c r="O1" s="67"/>
    </row>
    <row r="2" spans="1:24">
      <c r="A2" s="10" t="s">
        <v>625</v>
      </c>
      <c r="B2" s="10"/>
      <c r="C2" s="10"/>
      <c r="D2" s="10"/>
      <c r="E2" s="10"/>
      <c r="F2" s="10"/>
      <c r="G2" s="10"/>
      <c r="H2" s="10"/>
      <c r="I2" s="10"/>
      <c r="K2" s="63"/>
      <c r="L2" s="64"/>
      <c r="M2" s="65"/>
      <c r="N2" s="68"/>
      <c r="O2" s="67"/>
      <c r="P2" s="144"/>
    </row>
    <row r="3" spans="1:24">
      <c r="A3" s="10" t="s">
        <v>4056</v>
      </c>
      <c r="B3" s="10"/>
      <c r="C3" s="10"/>
      <c r="D3" s="10"/>
      <c r="E3" s="10"/>
      <c r="F3" s="10"/>
      <c r="G3" s="10"/>
      <c r="H3" s="10"/>
      <c r="I3" s="10"/>
      <c r="K3" s="59"/>
      <c r="L3" s="58"/>
      <c r="M3" s="69"/>
    </row>
    <row r="4" spans="1:24" ht="14.25" customHeight="1">
      <c r="A4" s="10" t="s">
        <v>4057</v>
      </c>
      <c r="B4" s="10"/>
      <c r="C4" s="10"/>
      <c r="D4" s="10"/>
      <c r="E4" s="10"/>
      <c r="F4" s="10"/>
      <c r="G4" s="10"/>
      <c r="H4" s="10"/>
      <c r="I4" s="10"/>
      <c r="K4" s="184" t="s">
        <v>653</v>
      </c>
      <c r="L4" s="184"/>
      <c r="M4" s="22"/>
    </row>
    <row r="5" spans="1:24">
      <c r="A5" s="10" t="s">
        <v>89</v>
      </c>
      <c r="B5" s="10"/>
      <c r="C5" s="10"/>
      <c r="D5" s="10"/>
      <c r="E5" s="10"/>
      <c r="F5" s="10"/>
      <c r="G5" s="10"/>
      <c r="H5" s="10"/>
      <c r="I5" s="10"/>
      <c r="K5" s="138" t="s">
        <v>19</v>
      </c>
      <c r="L5" s="139"/>
      <c r="M5" s="140"/>
      <c r="N5" s="141"/>
      <c r="P5" s="145"/>
      <c r="Q5" s="69"/>
    </row>
    <row r="6" spans="1:24">
      <c r="A6" s="10" t="s">
        <v>349</v>
      </c>
      <c r="B6" s="10"/>
      <c r="C6" s="10"/>
      <c r="D6" s="10"/>
      <c r="E6" s="10"/>
      <c r="F6" s="10"/>
      <c r="G6" s="10"/>
      <c r="H6" s="10"/>
      <c r="I6" s="10"/>
      <c r="K6" s="44" t="s">
        <v>78</v>
      </c>
      <c r="L6" s="58"/>
      <c r="M6" s="58"/>
      <c r="P6" s="145"/>
      <c r="Q6" s="69"/>
    </row>
    <row r="7" spans="1:24">
      <c r="A7" s="11" t="s">
        <v>12</v>
      </c>
      <c r="B7" s="11"/>
      <c r="C7" s="11" t="s">
        <v>1</v>
      </c>
      <c r="D7" s="11" t="s">
        <v>6</v>
      </c>
      <c r="E7" s="11"/>
      <c r="F7" s="11"/>
      <c r="G7" s="11"/>
      <c r="H7" s="11"/>
      <c r="I7" s="11"/>
      <c r="K7" s="1"/>
      <c r="L7" s="2">
        <v>46325</v>
      </c>
      <c r="M7" s="2">
        <f>WORKDAY(L7,1,$R:$R)</f>
        <v>46328</v>
      </c>
      <c r="N7" s="2">
        <f>WORKDAY(M7,1,$R:$R)</f>
        <v>46329</v>
      </c>
      <c r="R7" s="143">
        <v>45719</v>
      </c>
      <c r="S7" s="60" t="s">
        <v>108</v>
      </c>
    </row>
    <row r="8" spans="1:24">
      <c r="A8" s="10" t="s">
        <v>27</v>
      </c>
      <c r="B8" s="14">
        <v>82418645680.970001</v>
      </c>
      <c r="C8" s="12">
        <v>100</v>
      </c>
      <c r="D8" s="10" t="s">
        <v>28</v>
      </c>
      <c r="E8" s="10"/>
      <c r="F8" s="10"/>
      <c r="G8" s="10"/>
      <c r="H8" s="10"/>
      <c r="I8" s="10"/>
      <c r="K8" t="s">
        <v>165</v>
      </c>
      <c r="L8" s="33">
        <v>2001137785.0699999</v>
      </c>
      <c r="M8" s="33"/>
      <c r="N8" s="5"/>
      <c r="P8" s="115"/>
      <c r="R8" s="143">
        <v>45720</v>
      </c>
    </row>
    <row r="9" spans="1:24">
      <c r="A9" s="10" t="s">
        <v>90</v>
      </c>
      <c r="B9" s="153">
        <v>79614067803.600006</v>
      </c>
      <c r="C9" s="153">
        <v>96.6</v>
      </c>
      <c r="D9" s="14">
        <v>97.44</v>
      </c>
      <c r="E9" s="10"/>
      <c r="F9" s="10"/>
      <c r="G9" s="10"/>
      <c r="H9" s="10"/>
      <c r="I9" s="10"/>
      <c r="K9" t="s">
        <v>3119</v>
      </c>
      <c r="L9" s="33"/>
      <c r="M9" s="33"/>
      <c r="N9" s="5"/>
      <c r="P9" s="22"/>
      <c r="R9" s="143">
        <v>45740</v>
      </c>
    </row>
    <row r="10" spans="1:24">
      <c r="A10" s="10" t="s">
        <v>180</v>
      </c>
      <c r="B10" s="12">
        <v>1097044698</v>
      </c>
      <c r="C10" s="14">
        <v>1.33</v>
      </c>
      <c r="D10" s="14">
        <v>1.34</v>
      </c>
      <c r="E10" s="10"/>
      <c r="F10" s="10"/>
      <c r="G10" s="10"/>
      <c r="H10" s="10"/>
      <c r="I10" s="10"/>
      <c r="K10" t="s">
        <v>98</v>
      </c>
      <c r="L10" s="42">
        <f>SUMIFS(F:F,A:A,$K$10,B:B,L7)</f>
        <v>0</v>
      </c>
      <c r="M10" s="42">
        <f>SUMIFS(G:G,B:B,$K$10,C:C,M7)</f>
        <v>0</v>
      </c>
      <c r="N10" s="42">
        <f>SUMIFS(H:H,C:C,$K$10,D:D,N7)</f>
        <v>0</v>
      </c>
      <c r="O10" s="70"/>
      <c r="P10" s="59"/>
      <c r="R10" s="143">
        <v>45749</v>
      </c>
      <c r="T10" s="70"/>
    </row>
    <row r="11" spans="1:24">
      <c r="A11" s="10" t="s">
        <v>166</v>
      </c>
      <c r="B11" s="12">
        <v>-8017217500</v>
      </c>
      <c r="C11" s="14">
        <v>-9.73</v>
      </c>
      <c r="D11" s="14">
        <v>-9.81</v>
      </c>
      <c r="E11" s="10"/>
      <c r="F11" s="10"/>
      <c r="G11" s="10"/>
      <c r="H11" s="10"/>
      <c r="I11" s="10"/>
      <c r="K11" s="7" t="s">
        <v>84</v>
      </c>
      <c r="L11" s="29">
        <f>SUMIF($B$101:$B$2996,L7,$D$101:$D$2996)</f>
        <v>1719725232.3799999</v>
      </c>
      <c r="M11" s="29">
        <f t="shared" ref="M11:N11" si="0">SUMIF($B$101:$B$2996,M7,$D$101:$D$2996)</f>
        <v>1576102693.0400002</v>
      </c>
      <c r="N11" s="29">
        <f t="shared" si="0"/>
        <v>2341641195.9699993</v>
      </c>
      <c r="O11" s="29"/>
      <c r="P11" s="146">
        <f>SUMIF($B$99:$B$1878,P7,$D$99:$D$1878)</f>
        <v>0</v>
      </c>
      <c r="Q11" s="146">
        <f>SUMIF($B$99:$B$1878,Q7,$D$99:$D$1878)</f>
        <v>0</v>
      </c>
      <c r="R11" s="146">
        <f>SUMIF($B$99:$B$1878,R7,$D$99:$D$1878)</f>
        <v>0</v>
      </c>
      <c r="S11" s="146">
        <f>SUMIF($B$99:$B$1878,S7,$D$99:$D$1878)</f>
        <v>0</v>
      </c>
      <c r="T11" s="146">
        <f>SUMIF($B$99:$B$1878,T7,$D$99:$D$1878)</f>
        <v>0</v>
      </c>
    </row>
    <row r="12" spans="1:24">
      <c r="A12" s="10" t="s">
        <v>14</v>
      </c>
      <c r="B12" s="14">
        <v>22697506.789999999</v>
      </c>
      <c r="C12" s="14">
        <v>0.03</v>
      </c>
      <c r="D12" s="14">
        <v>0.03</v>
      </c>
      <c r="E12" s="10"/>
      <c r="F12" s="10"/>
      <c r="G12" s="10"/>
      <c r="H12" s="10"/>
      <c r="I12" s="10"/>
      <c r="K12" s="7" t="s">
        <v>1637</v>
      </c>
      <c r="L12" s="42">
        <f>+SUMIF($B$3000:$B$3040,L7,$F$3000:$F$3040)</f>
        <v>0</v>
      </c>
      <c r="M12" s="42">
        <f t="shared" ref="M12:N12" si="1">+SUMIF($B$3000:$B$3040,M7,$F$3000:$F$3040)</f>
        <v>0</v>
      </c>
      <c r="N12" s="42">
        <f t="shared" si="1"/>
        <v>0</v>
      </c>
      <c r="O12" s="152"/>
      <c r="P12" s="62"/>
      <c r="R12" s="143">
        <v>45778</v>
      </c>
      <c r="W12" s="73"/>
    </row>
    <row r="13" spans="1:24">
      <c r="A13" s="10" t="s">
        <v>26</v>
      </c>
      <c r="B13" s="14">
        <v>22697814.710000001</v>
      </c>
      <c r="C13" s="14">
        <v>0.03</v>
      </c>
      <c r="D13" s="14">
        <v>0.03</v>
      </c>
      <c r="E13" s="10"/>
      <c r="F13" s="10"/>
      <c r="G13" s="10"/>
      <c r="H13" s="10"/>
      <c r="I13" s="10"/>
      <c r="J13" s="86">
        <v>0.19139999999999999</v>
      </c>
      <c r="K13" s="10" t="s">
        <v>181</v>
      </c>
      <c r="L13" s="30">
        <f>SUMIF(A:A,K13,E:E)*(1+(J13/365)*1)</f>
        <v>2124113266.3013697</v>
      </c>
      <c r="M13" s="30"/>
      <c r="N13" s="24"/>
      <c r="O13" s="59"/>
      <c r="P13" s="59"/>
      <c r="R13" s="143">
        <v>45779</v>
      </c>
      <c r="T13" s="147"/>
    </row>
    <row r="14" spans="1:24">
      <c r="A14" s="10" t="s">
        <v>523</v>
      </c>
      <c r="B14" s="14">
        <v>-307.92</v>
      </c>
      <c r="C14" s="12">
        <v>0</v>
      </c>
      <c r="D14" s="12">
        <v>0</v>
      </c>
      <c r="E14" s="10"/>
      <c r="F14" s="10"/>
      <c r="G14" s="10"/>
      <c r="H14" s="10"/>
      <c r="I14" s="10"/>
      <c r="K14" t="s">
        <v>19</v>
      </c>
      <c r="L14" s="40">
        <f>+B13</f>
        <v>22697814.710000001</v>
      </c>
      <c r="M14" s="40"/>
      <c r="N14" s="40"/>
      <c r="O14" s="59"/>
      <c r="P14" s="59"/>
      <c r="Q14" s="70"/>
      <c r="R14" s="143">
        <v>45802</v>
      </c>
      <c r="T14" s="147"/>
      <c r="U14" s="73"/>
      <c r="X14" s="76"/>
    </row>
    <row r="15" spans="1:24">
      <c r="A15" s="10" t="s">
        <v>117</v>
      </c>
      <c r="B15" s="14">
        <v>2781880370.5799999</v>
      </c>
      <c r="C15" s="14">
        <v>3.38</v>
      </c>
      <c r="D15" s="153">
        <v>3.4</v>
      </c>
      <c r="E15" s="10"/>
      <c r="F15" s="10"/>
      <c r="G15" s="10"/>
      <c r="H15" s="10"/>
      <c r="I15" s="10"/>
      <c r="K15" t="s">
        <v>106</v>
      </c>
      <c r="L15" s="5">
        <v>19578500</v>
      </c>
      <c r="M15" s="5"/>
      <c r="N15" s="15"/>
      <c r="O15" s="71"/>
      <c r="R15" s="143">
        <v>45824</v>
      </c>
      <c r="U15" s="76"/>
    </row>
    <row r="16" spans="1:24">
      <c r="A16" s="10" t="s">
        <v>18</v>
      </c>
      <c r="B16" s="14">
        <v>-710259011.12</v>
      </c>
      <c r="C16" s="10" t="s">
        <v>28</v>
      </c>
      <c r="D16" s="10" t="s">
        <v>28</v>
      </c>
      <c r="E16" s="10"/>
      <c r="F16" s="10"/>
      <c r="G16" s="10"/>
      <c r="H16" s="10"/>
      <c r="I16" s="10"/>
      <c r="K16" t="s">
        <v>86</v>
      </c>
      <c r="L16" s="132"/>
      <c r="M16" s="24"/>
      <c r="N16" s="24"/>
      <c r="P16" s="70"/>
      <c r="R16" s="143">
        <v>45828</v>
      </c>
    </row>
    <row r="17" spans="1:23">
      <c r="A17" s="10" t="s">
        <v>11</v>
      </c>
      <c r="B17" s="14">
        <v>-178813127.02000001</v>
      </c>
      <c r="C17" s="10" t="s">
        <v>28</v>
      </c>
      <c r="D17" s="10" t="s">
        <v>28</v>
      </c>
      <c r="E17" s="10"/>
      <c r="F17" s="10"/>
      <c r="G17" s="10"/>
      <c r="H17" s="10"/>
      <c r="I17" s="10"/>
      <c r="K17" s="7" t="s">
        <v>330</v>
      </c>
      <c r="L17" s="42"/>
      <c r="M17" s="24"/>
      <c r="N17" s="24"/>
      <c r="P17" s="22"/>
      <c r="R17" s="143">
        <v>45847</v>
      </c>
      <c r="T17" s="73"/>
    </row>
    <row r="18" spans="1:23">
      <c r="A18" s="10" t="s">
        <v>10</v>
      </c>
      <c r="B18" s="14">
        <v>-10375742.84</v>
      </c>
      <c r="C18" s="10" t="s">
        <v>28</v>
      </c>
      <c r="D18" s="10" t="s">
        <v>28</v>
      </c>
      <c r="E18" s="10"/>
      <c r="F18" s="10"/>
      <c r="G18" s="10"/>
      <c r="H18" s="10"/>
      <c r="I18" s="10"/>
      <c r="K18" s="3" t="s">
        <v>33</v>
      </c>
      <c r="L18" s="31">
        <f>SUM(L8:L17)</f>
        <v>5887252598.4613695</v>
      </c>
      <c r="M18" s="24"/>
      <c r="N18" s="24"/>
      <c r="O18" s="70"/>
      <c r="R18" s="143">
        <v>45884</v>
      </c>
    </row>
    <row r="19" spans="1:23">
      <c r="A19" s="10" t="s">
        <v>15</v>
      </c>
      <c r="B19" s="14">
        <v>-153124894.74000001</v>
      </c>
      <c r="C19" s="10" t="s">
        <v>28</v>
      </c>
      <c r="D19" s="10" t="s">
        <v>28</v>
      </c>
      <c r="E19" s="10"/>
      <c r="F19" s="10"/>
      <c r="G19" s="10"/>
      <c r="H19" s="10"/>
      <c r="I19" s="10"/>
      <c r="K19" s="7" t="s">
        <v>85</v>
      </c>
      <c r="L19" s="24"/>
      <c r="M19" s="24"/>
      <c r="N19" s="24"/>
      <c r="O19" s="73"/>
      <c r="R19" s="143">
        <v>45886</v>
      </c>
      <c r="U19" s="76"/>
      <c r="V19" s="76"/>
      <c r="W19" s="76"/>
    </row>
    <row r="20" spans="1:23">
      <c r="A20" s="10" t="s">
        <v>107</v>
      </c>
      <c r="B20" s="14">
        <v>-15312489.439999999</v>
      </c>
      <c r="C20" s="10" t="s">
        <v>28</v>
      </c>
      <c r="D20" s="10" t="s">
        <v>28</v>
      </c>
      <c r="E20" s="10"/>
      <c r="F20" s="10"/>
      <c r="G20" s="10"/>
      <c r="H20" s="10"/>
      <c r="I20" s="10"/>
      <c r="K20" t="s">
        <v>266</v>
      </c>
      <c r="L20" s="24"/>
      <c r="M20" s="24"/>
      <c r="N20" s="24"/>
      <c r="R20" s="143">
        <v>45942</v>
      </c>
    </row>
    <row r="21" spans="1:23">
      <c r="A21" s="10" t="s">
        <v>116</v>
      </c>
      <c r="B21" s="14">
        <v>-526227092.08999997</v>
      </c>
      <c r="C21" s="10" t="s">
        <v>28</v>
      </c>
      <c r="D21" s="10" t="s">
        <v>28</v>
      </c>
      <c r="E21" s="10"/>
      <c r="F21" s="10"/>
      <c r="G21" s="10"/>
      <c r="H21" s="10"/>
      <c r="I21" s="10"/>
      <c r="K21" t="s">
        <v>269</v>
      </c>
      <c r="L21" s="24"/>
      <c r="M21" s="24"/>
      <c r="N21" s="24"/>
      <c r="R21" s="143">
        <v>45982</v>
      </c>
    </row>
    <row r="22" spans="1:23">
      <c r="A22" s="10" t="s">
        <v>2224</v>
      </c>
      <c r="B22" s="12">
        <v>-84000000</v>
      </c>
      <c r="C22" s="10" t="s">
        <v>28</v>
      </c>
      <c r="D22" s="10" t="s">
        <v>28</v>
      </c>
      <c r="E22" s="10"/>
      <c r="F22" s="10"/>
      <c r="G22" s="10"/>
      <c r="H22" s="10"/>
      <c r="I22" s="10"/>
      <c r="J22" s="57" t="s">
        <v>80</v>
      </c>
      <c r="K22" t="s">
        <v>195</v>
      </c>
      <c r="L22" s="24"/>
      <c r="M22" s="24"/>
      <c r="N22" s="24"/>
      <c r="R22" s="143">
        <v>45985</v>
      </c>
      <c r="U22" s="76"/>
      <c r="V22" s="76"/>
    </row>
    <row r="23" spans="1:23">
      <c r="A23" s="10" t="s">
        <v>128</v>
      </c>
      <c r="B23" s="14">
        <v>-440189367.58999997</v>
      </c>
      <c r="C23" s="10" t="s">
        <v>28</v>
      </c>
      <c r="D23" s="10" t="s">
        <v>28</v>
      </c>
      <c r="E23" s="10"/>
      <c r="F23" s="10"/>
      <c r="G23" s="10"/>
      <c r="H23" s="10"/>
      <c r="I23" s="10"/>
      <c r="K23" t="s">
        <v>196</v>
      </c>
      <c r="L23" s="127">
        <f>SUMIF(A:A,K23,B:B)</f>
        <v>-84000000</v>
      </c>
      <c r="M23" s="24"/>
      <c r="N23" s="24"/>
      <c r="Q23" s="113"/>
      <c r="R23" s="143">
        <v>45999</v>
      </c>
    </row>
    <row r="24" spans="1:23">
      <c r="A24" s="10" t="s">
        <v>29</v>
      </c>
      <c r="B24" s="14">
        <v>81708386669.850006</v>
      </c>
      <c r="C24" s="10" t="s">
        <v>28</v>
      </c>
      <c r="D24" s="10" t="s">
        <v>28</v>
      </c>
      <c r="E24" s="10"/>
      <c r="F24" s="10"/>
      <c r="G24" s="10"/>
      <c r="H24" s="10"/>
      <c r="I24" s="10"/>
      <c r="K24" s="7" t="s">
        <v>368</v>
      </c>
      <c r="L24" s="137"/>
      <c r="M24" s="83"/>
      <c r="N24" s="5"/>
      <c r="R24" s="143">
        <v>46016</v>
      </c>
    </row>
    <row r="25" spans="1:23">
      <c r="A25" s="10" t="s">
        <v>3</v>
      </c>
      <c r="B25" s="14">
        <v>2273131993.27</v>
      </c>
      <c r="C25" s="10" t="s">
        <v>28</v>
      </c>
      <c r="D25" s="14">
        <v>2.78</v>
      </c>
      <c r="E25" s="10"/>
      <c r="F25" s="10"/>
      <c r="G25" s="10"/>
      <c r="H25" s="10"/>
      <c r="I25" s="10"/>
      <c r="K25" s="7" t="s">
        <v>299</v>
      </c>
      <c r="L25" s="83"/>
      <c r="M25" s="83"/>
      <c r="N25" s="5"/>
      <c r="R25" s="143"/>
    </row>
    <row r="26" spans="1:23">
      <c r="A26" s="10" t="s">
        <v>24</v>
      </c>
      <c r="B26" s="14">
        <v>2094318866.25</v>
      </c>
      <c r="C26" s="10" t="s">
        <v>28</v>
      </c>
      <c r="D26" s="14">
        <v>2.56</v>
      </c>
      <c r="E26" s="10"/>
      <c r="F26" s="10"/>
      <c r="G26" s="10"/>
      <c r="H26" s="10"/>
      <c r="I26" s="10"/>
      <c r="K26" s="6" t="s">
        <v>2905</v>
      </c>
      <c r="L26" s="32"/>
      <c r="M26" s="34"/>
      <c r="N26" s="34"/>
      <c r="U26" s="73"/>
      <c r="V26" s="73"/>
    </row>
    <row r="27" spans="1:23">
      <c r="A27" s="10" t="s">
        <v>28</v>
      </c>
      <c r="B27" s="10"/>
      <c r="C27" s="10"/>
      <c r="D27" s="10"/>
      <c r="E27" s="10"/>
      <c r="F27" s="10"/>
      <c r="G27" s="10"/>
      <c r="H27" s="10"/>
      <c r="I27" s="10"/>
      <c r="K27" s="3" t="s">
        <v>39</v>
      </c>
      <c r="L27" s="4">
        <f>SUM(L18:L26)</f>
        <v>5803252598.4613695</v>
      </c>
      <c r="M27" s="4">
        <f>SUM(M8:M26)</f>
        <v>1576102693.0400002</v>
      </c>
      <c r="N27" s="4">
        <f>SUM(N8:N26)</f>
        <v>2341641195.9699993</v>
      </c>
      <c r="U27" s="73"/>
    </row>
    <row r="28" spans="1:23">
      <c r="A28" s="10" t="s">
        <v>28</v>
      </c>
      <c r="B28" s="10"/>
      <c r="C28" s="10"/>
      <c r="D28" s="10"/>
      <c r="E28" s="10"/>
      <c r="F28" s="10"/>
      <c r="G28" s="10"/>
      <c r="H28" s="10"/>
      <c r="I28" s="10"/>
      <c r="L28" s="115"/>
      <c r="M28" s="58"/>
      <c r="U28" s="151"/>
    </row>
    <row r="29" spans="1:23">
      <c r="A29" s="10" t="s">
        <v>28</v>
      </c>
      <c r="B29" s="10"/>
      <c r="C29" s="10"/>
      <c r="D29" s="10"/>
      <c r="E29" s="10"/>
      <c r="F29" s="10"/>
      <c r="G29" s="10"/>
      <c r="H29" s="10"/>
      <c r="I29" s="10"/>
      <c r="L29" s="29"/>
      <c r="U29" s="151"/>
    </row>
    <row r="30" spans="1:23">
      <c r="A30" s="10" t="s">
        <v>28</v>
      </c>
      <c r="B30" s="10"/>
      <c r="C30" s="10"/>
      <c r="D30" s="10"/>
      <c r="E30" s="10"/>
      <c r="F30" s="10"/>
      <c r="G30" s="10"/>
      <c r="H30" s="10"/>
      <c r="I30" s="10"/>
      <c r="L30" s="69"/>
      <c r="M30" s="58"/>
    </row>
    <row r="31" spans="1:23">
      <c r="A31" s="10" t="s">
        <v>28</v>
      </c>
      <c r="B31" s="10"/>
      <c r="C31" s="10"/>
      <c r="D31" s="10"/>
      <c r="E31" s="10"/>
      <c r="F31" s="10"/>
      <c r="G31" s="10"/>
      <c r="H31" s="10"/>
      <c r="I31" s="10"/>
      <c r="K31" s="76"/>
      <c r="L31" s="76"/>
      <c r="O31" s="76"/>
      <c r="P31" s="76"/>
    </row>
    <row r="32" spans="1:23">
      <c r="A32" s="10" t="s">
        <v>28</v>
      </c>
      <c r="B32" s="10"/>
      <c r="C32" s="10"/>
      <c r="D32" s="10"/>
      <c r="E32" s="10"/>
      <c r="F32" s="10"/>
      <c r="G32" s="10"/>
      <c r="H32" s="10"/>
      <c r="I32" s="10"/>
      <c r="K32" s="76"/>
      <c r="L32" s="76"/>
      <c r="Q32" s="113"/>
      <c r="R32" s="113"/>
    </row>
    <row r="33" spans="1:17">
      <c r="A33" s="10" t="s">
        <v>28</v>
      </c>
      <c r="B33" s="10"/>
      <c r="C33" s="10"/>
      <c r="D33" s="10"/>
      <c r="E33" s="10"/>
      <c r="F33" s="10"/>
      <c r="G33" s="10"/>
      <c r="H33" s="10"/>
      <c r="I33" s="10"/>
      <c r="K33" s="76"/>
      <c r="L33" s="76"/>
    </row>
    <row r="34" spans="1:17">
      <c r="A34" s="10" t="s">
        <v>28</v>
      </c>
      <c r="B34" s="10"/>
      <c r="C34" s="10"/>
      <c r="D34" s="10"/>
      <c r="E34" s="10"/>
      <c r="F34" s="10"/>
      <c r="G34" s="10"/>
      <c r="H34" s="10"/>
      <c r="I34" s="10"/>
      <c r="K34" s="76"/>
      <c r="L34" s="76"/>
    </row>
    <row r="35" spans="1:17">
      <c r="A35" s="10" t="s">
        <v>28</v>
      </c>
      <c r="B35" s="10"/>
      <c r="C35" s="10"/>
      <c r="D35" s="10"/>
      <c r="E35" s="10"/>
      <c r="F35" s="10"/>
      <c r="G35" s="10"/>
      <c r="H35" s="10"/>
      <c r="I35" s="10"/>
      <c r="K35" s="76"/>
      <c r="L35" s="76"/>
    </row>
    <row r="36" spans="1:17">
      <c r="A36" s="10" t="s">
        <v>28</v>
      </c>
      <c r="B36" s="10"/>
      <c r="C36" s="10"/>
      <c r="D36" s="10"/>
      <c r="E36" s="10"/>
      <c r="F36" s="10"/>
      <c r="G36" s="10"/>
      <c r="H36" s="10"/>
      <c r="I36" s="10"/>
      <c r="K36" s="76"/>
      <c r="L36" s="76"/>
    </row>
    <row r="37" spans="1:17">
      <c r="A37" s="10" t="s">
        <v>28</v>
      </c>
      <c r="B37" s="10"/>
      <c r="C37" s="10"/>
      <c r="D37" s="10"/>
      <c r="E37" s="10"/>
      <c r="F37" s="10"/>
      <c r="G37" s="10"/>
      <c r="H37" s="10"/>
      <c r="I37" s="10"/>
      <c r="K37" s="76"/>
      <c r="L37" s="76"/>
    </row>
    <row r="38" spans="1:17">
      <c r="A38" s="10" t="s">
        <v>28</v>
      </c>
      <c r="B38" s="10"/>
      <c r="C38" s="10"/>
      <c r="D38" s="10"/>
      <c r="E38" s="10"/>
      <c r="F38" s="10"/>
      <c r="G38" s="10"/>
      <c r="H38" s="10"/>
      <c r="I38" s="10"/>
      <c r="K38" s="76"/>
      <c r="L38" s="76"/>
    </row>
    <row r="39" spans="1:17">
      <c r="A39" s="10" t="s">
        <v>28</v>
      </c>
      <c r="B39" s="10"/>
      <c r="C39" s="10"/>
      <c r="D39" s="10"/>
      <c r="E39" s="10"/>
      <c r="F39" s="10"/>
      <c r="G39" s="10"/>
      <c r="H39" s="10"/>
      <c r="I39" s="10"/>
      <c r="K39" s="76"/>
      <c r="L39" s="76"/>
      <c r="O39" s="72"/>
    </row>
    <row r="40" spans="1:17">
      <c r="A40" s="10" t="s">
        <v>28</v>
      </c>
      <c r="B40" s="10"/>
      <c r="C40" s="10"/>
      <c r="D40" s="10"/>
      <c r="E40" s="10"/>
      <c r="F40" s="10"/>
      <c r="G40" s="10"/>
      <c r="H40" s="10"/>
      <c r="I40" s="10"/>
      <c r="K40" s="76"/>
      <c r="L40" s="76"/>
      <c r="O40" s="72"/>
      <c r="Q40" s="115"/>
    </row>
    <row r="41" spans="1:17">
      <c r="A41" s="10" t="s">
        <v>91</v>
      </c>
      <c r="B41" s="10"/>
      <c r="C41" s="10"/>
      <c r="D41" s="10"/>
      <c r="E41" s="10"/>
      <c r="F41" s="10"/>
      <c r="G41" s="10"/>
      <c r="H41" s="10"/>
      <c r="I41" s="10"/>
      <c r="O41" s="72"/>
    </row>
    <row r="42" spans="1:17">
      <c r="A42" s="10" t="s">
        <v>350</v>
      </c>
      <c r="B42" s="10"/>
      <c r="C42" s="10"/>
      <c r="D42" s="10"/>
      <c r="E42" s="10"/>
      <c r="F42" s="10"/>
      <c r="G42" s="10"/>
      <c r="H42" s="10"/>
      <c r="I42" s="10"/>
      <c r="O42" s="72"/>
    </row>
    <row r="43" spans="1:17">
      <c r="A43" s="11" t="s">
        <v>8</v>
      </c>
      <c r="B43" s="11" t="s">
        <v>92</v>
      </c>
      <c r="C43" s="11" t="s">
        <v>93</v>
      </c>
      <c r="D43" s="11" t="s">
        <v>94</v>
      </c>
      <c r="E43" s="11" t="s">
        <v>2</v>
      </c>
      <c r="F43" s="11" t="s">
        <v>4</v>
      </c>
      <c r="G43" s="11" t="s">
        <v>95</v>
      </c>
      <c r="H43" s="11" t="s">
        <v>96</v>
      </c>
      <c r="I43" s="11" t="s">
        <v>97</v>
      </c>
      <c r="J43" s="84"/>
      <c r="O43" s="72"/>
    </row>
    <row r="44" spans="1:17">
      <c r="A44" s="10" t="s">
        <v>496</v>
      </c>
      <c r="B44" s="10" t="s">
        <v>497</v>
      </c>
      <c r="C44" s="12">
        <v>500000000</v>
      </c>
      <c r="D44" s="154">
        <v>1.2745</v>
      </c>
      <c r="E44" s="12">
        <v>637261975</v>
      </c>
      <c r="F44" s="14">
        <v>0.78</v>
      </c>
      <c r="G44" s="12">
        <v>0</v>
      </c>
      <c r="H44" s="10" t="s">
        <v>28</v>
      </c>
      <c r="I44" s="124" t="s">
        <v>498</v>
      </c>
      <c r="J44" s="84"/>
    </row>
    <row r="45" spans="1:17">
      <c r="A45" s="10" t="s">
        <v>712</v>
      </c>
      <c r="B45" s="10" t="s">
        <v>713</v>
      </c>
      <c r="C45" s="12">
        <v>600000000</v>
      </c>
      <c r="D45" s="154">
        <v>1.1025</v>
      </c>
      <c r="E45" s="12">
        <v>661501302</v>
      </c>
      <c r="F45" s="14">
        <v>0.81</v>
      </c>
      <c r="G45" s="12">
        <v>0</v>
      </c>
      <c r="H45" s="10" t="s">
        <v>28</v>
      </c>
      <c r="I45" s="124" t="s">
        <v>714</v>
      </c>
      <c r="O45" s="72"/>
    </row>
    <row r="46" spans="1:17">
      <c r="A46" s="10"/>
      <c r="B46" s="10" t="s">
        <v>28</v>
      </c>
      <c r="C46" s="12">
        <v>1100000000</v>
      </c>
      <c r="D46" s="10" t="s">
        <v>28</v>
      </c>
      <c r="E46" s="12">
        <v>1298763277</v>
      </c>
      <c r="F46" s="14">
        <v>1.59</v>
      </c>
      <c r="G46" s="10" t="s">
        <v>28</v>
      </c>
      <c r="H46" s="10" t="s">
        <v>28</v>
      </c>
      <c r="I46" s="10" t="s">
        <v>28</v>
      </c>
      <c r="O46" s="72"/>
    </row>
    <row r="47" spans="1:17">
      <c r="A47" s="10" t="s">
        <v>28</v>
      </c>
      <c r="B47" s="10"/>
      <c r="C47" s="10"/>
      <c r="D47" s="10"/>
      <c r="E47" s="10"/>
      <c r="F47" s="10"/>
      <c r="G47" s="10"/>
      <c r="H47" s="10"/>
      <c r="I47" s="10"/>
      <c r="J47" s="84"/>
      <c r="O47" s="72"/>
    </row>
    <row r="48" spans="1:17">
      <c r="A48" s="10" t="s">
        <v>351</v>
      </c>
      <c r="B48" s="10"/>
      <c r="C48" s="10"/>
      <c r="D48" s="10"/>
      <c r="E48" s="10"/>
      <c r="F48" s="10"/>
      <c r="G48" s="10"/>
      <c r="H48" s="10"/>
      <c r="I48" s="10"/>
    </row>
    <row r="49" spans="1:24">
      <c r="A49" s="11" t="s">
        <v>8</v>
      </c>
      <c r="B49" s="11" t="s">
        <v>92</v>
      </c>
      <c r="C49" s="11" t="s">
        <v>93</v>
      </c>
      <c r="D49" s="11" t="s">
        <v>94</v>
      </c>
      <c r="E49" s="11" t="s">
        <v>2</v>
      </c>
      <c r="F49" s="11" t="s">
        <v>4</v>
      </c>
      <c r="G49" s="11" t="s">
        <v>95</v>
      </c>
      <c r="H49" s="11" t="s">
        <v>96</v>
      </c>
      <c r="I49" s="11" t="s">
        <v>97</v>
      </c>
      <c r="O49" s="72"/>
    </row>
    <row r="50" spans="1:24">
      <c r="A50" s="10" t="s">
        <v>843</v>
      </c>
      <c r="B50" s="10" t="s">
        <v>844</v>
      </c>
      <c r="C50" s="12">
        <v>300000000</v>
      </c>
      <c r="D50" s="154">
        <v>1.1273</v>
      </c>
      <c r="E50" s="12">
        <v>338192253</v>
      </c>
      <c r="F50" s="14">
        <v>0.41</v>
      </c>
      <c r="G50" s="12">
        <v>0</v>
      </c>
      <c r="H50" s="10" t="s">
        <v>28</v>
      </c>
      <c r="I50" s="124" t="s">
        <v>845</v>
      </c>
      <c r="O50" s="72"/>
    </row>
    <row r="51" spans="1:24">
      <c r="A51" s="10" t="s">
        <v>600</v>
      </c>
      <c r="B51" s="10" t="s">
        <v>601</v>
      </c>
      <c r="C51" s="12">
        <v>250000000</v>
      </c>
      <c r="D51" s="155">
        <v>1.016</v>
      </c>
      <c r="E51" s="12">
        <v>253988325</v>
      </c>
      <c r="F51" s="14">
        <v>0.31</v>
      </c>
      <c r="G51" s="12">
        <v>1</v>
      </c>
      <c r="H51" s="153">
        <v>1.6</v>
      </c>
      <c r="I51" s="124" t="s">
        <v>602</v>
      </c>
      <c r="O51" s="72"/>
    </row>
    <row r="52" spans="1:24">
      <c r="A52" s="10"/>
      <c r="B52" s="10" t="s">
        <v>28</v>
      </c>
      <c r="C52" s="12">
        <v>550000000</v>
      </c>
      <c r="D52" s="10" t="s">
        <v>28</v>
      </c>
      <c r="E52" s="12">
        <v>592180578</v>
      </c>
      <c r="F52" s="14">
        <v>0.72</v>
      </c>
      <c r="G52" s="10" t="s">
        <v>28</v>
      </c>
      <c r="H52" s="10" t="s">
        <v>28</v>
      </c>
      <c r="I52" s="10" t="s">
        <v>28</v>
      </c>
      <c r="L52" s="143"/>
    </row>
    <row r="53" spans="1:24">
      <c r="A53" s="10" t="s">
        <v>28</v>
      </c>
      <c r="B53" s="10"/>
      <c r="C53" s="10"/>
      <c r="D53" s="10"/>
      <c r="E53" s="10"/>
      <c r="F53" s="10"/>
      <c r="G53" s="10"/>
      <c r="H53" s="10"/>
      <c r="I53" s="10"/>
    </row>
    <row r="54" spans="1:24">
      <c r="A54" s="10" t="s">
        <v>352</v>
      </c>
      <c r="B54" s="10"/>
      <c r="C54" s="10"/>
      <c r="D54" s="10"/>
      <c r="E54" s="10"/>
      <c r="F54" s="10"/>
      <c r="G54" s="10"/>
      <c r="H54" s="10"/>
      <c r="I54" s="10"/>
    </row>
    <row r="55" spans="1:24">
      <c r="A55" s="11" t="s">
        <v>8</v>
      </c>
      <c r="B55" s="11" t="s">
        <v>92</v>
      </c>
      <c r="C55" s="11" t="s">
        <v>93</v>
      </c>
      <c r="D55" s="11" t="s">
        <v>94</v>
      </c>
      <c r="E55" s="11" t="s">
        <v>2</v>
      </c>
      <c r="F55" s="11" t="s">
        <v>4</v>
      </c>
      <c r="G55" s="11" t="s">
        <v>95</v>
      </c>
      <c r="H55" s="11" t="s">
        <v>96</v>
      </c>
      <c r="I55" s="11" t="s">
        <v>97</v>
      </c>
    </row>
    <row r="56" spans="1:24">
      <c r="A56" s="10" t="s">
        <v>607</v>
      </c>
      <c r="B56" s="10" t="s">
        <v>598</v>
      </c>
      <c r="C56" s="12">
        <v>250000000</v>
      </c>
      <c r="D56" s="154">
        <v>0.63319999999999999</v>
      </c>
      <c r="E56" s="12">
        <v>158308610</v>
      </c>
      <c r="F56" s="14">
        <v>0.19</v>
      </c>
      <c r="G56" s="154">
        <v>0.97840000000000005</v>
      </c>
      <c r="H56" s="14">
        <v>-35.28</v>
      </c>
      <c r="I56" s="124" t="s">
        <v>599</v>
      </c>
      <c r="K56" s="175" t="s">
        <v>82</v>
      </c>
      <c r="L56" s="176">
        <v>66921611876.059998</v>
      </c>
      <c r="M56" s="85"/>
      <c r="N56" s="76"/>
    </row>
    <row r="57" spans="1:24">
      <c r="A57" s="10" t="s">
        <v>151</v>
      </c>
      <c r="B57" s="10" t="s">
        <v>152</v>
      </c>
      <c r="C57" s="12">
        <v>100000000</v>
      </c>
      <c r="D57" s="154">
        <v>6.9900000000000004E-2</v>
      </c>
      <c r="E57" s="12">
        <v>6985208</v>
      </c>
      <c r="F57" s="14">
        <v>0.01</v>
      </c>
      <c r="G57" s="154">
        <v>0.98460000000000003</v>
      </c>
      <c r="H57" s="14">
        <v>-92.91</v>
      </c>
      <c r="I57" s="124" t="s">
        <v>153</v>
      </c>
      <c r="K57" s="174" t="s">
        <v>83</v>
      </c>
      <c r="L57" s="173">
        <f>L56/B24</f>
        <v>0.81902990137919029</v>
      </c>
      <c r="M57" s="58"/>
      <c r="N57" s="83"/>
    </row>
    <row r="58" spans="1:24">
      <c r="A58" s="10" t="s">
        <v>2086</v>
      </c>
      <c r="B58" s="10" t="s">
        <v>1897</v>
      </c>
      <c r="C58" s="12">
        <v>300000000</v>
      </c>
      <c r="D58" s="154">
        <v>0.91949999999999998</v>
      </c>
      <c r="E58" s="12">
        <v>275854038</v>
      </c>
      <c r="F58" s="14">
        <v>0.34</v>
      </c>
      <c r="G58" s="154">
        <v>0.99609999999999999</v>
      </c>
      <c r="H58" s="14">
        <v>-7.69</v>
      </c>
      <c r="I58" s="124" t="s">
        <v>1898</v>
      </c>
      <c r="K58" s="114"/>
      <c r="L58" s="70"/>
      <c r="M58" s="58"/>
      <c r="N58" s="151"/>
    </row>
    <row r="59" spans="1:24">
      <c r="A59" s="10" t="s">
        <v>253</v>
      </c>
      <c r="B59" s="10" t="s">
        <v>254</v>
      </c>
      <c r="C59" s="12">
        <v>101962042</v>
      </c>
      <c r="D59" s="154">
        <v>1.4678</v>
      </c>
      <c r="E59" s="14">
        <v>149659885.25</v>
      </c>
      <c r="F59" s="14">
        <v>0.18</v>
      </c>
      <c r="G59" s="155">
        <v>0.92400000000000004</v>
      </c>
      <c r="H59" s="14">
        <v>58.85</v>
      </c>
      <c r="I59" s="124" t="s">
        <v>255</v>
      </c>
      <c r="K59" s="175" t="s">
        <v>2492</v>
      </c>
      <c r="L59" s="181"/>
      <c r="N59" s="151"/>
    </row>
    <row r="60" spans="1:24">
      <c r="A60" s="10" t="s">
        <v>256</v>
      </c>
      <c r="B60" s="10" t="s">
        <v>257</v>
      </c>
      <c r="C60" s="12">
        <v>382357659</v>
      </c>
      <c r="D60" s="154">
        <v>1.2979000000000001</v>
      </c>
      <c r="E60" s="14">
        <v>496257046.44</v>
      </c>
      <c r="F60" s="14">
        <v>0.61</v>
      </c>
      <c r="G60" s="14">
        <v>0.85</v>
      </c>
      <c r="H60" s="14">
        <v>52.69</v>
      </c>
      <c r="I60" s="124" t="s">
        <v>258</v>
      </c>
      <c r="K60" s="174" t="s">
        <v>2493</v>
      </c>
      <c r="L60" s="182">
        <f>+W68</f>
        <v>397801192.06</v>
      </c>
      <c r="N60" s="76"/>
      <c r="R60" s="59"/>
    </row>
    <row r="61" spans="1:24">
      <c r="A61" s="10" t="s">
        <v>335</v>
      </c>
      <c r="B61" s="10" t="s">
        <v>336</v>
      </c>
      <c r="C61" s="12">
        <v>75584213</v>
      </c>
      <c r="D61" s="154">
        <v>1.1736</v>
      </c>
      <c r="E61" s="14">
        <v>88707666.349999994</v>
      </c>
      <c r="F61" s="14">
        <v>0.11</v>
      </c>
      <c r="G61" s="154">
        <v>0.87180000000000002</v>
      </c>
      <c r="H61" s="14">
        <v>34.619999999999997</v>
      </c>
      <c r="I61" s="124" t="s">
        <v>337</v>
      </c>
      <c r="K61" s="175" t="s">
        <v>2491</v>
      </c>
      <c r="L61" s="181">
        <f>+L60+L59+L19</f>
        <v>397801192.06</v>
      </c>
    </row>
    <row r="62" spans="1:24">
      <c r="A62" s="10" t="s">
        <v>338</v>
      </c>
      <c r="B62" s="10" t="s">
        <v>339</v>
      </c>
      <c r="C62" s="12">
        <v>176363163</v>
      </c>
      <c r="D62" s="154">
        <v>1.1055999999999999</v>
      </c>
      <c r="E62" s="14">
        <v>194990599.71000001</v>
      </c>
      <c r="F62" s="14">
        <v>0.24</v>
      </c>
      <c r="G62" s="154">
        <v>0.84460000000000002</v>
      </c>
      <c r="H62" s="153">
        <v>30.9</v>
      </c>
      <c r="I62" s="124" t="s">
        <v>340</v>
      </c>
    </row>
    <row r="63" spans="1:24">
      <c r="A63" s="10" t="s">
        <v>566</v>
      </c>
      <c r="B63" s="10" t="s">
        <v>567</v>
      </c>
      <c r="C63" s="12">
        <v>63635566</v>
      </c>
      <c r="D63" s="154">
        <v>1.0105</v>
      </c>
      <c r="E63" s="14">
        <v>64305453.149999999</v>
      </c>
      <c r="F63" s="14">
        <v>0.08</v>
      </c>
      <c r="G63" s="154">
        <v>0.90539999999999998</v>
      </c>
      <c r="H63" s="14">
        <v>11.61</v>
      </c>
      <c r="I63" s="124" t="s">
        <v>568</v>
      </c>
    </row>
    <row r="64" spans="1:24" s="59" customFormat="1">
      <c r="A64" s="10" t="s">
        <v>569</v>
      </c>
      <c r="B64" s="10" t="s">
        <v>570</v>
      </c>
      <c r="C64" s="12">
        <v>148482986</v>
      </c>
      <c r="D64" s="154">
        <v>0.9274</v>
      </c>
      <c r="E64" s="14">
        <v>137709064.99000001</v>
      </c>
      <c r="F64" s="14">
        <v>0.17</v>
      </c>
      <c r="G64" s="154">
        <v>0.7853</v>
      </c>
      <c r="H64" s="153">
        <v>18.100000000000001</v>
      </c>
      <c r="I64" s="124" t="s">
        <v>571</v>
      </c>
      <c r="J64" s="58"/>
      <c r="O64" s="58"/>
      <c r="P64" s="58"/>
      <c r="Q64" s="58"/>
      <c r="R64" s="58"/>
      <c r="U64" s="58"/>
      <c r="V64" s="58"/>
      <c r="W64" s="58"/>
      <c r="X64" s="58"/>
    </row>
    <row r="65" spans="1:24">
      <c r="A65" s="10"/>
      <c r="B65" s="10" t="s">
        <v>28</v>
      </c>
      <c r="C65" s="12">
        <v>1598385629</v>
      </c>
      <c r="D65" s="10" t="s">
        <v>28</v>
      </c>
      <c r="E65" s="14">
        <v>1572777571.8800001</v>
      </c>
      <c r="F65" s="14">
        <v>1.92</v>
      </c>
      <c r="G65" s="10" t="s">
        <v>28</v>
      </c>
      <c r="H65" s="10" t="s">
        <v>28</v>
      </c>
      <c r="I65" s="10" t="s">
        <v>28</v>
      </c>
      <c r="K65" s="159" t="s">
        <v>402</v>
      </c>
      <c r="L65" s="160">
        <f>VLOOKUP("Valor Patrimonial del Fondo",A:B,2,0)+L22</f>
        <v>81708386669.850006</v>
      </c>
      <c r="M65" s="142"/>
      <c r="N65" s="77"/>
      <c r="U65" s="58" t="s">
        <v>2760</v>
      </c>
    </row>
    <row r="66" spans="1:24">
      <c r="A66" s="10" t="s">
        <v>28</v>
      </c>
      <c r="B66" s="10"/>
      <c r="C66" s="10"/>
      <c r="D66" s="10"/>
      <c r="E66" s="10"/>
      <c r="F66" s="10"/>
      <c r="G66" s="10"/>
      <c r="H66" s="10"/>
      <c r="I66" s="10"/>
      <c r="K66" s="162" t="s">
        <v>2488</v>
      </c>
      <c r="L66" s="163" t="s">
        <v>118</v>
      </c>
      <c r="M66" s="164" t="s">
        <v>104</v>
      </c>
      <c r="N66" s="162" t="s">
        <v>2489</v>
      </c>
      <c r="U66" s="60" t="s">
        <v>158</v>
      </c>
      <c r="V66" s="60" t="s">
        <v>2494</v>
      </c>
      <c r="W66" s="60" t="s">
        <v>2495</v>
      </c>
    </row>
    <row r="67" spans="1:24">
      <c r="A67" s="10" t="s">
        <v>353</v>
      </c>
      <c r="B67" s="10"/>
      <c r="C67" s="10"/>
      <c r="D67" s="10"/>
      <c r="E67" s="10"/>
      <c r="F67" s="10"/>
      <c r="G67" s="10"/>
      <c r="H67" s="10"/>
      <c r="I67" s="10"/>
      <c r="K67" s="161" t="s">
        <v>403</v>
      </c>
      <c r="L67" s="165">
        <f>+$L$65*M67</f>
        <v>4085419333.4925003</v>
      </c>
      <c r="M67" s="166">
        <v>0.05</v>
      </c>
      <c r="N67" s="167">
        <f>+L67-L27</f>
        <v>-1717833264.9688692</v>
      </c>
      <c r="O67" s="70">
        <f>+L67-L13</f>
        <v>1961306067.1911306</v>
      </c>
      <c r="U67" s="143">
        <v>46303</v>
      </c>
      <c r="V67" s="143">
        <v>46303</v>
      </c>
      <c r="W67" s="75">
        <v>485188717.37</v>
      </c>
    </row>
    <row r="68" spans="1:24" s="59" customFormat="1">
      <c r="A68" s="11" t="s">
        <v>8</v>
      </c>
      <c r="B68" s="11" t="s">
        <v>92</v>
      </c>
      <c r="C68" s="11" t="s">
        <v>93</v>
      </c>
      <c r="D68" s="11" t="s">
        <v>94</v>
      </c>
      <c r="E68" s="11" t="s">
        <v>2</v>
      </c>
      <c r="F68" s="11" t="s">
        <v>4</v>
      </c>
      <c r="G68" s="11" t="s">
        <v>95</v>
      </c>
      <c r="H68" s="11" t="s">
        <v>96</v>
      </c>
      <c r="I68" s="11" t="s">
        <v>97</v>
      </c>
      <c r="J68" s="58"/>
      <c r="K68" s="128" t="s">
        <v>404</v>
      </c>
      <c r="L68" s="165">
        <f>+$L$65*M68</f>
        <v>16341677333.970001</v>
      </c>
      <c r="M68" s="166">
        <v>0.2</v>
      </c>
      <c r="N68" s="167">
        <f>+L68-(L8+L9)</f>
        <v>14340539548.900002</v>
      </c>
      <c r="O68" s="58"/>
      <c r="P68" s="58"/>
      <c r="Q68" s="58"/>
      <c r="R68" s="58"/>
      <c r="U68" s="143">
        <v>46304</v>
      </c>
      <c r="V68" s="143">
        <v>46304</v>
      </c>
      <c r="W68" s="75">
        <v>397801192.06</v>
      </c>
      <c r="X68" s="58"/>
    </row>
    <row r="69" spans="1:24">
      <c r="A69" s="10" t="s">
        <v>2560</v>
      </c>
      <c r="B69" s="10" t="s">
        <v>28</v>
      </c>
      <c r="C69" s="12">
        <v>-120000</v>
      </c>
      <c r="D69" s="12">
        <v>1624</v>
      </c>
      <c r="E69" s="12">
        <v>-194880000</v>
      </c>
      <c r="F69" s="14">
        <v>-0.24</v>
      </c>
      <c r="G69" s="12">
        <v>0</v>
      </c>
      <c r="H69" s="10" t="s">
        <v>28</v>
      </c>
      <c r="I69" s="124" t="s">
        <v>1813</v>
      </c>
      <c r="J69" s="60"/>
      <c r="K69" s="128" t="s">
        <v>2080</v>
      </c>
      <c r="L69" s="165">
        <f>+$L$65*M69</f>
        <v>16341677333.970001</v>
      </c>
      <c r="M69" s="166">
        <v>0.2</v>
      </c>
      <c r="N69" s="169">
        <f>L69-M72</f>
        <v>12873837281.490002</v>
      </c>
    </row>
    <row r="70" spans="1:24">
      <c r="A70" s="10" t="s">
        <v>2761</v>
      </c>
      <c r="B70" s="10" t="s">
        <v>28</v>
      </c>
      <c r="C70" s="12">
        <v>-1800000</v>
      </c>
      <c r="D70" s="12">
        <v>1715</v>
      </c>
      <c r="E70" s="12">
        <v>-3087000000</v>
      </c>
      <c r="F70" s="14">
        <v>-3.78</v>
      </c>
      <c r="G70" s="12">
        <v>0</v>
      </c>
      <c r="H70" s="10" t="s">
        <v>28</v>
      </c>
      <c r="I70" s="124" t="s">
        <v>841</v>
      </c>
      <c r="K70" s="128" t="s">
        <v>2081</v>
      </c>
      <c r="L70" s="165">
        <f>+$L$65*M70</f>
        <v>61281290002.387505</v>
      </c>
      <c r="M70" s="168">
        <v>0.75</v>
      </c>
      <c r="N70" s="167">
        <f>+L56-L70</f>
        <v>5640321873.672493</v>
      </c>
    </row>
    <row r="71" spans="1:24" ht="15.75" thickBot="1">
      <c r="A71" s="10" t="s">
        <v>624</v>
      </c>
      <c r="B71" s="10" t="s">
        <v>28</v>
      </c>
      <c r="C71" s="12">
        <v>-1357000</v>
      </c>
      <c r="D71" s="12">
        <v>1538</v>
      </c>
      <c r="E71" s="12">
        <v>-2087066000</v>
      </c>
      <c r="F71" s="14">
        <v>-2.5499999999999998</v>
      </c>
      <c r="G71" s="12">
        <v>0</v>
      </c>
      <c r="H71" s="10" t="s">
        <v>28</v>
      </c>
      <c r="I71" s="124" t="s">
        <v>625</v>
      </c>
      <c r="J71" s="60"/>
      <c r="N71" s="72"/>
    </row>
    <row r="72" spans="1:24" ht="15.75" thickBot="1">
      <c r="A72" s="10" t="s">
        <v>783</v>
      </c>
      <c r="B72" s="10" t="s">
        <v>28</v>
      </c>
      <c r="C72" s="12">
        <v>-750000</v>
      </c>
      <c r="D72" s="153">
        <v>1567.5</v>
      </c>
      <c r="E72" s="12">
        <v>-1175625000</v>
      </c>
      <c r="F72" s="14">
        <v>-1.44</v>
      </c>
      <c r="G72" s="12">
        <v>0</v>
      </c>
      <c r="H72" s="10" t="s">
        <v>28</v>
      </c>
      <c r="I72" s="124" t="s">
        <v>498</v>
      </c>
      <c r="K72" s="170" t="s">
        <v>2490</v>
      </c>
      <c r="L72" s="171" t="str" cm="1">
        <f t="array" ref="L72">_xlfn.LET(_xlpm.lib,_xlfn.UNIQUE('Reporte de Cheques'!$A$4:$A$4982),_xlpm.tot,SUMIFS('Reporte de Cheques'!$J$4:$J$4982,'Reporte de Cheques'!$A$4:$A$4982,_xlpm.lib),_xlfn.XLOOKUP(MAX(_xlpm.tot),_xlpm.tot,_xlpm.lib))</f>
        <v>A M F A Y S ASOCIACION MUTUAL</v>
      </c>
      <c r="M72" s="172" cm="1">
        <f t="array" ref="M72">MAX(SUMIFS('Reporte de Cheques'!$J$4:$J$4982,'Reporte de Cheques'!$A$4:$A$4982,_xlfn.UNIQUE('Reporte de Cheques'!$A$4:$A$4982)))</f>
        <v>3467840052.4799995</v>
      </c>
      <c r="N72" s="72"/>
    </row>
    <row r="73" spans="1:24">
      <c r="A73" s="10" t="s">
        <v>877</v>
      </c>
      <c r="B73" s="10" t="s">
        <v>28</v>
      </c>
      <c r="C73" s="12">
        <v>-923000</v>
      </c>
      <c r="D73" s="153">
        <v>1595.5</v>
      </c>
      <c r="E73" s="12">
        <v>-1472646500</v>
      </c>
      <c r="F73" s="153">
        <v>-1.8</v>
      </c>
      <c r="G73" s="12">
        <v>0</v>
      </c>
      <c r="H73" s="10" t="s">
        <v>28</v>
      </c>
      <c r="I73" s="124" t="s">
        <v>153</v>
      </c>
    </row>
    <row r="74" spans="1:24">
      <c r="A74" s="10"/>
      <c r="B74" s="10" t="s">
        <v>28</v>
      </c>
      <c r="C74" s="12">
        <v>-4950000</v>
      </c>
      <c r="D74" s="10" t="s">
        <v>28</v>
      </c>
      <c r="E74" s="12">
        <v>-8017217500</v>
      </c>
      <c r="F74" s="14">
        <v>-9.81</v>
      </c>
      <c r="G74" s="10" t="s">
        <v>28</v>
      </c>
      <c r="H74" s="10" t="s">
        <v>28</v>
      </c>
      <c r="I74" s="10" t="s">
        <v>28</v>
      </c>
      <c r="K74" s="58" t="s">
        <v>2082</v>
      </c>
      <c r="N74" s="72"/>
    </row>
    <row r="75" spans="1:24">
      <c r="A75" s="10" t="s">
        <v>28</v>
      </c>
      <c r="B75" s="10"/>
      <c r="C75" s="10"/>
      <c r="D75" s="10"/>
      <c r="E75" s="10"/>
      <c r="F75" s="10"/>
      <c r="G75" s="10"/>
      <c r="H75" s="10"/>
      <c r="I75" s="10"/>
      <c r="K75" s="60" t="s">
        <v>2083</v>
      </c>
      <c r="L75" s="148" t="s">
        <v>97</v>
      </c>
      <c r="M75" s="149" t="s">
        <v>2084</v>
      </c>
      <c r="N75" s="150" t="s">
        <v>2085</v>
      </c>
    </row>
    <row r="76" spans="1:24">
      <c r="A76" s="10" t="s">
        <v>488</v>
      </c>
      <c r="B76" s="10"/>
      <c r="C76" s="10"/>
      <c r="D76" s="10"/>
      <c r="E76" s="10"/>
      <c r="F76" s="10"/>
      <c r="G76" s="10"/>
      <c r="H76" s="10"/>
      <c r="I76" s="10"/>
      <c r="K76" s="58" t="str" cm="1">
        <f t="array" aca="1" ref="K76" ca="1">_xlfn._xlws.FILTER(_xlfn.CHOOSECOLS('Reporte de Cheques'!A4:V2249,1,3,7,10,21),('Reporte de Cheques'!B4:B2249="Dolar Link")*('Reporte de Cheques'!C4:C2249=TODAY()),"Sin vencimientos hoy")</f>
        <v>Sin vencimientos hoy</v>
      </c>
      <c r="L76" s="143"/>
      <c r="N76" s="72"/>
    </row>
    <row r="77" spans="1:24">
      <c r="A77" s="11" t="s">
        <v>8</v>
      </c>
      <c r="B77" s="11" t="s">
        <v>92</v>
      </c>
      <c r="C77" s="11" t="s">
        <v>93</v>
      </c>
      <c r="D77" s="11" t="s">
        <v>94</v>
      </c>
      <c r="E77" s="11" t="s">
        <v>2</v>
      </c>
      <c r="F77" s="11" t="s">
        <v>4</v>
      </c>
      <c r="G77" s="11" t="s">
        <v>95</v>
      </c>
      <c r="H77" s="11" t="s">
        <v>96</v>
      </c>
      <c r="I77" s="11" t="s">
        <v>97</v>
      </c>
    </row>
    <row r="78" spans="1:24">
      <c r="A78" s="10" t="s">
        <v>181</v>
      </c>
      <c r="B78" s="10" t="s">
        <v>28</v>
      </c>
      <c r="C78" s="156">
        <v>160213525.46278229</v>
      </c>
      <c r="D78" s="154">
        <v>13.251099999999999</v>
      </c>
      <c r="E78" s="12">
        <v>2123000000</v>
      </c>
      <c r="F78" s="153">
        <v>2.6</v>
      </c>
      <c r="G78" s="154">
        <v>13.2432</v>
      </c>
      <c r="H78" s="14">
        <v>0.06</v>
      </c>
      <c r="I78" s="10" t="s">
        <v>28</v>
      </c>
    </row>
    <row r="79" spans="1:24">
      <c r="A79" s="10"/>
      <c r="B79" s="10" t="s">
        <v>28</v>
      </c>
      <c r="C79" s="156">
        <v>160213525.46278229</v>
      </c>
      <c r="D79" s="10" t="s">
        <v>28</v>
      </c>
      <c r="E79" s="12">
        <v>2123000000</v>
      </c>
      <c r="F79" s="153">
        <v>2.6</v>
      </c>
      <c r="G79" s="10" t="s">
        <v>28</v>
      </c>
      <c r="H79" s="10" t="s">
        <v>28</v>
      </c>
      <c r="I79" s="10" t="s">
        <v>28</v>
      </c>
    </row>
    <row r="80" spans="1:24">
      <c r="A80" s="10" t="s">
        <v>28</v>
      </c>
      <c r="B80" s="10"/>
      <c r="C80" s="10"/>
      <c r="D80" s="10"/>
      <c r="E80" s="10"/>
      <c r="F80" s="10"/>
      <c r="G80" s="10"/>
      <c r="H80" s="10"/>
      <c r="I80" s="10"/>
    </row>
    <row r="81" spans="1:9">
      <c r="A81" s="10" t="s">
        <v>769</v>
      </c>
      <c r="B81" s="10"/>
      <c r="C81" s="10"/>
      <c r="D81" s="10"/>
      <c r="E81" s="10"/>
      <c r="F81" s="10"/>
      <c r="G81" s="10"/>
      <c r="H81" s="10"/>
      <c r="I81" s="10"/>
    </row>
    <row r="82" spans="1:9">
      <c r="A82" s="11" t="s">
        <v>8</v>
      </c>
      <c r="B82" s="11" t="s">
        <v>92</v>
      </c>
      <c r="C82" s="11" t="s">
        <v>93</v>
      </c>
      <c r="D82" s="11" t="s">
        <v>94</v>
      </c>
      <c r="E82" s="11" t="s">
        <v>2</v>
      </c>
      <c r="F82" s="11" t="s">
        <v>4</v>
      </c>
      <c r="G82" s="11" t="s">
        <v>95</v>
      </c>
      <c r="H82" s="11" t="s">
        <v>96</v>
      </c>
      <c r="I82" s="11" t="s">
        <v>97</v>
      </c>
    </row>
    <row r="83" spans="1:9">
      <c r="A83" s="10" t="s">
        <v>770</v>
      </c>
      <c r="B83" s="10" t="s">
        <v>28</v>
      </c>
      <c r="C83" s="12">
        <v>300000000</v>
      </c>
      <c r="D83" s="154">
        <v>1.0470999999999999</v>
      </c>
      <c r="E83" s="14">
        <v>314143259.04000002</v>
      </c>
      <c r="F83" s="14">
        <v>0.38</v>
      </c>
      <c r="G83" s="154">
        <v>0.98409999999999997</v>
      </c>
      <c r="H83" s="14">
        <v>6.41</v>
      </c>
      <c r="I83" s="124" t="s">
        <v>510</v>
      </c>
    </row>
    <row r="84" spans="1:9">
      <c r="A84" s="10" t="s">
        <v>3854</v>
      </c>
      <c r="B84" s="10" t="s">
        <v>28</v>
      </c>
      <c r="C84" s="12">
        <v>100000000</v>
      </c>
      <c r="D84" s="154">
        <v>0.98019999999999996</v>
      </c>
      <c r="E84" s="14">
        <v>98015914.980000004</v>
      </c>
      <c r="F84" s="14">
        <v>0.12</v>
      </c>
      <c r="G84" s="154">
        <v>0.97929999999999995</v>
      </c>
      <c r="H84" s="14">
        <v>0.09</v>
      </c>
      <c r="I84" s="124" t="s">
        <v>3855</v>
      </c>
    </row>
    <row r="85" spans="1:9">
      <c r="A85" s="10"/>
      <c r="B85" s="10" t="s">
        <v>28</v>
      </c>
      <c r="C85" s="12">
        <v>400000000</v>
      </c>
      <c r="D85" s="10" t="s">
        <v>28</v>
      </c>
      <c r="E85" s="14">
        <v>412159174.01999998</v>
      </c>
      <c r="F85" s="153">
        <v>0.5</v>
      </c>
      <c r="G85" s="10" t="s">
        <v>28</v>
      </c>
      <c r="H85" s="10" t="s">
        <v>28</v>
      </c>
      <c r="I85" s="10" t="s">
        <v>28</v>
      </c>
    </row>
    <row r="86" spans="1:9">
      <c r="A86" s="10" t="s">
        <v>28</v>
      </c>
      <c r="B86" s="10"/>
      <c r="C86" s="10"/>
      <c r="D86" s="10"/>
      <c r="E86" s="10"/>
      <c r="F86" s="10"/>
      <c r="G86" s="10"/>
      <c r="H86" s="10"/>
      <c r="I86" s="10"/>
    </row>
    <row r="87" spans="1:9">
      <c r="A87" s="10" t="s">
        <v>354</v>
      </c>
      <c r="B87" s="10"/>
      <c r="C87" s="10"/>
      <c r="D87" s="10"/>
      <c r="E87" s="10"/>
      <c r="F87" s="10"/>
      <c r="G87" s="10"/>
      <c r="H87" s="10"/>
      <c r="I87" s="10"/>
    </row>
    <row r="88" spans="1:9">
      <c r="A88" s="11" t="s">
        <v>8</v>
      </c>
      <c r="B88" s="11" t="s">
        <v>92</v>
      </c>
      <c r="C88" s="11" t="s">
        <v>93</v>
      </c>
      <c r="D88" s="11" t="s">
        <v>94</v>
      </c>
      <c r="E88" s="11" t="s">
        <v>2</v>
      </c>
      <c r="F88" s="11" t="s">
        <v>4</v>
      </c>
      <c r="G88" s="11" t="s">
        <v>95</v>
      </c>
      <c r="H88" s="11" t="s">
        <v>96</v>
      </c>
      <c r="I88" s="11" t="s">
        <v>97</v>
      </c>
    </row>
    <row r="89" spans="1:9">
      <c r="A89" s="10" t="s">
        <v>839</v>
      </c>
      <c r="B89" s="10" t="s">
        <v>840</v>
      </c>
      <c r="C89" s="12">
        <v>400000000</v>
      </c>
      <c r="D89" s="154">
        <v>1.0889</v>
      </c>
      <c r="E89" s="12">
        <v>435543396</v>
      </c>
      <c r="F89" s="14">
        <v>0.53</v>
      </c>
      <c r="G89" s="12">
        <v>1</v>
      </c>
      <c r="H89" s="14">
        <v>8.89</v>
      </c>
      <c r="I89" s="124" t="s">
        <v>841</v>
      </c>
    </row>
    <row r="90" spans="1:9">
      <c r="A90" s="10"/>
      <c r="B90" s="10" t="s">
        <v>28</v>
      </c>
      <c r="C90" s="12">
        <v>400000000</v>
      </c>
      <c r="D90" s="10" t="s">
        <v>28</v>
      </c>
      <c r="E90" s="12">
        <v>435543396</v>
      </c>
      <c r="F90" s="14">
        <v>0.53</v>
      </c>
      <c r="G90" s="10" t="s">
        <v>28</v>
      </c>
      <c r="H90" s="10" t="s">
        <v>28</v>
      </c>
      <c r="I90" s="10" t="s">
        <v>28</v>
      </c>
    </row>
    <row r="91" spans="1:9">
      <c r="A91" s="10" t="s">
        <v>28</v>
      </c>
      <c r="B91" s="10"/>
      <c r="C91" s="10"/>
      <c r="D91" s="10"/>
      <c r="E91" s="10"/>
      <c r="F91" s="10"/>
      <c r="G91" s="10"/>
      <c r="H91" s="10"/>
      <c r="I91" s="10"/>
    </row>
    <row r="92" spans="1:9">
      <c r="A92" s="10" t="s">
        <v>28</v>
      </c>
      <c r="B92" s="10"/>
      <c r="C92" s="10"/>
      <c r="D92" s="10"/>
      <c r="E92" s="10"/>
      <c r="F92" s="10"/>
      <c r="G92" s="10"/>
      <c r="H92" s="10"/>
      <c r="I92" s="10"/>
    </row>
    <row r="93" spans="1:9">
      <c r="A93" s="10" t="s">
        <v>355</v>
      </c>
      <c r="B93" s="10"/>
      <c r="C93" s="10"/>
      <c r="D93" s="10"/>
      <c r="E93" s="10"/>
      <c r="F93" s="10"/>
      <c r="G93" s="10"/>
      <c r="H93" s="10"/>
      <c r="I93" s="10"/>
    </row>
    <row r="94" spans="1:9">
      <c r="A94" s="11" t="s">
        <v>157</v>
      </c>
      <c r="B94" s="11" t="s">
        <v>97</v>
      </c>
      <c r="C94" s="11" t="s">
        <v>158</v>
      </c>
      <c r="D94" s="11" t="s">
        <v>159</v>
      </c>
      <c r="E94" s="11" t="s">
        <v>47</v>
      </c>
      <c r="F94" s="11" t="s">
        <v>2</v>
      </c>
      <c r="G94" s="11" t="s">
        <v>4</v>
      </c>
      <c r="H94" s="11"/>
      <c r="I94" s="11"/>
    </row>
    <row r="95" spans="1:9">
      <c r="A95" s="10" t="s">
        <v>3853</v>
      </c>
      <c r="B95" s="124" t="s">
        <v>625</v>
      </c>
      <c r="C95" s="124" t="s">
        <v>471</v>
      </c>
      <c r="D95" s="12">
        <v>1</v>
      </c>
      <c r="E95" s="21">
        <v>20.76457753</v>
      </c>
      <c r="F95" s="12">
        <v>2000000000</v>
      </c>
      <c r="G95" s="14">
        <v>2.4500000000000002</v>
      </c>
      <c r="H95" s="10"/>
      <c r="I95" s="10"/>
    </row>
    <row r="96" spans="1:9">
      <c r="A96" s="10" t="s">
        <v>160</v>
      </c>
      <c r="B96" s="124" t="s">
        <v>578</v>
      </c>
      <c r="C96" s="124" t="s">
        <v>412</v>
      </c>
      <c r="D96" s="12">
        <v>30</v>
      </c>
      <c r="E96" s="21">
        <v>37.50094429</v>
      </c>
      <c r="F96" s="14">
        <v>604958174.80999994</v>
      </c>
      <c r="G96" s="14">
        <v>0.74</v>
      </c>
      <c r="H96" s="10"/>
      <c r="I96" s="10"/>
    </row>
    <row r="97" spans="1:9">
      <c r="A97" s="10"/>
      <c r="B97" s="10"/>
      <c r="C97" s="10" t="s">
        <v>28</v>
      </c>
      <c r="D97" s="14">
        <v>2.16</v>
      </c>
      <c r="E97" s="21">
        <v>31.55525591</v>
      </c>
      <c r="F97" s="14">
        <v>2604958174.8099999</v>
      </c>
      <c r="G97" s="14">
        <v>3.19</v>
      </c>
      <c r="H97" s="10"/>
      <c r="I97" s="10"/>
    </row>
    <row r="98" spans="1:9">
      <c r="A98" s="10" t="s">
        <v>28</v>
      </c>
      <c r="B98" s="10"/>
      <c r="C98" s="10"/>
      <c r="D98" s="10"/>
      <c r="E98" s="10"/>
      <c r="F98" s="10"/>
      <c r="G98" s="10"/>
      <c r="H98" s="10"/>
      <c r="I98" s="10"/>
    </row>
    <row r="99" spans="1:9">
      <c r="A99" s="10" t="s">
        <v>28</v>
      </c>
      <c r="B99" s="10"/>
      <c r="C99" s="10"/>
      <c r="D99" s="10"/>
      <c r="E99" s="10"/>
      <c r="F99" s="10"/>
      <c r="G99" s="10"/>
      <c r="H99" s="10"/>
      <c r="I99" s="10"/>
    </row>
    <row r="100" spans="1:9">
      <c r="A100" s="10" t="s">
        <v>356</v>
      </c>
      <c r="B100" s="10"/>
      <c r="C100" s="10"/>
      <c r="D100" s="10"/>
      <c r="E100" s="10"/>
      <c r="F100" s="10"/>
      <c r="G100" s="10"/>
      <c r="H100" s="10"/>
      <c r="I100" s="10"/>
    </row>
    <row r="101" spans="1:9">
      <c r="A101" s="11" t="s">
        <v>9</v>
      </c>
      <c r="B101" s="11" t="s">
        <v>97</v>
      </c>
      <c r="C101" s="11" t="s">
        <v>16</v>
      </c>
      <c r="D101" s="11" t="s">
        <v>99</v>
      </c>
      <c r="E101" s="11" t="s">
        <v>32</v>
      </c>
      <c r="F101" s="11" t="s">
        <v>100</v>
      </c>
      <c r="G101" s="11" t="s">
        <v>4</v>
      </c>
      <c r="H101" s="11"/>
      <c r="I101" s="11"/>
    </row>
    <row r="102" spans="1:9">
      <c r="A102" s="10" t="s">
        <v>455</v>
      </c>
      <c r="B102" s="124" t="s">
        <v>456</v>
      </c>
      <c r="C102" s="124" t="s">
        <v>274</v>
      </c>
      <c r="D102" s="12">
        <v>8560000</v>
      </c>
      <c r="E102" s="82">
        <v>0.98637985269999995</v>
      </c>
      <c r="F102" s="14">
        <v>8443411.5399999991</v>
      </c>
      <c r="G102" s="14">
        <v>0.01</v>
      </c>
      <c r="H102" s="10"/>
      <c r="I102" s="10"/>
    </row>
    <row r="103" spans="1:9">
      <c r="A103" s="10" t="s">
        <v>457</v>
      </c>
      <c r="B103" s="124" t="s">
        <v>415</v>
      </c>
      <c r="C103" s="124" t="s">
        <v>274</v>
      </c>
      <c r="D103" s="12">
        <v>9450000</v>
      </c>
      <c r="E103" s="82">
        <v>0.98160501150000001</v>
      </c>
      <c r="F103" s="14">
        <v>9276167.3599999994</v>
      </c>
      <c r="G103" s="14">
        <v>0.01</v>
      </c>
      <c r="H103" s="10"/>
      <c r="I103" s="10"/>
    </row>
    <row r="104" spans="1:9">
      <c r="A104" s="10" t="s">
        <v>458</v>
      </c>
      <c r="B104" s="124" t="s">
        <v>459</v>
      </c>
      <c r="C104" s="124" t="s">
        <v>274</v>
      </c>
      <c r="D104" s="12">
        <v>9450000</v>
      </c>
      <c r="E104" s="82">
        <v>0.98065557680000004</v>
      </c>
      <c r="F104" s="153">
        <v>9267195.1999999993</v>
      </c>
      <c r="G104" s="14">
        <v>0.01</v>
      </c>
      <c r="H104" s="10"/>
      <c r="I104" s="10"/>
    </row>
    <row r="105" spans="1:9">
      <c r="A105" s="10" t="s">
        <v>460</v>
      </c>
      <c r="B105" s="124" t="s">
        <v>461</v>
      </c>
      <c r="C105" s="124" t="s">
        <v>274</v>
      </c>
      <c r="D105" s="12">
        <v>9450000</v>
      </c>
      <c r="E105" s="82">
        <v>0.97406065369999995</v>
      </c>
      <c r="F105" s="14">
        <v>9204873.1799999997</v>
      </c>
      <c r="G105" s="14">
        <v>0.01</v>
      </c>
      <c r="H105" s="10"/>
      <c r="I105" s="10"/>
    </row>
    <row r="106" spans="1:9">
      <c r="A106" s="10" t="s">
        <v>462</v>
      </c>
      <c r="B106" s="124" t="s">
        <v>463</v>
      </c>
      <c r="C106" s="124" t="s">
        <v>274</v>
      </c>
      <c r="D106" s="12">
        <v>8560000</v>
      </c>
      <c r="E106" s="82">
        <v>0.98734041220000002</v>
      </c>
      <c r="F106" s="14">
        <v>8451633.9299999997</v>
      </c>
      <c r="G106" s="14">
        <v>0.01</v>
      </c>
      <c r="H106" s="10"/>
      <c r="I106" s="10"/>
    </row>
    <row r="107" spans="1:9">
      <c r="A107" s="10" t="s">
        <v>472</v>
      </c>
      <c r="B107" s="124" t="s">
        <v>473</v>
      </c>
      <c r="C107" s="124" t="s">
        <v>274</v>
      </c>
      <c r="D107" s="12">
        <v>2500000</v>
      </c>
      <c r="E107" s="157">
        <v>0.99694089600000002</v>
      </c>
      <c r="F107" s="14">
        <v>2492352.2400000002</v>
      </c>
      <c r="G107" s="12">
        <v>0</v>
      </c>
      <c r="H107" s="10"/>
      <c r="I107" s="10"/>
    </row>
    <row r="108" spans="1:9">
      <c r="A108" s="10" t="s">
        <v>483</v>
      </c>
      <c r="B108" s="124" t="s">
        <v>459</v>
      </c>
      <c r="C108" s="124" t="s">
        <v>315</v>
      </c>
      <c r="D108" s="12">
        <v>1500000</v>
      </c>
      <c r="E108" s="82">
        <v>0.9811828131</v>
      </c>
      <c r="F108" s="14">
        <v>1471774.22</v>
      </c>
      <c r="G108" s="12">
        <v>0</v>
      </c>
      <c r="H108" s="10"/>
      <c r="I108" s="10"/>
    </row>
    <row r="109" spans="1:9">
      <c r="A109" s="10" t="s">
        <v>492</v>
      </c>
      <c r="B109" s="124" t="s">
        <v>456</v>
      </c>
      <c r="C109" s="124" t="s">
        <v>287</v>
      </c>
      <c r="D109" s="12">
        <v>17118303</v>
      </c>
      <c r="E109" s="82">
        <v>0.98899908550000004</v>
      </c>
      <c r="F109" s="14">
        <v>16929986.010000002</v>
      </c>
      <c r="G109" s="14">
        <v>0.02</v>
      </c>
      <c r="H109" s="10"/>
      <c r="I109" s="10"/>
    </row>
    <row r="110" spans="1:9">
      <c r="A110" s="10" t="s">
        <v>504</v>
      </c>
      <c r="B110" s="124" t="s">
        <v>505</v>
      </c>
      <c r="C110" s="124" t="s">
        <v>293</v>
      </c>
      <c r="D110" s="14">
        <v>11923076.92</v>
      </c>
      <c r="E110" s="82">
        <v>0.99427949090000001</v>
      </c>
      <c r="F110" s="14">
        <v>11854870.85</v>
      </c>
      <c r="G110" s="14">
        <v>0.01</v>
      </c>
      <c r="H110" s="10"/>
      <c r="I110" s="10"/>
    </row>
    <row r="111" spans="1:9">
      <c r="A111" s="10" t="s">
        <v>509</v>
      </c>
      <c r="B111" s="124" t="s">
        <v>510</v>
      </c>
      <c r="C111" s="124" t="s">
        <v>296</v>
      </c>
      <c r="D111" s="12">
        <v>3750000</v>
      </c>
      <c r="E111" s="21">
        <v>0.97805412000000003</v>
      </c>
      <c r="F111" s="14">
        <v>3667702.95</v>
      </c>
      <c r="G111" s="12">
        <v>0</v>
      </c>
      <c r="H111" s="10"/>
      <c r="I111" s="10"/>
    </row>
    <row r="112" spans="1:9">
      <c r="A112" s="10" t="s">
        <v>511</v>
      </c>
      <c r="B112" s="124" t="s">
        <v>456</v>
      </c>
      <c r="C112" s="124" t="s">
        <v>296</v>
      </c>
      <c r="D112" s="12">
        <v>3750000</v>
      </c>
      <c r="E112" s="82">
        <v>0.98526158939999997</v>
      </c>
      <c r="F112" s="14">
        <v>3694730.96</v>
      </c>
      <c r="G112" s="12">
        <v>0</v>
      </c>
      <c r="H112" s="10"/>
      <c r="I112" s="10"/>
    </row>
    <row r="113" spans="1:9">
      <c r="A113" s="10" t="s">
        <v>512</v>
      </c>
      <c r="B113" s="124" t="s">
        <v>513</v>
      </c>
      <c r="C113" s="124" t="s">
        <v>296</v>
      </c>
      <c r="D113" s="12">
        <v>3750000</v>
      </c>
      <c r="E113" s="82">
        <v>0.98113007480000003</v>
      </c>
      <c r="F113" s="14">
        <v>3679237.78</v>
      </c>
      <c r="G113" s="12">
        <v>0</v>
      </c>
      <c r="H113" s="10"/>
      <c r="I113" s="10"/>
    </row>
    <row r="114" spans="1:9">
      <c r="A114" s="10" t="s">
        <v>514</v>
      </c>
      <c r="B114" s="124" t="s">
        <v>473</v>
      </c>
      <c r="C114" s="124" t="s">
        <v>296</v>
      </c>
      <c r="D114" s="12">
        <v>3750000</v>
      </c>
      <c r="E114" s="82">
        <v>0.99574421869999996</v>
      </c>
      <c r="F114" s="14">
        <v>3734040.82</v>
      </c>
      <c r="G114" s="12">
        <v>0</v>
      </c>
      <c r="H114" s="10"/>
      <c r="I114" s="10"/>
    </row>
    <row r="115" spans="1:9">
      <c r="A115" s="10" t="s">
        <v>515</v>
      </c>
      <c r="B115" s="124" t="s">
        <v>505</v>
      </c>
      <c r="C115" s="124" t="s">
        <v>296</v>
      </c>
      <c r="D115" s="12">
        <v>3750000</v>
      </c>
      <c r="E115" s="82">
        <v>0.99257608519999996</v>
      </c>
      <c r="F115" s="14">
        <v>3722160.32</v>
      </c>
      <c r="G115" s="12">
        <v>0</v>
      </c>
      <c r="H115" s="10"/>
      <c r="I115" s="10"/>
    </row>
    <row r="116" spans="1:9">
      <c r="A116" s="10" t="s">
        <v>516</v>
      </c>
      <c r="B116" s="124" t="s">
        <v>517</v>
      </c>
      <c r="C116" s="124" t="s">
        <v>296</v>
      </c>
      <c r="D116" s="12">
        <v>3750000</v>
      </c>
      <c r="E116" s="157">
        <v>0.987340416</v>
      </c>
      <c r="F116" s="14">
        <v>3702526.56</v>
      </c>
      <c r="G116" s="12">
        <v>0</v>
      </c>
      <c r="H116" s="10"/>
      <c r="I116" s="10"/>
    </row>
    <row r="117" spans="1:9">
      <c r="A117" s="10" t="s">
        <v>528</v>
      </c>
      <c r="B117" s="124" t="s">
        <v>461</v>
      </c>
      <c r="C117" s="124" t="s">
        <v>268</v>
      </c>
      <c r="D117" s="14">
        <v>9478811.3499999996</v>
      </c>
      <c r="E117" s="82">
        <v>0.97829003240000001</v>
      </c>
      <c r="F117" s="14">
        <v>9273026.6600000001</v>
      </c>
      <c r="G117" s="14">
        <v>0.01</v>
      </c>
      <c r="H117" s="10"/>
      <c r="I117" s="10"/>
    </row>
    <row r="118" spans="1:9">
      <c r="A118" s="10" t="s">
        <v>529</v>
      </c>
      <c r="B118" s="124" t="s">
        <v>463</v>
      </c>
      <c r="C118" s="124" t="s">
        <v>268</v>
      </c>
      <c r="D118" s="12">
        <v>35000000</v>
      </c>
      <c r="E118" s="82">
        <v>0.98977683719999998</v>
      </c>
      <c r="F118" s="153">
        <v>34642189.299999997</v>
      </c>
      <c r="G118" s="14">
        <v>0.04</v>
      </c>
      <c r="H118" s="10"/>
      <c r="I118" s="10"/>
    </row>
    <row r="119" spans="1:9">
      <c r="A119" s="10" t="s">
        <v>530</v>
      </c>
      <c r="B119" s="124" t="s">
        <v>415</v>
      </c>
      <c r="C119" s="124" t="s">
        <v>268</v>
      </c>
      <c r="D119" s="12">
        <v>35000000</v>
      </c>
      <c r="E119" s="82">
        <v>0.98512863380000004</v>
      </c>
      <c r="F119" s="14">
        <v>34479502.18</v>
      </c>
      <c r="G119" s="14">
        <v>0.04</v>
      </c>
      <c r="H119" s="10"/>
      <c r="I119" s="10"/>
    </row>
    <row r="120" spans="1:9">
      <c r="A120" s="10" t="s">
        <v>531</v>
      </c>
      <c r="B120" s="124" t="s">
        <v>461</v>
      </c>
      <c r="C120" s="124" t="s">
        <v>268</v>
      </c>
      <c r="D120" s="12">
        <v>30000000</v>
      </c>
      <c r="E120" s="82">
        <v>0.97899849949999995</v>
      </c>
      <c r="F120" s="14">
        <v>29369954.989999998</v>
      </c>
      <c r="G120" s="14">
        <v>0.04</v>
      </c>
      <c r="H120" s="10"/>
      <c r="I120" s="10"/>
    </row>
    <row r="121" spans="1:9">
      <c r="A121" s="10" t="s">
        <v>551</v>
      </c>
      <c r="B121" s="124" t="s">
        <v>552</v>
      </c>
      <c r="C121" s="124" t="s">
        <v>156</v>
      </c>
      <c r="D121" s="12">
        <v>15000000</v>
      </c>
      <c r="E121" s="82">
        <v>0.96009686819999995</v>
      </c>
      <c r="F121" s="14">
        <v>14401453.02</v>
      </c>
      <c r="G121" s="14">
        <v>0.02</v>
      </c>
      <c r="H121" s="10"/>
      <c r="I121" s="10"/>
    </row>
    <row r="122" spans="1:9">
      <c r="A122" s="10" t="s">
        <v>553</v>
      </c>
      <c r="B122" s="124" t="s">
        <v>552</v>
      </c>
      <c r="C122" s="124" t="s">
        <v>156</v>
      </c>
      <c r="D122" s="12">
        <v>15000000</v>
      </c>
      <c r="E122" s="82">
        <v>0.96009686819999995</v>
      </c>
      <c r="F122" s="14">
        <v>14401453.02</v>
      </c>
      <c r="G122" s="14">
        <v>0.02</v>
      </c>
      <c r="H122" s="10"/>
      <c r="I122" s="10"/>
    </row>
    <row r="123" spans="1:9">
      <c r="A123" s="10" t="s">
        <v>554</v>
      </c>
      <c r="B123" s="124" t="s">
        <v>267</v>
      </c>
      <c r="C123" s="124" t="s">
        <v>156</v>
      </c>
      <c r="D123" s="12">
        <v>15000000</v>
      </c>
      <c r="E123" s="157">
        <v>0.95916334400000003</v>
      </c>
      <c r="F123" s="14">
        <v>14387450.16</v>
      </c>
      <c r="G123" s="14">
        <v>0.02</v>
      </c>
      <c r="H123" s="10"/>
      <c r="I123" s="10"/>
    </row>
    <row r="124" spans="1:9">
      <c r="A124" s="10" t="s">
        <v>555</v>
      </c>
      <c r="B124" s="124" t="s">
        <v>556</v>
      </c>
      <c r="C124" s="124" t="s">
        <v>156</v>
      </c>
      <c r="D124" s="12">
        <v>15000000</v>
      </c>
      <c r="E124" s="82">
        <v>0.95823163359999997</v>
      </c>
      <c r="F124" s="153">
        <v>14373474.5</v>
      </c>
      <c r="G124" s="14">
        <v>0.02</v>
      </c>
      <c r="H124" s="10"/>
      <c r="I124" s="10"/>
    </row>
    <row r="125" spans="1:9">
      <c r="A125" s="10" t="s">
        <v>557</v>
      </c>
      <c r="B125" s="124" t="s">
        <v>463</v>
      </c>
      <c r="C125" s="124" t="s">
        <v>156</v>
      </c>
      <c r="D125" s="14">
        <v>5448062.4299999997</v>
      </c>
      <c r="E125" s="82">
        <v>0.98838312890000002</v>
      </c>
      <c r="F125" s="14">
        <v>5384772.9900000002</v>
      </c>
      <c r="G125" s="14">
        <v>0.01</v>
      </c>
      <c r="H125" s="10"/>
      <c r="I125" s="10"/>
    </row>
    <row r="126" spans="1:9">
      <c r="A126" s="10" t="s">
        <v>558</v>
      </c>
      <c r="B126" s="124" t="s">
        <v>559</v>
      </c>
      <c r="C126" s="124" t="s">
        <v>156</v>
      </c>
      <c r="D126" s="14">
        <v>5448062.4299999997</v>
      </c>
      <c r="E126" s="157">
        <v>0.97530998199999996</v>
      </c>
      <c r="F126" s="14">
        <v>5313549.67</v>
      </c>
      <c r="G126" s="14">
        <v>0.01</v>
      </c>
      <c r="H126" s="10"/>
      <c r="I126" s="10"/>
    </row>
    <row r="127" spans="1:9">
      <c r="A127" s="10" t="s">
        <v>560</v>
      </c>
      <c r="B127" s="124" t="s">
        <v>561</v>
      </c>
      <c r="C127" s="124" t="s">
        <v>156</v>
      </c>
      <c r="D127" s="153">
        <v>1655023.2</v>
      </c>
      <c r="E127" s="82">
        <v>0.99549980930000004</v>
      </c>
      <c r="F127" s="14">
        <v>1647575.28</v>
      </c>
      <c r="G127" s="12">
        <v>0</v>
      </c>
      <c r="H127" s="10"/>
      <c r="I127" s="10"/>
    </row>
    <row r="128" spans="1:9">
      <c r="A128" s="10" t="s">
        <v>562</v>
      </c>
      <c r="B128" s="124" t="s">
        <v>561</v>
      </c>
      <c r="C128" s="124" t="s">
        <v>156</v>
      </c>
      <c r="D128" s="14">
        <v>3772034.12</v>
      </c>
      <c r="E128" s="82">
        <v>0.9954998021</v>
      </c>
      <c r="F128" s="14">
        <v>3755059.22</v>
      </c>
      <c r="G128" s="12">
        <v>0</v>
      </c>
      <c r="H128" s="10"/>
      <c r="I128" s="10"/>
    </row>
    <row r="129" spans="1:16">
      <c r="A129" s="10" t="s">
        <v>572</v>
      </c>
      <c r="B129" s="124" t="s">
        <v>573</v>
      </c>
      <c r="C129" s="124" t="s">
        <v>291</v>
      </c>
      <c r="D129" s="12">
        <v>15000000</v>
      </c>
      <c r="E129" s="82">
        <v>0.94810125860000005</v>
      </c>
      <c r="F129" s="14">
        <v>14221518.880000001</v>
      </c>
      <c r="G129" s="14">
        <v>0.02</v>
      </c>
      <c r="H129" s="10"/>
      <c r="I129" s="10"/>
    </row>
    <row r="130" spans="1:16">
      <c r="A130" s="10" t="s">
        <v>580</v>
      </c>
      <c r="B130" s="124" t="s">
        <v>415</v>
      </c>
      <c r="C130" s="124" t="s">
        <v>288</v>
      </c>
      <c r="D130" s="12">
        <v>15000000</v>
      </c>
      <c r="E130" s="82">
        <v>0.9836154211</v>
      </c>
      <c r="F130" s="14">
        <v>14754231.32</v>
      </c>
      <c r="G130" s="14">
        <v>0.02</v>
      </c>
      <c r="H130" s="10"/>
      <c r="I130" s="10"/>
    </row>
    <row r="131" spans="1:16">
      <c r="A131" s="10" t="s">
        <v>584</v>
      </c>
      <c r="B131" s="124" t="s">
        <v>556</v>
      </c>
      <c r="C131" s="124" t="s">
        <v>316</v>
      </c>
      <c r="D131" s="12">
        <v>4000000</v>
      </c>
      <c r="E131" s="82">
        <v>0.96148786460000002</v>
      </c>
      <c r="F131" s="14">
        <v>3845951.46</v>
      </c>
      <c r="G131" s="12">
        <v>0</v>
      </c>
      <c r="H131" s="10"/>
      <c r="I131" s="10"/>
    </row>
    <row r="132" spans="1:16">
      <c r="A132" s="10" t="s">
        <v>585</v>
      </c>
      <c r="B132" s="124" t="s">
        <v>456</v>
      </c>
      <c r="C132" s="124" t="s">
        <v>316</v>
      </c>
      <c r="D132" s="12">
        <v>4000000</v>
      </c>
      <c r="E132" s="21">
        <v>0.98712681000000002</v>
      </c>
      <c r="F132" s="14">
        <v>3948507.24</v>
      </c>
      <c r="G132" s="12">
        <v>0</v>
      </c>
      <c r="H132" s="10"/>
      <c r="I132" s="10"/>
    </row>
    <row r="133" spans="1:16">
      <c r="A133" s="10" t="s">
        <v>586</v>
      </c>
      <c r="B133" s="124" t="s">
        <v>587</v>
      </c>
      <c r="C133" s="124" t="s">
        <v>316</v>
      </c>
      <c r="D133" s="12">
        <v>4000000</v>
      </c>
      <c r="E133" s="82">
        <v>0.95126405469999997</v>
      </c>
      <c r="F133" s="14">
        <v>3805056.22</v>
      </c>
      <c r="G133" s="12">
        <v>0</v>
      </c>
      <c r="H133" s="10"/>
      <c r="I133" s="10"/>
    </row>
    <row r="134" spans="1:16">
      <c r="A134" s="10" t="s">
        <v>588</v>
      </c>
      <c r="B134" s="124" t="s">
        <v>559</v>
      </c>
      <c r="C134" s="124" t="s">
        <v>316</v>
      </c>
      <c r="D134" s="12">
        <v>4000000</v>
      </c>
      <c r="E134" s="82">
        <v>0.97458084479999996</v>
      </c>
      <c r="F134" s="14">
        <v>3898323.38</v>
      </c>
      <c r="G134" s="12">
        <v>0</v>
      </c>
      <c r="H134" s="10"/>
      <c r="I134" s="10"/>
    </row>
    <row r="135" spans="1:16">
      <c r="A135" s="10" t="s">
        <v>590</v>
      </c>
      <c r="B135" s="124" t="s">
        <v>561</v>
      </c>
      <c r="C135" s="124" t="s">
        <v>307</v>
      </c>
      <c r="D135" s="12">
        <v>3517425</v>
      </c>
      <c r="E135" s="82">
        <v>0.99563557430000005</v>
      </c>
      <c r="F135" s="14">
        <v>3502073.46</v>
      </c>
      <c r="G135" s="12">
        <v>0</v>
      </c>
      <c r="H135" s="10"/>
      <c r="I135" s="10"/>
    </row>
    <row r="136" spans="1:16">
      <c r="A136" s="10" t="s">
        <v>605</v>
      </c>
      <c r="B136" s="124" t="s">
        <v>559</v>
      </c>
      <c r="C136" s="124" t="s">
        <v>341</v>
      </c>
      <c r="D136" s="12">
        <v>19922304</v>
      </c>
      <c r="E136" s="82">
        <v>0.98118279939999997</v>
      </c>
      <c r="F136" s="14">
        <v>19547422.010000002</v>
      </c>
      <c r="G136" s="14">
        <v>0.02</v>
      </c>
      <c r="H136" s="10"/>
      <c r="I136" s="10"/>
      <c r="O136" s="59"/>
      <c r="P136" s="59"/>
    </row>
    <row r="137" spans="1:16">
      <c r="A137" s="10" t="s">
        <v>611</v>
      </c>
      <c r="B137" s="124" t="s">
        <v>610</v>
      </c>
      <c r="C137" s="124" t="s">
        <v>155</v>
      </c>
      <c r="D137" s="14">
        <v>29362361.710000001</v>
      </c>
      <c r="E137" s="82">
        <v>0.97219268660000002</v>
      </c>
      <c r="F137" s="14">
        <v>28545873.32</v>
      </c>
      <c r="G137" s="14">
        <v>0.03</v>
      </c>
      <c r="H137" s="10"/>
      <c r="I137" s="10"/>
      <c r="N137" s="59"/>
    </row>
    <row r="138" spans="1:16">
      <c r="A138" s="10" t="s">
        <v>612</v>
      </c>
      <c r="B138" s="124" t="s">
        <v>578</v>
      </c>
      <c r="C138" s="124" t="s">
        <v>155</v>
      </c>
      <c r="D138" s="14">
        <v>20408241.140000001</v>
      </c>
      <c r="E138" s="82">
        <v>0.99411700979999995</v>
      </c>
      <c r="F138" s="14">
        <v>20288179.66</v>
      </c>
      <c r="G138" s="14">
        <v>0.02</v>
      </c>
      <c r="H138" s="10"/>
      <c r="I138" s="10"/>
    </row>
    <row r="139" spans="1:16">
      <c r="A139" s="10" t="s">
        <v>609</v>
      </c>
      <c r="B139" s="124" t="s">
        <v>561</v>
      </c>
      <c r="C139" s="124" t="s">
        <v>155</v>
      </c>
      <c r="D139" s="12">
        <v>13000000</v>
      </c>
      <c r="E139" s="82">
        <v>0.99699536079999995</v>
      </c>
      <c r="F139" s="14">
        <v>12960939.689999999</v>
      </c>
      <c r="G139" s="14">
        <v>0.02</v>
      </c>
      <c r="H139" s="10"/>
      <c r="I139" s="10"/>
    </row>
    <row r="140" spans="1:16">
      <c r="A140" s="10" t="s">
        <v>613</v>
      </c>
      <c r="B140" s="124" t="s">
        <v>614</v>
      </c>
      <c r="C140" s="124" t="s">
        <v>297</v>
      </c>
      <c r="D140" s="14">
        <v>22578937.030000001</v>
      </c>
      <c r="E140" s="157">
        <v>0.95300265200000001</v>
      </c>
      <c r="F140" s="14">
        <v>21517786.870000001</v>
      </c>
      <c r="G140" s="14">
        <v>0.03</v>
      </c>
      <c r="H140" s="10"/>
      <c r="I140" s="10"/>
    </row>
    <row r="141" spans="1:16">
      <c r="A141" s="10" t="s">
        <v>615</v>
      </c>
      <c r="B141" s="124" t="s">
        <v>616</v>
      </c>
      <c r="C141" s="124" t="s">
        <v>297</v>
      </c>
      <c r="D141" s="12">
        <v>74495580</v>
      </c>
      <c r="E141" s="82">
        <v>0.92545642890000002</v>
      </c>
      <c r="F141" s="14">
        <v>68942413.439999998</v>
      </c>
      <c r="G141" s="14">
        <v>0.08</v>
      </c>
      <c r="H141" s="10"/>
      <c r="I141" s="10"/>
    </row>
    <row r="142" spans="1:16">
      <c r="A142" s="10" t="s">
        <v>617</v>
      </c>
      <c r="B142" s="124" t="s">
        <v>618</v>
      </c>
      <c r="C142" s="124" t="s">
        <v>297</v>
      </c>
      <c r="D142" s="12">
        <v>71389290</v>
      </c>
      <c r="E142" s="21">
        <v>0.94559590999999998</v>
      </c>
      <c r="F142" s="14">
        <v>67505420.640000001</v>
      </c>
      <c r="G142" s="14">
        <v>0.08</v>
      </c>
      <c r="H142" s="10"/>
      <c r="I142" s="10"/>
    </row>
    <row r="143" spans="1:16">
      <c r="A143" s="10" t="s">
        <v>619</v>
      </c>
      <c r="B143" s="124" t="s">
        <v>556</v>
      </c>
      <c r="C143" s="124" t="s">
        <v>297</v>
      </c>
      <c r="D143" s="12">
        <v>69542230</v>
      </c>
      <c r="E143" s="82">
        <v>0.96806707179999996</v>
      </c>
      <c r="F143" s="14">
        <v>67321542.959999993</v>
      </c>
      <c r="G143" s="14">
        <v>0.08</v>
      </c>
      <c r="H143" s="10"/>
      <c r="I143" s="10"/>
    </row>
    <row r="144" spans="1:16">
      <c r="A144" s="10" t="s">
        <v>620</v>
      </c>
      <c r="B144" s="124" t="s">
        <v>459</v>
      </c>
      <c r="C144" s="124" t="s">
        <v>297</v>
      </c>
      <c r="D144" s="12">
        <v>2500000</v>
      </c>
      <c r="E144" s="82">
        <v>0.98329743979999995</v>
      </c>
      <c r="F144" s="153">
        <v>2458243.6</v>
      </c>
      <c r="G144" s="12">
        <v>0</v>
      </c>
      <c r="H144" s="10"/>
      <c r="I144" s="10"/>
    </row>
    <row r="145" spans="1:9">
      <c r="A145" s="10" t="s">
        <v>626</v>
      </c>
      <c r="B145" s="124" t="s">
        <v>627</v>
      </c>
      <c r="C145" s="124" t="s">
        <v>317</v>
      </c>
      <c r="D145" s="12">
        <v>20000000</v>
      </c>
      <c r="E145" s="82">
        <v>0.95599798729999996</v>
      </c>
      <c r="F145" s="14">
        <v>19119959.75</v>
      </c>
      <c r="G145" s="14">
        <v>0.02</v>
      </c>
      <c r="H145" s="10"/>
      <c r="I145" s="10"/>
    </row>
    <row r="146" spans="1:9">
      <c r="A146" s="10" t="s">
        <v>628</v>
      </c>
      <c r="B146" s="124" t="s">
        <v>456</v>
      </c>
      <c r="C146" s="124" t="s">
        <v>317</v>
      </c>
      <c r="D146" s="12">
        <v>11000000</v>
      </c>
      <c r="E146" s="82">
        <v>0.98899909450000001</v>
      </c>
      <c r="F146" s="14">
        <v>10878990.039999999</v>
      </c>
      <c r="G146" s="14">
        <v>0.01</v>
      </c>
      <c r="H146" s="10"/>
      <c r="I146" s="10"/>
    </row>
    <row r="147" spans="1:9">
      <c r="A147" s="10" t="s">
        <v>629</v>
      </c>
      <c r="B147" s="124" t="s">
        <v>630</v>
      </c>
      <c r="C147" s="124" t="s">
        <v>317</v>
      </c>
      <c r="D147" s="12">
        <v>12500000</v>
      </c>
      <c r="E147" s="82">
        <v>0.92125199940000002</v>
      </c>
      <c r="F147" s="14">
        <v>11515649.99</v>
      </c>
      <c r="G147" s="14">
        <v>0.01</v>
      </c>
      <c r="H147" s="10"/>
      <c r="I147" s="10"/>
    </row>
    <row r="148" spans="1:9">
      <c r="A148" s="10" t="s">
        <v>631</v>
      </c>
      <c r="B148" s="124" t="s">
        <v>632</v>
      </c>
      <c r="C148" s="124" t="s">
        <v>317</v>
      </c>
      <c r="D148" s="12">
        <v>12500000</v>
      </c>
      <c r="E148" s="82">
        <v>0.91708545760000004</v>
      </c>
      <c r="F148" s="14">
        <v>11463568.220000001</v>
      </c>
      <c r="G148" s="14">
        <v>0.01</v>
      </c>
      <c r="H148" s="10"/>
      <c r="I148" s="10"/>
    </row>
    <row r="149" spans="1:9">
      <c r="A149" s="10" t="s">
        <v>633</v>
      </c>
      <c r="B149" s="124" t="s">
        <v>634</v>
      </c>
      <c r="C149" s="124" t="s">
        <v>317</v>
      </c>
      <c r="D149" s="12">
        <v>18700000</v>
      </c>
      <c r="E149" s="82">
        <v>0.97126134460000002</v>
      </c>
      <c r="F149" s="14">
        <v>18162587.140000001</v>
      </c>
      <c r="G149" s="14">
        <v>0.02</v>
      </c>
      <c r="H149" s="10"/>
      <c r="I149" s="10"/>
    </row>
    <row r="150" spans="1:9">
      <c r="A150" s="10" t="s">
        <v>635</v>
      </c>
      <c r="B150" s="124" t="s">
        <v>636</v>
      </c>
      <c r="C150" s="124" t="s">
        <v>317</v>
      </c>
      <c r="D150" s="12">
        <v>5600000</v>
      </c>
      <c r="E150" s="82">
        <v>0.94633139470000005</v>
      </c>
      <c r="F150" s="14">
        <v>5299455.8099999996</v>
      </c>
      <c r="G150" s="14">
        <v>0.01</v>
      </c>
      <c r="H150" s="10"/>
      <c r="I150" s="10"/>
    </row>
    <row r="151" spans="1:9">
      <c r="A151" s="10" t="s">
        <v>637</v>
      </c>
      <c r="B151" s="124" t="s">
        <v>578</v>
      </c>
      <c r="C151" s="124" t="s">
        <v>317</v>
      </c>
      <c r="D151" s="12">
        <v>10900000</v>
      </c>
      <c r="E151" s="82">
        <v>0.99509270459999999</v>
      </c>
      <c r="F151" s="14">
        <v>10846510.48</v>
      </c>
      <c r="G151" s="14">
        <v>0.01</v>
      </c>
      <c r="H151" s="10"/>
      <c r="I151" s="10"/>
    </row>
    <row r="152" spans="1:9">
      <c r="A152" s="10" t="s">
        <v>638</v>
      </c>
      <c r="B152" s="124" t="s">
        <v>473</v>
      </c>
      <c r="C152" s="124" t="s">
        <v>317</v>
      </c>
      <c r="D152" s="12">
        <v>15000000</v>
      </c>
      <c r="E152" s="82">
        <v>0.99704982740000003</v>
      </c>
      <c r="F152" s="14">
        <v>14955747.41</v>
      </c>
      <c r="G152" s="14">
        <v>0.02</v>
      </c>
      <c r="H152" s="10"/>
      <c r="I152" s="10"/>
    </row>
    <row r="153" spans="1:9">
      <c r="A153" s="10" t="s">
        <v>639</v>
      </c>
      <c r="B153" s="124" t="s">
        <v>505</v>
      </c>
      <c r="C153" s="124" t="s">
        <v>317</v>
      </c>
      <c r="D153" s="12">
        <v>15000000</v>
      </c>
      <c r="E153" s="82">
        <v>0.99484859920000002</v>
      </c>
      <c r="F153" s="14">
        <v>14922728.99</v>
      </c>
      <c r="G153" s="14">
        <v>0.02</v>
      </c>
      <c r="H153" s="10"/>
      <c r="I153" s="10"/>
    </row>
    <row r="154" spans="1:9">
      <c r="A154" s="10" t="s">
        <v>642</v>
      </c>
      <c r="B154" s="124" t="s">
        <v>419</v>
      </c>
      <c r="C154" s="124" t="s">
        <v>333</v>
      </c>
      <c r="D154" s="14">
        <v>4396334.17</v>
      </c>
      <c r="E154" s="82">
        <v>0.96326405260000003</v>
      </c>
      <c r="F154" s="14">
        <v>4234830.67</v>
      </c>
      <c r="G154" s="14">
        <v>0.01</v>
      </c>
      <c r="H154" s="10"/>
      <c r="I154" s="10"/>
    </row>
    <row r="155" spans="1:9">
      <c r="A155" s="10" t="s">
        <v>643</v>
      </c>
      <c r="B155" s="124" t="s">
        <v>556</v>
      </c>
      <c r="C155" s="124" t="s">
        <v>333</v>
      </c>
      <c r="D155" s="14">
        <v>5311841.87</v>
      </c>
      <c r="E155" s="82">
        <v>0.96696432710000002</v>
      </c>
      <c r="F155" s="153">
        <v>5136361.5999999996</v>
      </c>
      <c r="G155" s="14">
        <v>0.01</v>
      </c>
      <c r="H155" s="10"/>
      <c r="I155" s="10"/>
    </row>
    <row r="156" spans="1:9">
      <c r="A156" s="10" t="s">
        <v>644</v>
      </c>
      <c r="B156" s="124" t="s">
        <v>645</v>
      </c>
      <c r="C156" s="124" t="s">
        <v>333</v>
      </c>
      <c r="D156" s="14">
        <v>4103981.39</v>
      </c>
      <c r="E156" s="82">
        <v>0.97369687159999996</v>
      </c>
      <c r="F156" s="14">
        <v>3996033.84</v>
      </c>
      <c r="G156" s="12">
        <v>0</v>
      </c>
      <c r="H156" s="10"/>
      <c r="I156" s="10"/>
    </row>
    <row r="157" spans="1:9">
      <c r="A157" s="10" t="s">
        <v>646</v>
      </c>
      <c r="B157" s="124" t="s">
        <v>552</v>
      </c>
      <c r="C157" s="124" t="s">
        <v>333</v>
      </c>
      <c r="D157" s="14">
        <v>8106418.25</v>
      </c>
      <c r="E157" s="82">
        <v>0.96845236410000002</v>
      </c>
      <c r="F157" s="14">
        <v>7850679.9199999999</v>
      </c>
      <c r="G157" s="14">
        <v>0.01</v>
      </c>
      <c r="H157" s="10"/>
      <c r="I157" s="10"/>
    </row>
    <row r="158" spans="1:9">
      <c r="A158" s="10" t="s">
        <v>647</v>
      </c>
      <c r="B158" s="124" t="s">
        <v>463</v>
      </c>
      <c r="C158" s="124" t="s">
        <v>333</v>
      </c>
      <c r="D158" s="14">
        <v>5109127.71</v>
      </c>
      <c r="E158" s="82">
        <v>0.98977682810000001</v>
      </c>
      <c r="F158" s="14">
        <v>5056896.22</v>
      </c>
      <c r="G158" s="14">
        <v>0.01</v>
      </c>
      <c r="H158" s="10"/>
      <c r="I158" s="10"/>
    </row>
    <row r="159" spans="1:9">
      <c r="A159" s="10" t="s">
        <v>648</v>
      </c>
      <c r="B159" s="124" t="s">
        <v>473</v>
      </c>
      <c r="C159" s="124" t="s">
        <v>333</v>
      </c>
      <c r="D159" s="12">
        <v>333534247</v>
      </c>
      <c r="E159" s="82">
        <v>0.99639659920000001</v>
      </c>
      <c r="F159" s="14">
        <v>332332389.43000001</v>
      </c>
      <c r="G159" s="14">
        <v>0.41</v>
      </c>
      <c r="H159" s="10"/>
      <c r="I159" s="10"/>
    </row>
    <row r="160" spans="1:9">
      <c r="A160" s="10" t="s">
        <v>649</v>
      </c>
      <c r="B160" s="124" t="s">
        <v>561</v>
      </c>
      <c r="C160" s="124" t="s">
        <v>333</v>
      </c>
      <c r="D160" s="14">
        <v>10867742.35</v>
      </c>
      <c r="E160" s="82">
        <v>0.99522836130000003</v>
      </c>
      <c r="F160" s="14">
        <v>10815885.41</v>
      </c>
      <c r="G160" s="14">
        <v>0.01</v>
      </c>
      <c r="H160" s="10"/>
      <c r="I160" s="10"/>
    </row>
    <row r="161" spans="1:14">
      <c r="A161" s="10" t="s">
        <v>656</v>
      </c>
      <c r="B161" s="124" t="s">
        <v>655</v>
      </c>
      <c r="C161" s="124" t="s">
        <v>369</v>
      </c>
      <c r="D161" s="12">
        <v>2000000</v>
      </c>
      <c r="E161" s="157">
        <v>0.94281141400000001</v>
      </c>
      <c r="F161" s="14">
        <v>1885622.83</v>
      </c>
      <c r="G161" s="12">
        <v>0</v>
      </c>
      <c r="H161" s="10"/>
      <c r="I161" s="10"/>
    </row>
    <row r="162" spans="1:14">
      <c r="A162" s="10" t="s">
        <v>658</v>
      </c>
      <c r="B162" s="124" t="s">
        <v>657</v>
      </c>
      <c r="C162" s="124" t="s">
        <v>369</v>
      </c>
      <c r="D162" s="12">
        <v>3400000</v>
      </c>
      <c r="E162" s="82">
        <v>0.95614819939999995</v>
      </c>
      <c r="F162" s="14">
        <v>3250903.88</v>
      </c>
      <c r="G162" s="12">
        <v>0</v>
      </c>
      <c r="H162" s="10"/>
      <c r="I162" s="10"/>
    </row>
    <row r="163" spans="1:14">
      <c r="A163" s="10" t="s">
        <v>659</v>
      </c>
      <c r="B163" s="124" t="s">
        <v>636</v>
      </c>
      <c r="C163" s="124" t="s">
        <v>369</v>
      </c>
      <c r="D163" s="12">
        <v>14000000</v>
      </c>
      <c r="E163" s="82">
        <v>0.9480273817</v>
      </c>
      <c r="F163" s="14">
        <v>13272383.34</v>
      </c>
      <c r="G163" s="14">
        <v>0.02</v>
      </c>
      <c r="H163" s="10"/>
      <c r="I163" s="10"/>
    </row>
    <row r="164" spans="1:14">
      <c r="A164" s="10" t="s">
        <v>660</v>
      </c>
      <c r="B164" s="124" t="s">
        <v>255</v>
      </c>
      <c r="C164" s="124" t="s">
        <v>369</v>
      </c>
      <c r="D164" s="12">
        <v>14000000</v>
      </c>
      <c r="E164" s="82">
        <v>0.9430550499</v>
      </c>
      <c r="F164" s="153">
        <v>13202770.699999999</v>
      </c>
      <c r="G164" s="14">
        <v>0.02</v>
      </c>
      <c r="H164" s="10"/>
      <c r="I164" s="10"/>
    </row>
    <row r="165" spans="1:14">
      <c r="A165" s="10" t="s">
        <v>662</v>
      </c>
      <c r="B165" s="124" t="s">
        <v>661</v>
      </c>
      <c r="C165" s="124" t="s">
        <v>369</v>
      </c>
      <c r="D165" s="12">
        <v>14000000</v>
      </c>
      <c r="E165" s="82">
        <v>0.95959205780000001</v>
      </c>
      <c r="F165" s="14">
        <v>13434288.810000001</v>
      </c>
      <c r="G165" s="14">
        <v>0.02</v>
      </c>
      <c r="H165" s="10"/>
      <c r="I165" s="10"/>
    </row>
    <row r="166" spans="1:14">
      <c r="A166" s="10" t="s">
        <v>664</v>
      </c>
      <c r="B166" s="124" t="s">
        <v>663</v>
      </c>
      <c r="C166" s="124" t="s">
        <v>369</v>
      </c>
      <c r="D166" s="12">
        <v>14000000</v>
      </c>
      <c r="E166" s="157">
        <v>0.93813460599999998</v>
      </c>
      <c r="F166" s="14">
        <v>13133884.48</v>
      </c>
      <c r="G166" s="14">
        <v>0.02</v>
      </c>
      <c r="H166" s="10"/>
      <c r="I166" s="10"/>
    </row>
    <row r="167" spans="1:14">
      <c r="A167" s="10" t="s">
        <v>665</v>
      </c>
      <c r="B167" s="124" t="s">
        <v>657</v>
      </c>
      <c r="C167" s="124" t="s">
        <v>369</v>
      </c>
      <c r="D167" s="12">
        <v>14000000</v>
      </c>
      <c r="E167" s="157">
        <v>0.95305242499999998</v>
      </c>
      <c r="F167" s="14">
        <v>13342733.949999999</v>
      </c>
      <c r="G167" s="14">
        <v>0.02</v>
      </c>
      <c r="H167" s="10"/>
      <c r="I167" s="10"/>
    </row>
    <row r="168" spans="1:14">
      <c r="A168" s="10" t="s">
        <v>654</v>
      </c>
      <c r="B168" s="124" t="s">
        <v>561</v>
      </c>
      <c r="C168" s="124" t="s">
        <v>369</v>
      </c>
      <c r="D168" s="12">
        <v>110000000</v>
      </c>
      <c r="E168" s="82">
        <v>0.99631500049999999</v>
      </c>
      <c r="F168" s="14">
        <v>109594650.06</v>
      </c>
      <c r="G168" s="14">
        <v>0.13</v>
      </c>
      <c r="H168" s="10"/>
      <c r="I168" s="10"/>
    </row>
    <row r="169" spans="1:14">
      <c r="A169" s="10" t="s">
        <v>666</v>
      </c>
      <c r="B169" s="124" t="s">
        <v>645</v>
      </c>
      <c r="C169" s="124" t="s">
        <v>370</v>
      </c>
      <c r="D169" s="12">
        <v>30000000</v>
      </c>
      <c r="E169" s="82">
        <v>0.97458082420000003</v>
      </c>
      <c r="F169" s="14">
        <v>29237424.73</v>
      </c>
      <c r="G169" s="14">
        <v>0.04</v>
      </c>
      <c r="H169" s="10"/>
      <c r="I169" s="10"/>
    </row>
    <row r="170" spans="1:14">
      <c r="A170" s="10" t="s">
        <v>668</v>
      </c>
      <c r="B170" s="124" t="s">
        <v>667</v>
      </c>
      <c r="C170" s="124" t="s">
        <v>370</v>
      </c>
      <c r="D170" s="12">
        <v>30000000</v>
      </c>
      <c r="E170" s="82">
        <v>0.96377273429999999</v>
      </c>
      <c r="F170" s="14">
        <v>28913182.030000001</v>
      </c>
      <c r="G170" s="14">
        <v>0.04</v>
      </c>
      <c r="H170" s="10"/>
      <c r="I170" s="10"/>
    </row>
    <row r="171" spans="1:14">
      <c r="A171" s="10" t="s">
        <v>671</v>
      </c>
      <c r="B171" s="124" t="s">
        <v>670</v>
      </c>
      <c r="C171" s="124" t="s">
        <v>370</v>
      </c>
      <c r="D171" s="12">
        <v>7000000</v>
      </c>
      <c r="E171" s="82">
        <v>0.9504218445</v>
      </c>
      <c r="F171" s="14">
        <v>6652952.9100000001</v>
      </c>
      <c r="G171" s="14">
        <v>0.01</v>
      </c>
      <c r="H171" s="10"/>
      <c r="I171" s="10"/>
    </row>
    <row r="172" spans="1:14">
      <c r="A172" s="10" t="s">
        <v>672</v>
      </c>
      <c r="B172" s="124" t="s">
        <v>645</v>
      </c>
      <c r="C172" s="124" t="s">
        <v>370</v>
      </c>
      <c r="D172" s="12">
        <v>7000000</v>
      </c>
      <c r="E172" s="82">
        <v>0.97458082239999999</v>
      </c>
      <c r="F172" s="14">
        <v>6822065.7599999998</v>
      </c>
      <c r="G172" s="14">
        <v>0.01</v>
      </c>
      <c r="H172" s="10"/>
      <c r="I172" s="10"/>
      <c r="N172" s="59"/>
    </row>
    <row r="173" spans="1:14">
      <c r="A173" s="10" t="s">
        <v>673</v>
      </c>
      <c r="B173" s="124" t="s">
        <v>561</v>
      </c>
      <c r="C173" s="124" t="s">
        <v>370</v>
      </c>
      <c r="D173" s="12">
        <v>10000000</v>
      </c>
      <c r="E173" s="157">
        <v>0.99631500500000003</v>
      </c>
      <c r="F173" s="14">
        <v>9963150.0500000007</v>
      </c>
      <c r="G173" s="14">
        <v>0.01</v>
      </c>
      <c r="H173" s="10"/>
      <c r="I173" s="10"/>
    </row>
    <row r="174" spans="1:14">
      <c r="A174" s="10" t="s">
        <v>674</v>
      </c>
      <c r="B174" s="124" t="s">
        <v>463</v>
      </c>
      <c r="C174" s="124" t="s">
        <v>370</v>
      </c>
      <c r="D174" s="12">
        <v>10000000</v>
      </c>
      <c r="E174" s="157">
        <v>0.99047516199999996</v>
      </c>
      <c r="F174" s="14">
        <v>9904751.6199999992</v>
      </c>
      <c r="G174" s="14">
        <v>0.01</v>
      </c>
      <c r="H174" s="10"/>
      <c r="I174" s="10"/>
    </row>
    <row r="175" spans="1:14">
      <c r="A175" s="10" t="s">
        <v>669</v>
      </c>
      <c r="B175" s="124" t="s">
        <v>587</v>
      </c>
      <c r="C175" s="124" t="s">
        <v>370</v>
      </c>
      <c r="D175" s="14">
        <v>20078937.030000001</v>
      </c>
      <c r="E175" s="82">
        <v>0.94854477179999996</v>
      </c>
      <c r="F175" s="14">
        <v>19045770.739999998</v>
      </c>
      <c r="G175" s="14">
        <v>0.02</v>
      </c>
      <c r="H175" s="10"/>
      <c r="I175" s="10"/>
    </row>
    <row r="176" spans="1:14">
      <c r="A176" s="10" t="s">
        <v>676</v>
      </c>
      <c r="B176" s="124" t="s">
        <v>473</v>
      </c>
      <c r="C176" s="124" t="s">
        <v>374</v>
      </c>
      <c r="D176" s="12">
        <v>15000000</v>
      </c>
      <c r="E176" s="82">
        <v>0.99715878859999996</v>
      </c>
      <c r="F176" s="14">
        <v>14957381.83</v>
      </c>
      <c r="G176" s="14">
        <v>0.02</v>
      </c>
      <c r="H176" s="10"/>
      <c r="I176" s="10"/>
    </row>
    <row r="177" spans="1:14">
      <c r="A177" s="10" t="s">
        <v>678</v>
      </c>
      <c r="B177" s="124" t="s">
        <v>670</v>
      </c>
      <c r="C177" s="124" t="s">
        <v>476</v>
      </c>
      <c r="D177" s="12">
        <v>83000000</v>
      </c>
      <c r="E177" s="82">
        <v>0.94706806320000003</v>
      </c>
      <c r="F177" s="14">
        <v>78606649.25</v>
      </c>
      <c r="G177" s="153">
        <v>0.1</v>
      </c>
      <c r="H177" s="10"/>
      <c r="I177" s="10"/>
    </row>
    <row r="178" spans="1:14">
      <c r="A178" s="10" t="s">
        <v>679</v>
      </c>
      <c r="B178" s="124" t="s">
        <v>587</v>
      </c>
      <c r="C178" s="124" t="s">
        <v>476</v>
      </c>
      <c r="D178" s="12">
        <v>83000000</v>
      </c>
      <c r="E178" s="82">
        <v>0.95674970410000004</v>
      </c>
      <c r="F178" s="14">
        <v>79410225.439999998</v>
      </c>
      <c r="G178" s="153">
        <v>0.1</v>
      </c>
      <c r="H178" s="10"/>
      <c r="I178" s="10"/>
    </row>
    <row r="179" spans="1:14">
      <c r="A179" s="10" t="s">
        <v>680</v>
      </c>
      <c r="B179" s="124" t="s">
        <v>667</v>
      </c>
      <c r="C179" s="124" t="s">
        <v>476</v>
      </c>
      <c r="D179" s="12">
        <v>25000000</v>
      </c>
      <c r="E179" s="82">
        <v>0.96502136090000001</v>
      </c>
      <c r="F179" s="14">
        <v>24125534.02</v>
      </c>
      <c r="G179" s="14">
        <v>0.03</v>
      </c>
      <c r="H179" s="10"/>
      <c r="I179" s="10"/>
    </row>
    <row r="180" spans="1:14">
      <c r="A180" s="10" t="s">
        <v>681</v>
      </c>
      <c r="B180" s="124" t="s">
        <v>682</v>
      </c>
      <c r="C180" s="124" t="s">
        <v>476</v>
      </c>
      <c r="D180" s="12">
        <v>25000000</v>
      </c>
      <c r="E180" s="82">
        <v>0.97476303760000005</v>
      </c>
      <c r="F180" s="14">
        <v>24369075.940000001</v>
      </c>
      <c r="G180" s="14">
        <v>0.03</v>
      </c>
      <c r="H180" s="10"/>
      <c r="I180" s="10"/>
    </row>
    <row r="181" spans="1:14">
      <c r="A181" s="10" t="s">
        <v>683</v>
      </c>
      <c r="B181" s="124" t="s">
        <v>505</v>
      </c>
      <c r="C181" s="124" t="s">
        <v>476</v>
      </c>
      <c r="D181" s="12">
        <v>25000000</v>
      </c>
      <c r="E181" s="82">
        <v>0.9948486004</v>
      </c>
      <c r="F181" s="14">
        <v>24871215.010000002</v>
      </c>
      <c r="G181" s="14">
        <v>0.03</v>
      </c>
      <c r="H181" s="10"/>
      <c r="I181" s="10"/>
    </row>
    <row r="182" spans="1:14">
      <c r="A182" s="10" t="s">
        <v>684</v>
      </c>
      <c r="B182" s="124" t="s">
        <v>559</v>
      </c>
      <c r="C182" s="124" t="s">
        <v>476</v>
      </c>
      <c r="D182" s="12">
        <v>25000000</v>
      </c>
      <c r="E182" s="82">
        <v>0.97970800629999999</v>
      </c>
      <c r="F182" s="14">
        <v>24492700.16</v>
      </c>
      <c r="G182" s="14">
        <v>0.03</v>
      </c>
      <c r="H182" s="10"/>
      <c r="I182" s="10"/>
    </row>
    <row r="183" spans="1:14">
      <c r="A183" s="10" t="s">
        <v>686</v>
      </c>
      <c r="B183" s="124" t="s">
        <v>578</v>
      </c>
      <c r="C183" s="124" t="s">
        <v>371</v>
      </c>
      <c r="D183" s="12">
        <v>40000000</v>
      </c>
      <c r="E183" s="82">
        <v>0.99476725249999998</v>
      </c>
      <c r="F183" s="153">
        <v>39790690.100000001</v>
      </c>
      <c r="G183" s="14">
        <v>0.05</v>
      </c>
      <c r="H183" s="10"/>
      <c r="I183" s="10"/>
    </row>
    <row r="184" spans="1:14">
      <c r="A184" s="10" t="s">
        <v>687</v>
      </c>
      <c r="B184" s="124" t="s">
        <v>561</v>
      </c>
      <c r="C184" s="124" t="s">
        <v>371</v>
      </c>
      <c r="D184" s="14">
        <v>10655603.279999999</v>
      </c>
      <c r="E184" s="82">
        <v>0.9956355751</v>
      </c>
      <c r="F184" s="153">
        <v>10609097.699999999</v>
      </c>
      <c r="G184" s="14">
        <v>0.01</v>
      </c>
      <c r="H184" s="10"/>
      <c r="I184" s="10"/>
    </row>
    <row r="185" spans="1:14">
      <c r="A185" s="10" t="s">
        <v>689</v>
      </c>
      <c r="B185" s="124" t="s">
        <v>625</v>
      </c>
      <c r="C185" s="124" t="s">
        <v>371</v>
      </c>
      <c r="D185" s="14">
        <v>10655603.279999999</v>
      </c>
      <c r="E185" s="82">
        <v>0.99912405709999996</v>
      </c>
      <c r="F185" s="14">
        <v>10646269.58</v>
      </c>
      <c r="G185" s="14">
        <v>0.01</v>
      </c>
      <c r="H185" s="10"/>
      <c r="I185" s="10"/>
      <c r="N185" s="59"/>
    </row>
    <row r="186" spans="1:14">
      <c r="A186" s="10" t="s">
        <v>690</v>
      </c>
      <c r="B186" s="124" t="s">
        <v>473</v>
      </c>
      <c r="C186" s="124" t="s">
        <v>371</v>
      </c>
      <c r="D186" s="14">
        <v>10655603.279999999</v>
      </c>
      <c r="E186" s="82">
        <v>0.9965054122</v>
      </c>
      <c r="F186" s="14">
        <v>10618366.34</v>
      </c>
      <c r="G186" s="14">
        <v>0.01</v>
      </c>
      <c r="H186" s="10"/>
      <c r="I186" s="10"/>
    </row>
    <row r="187" spans="1:14">
      <c r="A187" s="10" t="s">
        <v>691</v>
      </c>
      <c r="B187" s="124" t="s">
        <v>692</v>
      </c>
      <c r="C187" s="124" t="s">
        <v>371</v>
      </c>
      <c r="D187" s="12">
        <v>475000000</v>
      </c>
      <c r="E187" s="82">
        <v>0.99044829909999998</v>
      </c>
      <c r="F187" s="14">
        <v>470462942.06999999</v>
      </c>
      <c r="G187" s="14">
        <v>0.57999999999999996</v>
      </c>
      <c r="H187" s="10"/>
      <c r="I187" s="10"/>
    </row>
    <row r="188" spans="1:14">
      <c r="A188" s="10" t="s">
        <v>693</v>
      </c>
      <c r="B188" s="124" t="s">
        <v>625</v>
      </c>
      <c r="C188" s="124" t="s">
        <v>371</v>
      </c>
      <c r="D188" s="12">
        <v>5000000</v>
      </c>
      <c r="E188" s="157">
        <v>0.999178758</v>
      </c>
      <c r="F188" s="14">
        <v>4995893.79</v>
      </c>
      <c r="G188" s="14">
        <v>0.01</v>
      </c>
      <c r="H188" s="10"/>
      <c r="I188" s="10"/>
    </row>
    <row r="189" spans="1:14">
      <c r="A189" s="10" t="s">
        <v>709</v>
      </c>
      <c r="B189" s="124" t="s">
        <v>561</v>
      </c>
      <c r="C189" s="124" t="s">
        <v>311</v>
      </c>
      <c r="D189" s="12">
        <v>100000000</v>
      </c>
      <c r="E189" s="82">
        <v>0.99590723839999995</v>
      </c>
      <c r="F189" s="14">
        <v>99590723.840000004</v>
      </c>
      <c r="G189" s="14">
        <v>0.12</v>
      </c>
      <c r="H189" s="10"/>
      <c r="I189" s="10"/>
    </row>
    <row r="190" spans="1:14">
      <c r="A190" s="10" t="s">
        <v>700</v>
      </c>
      <c r="B190" s="124" t="s">
        <v>561</v>
      </c>
      <c r="C190" s="124" t="s">
        <v>311</v>
      </c>
      <c r="D190" s="14">
        <v>990902.64</v>
      </c>
      <c r="E190" s="82">
        <v>0.99536406509999997</v>
      </c>
      <c r="F190" s="14">
        <v>986308.88</v>
      </c>
      <c r="G190" s="12">
        <v>0</v>
      </c>
      <c r="H190" s="10"/>
      <c r="I190" s="10"/>
    </row>
    <row r="191" spans="1:14">
      <c r="A191" s="10" t="s">
        <v>701</v>
      </c>
      <c r="B191" s="124" t="s">
        <v>561</v>
      </c>
      <c r="C191" s="124" t="s">
        <v>311</v>
      </c>
      <c r="D191" s="14">
        <v>1020845.65</v>
      </c>
      <c r="E191" s="82">
        <v>0.99536406889999995</v>
      </c>
      <c r="F191" s="14">
        <v>1016113.08</v>
      </c>
      <c r="G191" s="12">
        <v>0</v>
      </c>
      <c r="H191" s="10"/>
      <c r="I191" s="10"/>
    </row>
    <row r="192" spans="1:14">
      <c r="A192" s="10" t="s">
        <v>702</v>
      </c>
      <c r="B192" s="124" t="s">
        <v>578</v>
      </c>
      <c r="C192" s="124" t="s">
        <v>311</v>
      </c>
      <c r="D192" s="14">
        <v>990902.64</v>
      </c>
      <c r="E192" s="82">
        <v>0.99444203710000001</v>
      </c>
      <c r="F192" s="14">
        <v>985395.24</v>
      </c>
      <c r="G192" s="12">
        <v>0</v>
      </c>
      <c r="H192" s="10"/>
      <c r="I192" s="10"/>
    </row>
    <row r="193" spans="1:17">
      <c r="A193" s="10" t="s">
        <v>703</v>
      </c>
      <c r="B193" s="124" t="s">
        <v>578</v>
      </c>
      <c r="C193" s="124" t="s">
        <v>311</v>
      </c>
      <c r="D193" s="14">
        <v>1020845.65</v>
      </c>
      <c r="E193" s="82">
        <v>0.99444202950000005</v>
      </c>
      <c r="F193" s="14">
        <v>1015171.82</v>
      </c>
      <c r="G193" s="12">
        <v>0</v>
      </c>
      <c r="H193" s="10"/>
      <c r="I193" s="10"/>
    </row>
    <row r="194" spans="1:17">
      <c r="A194" s="10" t="s">
        <v>706</v>
      </c>
      <c r="B194" s="124" t="s">
        <v>625</v>
      </c>
      <c r="C194" s="124" t="s">
        <v>311</v>
      </c>
      <c r="D194" s="14">
        <v>990902.64</v>
      </c>
      <c r="E194" s="82">
        <v>0.99906936369999999</v>
      </c>
      <c r="F194" s="14">
        <v>989980.47</v>
      </c>
      <c r="G194" s="12">
        <v>0</v>
      </c>
      <c r="H194" s="10"/>
      <c r="I194" s="10"/>
    </row>
    <row r="195" spans="1:17">
      <c r="A195" s="10" t="s">
        <v>707</v>
      </c>
      <c r="B195" s="124" t="s">
        <v>625</v>
      </c>
      <c r="C195" s="124" t="s">
        <v>311</v>
      </c>
      <c r="D195" s="14">
        <v>1020845.65</v>
      </c>
      <c r="E195" s="82">
        <v>0.9990693598</v>
      </c>
      <c r="F195" s="14">
        <v>1019895.61</v>
      </c>
      <c r="G195" s="12">
        <v>0</v>
      </c>
      <c r="H195" s="10"/>
      <c r="I195" s="10"/>
    </row>
    <row r="196" spans="1:17">
      <c r="A196" s="10" t="s">
        <v>698</v>
      </c>
      <c r="B196" s="124" t="s">
        <v>473</v>
      </c>
      <c r="C196" s="124" t="s">
        <v>311</v>
      </c>
      <c r="D196" s="14">
        <v>1020845.65</v>
      </c>
      <c r="E196" s="82">
        <v>0.99628781290000001</v>
      </c>
      <c r="F196" s="14">
        <v>1017056.08</v>
      </c>
      <c r="G196" s="12">
        <v>0</v>
      </c>
      <c r="H196" s="10"/>
      <c r="I196" s="10"/>
    </row>
    <row r="197" spans="1:17">
      <c r="A197" s="10" t="s">
        <v>699</v>
      </c>
      <c r="B197" s="124" t="s">
        <v>473</v>
      </c>
      <c r="C197" s="124" t="s">
        <v>311</v>
      </c>
      <c r="D197" s="14">
        <v>990902.64</v>
      </c>
      <c r="E197" s="82">
        <v>0.99628780890000002</v>
      </c>
      <c r="F197" s="14">
        <v>987224.22</v>
      </c>
      <c r="G197" s="12">
        <v>0</v>
      </c>
      <c r="H197" s="10"/>
      <c r="I197" s="10"/>
      <c r="Q197" s="59"/>
    </row>
    <row r="198" spans="1:17">
      <c r="A198" s="10" t="s">
        <v>708</v>
      </c>
      <c r="B198" s="124" t="s">
        <v>578</v>
      </c>
      <c r="C198" s="124" t="s">
        <v>311</v>
      </c>
      <c r="D198" s="12">
        <v>3000000</v>
      </c>
      <c r="E198" s="21">
        <v>0.99444202999999998</v>
      </c>
      <c r="F198" s="14">
        <v>2983326.09</v>
      </c>
      <c r="G198" s="12">
        <v>0</v>
      </c>
      <c r="H198" s="10"/>
      <c r="I198" s="10"/>
    </row>
    <row r="199" spans="1:17">
      <c r="A199" s="10" t="s">
        <v>715</v>
      </c>
      <c r="B199" s="124" t="s">
        <v>716</v>
      </c>
      <c r="C199" s="124" t="s">
        <v>313</v>
      </c>
      <c r="D199" s="14">
        <v>5000300.25</v>
      </c>
      <c r="E199" s="82">
        <v>0.97991839179999995</v>
      </c>
      <c r="F199" s="14">
        <v>4899886.18</v>
      </c>
      <c r="G199" s="14">
        <v>0.01</v>
      </c>
      <c r="H199" s="10"/>
      <c r="I199" s="10"/>
    </row>
    <row r="200" spans="1:17">
      <c r="A200" s="10" t="s">
        <v>717</v>
      </c>
      <c r="B200" s="124" t="s">
        <v>718</v>
      </c>
      <c r="C200" s="124" t="s">
        <v>313</v>
      </c>
      <c r="D200" s="14">
        <v>5000300.25</v>
      </c>
      <c r="E200" s="82">
        <v>0.97635352360000005</v>
      </c>
      <c r="F200" s="14">
        <v>4882060.7699999996</v>
      </c>
      <c r="G200" s="14">
        <v>0.01</v>
      </c>
      <c r="H200" s="10"/>
      <c r="I200" s="10"/>
    </row>
    <row r="201" spans="1:17">
      <c r="A201" s="10" t="s">
        <v>719</v>
      </c>
      <c r="B201" s="124" t="s">
        <v>610</v>
      </c>
      <c r="C201" s="124" t="s">
        <v>313</v>
      </c>
      <c r="D201" s="14">
        <v>5000300.25</v>
      </c>
      <c r="E201" s="82">
        <v>0.97369686720000004</v>
      </c>
      <c r="F201" s="14">
        <v>4868776.6900000004</v>
      </c>
      <c r="G201" s="14">
        <v>0.01</v>
      </c>
      <c r="H201" s="10"/>
      <c r="I201" s="10"/>
    </row>
    <row r="202" spans="1:17">
      <c r="A202" s="10" t="s">
        <v>720</v>
      </c>
      <c r="B202" s="124" t="s">
        <v>559</v>
      </c>
      <c r="C202" s="124" t="s">
        <v>313</v>
      </c>
      <c r="D202" s="14">
        <v>5000300.25</v>
      </c>
      <c r="E202" s="82">
        <v>0.97458083610000001</v>
      </c>
      <c r="F202" s="153">
        <v>4873196.8</v>
      </c>
      <c r="G202" s="14">
        <v>0.01</v>
      </c>
      <c r="H202" s="10"/>
      <c r="I202" s="10"/>
    </row>
    <row r="203" spans="1:17">
      <c r="A203" s="10" t="s">
        <v>721</v>
      </c>
      <c r="B203" s="124" t="s">
        <v>559</v>
      </c>
      <c r="C203" s="124" t="s">
        <v>313</v>
      </c>
      <c r="D203" s="14">
        <v>5000300.25</v>
      </c>
      <c r="E203" s="82">
        <v>0.97458083610000001</v>
      </c>
      <c r="F203" s="153">
        <v>4873196.8</v>
      </c>
      <c r="G203" s="14">
        <v>0.01</v>
      </c>
      <c r="H203" s="10"/>
      <c r="I203" s="10"/>
    </row>
    <row r="204" spans="1:17">
      <c r="A204" s="10" t="s">
        <v>722</v>
      </c>
      <c r="B204" s="124" t="s">
        <v>559</v>
      </c>
      <c r="C204" s="124" t="s">
        <v>313</v>
      </c>
      <c r="D204" s="14">
        <v>5000300.25</v>
      </c>
      <c r="E204" s="82">
        <v>0.97458083610000001</v>
      </c>
      <c r="F204" s="153">
        <v>4873196.8</v>
      </c>
      <c r="G204" s="14">
        <v>0.01</v>
      </c>
      <c r="H204" s="10"/>
      <c r="I204" s="10"/>
    </row>
    <row r="205" spans="1:17">
      <c r="A205" s="10" t="s">
        <v>723</v>
      </c>
      <c r="B205" s="124" t="s">
        <v>559</v>
      </c>
      <c r="C205" s="124" t="s">
        <v>313</v>
      </c>
      <c r="D205" s="14">
        <v>5000300.25</v>
      </c>
      <c r="E205" s="82">
        <v>0.97458083610000001</v>
      </c>
      <c r="F205" s="153">
        <v>4873196.8</v>
      </c>
      <c r="G205" s="14">
        <v>0.01</v>
      </c>
      <c r="H205" s="10"/>
      <c r="I205" s="10"/>
    </row>
    <row r="206" spans="1:17">
      <c r="A206" s="10" t="s">
        <v>724</v>
      </c>
      <c r="B206" s="124" t="s">
        <v>461</v>
      </c>
      <c r="C206" s="124" t="s">
        <v>313</v>
      </c>
      <c r="D206" s="14">
        <v>5000300.25</v>
      </c>
      <c r="E206" s="82">
        <v>0.97546641150000002</v>
      </c>
      <c r="F206" s="14">
        <v>4877624.9400000004</v>
      </c>
      <c r="G206" s="14">
        <v>0.01</v>
      </c>
      <c r="H206" s="10"/>
      <c r="I206" s="10"/>
    </row>
    <row r="207" spans="1:17">
      <c r="A207" s="10" t="s">
        <v>725</v>
      </c>
      <c r="B207" s="124" t="s">
        <v>505</v>
      </c>
      <c r="C207" s="124" t="s">
        <v>313</v>
      </c>
      <c r="D207" s="14">
        <v>1020845.65</v>
      </c>
      <c r="E207" s="82">
        <v>0.99352170419999997</v>
      </c>
      <c r="F207" s="14">
        <v>1014232.31</v>
      </c>
      <c r="G207" s="12">
        <v>0</v>
      </c>
      <c r="H207" s="10"/>
      <c r="I207" s="10"/>
    </row>
    <row r="208" spans="1:17">
      <c r="A208" s="10" t="s">
        <v>726</v>
      </c>
      <c r="B208" s="124" t="s">
        <v>517</v>
      </c>
      <c r="C208" s="124" t="s">
        <v>313</v>
      </c>
      <c r="D208" s="14">
        <v>1020845.65</v>
      </c>
      <c r="E208" s="82">
        <v>0.98894552759999999</v>
      </c>
      <c r="F208" s="14">
        <v>1009560.74</v>
      </c>
      <c r="G208" s="12">
        <v>0</v>
      </c>
      <c r="H208" s="10"/>
      <c r="I208" s="10"/>
    </row>
    <row r="209" spans="1:9">
      <c r="A209" s="10" t="s">
        <v>727</v>
      </c>
      <c r="B209" s="124" t="s">
        <v>463</v>
      </c>
      <c r="C209" s="124" t="s">
        <v>313</v>
      </c>
      <c r="D209" s="14">
        <v>990902.64</v>
      </c>
      <c r="E209" s="82">
        <v>0.98803532289999996</v>
      </c>
      <c r="F209" s="14">
        <v>979046.81</v>
      </c>
      <c r="G209" s="12">
        <v>0</v>
      </c>
      <c r="H209" s="10"/>
      <c r="I209" s="10"/>
    </row>
    <row r="210" spans="1:9">
      <c r="A210" s="10" t="s">
        <v>728</v>
      </c>
      <c r="B210" s="124" t="s">
        <v>505</v>
      </c>
      <c r="C210" s="124" t="s">
        <v>313</v>
      </c>
      <c r="D210" s="14">
        <v>990902.64</v>
      </c>
      <c r="E210" s="82">
        <v>0.99352169450000005</v>
      </c>
      <c r="F210" s="14">
        <v>984483.27</v>
      </c>
      <c r="G210" s="12">
        <v>0</v>
      </c>
      <c r="H210" s="10"/>
      <c r="I210" s="10"/>
    </row>
    <row r="211" spans="1:9">
      <c r="A211" s="10" t="s">
        <v>729</v>
      </c>
      <c r="B211" s="124" t="s">
        <v>463</v>
      </c>
      <c r="C211" s="124" t="s">
        <v>313</v>
      </c>
      <c r="D211" s="14">
        <v>1020845.65</v>
      </c>
      <c r="E211" s="82">
        <v>0.98803533129999999</v>
      </c>
      <c r="F211" s="14">
        <v>1008631.57</v>
      </c>
      <c r="G211" s="12">
        <v>0</v>
      </c>
      <c r="H211" s="10"/>
      <c r="I211" s="10"/>
    </row>
    <row r="212" spans="1:9">
      <c r="A212" s="10" t="s">
        <v>730</v>
      </c>
      <c r="B212" s="124" t="s">
        <v>463</v>
      </c>
      <c r="C212" s="124" t="s">
        <v>313</v>
      </c>
      <c r="D212" s="14">
        <v>1020845.65</v>
      </c>
      <c r="E212" s="82">
        <v>0.98803533129999999</v>
      </c>
      <c r="F212" s="14">
        <v>1008631.57</v>
      </c>
      <c r="G212" s="12">
        <v>0</v>
      </c>
      <c r="H212" s="10"/>
      <c r="I212" s="10"/>
    </row>
    <row r="213" spans="1:9">
      <c r="A213" s="10" t="s">
        <v>731</v>
      </c>
      <c r="B213" s="124" t="s">
        <v>517</v>
      </c>
      <c r="C213" s="124" t="s">
        <v>313</v>
      </c>
      <c r="D213" s="14">
        <v>990902.64</v>
      </c>
      <c r="E213" s="82">
        <v>0.98894551340000003</v>
      </c>
      <c r="F213" s="14">
        <v>979948.72</v>
      </c>
      <c r="G213" s="12">
        <v>0</v>
      </c>
      <c r="H213" s="10"/>
      <c r="I213" s="10"/>
    </row>
    <row r="214" spans="1:9">
      <c r="A214" s="10" t="s">
        <v>732</v>
      </c>
      <c r="B214" s="124" t="s">
        <v>692</v>
      </c>
      <c r="C214" s="124" t="s">
        <v>313</v>
      </c>
      <c r="D214" s="14">
        <v>990902.64</v>
      </c>
      <c r="E214" s="82">
        <v>0.98985737890000003</v>
      </c>
      <c r="F214" s="14">
        <v>980852.29</v>
      </c>
      <c r="G214" s="12">
        <v>0</v>
      </c>
      <c r="H214" s="10"/>
      <c r="I214" s="10"/>
    </row>
    <row r="215" spans="1:9">
      <c r="A215" s="10" t="s">
        <v>733</v>
      </c>
      <c r="B215" s="124" t="s">
        <v>692</v>
      </c>
      <c r="C215" s="124" t="s">
        <v>313</v>
      </c>
      <c r="D215" s="14">
        <v>1020845.65</v>
      </c>
      <c r="E215" s="82">
        <v>0.98985735029999999</v>
      </c>
      <c r="F215" s="14">
        <v>1010491.57</v>
      </c>
      <c r="G215" s="12">
        <v>0</v>
      </c>
      <c r="H215" s="10"/>
      <c r="I215" s="10"/>
    </row>
    <row r="216" spans="1:9">
      <c r="A216" s="10" t="s">
        <v>734</v>
      </c>
      <c r="B216" s="124" t="s">
        <v>473</v>
      </c>
      <c r="C216" s="124" t="s">
        <v>313</v>
      </c>
      <c r="D216" s="12">
        <v>32000000</v>
      </c>
      <c r="E216" s="82">
        <v>0.99726776049999999</v>
      </c>
      <c r="F216" s="14">
        <v>31912568.34</v>
      </c>
      <c r="G216" s="14">
        <v>0.04</v>
      </c>
      <c r="H216" s="10"/>
      <c r="I216" s="10"/>
    </row>
    <row r="217" spans="1:9">
      <c r="A217" s="10" t="s">
        <v>735</v>
      </c>
      <c r="B217" s="124" t="s">
        <v>415</v>
      </c>
      <c r="C217" s="124" t="s">
        <v>313</v>
      </c>
      <c r="D217" s="12">
        <v>32000000</v>
      </c>
      <c r="E217" s="82">
        <v>0.98715348309999995</v>
      </c>
      <c r="F217" s="14">
        <v>31588911.460000001</v>
      </c>
      <c r="G217" s="14">
        <v>0.04</v>
      </c>
      <c r="H217" s="10"/>
      <c r="I217" s="10"/>
    </row>
    <row r="218" spans="1:9">
      <c r="A218" s="10" t="s">
        <v>736</v>
      </c>
      <c r="B218" s="124" t="s">
        <v>505</v>
      </c>
      <c r="C218" s="124" t="s">
        <v>313</v>
      </c>
      <c r="D218" s="12">
        <v>60000000</v>
      </c>
      <c r="E218" s="82">
        <v>0.99465882390000004</v>
      </c>
      <c r="F218" s="14">
        <v>59679529.43</v>
      </c>
      <c r="G218" s="14">
        <v>7.0000000000000007E-2</v>
      </c>
      <c r="H218" s="10"/>
      <c r="I218" s="10"/>
    </row>
    <row r="219" spans="1:9">
      <c r="A219" s="10" t="s">
        <v>737</v>
      </c>
      <c r="B219" s="124" t="s">
        <v>463</v>
      </c>
      <c r="C219" s="124" t="s">
        <v>313</v>
      </c>
      <c r="D219" s="12">
        <v>60000000</v>
      </c>
      <c r="E219" s="82">
        <v>0.99012588830000003</v>
      </c>
      <c r="F219" s="153">
        <v>59407553.299999997</v>
      </c>
      <c r="G219" s="14">
        <v>7.0000000000000007E-2</v>
      </c>
      <c r="H219" s="10"/>
      <c r="I219" s="10"/>
    </row>
    <row r="220" spans="1:9">
      <c r="A220" s="10" t="s">
        <v>738</v>
      </c>
      <c r="B220" s="124" t="s">
        <v>559</v>
      </c>
      <c r="C220" s="124" t="s">
        <v>308</v>
      </c>
      <c r="D220" s="12">
        <v>15000000</v>
      </c>
      <c r="E220" s="82">
        <v>0.98044487069999997</v>
      </c>
      <c r="F220" s="14">
        <v>14706673.060000001</v>
      </c>
      <c r="G220" s="14">
        <v>0.02</v>
      </c>
      <c r="H220" s="10"/>
      <c r="I220" s="10"/>
    </row>
    <row r="221" spans="1:9">
      <c r="A221" s="10" t="s">
        <v>739</v>
      </c>
      <c r="B221" s="124" t="s">
        <v>667</v>
      </c>
      <c r="C221" s="124" t="s">
        <v>308</v>
      </c>
      <c r="D221" s="12">
        <v>15000000</v>
      </c>
      <c r="E221" s="82">
        <v>0.96627310420000001</v>
      </c>
      <c r="F221" s="14">
        <v>14494096.560000001</v>
      </c>
      <c r="G221" s="14">
        <v>0.02</v>
      </c>
      <c r="H221" s="10"/>
      <c r="I221" s="10"/>
    </row>
    <row r="222" spans="1:9">
      <c r="A222" s="10" t="s">
        <v>740</v>
      </c>
      <c r="B222" s="124" t="s">
        <v>741</v>
      </c>
      <c r="C222" s="124" t="s">
        <v>308</v>
      </c>
      <c r="D222" s="12">
        <v>25000000</v>
      </c>
      <c r="E222" s="82">
        <v>0.93912423180000004</v>
      </c>
      <c r="F222" s="153">
        <v>23478105.800000001</v>
      </c>
      <c r="G222" s="14">
        <v>0.03</v>
      </c>
      <c r="H222" s="10"/>
      <c r="I222" s="10"/>
    </row>
    <row r="223" spans="1:9">
      <c r="A223" s="10" t="s">
        <v>742</v>
      </c>
      <c r="B223" s="124" t="s">
        <v>743</v>
      </c>
      <c r="C223" s="124" t="s">
        <v>308</v>
      </c>
      <c r="D223" s="12">
        <v>25000000</v>
      </c>
      <c r="E223" s="82">
        <v>0.95444800249999995</v>
      </c>
      <c r="F223" s="14">
        <v>23861200.059999999</v>
      </c>
      <c r="G223" s="14">
        <v>0.03</v>
      </c>
      <c r="H223" s="10"/>
      <c r="I223" s="10"/>
    </row>
    <row r="224" spans="1:9">
      <c r="A224" s="10" t="s">
        <v>744</v>
      </c>
      <c r="B224" s="124" t="s">
        <v>429</v>
      </c>
      <c r="C224" s="124" t="s">
        <v>308</v>
      </c>
      <c r="D224" s="12">
        <v>25000000</v>
      </c>
      <c r="E224" s="82">
        <v>0.94800274289999997</v>
      </c>
      <c r="F224" s="14">
        <v>23700068.57</v>
      </c>
      <c r="G224" s="14">
        <v>0.03</v>
      </c>
      <c r="H224" s="10"/>
      <c r="I224" s="10"/>
    </row>
    <row r="225" spans="1:18">
      <c r="A225" s="10" t="s">
        <v>745</v>
      </c>
      <c r="B225" s="124" t="s">
        <v>746</v>
      </c>
      <c r="C225" s="124" t="s">
        <v>308</v>
      </c>
      <c r="D225" s="12">
        <v>15000000</v>
      </c>
      <c r="E225" s="82">
        <v>0.98942804220000002</v>
      </c>
      <c r="F225" s="14">
        <v>14841420.630000001</v>
      </c>
      <c r="G225" s="14">
        <v>0.02</v>
      </c>
      <c r="H225" s="10"/>
      <c r="I225" s="10"/>
    </row>
    <row r="226" spans="1:18">
      <c r="A226" s="10" t="s">
        <v>747</v>
      </c>
      <c r="B226" s="124" t="s">
        <v>459</v>
      </c>
      <c r="C226" s="124" t="s">
        <v>308</v>
      </c>
      <c r="D226" s="12">
        <v>15000000</v>
      </c>
      <c r="E226" s="82">
        <v>0.98595354020000003</v>
      </c>
      <c r="F226" s="153">
        <v>14789303.1</v>
      </c>
      <c r="G226" s="14">
        <v>0.02</v>
      </c>
      <c r="H226" s="10"/>
      <c r="I226" s="10"/>
    </row>
    <row r="227" spans="1:18">
      <c r="A227" s="10" t="s">
        <v>748</v>
      </c>
      <c r="B227" s="124" t="s">
        <v>561</v>
      </c>
      <c r="C227" s="124" t="s">
        <v>308</v>
      </c>
      <c r="D227" s="12">
        <v>15000000</v>
      </c>
      <c r="E227" s="82">
        <v>0.99645099790000002</v>
      </c>
      <c r="F227" s="14">
        <v>14946764.970000001</v>
      </c>
      <c r="G227" s="14">
        <v>0.02</v>
      </c>
      <c r="H227" s="10"/>
      <c r="I227" s="10"/>
    </row>
    <row r="228" spans="1:18">
      <c r="A228" s="10" t="s">
        <v>749</v>
      </c>
      <c r="B228" s="124" t="s">
        <v>716</v>
      </c>
      <c r="C228" s="124" t="s">
        <v>308</v>
      </c>
      <c r="D228" s="12">
        <v>15000000</v>
      </c>
      <c r="E228" s="82">
        <v>0.98457058639999995</v>
      </c>
      <c r="F228" s="153">
        <v>14768558.800000001</v>
      </c>
      <c r="G228" s="14">
        <v>0.02</v>
      </c>
      <c r="H228" s="10"/>
      <c r="I228" s="10"/>
    </row>
    <row r="229" spans="1:18">
      <c r="A229" s="10" t="s">
        <v>750</v>
      </c>
      <c r="B229" s="124" t="s">
        <v>498</v>
      </c>
      <c r="C229" s="124" t="s">
        <v>342</v>
      </c>
      <c r="D229" s="12">
        <v>5000000</v>
      </c>
      <c r="E229" s="21">
        <v>0.97771353000000005</v>
      </c>
      <c r="F229" s="14">
        <v>4888567.6500000004</v>
      </c>
      <c r="G229" s="14">
        <v>0.01</v>
      </c>
      <c r="H229" s="10"/>
      <c r="I229" s="10"/>
    </row>
    <row r="230" spans="1:18">
      <c r="A230" s="10" t="s">
        <v>751</v>
      </c>
      <c r="B230" s="124" t="s">
        <v>752</v>
      </c>
      <c r="C230" s="124" t="s">
        <v>342</v>
      </c>
      <c r="D230" s="12">
        <v>5000000</v>
      </c>
      <c r="E230" s="157">
        <v>0.96760514600000003</v>
      </c>
      <c r="F230" s="14">
        <v>4838025.7300000004</v>
      </c>
      <c r="G230" s="14">
        <v>0.01</v>
      </c>
      <c r="H230" s="10"/>
      <c r="I230" s="10"/>
    </row>
    <row r="231" spans="1:18">
      <c r="A231" s="10" t="s">
        <v>753</v>
      </c>
      <c r="B231" s="124" t="s">
        <v>661</v>
      </c>
      <c r="C231" s="124" t="s">
        <v>342</v>
      </c>
      <c r="D231" s="12">
        <v>5000000</v>
      </c>
      <c r="E231" s="82">
        <v>0.96362011209999998</v>
      </c>
      <c r="F231" s="14">
        <v>4818100.5599999996</v>
      </c>
      <c r="G231" s="14">
        <v>0.01</v>
      </c>
      <c r="H231" s="10"/>
      <c r="I231" s="10"/>
    </row>
    <row r="232" spans="1:18">
      <c r="A232" s="10" t="s">
        <v>754</v>
      </c>
      <c r="B232" s="124" t="s">
        <v>559</v>
      </c>
      <c r="C232" s="124" t="s">
        <v>342</v>
      </c>
      <c r="D232" s="12">
        <v>5000000</v>
      </c>
      <c r="E232" s="82">
        <v>0.98044486190000002</v>
      </c>
      <c r="F232" s="14">
        <v>4902224.3099999996</v>
      </c>
      <c r="G232" s="14">
        <v>0.01</v>
      </c>
      <c r="H232" s="10"/>
      <c r="I232" s="10"/>
    </row>
    <row r="233" spans="1:18">
      <c r="A233" s="10" t="s">
        <v>755</v>
      </c>
      <c r="B233" s="124" t="s">
        <v>645</v>
      </c>
      <c r="C233" s="124" t="s">
        <v>342</v>
      </c>
      <c r="D233" s="12">
        <v>5000000</v>
      </c>
      <c r="E233" s="157">
        <v>0.97635352200000003</v>
      </c>
      <c r="F233" s="14">
        <v>4881767.6100000003</v>
      </c>
      <c r="G233" s="14">
        <v>0.01</v>
      </c>
      <c r="H233" s="10"/>
      <c r="I233" s="10"/>
    </row>
    <row r="234" spans="1:18">
      <c r="A234" s="10" t="s">
        <v>756</v>
      </c>
      <c r="B234" s="124" t="s">
        <v>667</v>
      </c>
      <c r="C234" s="124" t="s">
        <v>342</v>
      </c>
      <c r="D234" s="12">
        <v>5000000</v>
      </c>
      <c r="E234" s="82">
        <v>0.96627316929999996</v>
      </c>
      <c r="F234" s="14">
        <v>4831365.8499999996</v>
      </c>
      <c r="G234" s="14">
        <v>0.01</v>
      </c>
      <c r="H234" s="10"/>
      <c r="I234" s="10"/>
    </row>
    <row r="235" spans="1:18">
      <c r="A235" s="10" t="s">
        <v>757</v>
      </c>
      <c r="B235" s="124" t="s">
        <v>627</v>
      </c>
      <c r="C235" s="124" t="s">
        <v>342</v>
      </c>
      <c r="D235" s="12">
        <v>20000000</v>
      </c>
      <c r="E235" s="82">
        <v>0.95901216629999997</v>
      </c>
      <c r="F235" s="14">
        <v>19180243.329999998</v>
      </c>
      <c r="G235" s="14">
        <v>0.02</v>
      </c>
      <c r="H235" s="10"/>
      <c r="I235" s="10"/>
    </row>
    <row r="236" spans="1:18">
      <c r="A236" s="10" t="s">
        <v>758</v>
      </c>
      <c r="B236" s="124" t="s">
        <v>587</v>
      </c>
      <c r="C236" s="124" t="s">
        <v>342</v>
      </c>
      <c r="D236" s="12">
        <v>20000000</v>
      </c>
      <c r="E236" s="82">
        <v>0.96229899409999997</v>
      </c>
      <c r="F236" s="14">
        <v>19245979.879999999</v>
      </c>
      <c r="G236" s="14">
        <v>0.02</v>
      </c>
      <c r="H236" s="10"/>
      <c r="I236" s="10"/>
    </row>
    <row r="237" spans="1:18">
      <c r="A237" s="10" t="s">
        <v>759</v>
      </c>
      <c r="B237" s="124" t="s">
        <v>573</v>
      </c>
      <c r="C237" s="124" t="s">
        <v>342</v>
      </c>
      <c r="D237" s="12">
        <v>20000000</v>
      </c>
      <c r="E237" s="82">
        <v>0.96295909970000004</v>
      </c>
      <c r="F237" s="14">
        <v>19259181.989999998</v>
      </c>
      <c r="G237" s="14">
        <v>0.02</v>
      </c>
      <c r="H237" s="10"/>
      <c r="I237" s="10"/>
    </row>
    <row r="238" spans="1:18">
      <c r="A238" s="10" t="s">
        <v>760</v>
      </c>
      <c r="B238" s="124" t="s">
        <v>661</v>
      </c>
      <c r="C238" s="124" t="s">
        <v>342</v>
      </c>
      <c r="D238" s="12">
        <v>20000000</v>
      </c>
      <c r="E238" s="82">
        <v>0.96362011069999998</v>
      </c>
      <c r="F238" s="14">
        <v>19272402.210000001</v>
      </c>
      <c r="G238" s="14">
        <v>0.02</v>
      </c>
      <c r="H238" s="10"/>
      <c r="I238" s="10"/>
    </row>
    <row r="239" spans="1:18">
      <c r="A239" s="10" t="s">
        <v>761</v>
      </c>
      <c r="B239" s="124" t="s">
        <v>762</v>
      </c>
      <c r="C239" s="124" t="s">
        <v>342</v>
      </c>
      <c r="D239" s="12">
        <v>20000000</v>
      </c>
      <c r="E239" s="82">
        <v>0.95835745689999996</v>
      </c>
      <c r="F239" s="14">
        <v>19167149.140000001</v>
      </c>
      <c r="G239" s="14">
        <v>0.02</v>
      </c>
      <c r="H239" s="10"/>
      <c r="I239" s="10"/>
      <c r="R239" s="59"/>
    </row>
    <row r="240" spans="1:18">
      <c r="A240" s="10" t="s">
        <v>763</v>
      </c>
      <c r="B240" s="124" t="s">
        <v>510</v>
      </c>
      <c r="C240" s="124" t="s">
        <v>154</v>
      </c>
      <c r="D240" s="14">
        <v>15040535.109999999</v>
      </c>
      <c r="E240" s="82">
        <v>0.9813675087</v>
      </c>
      <c r="F240" s="14">
        <v>14760292.470000001</v>
      </c>
      <c r="G240" s="14">
        <v>0.02</v>
      </c>
      <c r="H240" s="10"/>
      <c r="I240" s="10"/>
    </row>
    <row r="241" spans="1:9">
      <c r="A241" s="10" t="s">
        <v>764</v>
      </c>
      <c r="B241" s="124" t="s">
        <v>461</v>
      </c>
      <c r="C241" s="124" t="s">
        <v>154</v>
      </c>
      <c r="D241" s="14">
        <v>15040535.109999999</v>
      </c>
      <c r="E241" s="82">
        <v>0.97617074969999995</v>
      </c>
      <c r="F241" s="14">
        <v>14682130.43</v>
      </c>
      <c r="G241" s="14">
        <v>0.02</v>
      </c>
      <c r="H241" s="10"/>
      <c r="I241" s="10"/>
    </row>
    <row r="242" spans="1:9">
      <c r="A242" s="10" t="s">
        <v>765</v>
      </c>
      <c r="B242" s="124" t="s">
        <v>559</v>
      </c>
      <c r="C242" s="124" t="s">
        <v>154</v>
      </c>
      <c r="D242" s="12">
        <v>300000000</v>
      </c>
      <c r="E242" s="82">
        <v>0.97531002570000003</v>
      </c>
      <c r="F242" s="14">
        <v>292593007.70999998</v>
      </c>
      <c r="G242" s="14">
        <v>0.36</v>
      </c>
      <c r="H242" s="10"/>
      <c r="I242" s="10"/>
    </row>
    <row r="243" spans="1:9">
      <c r="A243" s="10" t="s">
        <v>766</v>
      </c>
      <c r="B243" s="124" t="s">
        <v>692</v>
      </c>
      <c r="C243" s="124" t="s">
        <v>154</v>
      </c>
      <c r="D243" s="12">
        <v>85000000</v>
      </c>
      <c r="E243" s="82">
        <v>0.99015274659999997</v>
      </c>
      <c r="F243" s="14">
        <v>84162983.459999993</v>
      </c>
      <c r="G243" s="153">
        <v>0.1</v>
      </c>
      <c r="H243" s="10"/>
      <c r="I243" s="10"/>
    </row>
    <row r="244" spans="1:9">
      <c r="A244" s="10" t="s">
        <v>771</v>
      </c>
      <c r="B244" s="124" t="s">
        <v>505</v>
      </c>
      <c r="C244" s="124" t="s">
        <v>346</v>
      </c>
      <c r="D244" s="12">
        <v>40000000</v>
      </c>
      <c r="E244" s="82">
        <v>0.99390046669999998</v>
      </c>
      <c r="F244" s="14">
        <v>39756018.670000002</v>
      </c>
      <c r="G244" s="14">
        <v>0.05</v>
      </c>
      <c r="H244" s="10"/>
      <c r="I244" s="10"/>
    </row>
    <row r="245" spans="1:9">
      <c r="A245" s="10" t="s">
        <v>772</v>
      </c>
      <c r="B245" s="124" t="s">
        <v>692</v>
      </c>
      <c r="C245" s="124" t="s">
        <v>346</v>
      </c>
      <c r="D245" s="12">
        <v>40000000</v>
      </c>
      <c r="E245" s="82">
        <v>0.99044830679999996</v>
      </c>
      <c r="F245" s="14">
        <v>39617932.270000003</v>
      </c>
      <c r="G245" s="14">
        <v>0.05</v>
      </c>
      <c r="H245" s="10"/>
      <c r="I245" s="10"/>
    </row>
    <row r="246" spans="1:9">
      <c r="A246" s="10" t="s">
        <v>773</v>
      </c>
      <c r="B246" s="124" t="s">
        <v>517</v>
      </c>
      <c r="C246" s="124" t="s">
        <v>346</v>
      </c>
      <c r="D246" s="12">
        <v>40000000</v>
      </c>
      <c r="E246" s="82">
        <v>0.98958900159999996</v>
      </c>
      <c r="F246" s="14">
        <v>39583560.060000002</v>
      </c>
      <c r="G246" s="14">
        <v>0.05</v>
      </c>
      <c r="H246" s="10"/>
      <c r="I246" s="10"/>
    </row>
    <row r="247" spans="1:9">
      <c r="A247" s="10" t="s">
        <v>774</v>
      </c>
      <c r="B247" s="124" t="s">
        <v>578</v>
      </c>
      <c r="C247" s="124" t="s">
        <v>346</v>
      </c>
      <c r="D247" s="14">
        <v>11829797.539999999</v>
      </c>
      <c r="E247" s="82">
        <v>0.99476725529999999</v>
      </c>
      <c r="F247" s="14">
        <v>11767895.23</v>
      </c>
      <c r="G247" s="14">
        <v>0.01</v>
      </c>
      <c r="H247" s="10"/>
      <c r="I247" s="10"/>
    </row>
    <row r="248" spans="1:9">
      <c r="A248" s="10" t="s">
        <v>775</v>
      </c>
      <c r="B248" s="124" t="s">
        <v>578</v>
      </c>
      <c r="C248" s="124" t="s">
        <v>346</v>
      </c>
      <c r="D248" s="14">
        <v>16498838.289999999</v>
      </c>
      <c r="E248" s="82">
        <v>0.99476725580000003</v>
      </c>
      <c r="F248" s="14">
        <v>16412504.09</v>
      </c>
      <c r="G248" s="14">
        <v>0.02</v>
      </c>
      <c r="H248" s="10"/>
      <c r="I248" s="10"/>
    </row>
    <row r="249" spans="1:9">
      <c r="A249" s="10" t="s">
        <v>776</v>
      </c>
      <c r="B249" s="124" t="s">
        <v>578</v>
      </c>
      <c r="C249" s="124" t="s">
        <v>346</v>
      </c>
      <c r="D249" s="153">
        <v>11490967.4</v>
      </c>
      <c r="E249" s="82">
        <v>0.99476725509999997</v>
      </c>
      <c r="F249" s="153">
        <v>11430838.1</v>
      </c>
      <c r="G249" s="14">
        <v>0.01</v>
      </c>
      <c r="H249" s="10"/>
      <c r="I249" s="10"/>
    </row>
    <row r="250" spans="1:9">
      <c r="A250" s="10" t="s">
        <v>777</v>
      </c>
      <c r="B250" s="124" t="s">
        <v>561</v>
      </c>
      <c r="C250" s="124" t="s">
        <v>346</v>
      </c>
      <c r="D250" s="14">
        <v>11829797.539999999</v>
      </c>
      <c r="E250" s="82">
        <v>0.9956355778</v>
      </c>
      <c r="F250" s="14">
        <v>11778167.310000001</v>
      </c>
      <c r="G250" s="14">
        <v>0.01</v>
      </c>
      <c r="H250" s="10"/>
      <c r="I250" s="10"/>
    </row>
    <row r="251" spans="1:9">
      <c r="A251" s="10" t="s">
        <v>778</v>
      </c>
      <c r="B251" s="124" t="s">
        <v>561</v>
      </c>
      <c r="C251" s="124" t="s">
        <v>346</v>
      </c>
      <c r="D251" s="14">
        <v>16498838.289999999</v>
      </c>
      <c r="E251" s="82">
        <v>0.99563557810000003</v>
      </c>
      <c r="F251" s="153">
        <v>16426830.4</v>
      </c>
      <c r="G251" s="14">
        <v>0.02</v>
      </c>
      <c r="H251" s="10"/>
      <c r="I251" s="10"/>
    </row>
    <row r="252" spans="1:9">
      <c r="A252" s="10" t="s">
        <v>779</v>
      </c>
      <c r="B252" s="124" t="s">
        <v>473</v>
      </c>
      <c r="C252" s="124" t="s">
        <v>346</v>
      </c>
      <c r="D252" s="14">
        <v>11829797.539999999</v>
      </c>
      <c r="E252" s="82">
        <v>0.99650541439999996</v>
      </c>
      <c r="F252" s="153">
        <v>11788457.300000001</v>
      </c>
      <c r="G252" s="14">
        <v>0.01</v>
      </c>
      <c r="H252" s="10"/>
      <c r="I252" s="10"/>
    </row>
    <row r="253" spans="1:9">
      <c r="A253" s="10" t="s">
        <v>780</v>
      </c>
      <c r="B253" s="124" t="s">
        <v>578</v>
      </c>
      <c r="C253" s="124" t="s">
        <v>346</v>
      </c>
      <c r="D253" s="14">
        <v>9142894.3200000003</v>
      </c>
      <c r="E253" s="82">
        <v>0.9947672555</v>
      </c>
      <c r="F253" s="14">
        <v>9095051.8900000006</v>
      </c>
      <c r="G253" s="14">
        <v>0.01</v>
      </c>
      <c r="H253" s="10"/>
      <c r="I253" s="10"/>
    </row>
    <row r="254" spans="1:9">
      <c r="A254" s="10" t="s">
        <v>786</v>
      </c>
      <c r="B254" s="124" t="s">
        <v>625</v>
      </c>
      <c r="C254" s="124" t="s">
        <v>407</v>
      </c>
      <c r="D254" s="14">
        <v>2502550.36</v>
      </c>
      <c r="E254" s="82">
        <v>0.99909670949999996</v>
      </c>
      <c r="F254" s="14">
        <v>2500289.83</v>
      </c>
      <c r="G254" s="12">
        <v>0</v>
      </c>
      <c r="H254" s="10"/>
      <c r="I254" s="10"/>
    </row>
    <row r="255" spans="1:9">
      <c r="A255" s="10" t="s">
        <v>792</v>
      </c>
      <c r="B255" s="124" t="s">
        <v>461</v>
      </c>
      <c r="C255" s="124" t="s">
        <v>343</v>
      </c>
      <c r="D255" s="14">
        <v>5898583.8099999996</v>
      </c>
      <c r="E255" s="82">
        <v>0.97617073629999995</v>
      </c>
      <c r="F255" s="153">
        <v>5758024.9000000004</v>
      </c>
      <c r="G255" s="14">
        <v>0.01</v>
      </c>
      <c r="H255" s="10"/>
      <c r="I255" s="10"/>
    </row>
    <row r="256" spans="1:9">
      <c r="A256" s="10" t="s">
        <v>793</v>
      </c>
      <c r="B256" s="124" t="s">
        <v>463</v>
      </c>
      <c r="C256" s="124" t="s">
        <v>343</v>
      </c>
      <c r="D256" s="14">
        <v>4296661.99</v>
      </c>
      <c r="E256" s="82">
        <v>0.98838314490000001</v>
      </c>
      <c r="F256" s="14">
        <v>4246748.29</v>
      </c>
      <c r="G256" s="14">
        <v>0.01</v>
      </c>
      <c r="H256" s="10"/>
      <c r="I256" s="10"/>
    </row>
    <row r="257" spans="1:18">
      <c r="A257" s="10" t="s">
        <v>796</v>
      </c>
      <c r="B257" s="124" t="s">
        <v>692</v>
      </c>
      <c r="C257" s="124" t="s">
        <v>345</v>
      </c>
      <c r="D257" s="14">
        <v>2502550.36</v>
      </c>
      <c r="E257" s="82">
        <v>0.9901527336</v>
      </c>
      <c r="F257" s="14">
        <v>2477907.08</v>
      </c>
      <c r="G257" s="12">
        <v>0</v>
      </c>
      <c r="H257" s="10"/>
      <c r="I257" s="10"/>
      <c r="O257" s="59"/>
      <c r="P257" s="59"/>
      <c r="Q257" s="59"/>
      <c r="R257" s="59"/>
    </row>
    <row r="258" spans="1:18">
      <c r="A258" s="10" t="s">
        <v>797</v>
      </c>
      <c r="B258" s="124" t="s">
        <v>692</v>
      </c>
      <c r="C258" s="124" t="s">
        <v>345</v>
      </c>
      <c r="D258" s="14">
        <v>2502550.36</v>
      </c>
      <c r="E258" s="82">
        <v>0.9901527336</v>
      </c>
      <c r="F258" s="14">
        <v>2477907.08</v>
      </c>
      <c r="G258" s="12">
        <v>0</v>
      </c>
      <c r="H258" s="10"/>
      <c r="I258" s="10"/>
      <c r="N258" s="59"/>
    </row>
    <row r="259" spans="1:18">
      <c r="A259" s="10" t="s">
        <v>798</v>
      </c>
      <c r="B259" s="124" t="s">
        <v>517</v>
      </c>
      <c r="C259" s="124" t="s">
        <v>345</v>
      </c>
      <c r="D259" s="14">
        <v>2502550.36</v>
      </c>
      <c r="E259" s="157">
        <v>0.989267173</v>
      </c>
      <c r="F259" s="14">
        <v>2475690.92</v>
      </c>
      <c r="G259" s="12">
        <v>0</v>
      </c>
      <c r="H259" s="10"/>
      <c r="I259" s="10"/>
    </row>
    <row r="260" spans="1:18">
      <c r="A260" s="10" t="s">
        <v>799</v>
      </c>
      <c r="B260" s="124" t="s">
        <v>473</v>
      </c>
      <c r="C260" s="124" t="s">
        <v>345</v>
      </c>
      <c r="D260" s="14">
        <v>2502550.36</v>
      </c>
      <c r="E260" s="82">
        <v>0.99639659209999998</v>
      </c>
      <c r="F260" s="14">
        <v>2493532.65</v>
      </c>
      <c r="G260" s="12">
        <v>0</v>
      </c>
      <c r="H260" s="10"/>
      <c r="I260" s="10"/>
    </row>
    <row r="261" spans="1:18">
      <c r="A261" s="10" t="s">
        <v>800</v>
      </c>
      <c r="B261" s="124" t="s">
        <v>692</v>
      </c>
      <c r="C261" s="124" t="s">
        <v>345</v>
      </c>
      <c r="D261" s="12">
        <v>2250000</v>
      </c>
      <c r="E261" s="82">
        <v>0.99015273329999998</v>
      </c>
      <c r="F261" s="14">
        <v>2227843.65</v>
      </c>
      <c r="G261" s="12">
        <v>0</v>
      </c>
      <c r="H261" s="10"/>
      <c r="I261" s="10"/>
    </row>
    <row r="262" spans="1:18">
      <c r="A262" s="10" t="s">
        <v>801</v>
      </c>
      <c r="B262" s="124" t="s">
        <v>625</v>
      </c>
      <c r="C262" s="124" t="s">
        <v>345</v>
      </c>
      <c r="D262" s="14">
        <v>2502550.36</v>
      </c>
      <c r="E262" s="82">
        <v>0.99909671349999996</v>
      </c>
      <c r="F262" s="14">
        <v>2500289.84</v>
      </c>
      <c r="G262" s="12">
        <v>0</v>
      </c>
      <c r="H262" s="10"/>
      <c r="I262" s="10"/>
    </row>
    <row r="263" spans="1:18">
      <c r="A263" s="10" t="s">
        <v>802</v>
      </c>
      <c r="B263" s="124" t="s">
        <v>473</v>
      </c>
      <c r="C263" s="124" t="s">
        <v>345</v>
      </c>
      <c r="D263" s="14">
        <v>2502550.36</v>
      </c>
      <c r="E263" s="82">
        <v>0.99639659209999998</v>
      </c>
      <c r="F263" s="14">
        <v>2493532.65</v>
      </c>
      <c r="G263" s="12">
        <v>0</v>
      </c>
      <c r="H263" s="10"/>
      <c r="I263" s="10"/>
    </row>
    <row r="264" spans="1:18">
      <c r="A264" s="10" t="s">
        <v>803</v>
      </c>
      <c r="B264" s="124" t="s">
        <v>561</v>
      </c>
      <c r="C264" s="124" t="s">
        <v>345</v>
      </c>
      <c r="D264" s="14">
        <v>2502550.36</v>
      </c>
      <c r="E264" s="82">
        <v>0.99549981489999995</v>
      </c>
      <c r="F264" s="14">
        <v>2491288.42</v>
      </c>
      <c r="G264" s="12">
        <v>0</v>
      </c>
      <c r="H264" s="10"/>
      <c r="I264" s="10"/>
    </row>
    <row r="265" spans="1:18">
      <c r="A265" s="10" t="s">
        <v>804</v>
      </c>
      <c r="B265" s="124" t="s">
        <v>561</v>
      </c>
      <c r="C265" s="124" t="s">
        <v>345</v>
      </c>
      <c r="D265" s="14">
        <v>2502550.36</v>
      </c>
      <c r="E265" s="82">
        <v>0.99549981489999995</v>
      </c>
      <c r="F265" s="14">
        <v>2491288.42</v>
      </c>
      <c r="G265" s="12">
        <v>0</v>
      </c>
      <c r="H265" s="10"/>
      <c r="I265" s="10"/>
      <c r="N265" s="59"/>
    </row>
    <row r="266" spans="1:18">
      <c r="A266" s="10" t="s">
        <v>805</v>
      </c>
      <c r="B266" s="124" t="s">
        <v>463</v>
      </c>
      <c r="C266" s="124" t="s">
        <v>347</v>
      </c>
      <c r="D266" s="14">
        <v>990902.64</v>
      </c>
      <c r="E266" s="82">
        <v>0.98838315740000005</v>
      </c>
      <c r="F266" s="14">
        <v>979391.48</v>
      </c>
      <c r="G266" s="12">
        <v>0</v>
      </c>
      <c r="H266" s="10"/>
      <c r="I266" s="10"/>
      <c r="J266" s="62"/>
      <c r="O266" s="59"/>
      <c r="P266" s="59"/>
      <c r="Q266" s="59"/>
      <c r="R266" s="59"/>
    </row>
    <row r="267" spans="1:18">
      <c r="A267" s="10" t="s">
        <v>806</v>
      </c>
      <c r="B267" s="124" t="s">
        <v>459</v>
      </c>
      <c r="C267" s="124" t="s">
        <v>347</v>
      </c>
      <c r="D267" s="12">
        <v>735765</v>
      </c>
      <c r="E267" s="82">
        <v>0.98223894869999995</v>
      </c>
      <c r="F267" s="14">
        <v>722697.04</v>
      </c>
      <c r="G267" s="12">
        <v>0</v>
      </c>
      <c r="H267" s="10"/>
      <c r="I267" s="10"/>
      <c r="N267" s="59"/>
    </row>
    <row r="268" spans="1:18">
      <c r="A268" s="10" t="s">
        <v>807</v>
      </c>
      <c r="B268" s="124" t="s">
        <v>461</v>
      </c>
      <c r="C268" s="124" t="s">
        <v>347</v>
      </c>
      <c r="D268" s="14">
        <v>2900162.75</v>
      </c>
      <c r="E268" s="157">
        <v>0.97617074400000003</v>
      </c>
      <c r="F268" s="14">
        <v>2831054.03</v>
      </c>
      <c r="G268" s="12">
        <v>0</v>
      </c>
      <c r="H268" s="10"/>
      <c r="I268" s="10"/>
    </row>
    <row r="269" spans="1:18">
      <c r="A269" s="10" t="s">
        <v>808</v>
      </c>
      <c r="B269" s="124" t="s">
        <v>645</v>
      </c>
      <c r="C269" s="124" t="s">
        <v>347</v>
      </c>
      <c r="D269" s="12">
        <v>3320250</v>
      </c>
      <c r="E269" s="82">
        <v>0.97017704069999999</v>
      </c>
      <c r="F269" s="14">
        <v>3221230.32</v>
      </c>
      <c r="G269" s="12">
        <v>0</v>
      </c>
      <c r="H269" s="10"/>
      <c r="I269" s="10"/>
    </row>
    <row r="270" spans="1:18">
      <c r="A270" s="10" t="s">
        <v>809</v>
      </c>
      <c r="B270" s="124" t="s">
        <v>810</v>
      </c>
      <c r="C270" s="124" t="s">
        <v>347</v>
      </c>
      <c r="D270" s="12">
        <v>1392835</v>
      </c>
      <c r="E270" s="82">
        <v>0.97102877970000001</v>
      </c>
      <c r="F270" s="14">
        <v>1352482.87</v>
      </c>
      <c r="G270" s="12">
        <v>0</v>
      </c>
      <c r="H270" s="10"/>
      <c r="I270" s="10"/>
    </row>
    <row r="271" spans="1:18">
      <c r="A271" s="10" t="s">
        <v>811</v>
      </c>
      <c r="B271" s="124" t="s">
        <v>513</v>
      </c>
      <c r="C271" s="124" t="s">
        <v>347</v>
      </c>
      <c r="D271" s="14">
        <v>5468322.6299999999</v>
      </c>
      <c r="E271" s="82">
        <v>0.98398665630000004</v>
      </c>
      <c r="F271" s="153">
        <v>5380756.5</v>
      </c>
      <c r="G271" s="14">
        <v>0.01</v>
      </c>
      <c r="H271" s="10"/>
      <c r="I271" s="10"/>
    </row>
    <row r="272" spans="1:18">
      <c r="A272" s="10" t="s">
        <v>812</v>
      </c>
      <c r="B272" s="124" t="s">
        <v>415</v>
      </c>
      <c r="C272" s="124" t="s">
        <v>347</v>
      </c>
      <c r="D272" s="12">
        <v>25000000</v>
      </c>
      <c r="E272" s="157">
        <v>0.98311203800000002</v>
      </c>
      <c r="F272" s="14">
        <v>24577800.949999999</v>
      </c>
      <c r="G272" s="14">
        <v>0.03</v>
      </c>
      <c r="H272" s="10"/>
      <c r="I272" s="10"/>
    </row>
    <row r="273" spans="1:9">
      <c r="A273" s="10" t="s">
        <v>813</v>
      </c>
      <c r="B273" s="124" t="s">
        <v>810</v>
      </c>
      <c r="C273" s="124" t="s">
        <v>347</v>
      </c>
      <c r="D273" s="12">
        <v>50000000</v>
      </c>
      <c r="E273" s="82">
        <v>0.97530999510000005</v>
      </c>
      <c r="F273" s="14">
        <v>48765499.759999998</v>
      </c>
      <c r="G273" s="14">
        <v>0.06</v>
      </c>
      <c r="H273" s="10"/>
      <c r="I273" s="10"/>
    </row>
    <row r="274" spans="1:9">
      <c r="A274" s="10" t="s">
        <v>814</v>
      </c>
      <c r="B274" s="124" t="s">
        <v>461</v>
      </c>
      <c r="C274" s="124" t="s">
        <v>347</v>
      </c>
      <c r="D274" s="12">
        <v>50000000</v>
      </c>
      <c r="E274" s="82">
        <v>0.97970797430000001</v>
      </c>
      <c r="F274" s="14">
        <v>48985398.719999999</v>
      </c>
      <c r="G274" s="14">
        <v>0.06</v>
      </c>
      <c r="H274" s="10"/>
      <c r="I274" s="10"/>
    </row>
    <row r="275" spans="1:9">
      <c r="A275" s="10" t="s">
        <v>820</v>
      </c>
      <c r="B275" s="124" t="s">
        <v>663</v>
      </c>
      <c r="C275" s="124" t="s">
        <v>344</v>
      </c>
      <c r="D275" s="12">
        <v>3948801</v>
      </c>
      <c r="E275" s="82">
        <v>0.94417714919999995</v>
      </c>
      <c r="F275" s="14">
        <v>3728367.67</v>
      </c>
      <c r="G275" s="12">
        <v>0</v>
      </c>
      <c r="H275" s="10"/>
      <c r="I275" s="10"/>
    </row>
    <row r="276" spans="1:9">
      <c r="A276" s="10" t="s">
        <v>821</v>
      </c>
      <c r="B276" s="124" t="s">
        <v>822</v>
      </c>
      <c r="C276" s="124" t="s">
        <v>344</v>
      </c>
      <c r="D276" s="12">
        <v>3948801</v>
      </c>
      <c r="E276" s="82">
        <v>0.92611388709999998</v>
      </c>
      <c r="F276" s="14">
        <v>3657039.44</v>
      </c>
      <c r="G276" s="12">
        <v>0</v>
      </c>
      <c r="H276" s="10"/>
      <c r="I276" s="10"/>
    </row>
    <row r="277" spans="1:9">
      <c r="A277" s="10" t="s">
        <v>823</v>
      </c>
      <c r="B277" s="124" t="s">
        <v>824</v>
      </c>
      <c r="C277" s="124" t="s">
        <v>344</v>
      </c>
      <c r="D277" s="12">
        <v>3948801</v>
      </c>
      <c r="E277" s="82">
        <v>0.90931744619999999</v>
      </c>
      <c r="F277" s="14">
        <v>3590713.64</v>
      </c>
      <c r="G277" s="12">
        <v>0</v>
      </c>
      <c r="H277" s="10"/>
      <c r="I277" s="10"/>
    </row>
    <row r="278" spans="1:9">
      <c r="A278" s="10" t="s">
        <v>825</v>
      </c>
      <c r="B278" s="124" t="s">
        <v>826</v>
      </c>
      <c r="C278" s="124" t="s">
        <v>344</v>
      </c>
      <c r="D278" s="12">
        <v>3948801</v>
      </c>
      <c r="E278" s="82">
        <v>0.89085237910000004</v>
      </c>
      <c r="F278" s="14">
        <v>3517798.77</v>
      </c>
      <c r="G278" s="12">
        <v>0</v>
      </c>
      <c r="H278" s="10"/>
      <c r="I278" s="10"/>
    </row>
    <row r="279" spans="1:9">
      <c r="A279" s="10" t="s">
        <v>827</v>
      </c>
      <c r="B279" s="124" t="s">
        <v>556</v>
      </c>
      <c r="C279" s="124" t="s">
        <v>344</v>
      </c>
      <c r="D279" s="12">
        <v>50000000</v>
      </c>
      <c r="E279" s="82">
        <v>0.96586398630000003</v>
      </c>
      <c r="F279" s="14">
        <v>48293199.32</v>
      </c>
      <c r="G279" s="14">
        <v>0.06</v>
      </c>
      <c r="H279" s="10"/>
      <c r="I279" s="10"/>
    </row>
    <row r="280" spans="1:9">
      <c r="A280" s="10" t="s">
        <v>828</v>
      </c>
      <c r="B280" s="124" t="s">
        <v>459</v>
      </c>
      <c r="C280" s="124" t="s">
        <v>344</v>
      </c>
      <c r="D280" s="12">
        <v>50000000</v>
      </c>
      <c r="E280" s="82">
        <v>0.98382750969999999</v>
      </c>
      <c r="F280" s="14">
        <v>49191375.490000002</v>
      </c>
      <c r="G280" s="14">
        <v>0.06</v>
      </c>
      <c r="H280" s="10"/>
      <c r="I280" s="10"/>
    </row>
    <row r="281" spans="1:9">
      <c r="A281" s="10" t="s">
        <v>829</v>
      </c>
      <c r="B281" s="124" t="s">
        <v>657</v>
      </c>
      <c r="C281" s="124" t="s">
        <v>344</v>
      </c>
      <c r="D281" s="12">
        <v>50000000</v>
      </c>
      <c r="E281" s="82">
        <v>0.95151207930000004</v>
      </c>
      <c r="F281" s="14">
        <v>47575603.969999999</v>
      </c>
      <c r="G281" s="14">
        <v>0.06</v>
      </c>
      <c r="H281" s="10"/>
      <c r="I281" s="10"/>
    </row>
    <row r="282" spans="1:9">
      <c r="A282" s="10" t="s">
        <v>837</v>
      </c>
      <c r="B282" s="124" t="s">
        <v>267</v>
      </c>
      <c r="C282" s="124" t="s">
        <v>275</v>
      </c>
      <c r="D282" s="12">
        <v>11500000</v>
      </c>
      <c r="E282" s="82">
        <v>0.96022314689999999</v>
      </c>
      <c r="F282" s="14">
        <v>11042566.189999999</v>
      </c>
      <c r="G282" s="14">
        <v>0.01</v>
      </c>
      <c r="H282" s="10"/>
      <c r="I282" s="10"/>
    </row>
    <row r="283" spans="1:9">
      <c r="A283" s="10" t="s">
        <v>838</v>
      </c>
      <c r="B283" s="124" t="s">
        <v>552</v>
      </c>
      <c r="C283" s="124" t="s">
        <v>275</v>
      </c>
      <c r="D283" s="12">
        <v>11500000</v>
      </c>
      <c r="E283" s="82">
        <v>0.96113343350000002</v>
      </c>
      <c r="F283" s="14">
        <v>11053034.49</v>
      </c>
      <c r="G283" s="14">
        <v>0.01</v>
      </c>
      <c r="H283" s="10"/>
      <c r="I283" s="10"/>
    </row>
    <row r="284" spans="1:9">
      <c r="A284" s="10" t="s">
        <v>834</v>
      </c>
      <c r="B284" s="124" t="s">
        <v>561</v>
      </c>
      <c r="C284" s="124" t="s">
        <v>275</v>
      </c>
      <c r="D284" s="12">
        <v>20000000</v>
      </c>
      <c r="E284" s="21">
        <v>0.99536407000000005</v>
      </c>
      <c r="F284" s="153">
        <v>19907281.399999999</v>
      </c>
      <c r="G284" s="14">
        <v>0.02</v>
      </c>
      <c r="H284" s="10"/>
      <c r="I284" s="10"/>
    </row>
    <row r="285" spans="1:9">
      <c r="A285" s="10" t="s">
        <v>835</v>
      </c>
      <c r="B285" s="124" t="s">
        <v>625</v>
      </c>
      <c r="C285" s="124" t="s">
        <v>275</v>
      </c>
      <c r="D285" s="12">
        <v>100000000</v>
      </c>
      <c r="E285" s="82">
        <v>0.99912405829999995</v>
      </c>
      <c r="F285" s="14">
        <v>99912405.829999998</v>
      </c>
      <c r="G285" s="14">
        <v>0.12</v>
      </c>
      <c r="H285" s="10"/>
      <c r="I285" s="10"/>
    </row>
    <row r="286" spans="1:9">
      <c r="A286" s="10" t="s">
        <v>836</v>
      </c>
      <c r="B286" s="124" t="s">
        <v>473</v>
      </c>
      <c r="C286" s="124" t="s">
        <v>275</v>
      </c>
      <c r="D286" s="12">
        <v>100000000</v>
      </c>
      <c r="E286" s="82">
        <v>0.9965054189</v>
      </c>
      <c r="F286" s="14">
        <v>99650541.890000001</v>
      </c>
      <c r="G286" s="14">
        <v>0.12</v>
      </c>
      <c r="H286" s="10"/>
      <c r="I286" s="10"/>
    </row>
    <row r="287" spans="1:9">
      <c r="A287" s="10" t="s">
        <v>846</v>
      </c>
      <c r="B287" s="124" t="s">
        <v>510</v>
      </c>
      <c r="C287" s="124" t="s">
        <v>309</v>
      </c>
      <c r="D287" s="14">
        <v>2753548.09</v>
      </c>
      <c r="E287" s="157">
        <v>0.98750070499999998</v>
      </c>
      <c r="F287" s="14">
        <v>2719130.68</v>
      </c>
      <c r="G287" s="12">
        <v>0</v>
      </c>
      <c r="H287" s="10"/>
      <c r="I287" s="10"/>
    </row>
    <row r="288" spans="1:9">
      <c r="A288" s="10" t="s">
        <v>847</v>
      </c>
      <c r="B288" s="124" t="s">
        <v>510</v>
      </c>
      <c r="C288" s="124" t="s">
        <v>309</v>
      </c>
      <c r="D288" s="14">
        <v>13824514.550000001</v>
      </c>
      <c r="E288" s="82">
        <v>0.98750070050000005</v>
      </c>
      <c r="F288" s="153">
        <v>13651717.800000001</v>
      </c>
      <c r="G288" s="14">
        <v>0.02</v>
      </c>
      <c r="H288" s="10"/>
      <c r="I288" s="10"/>
    </row>
    <row r="289" spans="1:9">
      <c r="A289" s="10" t="s">
        <v>848</v>
      </c>
      <c r="B289" s="124" t="s">
        <v>510</v>
      </c>
      <c r="C289" s="124" t="s">
        <v>309</v>
      </c>
      <c r="D289" s="14">
        <v>4118494.87</v>
      </c>
      <c r="E289" s="82">
        <v>0.98750069829999998</v>
      </c>
      <c r="F289" s="14">
        <v>4067016.56</v>
      </c>
      <c r="G289" s="12">
        <v>0</v>
      </c>
      <c r="H289" s="10"/>
      <c r="I289" s="10"/>
    </row>
    <row r="290" spans="1:9">
      <c r="A290" s="10" t="s">
        <v>849</v>
      </c>
      <c r="B290" s="124" t="s">
        <v>559</v>
      </c>
      <c r="C290" s="124" t="s">
        <v>309</v>
      </c>
      <c r="D290" s="14">
        <v>9164430.8599999994</v>
      </c>
      <c r="E290" s="82">
        <v>0.98340341890000005</v>
      </c>
      <c r="F290" s="14">
        <v>9012332.6400000006</v>
      </c>
      <c r="G290" s="14">
        <v>0.01</v>
      </c>
      <c r="H290" s="10"/>
      <c r="I290" s="10"/>
    </row>
    <row r="291" spans="1:9">
      <c r="A291" s="10" t="s">
        <v>850</v>
      </c>
      <c r="B291" s="124" t="s">
        <v>510</v>
      </c>
      <c r="C291" s="124" t="s">
        <v>309</v>
      </c>
      <c r="D291" s="14">
        <v>2994215.75</v>
      </c>
      <c r="E291" s="82">
        <v>0.98750070720000005</v>
      </c>
      <c r="F291" s="14">
        <v>2956790.17</v>
      </c>
      <c r="G291" s="12">
        <v>0</v>
      </c>
      <c r="H291" s="10"/>
      <c r="I291" s="10"/>
    </row>
    <row r="292" spans="1:9">
      <c r="A292" s="10" t="s">
        <v>851</v>
      </c>
      <c r="B292" s="124" t="s">
        <v>510</v>
      </c>
      <c r="C292" s="124" t="s">
        <v>309</v>
      </c>
      <c r="D292" s="14">
        <v>6602649.0700000003</v>
      </c>
      <c r="E292" s="82">
        <v>0.9875006999</v>
      </c>
      <c r="F292" s="14">
        <v>6520120.5800000001</v>
      </c>
      <c r="G292" s="14">
        <v>0.01</v>
      </c>
      <c r="H292" s="10"/>
      <c r="I292" s="10"/>
    </row>
    <row r="293" spans="1:9">
      <c r="A293" s="10" t="s">
        <v>852</v>
      </c>
      <c r="B293" s="124" t="s">
        <v>510</v>
      </c>
      <c r="C293" s="124" t="s">
        <v>309</v>
      </c>
      <c r="D293" s="14">
        <v>3715219.33</v>
      </c>
      <c r="E293" s="82">
        <v>0.98750070050000005</v>
      </c>
      <c r="F293" s="14">
        <v>3668781.69</v>
      </c>
      <c r="G293" s="12">
        <v>0</v>
      </c>
      <c r="H293" s="10"/>
      <c r="I293" s="10"/>
    </row>
    <row r="294" spans="1:9">
      <c r="A294" s="10" t="s">
        <v>853</v>
      </c>
      <c r="B294" s="124" t="s">
        <v>510</v>
      </c>
      <c r="C294" s="124" t="s">
        <v>309</v>
      </c>
      <c r="D294" s="14">
        <v>4405109.3099999996</v>
      </c>
      <c r="E294" s="157">
        <v>0.98750069600000001</v>
      </c>
      <c r="F294" s="14">
        <v>4350048.51</v>
      </c>
      <c r="G294" s="14">
        <v>0.01</v>
      </c>
      <c r="H294" s="10"/>
      <c r="I294" s="10"/>
    </row>
    <row r="295" spans="1:9">
      <c r="A295" s="10" t="s">
        <v>854</v>
      </c>
      <c r="B295" s="124" t="s">
        <v>578</v>
      </c>
      <c r="C295" s="124" t="s">
        <v>309</v>
      </c>
      <c r="D295" s="12">
        <v>12000000</v>
      </c>
      <c r="E295" s="82">
        <v>0.99590724080000004</v>
      </c>
      <c r="F295" s="14">
        <v>11950886.890000001</v>
      </c>
      <c r="G295" s="14">
        <v>0.01</v>
      </c>
      <c r="H295" s="10"/>
      <c r="I295" s="10"/>
    </row>
    <row r="296" spans="1:9">
      <c r="A296" s="10" t="s">
        <v>855</v>
      </c>
      <c r="B296" s="124" t="s">
        <v>692</v>
      </c>
      <c r="C296" s="124" t="s">
        <v>309</v>
      </c>
      <c r="D296" s="12">
        <v>12000000</v>
      </c>
      <c r="E296" s="82">
        <v>0.99252210240000005</v>
      </c>
      <c r="F296" s="14">
        <v>11910265.23</v>
      </c>
      <c r="G296" s="14">
        <v>0.01</v>
      </c>
      <c r="H296" s="10"/>
      <c r="I296" s="10"/>
    </row>
    <row r="297" spans="1:9">
      <c r="A297" s="10" t="s">
        <v>856</v>
      </c>
      <c r="B297" s="124" t="s">
        <v>716</v>
      </c>
      <c r="C297" s="124" t="s">
        <v>309</v>
      </c>
      <c r="D297" s="12">
        <v>12000000</v>
      </c>
      <c r="E297" s="82">
        <v>0.98515521090000002</v>
      </c>
      <c r="F297" s="14">
        <v>11821862.529999999</v>
      </c>
      <c r="G297" s="14">
        <v>0.01</v>
      </c>
      <c r="H297" s="10"/>
      <c r="I297" s="10"/>
    </row>
    <row r="298" spans="1:9">
      <c r="A298" s="10" t="s">
        <v>857</v>
      </c>
      <c r="B298" s="124" t="s">
        <v>456</v>
      </c>
      <c r="C298" s="124" t="s">
        <v>309</v>
      </c>
      <c r="D298" s="12">
        <v>40000000</v>
      </c>
      <c r="E298" s="82">
        <v>0.98787487249999995</v>
      </c>
      <c r="F298" s="153">
        <v>39514994.899999999</v>
      </c>
      <c r="G298" s="14">
        <v>0.05</v>
      </c>
      <c r="H298" s="10"/>
      <c r="I298" s="10"/>
    </row>
    <row r="299" spans="1:9">
      <c r="A299" s="10" t="s">
        <v>858</v>
      </c>
      <c r="B299" s="124" t="s">
        <v>463</v>
      </c>
      <c r="C299" s="124" t="s">
        <v>309</v>
      </c>
      <c r="D299" s="12">
        <v>40000000</v>
      </c>
      <c r="E299" s="82">
        <v>0.98873120449999996</v>
      </c>
      <c r="F299" s="14">
        <v>39549248.18</v>
      </c>
      <c r="G299" s="14">
        <v>0.05</v>
      </c>
      <c r="H299" s="10"/>
      <c r="I299" s="10"/>
    </row>
    <row r="300" spans="1:9">
      <c r="A300" s="10" t="s">
        <v>859</v>
      </c>
      <c r="B300" s="124" t="s">
        <v>716</v>
      </c>
      <c r="C300" s="124" t="s">
        <v>309</v>
      </c>
      <c r="D300" s="12">
        <v>10000000</v>
      </c>
      <c r="E300" s="82">
        <v>0.98107732380000001</v>
      </c>
      <c r="F300" s="14">
        <v>9810773.2400000002</v>
      </c>
      <c r="G300" s="14">
        <v>0.01</v>
      </c>
      <c r="H300" s="10"/>
      <c r="I300" s="10"/>
    </row>
    <row r="301" spans="1:9">
      <c r="A301" s="10" t="s">
        <v>860</v>
      </c>
      <c r="B301" s="124" t="s">
        <v>510</v>
      </c>
      <c r="C301" s="124" t="s">
        <v>309</v>
      </c>
      <c r="D301" s="12">
        <v>10000000</v>
      </c>
      <c r="E301" s="82">
        <v>0.98192191220000002</v>
      </c>
      <c r="F301" s="14">
        <v>9819219.1199999992</v>
      </c>
      <c r="G301" s="14">
        <v>0.01</v>
      </c>
      <c r="H301" s="10"/>
      <c r="I301" s="10"/>
    </row>
    <row r="302" spans="1:9">
      <c r="A302" s="10" t="s">
        <v>861</v>
      </c>
      <c r="B302" s="124" t="s">
        <v>456</v>
      </c>
      <c r="C302" s="124" t="s">
        <v>309</v>
      </c>
      <c r="D302" s="14">
        <v>16498838.289999999</v>
      </c>
      <c r="E302" s="82">
        <v>0.98787487249999995</v>
      </c>
      <c r="F302" s="14">
        <v>16298787.77</v>
      </c>
      <c r="G302" s="14">
        <v>0.02</v>
      </c>
      <c r="H302" s="10"/>
      <c r="I302" s="10"/>
    </row>
    <row r="303" spans="1:9">
      <c r="A303" s="10" t="s">
        <v>862</v>
      </c>
      <c r="B303" s="124" t="s">
        <v>746</v>
      </c>
      <c r="C303" s="124" t="s">
        <v>309</v>
      </c>
      <c r="D303" s="14">
        <v>3742647.36</v>
      </c>
      <c r="E303" s="157">
        <v>0.98702001399999995</v>
      </c>
      <c r="F303" s="14">
        <v>3694067.85</v>
      </c>
      <c r="G303" s="12">
        <v>0</v>
      </c>
      <c r="H303" s="10"/>
      <c r="I303" s="10"/>
    </row>
    <row r="304" spans="1:9">
      <c r="A304" s="10" t="s">
        <v>863</v>
      </c>
      <c r="B304" s="124" t="s">
        <v>456</v>
      </c>
      <c r="C304" s="124" t="s">
        <v>309</v>
      </c>
      <c r="D304" s="14">
        <v>11829797.539999999</v>
      </c>
      <c r="E304" s="82">
        <v>0.98787487289999998</v>
      </c>
      <c r="F304" s="14">
        <v>11686359.74</v>
      </c>
      <c r="G304" s="14">
        <v>0.01</v>
      </c>
      <c r="H304" s="10"/>
      <c r="I304" s="10"/>
    </row>
    <row r="305" spans="1:9">
      <c r="A305" s="10" t="s">
        <v>864</v>
      </c>
      <c r="B305" s="124" t="s">
        <v>746</v>
      </c>
      <c r="C305" s="124" t="s">
        <v>309</v>
      </c>
      <c r="D305" s="14">
        <v>11829797.539999999</v>
      </c>
      <c r="E305" s="82">
        <v>0.98702002119999999</v>
      </c>
      <c r="F305" s="14">
        <v>11676247.02</v>
      </c>
      <c r="G305" s="14">
        <v>0.01</v>
      </c>
      <c r="H305" s="10"/>
      <c r="I305" s="10"/>
    </row>
    <row r="306" spans="1:9">
      <c r="A306" s="10" t="s">
        <v>865</v>
      </c>
      <c r="B306" s="124" t="s">
        <v>746</v>
      </c>
      <c r="C306" s="124" t="s">
        <v>309</v>
      </c>
      <c r="D306" s="14">
        <v>11490967.439999999</v>
      </c>
      <c r="E306" s="82">
        <v>0.98702002079999995</v>
      </c>
      <c r="F306" s="14">
        <v>11341814.92</v>
      </c>
      <c r="G306" s="14">
        <v>0.01</v>
      </c>
      <c r="H306" s="10"/>
      <c r="I306" s="10"/>
    </row>
    <row r="307" spans="1:9">
      <c r="A307" s="10" t="s">
        <v>866</v>
      </c>
      <c r="B307" s="124" t="s">
        <v>746</v>
      </c>
      <c r="C307" s="124" t="s">
        <v>309</v>
      </c>
      <c r="D307" s="14">
        <v>11229494.109999999</v>
      </c>
      <c r="E307" s="82">
        <v>0.98702002160000002</v>
      </c>
      <c r="F307" s="14">
        <v>11083735.52</v>
      </c>
      <c r="G307" s="14">
        <v>0.01</v>
      </c>
      <c r="H307" s="10"/>
      <c r="I307" s="10"/>
    </row>
    <row r="308" spans="1:9">
      <c r="A308" s="10" t="s">
        <v>867</v>
      </c>
      <c r="B308" s="124" t="s">
        <v>513</v>
      </c>
      <c r="C308" s="124" t="s">
        <v>309</v>
      </c>
      <c r="D308" s="14">
        <v>11829797.539999999</v>
      </c>
      <c r="E308" s="82">
        <v>0.98446436650000002</v>
      </c>
      <c r="F308" s="14">
        <v>11646014.140000001</v>
      </c>
      <c r="G308" s="14">
        <v>0.01</v>
      </c>
      <c r="H308" s="10"/>
      <c r="I308" s="10"/>
    </row>
    <row r="309" spans="1:9">
      <c r="A309" s="10" t="s">
        <v>868</v>
      </c>
      <c r="B309" s="124" t="s">
        <v>513</v>
      </c>
      <c r="C309" s="124" t="s">
        <v>309</v>
      </c>
      <c r="D309" s="14">
        <v>11229494.109999999</v>
      </c>
      <c r="E309" s="157">
        <v>0.98446436500000001</v>
      </c>
      <c r="F309" s="14">
        <v>11055036.789999999</v>
      </c>
      <c r="G309" s="14">
        <v>0.01</v>
      </c>
      <c r="H309" s="10"/>
      <c r="I309" s="10"/>
    </row>
    <row r="310" spans="1:9">
      <c r="A310" s="10" t="s">
        <v>869</v>
      </c>
      <c r="B310" s="124" t="s">
        <v>513</v>
      </c>
      <c r="C310" s="124" t="s">
        <v>309</v>
      </c>
      <c r="D310" s="14">
        <v>11490967.439999999</v>
      </c>
      <c r="E310" s="82">
        <v>0.98446436449999997</v>
      </c>
      <c r="F310" s="14">
        <v>11312447.960000001</v>
      </c>
      <c r="G310" s="14">
        <v>0.01</v>
      </c>
      <c r="H310" s="10"/>
      <c r="I310" s="10"/>
    </row>
    <row r="311" spans="1:9">
      <c r="A311" s="10" t="s">
        <v>870</v>
      </c>
      <c r="B311" s="124" t="s">
        <v>578</v>
      </c>
      <c r="C311" s="124" t="s">
        <v>309</v>
      </c>
      <c r="D311" s="14">
        <v>2558197.12</v>
      </c>
      <c r="E311" s="82">
        <v>0.99476726410000005</v>
      </c>
      <c r="F311" s="14">
        <v>2544810.75</v>
      </c>
      <c r="G311" s="12">
        <v>0</v>
      </c>
      <c r="H311" s="10"/>
      <c r="I311" s="10"/>
    </row>
    <row r="312" spans="1:9">
      <c r="A312" s="10" t="s">
        <v>871</v>
      </c>
      <c r="B312" s="124" t="s">
        <v>463</v>
      </c>
      <c r="C312" s="124" t="s">
        <v>309</v>
      </c>
      <c r="D312" s="12">
        <v>20000000</v>
      </c>
      <c r="E312" s="82">
        <v>0.98838314490000001</v>
      </c>
      <c r="F312" s="153">
        <v>19767662.899999999</v>
      </c>
      <c r="G312" s="14">
        <v>0.02</v>
      </c>
      <c r="H312" s="10"/>
      <c r="I312" s="10"/>
    </row>
    <row r="313" spans="1:9">
      <c r="A313" s="10" t="s">
        <v>878</v>
      </c>
      <c r="B313" s="124" t="s">
        <v>561</v>
      </c>
      <c r="C313" s="124" t="s">
        <v>163</v>
      </c>
      <c r="D313" s="14">
        <v>4957748.6399999997</v>
      </c>
      <c r="E313" s="157">
        <v>0.995907231</v>
      </c>
      <c r="F313" s="14">
        <v>4937457.72</v>
      </c>
      <c r="G313" s="14">
        <v>0.01</v>
      </c>
      <c r="H313" s="10"/>
      <c r="I313" s="10"/>
    </row>
    <row r="314" spans="1:9">
      <c r="A314" s="10" t="s">
        <v>879</v>
      </c>
      <c r="B314" s="124" t="s">
        <v>692</v>
      </c>
      <c r="C314" s="124" t="s">
        <v>163</v>
      </c>
      <c r="D314" s="12">
        <v>75000000</v>
      </c>
      <c r="E314" s="82">
        <v>0.99103992730000001</v>
      </c>
      <c r="F314" s="14">
        <v>74327994.549999997</v>
      </c>
      <c r="G314" s="14">
        <v>0.09</v>
      </c>
      <c r="H314" s="10"/>
      <c r="I314" s="10"/>
    </row>
    <row r="315" spans="1:9">
      <c r="A315" s="10" t="s">
        <v>882</v>
      </c>
      <c r="B315" s="124" t="s">
        <v>752</v>
      </c>
      <c r="C315" s="124" t="s">
        <v>366</v>
      </c>
      <c r="D315" s="12">
        <v>50000000</v>
      </c>
      <c r="E315" s="82">
        <v>0.96519999339999996</v>
      </c>
      <c r="F315" s="14">
        <v>48259999.670000002</v>
      </c>
      <c r="G315" s="14">
        <v>0.06</v>
      </c>
      <c r="H315" s="10"/>
      <c r="I315" s="10"/>
    </row>
    <row r="316" spans="1:9">
      <c r="A316" s="10" t="s">
        <v>883</v>
      </c>
      <c r="B316" s="124" t="s">
        <v>657</v>
      </c>
      <c r="C316" s="124" t="s">
        <v>366</v>
      </c>
      <c r="D316" s="12">
        <v>50000000</v>
      </c>
      <c r="E316" s="82">
        <v>0.95459783870000003</v>
      </c>
      <c r="F316" s="14">
        <v>47729891.939999998</v>
      </c>
      <c r="G316" s="14">
        <v>0.06</v>
      </c>
      <c r="H316" s="10"/>
      <c r="I316" s="10"/>
    </row>
    <row r="317" spans="1:9">
      <c r="A317" s="10" t="s">
        <v>886</v>
      </c>
      <c r="B317" s="124" t="s">
        <v>517</v>
      </c>
      <c r="C317" s="124" t="s">
        <v>366</v>
      </c>
      <c r="D317" s="12">
        <v>5300000</v>
      </c>
      <c r="E317" s="82">
        <v>0.99281907540000003</v>
      </c>
      <c r="F317" s="153">
        <v>5261941.0999999996</v>
      </c>
      <c r="G317" s="14">
        <v>0.01</v>
      </c>
      <c r="H317" s="10"/>
      <c r="I317" s="10"/>
    </row>
    <row r="318" spans="1:9">
      <c r="A318" s="10" t="s">
        <v>887</v>
      </c>
      <c r="B318" s="124" t="s">
        <v>419</v>
      </c>
      <c r="C318" s="124" t="s">
        <v>409</v>
      </c>
      <c r="D318" s="14">
        <v>2600411.64</v>
      </c>
      <c r="E318" s="82">
        <v>0.9584078197</v>
      </c>
      <c r="F318" s="14">
        <v>2492254.85</v>
      </c>
      <c r="G318" s="12">
        <v>0</v>
      </c>
      <c r="H318" s="10"/>
      <c r="I318" s="10"/>
    </row>
    <row r="319" spans="1:9">
      <c r="A319" s="10" t="s">
        <v>888</v>
      </c>
      <c r="B319" s="124" t="s">
        <v>645</v>
      </c>
      <c r="C319" s="124" t="s">
        <v>409</v>
      </c>
      <c r="D319" s="14">
        <v>2600411.64</v>
      </c>
      <c r="E319" s="82">
        <v>0.97017708719999995</v>
      </c>
      <c r="F319" s="14">
        <v>2522859.79</v>
      </c>
      <c r="G319" s="12">
        <v>0</v>
      </c>
      <c r="H319" s="10"/>
      <c r="I319" s="10"/>
    </row>
    <row r="320" spans="1:9">
      <c r="A320" s="10" t="s">
        <v>889</v>
      </c>
      <c r="B320" s="124" t="s">
        <v>670</v>
      </c>
      <c r="C320" s="124" t="s">
        <v>409</v>
      </c>
      <c r="D320" s="14">
        <v>6222591.4500000002</v>
      </c>
      <c r="E320" s="82">
        <v>0.94208140080000002</v>
      </c>
      <c r="F320" s="14">
        <v>5862187.6699999999</v>
      </c>
      <c r="G320" s="14">
        <v>0.01</v>
      </c>
      <c r="H320" s="10"/>
      <c r="I320" s="10"/>
    </row>
    <row r="321" spans="1:9">
      <c r="A321" s="10" t="s">
        <v>890</v>
      </c>
      <c r="B321" s="124" t="s">
        <v>513</v>
      </c>
      <c r="C321" s="124" t="s">
        <v>409</v>
      </c>
      <c r="D321" s="14">
        <v>4069364.15</v>
      </c>
      <c r="E321" s="82">
        <v>0.98398663330000002</v>
      </c>
      <c r="F321" s="14">
        <v>4004199.93</v>
      </c>
      <c r="G321" s="12">
        <v>0</v>
      </c>
      <c r="H321" s="10"/>
      <c r="I321" s="10"/>
    </row>
    <row r="322" spans="1:9">
      <c r="A322" s="10" t="s">
        <v>891</v>
      </c>
      <c r="B322" s="124" t="s">
        <v>692</v>
      </c>
      <c r="C322" s="124" t="s">
        <v>409</v>
      </c>
      <c r="D322" s="14">
        <v>7954930.75</v>
      </c>
      <c r="E322" s="82">
        <v>0.99015276519999995</v>
      </c>
      <c r="F322" s="14">
        <v>7876596.6799999997</v>
      </c>
      <c r="G322" s="14">
        <v>0.01</v>
      </c>
      <c r="H322" s="10"/>
      <c r="I322" s="10"/>
    </row>
    <row r="323" spans="1:9">
      <c r="A323" s="10" t="s">
        <v>892</v>
      </c>
      <c r="B323" s="124" t="s">
        <v>517</v>
      </c>
      <c r="C323" s="124" t="s">
        <v>409</v>
      </c>
      <c r="D323" s="14">
        <v>7954930.75</v>
      </c>
      <c r="E323" s="82">
        <v>0.98926715720000002</v>
      </c>
      <c r="F323" s="14">
        <v>7869551.7300000004</v>
      </c>
      <c r="G323" s="14">
        <v>0.01</v>
      </c>
      <c r="H323" s="10"/>
      <c r="I323" s="10"/>
    </row>
    <row r="324" spans="1:9">
      <c r="A324" s="10" t="s">
        <v>893</v>
      </c>
      <c r="B324" s="124" t="s">
        <v>627</v>
      </c>
      <c r="C324" s="124" t="s">
        <v>409</v>
      </c>
      <c r="D324" s="14">
        <v>9356284.2599999998</v>
      </c>
      <c r="E324" s="82">
        <v>0.94854476659999998</v>
      </c>
      <c r="F324" s="14">
        <v>8874854.4700000007</v>
      </c>
      <c r="G324" s="14">
        <v>0.01</v>
      </c>
      <c r="H324" s="10"/>
      <c r="I324" s="10"/>
    </row>
    <row r="325" spans="1:9">
      <c r="A325" s="10" t="s">
        <v>894</v>
      </c>
      <c r="B325" s="124" t="s">
        <v>645</v>
      </c>
      <c r="C325" s="124" t="s">
        <v>409</v>
      </c>
      <c r="D325" s="14">
        <v>6512309.3700000001</v>
      </c>
      <c r="E325" s="82">
        <v>0.9701770837</v>
      </c>
      <c r="F325" s="14">
        <v>6318093.3099999996</v>
      </c>
      <c r="G325" s="14">
        <v>0.01</v>
      </c>
      <c r="H325" s="10"/>
      <c r="I325" s="10"/>
    </row>
    <row r="326" spans="1:9">
      <c r="A326" s="10" t="s">
        <v>895</v>
      </c>
      <c r="B326" s="124" t="s">
        <v>614</v>
      </c>
      <c r="C326" s="124" t="s">
        <v>409</v>
      </c>
      <c r="D326" s="14">
        <v>6820314.5199999996</v>
      </c>
      <c r="E326" s="82">
        <v>0.95674970370000001</v>
      </c>
      <c r="F326" s="153">
        <v>6525333.9000000004</v>
      </c>
      <c r="G326" s="14">
        <v>0.01</v>
      </c>
      <c r="H326" s="10"/>
      <c r="I326" s="10"/>
    </row>
    <row r="327" spans="1:9">
      <c r="A327" s="10" t="s">
        <v>896</v>
      </c>
      <c r="B327" s="124" t="s">
        <v>463</v>
      </c>
      <c r="C327" s="124" t="s">
        <v>409</v>
      </c>
      <c r="D327" s="12">
        <v>8951101</v>
      </c>
      <c r="E327" s="82">
        <v>0.98838312949999996</v>
      </c>
      <c r="F327" s="14">
        <v>8847117.2200000007</v>
      </c>
      <c r="G327" s="14">
        <v>0.01</v>
      </c>
      <c r="H327" s="10"/>
      <c r="I327" s="10"/>
    </row>
    <row r="328" spans="1:9">
      <c r="A328" s="10" t="s">
        <v>897</v>
      </c>
      <c r="B328" s="124" t="s">
        <v>692</v>
      </c>
      <c r="C328" s="124" t="s">
        <v>409</v>
      </c>
      <c r="D328" s="12">
        <v>2500000</v>
      </c>
      <c r="E328" s="82">
        <v>0.99103995190000005</v>
      </c>
      <c r="F328" s="14">
        <v>2477599.88</v>
      </c>
      <c r="G328" s="12">
        <v>0</v>
      </c>
      <c r="H328" s="10"/>
      <c r="I328" s="10"/>
    </row>
    <row r="329" spans="1:9">
      <c r="A329" s="10" t="s">
        <v>898</v>
      </c>
      <c r="B329" s="124" t="s">
        <v>456</v>
      </c>
      <c r="C329" s="124" t="s">
        <v>409</v>
      </c>
      <c r="D329" s="12">
        <v>2500000</v>
      </c>
      <c r="E329" s="82">
        <v>0.98862405990000002</v>
      </c>
      <c r="F329" s="14">
        <v>2471560.15</v>
      </c>
      <c r="G329" s="12">
        <v>0</v>
      </c>
      <c r="H329" s="10"/>
      <c r="I329" s="10"/>
    </row>
    <row r="330" spans="1:9">
      <c r="A330" s="10" t="s">
        <v>899</v>
      </c>
      <c r="B330" s="124" t="s">
        <v>510</v>
      </c>
      <c r="C330" s="124" t="s">
        <v>409</v>
      </c>
      <c r="D330" s="12">
        <v>2500000</v>
      </c>
      <c r="E330" s="82">
        <v>0.98303260380000002</v>
      </c>
      <c r="F330" s="14">
        <v>2457581.5099999998</v>
      </c>
      <c r="G330" s="12">
        <v>0</v>
      </c>
      <c r="H330" s="10"/>
      <c r="I330" s="10"/>
    </row>
    <row r="331" spans="1:9">
      <c r="A331" s="10" t="s">
        <v>901</v>
      </c>
      <c r="B331" s="124" t="s">
        <v>517</v>
      </c>
      <c r="C331" s="124" t="s">
        <v>409</v>
      </c>
      <c r="D331" s="12">
        <v>2500000</v>
      </c>
      <c r="E331" s="82">
        <v>0.99023333589999996</v>
      </c>
      <c r="F331" s="14">
        <v>2475583.34</v>
      </c>
      <c r="G331" s="12">
        <v>0</v>
      </c>
      <c r="H331" s="10"/>
      <c r="I331" s="10"/>
    </row>
    <row r="332" spans="1:9">
      <c r="A332" s="10" t="s">
        <v>902</v>
      </c>
      <c r="B332" s="124" t="s">
        <v>513</v>
      </c>
      <c r="C332" s="124" t="s">
        <v>409</v>
      </c>
      <c r="D332" s="12">
        <v>2500000</v>
      </c>
      <c r="E332" s="82">
        <v>0.98542116769999999</v>
      </c>
      <c r="F332" s="14">
        <v>2463552.92</v>
      </c>
      <c r="G332" s="12">
        <v>0</v>
      </c>
      <c r="H332" s="10"/>
      <c r="I332" s="10"/>
    </row>
    <row r="333" spans="1:9">
      <c r="A333" s="10" t="s">
        <v>903</v>
      </c>
      <c r="B333" s="124" t="s">
        <v>716</v>
      </c>
      <c r="C333" s="124" t="s">
        <v>409</v>
      </c>
      <c r="D333" s="12">
        <v>2500000</v>
      </c>
      <c r="E333" s="82">
        <v>0.98223902770000004</v>
      </c>
      <c r="F333" s="14">
        <v>2455597.5699999998</v>
      </c>
      <c r="G333" s="12">
        <v>0</v>
      </c>
      <c r="H333" s="10"/>
      <c r="I333" s="10"/>
    </row>
    <row r="334" spans="1:9">
      <c r="A334" s="10" t="s">
        <v>904</v>
      </c>
      <c r="B334" s="124" t="s">
        <v>718</v>
      </c>
      <c r="C334" s="124" t="s">
        <v>409</v>
      </c>
      <c r="D334" s="12">
        <v>2500000</v>
      </c>
      <c r="E334" s="82">
        <v>0.97907730780000002</v>
      </c>
      <c r="F334" s="14">
        <v>2447693.27</v>
      </c>
      <c r="G334" s="12">
        <v>0</v>
      </c>
      <c r="H334" s="10"/>
      <c r="I334" s="10"/>
    </row>
    <row r="335" spans="1:9">
      <c r="A335" s="10" t="s">
        <v>905</v>
      </c>
      <c r="B335" s="124" t="s">
        <v>610</v>
      </c>
      <c r="C335" s="124" t="s">
        <v>409</v>
      </c>
      <c r="D335" s="12">
        <v>2500000</v>
      </c>
      <c r="E335" s="157">
        <v>0.97671929199999996</v>
      </c>
      <c r="F335" s="14">
        <v>2441798.23</v>
      </c>
      <c r="G335" s="12">
        <v>0</v>
      </c>
      <c r="H335" s="10"/>
      <c r="I335" s="10"/>
    </row>
    <row r="336" spans="1:9">
      <c r="A336" s="10" t="s">
        <v>906</v>
      </c>
      <c r="B336" s="124" t="s">
        <v>498</v>
      </c>
      <c r="C336" s="124" t="s">
        <v>409</v>
      </c>
      <c r="D336" s="12">
        <v>2500000</v>
      </c>
      <c r="E336" s="21">
        <v>0.97437267999999999</v>
      </c>
      <c r="F336" s="153">
        <v>2435931.7000000002</v>
      </c>
      <c r="G336" s="12">
        <v>0</v>
      </c>
      <c r="H336" s="10"/>
      <c r="I336" s="10"/>
    </row>
    <row r="337" spans="1:9">
      <c r="A337" s="10" t="s">
        <v>907</v>
      </c>
      <c r="B337" s="124" t="s">
        <v>625</v>
      </c>
      <c r="C337" s="124" t="s">
        <v>409</v>
      </c>
      <c r="D337" s="12">
        <v>2500000</v>
      </c>
      <c r="E337" s="21">
        <v>0.99917876000000005</v>
      </c>
      <c r="F337" s="153">
        <v>2497946.9</v>
      </c>
      <c r="G337" s="12">
        <v>0</v>
      </c>
      <c r="H337" s="10"/>
      <c r="I337" s="10"/>
    </row>
    <row r="338" spans="1:9">
      <c r="A338" s="10" t="s">
        <v>908</v>
      </c>
      <c r="B338" s="124" t="s">
        <v>473</v>
      </c>
      <c r="C338" s="124" t="s">
        <v>409</v>
      </c>
      <c r="D338" s="12">
        <v>2500000</v>
      </c>
      <c r="E338" s="157">
        <v>0.99672311599999996</v>
      </c>
      <c r="F338" s="14">
        <v>2491807.79</v>
      </c>
      <c r="G338" s="12">
        <v>0</v>
      </c>
      <c r="H338" s="10"/>
      <c r="I338" s="10"/>
    </row>
    <row r="339" spans="1:9">
      <c r="A339" s="10" t="s">
        <v>909</v>
      </c>
      <c r="B339" s="124" t="s">
        <v>561</v>
      </c>
      <c r="C339" s="124" t="s">
        <v>409</v>
      </c>
      <c r="D339" s="12">
        <v>12000000</v>
      </c>
      <c r="E339" s="82">
        <v>0.99590724009999998</v>
      </c>
      <c r="F339" s="14">
        <v>11950886.880000001</v>
      </c>
      <c r="G339" s="14">
        <v>0.01</v>
      </c>
      <c r="H339" s="10"/>
      <c r="I339" s="10"/>
    </row>
    <row r="340" spans="1:9">
      <c r="A340" s="10" t="s">
        <v>913</v>
      </c>
      <c r="B340" s="124" t="s">
        <v>578</v>
      </c>
      <c r="C340" s="124" t="s">
        <v>332</v>
      </c>
      <c r="D340" s="12">
        <v>25000000</v>
      </c>
      <c r="E340" s="82">
        <v>0.99395459360000005</v>
      </c>
      <c r="F340" s="14">
        <v>24848864.84</v>
      </c>
      <c r="G340" s="14">
        <v>0.03</v>
      </c>
      <c r="H340" s="10"/>
      <c r="I340" s="10"/>
    </row>
    <row r="341" spans="1:9">
      <c r="A341" s="10" t="s">
        <v>914</v>
      </c>
      <c r="B341" s="124" t="s">
        <v>517</v>
      </c>
      <c r="C341" s="124" t="s">
        <v>332</v>
      </c>
      <c r="D341" s="12">
        <v>25000000</v>
      </c>
      <c r="E341" s="82">
        <v>0.98798185490000001</v>
      </c>
      <c r="F341" s="14">
        <v>24699546.370000001</v>
      </c>
      <c r="G341" s="14">
        <v>0.03</v>
      </c>
      <c r="H341" s="10"/>
      <c r="I341" s="10"/>
    </row>
    <row r="342" spans="1:9">
      <c r="A342" s="10" t="s">
        <v>915</v>
      </c>
      <c r="B342" s="124" t="s">
        <v>625</v>
      </c>
      <c r="C342" s="124" t="s">
        <v>332</v>
      </c>
      <c r="D342" s="12">
        <v>15000000</v>
      </c>
      <c r="E342" s="157">
        <v>0.99898733200000001</v>
      </c>
      <c r="F342" s="14">
        <v>14984809.98</v>
      </c>
      <c r="G342" s="14">
        <v>0.02</v>
      </c>
      <c r="H342" s="10"/>
      <c r="I342" s="10"/>
    </row>
    <row r="343" spans="1:9">
      <c r="A343" s="10" t="s">
        <v>916</v>
      </c>
      <c r="B343" s="124" t="s">
        <v>561</v>
      </c>
      <c r="C343" s="124" t="s">
        <v>332</v>
      </c>
      <c r="D343" s="12">
        <v>15000000</v>
      </c>
      <c r="E343" s="82">
        <v>0.99495708520000004</v>
      </c>
      <c r="F343" s="14">
        <v>14924356.279999999</v>
      </c>
      <c r="G343" s="14">
        <v>0.02</v>
      </c>
      <c r="H343" s="10"/>
      <c r="I343" s="10"/>
    </row>
    <row r="344" spans="1:9">
      <c r="A344" s="10" t="s">
        <v>917</v>
      </c>
      <c r="B344" s="124" t="s">
        <v>505</v>
      </c>
      <c r="C344" s="124" t="s">
        <v>332</v>
      </c>
      <c r="D344" s="12">
        <v>20000000</v>
      </c>
      <c r="E344" s="82">
        <v>0.99295411649999998</v>
      </c>
      <c r="F344" s="14">
        <v>19859082.329999998</v>
      </c>
      <c r="G344" s="14">
        <v>0.02</v>
      </c>
      <c r="H344" s="10"/>
      <c r="I344" s="10"/>
    </row>
    <row r="345" spans="1:9">
      <c r="A345" s="10" t="s">
        <v>918</v>
      </c>
      <c r="B345" s="124" t="s">
        <v>692</v>
      </c>
      <c r="C345" s="124" t="s">
        <v>332</v>
      </c>
      <c r="D345" s="12">
        <v>20000000</v>
      </c>
      <c r="E345" s="82">
        <v>0.98897229139999998</v>
      </c>
      <c r="F345" s="14">
        <v>19779445.829999998</v>
      </c>
      <c r="G345" s="14">
        <v>0.02</v>
      </c>
      <c r="H345" s="10"/>
      <c r="I345" s="10"/>
    </row>
    <row r="346" spans="1:9">
      <c r="A346" s="10" t="s">
        <v>912</v>
      </c>
      <c r="B346" s="124" t="s">
        <v>625</v>
      </c>
      <c r="C346" s="124" t="s">
        <v>332</v>
      </c>
      <c r="D346" s="12">
        <v>2500000</v>
      </c>
      <c r="E346" s="157">
        <v>0.99917876400000005</v>
      </c>
      <c r="F346" s="14">
        <v>2497946.91</v>
      </c>
      <c r="G346" s="12">
        <v>0</v>
      </c>
      <c r="H346" s="10"/>
      <c r="I346" s="10"/>
    </row>
    <row r="347" spans="1:9">
      <c r="A347" s="10" t="s">
        <v>921</v>
      </c>
      <c r="B347" s="124" t="s">
        <v>459</v>
      </c>
      <c r="C347" s="124" t="s">
        <v>332</v>
      </c>
      <c r="D347" s="12">
        <v>25000000</v>
      </c>
      <c r="E347" s="82">
        <v>0.98223901469999997</v>
      </c>
      <c r="F347" s="14">
        <v>24555975.370000001</v>
      </c>
      <c r="G347" s="14">
        <v>0.03</v>
      </c>
      <c r="H347" s="10"/>
      <c r="I347" s="10"/>
    </row>
    <row r="348" spans="1:9">
      <c r="A348" s="10" t="s">
        <v>922</v>
      </c>
      <c r="B348" s="124" t="s">
        <v>587</v>
      </c>
      <c r="C348" s="124" t="s">
        <v>332</v>
      </c>
      <c r="D348" s="12">
        <v>25000000</v>
      </c>
      <c r="E348" s="82">
        <v>0.95262954170000003</v>
      </c>
      <c r="F348" s="14">
        <v>23815738.539999999</v>
      </c>
      <c r="G348" s="14">
        <v>0.03</v>
      </c>
      <c r="H348" s="10"/>
      <c r="I348" s="10"/>
    </row>
    <row r="349" spans="1:9">
      <c r="A349" s="10" t="s">
        <v>923</v>
      </c>
      <c r="B349" s="124" t="s">
        <v>552</v>
      </c>
      <c r="C349" s="124" t="s">
        <v>332</v>
      </c>
      <c r="D349" s="12">
        <v>25000000</v>
      </c>
      <c r="E349" s="82">
        <v>0.96425646890000005</v>
      </c>
      <c r="F349" s="14">
        <v>24106411.719999999</v>
      </c>
      <c r="G349" s="14">
        <v>0.03</v>
      </c>
      <c r="H349" s="10"/>
      <c r="I349" s="10"/>
    </row>
    <row r="350" spans="1:9">
      <c r="A350" s="10" t="s">
        <v>924</v>
      </c>
      <c r="B350" s="124" t="s">
        <v>456</v>
      </c>
      <c r="C350" s="124" t="s">
        <v>332</v>
      </c>
      <c r="D350" s="12">
        <v>30000000</v>
      </c>
      <c r="E350" s="82">
        <v>0.98750069620000003</v>
      </c>
      <c r="F350" s="14">
        <v>29625020.890000001</v>
      </c>
      <c r="G350" s="14">
        <v>0.04</v>
      </c>
      <c r="H350" s="10"/>
      <c r="I350" s="10"/>
    </row>
    <row r="351" spans="1:9">
      <c r="A351" s="10" t="s">
        <v>926</v>
      </c>
      <c r="B351" s="124" t="s">
        <v>925</v>
      </c>
      <c r="C351" s="124" t="s">
        <v>332</v>
      </c>
      <c r="D351" s="12">
        <v>25000000</v>
      </c>
      <c r="E351" s="82">
        <v>0.96007161590000001</v>
      </c>
      <c r="F351" s="153">
        <v>24001790.399999999</v>
      </c>
      <c r="G351" s="14">
        <v>0.03</v>
      </c>
      <c r="H351" s="10"/>
      <c r="I351" s="10"/>
    </row>
    <row r="352" spans="1:9">
      <c r="A352" s="10" t="s">
        <v>919</v>
      </c>
      <c r="B352" s="124" t="s">
        <v>614</v>
      </c>
      <c r="C352" s="124" t="s">
        <v>332</v>
      </c>
      <c r="D352" s="12">
        <v>25000000</v>
      </c>
      <c r="E352" s="82">
        <v>0.95674973630000004</v>
      </c>
      <c r="F352" s="14">
        <v>23918743.41</v>
      </c>
      <c r="G352" s="14">
        <v>0.03</v>
      </c>
      <c r="H352" s="10"/>
      <c r="I352" s="10"/>
    </row>
    <row r="353" spans="1:10">
      <c r="A353" s="10" t="s">
        <v>920</v>
      </c>
      <c r="B353" s="124" t="s">
        <v>461</v>
      </c>
      <c r="C353" s="124" t="s">
        <v>332</v>
      </c>
      <c r="D353" s="12">
        <v>25000000</v>
      </c>
      <c r="E353" s="82">
        <v>0.97617080249999999</v>
      </c>
      <c r="F353" s="14">
        <v>24404270.059999999</v>
      </c>
      <c r="G353" s="14">
        <v>0.03</v>
      </c>
      <c r="H353" s="10"/>
      <c r="I353" s="10"/>
    </row>
    <row r="354" spans="1:10">
      <c r="A354" s="10" t="s">
        <v>927</v>
      </c>
      <c r="B354" s="124" t="s">
        <v>578</v>
      </c>
      <c r="C354" s="124" t="s">
        <v>485</v>
      </c>
      <c r="D354" s="12">
        <v>68000000</v>
      </c>
      <c r="E354" s="82">
        <v>0.99395458869999997</v>
      </c>
      <c r="F354" s="14">
        <v>67588912.030000001</v>
      </c>
      <c r="G354" s="14">
        <v>0.08</v>
      </c>
      <c r="H354" s="10"/>
      <c r="I354" s="10"/>
    </row>
    <row r="355" spans="1:10">
      <c r="A355" s="10" t="s">
        <v>928</v>
      </c>
      <c r="B355" s="124" t="s">
        <v>559</v>
      </c>
      <c r="C355" s="124" t="s">
        <v>485</v>
      </c>
      <c r="D355" s="12">
        <v>250000000</v>
      </c>
      <c r="E355" s="82">
        <v>0.97385275709999997</v>
      </c>
      <c r="F355" s="14">
        <v>243463189.28</v>
      </c>
      <c r="G355" s="153">
        <v>0.3</v>
      </c>
      <c r="H355" s="10"/>
      <c r="I355" s="10"/>
    </row>
    <row r="356" spans="1:10">
      <c r="A356" s="10" t="s">
        <v>929</v>
      </c>
      <c r="B356" s="124" t="s">
        <v>255</v>
      </c>
      <c r="C356" s="124" t="s">
        <v>485</v>
      </c>
      <c r="D356" s="12">
        <v>25000000</v>
      </c>
      <c r="E356" s="82">
        <v>0.93570553280000002</v>
      </c>
      <c r="F356" s="14">
        <v>23392638.32</v>
      </c>
      <c r="G356" s="14">
        <v>0.03</v>
      </c>
      <c r="H356" s="10"/>
      <c r="I356" s="10"/>
    </row>
    <row r="357" spans="1:10">
      <c r="A357" s="10" t="s">
        <v>930</v>
      </c>
      <c r="B357" s="124" t="s">
        <v>931</v>
      </c>
      <c r="C357" s="124" t="s">
        <v>485</v>
      </c>
      <c r="D357" s="12">
        <v>25000000</v>
      </c>
      <c r="E357" s="82">
        <v>0.92863515019999998</v>
      </c>
      <c r="F357" s="14">
        <v>23215878.760000002</v>
      </c>
      <c r="G357" s="14">
        <v>0.03</v>
      </c>
      <c r="H357" s="10"/>
      <c r="I357" s="10"/>
    </row>
    <row r="358" spans="1:10">
      <c r="A358" s="10" t="s">
        <v>932</v>
      </c>
      <c r="B358" s="124" t="s">
        <v>459</v>
      </c>
      <c r="C358" s="124" t="s">
        <v>485</v>
      </c>
      <c r="D358" s="153">
        <v>7158904.5</v>
      </c>
      <c r="E358" s="82">
        <v>0.98488940049999996</v>
      </c>
      <c r="F358" s="14">
        <v>7050729.1600000001</v>
      </c>
      <c r="G358" s="14">
        <v>0.01</v>
      </c>
      <c r="H358" s="10"/>
      <c r="I358" s="10"/>
    </row>
    <row r="359" spans="1:10">
      <c r="A359" s="10" t="s">
        <v>933</v>
      </c>
      <c r="B359" s="124" t="s">
        <v>459</v>
      </c>
      <c r="C359" s="124" t="s">
        <v>485</v>
      </c>
      <c r="D359" s="14">
        <v>15011972.220000001</v>
      </c>
      <c r="E359" s="82">
        <v>0.98488940150000004</v>
      </c>
      <c r="F359" s="14">
        <v>14785132.34</v>
      </c>
      <c r="G359" s="14">
        <v>0.02</v>
      </c>
      <c r="H359" s="10"/>
      <c r="I359" s="10"/>
    </row>
    <row r="360" spans="1:10">
      <c r="A360" s="10" t="s">
        <v>934</v>
      </c>
      <c r="B360" s="124" t="s">
        <v>459</v>
      </c>
      <c r="C360" s="124" t="s">
        <v>485</v>
      </c>
      <c r="D360" s="153">
        <v>8829623.3000000007</v>
      </c>
      <c r="E360" s="82">
        <v>0.98488940150000004</v>
      </c>
      <c r="F360" s="14">
        <v>8696202.4100000001</v>
      </c>
      <c r="G360" s="14">
        <v>0.01</v>
      </c>
      <c r="H360" s="10"/>
      <c r="I360" s="10"/>
    </row>
    <row r="361" spans="1:10">
      <c r="A361" s="10" t="s">
        <v>935</v>
      </c>
      <c r="B361" s="124" t="s">
        <v>419</v>
      </c>
      <c r="C361" s="124" t="s">
        <v>485</v>
      </c>
      <c r="D361" s="14">
        <v>10746145.48</v>
      </c>
      <c r="E361" s="82">
        <v>0.96448587429999999</v>
      </c>
      <c r="F361" s="14">
        <v>10364505.52</v>
      </c>
      <c r="G361" s="14">
        <v>0.01</v>
      </c>
      <c r="H361" s="10"/>
      <c r="I361" s="10"/>
    </row>
    <row r="362" spans="1:10">
      <c r="A362" s="10" t="s">
        <v>936</v>
      </c>
      <c r="B362" s="124" t="s">
        <v>419</v>
      </c>
      <c r="C362" s="124" t="s">
        <v>485</v>
      </c>
      <c r="D362" s="153">
        <v>8521998.5999999996</v>
      </c>
      <c r="E362" s="82">
        <v>0.96448587429999999</v>
      </c>
      <c r="F362" s="14">
        <v>8219347.2699999996</v>
      </c>
      <c r="G362" s="14">
        <v>0.01</v>
      </c>
      <c r="H362" s="10"/>
      <c r="I362" s="10"/>
    </row>
    <row r="363" spans="1:10">
      <c r="A363" s="10" t="s">
        <v>937</v>
      </c>
      <c r="B363" s="124" t="s">
        <v>459</v>
      </c>
      <c r="C363" s="124" t="s">
        <v>485</v>
      </c>
      <c r="D363" s="14">
        <v>16797939.449999999</v>
      </c>
      <c r="E363" s="82">
        <v>0.98488940150000004</v>
      </c>
      <c r="F363" s="14">
        <v>16544112.529999999</v>
      </c>
      <c r="G363" s="14">
        <v>0.02</v>
      </c>
      <c r="H363" s="10"/>
      <c r="I363" s="10"/>
    </row>
    <row r="364" spans="1:10">
      <c r="A364" s="10" t="s">
        <v>938</v>
      </c>
      <c r="B364" s="124" t="s">
        <v>510</v>
      </c>
      <c r="C364" s="124" t="s">
        <v>485</v>
      </c>
      <c r="D364" s="14">
        <v>20279181.25</v>
      </c>
      <c r="E364" s="82">
        <v>0.98414583369999997</v>
      </c>
      <c r="F364" s="14">
        <v>19957671.739999998</v>
      </c>
      <c r="G364" s="14">
        <v>0.02</v>
      </c>
      <c r="H364" s="10"/>
      <c r="I364" s="10"/>
    </row>
    <row r="365" spans="1:10">
      <c r="A365" s="10" t="s">
        <v>940</v>
      </c>
      <c r="B365" s="124" t="s">
        <v>718</v>
      </c>
      <c r="C365" s="124" t="s">
        <v>485</v>
      </c>
      <c r="D365" s="14">
        <v>7098063.4299999997</v>
      </c>
      <c r="E365" s="82">
        <v>0.98044489020000003</v>
      </c>
      <c r="F365" s="14">
        <v>6959260.0199999996</v>
      </c>
      <c r="G365" s="14">
        <v>0.01</v>
      </c>
      <c r="H365" s="10"/>
      <c r="I365" s="10"/>
    </row>
    <row r="366" spans="1:10">
      <c r="A366" s="10" t="s">
        <v>941</v>
      </c>
      <c r="B366" s="124" t="s">
        <v>267</v>
      </c>
      <c r="C366" s="124" t="s">
        <v>485</v>
      </c>
      <c r="D366" s="12">
        <v>15000000</v>
      </c>
      <c r="E366" s="82">
        <v>0.96878654720000001</v>
      </c>
      <c r="F366" s="14">
        <v>14531798.210000001</v>
      </c>
      <c r="G366" s="14">
        <v>0.02</v>
      </c>
      <c r="H366" s="10"/>
      <c r="I366" s="10"/>
      <c r="J366" s="59"/>
    </row>
    <row r="367" spans="1:10">
      <c r="A367" s="10" t="s">
        <v>950</v>
      </c>
      <c r="B367" s="124" t="s">
        <v>636</v>
      </c>
      <c r="C367" s="124" t="s">
        <v>372</v>
      </c>
      <c r="D367" s="14">
        <v>20007806.68</v>
      </c>
      <c r="E367" s="82">
        <v>0.94127968650000005</v>
      </c>
      <c r="F367" s="12">
        <v>18832942</v>
      </c>
      <c r="G367" s="14">
        <v>0.02</v>
      </c>
      <c r="H367" s="10"/>
      <c r="I367" s="10"/>
    </row>
    <row r="368" spans="1:10">
      <c r="A368" s="10" t="s">
        <v>951</v>
      </c>
      <c r="B368" s="124" t="s">
        <v>517</v>
      </c>
      <c r="C368" s="124" t="s">
        <v>372</v>
      </c>
      <c r="D368" s="12">
        <v>40000000</v>
      </c>
      <c r="E368" s="82">
        <v>0.98702001429999997</v>
      </c>
      <c r="F368" s="14">
        <v>39480800.57</v>
      </c>
      <c r="G368" s="14">
        <v>0.05</v>
      </c>
      <c r="H368" s="10"/>
      <c r="I368" s="10"/>
    </row>
    <row r="369" spans="1:9">
      <c r="A369" s="10" t="s">
        <v>952</v>
      </c>
      <c r="B369" s="124" t="s">
        <v>743</v>
      </c>
      <c r="C369" s="124" t="s">
        <v>372</v>
      </c>
      <c r="D369" s="12">
        <v>25000000</v>
      </c>
      <c r="E369" s="82">
        <v>0.93640165220000005</v>
      </c>
      <c r="F369" s="14">
        <v>23410041.309999999</v>
      </c>
      <c r="G369" s="14">
        <v>0.03</v>
      </c>
      <c r="H369" s="10"/>
      <c r="I369" s="10"/>
    </row>
    <row r="370" spans="1:9">
      <c r="A370" s="10" t="s">
        <v>953</v>
      </c>
      <c r="B370" s="124" t="s">
        <v>636</v>
      </c>
      <c r="C370" s="124" t="s">
        <v>372</v>
      </c>
      <c r="D370" s="12">
        <v>25000000</v>
      </c>
      <c r="E370" s="82">
        <v>0.93462736909999999</v>
      </c>
      <c r="F370" s="14">
        <v>23365684.23</v>
      </c>
      <c r="G370" s="14">
        <v>0.03</v>
      </c>
      <c r="H370" s="10"/>
      <c r="I370" s="10"/>
    </row>
    <row r="371" spans="1:9">
      <c r="A371" s="10" t="s">
        <v>954</v>
      </c>
      <c r="B371" s="124" t="s">
        <v>473</v>
      </c>
      <c r="C371" s="124" t="s">
        <v>372</v>
      </c>
      <c r="D371" s="12">
        <v>3800000</v>
      </c>
      <c r="E371" s="82">
        <v>0.99672310789999996</v>
      </c>
      <c r="F371" s="14">
        <v>3787547.81</v>
      </c>
      <c r="G371" s="12">
        <v>0</v>
      </c>
      <c r="H371" s="10"/>
      <c r="I371" s="10"/>
    </row>
    <row r="372" spans="1:9">
      <c r="A372" s="10" t="s">
        <v>968</v>
      </c>
      <c r="B372" s="124" t="s">
        <v>461</v>
      </c>
      <c r="C372" s="124" t="s">
        <v>389</v>
      </c>
      <c r="D372" s="12">
        <v>150000000</v>
      </c>
      <c r="E372" s="82">
        <v>0.97970798280000004</v>
      </c>
      <c r="F372" s="14">
        <v>146956197.41999999</v>
      </c>
      <c r="G372" s="14">
        <v>0.18</v>
      </c>
      <c r="H372" s="10"/>
      <c r="I372" s="10"/>
    </row>
    <row r="373" spans="1:9">
      <c r="A373" s="10" t="s">
        <v>969</v>
      </c>
      <c r="B373" s="124" t="s">
        <v>587</v>
      </c>
      <c r="C373" s="124" t="s">
        <v>389</v>
      </c>
      <c r="D373" s="12">
        <v>150000000</v>
      </c>
      <c r="E373" s="82">
        <v>0.95951635830000004</v>
      </c>
      <c r="F373" s="14">
        <v>143927453.75</v>
      </c>
      <c r="G373" s="14">
        <v>0.18</v>
      </c>
      <c r="H373" s="10"/>
      <c r="I373" s="10"/>
    </row>
    <row r="374" spans="1:9">
      <c r="A374" s="10" t="s">
        <v>970</v>
      </c>
      <c r="B374" s="124" t="s">
        <v>661</v>
      </c>
      <c r="C374" s="124" t="s">
        <v>389</v>
      </c>
      <c r="D374" s="12">
        <v>20000000</v>
      </c>
      <c r="E374" s="82">
        <v>0.9490133006</v>
      </c>
      <c r="F374" s="14">
        <v>18980266.010000002</v>
      </c>
      <c r="G374" s="14">
        <v>0.02</v>
      </c>
      <c r="H374" s="10"/>
      <c r="I374" s="10"/>
    </row>
    <row r="375" spans="1:9">
      <c r="A375" s="10" t="s">
        <v>971</v>
      </c>
      <c r="B375" s="124" t="s">
        <v>746</v>
      </c>
      <c r="C375" s="124" t="s">
        <v>389</v>
      </c>
      <c r="D375" s="12">
        <v>50000000</v>
      </c>
      <c r="E375" s="82">
        <v>0.98702003679999994</v>
      </c>
      <c r="F375" s="14">
        <v>49351001.840000004</v>
      </c>
      <c r="G375" s="14">
        <v>0.06</v>
      </c>
      <c r="H375" s="10"/>
      <c r="I375" s="10"/>
    </row>
    <row r="376" spans="1:9">
      <c r="A376" s="10" t="s">
        <v>972</v>
      </c>
      <c r="B376" s="124" t="s">
        <v>561</v>
      </c>
      <c r="C376" s="124" t="s">
        <v>389</v>
      </c>
      <c r="D376" s="12">
        <v>50000000</v>
      </c>
      <c r="E376" s="82">
        <v>0.99563557550000004</v>
      </c>
      <c r="F376" s="14">
        <v>49781778.780000001</v>
      </c>
      <c r="G376" s="14">
        <v>0.06</v>
      </c>
      <c r="H376" s="10"/>
      <c r="I376" s="10"/>
    </row>
    <row r="377" spans="1:9">
      <c r="A377" s="10" t="s">
        <v>973</v>
      </c>
      <c r="B377" s="124" t="s">
        <v>974</v>
      </c>
      <c r="C377" s="124" t="s">
        <v>389</v>
      </c>
      <c r="D377" s="12">
        <v>50000000</v>
      </c>
      <c r="E377" s="82">
        <v>0.93395771169999997</v>
      </c>
      <c r="F377" s="14">
        <v>46697885.590000004</v>
      </c>
      <c r="G377" s="14">
        <v>0.06</v>
      </c>
      <c r="H377" s="10"/>
      <c r="I377" s="10"/>
    </row>
    <row r="378" spans="1:9">
      <c r="A378" s="10" t="s">
        <v>975</v>
      </c>
      <c r="B378" s="124" t="s">
        <v>810</v>
      </c>
      <c r="C378" s="124" t="s">
        <v>389</v>
      </c>
      <c r="D378" s="12">
        <v>40000000</v>
      </c>
      <c r="E378" s="82">
        <v>0.97445075150000005</v>
      </c>
      <c r="F378" s="14">
        <v>38978030.060000002</v>
      </c>
      <c r="G378" s="14">
        <v>0.05</v>
      </c>
      <c r="H378" s="10"/>
      <c r="I378" s="10"/>
    </row>
    <row r="379" spans="1:9">
      <c r="A379" s="10" t="s">
        <v>976</v>
      </c>
      <c r="B379" s="124" t="s">
        <v>461</v>
      </c>
      <c r="C379" s="124" t="s">
        <v>389</v>
      </c>
      <c r="D379" s="12">
        <v>150000000</v>
      </c>
      <c r="E379" s="82">
        <v>0.97970798280000004</v>
      </c>
      <c r="F379" s="14">
        <v>146956197.41999999</v>
      </c>
      <c r="G379" s="14">
        <v>0.18</v>
      </c>
      <c r="H379" s="10"/>
      <c r="I379" s="10"/>
    </row>
    <row r="380" spans="1:9">
      <c r="A380" s="10" t="s">
        <v>977</v>
      </c>
      <c r="B380" s="124" t="s">
        <v>463</v>
      </c>
      <c r="C380" s="124" t="s">
        <v>389</v>
      </c>
      <c r="D380" s="12">
        <v>150000000</v>
      </c>
      <c r="E380" s="82">
        <v>0.99012587080000003</v>
      </c>
      <c r="F380" s="14">
        <v>148518880.62</v>
      </c>
      <c r="G380" s="14">
        <v>0.18</v>
      </c>
      <c r="H380" s="10"/>
      <c r="I380" s="10"/>
    </row>
    <row r="381" spans="1:9">
      <c r="A381" s="10" t="s">
        <v>978</v>
      </c>
      <c r="B381" s="124" t="s">
        <v>415</v>
      </c>
      <c r="C381" s="124" t="s">
        <v>389</v>
      </c>
      <c r="D381" s="12">
        <v>150000000</v>
      </c>
      <c r="E381" s="157">
        <v>0.98563406899999995</v>
      </c>
      <c r="F381" s="14">
        <v>147845110.34999999</v>
      </c>
      <c r="G381" s="14">
        <v>0.18</v>
      </c>
      <c r="H381" s="10"/>
      <c r="I381" s="10"/>
    </row>
    <row r="382" spans="1:9">
      <c r="A382" s="10" t="s">
        <v>979</v>
      </c>
      <c r="B382" s="124" t="s">
        <v>810</v>
      </c>
      <c r="C382" s="124" t="s">
        <v>389</v>
      </c>
      <c r="D382" s="12">
        <v>150000000</v>
      </c>
      <c r="E382" s="157">
        <v>0.97531000800000001</v>
      </c>
      <c r="F382" s="153">
        <v>146296501.19999999</v>
      </c>
      <c r="G382" s="14">
        <v>0.18</v>
      </c>
      <c r="H382" s="10"/>
      <c r="I382" s="10"/>
    </row>
    <row r="383" spans="1:9">
      <c r="A383" s="10" t="s">
        <v>980</v>
      </c>
      <c r="B383" s="124" t="s">
        <v>456</v>
      </c>
      <c r="C383" s="124" t="s">
        <v>389</v>
      </c>
      <c r="D383" s="12">
        <v>50000000</v>
      </c>
      <c r="E383" s="82">
        <v>0.98937442320000002</v>
      </c>
      <c r="F383" s="14">
        <v>49468721.159999996</v>
      </c>
      <c r="G383" s="14">
        <v>0.06</v>
      </c>
      <c r="H383" s="10"/>
      <c r="I383" s="10"/>
    </row>
    <row r="384" spans="1:9">
      <c r="A384" s="10" t="s">
        <v>981</v>
      </c>
      <c r="B384" s="124" t="s">
        <v>925</v>
      </c>
      <c r="C384" s="124" t="s">
        <v>389</v>
      </c>
      <c r="D384" s="12">
        <v>850000000</v>
      </c>
      <c r="E384" s="82">
        <v>0.9659151077</v>
      </c>
      <c r="F384" s="14">
        <v>821027841.54999995</v>
      </c>
      <c r="G384" s="12">
        <v>1</v>
      </c>
      <c r="H384" s="10"/>
      <c r="I384" s="10"/>
    </row>
    <row r="385" spans="1:9">
      <c r="A385" s="10" t="s">
        <v>987</v>
      </c>
      <c r="B385" s="124" t="s">
        <v>415</v>
      </c>
      <c r="C385" s="124" t="s">
        <v>442</v>
      </c>
      <c r="D385" s="12">
        <v>25000000</v>
      </c>
      <c r="E385" s="82">
        <v>0.98210686759999999</v>
      </c>
      <c r="F385" s="14">
        <v>24552671.690000001</v>
      </c>
      <c r="G385" s="14">
        <v>0.03</v>
      </c>
      <c r="H385" s="10"/>
      <c r="I385" s="10"/>
    </row>
    <row r="386" spans="1:9">
      <c r="A386" s="10" t="s">
        <v>988</v>
      </c>
      <c r="B386" s="124" t="s">
        <v>667</v>
      </c>
      <c r="C386" s="124" t="s">
        <v>442</v>
      </c>
      <c r="D386" s="12">
        <v>2000000</v>
      </c>
      <c r="E386" s="82">
        <v>0.9575780304</v>
      </c>
      <c r="F386" s="14">
        <v>1915156.06</v>
      </c>
      <c r="G386" s="12">
        <v>0</v>
      </c>
      <c r="H386" s="10"/>
      <c r="I386" s="10"/>
    </row>
    <row r="387" spans="1:9">
      <c r="A387" s="10" t="s">
        <v>989</v>
      </c>
      <c r="B387" s="124" t="s">
        <v>578</v>
      </c>
      <c r="C387" s="124" t="s">
        <v>442</v>
      </c>
      <c r="D387" s="12">
        <v>2000000</v>
      </c>
      <c r="E387" s="157">
        <v>0.99460461499999997</v>
      </c>
      <c r="F387" s="14">
        <v>1989209.23</v>
      </c>
      <c r="G387" s="12">
        <v>0</v>
      </c>
      <c r="H387" s="10"/>
      <c r="I387" s="10"/>
    </row>
    <row r="388" spans="1:9">
      <c r="A388" s="10" t="s">
        <v>990</v>
      </c>
      <c r="B388" s="124" t="s">
        <v>741</v>
      </c>
      <c r="C388" s="124" t="s">
        <v>442</v>
      </c>
      <c r="D388" s="12">
        <v>2000000</v>
      </c>
      <c r="E388" s="157">
        <v>0.92398060400000004</v>
      </c>
      <c r="F388" s="14">
        <v>1847961.21</v>
      </c>
      <c r="G388" s="12">
        <v>0</v>
      </c>
      <c r="H388" s="10"/>
      <c r="I388" s="10"/>
    </row>
    <row r="389" spans="1:9">
      <c r="A389" s="10" t="s">
        <v>991</v>
      </c>
      <c r="B389" s="124" t="s">
        <v>992</v>
      </c>
      <c r="C389" s="124" t="s">
        <v>442</v>
      </c>
      <c r="D389" s="12">
        <v>2000000</v>
      </c>
      <c r="E389" s="82">
        <v>0.91937236420000001</v>
      </c>
      <c r="F389" s="14">
        <v>1838744.73</v>
      </c>
      <c r="G389" s="12">
        <v>0</v>
      </c>
      <c r="H389" s="10"/>
      <c r="I389" s="10"/>
    </row>
    <row r="390" spans="1:9">
      <c r="A390" s="10" t="s">
        <v>1022</v>
      </c>
      <c r="B390" s="124" t="s">
        <v>610</v>
      </c>
      <c r="C390" s="124" t="s">
        <v>310</v>
      </c>
      <c r="D390" s="12">
        <v>26000000</v>
      </c>
      <c r="E390" s="157">
        <v>0.97596194300000005</v>
      </c>
      <c r="F390" s="14">
        <v>25375010.52</v>
      </c>
      <c r="G390" s="14">
        <v>0.03</v>
      </c>
      <c r="H390" s="10"/>
      <c r="I390" s="10"/>
    </row>
    <row r="391" spans="1:9">
      <c r="A391" s="10" t="s">
        <v>1023</v>
      </c>
      <c r="B391" s="124" t="s">
        <v>517</v>
      </c>
      <c r="C391" s="124" t="s">
        <v>310</v>
      </c>
      <c r="D391" s="12">
        <v>10000000</v>
      </c>
      <c r="E391" s="157">
        <v>0.99023335099999998</v>
      </c>
      <c r="F391" s="14">
        <v>9902333.5099999998</v>
      </c>
      <c r="G391" s="14">
        <v>0.01</v>
      </c>
      <c r="H391" s="10"/>
      <c r="I391" s="10"/>
    </row>
    <row r="392" spans="1:9">
      <c r="A392" s="10" t="s">
        <v>1024</v>
      </c>
      <c r="B392" s="124" t="s">
        <v>456</v>
      </c>
      <c r="C392" s="124" t="s">
        <v>310</v>
      </c>
      <c r="D392" s="12">
        <v>10000000</v>
      </c>
      <c r="E392" s="82">
        <v>0.98862406810000003</v>
      </c>
      <c r="F392" s="14">
        <v>9886240.6799999997</v>
      </c>
      <c r="G392" s="14">
        <v>0.01</v>
      </c>
      <c r="H392" s="10"/>
      <c r="I392" s="10"/>
    </row>
    <row r="393" spans="1:9">
      <c r="A393" s="10" t="s">
        <v>1025</v>
      </c>
      <c r="B393" s="124" t="s">
        <v>463</v>
      </c>
      <c r="C393" s="124" t="s">
        <v>310</v>
      </c>
      <c r="D393" s="12">
        <v>10000000</v>
      </c>
      <c r="E393" s="82">
        <v>0.98942805680000001</v>
      </c>
      <c r="F393" s="14">
        <v>9894280.5700000003</v>
      </c>
      <c r="G393" s="14">
        <v>0.01</v>
      </c>
      <c r="H393" s="10"/>
      <c r="I393" s="10"/>
    </row>
    <row r="394" spans="1:9">
      <c r="A394" s="10" t="s">
        <v>1026</v>
      </c>
      <c r="B394" s="124" t="s">
        <v>513</v>
      </c>
      <c r="C394" s="124" t="s">
        <v>310</v>
      </c>
      <c r="D394" s="12">
        <v>40000000</v>
      </c>
      <c r="E394" s="82">
        <v>0.98542118020000002</v>
      </c>
      <c r="F394" s="14">
        <v>39416847.210000001</v>
      </c>
      <c r="G394" s="14">
        <v>0.05</v>
      </c>
      <c r="H394" s="10"/>
      <c r="I394" s="10"/>
    </row>
    <row r="395" spans="1:9">
      <c r="A395" s="10" t="s">
        <v>1027</v>
      </c>
      <c r="B395" s="124" t="s">
        <v>463</v>
      </c>
      <c r="C395" s="124" t="s">
        <v>310</v>
      </c>
      <c r="D395" s="12">
        <v>11000000</v>
      </c>
      <c r="E395" s="82">
        <v>0.98942805540000001</v>
      </c>
      <c r="F395" s="14">
        <v>10883708.609999999</v>
      </c>
      <c r="G395" s="14">
        <v>0.01</v>
      </c>
      <c r="H395" s="10"/>
      <c r="I395" s="10"/>
    </row>
    <row r="396" spans="1:9">
      <c r="A396" s="10" t="s">
        <v>1028</v>
      </c>
      <c r="B396" s="124" t="s">
        <v>578</v>
      </c>
      <c r="C396" s="124" t="s">
        <v>310</v>
      </c>
      <c r="D396" s="12">
        <v>11000000</v>
      </c>
      <c r="E396" s="82">
        <v>0.99509270370000003</v>
      </c>
      <c r="F396" s="14">
        <v>10946019.74</v>
      </c>
      <c r="G396" s="14">
        <v>0.01</v>
      </c>
      <c r="H396" s="10"/>
      <c r="I396" s="10"/>
    </row>
    <row r="397" spans="1:9">
      <c r="A397" s="10" t="s">
        <v>1010</v>
      </c>
      <c r="B397" s="124" t="s">
        <v>692</v>
      </c>
      <c r="C397" s="124" t="s">
        <v>310</v>
      </c>
      <c r="D397" s="12">
        <v>10000000</v>
      </c>
      <c r="E397" s="82">
        <v>0.99103991810000003</v>
      </c>
      <c r="F397" s="14">
        <v>9910399.1799999997</v>
      </c>
      <c r="G397" s="14">
        <v>0.01</v>
      </c>
      <c r="H397" s="10"/>
      <c r="I397" s="10"/>
    </row>
    <row r="398" spans="1:9">
      <c r="A398" s="10" t="s">
        <v>1011</v>
      </c>
      <c r="B398" s="124" t="s">
        <v>716</v>
      </c>
      <c r="C398" s="124" t="s">
        <v>310</v>
      </c>
      <c r="D398" s="12">
        <v>10000000</v>
      </c>
      <c r="E398" s="82">
        <v>0.98223897589999998</v>
      </c>
      <c r="F398" s="14">
        <v>9822389.7599999998</v>
      </c>
      <c r="G398" s="14">
        <v>0.01</v>
      </c>
      <c r="H398" s="10"/>
      <c r="I398" s="10"/>
    </row>
    <row r="399" spans="1:9">
      <c r="A399" s="10" t="s">
        <v>1012</v>
      </c>
      <c r="B399" s="124" t="s">
        <v>716</v>
      </c>
      <c r="C399" s="124" t="s">
        <v>310</v>
      </c>
      <c r="D399" s="12">
        <v>15000000</v>
      </c>
      <c r="E399" s="82">
        <v>0.98165780130000002</v>
      </c>
      <c r="F399" s="14">
        <v>14724867.02</v>
      </c>
      <c r="G399" s="14">
        <v>0.02</v>
      </c>
      <c r="H399" s="10"/>
      <c r="I399" s="10"/>
    </row>
    <row r="400" spans="1:9">
      <c r="A400" s="10" t="s">
        <v>1013</v>
      </c>
      <c r="B400" s="124" t="s">
        <v>559</v>
      </c>
      <c r="C400" s="124" t="s">
        <v>310</v>
      </c>
      <c r="D400" s="12">
        <v>15000000</v>
      </c>
      <c r="E400" s="82">
        <v>0.97677160949999997</v>
      </c>
      <c r="F400" s="14">
        <v>14651574.140000001</v>
      </c>
      <c r="G400" s="14">
        <v>0.02</v>
      </c>
      <c r="H400" s="10"/>
      <c r="I400" s="10"/>
    </row>
    <row r="401" spans="1:9">
      <c r="A401" s="10" t="s">
        <v>1014</v>
      </c>
      <c r="B401" s="124" t="s">
        <v>459</v>
      </c>
      <c r="C401" s="124" t="s">
        <v>310</v>
      </c>
      <c r="D401" s="12">
        <v>15000000</v>
      </c>
      <c r="E401" s="82">
        <v>0.98329745719999995</v>
      </c>
      <c r="F401" s="14">
        <v>14749461.859999999</v>
      </c>
      <c r="G401" s="14">
        <v>0.02</v>
      </c>
      <c r="H401" s="10"/>
      <c r="I401" s="10"/>
    </row>
    <row r="402" spans="1:9">
      <c r="A402" s="10" t="s">
        <v>1015</v>
      </c>
      <c r="B402" s="124" t="s">
        <v>498</v>
      </c>
      <c r="C402" s="124" t="s">
        <v>310</v>
      </c>
      <c r="D402" s="12">
        <v>15000000</v>
      </c>
      <c r="E402" s="82">
        <v>0.9735410578</v>
      </c>
      <c r="F402" s="14">
        <v>14603115.869999999</v>
      </c>
      <c r="G402" s="14">
        <v>0.02</v>
      </c>
      <c r="H402" s="10"/>
      <c r="I402" s="10"/>
    </row>
    <row r="403" spans="1:9">
      <c r="A403" s="10" t="s">
        <v>1016</v>
      </c>
      <c r="B403" s="124" t="s">
        <v>461</v>
      </c>
      <c r="C403" s="124" t="s">
        <v>310</v>
      </c>
      <c r="D403" s="12">
        <v>15000000</v>
      </c>
      <c r="E403" s="82">
        <v>0.97758261970000004</v>
      </c>
      <c r="F403" s="153">
        <v>14663739.300000001</v>
      </c>
      <c r="G403" s="14">
        <v>0.02</v>
      </c>
      <c r="H403" s="10"/>
      <c r="I403" s="10"/>
    </row>
    <row r="404" spans="1:9">
      <c r="A404" s="10" t="s">
        <v>1017</v>
      </c>
      <c r="B404" s="124" t="s">
        <v>459</v>
      </c>
      <c r="C404" s="124" t="s">
        <v>310</v>
      </c>
      <c r="D404" s="12">
        <v>3000000</v>
      </c>
      <c r="E404" s="82">
        <v>0.98382753990000005</v>
      </c>
      <c r="F404" s="14">
        <v>2951482.62</v>
      </c>
      <c r="G404" s="12">
        <v>0</v>
      </c>
      <c r="H404" s="10"/>
      <c r="I404" s="10"/>
    </row>
    <row r="405" spans="1:9">
      <c r="A405" s="10" t="s">
        <v>1018</v>
      </c>
      <c r="B405" s="124" t="s">
        <v>517</v>
      </c>
      <c r="C405" s="124" t="s">
        <v>310</v>
      </c>
      <c r="D405" s="12">
        <v>3000000</v>
      </c>
      <c r="E405" s="82">
        <v>0.99023335329999995</v>
      </c>
      <c r="F405" s="14">
        <v>2970700.06</v>
      </c>
      <c r="G405" s="12">
        <v>0</v>
      </c>
      <c r="H405" s="10"/>
      <c r="I405" s="10"/>
    </row>
    <row r="406" spans="1:9">
      <c r="A406" s="10" t="s">
        <v>1019</v>
      </c>
      <c r="B406" s="124" t="s">
        <v>415</v>
      </c>
      <c r="C406" s="124" t="s">
        <v>310</v>
      </c>
      <c r="D406" s="12">
        <v>25000000</v>
      </c>
      <c r="E406" s="82">
        <v>0.98462374139999997</v>
      </c>
      <c r="F406" s="14">
        <v>24615593.539999999</v>
      </c>
      <c r="G406" s="14">
        <v>0.03</v>
      </c>
      <c r="H406" s="10"/>
      <c r="I406" s="10"/>
    </row>
    <row r="407" spans="1:9">
      <c r="A407" s="10" t="s">
        <v>1020</v>
      </c>
      <c r="B407" s="124" t="s">
        <v>561</v>
      </c>
      <c r="C407" s="124" t="s">
        <v>310</v>
      </c>
      <c r="D407" s="12">
        <v>25000000</v>
      </c>
      <c r="E407" s="82">
        <v>0.99590724549999998</v>
      </c>
      <c r="F407" s="14">
        <v>24897681.140000001</v>
      </c>
      <c r="G407" s="14">
        <v>0.03</v>
      </c>
      <c r="H407" s="10"/>
      <c r="I407" s="10"/>
    </row>
    <row r="408" spans="1:9">
      <c r="A408" s="10" t="s">
        <v>1021</v>
      </c>
      <c r="B408" s="124" t="s">
        <v>810</v>
      </c>
      <c r="C408" s="124" t="s">
        <v>310</v>
      </c>
      <c r="D408" s="12">
        <v>25000000</v>
      </c>
      <c r="E408" s="82">
        <v>0.97359297010000001</v>
      </c>
      <c r="F408" s="14">
        <v>24339824.25</v>
      </c>
      <c r="G408" s="14">
        <v>0.03</v>
      </c>
      <c r="H408" s="10"/>
      <c r="I408" s="10"/>
    </row>
    <row r="409" spans="1:9">
      <c r="A409" s="10" t="s">
        <v>1008</v>
      </c>
      <c r="B409" s="124" t="s">
        <v>1007</v>
      </c>
      <c r="C409" s="124" t="s">
        <v>310</v>
      </c>
      <c r="D409" s="12">
        <v>25000000</v>
      </c>
      <c r="E409" s="82">
        <v>0.9012347181</v>
      </c>
      <c r="F409" s="14">
        <v>22530867.949999999</v>
      </c>
      <c r="G409" s="14">
        <v>0.03</v>
      </c>
      <c r="H409" s="10"/>
      <c r="I409" s="10"/>
    </row>
    <row r="410" spans="1:9">
      <c r="A410" s="10" t="s">
        <v>1009</v>
      </c>
      <c r="B410" s="124" t="s">
        <v>610</v>
      </c>
      <c r="C410" s="124" t="s">
        <v>310</v>
      </c>
      <c r="D410" s="12">
        <v>25000000</v>
      </c>
      <c r="E410" s="157">
        <v>0.97520574800000004</v>
      </c>
      <c r="F410" s="153">
        <v>24380143.699999999</v>
      </c>
      <c r="G410" s="14">
        <v>0.03</v>
      </c>
      <c r="H410" s="10"/>
      <c r="I410" s="10"/>
    </row>
    <row r="411" spans="1:9">
      <c r="A411" s="10" t="s">
        <v>999</v>
      </c>
      <c r="B411" s="124" t="s">
        <v>716</v>
      </c>
      <c r="C411" s="124" t="s">
        <v>310</v>
      </c>
      <c r="D411" s="12">
        <v>100000000</v>
      </c>
      <c r="E411" s="82">
        <v>0.97991839589999996</v>
      </c>
      <c r="F411" s="14">
        <v>97991839.590000004</v>
      </c>
      <c r="G411" s="14">
        <v>0.12</v>
      </c>
      <c r="H411" s="10"/>
      <c r="I411" s="10"/>
    </row>
    <row r="412" spans="1:9">
      <c r="A412" s="10" t="s">
        <v>996</v>
      </c>
      <c r="B412" s="124" t="s">
        <v>995</v>
      </c>
      <c r="C412" s="124" t="s">
        <v>310</v>
      </c>
      <c r="D412" s="12">
        <v>50000000</v>
      </c>
      <c r="E412" s="82">
        <v>0.92479985769999995</v>
      </c>
      <c r="F412" s="14">
        <v>46239992.890000001</v>
      </c>
      <c r="G412" s="14">
        <v>0.06</v>
      </c>
      <c r="H412" s="10"/>
      <c r="I412" s="10"/>
    </row>
    <row r="413" spans="1:9">
      <c r="A413" s="10" t="s">
        <v>997</v>
      </c>
      <c r="B413" s="124" t="s">
        <v>255</v>
      </c>
      <c r="C413" s="124" t="s">
        <v>310</v>
      </c>
      <c r="D413" s="12">
        <v>50000000</v>
      </c>
      <c r="E413" s="82">
        <v>0.94491047230000003</v>
      </c>
      <c r="F413" s="14">
        <v>47245523.619999997</v>
      </c>
      <c r="G413" s="14">
        <v>0.06</v>
      </c>
      <c r="H413" s="10"/>
      <c r="I413" s="10"/>
    </row>
    <row r="414" spans="1:9">
      <c r="A414" s="10" t="s">
        <v>1001</v>
      </c>
      <c r="B414" s="124" t="s">
        <v>419</v>
      </c>
      <c r="C414" s="124" t="s">
        <v>310</v>
      </c>
      <c r="D414" s="12">
        <v>150000000</v>
      </c>
      <c r="E414" s="82">
        <v>0.9584077339</v>
      </c>
      <c r="F414" s="14">
        <v>143761160.09</v>
      </c>
      <c r="G414" s="14">
        <v>0.18</v>
      </c>
      <c r="H414" s="10"/>
      <c r="I414" s="10"/>
    </row>
    <row r="415" spans="1:9">
      <c r="A415" s="10" t="s">
        <v>1002</v>
      </c>
      <c r="B415" s="124" t="s">
        <v>513</v>
      </c>
      <c r="C415" s="124" t="s">
        <v>310</v>
      </c>
      <c r="D415" s="12">
        <v>25000000</v>
      </c>
      <c r="E415" s="82">
        <v>0.9839866438</v>
      </c>
      <c r="F415" s="153">
        <v>24599666.100000001</v>
      </c>
      <c r="G415" s="14">
        <v>0.03</v>
      </c>
      <c r="H415" s="10"/>
      <c r="I415" s="10"/>
    </row>
    <row r="416" spans="1:9">
      <c r="A416" s="10" t="s">
        <v>1005</v>
      </c>
      <c r="B416" s="124" t="s">
        <v>1004</v>
      </c>
      <c r="C416" s="124" t="s">
        <v>310</v>
      </c>
      <c r="D416" s="12">
        <v>20000000</v>
      </c>
      <c r="E416" s="82">
        <v>0.92311585419999997</v>
      </c>
      <c r="F416" s="14">
        <v>18462317.079999998</v>
      </c>
      <c r="G416" s="14">
        <v>0.02</v>
      </c>
      <c r="H416" s="10"/>
      <c r="I416" s="10"/>
    </row>
    <row r="417" spans="1:9">
      <c r="A417" s="10" t="s">
        <v>1006</v>
      </c>
      <c r="B417" s="124" t="s">
        <v>657</v>
      </c>
      <c r="C417" s="124" t="s">
        <v>310</v>
      </c>
      <c r="D417" s="12">
        <v>20000000</v>
      </c>
      <c r="E417" s="82">
        <v>0.94844613190000004</v>
      </c>
      <c r="F417" s="14">
        <v>18968922.640000001</v>
      </c>
      <c r="G417" s="14">
        <v>0.02</v>
      </c>
      <c r="H417" s="10"/>
      <c r="I417" s="10"/>
    </row>
    <row r="418" spans="1:9">
      <c r="A418" s="10" t="s">
        <v>1030</v>
      </c>
      <c r="B418" s="124" t="s">
        <v>625</v>
      </c>
      <c r="C418" s="124" t="s">
        <v>312</v>
      </c>
      <c r="D418" s="12">
        <v>6500000</v>
      </c>
      <c r="E418" s="82">
        <v>0.99904201380000002</v>
      </c>
      <c r="F418" s="14">
        <v>6493773.0899999999</v>
      </c>
      <c r="G418" s="14">
        <v>0.01</v>
      </c>
      <c r="H418" s="10"/>
      <c r="I418" s="10"/>
    </row>
    <row r="419" spans="1:9">
      <c r="A419" s="10" t="s">
        <v>1031</v>
      </c>
      <c r="B419" s="124" t="s">
        <v>655</v>
      </c>
      <c r="C419" s="124" t="s">
        <v>312</v>
      </c>
      <c r="D419" s="12">
        <v>25000000</v>
      </c>
      <c r="E419" s="82">
        <v>0.93098007469999999</v>
      </c>
      <c r="F419" s="14">
        <v>23274501.870000001</v>
      </c>
      <c r="G419" s="14">
        <v>0.03</v>
      </c>
      <c r="H419" s="10"/>
      <c r="I419" s="10"/>
    </row>
    <row r="420" spans="1:9">
      <c r="A420" s="10" t="s">
        <v>1032</v>
      </c>
      <c r="B420" s="124" t="s">
        <v>692</v>
      </c>
      <c r="C420" s="124" t="s">
        <v>312</v>
      </c>
      <c r="D420" s="12">
        <v>105000000</v>
      </c>
      <c r="E420" s="82">
        <v>0.99044829050000005</v>
      </c>
      <c r="F420" s="153">
        <v>103997070.5</v>
      </c>
      <c r="G420" s="14">
        <v>0.13</v>
      </c>
      <c r="H420" s="10"/>
      <c r="I420" s="10"/>
    </row>
    <row r="421" spans="1:9">
      <c r="A421" s="10" t="s">
        <v>1033</v>
      </c>
      <c r="B421" s="124" t="s">
        <v>283</v>
      </c>
      <c r="C421" s="124" t="s">
        <v>312</v>
      </c>
      <c r="D421" s="12">
        <v>10000000</v>
      </c>
      <c r="E421" s="82">
        <v>0.92898965629999997</v>
      </c>
      <c r="F421" s="14">
        <v>9289896.5600000005</v>
      </c>
      <c r="G421" s="14">
        <v>0.01</v>
      </c>
      <c r="H421" s="10"/>
      <c r="I421" s="10"/>
    </row>
    <row r="422" spans="1:9">
      <c r="A422" s="10" t="s">
        <v>1034</v>
      </c>
      <c r="B422" s="124" t="s">
        <v>255</v>
      </c>
      <c r="C422" s="124" t="s">
        <v>312</v>
      </c>
      <c r="D422" s="12">
        <v>10000000</v>
      </c>
      <c r="E422" s="157">
        <v>0.93936592799999996</v>
      </c>
      <c r="F422" s="14">
        <v>9393659.2799999993</v>
      </c>
      <c r="G422" s="14">
        <v>0.01</v>
      </c>
      <c r="H422" s="10"/>
      <c r="I422" s="10"/>
    </row>
    <row r="423" spans="1:9">
      <c r="A423" s="10" t="s">
        <v>1037</v>
      </c>
      <c r="B423" s="124" t="s">
        <v>661</v>
      </c>
      <c r="C423" s="124" t="s">
        <v>161</v>
      </c>
      <c r="D423" s="12">
        <v>50000000</v>
      </c>
      <c r="E423" s="157">
        <v>0.95825676299999996</v>
      </c>
      <c r="F423" s="14">
        <v>47912838.149999999</v>
      </c>
      <c r="G423" s="14">
        <v>0.06</v>
      </c>
      <c r="H423" s="10"/>
      <c r="I423" s="10"/>
    </row>
    <row r="424" spans="1:9">
      <c r="A424" s="10" t="s">
        <v>1038</v>
      </c>
      <c r="B424" s="124" t="s">
        <v>573</v>
      </c>
      <c r="C424" s="124" t="s">
        <v>161</v>
      </c>
      <c r="D424" s="12">
        <v>50000000</v>
      </c>
      <c r="E424" s="82">
        <v>0.95750271279999999</v>
      </c>
      <c r="F424" s="14">
        <v>47875135.640000001</v>
      </c>
      <c r="G424" s="14">
        <v>0.06</v>
      </c>
      <c r="H424" s="10"/>
      <c r="I424" s="10"/>
    </row>
    <row r="425" spans="1:9">
      <c r="A425" s="10" t="s">
        <v>1039</v>
      </c>
      <c r="B425" s="124" t="s">
        <v>587</v>
      </c>
      <c r="C425" s="124" t="s">
        <v>161</v>
      </c>
      <c r="D425" s="12">
        <v>50000000</v>
      </c>
      <c r="E425" s="82">
        <v>0.95674973029999999</v>
      </c>
      <c r="F425" s="14">
        <v>47837486.520000003</v>
      </c>
      <c r="G425" s="14">
        <v>0.06</v>
      </c>
      <c r="H425" s="10"/>
      <c r="I425" s="10"/>
    </row>
    <row r="426" spans="1:9">
      <c r="A426" s="10" t="s">
        <v>1040</v>
      </c>
      <c r="B426" s="124" t="s">
        <v>587</v>
      </c>
      <c r="C426" s="124" t="s">
        <v>161</v>
      </c>
      <c r="D426" s="12">
        <v>50000000</v>
      </c>
      <c r="E426" s="82">
        <v>0.95674973029999999</v>
      </c>
      <c r="F426" s="14">
        <v>47837486.520000003</v>
      </c>
      <c r="G426" s="14">
        <v>0.06</v>
      </c>
      <c r="H426" s="10"/>
      <c r="I426" s="10"/>
    </row>
    <row r="427" spans="1:9">
      <c r="A427" s="10" t="s">
        <v>1041</v>
      </c>
      <c r="B427" s="124" t="s">
        <v>627</v>
      </c>
      <c r="C427" s="124" t="s">
        <v>161</v>
      </c>
      <c r="D427" s="12">
        <v>50000000</v>
      </c>
      <c r="E427" s="82">
        <v>0.95300262440000005</v>
      </c>
      <c r="F427" s="14">
        <v>47650131.219999999</v>
      </c>
      <c r="G427" s="14">
        <v>0.06</v>
      </c>
      <c r="H427" s="10"/>
      <c r="I427" s="10"/>
    </row>
    <row r="428" spans="1:9">
      <c r="A428" s="10" t="s">
        <v>1042</v>
      </c>
      <c r="B428" s="124" t="s">
        <v>636</v>
      </c>
      <c r="C428" s="124" t="s">
        <v>161</v>
      </c>
      <c r="D428" s="12">
        <v>50000000</v>
      </c>
      <c r="E428" s="82">
        <v>0.9463314303</v>
      </c>
      <c r="F428" s="14">
        <v>47316571.520000003</v>
      </c>
      <c r="G428" s="14">
        <v>0.06</v>
      </c>
      <c r="H428" s="10"/>
      <c r="I428" s="10"/>
    </row>
    <row r="429" spans="1:9">
      <c r="A429" s="10" t="s">
        <v>1043</v>
      </c>
      <c r="B429" s="124" t="s">
        <v>587</v>
      </c>
      <c r="C429" s="124" t="s">
        <v>161</v>
      </c>
      <c r="D429" s="12">
        <v>50000000</v>
      </c>
      <c r="E429" s="82">
        <v>0.95674973029999999</v>
      </c>
      <c r="F429" s="14">
        <v>47837486.520000003</v>
      </c>
      <c r="G429" s="14">
        <v>0.06</v>
      </c>
      <c r="H429" s="10"/>
      <c r="I429" s="10"/>
    </row>
    <row r="430" spans="1:9">
      <c r="A430" s="10" t="s">
        <v>1044</v>
      </c>
      <c r="B430" s="124" t="s">
        <v>627</v>
      </c>
      <c r="C430" s="124" t="s">
        <v>161</v>
      </c>
      <c r="D430" s="12">
        <v>50000000</v>
      </c>
      <c r="E430" s="82">
        <v>0.95300262440000005</v>
      </c>
      <c r="F430" s="14">
        <v>47650131.219999999</v>
      </c>
      <c r="G430" s="14">
        <v>0.06</v>
      </c>
      <c r="H430" s="10"/>
      <c r="I430" s="10"/>
    </row>
    <row r="431" spans="1:9">
      <c r="A431" s="10" t="s">
        <v>1045</v>
      </c>
      <c r="B431" s="124" t="s">
        <v>762</v>
      </c>
      <c r="C431" s="124" t="s">
        <v>161</v>
      </c>
      <c r="D431" s="12">
        <v>50000000</v>
      </c>
      <c r="E431" s="82">
        <v>0.95225682249999999</v>
      </c>
      <c r="F431" s="14">
        <v>47612841.130000003</v>
      </c>
      <c r="G431" s="14">
        <v>0.06</v>
      </c>
      <c r="H431" s="10"/>
      <c r="I431" s="10"/>
    </row>
    <row r="432" spans="1:9">
      <c r="A432" s="10" t="s">
        <v>1046</v>
      </c>
      <c r="B432" s="124" t="s">
        <v>657</v>
      </c>
      <c r="C432" s="124" t="s">
        <v>161</v>
      </c>
      <c r="D432" s="12">
        <v>50000000</v>
      </c>
      <c r="E432" s="82">
        <v>0.95151206239999997</v>
      </c>
      <c r="F432" s="14">
        <v>47575603.119999997</v>
      </c>
      <c r="G432" s="14">
        <v>0.06</v>
      </c>
      <c r="H432" s="10"/>
      <c r="I432" s="10"/>
    </row>
    <row r="433" spans="1:9">
      <c r="A433" s="10" t="s">
        <v>1047</v>
      </c>
      <c r="B433" s="124" t="s">
        <v>743</v>
      </c>
      <c r="C433" s="124" t="s">
        <v>161</v>
      </c>
      <c r="D433" s="12">
        <v>50000000</v>
      </c>
      <c r="E433" s="82">
        <v>0.94780578950000005</v>
      </c>
      <c r="F433" s="14">
        <v>47390289.479999997</v>
      </c>
      <c r="G433" s="14">
        <v>0.06</v>
      </c>
      <c r="H433" s="10"/>
      <c r="I433" s="10"/>
    </row>
    <row r="434" spans="1:9">
      <c r="A434" s="10" t="s">
        <v>1048</v>
      </c>
      <c r="B434" s="124" t="s">
        <v>670</v>
      </c>
      <c r="C434" s="124" t="s">
        <v>161</v>
      </c>
      <c r="D434" s="12">
        <v>50000000</v>
      </c>
      <c r="E434" s="82">
        <v>0.94706810159999999</v>
      </c>
      <c r="F434" s="14">
        <v>47353405.079999998</v>
      </c>
      <c r="G434" s="14">
        <v>0.06</v>
      </c>
      <c r="H434" s="10"/>
      <c r="I434" s="10"/>
    </row>
    <row r="435" spans="1:9">
      <c r="A435" s="10" t="s">
        <v>1049</v>
      </c>
      <c r="B435" s="124" t="s">
        <v>459</v>
      </c>
      <c r="C435" s="124" t="s">
        <v>161</v>
      </c>
      <c r="D435" s="12">
        <v>15000000</v>
      </c>
      <c r="E435" s="82">
        <v>0.98118280040000005</v>
      </c>
      <c r="F435" s="14">
        <v>14717742.01</v>
      </c>
      <c r="G435" s="14">
        <v>0.02</v>
      </c>
      <c r="H435" s="10"/>
      <c r="I435" s="10"/>
    </row>
    <row r="436" spans="1:9">
      <c r="A436" s="10" t="s">
        <v>1050</v>
      </c>
      <c r="B436" s="124" t="s">
        <v>718</v>
      </c>
      <c r="C436" s="124" t="s">
        <v>161</v>
      </c>
      <c r="D436" s="12">
        <v>20000000</v>
      </c>
      <c r="E436" s="82">
        <v>0.97567499120000001</v>
      </c>
      <c r="F436" s="14">
        <v>19513499.82</v>
      </c>
      <c r="G436" s="14">
        <v>0.02</v>
      </c>
      <c r="H436" s="10"/>
      <c r="I436" s="10"/>
    </row>
    <row r="437" spans="1:9">
      <c r="A437" s="10" t="s">
        <v>1051</v>
      </c>
      <c r="B437" s="124" t="s">
        <v>456</v>
      </c>
      <c r="C437" s="124" t="s">
        <v>161</v>
      </c>
      <c r="D437" s="153">
        <v>1555000.5</v>
      </c>
      <c r="E437" s="82">
        <v>0.9863798949</v>
      </c>
      <c r="F437" s="14">
        <v>1533821.23</v>
      </c>
      <c r="G437" s="12">
        <v>0</v>
      </c>
      <c r="H437" s="10"/>
      <c r="I437" s="10"/>
    </row>
    <row r="438" spans="1:9">
      <c r="A438" s="10" t="s">
        <v>1052</v>
      </c>
      <c r="B438" s="124" t="s">
        <v>716</v>
      </c>
      <c r="C438" s="124" t="s">
        <v>161</v>
      </c>
      <c r="D438" s="153">
        <v>1555000.5</v>
      </c>
      <c r="E438" s="82">
        <v>0.97876225120000004</v>
      </c>
      <c r="F438" s="14">
        <v>1521975.79</v>
      </c>
      <c r="G438" s="12">
        <v>0</v>
      </c>
      <c r="H438" s="10"/>
      <c r="I438" s="10"/>
    </row>
    <row r="439" spans="1:9">
      <c r="A439" s="10" t="s">
        <v>1053</v>
      </c>
      <c r="B439" s="124" t="s">
        <v>718</v>
      </c>
      <c r="C439" s="124" t="s">
        <v>161</v>
      </c>
      <c r="D439" s="153">
        <v>1555000.5</v>
      </c>
      <c r="E439" s="82">
        <v>0.97499737750000004</v>
      </c>
      <c r="F439" s="14">
        <v>1516121.41</v>
      </c>
      <c r="G439" s="12">
        <v>0</v>
      </c>
      <c r="H439" s="10"/>
      <c r="I439" s="10"/>
    </row>
    <row r="440" spans="1:9">
      <c r="A440" s="10" t="s">
        <v>1054</v>
      </c>
      <c r="B440" s="124" t="s">
        <v>692</v>
      </c>
      <c r="C440" s="124" t="s">
        <v>161</v>
      </c>
      <c r="D440" s="153">
        <v>1555000.5</v>
      </c>
      <c r="E440" s="82">
        <v>0.98926716110000001</v>
      </c>
      <c r="F440" s="14">
        <v>1538310.93</v>
      </c>
      <c r="G440" s="12">
        <v>0</v>
      </c>
      <c r="H440" s="10"/>
      <c r="I440" s="10"/>
    </row>
    <row r="441" spans="1:9">
      <c r="A441" s="10" t="s">
        <v>1055</v>
      </c>
      <c r="B441" s="124" t="s">
        <v>517</v>
      </c>
      <c r="C441" s="124" t="s">
        <v>161</v>
      </c>
      <c r="D441" s="14">
        <v>4213657.9800000004</v>
      </c>
      <c r="E441" s="82">
        <v>0.98830284030000004</v>
      </c>
      <c r="F441" s="14">
        <v>4164370.15</v>
      </c>
      <c r="G441" s="14">
        <v>0.01</v>
      </c>
      <c r="H441" s="10"/>
      <c r="I441" s="10"/>
    </row>
    <row r="442" spans="1:9">
      <c r="A442" s="10" t="s">
        <v>1056</v>
      </c>
      <c r="B442" s="124" t="s">
        <v>517</v>
      </c>
      <c r="C442" s="124" t="s">
        <v>161</v>
      </c>
      <c r="D442" s="153">
        <v>1555000.5</v>
      </c>
      <c r="E442" s="82">
        <v>0.98830283320000001</v>
      </c>
      <c r="F442" s="153">
        <v>1536811.4</v>
      </c>
      <c r="G442" s="12">
        <v>0</v>
      </c>
      <c r="H442" s="10"/>
      <c r="I442" s="10"/>
    </row>
    <row r="443" spans="1:9">
      <c r="A443" s="10" t="s">
        <v>1057</v>
      </c>
      <c r="B443" s="124" t="s">
        <v>463</v>
      </c>
      <c r="C443" s="124" t="s">
        <v>161</v>
      </c>
      <c r="D443" s="153">
        <v>3256800.5</v>
      </c>
      <c r="E443" s="82">
        <v>0.98734045290000005</v>
      </c>
      <c r="F443" s="14">
        <v>3215570.88</v>
      </c>
      <c r="G443" s="12">
        <v>0</v>
      </c>
      <c r="H443" s="10"/>
      <c r="I443" s="10"/>
    </row>
    <row r="444" spans="1:9">
      <c r="A444" s="10" t="s">
        <v>1058</v>
      </c>
      <c r="B444" s="124" t="s">
        <v>463</v>
      </c>
      <c r="C444" s="124" t="s">
        <v>161</v>
      </c>
      <c r="D444" s="14">
        <v>2510000.36</v>
      </c>
      <c r="E444" s="157">
        <v>0.98734045599999998</v>
      </c>
      <c r="F444" s="153">
        <v>2478224.9</v>
      </c>
      <c r="G444" s="12">
        <v>0</v>
      </c>
      <c r="H444" s="10"/>
      <c r="I444" s="10"/>
    </row>
    <row r="445" spans="1:9">
      <c r="A445" s="10" t="s">
        <v>1059</v>
      </c>
      <c r="B445" s="124" t="s">
        <v>463</v>
      </c>
      <c r="C445" s="124" t="s">
        <v>161</v>
      </c>
      <c r="D445" s="14">
        <v>2510000.36</v>
      </c>
      <c r="E445" s="157">
        <v>0.98734045599999998</v>
      </c>
      <c r="F445" s="153">
        <v>2478224.9</v>
      </c>
      <c r="G445" s="12">
        <v>0</v>
      </c>
      <c r="H445" s="10"/>
      <c r="I445" s="10"/>
    </row>
    <row r="446" spans="1:9">
      <c r="A446" s="10" t="s">
        <v>1060</v>
      </c>
      <c r="B446" s="124" t="s">
        <v>456</v>
      </c>
      <c r="C446" s="124" t="s">
        <v>161</v>
      </c>
      <c r="D446" s="14">
        <v>2510000.36</v>
      </c>
      <c r="E446" s="82">
        <v>0.98637989449999997</v>
      </c>
      <c r="F446" s="14">
        <v>2475813.89</v>
      </c>
      <c r="G446" s="12">
        <v>0</v>
      </c>
      <c r="H446" s="10"/>
      <c r="I446" s="10"/>
    </row>
    <row r="447" spans="1:9">
      <c r="A447" s="10" t="s">
        <v>1061</v>
      </c>
      <c r="B447" s="124" t="s">
        <v>718</v>
      </c>
      <c r="C447" s="124" t="s">
        <v>161</v>
      </c>
      <c r="D447" s="14">
        <v>3789564.21</v>
      </c>
      <c r="E447" s="82">
        <v>0.97499737080000004</v>
      </c>
      <c r="F447" s="14">
        <v>3694815.14</v>
      </c>
      <c r="G447" s="12">
        <v>0</v>
      </c>
      <c r="H447" s="10"/>
      <c r="I447" s="10"/>
    </row>
    <row r="448" spans="1:9">
      <c r="A448" s="10" t="s">
        <v>1062</v>
      </c>
      <c r="B448" s="124" t="s">
        <v>692</v>
      </c>
      <c r="C448" s="124" t="s">
        <v>161</v>
      </c>
      <c r="D448" s="14">
        <v>2510000.36</v>
      </c>
      <c r="E448" s="157">
        <v>0.98926714900000001</v>
      </c>
      <c r="F448" s="153">
        <v>2483060.9</v>
      </c>
      <c r="G448" s="12">
        <v>0</v>
      </c>
      <c r="H448" s="10"/>
      <c r="I448" s="10"/>
    </row>
    <row r="449" spans="1:9">
      <c r="A449" s="10" t="s">
        <v>1063</v>
      </c>
      <c r="B449" s="124" t="s">
        <v>517</v>
      </c>
      <c r="C449" s="124" t="s">
        <v>161</v>
      </c>
      <c r="D449" s="14">
        <v>3789564.21</v>
      </c>
      <c r="E449" s="82">
        <v>0.98830283969999999</v>
      </c>
      <c r="F449" s="14">
        <v>3745237.07</v>
      </c>
      <c r="G449" s="12">
        <v>0</v>
      </c>
      <c r="H449" s="10"/>
      <c r="I449" s="10"/>
    </row>
    <row r="450" spans="1:9">
      <c r="A450" s="10" t="s">
        <v>1064</v>
      </c>
      <c r="B450" s="124" t="s">
        <v>517</v>
      </c>
      <c r="C450" s="124" t="s">
        <v>161</v>
      </c>
      <c r="D450" s="14">
        <v>2510000.36</v>
      </c>
      <c r="E450" s="82">
        <v>0.98830283839999999</v>
      </c>
      <c r="F450" s="14">
        <v>2480640.48</v>
      </c>
      <c r="G450" s="12">
        <v>0</v>
      </c>
      <c r="H450" s="10"/>
      <c r="I450" s="10"/>
    </row>
    <row r="451" spans="1:9">
      <c r="A451" s="10" t="s">
        <v>1065</v>
      </c>
      <c r="B451" s="124" t="s">
        <v>578</v>
      </c>
      <c r="C451" s="124" t="s">
        <v>161</v>
      </c>
      <c r="D451" s="12">
        <v>2500000</v>
      </c>
      <c r="E451" s="82">
        <v>0.99460463190000004</v>
      </c>
      <c r="F451" s="14">
        <v>2486511.58</v>
      </c>
      <c r="G451" s="12">
        <v>0</v>
      </c>
      <c r="H451" s="10"/>
      <c r="I451" s="10"/>
    </row>
    <row r="452" spans="1:9">
      <c r="A452" s="10" t="s">
        <v>1066</v>
      </c>
      <c r="B452" s="124" t="s">
        <v>692</v>
      </c>
      <c r="C452" s="124" t="s">
        <v>161</v>
      </c>
      <c r="D452" s="12">
        <v>2500000</v>
      </c>
      <c r="E452" s="82">
        <v>0.99015275189999996</v>
      </c>
      <c r="F452" s="14">
        <v>2475381.88</v>
      </c>
      <c r="G452" s="12">
        <v>0</v>
      </c>
      <c r="H452" s="10"/>
      <c r="I452" s="10"/>
    </row>
    <row r="453" spans="1:9">
      <c r="A453" s="10" t="s">
        <v>1067</v>
      </c>
      <c r="B453" s="124" t="s">
        <v>517</v>
      </c>
      <c r="C453" s="124" t="s">
        <v>161</v>
      </c>
      <c r="D453" s="12">
        <v>2500000</v>
      </c>
      <c r="E453" s="82">
        <v>0.98926714790000003</v>
      </c>
      <c r="F453" s="14">
        <v>2473167.87</v>
      </c>
      <c r="G453" s="12">
        <v>0</v>
      </c>
      <c r="H453" s="10"/>
      <c r="I453" s="10"/>
    </row>
    <row r="454" spans="1:9">
      <c r="A454" s="10" t="s">
        <v>1068</v>
      </c>
      <c r="B454" s="124" t="s">
        <v>463</v>
      </c>
      <c r="C454" s="124" t="s">
        <v>161</v>
      </c>
      <c r="D454" s="12">
        <v>2500000</v>
      </c>
      <c r="E454" s="82">
        <v>0.98838316780000002</v>
      </c>
      <c r="F454" s="14">
        <v>2470957.92</v>
      </c>
      <c r="G454" s="12">
        <v>0</v>
      </c>
      <c r="H454" s="10"/>
      <c r="I454" s="10"/>
    </row>
    <row r="455" spans="1:9">
      <c r="A455" s="10" t="s">
        <v>1069</v>
      </c>
      <c r="B455" s="124" t="s">
        <v>463</v>
      </c>
      <c r="C455" s="124" t="s">
        <v>161</v>
      </c>
      <c r="D455" s="12">
        <v>2500000</v>
      </c>
      <c r="E455" s="82">
        <v>0.98838316780000002</v>
      </c>
      <c r="F455" s="14">
        <v>2470957.92</v>
      </c>
      <c r="G455" s="12">
        <v>0</v>
      </c>
      <c r="H455" s="10"/>
      <c r="I455" s="10"/>
    </row>
    <row r="456" spans="1:9">
      <c r="A456" s="10" t="s">
        <v>1070</v>
      </c>
      <c r="B456" s="124" t="s">
        <v>456</v>
      </c>
      <c r="C456" s="124" t="s">
        <v>161</v>
      </c>
      <c r="D456" s="12">
        <v>2500000</v>
      </c>
      <c r="E456" s="82">
        <v>0.98750070820000002</v>
      </c>
      <c r="F456" s="14">
        <v>2468751.77</v>
      </c>
      <c r="G456" s="12">
        <v>0</v>
      </c>
      <c r="H456" s="10"/>
      <c r="I456" s="10"/>
    </row>
    <row r="457" spans="1:9">
      <c r="A457" s="10" t="s">
        <v>1071</v>
      </c>
      <c r="B457" s="124" t="s">
        <v>746</v>
      </c>
      <c r="C457" s="124" t="s">
        <v>161</v>
      </c>
      <c r="D457" s="12">
        <v>2500000</v>
      </c>
      <c r="E457" s="82">
        <v>0.98661983990000002</v>
      </c>
      <c r="F457" s="153">
        <v>2466549.6</v>
      </c>
      <c r="G457" s="12">
        <v>0</v>
      </c>
      <c r="H457" s="10"/>
      <c r="I457" s="10"/>
    </row>
    <row r="458" spans="1:9">
      <c r="A458" s="10" t="s">
        <v>1072</v>
      </c>
      <c r="B458" s="124" t="s">
        <v>513</v>
      </c>
      <c r="C458" s="124" t="s">
        <v>161</v>
      </c>
      <c r="D458" s="12">
        <v>2500000</v>
      </c>
      <c r="E458" s="82">
        <v>0.98398666769999998</v>
      </c>
      <c r="F458" s="14">
        <v>2459966.67</v>
      </c>
      <c r="G458" s="12">
        <v>0</v>
      </c>
      <c r="H458" s="10"/>
      <c r="I458" s="10"/>
    </row>
    <row r="459" spans="1:9">
      <c r="A459" s="10" t="s">
        <v>1073</v>
      </c>
      <c r="B459" s="124" t="s">
        <v>415</v>
      </c>
      <c r="C459" s="124" t="s">
        <v>161</v>
      </c>
      <c r="D459" s="12">
        <v>2500000</v>
      </c>
      <c r="E459" s="82">
        <v>0.98311204809999997</v>
      </c>
      <c r="F459" s="14">
        <v>2457780.12</v>
      </c>
      <c r="G459" s="12">
        <v>0</v>
      </c>
      <c r="H459" s="10"/>
      <c r="I459" s="10"/>
    </row>
    <row r="460" spans="1:9">
      <c r="A460" s="10" t="s">
        <v>1074</v>
      </c>
      <c r="B460" s="124" t="s">
        <v>459</v>
      </c>
      <c r="C460" s="124" t="s">
        <v>161</v>
      </c>
      <c r="D460" s="12">
        <v>2500000</v>
      </c>
      <c r="E460" s="82">
        <v>0.98223897609999999</v>
      </c>
      <c r="F460" s="14">
        <v>2455597.44</v>
      </c>
      <c r="G460" s="12">
        <v>0</v>
      </c>
      <c r="H460" s="10"/>
      <c r="I460" s="10"/>
    </row>
    <row r="461" spans="1:9">
      <c r="A461" s="10" t="s">
        <v>1075</v>
      </c>
      <c r="B461" s="124" t="s">
        <v>510</v>
      </c>
      <c r="C461" s="124" t="s">
        <v>161</v>
      </c>
      <c r="D461" s="12">
        <v>2500000</v>
      </c>
      <c r="E461" s="82">
        <v>0.98136751590000004</v>
      </c>
      <c r="F461" s="14">
        <v>2453418.79</v>
      </c>
      <c r="G461" s="12">
        <v>0</v>
      </c>
      <c r="H461" s="10"/>
      <c r="I461" s="10"/>
    </row>
    <row r="462" spans="1:9">
      <c r="A462" s="10" t="s">
        <v>1076</v>
      </c>
      <c r="B462" s="124" t="s">
        <v>716</v>
      </c>
      <c r="C462" s="124" t="s">
        <v>161</v>
      </c>
      <c r="D462" s="12">
        <v>2500000</v>
      </c>
      <c r="E462" s="157">
        <v>0.980497544</v>
      </c>
      <c r="F462" s="14">
        <v>2451243.86</v>
      </c>
      <c r="G462" s="12">
        <v>0</v>
      </c>
      <c r="H462" s="10"/>
      <c r="I462" s="10"/>
    </row>
    <row r="463" spans="1:9">
      <c r="A463" s="10" t="s">
        <v>1077</v>
      </c>
      <c r="B463" s="124" t="s">
        <v>718</v>
      </c>
      <c r="C463" s="124" t="s">
        <v>161</v>
      </c>
      <c r="D463" s="12">
        <v>2500000</v>
      </c>
      <c r="E463" s="82">
        <v>0.97703306779999999</v>
      </c>
      <c r="F463" s="14">
        <v>2442582.67</v>
      </c>
      <c r="G463" s="12">
        <v>0</v>
      </c>
      <c r="H463" s="10"/>
      <c r="I463" s="10"/>
    </row>
    <row r="464" spans="1:9">
      <c r="A464" s="10" t="s">
        <v>1078</v>
      </c>
      <c r="B464" s="124" t="s">
        <v>461</v>
      </c>
      <c r="C464" s="124" t="s">
        <v>161</v>
      </c>
      <c r="D464" s="12">
        <v>2500000</v>
      </c>
      <c r="E464" s="82">
        <v>0.97617074829999995</v>
      </c>
      <c r="F464" s="14">
        <v>2440426.87</v>
      </c>
      <c r="G464" s="12">
        <v>0</v>
      </c>
      <c r="H464" s="10"/>
      <c r="I464" s="10"/>
    </row>
    <row r="465" spans="1:9">
      <c r="A465" s="10" t="s">
        <v>1079</v>
      </c>
      <c r="B465" s="124" t="s">
        <v>559</v>
      </c>
      <c r="C465" s="124" t="s">
        <v>161</v>
      </c>
      <c r="D465" s="12">
        <v>2500000</v>
      </c>
      <c r="E465" s="157">
        <v>0.97531004399999999</v>
      </c>
      <c r="F465" s="14">
        <v>2438275.11</v>
      </c>
      <c r="G465" s="12">
        <v>0</v>
      </c>
      <c r="H465" s="10"/>
      <c r="I465" s="10"/>
    </row>
    <row r="466" spans="1:9">
      <c r="A466" s="10" t="s">
        <v>1080</v>
      </c>
      <c r="B466" s="124" t="s">
        <v>610</v>
      </c>
      <c r="C466" s="124" t="s">
        <v>161</v>
      </c>
      <c r="D466" s="12">
        <v>2500000</v>
      </c>
      <c r="E466" s="82">
        <v>0.97445076009999998</v>
      </c>
      <c r="F466" s="153">
        <v>2436126.9</v>
      </c>
      <c r="G466" s="12">
        <v>0</v>
      </c>
      <c r="H466" s="10"/>
      <c r="I466" s="10"/>
    </row>
    <row r="467" spans="1:9">
      <c r="A467" s="10" t="s">
        <v>1081</v>
      </c>
      <c r="B467" s="124" t="s">
        <v>498</v>
      </c>
      <c r="C467" s="124" t="s">
        <v>161</v>
      </c>
      <c r="D467" s="12">
        <v>2500000</v>
      </c>
      <c r="E467" s="82">
        <v>0.9718820641</v>
      </c>
      <c r="F467" s="14">
        <v>2429705.16</v>
      </c>
      <c r="G467" s="12">
        <v>0</v>
      </c>
      <c r="H467" s="10"/>
      <c r="I467" s="10"/>
    </row>
    <row r="468" spans="1:9">
      <c r="A468" s="10" t="s">
        <v>1082</v>
      </c>
      <c r="B468" s="124" t="s">
        <v>810</v>
      </c>
      <c r="C468" s="124" t="s">
        <v>161</v>
      </c>
      <c r="D468" s="12">
        <v>2500000</v>
      </c>
      <c r="E468" s="82">
        <v>0.97102881210000003</v>
      </c>
      <c r="F468" s="14">
        <v>2427572.0299999998</v>
      </c>
      <c r="G468" s="12">
        <v>0</v>
      </c>
      <c r="H468" s="10"/>
      <c r="I468" s="10"/>
    </row>
    <row r="469" spans="1:9">
      <c r="A469" s="10" t="s">
        <v>1083</v>
      </c>
      <c r="B469" s="124" t="s">
        <v>645</v>
      </c>
      <c r="C469" s="124" t="s">
        <v>161</v>
      </c>
      <c r="D469" s="12">
        <v>2500000</v>
      </c>
      <c r="E469" s="82">
        <v>0.97017704780000003</v>
      </c>
      <c r="F469" s="14">
        <v>2425442.62</v>
      </c>
      <c r="G469" s="12">
        <v>0</v>
      </c>
      <c r="H469" s="10"/>
      <c r="I469" s="10"/>
    </row>
    <row r="470" spans="1:9">
      <c r="A470" s="10" t="s">
        <v>1084</v>
      </c>
      <c r="B470" s="124" t="s">
        <v>505</v>
      </c>
      <c r="C470" s="124" t="s">
        <v>161</v>
      </c>
      <c r="D470" s="12">
        <v>2500000</v>
      </c>
      <c r="E470" s="82">
        <v>0.99371105189999998</v>
      </c>
      <c r="F470" s="14">
        <v>2484277.63</v>
      </c>
      <c r="G470" s="12">
        <v>0</v>
      </c>
      <c r="H470" s="10"/>
      <c r="I470" s="10"/>
    </row>
    <row r="471" spans="1:9">
      <c r="A471" s="10" t="s">
        <v>1085</v>
      </c>
      <c r="B471" s="124" t="s">
        <v>625</v>
      </c>
      <c r="C471" s="124" t="s">
        <v>161</v>
      </c>
      <c r="D471" s="12">
        <v>2500000</v>
      </c>
      <c r="E471" s="157">
        <v>0.99909670799999994</v>
      </c>
      <c r="F471" s="14">
        <v>2497741.77</v>
      </c>
      <c r="G471" s="12">
        <v>0</v>
      </c>
      <c r="H471" s="10"/>
      <c r="I471" s="10"/>
    </row>
    <row r="472" spans="1:9">
      <c r="A472" s="10" t="s">
        <v>1086</v>
      </c>
      <c r="B472" s="124" t="s">
        <v>473</v>
      </c>
      <c r="C472" s="124" t="s">
        <v>161</v>
      </c>
      <c r="D472" s="12">
        <v>2500000</v>
      </c>
      <c r="E472" s="157">
        <v>0.99639660399999996</v>
      </c>
      <c r="F472" s="14">
        <v>2490991.5099999998</v>
      </c>
      <c r="G472" s="12">
        <v>0</v>
      </c>
      <c r="H472" s="10"/>
      <c r="I472" s="10"/>
    </row>
    <row r="473" spans="1:9">
      <c r="A473" s="10" t="s">
        <v>1087</v>
      </c>
      <c r="B473" s="124" t="s">
        <v>561</v>
      </c>
      <c r="C473" s="124" t="s">
        <v>161</v>
      </c>
      <c r="D473" s="14">
        <v>44921898.869999997</v>
      </c>
      <c r="E473" s="82">
        <v>0.99549979909999997</v>
      </c>
      <c r="F473" s="153">
        <v>44719741.299999997</v>
      </c>
      <c r="G473" s="14">
        <v>0.05</v>
      </c>
      <c r="H473" s="10"/>
      <c r="I473" s="10"/>
    </row>
    <row r="474" spans="1:9">
      <c r="A474" s="10" t="s">
        <v>1088</v>
      </c>
      <c r="B474" s="124" t="s">
        <v>746</v>
      </c>
      <c r="C474" s="124" t="s">
        <v>161</v>
      </c>
      <c r="D474" s="14">
        <v>100071435.06999999</v>
      </c>
      <c r="E474" s="82">
        <v>0.98661983789999996</v>
      </c>
      <c r="F474" s="14">
        <v>98732463.049999997</v>
      </c>
      <c r="G474" s="14">
        <v>0.12</v>
      </c>
      <c r="H474" s="10"/>
      <c r="I474" s="10"/>
    </row>
    <row r="475" spans="1:9">
      <c r="A475" s="10" t="s">
        <v>1094</v>
      </c>
      <c r="B475" s="124" t="s">
        <v>587</v>
      </c>
      <c r="C475" s="124" t="s">
        <v>392</v>
      </c>
      <c r="D475" s="12">
        <v>5800000</v>
      </c>
      <c r="E475" s="82">
        <v>0.9526295212</v>
      </c>
      <c r="F475" s="14">
        <v>5525251.2199999997</v>
      </c>
      <c r="G475" s="14">
        <v>0.01</v>
      </c>
      <c r="H475" s="10"/>
      <c r="I475" s="10"/>
    </row>
    <row r="476" spans="1:9">
      <c r="A476" s="10" t="s">
        <v>1095</v>
      </c>
      <c r="B476" s="124" t="s">
        <v>645</v>
      </c>
      <c r="C476" s="124" t="s">
        <v>392</v>
      </c>
      <c r="D476" s="12">
        <v>5800000</v>
      </c>
      <c r="E476" s="82">
        <v>0.9701771065</v>
      </c>
      <c r="F476" s="14">
        <v>5627027.2199999997</v>
      </c>
      <c r="G476" s="14">
        <v>0.01</v>
      </c>
      <c r="H476" s="10"/>
      <c r="I476" s="10"/>
    </row>
    <row r="477" spans="1:9">
      <c r="A477" s="10" t="s">
        <v>1096</v>
      </c>
      <c r="B477" s="124" t="s">
        <v>718</v>
      </c>
      <c r="C477" s="124" t="s">
        <v>392</v>
      </c>
      <c r="D477" s="12">
        <v>5800000</v>
      </c>
      <c r="E477" s="82">
        <v>0.97703311739999998</v>
      </c>
      <c r="F477" s="14">
        <v>5666792.0800000001</v>
      </c>
      <c r="G477" s="14">
        <v>0.01</v>
      </c>
      <c r="H477" s="10"/>
      <c r="I477" s="10"/>
    </row>
    <row r="478" spans="1:9">
      <c r="A478" s="10" t="s">
        <v>1097</v>
      </c>
      <c r="B478" s="124" t="s">
        <v>561</v>
      </c>
      <c r="C478" s="124" t="s">
        <v>392</v>
      </c>
      <c r="D478" s="12">
        <v>200000000</v>
      </c>
      <c r="E478" s="82">
        <v>0.99563558569999999</v>
      </c>
      <c r="F478" s="14">
        <v>199127117.13999999</v>
      </c>
      <c r="G478" s="14">
        <v>0.24</v>
      </c>
      <c r="H478" s="10"/>
      <c r="I478" s="10"/>
    </row>
    <row r="479" spans="1:9">
      <c r="A479" s="10" t="s">
        <v>1098</v>
      </c>
      <c r="B479" s="124" t="s">
        <v>718</v>
      </c>
      <c r="C479" s="124" t="s">
        <v>399</v>
      </c>
      <c r="D479" s="12">
        <v>100000000</v>
      </c>
      <c r="E479" s="82">
        <v>0.97567502780000004</v>
      </c>
      <c r="F479" s="14">
        <v>97567502.780000001</v>
      </c>
      <c r="G479" s="14">
        <v>0.12</v>
      </c>
      <c r="H479" s="10"/>
      <c r="I479" s="10"/>
    </row>
    <row r="480" spans="1:9">
      <c r="A480" s="10" t="s">
        <v>1099</v>
      </c>
      <c r="B480" s="124" t="s">
        <v>473</v>
      </c>
      <c r="C480" s="124" t="s">
        <v>399</v>
      </c>
      <c r="D480" s="12">
        <v>247000000</v>
      </c>
      <c r="E480" s="82">
        <v>0.99585290420000006</v>
      </c>
      <c r="F480" s="14">
        <v>245975667.34</v>
      </c>
      <c r="G480" s="153">
        <v>0.3</v>
      </c>
      <c r="H480" s="10"/>
      <c r="I480" s="10"/>
    </row>
    <row r="481" spans="1:9">
      <c r="A481" s="10" t="s">
        <v>1100</v>
      </c>
      <c r="B481" s="124" t="s">
        <v>463</v>
      </c>
      <c r="C481" s="124" t="s">
        <v>399</v>
      </c>
      <c r="D481" s="12">
        <v>10000000</v>
      </c>
      <c r="E481" s="82">
        <v>0.98803531909999998</v>
      </c>
      <c r="F481" s="14">
        <v>9880353.1899999995</v>
      </c>
      <c r="G481" s="14">
        <v>0.01</v>
      </c>
      <c r="H481" s="10"/>
      <c r="I481" s="10"/>
    </row>
    <row r="482" spans="1:9">
      <c r="A482" s="10" t="s">
        <v>1101</v>
      </c>
      <c r="B482" s="124" t="s">
        <v>415</v>
      </c>
      <c r="C482" s="124" t="s">
        <v>399</v>
      </c>
      <c r="D482" s="12">
        <v>10000000</v>
      </c>
      <c r="E482" s="82">
        <v>0.98260921710000004</v>
      </c>
      <c r="F482" s="14">
        <v>9826092.1699999999</v>
      </c>
      <c r="G482" s="14">
        <v>0.01</v>
      </c>
      <c r="H482" s="10"/>
      <c r="I482" s="10"/>
    </row>
    <row r="483" spans="1:9">
      <c r="A483" s="10" t="s">
        <v>1102</v>
      </c>
      <c r="B483" s="124" t="s">
        <v>578</v>
      </c>
      <c r="C483" s="124" t="s">
        <v>399</v>
      </c>
      <c r="D483" s="12">
        <v>10000000</v>
      </c>
      <c r="E483" s="21">
        <v>0.99444202999999998</v>
      </c>
      <c r="F483" s="153">
        <v>9944420.3000000007</v>
      </c>
      <c r="G483" s="14">
        <v>0.01</v>
      </c>
      <c r="H483" s="10"/>
      <c r="I483" s="10"/>
    </row>
    <row r="484" spans="1:9">
      <c r="A484" s="10" t="s">
        <v>1103</v>
      </c>
      <c r="B484" s="124" t="s">
        <v>517</v>
      </c>
      <c r="C484" s="124" t="s">
        <v>399</v>
      </c>
      <c r="D484" s="12">
        <v>10000000</v>
      </c>
      <c r="E484" s="82">
        <v>0.98894551980000001</v>
      </c>
      <c r="F484" s="153">
        <v>9889455.1999999993</v>
      </c>
      <c r="G484" s="14">
        <v>0.01</v>
      </c>
      <c r="H484" s="10"/>
      <c r="I484" s="10"/>
    </row>
    <row r="485" spans="1:9">
      <c r="A485" s="10" t="s">
        <v>1104</v>
      </c>
      <c r="B485" s="124" t="s">
        <v>510</v>
      </c>
      <c r="C485" s="124" t="s">
        <v>399</v>
      </c>
      <c r="D485" s="12">
        <v>10000000</v>
      </c>
      <c r="E485" s="82">
        <v>0.98081368719999995</v>
      </c>
      <c r="F485" s="14">
        <v>9808136.8699999992</v>
      </c>
      <c r="G485" s="14">
        <v>0.01</v>
      </c>
      <c r="H485" s="10"/>
      <c r="I485" s="10"/>
    </row>
    <row r="486" spans="1:9">
      <c r="A486" s="10" t="s">
        <v>1105</v>
      </c>
      <c r="B486" s="124" t="s">
        <v>559</v>
      </c>
      <c r="C486" s="124" t="s">
        <v>399</v>
      </c>
      <c r="D486" s="12">
        <v>10000000</v>
      </c>
      <c r="E486" s="82">
        <v>0.97458082079999997</v>
      </c>
      <c r="F486" s="14">
        <v>9745808.2100000009</v>
      </c>
      <c r="G486" s="14">
        <v>0.01</v>
      </c>
      <c r="H486" s="10"/>
      <c r="I486" s="10"/>
    </row>
    <row r="487" spans="1:9">
      <c r="A487" s="10" t="s">
        <v>1106</v>
      </c>
      <c r="B487" s="124" t="s">
        <v>657</v>
      </c>
      <c r="C487" s="124" t="s">
        <v>399</v>
      </c>
      <c r="D487" s="12">
        <v>25000000</v>
      </c>
      <c r="E487" s="82">
        <v>0.94086729179999995</v>
      </c>
      <c r="F487" s="153">
        <v>23521682.300000001</v>
      </c>
      <c r="G487" s="14">
        <v>0.03</v>
      </c>
      <c r="H487" s="10"/>
      <c r="I487" s="10"/>
    </row>
    <row r="488" spans="1:9">
      <c r="A488" s="10" t="s">
        <v>1107</v>
      </c>
      <c r="B488" s="124" t="s">
        <v>1108</v>
      </c>
      <c r="C488" s="124" t="s">
        <v>399</v>
      </c>
      <c r="D488" s="12">
        <v>25000000</v>
      </c>
      <c r="E488" s="82">
        <v>0.89885989830000002</v>
      </c>
      <c r="F488" s="14">
        <v>22471497.460000001</v>
      </c>
      <c r="G488" s="14">
        <v>0.03</v>
      </c>
      <c r="H488" s="10"/>
      <c r="I488" s="10"/>
    </row>
    <row r="489" spans="1:9">
      <c r="A489" s="10" t="s">
        <v>1109</v>
      </c>
      <c r="B489" s="124" t="s">
        <v>663</v>
      </c>
      <c r="C489" s="124" t="s">
        <v>399</v>
      </c>
      <c r="D489" s="12">
        <v>25000000</v>
      </c>
      <c r="E489" s="82">
        <v>0.92239269219999998</v>
      </c>
      <c r="F489" s="14">
        <v>23059817.309999999</v>
      </c>
      <c r="G489" s="14">
        <v>0.03</v>
      </c>
      <c r="H489" s="10"/>
      <c r="I489" s="10"/>
    </row>
    <row r="490" spans="1:9">
      <c r="A490" s="10" t="s">
        <v>1110</v>
      </c>
      <c r="B490" s="124" t="s">
        <v>931</v>
      </c>
      <c r="C490" s="124" t="s">
        <v>399</v>
      </c>
      <c r="D490" s="12">
        <v>25000000</v>
      </c>
      <c r="E490" s="82">
        <v>0.92067106529999998</v>
      </c>
      <c r="F490" s="14">
        <v>23016776.629999999</v>
      </c>
      <c r="G490" s="14">
        <v>0.03</v>
      </c>
      <c r="H490" s="10"/>
      <c r="I490" s="10"/>
    </row>
    <row r="491" spans="1:9">
      <c r="A491" s="10" t="s">
        <v>1111</v>
      </c>
      <c r="B491" s="124" t="s">
        <v>974</v>
      </c>
      <c r="C491" s="124" t="s">
        <v>399</v>
      </c>
      <c r="D491" s="12">
        <v>50000000</v>
      </c>
      <c r="E491" s="82">
        <v>0.92762029329999995</v>
      </c>
      <c r="F491" s="14">
        <v>46381014.670000002</v>
      </c>
      <c r="G491" s="14">
        <v>0.06</v>
      </c>
      <c r="H491" s="10"/>
      <c r="I491" s="10"/>
    </row>
    <row r="492" spans="1:9">
      <c r="A492" s="10" t="s">
        <v>1112</v>
      </c>
      <c r="B492" s="124" t="s">
        <v>1113</v>
      </c>
      <c r="C492" s="124" t="s">
        <v>399</v>
      </c>
      <c r="D492" s="12">
        <v>50000000</v>
      </c>
      <c r="E492" s="82">
        <v>0.92236945049999997</v>
      </c>
      <c r="F492" s="14">
        <v>46118472.530000001</v>
      </c>
      <c r="G492" s="14">
        <v>0.06</v>
      </c>
      <c r="H492" s="10"/>
      <c r="I492" s="10"/>
    </row>
    <row r="493" spans="1:9">
      <c r="A493" s="10" t="s">
        <v>1114</v>
      </c>
      <c r="B493" s="124" t="s">
        <v>510</v>
      </c>
      <c r="C493" s="124" t="s">
        <v>399</v>
      </c>
      <c r="D493" s="12">
        <v>25000000</v>
      </c>
      <c r="E493" s="82">
        <v>0.97915606180000003</v>
      </c>
      <c r="F493" s="14">
        <v>24478901.550000001</v>
      </c>
      <c r="G493" s="14">
        <v>0.03</v>
      </c>
      <c r="H493" s="10"/>
      <c r="I493" s="10"/>
    </row>
    <row r="494" spans="1:9">
      <c r="A494" s="10" t="s">
        <v>1115</v>
      </c>
      <c r="B494" s="124" t="s">
        <v>716</v>
      </c>
      <c r="C494" s="124" t="s">
        <v>399</v>
      </c>
      <c r="D494" s="12">
        <v>25000000</v>
      </c>
      <c r="E494" s="82">
        <v>0.97818521059999997</v>
      </c>
      <c r="F494" s="14">
        <v>24454630.27</v>
      </c>
      <c r="G494" s="14">
        <v>0.03</v>
      </c>
      <c r="H494" s="10"/>
      <c r="I494" s="10"/>
    </row>
    <row r="495" spans="1:9">
      <c r="A495" s="10" t="s">
        <v>1116</v>
      </c>
      <c r="B495" s="124" t="s">
        <v>461</v>
      </c>
      <c r="C495" s="124" t="s">
        <v>399</v>
      </c>
      <c r="D495" s="12">
        <v>25000000</v>
      </c>
      <c r="E495" s="82">
        <v>0.97335934280000003</v>
      </c>
      <c r="F495" s="14">
        <v>24333983.57</v>
      </c>
      <c r="G495" s="14">
        <v>0.03</v>
      </c>
      <c r="H495" s="10"/>
      <c r="I495" s="10"/>
    </row>
    <row r="496" spans="1:9">
      <c r="A496" s="10" t="s">
        <v>1117</v>
      </c>
      <c r="B496" s="124" t="s">
        <v>610</v>
      </c>
      <c r="C496" s="124" t="s">
        <v>399</v>
      </c>
      <c r="D496" s="12">
        <v>25000000</v>
      </c>
      <c r="E496" s="82">
        <v>0.97144236250000005</v>
      </c>
      <c r="F496" s="14">
        <v>24286059.059999999</v>
      </c>
      <c r="G496" s="14">
        <v>0.03</v>
      </c>
      <c r="H496" s="10"/>
      <c r="I496" s="10"/>
    </row>
    <row r="497" spans="1:9">
      <c r="A497" s="10" t="s">
        <v>1118</v>
      </c>
      <c r="B497" s="124" t="s">
        <v>459</v>
      </c>
      <c r="C497" s="124" t="s">
        <v>399</v>
      </c>
      <c r="D497" s="12">
        <v>25000000</v>
      </c>
      <c r="E497" s="21">
        <v>0.98012893000000001</v>
      </c>
      <c r="F497" s="14">
        <v>24503223.25</v>
      </c>
      <c r="G497" s="14">
        <v>0.03</v>
      </c>
      <c r="H497" s="10"/>
      <c r="I497" s="10"/>
    </row>
    <row r="498" spans="1:9">
      <c r="A498" s="10" t="s">
        <v>1119</v>
      </c>
      <c r="B498" s="124" t="s">
        <v>718</v>
      </c>
      <c r="C498" s="124" t="s">
        <v>399</v>
      </c>
      <c r="D498" s="12">
        <v>25000000</v>
      </c>
      <c r="E498" s="157">
        <v>0.97432072400000003</v>
      </c>
      <c r="F498" s="153">
        <v>24358018.100000001</v>
      </c>
      <c r="G498" s="14">
        <v>0.03</v>
      </c>
      <c r="H498" s="10"/>
      <c r="I498" s="10"/>
    </row>
    <row r="499" spans="1:9">
      <c r="A499" s="10" t="s">
        <v>1120</v>
      </c>
      <c r="B499" s="124" t="s">
        <v>559</v>
      </c>
      <c r="C499" s="124" t="s">
        <v>399</v>
      </c>
      <c r="D499" s="12">
        <v>25000000</v>
      </c>
      <c r="E499" s="82">
        <v>0.97239985490000003</v>
      </c>
      <c r="F499" s="14">
        <v>24309996.370000001</v>
      </c>
      <c r="G499" s="14">
        <v>0.03</v>
      </c>
      <c r="H499" s="10"/>
      <c r="I499" s="10"/>
    </row>
    <row r="500" spans="1:9">
      <c r="A500" s="10" t="s">
        <v>1121</v>
      </c>
      <c r="B500" s="124" t="s">
        <v>559</v>
      </c>
      <c r="C500" s="124" t="s">
        <v>399</v>
      </c>
      <c r="D500" s="14">
        <v>3087576.27</v>
      </c>
      <c r="E500" s="82">
        <v>0.97385274330000005</v>
      </c>
      <c r="F500" s="14">
        <v>3006844.62</v>
      </c>
      <c r="G500" s="12">
        <v>0</v>
      </c>
      <c r="H500" s="10"/>
      <c r="I500" s="10"/>
    </row>
    <row r="501" spans="1:9">
      <c r="A501" s="10" t="s">
        <v>1122</v>
      </c>
      <c r="B501" s="124" t="s">
        <v>415</v>
      </c>
      <c r="C501" s="124" t="s">
        <v>399</v>
      </c>
      <c r="D501" s="14">
        <v>3087576.27</v>
      </c>
      <c r="E501" s="82">
        <v>0.98210687770000005</v>
      </c>
      <c r="F501" s="14">
        <v>3032329.89</v>
      </c>
      <c r="G501" s="12">
        <v>0</v>
      </c>
      <c r="H501" s="10"/>
      <c r="I501" s="10"/>
    </row>
    <row r="502" spans="1:9">
      <c r="A502" s="10" t="s">
        <v>1123</v>
      </c>
      <c r="B502" s="124" t="s">
        <v>505</v>
      </c>
      <c r="C502" s="124" t="s">
        <v>399</v>
      </c>
      <c r="D502" s="12">
        <v>200000000</v>
      </c>
      <c r="E502" s="82">
        <v>0.99352169420000003</v>
      </c>
      <c r="F502" s="14">
        <v>198704338.84</v>
      </c>
      <c r="G502" s="14">
        <v>0.24</v>
      </c>
      <c r="H502" s="10"/>
      <c r="I502" s="10"/>
    </row>
    <row r="503" spans="1:9">
      <c r="A503" s="10" t="s">
        <v>1124</v>
      </c>
      <c r="B503" s="124" t="s">
        <v>762</v>
      </c>
      <c r="C503" s="124" t="s">
        <v>399</v>
      </c>
      <c r="D503" s="12">
        <v>20000194</v>
      </c>
      <c r="E503" s="82">
        <v>0.94773196319999997</v>
      </c>
      <c r="F503" s="14">
        <v>18954823.120000001</v>
      </c>
      <c r="G503" s="14">
        <v>0.02</v>
      </c>
      <c r="H503" s="10"/>
      <c r="I503" s="10"/>
    </row>
    <row r="504" spans="1:9">
      <c r="A504" s="10" t="s">
        <v>1125</v>
      </c>
      <c r="B504" s="124" t="s">
        <v>559</v>
      </c>
      <c r="C504" s="124" t="s">
        <v>399</v>
      </c>
      <c r="D504" s="12">
        <v>20000194</v>
      </c>
      <c r="E504" s="82">
        <v>0.97530998489999998</v>
      </c>
      <c r="F504" s="14">
        <v>19506388.91</v>
      </c>
      <c r="G504" s="14">
        <v>0.02</v>
      </c>
      <c r="H504" s="10"/>
      <c r="I504" s="10"/>
    </row>
    <row r="505" spans="1:9">
      <c r="A505" s="10" t="s">
        <v>1130</v>
      </c>
      <c r="B505" s="124" t="s">
        <v>610</v>
      </c>
      <c r="C505" s="124" t="s">
        <v>373</v>
      </c>
      <c r="D505" s="12">
        <v>15000000</v>
      </c>
      <c r="E505" s="82">
        <v>0.97294418120000004</v>
      </c>
      <c r="F505" s="14">
        <v>14594162.720000001</v>
      </c>
      <c r="G505" s="14">
        <v>0.02</v>
      </c>
      <c r="H505" s="10"/>
      <c r="I505" s="10"/>
    </row>
    <row r="506" spans="1:9">
      <c r="A506" s="10" t="s">
        <v>1131</v>
      </c>
      <c r="B506" s="124" t="s">
        <v>610</v>
      </c>
      <c r="C506" s="124" t="s">
        <v>373</v>
      </c>
      <c r="D506" s="12">
        <v>50000000</v>
      </c>
      <c r="E506" s="82">
        <v>0.97369687169999997</v>
      </c>
      <c r="F506" s="14">
        <v>48684843.590000004</v>
      </c>
      <c r="G506" s="14">
        <v>0.06</v>
      </c>
      <c r="H506" s="10"/>
      <c r="I506" s="10"/>
    </row>
    <row r="507" spans="1:9">
      <c r="A507" s="10" t="s">
        <v>1132</v>
      </c>
      <c r="B507" s="124" t="s">
        <v>578</v>
      </c>
      <c r="C507" s="124" t="s">
        <v>373</v>
      </c>
      <c r="D507" s="12">
        <v>3000000</v>
      </c>
      <c r="E507" s="82">
        <v>0.99476726329999998</v>
      </c>
      <c r="F507" s="14">
        <v>2984301.79</v>
      </c>
      <c r="G507" s="12">
        <v>0</v>
      </c>
      <c r="H507" s="10"/>
      <c r="I507" s="10"/>
    </row>
    <row r="508" spans="1:9">
      <c r="A508" s="10" t="s">
        <v>1133</v>
      </c>
      <c r="B508" s="124" t="s">
        <v>692</v>
      </c>
      <c r="C508" s="124" t="s">
        <v>373</v>
      </c>
      <c r="D508" s="12">
        <v>3000000</v>
      </c>
      <c r="E508" s="82">
        <v>0.99044828669999996</v>
      </c>
      <c r="F508" s="14">
        <v>2971344.86</v>
      </c>
      <c r="G508" s="12">
        <v>0</v>
      </c>
      <c r="H508" s="10"/>
      <c r="I508" s="10"/>
    </row>
    <row r="509" spans="1:9">
      <c r="A509" s="10" t="s">
        <v>1135</v>
      </c>
      <c r="B509" s="124" t="s">
        <v>625</v>
      </c>
      <c r="C509" s="124" t="s">
        <v>373</v>
      </c>
      <c r="D509" s="12">
        <v>3000000</v>
      </c>
      <c r="E509" s="21">
        <v>0.99912405999999998</v>
      </c>
      <c r="F509" s="14">
        <v>2997372.18</v>
      </c>
      <c r="G509" s="12">
        <v>0</v>
      </c>
      <c r="H509" s="10"/>
      <c r="I509" s="10"/>
    </row>
    <row r="510" spans="1:9">
      <c r="A510" s="10" t="s">
        <v>1136</v>
      </c>
      <c r="B510" s="124" t="s">
        <v>463</v>
      </c>
      <c r="C510" s="124" t="s">
        <v>373</v>
      </c>
      <c r="D510" s="12">
        <v>3000000</v>
      </c>
      <c r="E510" s="82">
        <v>0.98873120339999998</v>
      </c>
      <c r="F510" s="14">
        <v>2966193.61</v>
      </c>
      <c r="G510" s="12">
        <v>0</v>
      </c>
      <c r="H510" s="10"/>
      <c r="I510" s="10"/>
    </row>
    <row r="511" spans="1:9">
      <c r="A511" s="10" t="s">
        <v>1137</v>
      </c>
      <c r="B511" s="124" t="s">
        <v>463</v>
      </c>
      <c r="C511" s="124" t="s">
        <v>373</v>
      </c>
      <c r="D511" s="12">
        <v>3000000</v>
      </c>
      <c r="E511" s="82">
        <v>0.98873120339999998</v>
      </c>
      <c r="F511" s="14">
        <v>2966193.61</v>
      </c>
      <c r="G511" s="12">
        <v>0</v>
      </c>
      <c r="H511" s="10"/>
      <c r="I511" s="10"/>
    </row>
    <row r="512" spans="1:9">
      <c r="A512" s="10" t="s">
        <v>1138</v>
      </c>
      <c r="B512" s="124" t="s">
        <v>415</v>
      </c>
      <c r="C512" s="124" t="s">
        <v>373</v>
      </c>
      <c r="D512" s="12">
        <v>3000000</v>
      </c>
      <c r="E512" s="82">
        <v>0.98361545989999999</v>
      </c>
      <c r="F512" s="14">
        <v>2950846.38</v>
      </c>
      <c r="G512" s="12">
        <v>0</v>
      </c>
      <c r="H512" s="10"/>
      <c r="I512" s="10"/>
    </row>
    <row r="513" spans="1:9">
      <c r="A513" s="10" t="s">
        <v>1139</v>
      </c>
      <c r="B513" s="124" t="s">
        <v>459</v>
      </c>
      <c r="C513" s="124" t="s">
        <v>373</v>
      </c>
      <c r="D513" s="12">
        <v>3000000</v>
      </c>
      <c r="E513" s="82">
        <v>0.98276795660000005</v>
      </c>
      <c r="F513" s="14">
        <v>2948303.87</v>
      </c>
      <c r="G513" s="12">
        <v>0</v>
      </c>
      <c r="H513" s="10"/>
      <c r="I513" s="10"/>
    </row>
    <row r="514" spans="1:9">
      <c r="A514" s="10" t="s">
        <v>1140</v>
      </c>
      <c r="B514" s="124" t="s">
        <v>718</v>
      </c>
      <c r="C514" s="124" t="s">
        <v>373</v>
      </c>
      <c r="D514" s="12">
        <v>3000000</v>
      </c>
      <c r="E514" s="82">
        <v>0.97771350339999996</v>
      </c>
      <c r="F514" s="14">
        <v>2933140.51</v>
      </c>
      <c r="G514" s="12">
        <v>0</v>
      </c>
      <c r="H514" s="10"/>
      <c r="I514" s="10"/>
    </row>
    <row r="515" spans="1:9">
      <c r="A515" s="10" t="s">
        <v>1141</v>
      </c>
      <c r="B515" s="124" t="s">
        <v>645</v>
      </c>
      <c r="C515" s="124" t="s">
        <v>373</v>
      </c>
      <c r="D515" s="12">
        <v>3500000</v>
      </c>
      <c r="E515" s="82">
        <v>0.97105467970000003</v>
      </c>
      <c r="F515" s="14">
        <v>3398691.38</v>
      </c>
      <c r="G515" s="12">
        <v>0</v>
      </c>
      <c r="H515" s="10"/>
      <c r="I515" s="10"/>
    </row>
    <row r="516" spans="1:9">
      <c r="A516" s="10" t="s">
        <v>1142</v>
      </c>
      <c r="B516" s="124" t="s">
        <v>473</v>
      </c>
      <c r="C516" s="124" t="s">
        <v>373</v>
      </c>
      <c r="D516" s="12">
        <v>3000000</v>
      </c>
      <c r="E516" s="82">
        <v>0.99650540669999998</v>
      </c>
      <c r="F516" s="14">
        <v>2989516.22</v>
      </c>
      <c r="G516" s="12">
        <v>0</v>
      </c>
      <c r="H516" s="10"/>
      <c r="I516" s="10"/>
    </row>
    <row r="517" spans="1:9">
      <c r="A517" s="10" t="s">
        <v>1143</v>
      </c>
      <c r="B517" s="124" t="s">
        <v>505</v>
      </c>
      <c r="C517" s="124" t="s">
        <v>373</v>
      </c>
      <c r="D517" s="12">
        <v>3000000</v>
      </c>
      <c r="E517" s="82">
        <v>0.99390045319999998</v>
      </c>
      <c r="F517" s="14">
        <v>2981701.36</v>
      </c>
      <c r="G517" s="12">
        <v>0</v>
      </c>
      <c r="H517" s="10"/>
      <c r="I517" s="10"/>
    </row>
    <row r="518" spans="1:9">
      <c r="A518" s="10" t="s">
        <v>1144</v>
      </c>
      <c r="B518" s="124" t="s">
        <v>517</v>
      </c>
      <c r="C518" s="124" t="s">
        <v>373</v>
      </c>
      <c r="D518" s="12">
        <v>3000000</v>
      </c>
      <c r="E518" s="82">
        <v>0.98958902319999997</v>
      </c>
      <c r="F518" s="14">
        <v>2968767.07</v>
      </c>
      <c r="G518" s="12">
        <v>0</v>
      </c>
      <c r="H518" s="10"/>
      <c r="I518" s="10"/>
    </row>
    <row r="519" spans="1:9">
      <c r="A519" s="10" t="s">
        <v>1145</v>
      </c>
      <c r="B519" s="124" t="s">
        <v>456</v>
      </c>
      <c r="C519" s="124" t="s">
        <v>373</v>
      </c>
      <c r="D519" s="12">
        <v>3000000</v>
      </c>
      <c r="E519" s="82">
        <v>0.98787486989999995</v>
      </c>
      <c r="F519" s="14">
        <v>2963624.61</v>
      </c>
      <c r="G519" s="12">
        <v>0</v>
      </c>
      <c r="H519" s="10"/>
      <c r="I519" s="10"/>
    </row>
    <row r="520" spans="1:9">
      <c r="A520" s="10" t="s">
        <v>1146</v>
      </c>
      <c r="B520" s="124" t="s">
        <v>746</v>
      </c>
      <c r="C520" s="124" t="s">
        <v>373</v>
      </c>
      <c r="D520" s="12">
        <v>3000000</v>
      </c>
      <c r="E520" s="21">
        <v>0.98702002</v>
      </c>
      <c r="F520" s="14">
        <v>2961060.06</v>
      </c>
      <c r="G520" s="12">
        <v>0</v>
      </c>
      <c r="H520" s="10"/>
      <c r="I520" s="10"/>
    </row>
    <row r="521" spans="1:9">
      <c r="A521" s="10" t="s">
        <v>1147</v>
      </c>
      <c r="B521" s="124" t="s">
        <v>513</v>
      </c>
      <c r="C521" s="124" t="s">
        <v>373</v>
      </c>
      <c r="D521" s="12">
        <v>3000000</v>
      </c>
      <c r="E521" s="82">
        <v>0.98446435980000002</v>
      </c>
      <c r="F521" s="14">
        <v>2953393.08</v>
      </c>
      <c r="G521" s="12">
        <v>0</v>
      </c>
      <c r="H521" s="10"/>
      <c r="I521" s="10"/>
    </row>
    <row r="522" spans="1:9">
      <c r="A522" s="10" t="s">
        <v>1148</v>
      </c>
      <c r="B522" s="124" t="s">
        <v>510</v>
      </c>
      <c r="C522" s="124" t="s">
        <v>373</v>
      </c>
      <c r="D522" s="12">
        <v>3000000</v>
      </c>
      <c r="E522" s="82">
        <v>0.98192191660000006</v>
      </c>
      <c r="F522" s="14">
        <v>2945765.75</v>
      </c>
      <c r="G522" s="12">
        <v>0</v>
      </c>
      <c r="H522" s="10"/>
      <c r="I522" s="10"/>
    </row>
    <row r="523" spans="1:9">
      <c r="A523" s="10" t="s">
        <v>1149</v>
      </c>
      <c r="B523" s="124" t="s">
        <v>716</v>
      </c>
      <c r="C523" s="124" t="s">
        <v>373</v>
      </c>
      <c r="D523" s="12">
        <v>3000000</v>
      </c>
      <c r="E523" s="82">
        <v>0.98107732319999996</v>
      </c>
      <c r="F523" s="14">
        <v>2943231.97</v>
      </c>
      <c r="G523" s="12">
        <v>0</v>
      </c>
      <c r="H523" s="10"/>
      <c r="I523" s="10"/>
    </row>
    <row r="524" spans="1:9">
      <c r="A524" s="10" t="s">
        <v>1150</v>
      </c>
      <c r="B524" s="124" t="s">
        <v>610</v>
      </c>
      <c r="C524" s="124" t="s">
        <v>373</v>
      </c>
      <c r="D524" s="12">
        <v>3000000</v>
      </c>
      <c r="E524" s="82">
        <v>0.9752057502</v>
      </c>
      <c r="F524" s="14">
        <v>2925617.25</v>
      </c>
      <c r="G524" s="12">
        <v>0</v>
      </c>
      <c r="H524" s="10"/>
      <c r="I524" s="10"/>
    </row>
    <row r="525" spans="1:9">
      <c r="A525" s="10" t="s">
        <v>1151</v>
      </c>
      <c r="B525" s="124" t="s">
        <v>498</v>
      </c>
      <c r="C525" s="124" t="s">
        <v>373</v>
      </c>
      <c r="D525" s="12">
        <v>3000000</v>
      </c>
      <c r="E525" s="82">
        <v>0.97271084320000001</v>
      </c>
      <c r="F525" s="14">
        <v>2918132.53</v>
      </c>
      <c r="G525" s="12">
        <v>0</v>
      </c>
      <c r="H525" s="10"/>
      <c r="I525" s="10"/>
    </row>
    <row r="526" spans="1:9">
      <c r="A526" s="10" t="s">
        <v>1152</v>
      </c>
      <c r="B526" s="124" t="s">
        <v>810</v>
      </c>
      <c r="C526" s="124" t="s">
        <v>373</v>
      </c>
      <c r="D526" s="12">
        <v>3500000</v>
      </c>
      <c r="E526" s="82">
        <v>0.97188199980000001</v>
      </c>
      <c r="F526" s="12">
        <v>3401587</v>
      </c>
      <c r="G526" s="12">
        <v>0</v>
      </c>
      <c r="H526" s="10"/>
      <c r="I526" s="10"/>
    </row>
    <row r="527" spans="1:9">
      <c r="A527" s="10" t="s">
        <v>1153</v>
      </c>
      <c r="B527" s="124" t="s">
        <v>461</v>
      </c>
      <c r="C527" s="124" t="s">
        <v>373</v>
      </c>
      <c r="D527" s="12">
        <v>3000000</v>
      </c>
      <c r="E527" s="82">
        <v>0.97687620659999996</v>
      </c>
      <c r="F527" s="14">
        <v>2930628.62</v>
      </c>
      <c r="G527" s="12">
        <v>0</v>
      </c>
      <c r="H527" s="10"/>
      <c r="I527" s="10"/>
    </row>
    <row r="528" spans="1:9">
      <c r="A528" s="10" t="s">
        <v>1154</v>
      </c>
      <c r="B528" s="124" t="s">
        <v>692</v>
      </c>
      <c r="C528" s="124" t="s">
        <v>373</v>
      </c>
      <c r="D528" s="12">
        <v>6200000</v>
      </c>
      <c r="E528" s="82">
        <v>0.98985736120000001</v>
      </c>
      <c r="F528" s="14">
        <v>6137115.6399999997</v>
      </c>
      <c r="G528" s="14">
        <v>0.01</v>
      </c>
      <c r="H528" s="10"/>
      <c r="I528" s="10"/>
    </row>
    <row r="529" spans="1:9">
      <c r="A529" s="10" t="s">
        <v>1155</v>
      </c>
      <c r="B529" s="124" t="s">
        <v>578</v>
      </c>
      <c r="C529" s="124" t="s">
        <v>373</v>
      </c>
      <c r="D529" s="12">
        <v>6200000</v>
      </c>
      <c r="E529" s="82">
        <v>0.99444203860000002</v>
      </c>
      <c r="F529" s="14">
        <v>6165540.6399999997</v>
      </c>
      <c r="G529" s="14">
        <v>0.01</v>
      </c>
      <c r="H529" s="10"/>
      <c r="I529" s="10"/>
    </row>
    <row r="530" spans="1:9">
      <c r="A530" s="10" t="s">
        <v>1156</v>
      </c>
      <c r="B530" s="124" t="s">
        <v>517</v>
      </c>
      <c r="C530" s="124" t="s">
        <v>373</v>
      </c>
      <c r="D530" s="14">
        <v>5082311.97</v>
      </c>
      <c r="E530" s="82">
        <v>0.98958902550000005</v>
      </c>
      <c r="F530" s="14">
        <v>5029400.1500000004</v>
      </c>
      <c r="G530" s="14">
        <v>0.01</v>
      </c>
      <c r="H530" s="10"/>
      <c r="I530" s="10"/>
    </row>
    <row r="531" spans="1:9">
      <c r="A531" s="10" t="s">
        <v>1157</v>
      </c>
      <c r="B531" s="124" t="s">
        <v>561</v>
      </c>
      <c r="C531" s="124" t="s">
        <v>373</v>
      </c>
      <c r="D531" s="14">
        <v>6714705.04</v>
      </c>
      <c r="E531" s="82">
        <v>0.99563558789999995</v>
      </c>
      <c r="F531" s="153">
        <v>6685399.2999999998</v>
      </c>
      <c r="G531" s="14">
        <v>0.01</v>
      </c>
      <c r="H531" s="10"/>
      <c r="I531" s="10"/>
    </row>
    <row r="532" spans="1:9">
      <c r="A532" s="10" t="s">
        <v>1158</v>
      </c>
      <c r="B532" s="124" t="s">
        <v>459</v>
      </c>
      <c r="C532" s="124" t="s">
        <v>373</v>
      </c>
      <c r="D532" s="12">
        <v>13000000</v>
      </c>
      <c r="E532" s="82">
        <v>0.9817106525</v>
      </c>
      <c r="F532" s="14">
        <v>12762238.48</v>
      </c>
      <c r="G532" s="14">
        <v>0.02</v>
      </c>
      <c r="H532" s="10"/>
      <c r="I532" s="10"/>
    </row>
    <row r="533" spans="1:9">
      <c r="A533" s="10" t="s">
        <v>1159</v>
      </c>
      <c r="B533" s="124" t="s">
        <v>625</v>
      </c>
      <c r="C533" s="124" t="s">
        <v>373</v>
      </c>
      <c r="D533" s="12">
        <v>12000000</v>
      </c>
      <c r="E533" s="157">
        <v>0.99906936499999999</v>
      </c>
      <c r="F533" s="14">
        <v>11988832.380000001</v>
      </c>
      <c r="G533" s="14">
        <v>0.01</v>
      </c>
      <c r="H533" s="10"/>
      <c r="I533" s="10"/>
    </row>
    <row r="534" spans="1:9">
      <c r="A534" s="10" t="s">
        <v>1160</v>
      </c>
      <c r="B534" s="124" t="s">
        <v>645</v>
      </c>
      <c r="C534" s="124" t="s">
        <v>373</v>
      </c>
      <c r="D534" s="12">
        <v>13000000</v>
      </c>
      <c r="E534" s="82">
        <v>0.9693011373</v>
      </c>
      <c r="F534" s="14">
        <v>12600914.779999999</v>
      </c>
      <c r="G534" s="14">
        <v>0.02</v>
      </c>
      <c r="H534" s="10"/>
      <c r="I534" s="10"/>
    </row>
    <row r="535" spans="1:9">
      <c r="A535" s="10" t="s">
        <v>1161</v>
      </c>
      <c r="B535" s="124" t="s">
        <v>610</v>
      </c>
      <c r="C535" s="124" t="s">
        <v>373</v>
      </c>
      <c r="D535" s="12">
        <v>5444206</v>
      </c>
      <c r="E535" s="157">
        <v>0.97520575099999995</v>
      </c>
      <c r="F535" s="12">
        <v>5309221</v>
      </c>
      <c r="G535" s="14">
        <v>0.01</v>
      </c>
      <c r="H535" s="10"/>
      <c r="I535" s="10"/>
    </row>
    <row r="536" spans="1:9">
      <c r="A536" s="10" t="s">
        <v>1162</v>
      </c>
      <c r="B536" s="124" t="s">
        <v>473</v>
      </c>
      <c r="C536" s="124" t="s">
        <v>373</v>
      </c>
      <c r="D536" s="12">
        <v>5444206</v>
      </c>
      <c r="E536" s="82">
        <v>0.9965054042</v>
      </c>
      <c r="F536" s="153">
        <v>5425180.7000000002</v>
      </c>
      <c r="G536" s="14">
        <v>0.01</v>
      </c>
      <c r="H536" s="10"/>
      <c r="I536" s="10"/>
    </row>
    <row r="537" spans="1:9">
      <c r="A537" s="10" t="s">
        <v>1163</v>
      </c>
      <c r="B537" s="124" t="s">
        <v>578</v>
      </c>
      <c r="C537" s="124" t="s">
        <v>373</v>
      </c>
      <c r="D537" s="12">
        <v>5444206</v>
      </c>
      <c r="E537" s="82">
        <v>0.99476726439999996</v>
      </c>
      <c r="F537" s="14">
        <v>5415717.9100000001</v>
      </c>
      <c r="G537" s="14">
        <v>0.01</v>
      </c>
      <c r="H537" s="10"/>
      <c r="I537" s="10"/>
    </row>
    <row r="538" spans="1:9">
      <c r="A538" s="10" t="s">
        <v>1164</v>
      </c>
      <c r="B538" s="124" t="s">
        <v>498</v>
      </c>
      <c r="C538" s="124" t="s">
        <v>373</v>
      </c>
      <c r="D538" s="12">
        <v>5444206</v>
      </c>
      <c r="E538" s="82">
        <v>0.97271083989999996</v>
      </c>
      <c r="F538" s="14">
        <v>5295638.1900000004</v>
      </c>
      <c r="G538" s="14">
        <v>0.01</v>
      </c>
      <c r="H538" s="10"/>
      <c r="I538" s="10"/>
    </row>
    <row r="539" spans="1:9">
      <c r="A539" s="10" t="s">
        <v>1166</v>
      </c>
      <c r="B539" s="124" t="s">
        <v>810</v>
      </c>
      <c r="C539" s="124" t="s">
        <v>373</v>
      </c>
      <c r="D539" s="12">
        <v>5444206</v>
      </c>
      <c r="E539" s="157">
        <v>0.97188199900000005</v>
      </c>
      <c r="F539" s="14">
        <v>5291125.8099999996</v>
      </c>
      <c r="G539" s="14">
        <v>0.01</v>
      </c>
      <c r="H539" s="10"/>
      <c r="I539" s="10"/>
    </row>
    <row r="540" spans="1:9">
      <c r="A540" s="10" t="s">
        <v>1167</v>
      </c>
      <c r="B540" s="124" t="s">
        <v>625</v>
      </c>
      <c r="C540" s="124" t="s">
        <v>373</v>
      </c>
      <c r="D540" s="12">
        <v>5444206</v>
      </c>
      <c r="E540" s="82">
        <v>0.99912405959999995</v>
      </c>
      <c r="F540" s="153">
        <v>5439437.2000000002</v>
      </c>
      <c r="G540" s="14">
        <v>0.01</v>
      </c>
      <c r="H540" s="10"/>
      <c r="I540" s="10"/>
    </row>
    <row r="541" spans="1:9">
      <c r="A541" s="10" t="s">
        <v>1168</v>
      </c>
      <c r="B541" s="124" t="s">
        <v>645</v>
      </c>
      <c r="C541" s="124" t="s">
        <v>373</v>
      </c>
      <c r="D541" s="12">
        <v>5444208</v>
      </c>
      <c r="E541" s="82">
        <v>0.97105467879999996</v>
      </c>
      <c r="F541" s="14">
        <v>5286623.6500000004</v>
      </c>
      <c r="G541" s="14">
        <v>0.01</v>
      </c>
      <c r="H541" s="10"/>
      <c r="I541" s="10"/>
    </row>
    <row r="542" spans="1:9">
      <c r="A542" s="10" t="s">
        <v>1169</v>
      </c>
      <c r="B542" s="124" t="s">
        <v>561</v>
      </c>
      <c r="C542" s="124" t="s">
        <v>373</v>
      </c>
      <c r="D542" s="12">
        <v>5444206</v>
      </c>
      <c r="E542" s="82">
        <v>0.99563558949999997</v>
      </c>
      <c r="F542" s="14">
        <v>5420445.25</v>
      </c>
      <c r="G542" s="14">
        <v>0.01</v>
      </c>
      <c r="H542" s="10"/>
      <c r="I542" s="10"/>
    </row>
    <row r="543" spans="1:9">
      <c r="A543" s="10" t="s">
        <v>1170</v>
      </c>
      <c r="B543" s="124" t="s">
        <v>513</v>
      </c>
      <c r="C543" s="124" t="s">
        <v>373</v>
      </c>
      <c r="D543" s="14">
        <v>38054448.590000004</v>
      </c>
      <c r="E543" s="82">
        <v>0.98446436120000003</v>
      </c>
      <c r="F543" s="14">
        <v>37463248.420000002</v>
      </c>
      <c r="G543" s="14">
        <v>0.05</v>
      </c>
      <c r="H543" s="10"/>
      <c r="I543" s="10"/>
    </row>
    <row r="544" spans="1:9">
      <c r="A544" s="10" t="s">
        <v>1171</v>
      </c>
      <c r="B544" s="124" t="s">
        <v>578</v>
      </c>
      <c r="C544" s="124" t="s">
        <v>373</v>
      </c>
      <c r="D544" s="14">
        <v>6427534.4199999999</v>
      </c>
      <c r="E544" s="82">
        <v>0.99476726550000005</v>
      </c>
      <c r="F544" s="14">
        <v>6393900.8399999999</v>
      </c>
      <c r="G544" s="14">
        <v>0.01</v>
      </c>
      <c r="H544" s="10"/>
      <c r="I544" s="10"/>
    </row>
    <row r="545" spans="1:9">
      <c r="A545" s="10" t="s">
        <v>1172</v>
      </c>
      <c r="B545" s="124" t="s">
        <v>561</v>
      </c>
      <c r="C545" s="124" t="s">
        <v>373</v>
      </c>
      <c r="D545" s="14">
        <v>43185942.649999999</v>
      </c>
      <c r="E545" s="82">
        <v>0.99563558880000003</v>
      </c>
      <c r="F545" s="14">
        <v>42997461.439999998</v>
      </c>
      <c r="G545" s="14">
        <v>0.05</v>
      </c>
      <c r="H545" s="10"/>
      <c r="I545" s="10"/>
    </row>
    <row r="546" spans="1:9">
      <c r="A546" s="10" t="s">
        <v>1179</v>
      </c>
      <c r="B546" s="124" t="s">
        <v>625</v>
      </c>
      <c r="C546" s="124" t="s">
        <v>406</v>
      </c>
      <c r="D546" s="12">
        <v>2000000</v>
      </c>
      <c r="E546" s="82">
        <v>0.9991240549</v>
      </c>
      <c r="F546" s="14">
        <v>1998248.11</v>
      </c>
      <c r="G546" s="12">
        <v>0</v>
      </c>
      <c r="H546" s="10"/>
      <c r="I546" s="10"/>
    </row>
    <row r="547" spans="1:9">
      <c r="A547" s="10" t="s">
        <v>1180</v>
      </c>
      <c r="B547" s="124" t="s">
        <v>473</v>
      </c>
      <c r="C547" s="124" t="s">
        <v>406</v>
      </c>
      <c r="D547" s="12">
        <v>2000000</v>
      </c>
      <c r="E547" s="82">
        <v>0.99650540990000003</v>
      </c>
      <c r="F547" s="14">
        <v>1993010.82</v>
      </c>
      <c r="G547" s="12">
        <v>0</v>
      </c>
      <c r="H547" s="10"/>
      <c r="I547" s="10"/>
    </row>
    <row r="548" spans="1:9">
      <c r="A548" s="10" t="s">
        <v>1181</v>
      </c>
      <c r="B548" s="124" t="s">
        <v>561</v>
      </c>
      <c r="C548" s="124" t="s">
        <v>406</v>
      </c>
      <c r="D548" s="12">
        <v>2000000</v>
      </c>
      <c r="E548" s="157">
        <v>0.99563557499999999</v>
      </c>
      <c r="F548" s="14">
        <v>1991271.15</v>
      </c>
      <c r="G548" s="12">
        <v>0</v>
      </c>
      <c r="H548" s="10"/>
      <c r="I548" s="10"/>
    </row>
    <row r="549" spans="1:9">
      <c r="A549" s="10" t="s">
        <v>1183</v>
      </c>
      <c r="B549" s="124" t="s">
        <v>692</v>
      </c>
      <c r="C549" s="124" t="s">
        <v>406</v>
      </c>
      <c r="D549" s="12">
        <v>200000000</v>
      </c>
      <c r="E549" s="82">
        <v>0.98985737419999997</v>
      </c>
      <c r="F549" s="14">
        <v>197971474.84</v>
      </c>
      <c r="G549" s="14">
        <v>0.24</v>
      </c>
      <c r="H549" s="10"/>
      <c r="I549" s="10"/>
    </row>
    <row r="550" spans="1:9">
      <c r="A550" s="10" t="s">
        <v>1184</v>
      </c>
      <c r="B550" s="124" t="s">
        <v>810</v>
      </c>
      <c r="C550" s="124" t="s">
        <v>479</v>
      </c>
      <c r="D550" s="12">
        <v>15000000</v>
      </c>
      <c r="E550" s="82">
        <v>0.97017710069999996</v>
      </c>
      <c r="F550" s="14">
        <v>14552656.51</v>
      </c>
      <c r="G550" s="14">
        <v>0.02</v>
      </c>
      <c r="H550" s="10"/>
      <c r="I550" s="10"/>
    </row>
    <row r="551" spans="1:9">
      <c r="A551" s="10" t="s">
        <v>1185</v>
      </c>
      <c r="B551" s="124" t="s">
        <v>625</v>
      </c>
      <c r="C551" s="124" t="s">
        <v>479</v>
      </c>
      <c r="D551" s="12">
        <v>50000000</v>
      </c>
      <c r="E551" s="157">
        <v>0.99912405800000004</v>
      </c>
      <c r="F551" s="153">
        <v>49956202.899999999</v>
      </c>
      <c r="G551" s="14">
        <v>0.06</v>
      </c>
      <c r="H551" s="10"/>
      <c r="I551" s="10"/>
    </row>
    <row r="552" spans="1:9">
      <c r="A552" s="10" t="s">
        <v>1186</v>
      </c>
      <c r="B552" s="124" t="s">
        <v>473</v>
      </c>
      <c r="C552" s="124" t="s">
        <v>479</v>
      </c>
      <c r="D552" s="12">
        <v>50000000</v>
      </c>
      <c r="E552" s="157">
        <v>0.99650541800000003</v>
      </c>
      <c r="F552" s="153">
        <v>49825270.899999999</v>
      </c>
      <c r="G552" s="14">
        <v>0.06</v>
      </c>
      <c r="H552" s="10"/>
      <c r="I552" s="10"/>
    </row>
    <row r="553" spans="1:9">
      <c r="A553" s="10" t="s">
        <v>1187</v>
      </c>
      <c r="B553" s="124" t="s">
        <v>473</v>
      </c>
      <c r="C553" s="124" t="s">
        <v>479</v>
      </c>
      <c r="D553" s="12">
        <v>50000000</v>
      </c>
      <c r="E553" s="157">
        <v>0.99650541800000003</v>
      </c>
      <c r="F553" s="153">
        <v>49825270.899999999</v>
      </c>
      <c r="G553" s="14">
        <v>0.06</v>
      </c>
      <c r="H553" s="10"/>
      <c r="I553" s="10"/>
    </row>
    <row r="554" spans="1:9">
      <c r="A554" s="10" t="s">
        <v>1188</v>
      </c>
      <c r="B554" s="124" t="s">
        <v>561</v>
      </c>
      <c r="C554" s="124" t="s">
        <v>479</v>
      </c>
      <c r="D554" s="12">
        <v>50000000</v>
      </c>
      <c r="E554" s="82">
        <v>0.99563557879999998</v>
      </c>
      <c r="F554" s="14">
        <v>49781778.939999998</v>
      </c>
      <c r="G554" s="14">
        <v>0.06</v>
      </c>
      <c r="H554" s="10"/>
      <c r="I554" s="10"/>
    </row>
    <row r="555" spans="1:9">
      <c r="A555" s="10" t="s">
        <v>1189</v>
      </c>
      <c r="B555" s="124" t="s">
        <v>561</v>
      </c>
      <c r="C555" s="124" t="s">
        <v>479</v>
      </c>
      <c r="D555" s="12">
        <v>50000000</v>
      </c>
      <c r="E555" s="82">
        <v>0.99563557879999998</v>
      </c>
      <c r="F555" s="14">
        <v>49781778.939999998</v>
      </c>
      <c r="G555" s="14">
        <v>0.06</v>
      </c>
      <c r="H555" s="10"/>
      <c r="I555" s="10"/>
    </row>
    <row r="556" spans="1:9">
      <c r="A556" s="10" t="s">
        <v>1190</v>
      </c>
      <c r="B556" s="124" t="s">
        <v>578</v>
      </c>
      <c r="C556" s="124" t="s">
        <v>479</v>
      </c>
      <c r="D556" s="12">
        <v>50000000</v>
      </c>
      <c r="E556" s="82">
        <v>0.99476725430000001</v>
      </c>
      <c r="F556" s="14">
        <v>49738362.719999999</v>
      </c>
      <c r="G556" s="14">
        <v>0.06</v>
      </c>
      <c r="H556" s="10"/>
      <c r="I556" s="10"/>
    </row>
    <row r="557" spans="1:9">
      <c r="A557" s="10" t="s">
        <v>1191</v>
      </c>
      <c r="B557" s="124" t="s">
        <v>625</v>
      </c>
      <c r="C557" s="124" t="s">
        <v>479</v>
      </c>
      <c r="D557" s="12">
        <v>50000000</v>
      </c>
      <c r="E557" s="157">
        <v>0.99912405800000004</v>
      </c>
      <c r="F557" s="153">
        <v>49956202.899999999</v>
      </c>
      <c r="G557" s="14">
        <v>0.06</v>
      </c>
      <c r="H557" s="10"/>
      <c r="I557" s="10"/>
    </row>
    <row r="558" spans="1:9">
      <c r="A558" s="10" t="s">
        <v>1192</v>
      </c>
      <c r="B558" s="124" t="s">
        <v>578</v>
      </c>
      <c r="C558" s="124" t="s">
        <v>479</v>
      </c>
      <c r="D558" s="12">
        <v>50000000</v>
      </c>
      <c r="E558" s="82">
        <v>0.99476725430000001</v>
      </c>
      <c r="F558" s="14">
        <v>49738362.719999999</v>
      </c>
      <c r="G558" s="14">
        <v>0.06</v>
      </c>
      <c r="H558" s="10"/>
      <c r="I558" s="10"/>
    </row>
    <row r="559" spans="1:9">
      <c r="A559" s="10" t="s">
        <v>1193</v>
      </c>
      <c r="B559" s="124" t="s">
        <v>561</v>
      </c>
      <c r="C559" s="124" t="s">
        <v>479</v>
      </c>
      <c r="D559" s="12">
        <v>100000000</v>
      </c>
      <c r="E559" s="82">
        <v>0.99563557879999998</v>
      </c>
      <c r="F559" s="14">
        <v>99563557.879999995</v>
      </c>
      <c r="G559" s="14">
        <v>0.12</v>
      </c>
      <c r="H559" s="10"/>
      <c r="I559" s="10"/>
    </row>
    <row r="560" spans="1:9">
      <c r="A560" s="10" t="s">
        <v>1194</v>
      </c>
      <c r="B560" s="124" t="s">
        <v>561</v>
      </c>
      <c r="C560" s="124" t="s">
        <v>479</v>
      </c>
      <c r="D560" s="12">
        <v>100000000</v>
      </c>
      <c r="E560" s="82">
        <v>0.99563557879999998</v>
      </c>
      <c r="F560" s="14">
        <v>99563557.879999995</v>
      </c>
      <c r="G560" s="14">
        <v>0.12</v>
      </c>
      <c r="H560" s="10"/>
      <c r="I560" s="10"/>
    </row>
    <row r="561" spans="1:9">
      <c r="A561" s="10" t="s">
        <v>1195</v>
      </c>
      <c r="B561" s="124" t="s">
        <v>561</v>
      </c>
      <c r="C561" s="124" t="s">
        <v>479</v>
      </c>
      <c r="D561" s="12">
        <v>100000000</v>
      </c>
      <c r="E561" s="82">
        <v>0.99563557879999998</v>
      </c>
      <c r="F561" s="14">
        <v>99563557.879999995</v>
      </c>
      <c r="G561" s="14">
        <v>0.12</v>
      </c>
      <c r="H561" s="10"/>
      <c r="I561" s="10"/>
    </row>
    <row r="562" spans="1:9">
      <c r="A562" s="10" t="s">
        <v>1196</v>
      </c>
      <c r="B562" s="124" t="s">
        <v>627</v>
      </c>
      <c r="C562" s="124" t="s">
        <v>479</v>
      </c>
      <c r="D562" s="12">
        <v>2170000</v>
      </c>
      <c r="E562" s="82">
        <v>0.94854473260000005</v>
      </c>
      <c r="F562" s="14">
        <v>2058342.07</v>
      </c>
      <c r="G562" s="12">
        <v>0</v>
      </c>
      <c r="H562" s="10"/>
      <c r="I562" s="10"/>
    </row>
    <row r="563" spans="1:9">
      <c r="A563" s="10" t="s">
        <v>1197</v>
      </c>
      <c r="B563" s="124" t="s">
        <v>657</v>
      </c>
      <c r="C563" s="124" t="s">
        <v>479</v>
      </c>
      <c r="D563" s="12">
        <v>2170000</v>
      </c>
      <c r="E563" s="157">
        <v>0.946920663</v>
      </c>
      <c r="F563" s="14">
        <v>2054817.84</v>
      </c>
      <c r="G563" s="12">
        <v>0</v>
      </c>
      <c r="H563" s="10"/>
      <c r="I563" s="10"/>
    </row>
    <row r="564" spans="1:9">
      <c r="A564" s="10" t="s">
        <v>1198</v>
      </c>
      <c r="B564" s="124" t="s">
        <v>670</v>
      </c>
      <c r="C564" s="124" t="s">
        <v>479</v>
      </c>
      <c r="D564" s="12">
        <v>2260000</v>
      </c>
      <c r="E564" s="157">
        <v>0.94208137599999997</v>
      </c>
      <c r="F564" s="14">
        <v>2129103.91</v>
      </c>
      <c r="G564" s="12">
        <v>0</v>
      </c>
      <c r="H564" s="10"/>
      <c r="I564" s="10"/>
    </row>
    <row r="565" spans="1:9">
      <c r="A565" s="10" t="s">
        <v>1199</v>
      </c>
      <c r="B565" s="124" t="s">
        <v>634</v>
      </c>
      <c r="C565" s="124" t="s">
        <v>479</v>
      </c>
      <c r="D565" s="12">
        <v>2170000</v>
      </c>
      <c r="E565" s="82">
        <v>0.96847812450000004</v>
      </c>
      <c r="F565" s="14">
        <v>2101597.5299999998</v>
      </c>
      <c r="G565" s="12">
        <v>0</v>
      </c>
      <c r="H565" s="10"/>
      <c r="I565" s="10"/>
    </row>
    <row r="566" spans="1:9">
      <c r="A566" s="10" t="s">
        <v>1200</v>
      </c>
      <c r="B566" s="124" t="s">
        <v>552</v>
      </c>
      <c r="C566" s="124" t="s">
        <v>479</v>
      </c>
      <c r="D566" s="12">
        <v>2170000</v>
      </c>
      <c r="E566" s="82">
        <v>0.96425652120000005</v>
      </c>
      <c r="F566" s="14">
        <v>2092436.65</v>
      </c>
      <c r="G566" s="12">
        <v>0</v>
      </c>
      <c r="H566" s="10"/>
      <c r="I566" s="10"/>
    </row>
    <row r="567" spans="1:9">
      <c r="A567" s="10" t="s">
        <v>1201</v>
      </c>
      <c r="B567" s="124" t="s">
        <v>513</v>
      </c>
      <c r="C567" s="124" t="s">
        <v>479</v>
      </c>
      <c r="D567" s="12">
        <v>2170000</v>
      </c>
      <c r="E567" s="82">
        <v>0.98398668680000001</v>
      </c>
      <c r="F567" s="14">
        <v>2135251.11</v>
      </c>
      <c r="G567" s="12">
        <v>0</v>
      </c>
      <c r="H567" s="10"/>
      <c r="I567" s="10"/>
    </row>
    <row r="568" spans="1:9">
      <c r="A568" s="10" t="s">
        <v>1202</v>
      </c>
      <c r="B568" s="124" t="s">
        <v>415</v>
      </c>
      <c r="C568" s="124" t="s">
        <v>479</v>
      </c>
      <c r="D568" s="12">
        <v>2170000</v>
      </c>
      <c r="E568" s="82">
        <v>0.98311206470000001</v>
      </c>
      <c r="F568" s="14">
        <v>2133353.1800000002</v>
      </c>
      <c r="G568" s="12">
        <v>0</v>
      </c>
      <c r="H568" s="10"/>
      <c r="I568" s="10"/>
    </row>
    <row r="569" spans="1:9">
      <c r="A569" s="10" t="s">
        <v>1203</v>
      </c>
      <c r="B569" s="124" t="s">
        <v>510</v>
      </c>
      <c r="C569" s="124" t="s">
        <v>479</v>
      </c>
      <c r="D569" s="12">
        <v>2170000</v>
      </c>
      <c r="E569" s="82">
        <v>0.98136753919999997</v>
      </c>
      <c r="F569" s="14">
        <v>2129567.56</v>
      </c>
      <c r="G569" s="12">
        <v>0</v>
      </c>
      <c r="H569" s="10"/>
      <c r="I569" s="10"/>
    </row>
    <row r="570" spans="1:9">
      <c r="A570" s="10" t="s">
        <v>1204</v>
      </c>
      <c r="B570" s="124" t="s">
        <v>716</v>
      </c>
      <c r="C570" s="124" t="s">
        <v>479</v>
      </c>
      <c r="D570" s="12">
        <v>2170000</v>
      </c>
      <c r="E570" s="82">
        <v>0.9804975574</v>
      </c>
      <c r="F570" s="153">
        <v>2127679.7000000002</v>
      </c>
      <c r="G570" s="12">
        <v>0</v>
      </c>
      <c r="H570" s="10"/>
      <c r="I570" s="10"/>
    </row>
    <row r="571" spans="1:9">
      <c r="A571" s="10" t="s">
        <v>1205</v>
      </c>
      <c r="B571" s="124" t="s">
        <v>718</v>
      </c>
      <c r="C571" s="124" t="s">
        <v>479</v>
      </c>
      <c r="D571" s="12">
        <v>2170000</v>
      </c>
      <c r="E571" s="157">
        <v>0.97703309699999996</v>
      </c>
      <c r="F571" s="14">
        <v>2120161.8199999998</v>
      </c>
      <c r="G571" s="12">
        <v>0</v>
      </c>
      <c r="H571" s="10"/>
      <c r="I571" s="10"/>
    </row>
    <row r="572" spans="1:9">
      <c r="A572" s="10" t="s">
        <v>1206</v>
      </c>
      <c r="B572" s="124" t="s">
        <v>461</v>
      </c>
      <c r="C572" s="124" t="s">
        <v>479</v>
      </c>
      <c r="D572" s="12">
        <v>2170000</v>
      </c>
      <c r="E572" s="82">
        <v>0.97617076520000001</v>
      </c>
      <c r="F572" s="14">
        <v>2118290.56</v>
      </c>
      <c r="G572" s="12">
        <v>0</v>
      </c>
      <c r="H572" s="10"/>
      <c r="I572" s="10"/>
    </row>
    <row r="573" spans="1:9">
      <c r="A573" s="10" t="s">
        <v>1207</v>
      </c>
      <c r="B573" s="124" t="s">
        <v>610</v>
      </c>
      <c r="C573" s="124" t="s">
        <v>479</v>
      </c>
      <c r="D573" s="12">
        <v>2170000</v>
      </c>
      <c r="E573" s="82">
        <v>0.97445077889999998</v>
      </c>
      <c r="F573" s="14">
        <v>2114558.19</v>
      </c>
      <c r="G573" s="12">
        <v>0</v>
      </c>
      <c r="H573" s="10"/>
      <c r="I573" s="10"/>
    </row>
    <row r="574" spans="1:9">
      <c r="A574" s="10" t="s">
        <v>1208</v>
      </c>
      <c r="B574" s="124" t="s">
        <v>498</v>
      </c>
      <c r="C574" s="124" t="s">
        <v>479</v>
      </c>
      <c r="D574" s="12">
        <v>2170000</v>
      </c>
      <c r="E574" s="82">
        <v>0.97188209640000001</v>
      </c>
      <c r="F574" s="14">
        <v>2108984.15</v>
      </c>
      <c r="G574" s="12">
        <v>0</v>
      </c>
      <c r="H574" s="10"/>
      <c r="I574" s="10"/>
    </row>
    <row r="575" spans="1:9">
      <c r="A575" s="10" t="s">
        <v>1209</v>
      </c>
      <c r="B575" s="124" t="s">
        <v>810</v>
      </c>
      <c r="C575" s="124" t="s">
        <v>479</v>
      </c>
      <c r="D575" s="12">
        <v>2170000</v>
      </c>
      <c r="E575" s="82">
        <v>0.9710288292</v>
      </c>
      <c r="F575" s="14">
        <v>2107132.56</v>
      </c>
      <c r="G575" s="12">
        <v>0</v>
      </c>
      <c r="H575" s="10"/>
      <c r="I575" s="10"/>
    </row>
    <row r="576" spans="1:9">
      <c r="A576" s="10" t="s">
        <v>1210</v>
      </c>
      <c r="B576" s="124" t="s">
        <v>587</v>
      </c>
      <c r="C576" s="124" t="s">
        <v>479</v>
      </c>
      <c r="D576" s="12">
        <v>2170000</v>
      </c>
      <c r="E576" s="82">
        <v>0.95262960320000001</v>
      </c>
      <c r="F576" s="14">
        <v>2067206.24</v>
      </c>
      <c r="G576" s="12">
        <v>0</v>
      </c>
      <c r="H576" s="10"/>
      <c r="I576" s="10"/>
    </row>
    <row r="577" spans="1:9">
      <c r="A577" s="10" t="s">
        <v>1211</v>
      </c>
      <c r="B577" s="124" t="s">
        <v>762</v>
      </c>
      <c r="C577" s="124" t="s">
        <v>479</v>
      </c>
      <c r="D577" s="12">
        <v>2170000</v>
      </c>
      <c r="E577" s="82">
        <v>0.94773193619999996</v>
      </c>
      <c r="F577" s="153">
        <v>2056578.3</v>
      </c>
      <c r="G577" s="12">
        <v>0</v>
      </c>
      <c r="H577" s="10"/>
      <c r="I577" s="10"/>
    </row>
    <row r="578" spans="1:9">
      <c r="A578" s="10" t="s">
        <v>1212</v>
      </c>
      <c r="B578" s="124" t="s">
        <v>743</v>
      </c>
      <c r="C578" s="124" t="s">
        <v>479</v>
      </c>
      <c r="D578" s="12">
        <v>2170000</v>
      </c>
      <c r="E578" s="82">
        <v>0.9428844971</v>
      </c>
      <c r="F578" s="14">
        <v>2046059.36</v>
      </c>
      <c r="G578" s="12">
        <v>0</v>
      </c>
      <c r="H578" s="10"/>
      <c r="I578" s="10"/>
    </row>
    <row r="579" spans="1:9">
      <c r="A579" s="10" t="s">
        <v>1213</v>
      </c>
      <c r="B579" s="124" t="s">
        <v>682</v>
      </c>
      <c r="C579" s="124" t="s">
        <v>479</v>
      </c>
      <c r="D579" s="12">
        <v>2170000</v>
      </c>
      <c r="E579" s="82">
        <v>0.96932679249999998</v>
      </c>
      <c r="F579" s="14">
        <v>2103439.14</v>
      </c>
      <c r="G579" s="12">
        <v>0</v>
      </c>
      <c r="H579" s="10"/>
      <c r="I579" s="10"/>
    </row>
    <row r="580" spans="1:9">
      <c r="A580" s="10" t="s">
        <v>1214</v>
      </c>
      <c r="B580" s="124" t="s">
        <v>463</v>
      </c>
      <c r="C580" s="124" t="s">
        <v>479</v>
      </c>
      <c r="D580" s="12">
        <v>2170000</v>
      </c>
      <c r="E580" s="82">
        <v>0.98838312429999997</v>
      </c>
      <c r="F580" s="14">
        <v>2144791.38</v>
      </c>
      <c r="G580" s="12">
        <v>0</v>
      </c>
      <c r="H580" s="10"/>
      <c r="I580" s="10"/>
    </row>
    <row r="581" spans="1:9">
      <c r="A581" s="10" t="s">
        <v>1215</v>
      </c>
      <c r="B581" s="124" t="s">
        <v>456</v>
      </c>
      <c r="C581" s="124" t="s">
        <v>479</v>
      </c>
      <c r="D581" s="12">
        <v>2170000</v>
      </c>
      <c r="E581" s="157">
        <v>0.98750072799999999</v>
      </c>
      <c r="F581" s="14">
        <v>2142876.58</v>
      </c>
      <c r="G581" s="12">
        <v>0</v>
      </c>
      <c r="H581" s="10"/>
      <c r="I581" s="10"/>
    </row>
    <row r="582" spans="1:9">
      <c r="A582" s="10" t="s">
        <v>1216</v>
      </c>
      <c r="B582" s="124" t="s">
        <v>459</v>
      </c>
      <c r="C582" s="124" t="s">
        <v>479</v>
      </c>
      <c r="D582" s="12">
        <v>2170000</v>
      </c>
      <c r="E582" s="82">
        <v>0.98223898620000005</v>
      </c>
      <c r="F582" s="153">
        <v>2131458.6</v>
      </c>
      <c r="G582" s="12">
        <v>0</v>
      </c>
      <c r="H582" s="10"/>
      <c r="I582" s="10"/>
    </row>
    <row r="583" spans="1:9">
      <c r="A583" s="10" t="s">
        <v>1217</v>
      </c>
      <c r="B583" s="124" t="s">
        <v>573</v>
      </c>
      <c r="C583" s="124" t="s">
        <v>479</v>
      </c>
      <c r="D583" s="12">
        <v>2170000</v>
      </c>
      <c r="E583" s="82">
        <v>0.9534508384</v>
      </c>
      <c r="F583" s="14">
        <v>2068988.32</v>
      </c>
      <c r="G583" s="12">
        <v>0</v>
      </c>
      <c r="H583" s="10"/>
      <c r="I583" s="10"/>
    </row>
    <row r="584" spans="1:9">
      <c r="A584" s="10" t="s">
        <v>1218</v>
      </c>
      <c r="B584" s="124" t="s">
        <v>559</v>
      </c>
      <c r="C584" s="124" t="s">
        <v>479</v>
      </c>
      <c r="D584" s="12">
        <v>2170000</v>
      </c>
      <c r="E584" s="157">
        <v>0.97530996299999995</v>
      </c>
      <c r="F584" s="14">
        <v>2116422.62</v>
      </c>
      <c r="G584" s="12">
        <v>0</v>
      </c>
      <c r="H584" s="10"/>
      <c r="I584" s="10"/>
    </row>
    <row r="585" spans="1:9">
      <c r="A585" s="10" t="s">
        <v>1219</v>
      </c>
      <c r="B585" s="124" t="s">
        <v>578</v>
      </c>
      <c r="C585" s="124" t="s">
        <v>479</v>
      </c>
      <c r="D585" s="14">
        <v>18999660.98</v>
      </c>
      <c r="E585" s="157">
        <v>0.99476725399999999</v>
      </c>
      <c r="F585" s="14">
        <v>18900240.579999998</v>
      </c>
      <c r="G585" s="14">
        <v>0.02</v>
      </c>
      <c r="H585" s="10"/>
      <c r="I585" s="10"/>
    </row>
    <row r="586" spans="1:9">
      <c r="A586" s="10" t="s">
        <v>1220</v>
      </c>
      <c r="B586" s="124" t="s">
        <v>578</v>
      </c>
      <c r="C586" s="124" t="s">
        <v>479</v>
      </c>
      <c r="D586" s="14">
        <v>1650365.38</v>
      </c>
      <c r="E586" s="82">
        <v>0.99476725580000003</v>
      </c>
      <c r="F586" s="14">
        <v>1641729.44</v>
      </c>
      <c r="G586" s="12">
        <v>0</v>
      </c>
      <c r="H586" s="10"/>
      <c r="I586" s="10"/>
    </row>
    <row r="587" spans="1:9">
      <c r="A587" s="10" t="s">
        <v>1223</v>
      </c>
      <c r="B587" s="124" t="s">
        <v>255</v>
      </c>
      <c r="C587" s="124" t="s">
        <v>331</v>
      </c>
      <c r="D587" s="12">
        <v>15000000</v>
      </c>
      <c r="E587" s="82">
        <v>0.94120683530000004</v>
      </c>
      <c r="F587" s="14">
        <v>14118102.529999999</v>
      </c>
      <c r="G587" s="14">
        <v>0.02</v>
      </c>
      <c r="H587" s="10"/>
      <c r="I587" s="10"/>
    </row>
    <row r="588" spans="1:9">
      <c r="A588" s="10" t="s">
        <v>1224</v>
      </c>
      <c r="B588" s="124" t="s">
        <v>463</v>
      </c>
      <c r="C588" s="124" t="s">
        <v>331</v>
      </c>
      <c r="D588" s="14">
        <v>14627728.42</v>
      </c>
      <c r="E588" s="82">
        <v>0.98873119720000002</v>
      </c>
      <c r="F588" s="14">
        <v>14462891.43</v>
      </c>
      <c r="G588" s="14">
        <v>0.02</v>
      </c>
      <c r="H588" s="10"/>
      <c r="I588" s="10"/>
    </row>
    <row r="589" spans="1:9">
      <c r="A589" s="10" t="s">
        <v>1225</v>
      </c>
      <c r="B589" s="124" t="s">
        <v>456</v>
      </c>
      <c r="C589" s="124" t="s">
        <v>331</v>
      </c>
      <c r="D589" s="12">
        <v>5400000</v>
      </c>
      <c r="E589" s="82">
        <v>0.98712679989999996</v>
      </c>
      <c r="F589" s="14">
        <v>5330484.72</v>
      </c>
      <c r="G589" s="14">
        <v>0.01</v>
      </c>
      <c r="H589" s="10"/>
      <c r="I589" s="10"/>
    </row>
    <row r="590" spans="1:9">
      <c r="A590" s="10" t="s">
        <v>1226</v>
      </c>
      <c r="B590" s="124" t="s">
        <v>610</v>
      </c>
      <c r="C590" s="124" t="s">
        <v>331</v>
      </c>
      <c r="D590" s="12">
        <v>5400000</v>
      </c>
      <c r="E590" s="82">
        <v>0.97369685360000002</v>
      </c>
      <c r="F590" s="14">
        <v>5257963.01</v>
      </c>
      <c r="G590" s="14">
        <v>0.01</v>
      </c>
      <c r="H590" s="10"/>
      <c r="I590" s="10"/>
    </row>
    <row r="591" spans="1:9">
      <c r="A591" s="10" t="s">
        <v>1227</v>
      </c>
      <c r="B591" s="124" t="s">
        <v>513</v>
      </c>
      <c r="C591" s="124" t="s">
        <v>331</v>
      </c>
      <c r="D591" s="12">
        <v>30000000</v>
      </c>
      <c r="E591" s="82">
        <v>0.98446434920000003</v>
      </c>
      <c r="F591" s="14">
        <v>29533930.48</v>
      </c>
      <c r="G591" s="14">
        <v>0.04</v>
      </c>
      <c r="H591" s="10"/>
      <c r="I591" s="10"/>
    </row>
    <row r="592" spans="1:9">
      <c r="A592" s="10" t="s">
        <v>1228</v>
      </c>
      <c r="B592" s="124" t="s">
        <v>505</v>
      </c>
      <c r="C592" s="124" t="s">
        <v>331</v>
      </c>
      <c r="D592" s="14">
        <v>3625698.78</v>
      </c>
      <c r="E592" s="82">
        <v>0.9931432362</v>
      </c>
      <c r="F592" s="14">
        <v>3600838.22</v>
      </c>
      <c r="G592" s="12">
        <v>0</v>
      </c>
      <c r="H592" s="10"/>
      <c r="I592" s="10"/>
    </row>
    <row r="593" spans="1:9">
      <c r="A593" s="10" t="s">
        <v>1229</v>
      </c>
      <c r="B593" s="124" t="s">
        <v>692</v>
      </c>
      <c r="C593" s="124" t="s">
        <v>331</v>
      </c>
      <c r="D593" s="14">
        <v>3625698.78</v>
      </c>
      <c r="E593" s="82">
        <v>0.98926712829999996</v>
      </c>
      <c r="F593" s="14">
        <v>3586784.62</v>
      </c>
      <c r="G593" s="12">
        <v>0</v>
      </c>
      <c r="H593" s="10"/>
      <c r="I593" s="10"/>
    </row>
    <row r="594" spans="1:9">
      <c r="A594" s="10" t="s">
        <v>1230</v>
      </c>
      <c r="B594" s="124" t="s">
        <v>463</v>
      </c>
      <c r="C594" s="124" t="s">
        <v>331</v>
      </c>
      <c r="D594" s="14">
        <v>3625698.78</v>
      </c>
      <c r="E594" s="82">
        <v>0.98734042649999998</v>
      </c>
      <c r="F594" s="14">
        <v>3579798.98</v>
      </c>
      <c r="G594" s="12">
        <v>0</v>
      </c>
      <c r="H594" s="10"/>
      <c r="I594" s="10"/>
    </row>
    <row r="595" spans="1:9">
      <c r="A595" s="10" t="s">
        <v>1231</v>
      </c>
      <c r="B595" s="124" t="s">
        <v>556</v>
      </c>
      <c r="C595" s="124" t="s">
        <v>331</v>
      </c>
      <c r="D595" s="12">
        <v>2954385</v>
      </c>
      <c r="E595" s="157">
        <v>0.95931457499999995</v>
      </c>
      <c r="F595" s="14">
        <v>2834184.59</v>
      </c>
      <c r="G595" s="12">
        <v>0</v>
      </c>
      <c r="H595" s="10"/>
      <c r="I595" s="10"/>
    </row>
    <row r="596" spans="1:9">
      <c r="A596" s="10" t="s">
        <v>1232</v>
      </c>
      <c r="B596" s="124" t="s">
        <v>456</v>
      </c>
      <c r="C596" s="124" t="s">
        <v>331</v>
      </c>
      <c r="D596" s="14">
        <v>3625698.78</v>
      </c>
      <c r="E596" s="82">
        <v>0.98637986129999999</v>
      </c>
      <c r="F596" s="14">
        <v>3576316.26</v>
      </c>
      <c r="G596" s="12">
        <v>0</v>
      </c>
      <c r="H596" s="10"/>
      <c r="I596" s="10"/>
    </row>
    <row r="597" spans="1:9">
      <c r="A597" s="10" t="s">
        <v>1233</v>
      </c>
      <c r="B597" s="124" t="s">
        <v>625</v>
      </c>
      <c r="C597" s="124" t="s">
        <v>331</v>
      </c>
      <c r="D597" s="14">
        <v>3625698.78</v>
      </c>
      <c r="E597" s="82">
        <v>0.9990146754</v>
      </c>
      <c r="F597" s="14">
        <v>3622126.29</v>
      </c>
      <c r="G597" s="12">
        <v>0</v>
      </c>
      <c r="H597" s="10"/>
      <c r="I597" s="10"/>
    </row>
    <row r="598" spans="1:9">
      <c r="A598" s="10" t="s">
        <v>1234</v>
      </c>
      <c r="B598" s="124" t="s">
        <v>473</v>
      </c>
      <c r="C598" s="124" t="s">
        <v>331</v>
      </c>
      <c r="D598" s="14">
        <v>3625698.78</v>
      </c>
      <c r="E598" s="82">
        <v>0.99607031619999997</v>
      </c>
      <c r="F598" s="14">
        <v>3611450.93</v>
      </c>
      <c r="G598" s="12">
        <v>0</v>
      </c>
      <c r="H598" s="10"/>
      <c r="I598" s="10"/>
    </row>
    <row r="599" spans="1:9">
      <c r="A599" s="10" t="s">
        <v>1235</v>
      </c>
      <c r="B599" s="124" t="s">
        <v>561</v>
      </c>
      <c r="C599" s="124" t="s">
        <v>331</v>
      </c>
      <c r="D599" s="14">
        <v>3625698.78</v>
      </c>
      <c r="E599" s="82">
        <v>0.9950927115</v>
      </c>
      <c r="F599" s="14">
        <v>3607906.43</v>
      </c>
      <c r="G599" s="12">
        <v>0</v>
      </c>
      <c r="H599" s="10"/>
      <c r="I599" s="10"/>
    </row>
    <row r="600" spans="1:9">
      <c r="A600" s="10" t="s">
        <v>1236</v>
      </c>
      <c r="B600" s="124" t="s">
        <v>517</v>
      </c>
      <c r="C600" s="124" t="s">
        <v>331</v>
      </c>
      <c r="D600" s="14">
        <v>3625698.78</v>
      </c>
      <c r="E600" s="82">
        <v>0.98830287019999996</v>
      </c>
      <c r="F600" s="14">
        <v>3583288.51</v>
      </c>
      <c r="G600" s="12">
        <v>0</v>
      </c>
      <c r="H600" s="10"/>
      <c r="I600" s="10"/>
    </row>
    <row r="601" spans="1:9">
      <c r="A601" s="10" t="s">
        <v>1237</v>
      </c>
      <c r="B601" s="124" t="s">
        <v>667</v>
      </c>
      <c r="C601" s="124" t="s">
        <v>331</v>
      </c>
      <c r="D601" s="12">
        <v>2954385</v>
      </c>
      <c r="E601" s="82">
        <v>0.95389931559999996</v>
      </c>
      <c r="F601" s="14">
        <v>2818185.83</v>
      </c>
      <c r="G601" s="12">
        <v>0</v>
      </c>
      <c r="H601" s="10"/>
      <c r="I601" s="10"/>
    </row>
    <row r="602" spans="1:9">
      <c r="A602" s="10" t="s">
        <v>1242</v>
      </c>
      <c r="B602" s="124" t="s">
        <v>752</v>
      </c>
      <c r="C602" s="124" t="s">
        <v>410</v>
      </c>
      <c r="D602" s="12">
        <v>30000000</v>
      </c>
      <c r="E602" s="82">
        <v>0.96400191079999997</v>
      </c>
      <c r="F602" s="14">
        <v>28920057.32</v>
      </c>
      <c r="G602" s="14">
        <v>0.04</v>
      </c>
      <c r="H602" s="10"/>
      <c r="I602" s="10"/>
    </row>
    <row r="603" spans="1:9">
      <c r="A603" s="10" t="s">
        <v>1243</v>
      </c>
      <c r="B603" s="124" t="s">
        <v>578</v>
      </c>
      <c r="C603" s="124" t="s">
        <v>410</v>
      </c>
      <c r="D603" s="14">
        <v>695186.79</v>
      </c>
      <c r="E603" s="82">
        <v>0.99590722939999998</v>
      </c>
      <c r="F603" s="14">
        <v>692341.55</v>
      </c>
      <c r="G603" s="12">
        <v>0</v>
      </c>
      <c r="H603" s="10"/>
      <c r="I603" s="10"/>
    </row>
    <row r="604" spans="1:9">
      <c r="A604" s="10" t="s">
        <v>1244</v>
      </c>
      <c r="B604" s="124" t="s">
        <v>561</v>
      </c>
      <c r="C604" s="124" t="s">
        <v>410</v>
      </c>
      <c r="D604" s="12">
        <v>750000000</v>
      </c>
      <c r="E604" s="82">
        <v>0.99482149080000004</v>
      </c>
      <c r="F604" s="153">
        <v>746116118.10000002</v>
      </c>
      <c r="G604" s="14">
        <v>0.91</v>
      </c>
      <c r="H604" s="10"/>
      <c r="I604" s="10"/>
    </row>
    <row r="605" spans="1:9">
      <c r="A605" s="10" t="s">
        <v>1245</v>
      </c>
      <c r="B605" s="124" t="s">
        <v>632</v>
      </c>
      <c r="C605" s="124" t="s">
        <v>410</v>
      </c>
      <c r="D605" s="12">
        <v>50000000</v>
      </c>
      <c r="E605" s="82">
        <v>0.91204409829999999</v>
      </c>
      <c r="F605" s="14">
        <v>45602204.920000002</v>
      </c>
      <c r="G605" s="14">
        <v>0.06</v>
      </c>
      <c r="H605" s="10"/>
      <c r="I605" s="10"/>
    </row>
    <row r="606" spans="1:9">
      <c r="A606" s="10" t="s">
        <v>1246</v>
      </c>
      <c r="B606" s="124" t="s">
        <v>636</v>
      </c>
      <c r="C606" s="124" t="s">
        <v>410</v>
      </c>
      <c r="D606" s="12">
        <v>22500000</v>
      </c>
      <c r="E606" s="82">
        <v>0.95143770630000002</v>
      </c>
      <c r="F606" s="14">
        <v>21407348.390000001</v>
      </c>
      <c r="G606" s="14">
        <v>0.03</v>
      </c>
      <c r="H606" s="10"/>
      <c r="I606" s="10"/>
    </row>
    <row r="607" spans="1:9">
      <c r="A607" s="10" t="s">
        <v>1247</v>
      </c>
      <c r="B607" s="124" t="s">
        <v>625</v>
      </c>
      <c r="C607" s="124" t="s">
        <v>410</v>
      </c>
      <c r="D607" s="153">
        <v>13004266.5</v>
      </c>
      <c r="E607" s="82">
        <v>0.99923346769999999</v>
      </c>
      <c r="F607" s="14">
        <v>12994298.310000001</v>
      </c>
      <c r="G607" s="14">
        <v>0.02</v>
      </c>
      <c r="H607" s="10"/>
      <c r="I607" s="10"/>
    </row>
    <row r="608" spans="1:9">
      <c r="A608" s="10" t="s">
        <v>1248</v>
      </c>
      <c r="B608" s="124" t="s">
        <v>625</v>
      </c>
      <c r="C608" s="124" t="s">
        <v>410</v>
      </c>
      <c r="D608" s="14">
        <v>41120279.869999997</v>
      </c>
      <c r="E608" s="82">
        <v>0.99923346729999996</v>
      </c>
      <c r="F608" s="14">
        <v>41088759.829999998</v>
      </c>
      <c r="G608" s="14">
        <v>0.05</v>
      </c>
      <c r="H608" s="10"/>
      <c r="I608" s="10"/>
    </row>
    <row r="609" spans="1:9">
      <c r="A609" s="10" t="s">
        <v>1249</v>
      </c>
      <c r="B609" s="124" t="s">
        <v>625</v>
      </c>
      <c r="C609" s="124" t="s">
        <v>410</v>
      </c>
      <c r="D609" s="14">
        <v>41120279.880000003</v>
      </c>
      <c r="E609" s="82">
        <v>0.99923346729999996</v>
      </c>
      <c r="F609" s="14">
        <v>41088759.840000004</v>
      </c>
      <c r="G609" s="14">
        <v>0.05</v>
      </c>
      <c r="H609" s="10"/>
      <c r="I609" s="10"/>
    </row>
    <row r="610" spans="1:9">
      <c r="A610" s="10" t="s">
        <v>1250</v>
      </c>
      <c r="B610" s="124" t="s">
        <v>556</v>
      </c>
      <c r="C610" s="124" t="s">
        <v>162</v>
      </c>
      <c r="D610" s="12">
        <v>10000000</v>
      </c>
      <c r="E610" s="21">
        <v>0.96476625000000005</v>
      </c>
      <c r="F610" s="153">
        <v>9647662.5</v>
      </c>
      <c r="G610" s="14">
        <v>0.01</v>
      </c>
      <c r="H610" s="10"/>
      <c r="I610" s="10"/>
    </row>
    <row r="611" spans="1:9">
      <c r="A611" s="10" t="s">
        <v>1251</v>
      </c>
      <c r="B611" s="124" t="s">
        <v>925</v>
      </c>
      <c r="C611" s="124" t="s">
        <v>162</v>
      </c>
      <c r="D611" s="12">
        <v>10000000</v>
      </c>
      <c r="E611" s="82">
        <v>0.9624005283</v>
      </c>
      <c r="F611" s="14">
        <v>9624005.2799999993</v>
      </c>
      <c r="G611" s="14">
        <v>0.01</v>
      </c>
      <c r="H611" s="10"/>
      <c r="I611" s="10"/>
    </row>
    <row r="612" spans="1:9">
      <c r="A612" s="10" t="s">
        <v>1252</v>
      </c>
      <c r="B612" s="124" t="s">
        <v>752</v>
      </c>
      <c r="C612" s="124" t="s">
        <v>162</v>
      </c>
      <c r="D612" s="12">
        <v>10000000</v>
      </c>
      <c r="E612" s="82">
        <v>0.96161448819999995</v>
      </c>
      <c r="F612" s="14">
        <v>9616144.8800000008</v>
      </c>
      <c r="G612" s="14">
        <v>0.01</v>
      </c>
      <c r="H612" s="10"/>
      <c r="I612" s="10"/>
    </row>
    <row r="613" spans="1:9">
      <c r="A613" s="10" t="s">
        <v>1253</v>
      </c>
      <c r="B613" s="124" t="s">
        <v>461</v>
      </c>
      <c r="C613" s="124" t="s">
        <v>162</v>
      </c>
      <c r="D613" s="14">
        <v>3841101.28</v>
      </c>
      <c r="E613" s="82">
        <v>0.97476306089999998</v>
      </c>
      <c r="F613" s="14">
        <v>3744163.64</v>
      </c>
      <c r="G613" s="12">
        <v>0</v>
      </c>
      <c r="H613" s="10"/>
      <c r="I613" s="10"/>
    </row>
    <row r="614" spans="1:9">
      <c r="A614" s="10" t="s">
        <v>1254</v>
      </c>
      <c r="B614" s="124" t="s">
        <v>559</v>
      </c>
      <c r="C614" s="124" t="s">
        <v>162</v>
      </c>
      <c r="D614" s="14">
        <v>3841101.28</v>
      </c>
      <c r="E614" s="82">
        <v>0.97385277240000001</v>
      </c>
      <c r="F614" s="14">
        <v>3740667.13</v>
      </c>
      <c r="G614" s="12">
        <v>0</v>
      </c>
      <c r="H614" s="10"/>
      <c r="I614" s="10"/>
    </row>
    <row r="615" spans="1:9">
      <c r="A615" s="10" t="s">
        <v>1255</v>
      </c>
      <c r="B615" s="124" t="s">
        <v>610</v>
      </c>
      <c r="C615" s="124" t="s">
        <v>162</v>
      </c>
      <c r="D615" s="14">
        <v>3841101.28</v>
      </c>
      <c r="E615" s="82">
        <v>0.97294418120000004</v>
      </c>
      <c r="F615" s="14">
        <v>3737177.14</v>
      </c>
      <c r="G615" s="12">
        <v>0</v>
      </c>
      <c r="H615" s="10"/>
      <c r="I615" s="10"/>
    </row>
    <row r="616" spans="1:9">
      <c r="A616" s="10" t="s">
        <v>1256</v>
      </c>
      <c r="B616" s="124" t="s">
        <v>513</v>
      </c>
      <c r="C616" s="124" t="s">
        <v>162</v>
      </c>
      <c r="D616" s="14">
        <v>3625698.78</v>
      </c>
      <c r="E616" s="157">
        <v>0.98303260299999995</v>
      </c>
      <c r="F616" s="14">
        <v>3564180.11</v>
      </c>
      <c r="G616" s="12">
        <v>0</v>
      </c>
      <c r="H616" s="10"/>
      <c r="I616" s="10"/>
    </row>
    <row r="617" spans="1:9">
      <c r="A617" s="10" t="s">
        <v>1257</v>
      </c>
      <c r="B617" s="124" t="s">
        <v>415</v>
      </c>
      <c r="C617" s="124" t="s">
        <v>162</v>
      </c>
      <c r="D617" s="14">
        <v>3625698.78</v>
      </c>
      <c r="E617" s="82">
        <v>0.9821068973</v>
      </c>
      <c r="F617" s="14">
        <v>3560823.78</v>
      </c>
      <c r="G617" s="12">
        <v>0</v>
      </c>
      <c r="H617" s="10"/>
      <c r="I617" s="10"/>
    </row>
    <row r="618" spans="1:9">
      <c r="A618" s="10" t="s">
        <v>1258</v>
      </c>
      <c r="B618" s="124" t="s">
        <v>716</v>
      </c>
      <c r="C618" s="124" t="s">
        <v>162</v>
      </c>
      <c r="D618" s="14">
        <v>3625698.78</v>
      </c>
      <c r="E618" s="82">
        <v>0.97933995230000004</v>
      </c>
      <c r="F618" s="14">
        <v>3550791.67</v>
      </c>
      <c r="G618" s="12">
        <v>0</v>
      </c>
      <c r="H618" s="10"/>
      <c r="I618" s="10"/>
    </row>
    <row r="619" spans="1:9">
      <c r="A619" s="10" t="s">
        <v>1259</v>
      </c>
      <c r="B619" s="124" t="s">
        <v>718</v>
      </c>
      <c r="C619" s="124" t="s">
        <v>162</v>
      </c>
      <c r="D619" s="14">
        <v>3625698.78</v>
      </c>
      <c r="E619" s="82">
        <v>0.97567505629999995</v>
      </c>
      <c r="F619" s="14">
        <v>3537503.86</v>
      </c>
      <c r="G619" s="12">
        <v>0</v>
      </c>
      <c r="H619" s="10"/>
      <c r="I619" s="10"/>
    </row>
    <row r="620" spans="1:9">
      <c r="A620" s="10" t="s">
        <v>1260</v>
      </c>
      <c r="B620" s="124" t="s">
        <v>510</v>
      </c>
      <c r="C620" s="124" t="s">
        <v>162</v>
      </c>
      <c r="D620" s="14">
        <v>3625698.78</v>
      </c>
      <c r="E620" s="82">
        <v>0.9802605419</v>
      </c>
      <c r="F620" s="14">
        <v>3554129.45</v>
      </c>
      <c r="G620" s="12">
        <v>0</v>
      </c>
      <c r="H620" s="10"/>
      <c r="I620" s="10"/>
    </row>
    <row r="621" spans="1:9">
      <c r="A621" s="10" t="s">
        <v>1261</v>
      </c>
      <c r="B621" s="124" t="s">
        <v>645</v>
      </c>
      <c r="C621" s="124" t="s">
        <v>162</v>
      </c>
      <c r="D621" s="12">
        <v>20000000</v>
      </c>
      <c r="E621" s="82">
        <v>0.96842673450000005</v>
      </c>
      <c r="F621" s="14">
        <v>19368534.690000001</v>
      </c>
      <c r="G621" s="14">
        <v>0.02</v>
      </c>
      <c r="H621" s="10"/>
      <c r="I621" s="10"/>
    </row>
    <row r="622" spans="1:9">
      <c r="A622" s="10" t="s">
        <v>1262</v>
      </c>
      <c r="B622" s="124" t="s">
        <v>692</v>
      </c>
      <c r="C622" s="124" t="s">
        <v>162</v>
      </c>
      <c r="D622" s="12">
        <v>1300000</v>
      </c>
      <c r="E622" s="82">
        <v>0.99015273829999995</v>
      </c>
      <c r="F622" s="14">
        <v>1287198.56</v>
      </c>
      <c r="G622" s="12">
        <v>0</v>
      </c>
      <c r="H622" s="10"/>
      <c r="I622" s="10"/>
    </row>
    <row r="623" spans="1:9">
      <c r="A623" s="10" t="s">
        <v>1263</v>
      </c>
      <c r="B623" s="124" t="s">
        <v>578</v>
      </c>
      <c r="C623" s="124" t="s">
        <v>162</v>
      </c>
      <c r="D623" s="12">
        <v>1300000</v>
      </c>
      <c r="E623" s="82">
        <v>0.99460463079999994</v>
      </c>
      <c r="F623" s="14">
        <v>1292986.02</v>
      </c>
      <c r="G623" s="12">
        <v>0</v>
      </c>
      <c r="H623" s="10"/>
      <c r="I623" s="10"/>
    </row>
    <row r="624" spans="1:9">
      <c r="A624" s="10" t="s">
        <v>1264</v>
      </c>
      <c r="B624" s="124" t="s">
        <v>463</v>
      </c>
      <c r="C624" s="124" t="s">
        <v>162</v>
      </c>
      <c r="D624" s="12">
        <v>1300000</v>
      </c>
      <c r="E624" s="82">
        <v>0.98838314620000001</v>
      </c>
      <c r="F624" s="14">
        <v>1284898.0900000001</v>
      </c>
      <c r="G624" s="12">
        <v>0</v>
      </c>
      <c r="H624" s="10"/>
      <c r="I624" s="10"/>
    </row>
    <row r="625" spans="1:9">
      <c r="A625" s="10" t="s">
        <v>1265</v>
      </c>
      <c r="B625" s="124" t="s">
        <v>517</v>
      </c>
      <c r="C625" s="124" t="s">
        <v>162</v>
      </c>
      <c r="D625" s="12">
        <v>1300000</v>
      </c>
      <c r="E625" s="82">
        <v>0.98926717679999998</v>
      </c>
      <c r="F625" s="14">
        <v>1286047.33</v>
      </c>
      <c r="G625" s="12">
        <v>0</v>
      </c>
      <c r="H625" s="10"/>
      <c r="I625" s="10"/>
    </row>
    <row r="626" spans="1:9">
      <c r="A626" s="10" t="s">
        <v>1266</v>
      </c>
      <c r="B626" s="124" t="s">
        <v>578</v>
      </c>
      <c r="C626" s="124" t="s">
        <v>162</v>
      </c>
      <c r="D626" s="12">
        <v>1300000</v>
      </c>
      <c r="E626" s="82">
        <v>0.99460463079999994</v>
      </c>
      <c r="F626" s="14">
        <v>1292986.02</v>
      </c>
      <c r="G626" s="12">
        <v>0</v>
      </c>
      <c r="H626" s="10"/>
      <c r="I626" s="10"/>
    </row>
    <row r="627" spans="1:9">
      <c r="A627" s="10" t="s">
        <v>1267</v>
      </c>
      <c r="B627" s="124" t="s">
        <v>505</v>
      </c>
      <c r="C627" s="124" t="s">
        <v>162</v>
      </c>
      <c r="D627" s="12">
        <v>1300000</v>
      </c>
      <c r="E627" s="82">
        <v>0.99371103839999997</v>
      </c>
      <c r="F627" s="14">
        <v>1291824.3500000001</v>
      </c>
      <c r="G627" s="12">
        <v>0</v>
      </c>
      <c r="H627" s="10"/>
      <c r="I627" s="10"/>
    </row>
    <row r="628" spans="1:9">
      <c r="A628" s="10" t="s">
        <v>1268</v>
      </c>
      <c r="B628" s="124" t="s">
        <v>682</v>
      </c>
      <c r="C628" s="124" t="s">
        <v>162</v>
      </c>
      <c r="D628" s="12">
        <v>10000000</v>
      </c>
      <c r="E628" s="82">
        <v>0.97022866139999997</v>
      </c>
      <c r="F628" s="14">
        <v>9702286.6099999994</v>
      </c>
      <c r="G628" s="14">
        <v>0.01</v>
      </c>
      <c r="H628" s="10"/>
      <c r="I628" s="10"/>
    </row>
    <row r="629" spans="1:9">
      <c r="A629" s="10" t="s">
        <v>1269</v>
      </c>
      <c r="B629" s="124" t="s">
        <v>505</v>
      </c>
      <c r="C629" s="124" t="s">
        <v>162</v>
      </c>
      <c r="D629" s="12">
        <v>10000000</v>
      </c>
      <c r="E629" s="157">
        <v>0.99390045400000004</v>
      </c>
      <c r="F629" s="14">
        <v>9939004.5399999991</v>
      </c>
      <c r="G629" s="14">
        <v>0.01</v>
      </c>
      <c r="H629" s="10"/>
      <c r="I629" s="10"/>
    </row>
    <row r="630" spans="1:9">
      <c r="A630" s="10" t="s">
        <v>1270</v>
      </c>
      <c r="B630" s="124" t="s">
        <v>456</v>
      </c>
      <c r="C630" s="124" t="s">
        <v>162</v>
      </c>
      <c r="D630" s="12">
        <v>10000000</v>
      </c>
      <c r="E630" s="82">
        <v>0.9878748691</v>
      </c>
      <c r="F630" s="14">
        <v>9878748.6899999995</v>
      </c>
      <c r="G630" s="14">
        <v>0.01</v>
      </c>
      <c r="H630" s="10"/>
      <c r="I630" s="10"/>
    </row>
    <row r="631" spans="1:9">
      <c r="A631" s="10" t="s">
        <v>1271</v>
      </c>
      <c r="B631" s="124" t="s">
        <v>513</v>
      </c>
      <c r="C631" s="124" t="s">
        <v>162</v>
      </c>
      <c r="D631" s="12">
        <v>10000000</v>
      </c>
      <c r="E631" s="82">
        <v>0.9844643569</v>
      </c>
      <c r="F631" s="14">
        <v>9844643.5700000003</v>
      </c>
      <c r="G631" s="14">
        <v>0.01</v>
      </c>
      <c r="H631" s="10"/>
      <c r="I631" s="10"/>
    </row>
    <row r="632" spans="1:9">
      <c r="A632" s="10" t="s">
        <v>1272</v>
      </c>
      <c r="B632" s="124" t="s">
        <v>459</v>
      </c>
      <c r="C632" s="124" t="s">
        <v>162</v>
      </c>
      <c r="D632" s="12">
        <v>10000000</v>
      </c>
      <c r="E632" s="157">
        <v>0.982767956</v>
      </c>
      <c r="F632" s="14">
        <v>9827679.5600000005</v>
      </c>
      <c r="G632" s="14">
        <v>0.01</v>
      </c>
      <c r="H632" s="10"/>
      <c r="I632" s="10"/>
    </row>
    <row r="633" spans="1:9">
      <c r="A633" s="10" t="s">
        <v>1273</v>
      </c>
      <c r="B633" s="124" t="s">
        <v>716</v>
      </c>
      <c r="C633" s="124" t="s">
        <v>162</v>
      </c>
      <c r="D633" s="12">
        <v>10000000</v>
      </c>
      <c r="E633" s="82">
        <v>0.98107731109999996</v>
      </c>
      <c r="F633" s="14">
        <v>9810773.1099999994</v>
      </c>
      <c r="G633" s="14">
        <v>0.01</v>
      </c>
      <c r="H633" s="10"/>
      <c r="I633" s="10"/>
    </row>
    <row r="634" spans="1:9">
      <c r="A634" s="10" t="s">
        <v>1274</v>
      </c>
      <c r="B634" s="124" t="s">
        <v>461</v>
      </c>
      <c r="C634" s="124" t="s">
        <v>162</v>
      </c>
      <c r="D634" s="12">
        <v>10000000</v>
      </c>
      <c r="E634" s="82">
        <v>0.97687620590000002</v>
      </c>
      <c r="F634" s="14">
        <v>9768762.0600000005</v>
      </c>
      <c r="G634" s="14">
        <v>0.01</v>
      </c>
      <c r="H634" s="10"/>
      <c r="I634" s="10"/>
    </row>
    <row r="635" spans="1:9">
      <c r="A635" s="10" t="s">
        <v>1275</v>
      </c>
      <c r="B635" s="124" t="s">
        <v>559</v>
      </c>
      <c r="C635" s="124" t="s">
        <v>162</v>
      </c>
      <c r="D635" s="12">
        <v>10000000</v>
      </c>
      <c r="E635" s="82">
        <v>0.97604026209999994</v>
      </c>
      <c r="F635" s="14">
        <v>9760402.6199999992</v>
      </c>
      <c r="G635" s="14">
        <v>0.01</v>
      </c>
      <c r="H635" s="10"/>
      <c r="I635" s="10"/>
    </row>
    <row r="636" spans="1:9">
      <c r="A636" s="10" t="s">
        <v>1276</v>
      </c>
      <c r="B636" s="124" t="s">
        <v>463</v>
      </c>
      <c r="C636" s="124" t="s">
        <v>162</v>
      </c>
      <c r="D636" s="12">
        <v>10000000</v>
      </c>
      <c r="E636" s="82">
        <v>0.98873120410000004</v>
      </c>
      <c r="F636" s="14">
        <v>9887312.0399999991</v>
      </c>
      <c r="G636" s="14">
        <v>0.01</v>
      </c>
      <c r="H636" s="10"/>
      <c r="I636" s="10"/>
    </row>
    <row r="637" spans="1:9">
      <c r="A637" s="10" t="s">
        <v>1277</v>
      </c>
      <c r="B637" s="124" t="s">
        <v>625</v>
      </c>
      <c r="C637" s="124" t="s">
        <v>162</v>
      </c>
      <c r="D637" s="12">
        <v>10000000</v>
      </c>
      <c r="E637" s="21">
        <v>0.99912405999999998</v>
      </c>
      <c r="F637" s="153">
        <v>9991240.5999999996</v>
      </c>
      <c r="G637" s="14">
        <v>0.01</v>
      </c>
      <c r="H637" s="10"/>
      <c r="I637" s="10"/>
    </row>
    <row r="638" spans="1:9">
      <c r="A638" s="10" t="s">
        <v>1278</v>
      </c>
      <c r="B638" s="124" t="s">
        <v>561</v>
      </c>
      <c r="C638" s="124" t="s">
        <v>162</v>
      </c>
      <c r="D638" s="12">
        <v>10000000</v>
      </c>
      <c r="E638" s="157">
        <v>0.99563558900000004</v>
      </c>
      <c r="F638" s="14">
        <v>9956355.8900000006</v>
      </c>
      <c r="G638" s="14">
        <v>0.01</v>
      </c>
      <c r="H638" s="10"/>
      <c r="I638" s="10"/>
    </row>
    <row r="639" spans="1:9">
      <c r="A639" s="10" t="s">
        <v>1279</v>
      </c>
      <c r="B639" s="124" t="s">
        <v>657</v>
      </c>
      <c r="C639" s="124" t="s">
        <v>162</v>
      </c>
      <c r="D639" s="12">
        <v>10000000</v>
      </c>
      <c r="E639" s="82">
        <v>0.94844612579999998</v>
      </c>
      <c r="F639" s="14">
        <v>9484461.2599999998</v>
      </c>
      <c r="G639" s="14">
        <v>0.01</v>
      </c>
      <c r="H639" s="10"/>
      <c r="I639" s="10"/>
    </row>
    <row r="640" spans="1:9">
      <c r="A640" s="10" t="s">
        <v>1280</v>
      </c>
      <c r="B640" s="124" t="s">
        <v>610</v>
      </c>
      <c r="C640" s="124" t="s">
        <v>162</v>
      </c>
      <c r="D640" s="12">
        <v>10000000</v>
      </c>
      <c r="E640" s="157">
        <v>0.97520574500000001</v>
      </c>
      <c r="F640" s="14">
        <v>9752057.4499999993</v>
      </c>
      <c r="G640" s="14">
        <v>0.01</v>
      </c>
      <c r="H640" s="10"/>
      <c r="I640" s="10"/>
    </row>
    <row r="641" spans="1:9">
      <c r="A641" s="10" t="s">
        <v>1281</v>
      </c>
      <c r="B641" s="124" t="s">
        <v>517</v>
      </c>
      <c r="C641" s="124" t="s">
        <v>162</v>
      </c>
      <c r="D641" s="12">
        <v>200000000</v>
      </c>
      <c r="E641" s="82">
        <v>0.98958902579999997</v>
      </c>
      <c r="F641" s="14">
        <v>197917805.16</v>
      </c>
      <c r="G641" s="14">
        <v>0.24</v>
      </c>
      <c r="H641" s="10"/>
      <c r="I641" s="10"/>
    </row>
    <row r="642" spans="1:9">
      <c r="A642" s="10" t="s">
        <v>1282</v>
      </c>
      <c r="B642" s="124" t="s">
        <v>463</v>
      </c>
      <c r="C642" s="124" t="s">
        <v>162</v>
      </c>
      <c r="D642" s="12">
        <v>200000000</v>
      </c>
      <c r="E642" s="82">
        <v>0.98873120479999999</v>
      </c>
      <c r="F642" s="14">
        <v>197746240.96000001</v>
      </c>
      <c r="G642" s="14">
        <v>0.24</v>
      </c>
      <c r="H642" s="10"/>
      <c r="I642" s="10"/>
    </row>
    <row r="643" spans="1:9">
      <c r="A643" s="10" t="s">
        <v>1283</v>
      </c>
      <c r="B643" s="124" t="s">
        <v>561</v>
      </c>
      <c r="C643" s="124" t="s">
        <v>162</v>
      </c>
      <c r="D643" s="14">
        <v>1217387.51</v>
      </c>
      <c r="E643" s="82">
        <v>0.99563558860000001</v>
      </c>
      <c r="F643" s="14">
        <v>1212074.33</v>
      </c>
      <c r="G643" s="12">
        <v>0</v>
      </c>
      <c r="H643" s="10"/>
      <c r="I643" s="10"/>
    </row>
    <row r="644" spans="1:9">
      <c r="A644" s="10" t="s">
        <v>1284</v>
      </c>
      <c r="B644" s="124" t="s">
        <v>645</v>
      </c>
      <c r="C644" s="124" t="s">
        <v>162</v>
      </c>
      <c r="D644" s="14">
        <v>1217387.51</v>
      </c>
      <c r="E644" s="82">
        <v>0.97105467270000001</v>
      </c>
      <c r="F644" s="14">
        <v>1182149.83</v>
      </c>
      <c r="G644" s="12">
        <v>0</v>
      </c>
      <c r="H644" s="10"/>
      <c r="I644" s="10"/>
    </row>
    <row r="645" spans="1:9">
      <c r="A645" s="10" t="s">
        <v>1285</v>
      </c>
      <c r="B645" s="124" t="s">
        <v>505</v>
      </c>
      <c r="C645" s="124" t="s">
        <v>162</v>
      </c>
      <c r="D645" s="14">
        <v>9915945.7599999998</v>
      </c>
      <c r="E645" s="82">
        <v>0.99390045260000004</v>
      </c>
      <c r="F645" s="14">
        <v>9855462.9800000004</v>
      </c>
      <c r="G645" s="14">
        <v>0.01</v>
      </c>
      <c r="H645" s="10"/>
      <c r="I645" s="10"/>
    </row>
    <row r="646" spans="1:9">
      <c r="A646" s="10" t="s">
        <v>1286</v>
      </c>
      <c r="B646" s="124" t="s">
        <v>561</v>
      </c>
      <c r="C646" s="124" t="s">
        <v>162</v>
      </c>
      <c r="D646" s="12">
        <v>15000000</v>
      </c>
      <c r="E646" s="82">
        <v>0.99482149929999997</v>
      </c>
      <c r="F646" s="14">
        <v>14922322.49</v>
      </c>
      <c r="G646" s="14">
        <v>0.02</v>
      </c>
      <c r="H646" s="10"/>
      <c r="I646" s="10"/>
    </row>
    <row r="647" spans="1:9">
      <c r="A647" s="10" t="s">
        <v>1287</v>
      </c>
      <c r="B647" s="124" t="s">
        <v>645</v>
      </c>
      <c r="C647" s="124" t="s">
        <v>162</v>
      </c>
      <c r="D647" s="12">
        <v>7000000</v>
      </c>
      <c r="E647" s="82">
        <v>0.97635359040000003</v>
      </c>
      <c r="F647" s="14">
        <v>6834475.1299999999</v>
      </c>
      <c r="G647" s="14">
        <v>0.01</v>
      </c>
      <c r="H647" s="10"/>
      <c r="I647" s="10"/>
    </row>
    <row r="648" spans="1:9">
      <c r="A648" s="10" t="s">
        <v>1288</v>
      </c>
      <c r="B648" s="124" t="s">
        <v>645</v>
      </c>
      <c r="C648" s="124" t="s">
        <v>162</v>
      </c>
      <c r="D648" s="12">
        <v>7000000</v>
      </c>
      <c r="E648" s="82">
        <v>0.97635359040000003</v>
      </c>
      <c r="F648" s="14">
        <v>6834475.1299999999</v>
      </c>
      <c r="G648" s="14">
        <v>0.01</v>
      </c>
      <c r="H648" s="10"/>
      <c r="I648" s="10"/>
    </row>
    <row r="649" spans="1:9">
      <c r="A649" s="10" t="s">
        <v>1289</v>
      </c>
      <c r="B649" s="124" t="s">
        <v>645</v>
      </c>
      <c r="C649" s="124" t="s">
        <v>162</v>
      </c>
      <c r="D649" s="12">
        <v>7000000</v>
      </c>
      <c r="E649" s="82">
        <v>0.97635359040000003</v>
      </c>
      <c r="F649" s="14">
        <v>6834475.1299999999</v>
      </c>
      <c r="G649" s="14">
        <v>0.01</v>
      </c>
      <c r="H649" s="10"/>
      <c r="I649" s="10"/>
    </row>
    <row r="650" spans="1:9">
      <c r="A650" s="10" t="s">
        <v>1290</v>
      </c>
      <c r="B650" s="124" t="s">
        <v>682</v>
      </c>
      <c r="C650" s="124" t="s">
        <v>162</v>
      </c>
      <c r="D650" s="12">
        <v>7000000</v>
      </c>
      <c r="E650" s="82">
        <v>0.97567500250000005</v>
      </c>
      <c r="F650" s="14">
        <v>6829725.0199999996</v>
      </c>
      <c r="G650" s="14">
        <v>0.01</v>
      </c>
      <c r="H650" s="10"/>
      <c r="I650" s="10"/>
    </row>
    <row r="651" spans="1:9">
      <c r="A651" s="10" t="s">
        <v>1291</v>
      </c>
      <c r="B651" s="124" t="s">
        <v>610</v>
      </c>
      <c r="C651" s="124" t="s">
        <v>162</v>
      </c>
      <c r="D651" s="12">
        <v>3500000</v>
      </c>
      <c r="E651" s="82">
        <v>0.97976057709999997</v>
      </c>
      <c r="F651" s="14">
        <v>3429162.02</v>
      </c>
      <c r="G651" s="12">
        <v>0</v>
      </c>
      <c r="H651" s="10"/>
      <c r="I651" s="10"/>
    </row>
    <row r="652" spans="1:9">
      <c r="A652" s="10" t="s">
        <v>1292</v>
      </c>
      <c r="B652" s="124" t="s">
        <v>505</v>
      </c>
      <c r="C652" s="124" t="s">
        <v>162</v>
      </c>
      <c r="D652" s="12">
        <v>60000000</v>
      </c>
      <c r="E652" s="82">
        <v>0.99276506220000005</v>
      </c>
      <c r="F652" s="14">
        <v>59565903.729999997</v>
      </c>
      <c r="G652" s="14">
        <v>7.0000000000000007E-2</v>
      </c>
      <c r="H652" s="10"/>
      <c r="I652" s="10"/>
    </row>
    <row r="653" spans="1:9">
      <c r="A653" s="10" t="s">
        <v>1293</v>
      </c>
      <c r="B653" s="124" t="s">
        <v>578</v>
      </c>
      <c r="C653" s="124" t="s">
        <v>162</v>
      </c>
      <c r="D653" s="12">
        <v>40000000</v>
      </c>
      <c r="E653" s="82">
        <v>0.99379221839999998</v>
      </c>
      <c r="F653" s="14">
        <v>39751688.740000002</v>
      </c>
      <c r="G653" s="14">
        <v>0.05</v>
      </c>
      <c r="H653" s="10"/>
      <c r="I653" s="10"/>
    </row>
    <row r="654" spans="1:9">
      <c r="A654" s="10" t="s">
        <v>1294</v>
      </c>
      <c r="B654" s="124" t="s">
        <v>423</v>
      </c>
      <c r="C654" s="124" t="s">
        <v>162</v>
      </c>
      <c r="D654" s="153">
        <v>13688973.9</v>
      </c>
      <c r="E654" s="82">
        <v>0.9067647163</v>
      </c>
      <c r="F654" s="14">
        <v>12412678.529999999</v>
      </c>
      <c r="G654" s="14">
        <v>0.02</v>
      </c>
      <c r="H654" s="10"/>
      <c r="I654" s="10"/>
    </row>
    <row r="655" spans="1:9">
      <c r="A655" s="10" t="s">
        <v>1295</v>
      </c>
      <c r="B655" s="124" t="s">
        <v>716</v>
      </c>
      <c r="C655" s="124" t="s">
        <v>162</v>
      </c>
      <c r="D655" s="12">
        <v>30000000</v>
      </c>
      <c r="E655" s="82">
        <v>0.97876220849999995</v>
      </c>
      <c r="F655" s="14">
        <v>29362866.260000002</v>
      </c>
      <c r="G655" s="14">
        <v>0.04</v>
      </c>
      <c r="H655" s="10"/>
      <c r="I655" s="10"/>
    </row>
    <row r="656" spans="1:9">
      <c r="A656" s="10" t="s">
        <v>1296</v>
      </c>
      <c r="B656" s="124" t="s">
        <v>718</v>
      </c>
      <c r="C656" s="124" t="s">
        <v>162</v>
      </c>
      <c r="D656" s="12">
        <v>30000000</v>
      </c>
      <c r="E656" s="82">
        <v>0.97499743309999998</v>
      </c>
      <c r="F656" s="14">
        <v>29249922.989999998</v>
      </c>
      <c r="G656" s="14">
        <v>0.04</v>
      </c>
      <c r="H656" s="10"/>
      <c r="I656" s="10"/>
    </row>
    <row r="657" spans="1:9">
      <c r="A657" s="10" t="s">
        <v>1297</v>
      </c>
      <c r="B657" s="124" t="s">
        <v>459</v>
      </c>
      <c r="C657" s="124" t="s">
        <v>162</v>
      </c>
      <c r="D657" s="12">
        <v>30000000</v>
      </c>
      <c r="E657" s="82">
        <v>0.98065561739999996</v>
      </c>
      <c r="F657" s="14">
        <v>29419668.52</v>
      </c>
      <c r="G657" s="14">
        <v>0.04</v>
      </c>
      <c r="H657" s="10"/>
      <c r="I657" s="10"/>
    </row>
    <row r="658" spans="1:9">
      <c r="A658" s="10" t="s">
        <v>1298</v>
      </c>
      <c r="B658" s="124" t="s">
        <v>461</v>
      </c>
      <c r="C658" s="124" t="s">
        <v>162</v>
      </c>
      <c r="D658" s="12">
        <v>30000000</v>
      </c>
      <c r="E658" s="82">
        <v>0.97406070909999998</v>
      </c>
      <c r="F658" s="14">
        <v>29221821.27</v>
      </c>
      <c r="G658" s="14">
        <v>0.04</v>
      </c>
      <c r="H658" s="10"/>
      <c r="I658" s="10"/>
    </row>
    <row r="659" spans="1:9">
      <c r="A659" s="10" t="s">
        <v>1299</v>
      </c>
      <c r="B659" s="124" t="s">
        <v>498</v>
      </c>
      <c r="C659" s="124" t="s">
        <v>162</v>
      </c>
      <c r="D659" s="12">
        <v>30000000</v>
      </c>
      <c r="E659" s="82">
        <v>0.96940405689999998</v>
      </c>
      <c r="F659" s="14">
        <v>29082121.710000001</v>
      </c>
      <c r="G659" s="14">
        <v>0.04</v>
      </c>
      <c r="H659" s="10"/>
      <c r="I659" s="10"/>
    </row>
    <row r="660" spans="1:9">
      <c r="A660" s="10" t="s">
        <v>1300</v>
      </c>
      <c r="B660" s="124" t="s">
        <v>559</v>
      </c>
      <c r="C660" s="124" t="s">
        <v>162</v>
      </c>
      <c r="D660" s="12">
        <v>30000000</v>
      </c>
      <c r="E660" s="82">
        <v>0.97312578179999998</v>
      </c>
      <c r="F660" s="14">
        <v>29193773.449999999</v>
      </c>
      <c r="G660" s="14">
        <v>0.04</v>
      </c>
      <c r="H660" s="10"/>
      <c r="I660" s="10"/>
    </row>
    <row r="661" spans="1:9">
      <c r="A661" s="10" t="s">
        <v>1301</v>
      </c>
      <c r="B661" s="124" t="s">
        <v>559</v>
      </c>
      <c r="C661" s="124" t="s">
        <v>162</v>
      </c>
      <c r="D661" s="12">
        <v>30000000</v>
      </c>
      <c r="E661" s="82">
        <v>0.97312578179999998</v>
      </c>
      <c r="F661" s="14">
        <v>29193773.449999999</v>
      </c>
      <c r="G661" s="14">
        <v>0.04</v>
      </c>
      <c r="H661" s="10"/>
      <c r="I661" s="10"/>
    </row>
    <row r="662" spans="1:9">
      <c r="A662" s="10" t="s">
        <v>1302</v>
      </c>
      <c r="B662" s="124" t="s">
        <v>419</v>
      </c>
      <c r="C662" s="124" t="s">
        <v>162</v>
      </c>
      <c r="D662" s="14">
        <v>2227815.85</v>
      </c>
      <c r="E662" s="82">
        <v>0.96571076509999998</v>
      </c>
      <c r="F662" s="14">
        <v>2151425.75</v>
      </c>
      <c r="G662" s="12">
        <v>0</v>
      </c>
      <c r="H662" s="10"/>
      <c r="I662" s="10"/>
    </row>
    <row r="663" spans="1:9">
      <c r="A663" s="10" t="s">
        <v>1303</v>
      </c>
      <c r="B663" s="124" t="s">
        <v>578</v>
      </c>
      <c r="C663" s="124" t="s">
        <v>162</v>
      </c>
      <c r="D663" s="14">
        <v>48904.31</v>
      </c>
      <c r="E663" s="157">
        <v>0.99558137099999999</v>
      </c>
      <c r="F663" s="14">
        <v>48688.22</v>
      </c>
      <c r="G663" s="12">
        <v>0</v>
      </c>
      <c r="H663" s="10"/>
      <c r="I663" s="10"/>
    </row>
    <row r="664" spans="1:9">
      <c r="A664" s="10" t="s">
        <v>1304</v>
      </c>
      <c r="B664" s="124" t="s">
        <v>283</v>
      </c>
      <c r="C664" s="124" t="s">
        <v>162</v>
      </c>
      <c r="D664" s="12">
        <v>10000000</v>
      </c>
      <c r="E664" s="82">
        <v>0.92055493649999998</v>
      </c>
      <c r="F664" s="14">
        <v>9205549.3699999992</v>
      </c>
      <c r="G664" s="14">
        <v>0.01</v>
      </c>
      <c r="H664" s="10"/>
      <c r="I664" s="10"/>
    </row>
    <row r="665" spans="1:9">
      <c r="A665" s="10" t="s">
        <v>1305</v>
      </c>
      <c r="B665" s="124" t="s">
        <v>510</v>
      </c>
      <c r="C665" s="124" t="s">
        <v>162</v>
      </c>
      <c r="D665" s="14">
        <v>17265963.219999999</v>
      </c>
      <c r="E665" s="82">
        <v>0.98247694679999997</v>
      </c>
      <c r="F665" s="14">
        <v>16963410.829999998</v>
      </c>
      <c r="G665" s="14">
        <v>0.02</v>
      </c>
      <c r="H665" s="10"/>
      <c r="I665" s="10"/>
    </row>
    <row r="666" spans="1:9">
      <c r="A666" s="10" t="s">
        <v>1307</v>
      </c>
      <c r="B666" s="124" t="s">
        <v>625</v>
      </c>
      <c r="C666" s="124" t="s">
        <v>162</v>
      </c>
      <c r="D666" s="12">
        <v>13560000</v>
      </c>
      <c r="E666" s="21">
        <v>0.99915140999999996</v>
      </c>
      <c r="F666" s="14">
        <v>13548493.119999999</v>
      </c>
      <c r="G666" s="14">
        <v>0.02</v>
      </c>
      <c r="H666" s="10"/>
      <c r="I666" s="10"/>
    </row>
    <row r="667" spans="1:9">
      <c r="A667" s="10" t="s">
        <v>1308</v>
      </c>
      <c r="B667" s="124" t="s">
        <v>636</v>
      </c>
      <c r="C667" s="124" t="s">
        <v>162</v>
      </c>
      <c r="D667" s="14">
        <v>72849722.840000004</v>
      </c>
      <c r="E667" s="82">
        <v>0.94464145479999995</v>
      </c>
      <c r="F667" s="14">
        <v>68816868.170000002</v>
      </c>
      <c r="G667" s="14">
        <v>0.08</v>
      </c>
      <c r="H667" s="10"/>
      <c r="I667" s="10"/>
    </row>
    <row r="668" spans="1:9">
      <c r="A668" s="10" t="s">
        <v>1315</v>
      </c>
      <c r="B668" s="124" t="s">
        <v>810</v>
      </c>
      <c r="C668" s="124" t="s">
        <v>365</v>
      </c>
      <c r="D668" s="12">
        <v>60000000</v>
      </c>
      <c r="E668" s="82">
        <v>0.97273675829999995</v>
      </c>
      <c r="F668" s="153">
        <v>58364205.5</v>
      </c>
      <c r="G668" s="14">
        <v>7.0000000000000007E-2</v>
      </c>
      <c r="H668" s="10"/>
      <c r="I668" s="10"/>
    </row>
    <row r="669" spans="1:9">
      <c r="A669" s="10" t="s">
        <v>1316</v>
      </c>
      <c r="B669" s="124" t="s">
        <v>559</v>
      </c>
      <c r="C669" s="124" t="s">
        <v>365</v>
      </c>
      <c r="D669" s="12">
        <v>60000000</v>
      </c>
      <c r="E669" s="82">
        <v>0.97677163879999995</v>
      </c>
      <c r="F669" s="14">
        <v>58606298.329999998</v>
      </c>
      <c r="G669" s="14">
        <v>7.0000000000000007E-2</v>
      </c>
      <c r="H669" s="10"/>
      <c r="I669" s="10"/>
    </row>
    <row r="670" spans="1:9">
      <c r="A670" s="10" t="s">
        <v>1317</v>
      </c>
      <c r="B670" s="124" t="s">
        <v>610</v>
      </c>
      <c r="C670" s="124" t="s">
        <v>365</v>
      </c>
      <c r="D670" s="12">
        <v>60000000</v>
      </c>
      <c r="E670" s="157">
        <v>0.97596196800000001</v>
      </c>
      <c r="F670" s="14">
        <v>58557718.079999998</v>
      </c>
      <c r="G670" s="14">
        <v>7.0000000000000007E-2</v>
      </c>
      <c r="H670" s="10"/>
      <c r="I670" s="10"/>
    </row>
    <row r="671" spans="1:9">
      <c r="A671" s="10" t="s">
        <v>1318</v>
      </c>
      <c r="B671" s="124" t="s">
        <v>556</v>
      </c>
      <c r="C671" s="124" t="s">
        <v>365</v>
      </c>
      <c r="D671" s="12">
        <v>3250000</v>
      </c>
      <c r="E671" s="82">
        <v>0.95931463350000001</v>
      </c>
      <c r="F671" s="14">
        <v>3117772.56</v>
      </c>
      <c r="G671" s="12">
        <v>0</v>
      </c>
      <c r="H671" s="10"/>
      <c r="I671" s="10"/>
    </row>
    <row r="672" spans="1:9">
      <c r="A672" s="10" t="s">
        <v>1319</v>
      </c>
      <c r="B672" s="124" t="s">
        <v>925</v>
      </c>
      <c r="C672" s="124" t="s">
        <v>365</v>
      </c>
      <c r="D672" s="12">
        <v>3250000</v>
      </c>
      <c r="E672" s="82">
        <v>0.95659933259999996</v>
      </c>
      <c r="F672" s="14">
        <v>3108947.83</v>
      </c>
      <c r="G672" s="12">
        <v>0</v>
      </c>
      <c r="H672" s="10"/>
      <c r="I672" s="10"/>
    </row>
    <row r="673" spans="1:9">
      <c r="A673" s="10" t="s">
        <v>1320</v>
      </c>
      <c r="B673" s="124" t="s">
        <v>556</v>
      </c>
      <c r="C673" s="124" t="s">
        <v>365</v>
      </c>
      <c r="D673" s="12">
        <v>5500000</v>
      </c>
      <c r="E673" s="82">
        <v>0.95931463459999999</v>
      </c>
      <c r="F673" s="14">
        <v>5276230.49</v>
      </c>
      <c r="G673" s="14">
        <v>0.01</v>
      </c>
      <c r="H673" s="10"/>
      <c r="I673" s="10"/>
    </row>
    <row r="674" spans="1:9">
      <c r="A674" s="10" t="s">
        <v>1321</v>
      </c>
      <c r="B674" s="124" t="s">
        <v>556</v>
      </c>
      <c r="C674" s="124" t="s">
        <v>365</v>
      </c>
      <c r="D674" s="12">
        <v>3250000</v>
      </c>
      <c r="E674" s="82">
        <v>0.95931463350000001</v>
      </c>
      <c r="F674" s="14">
        <v>3117772.56</v>
      </c>
      <c r="G674" s="12">
        <v>0</v>
      </c>
      <c r="H674" s="10"/>
      <c r="I674" s="10"/>
    </row>
    <row r="675" spans="1:9">
      <c r="A675" s="10" t="s">
        <v>1322</v>
      </c>
      <c r="B675" s="124" t="s">
        <v>556</v>
      </c>
      <c r="C675" s="124" t="s">
        <v>365</v>
      </c>
      <c r="D675" s="12">
        <v>5500000</v>
      </c>
      <c r="E675" s="82">
        <v>0.95931463459999999</v>
      </c>
      <c r="F675" s="14">
        <v>5276230.49</v>
      </c>
      <c r="G675" s="14">
        <v>0.01</v>
      </c>
      <c r="H675" s="10"/>
      <c r="I675" s="10"/>
    </row>
    <row r="676" spans="1:9">
      <c r="A676" s="10" t="s">
        <v>1323</v>
      </c>
      <c r="B676" s="124" t="s">
        <v>614</v>
      </c>
      <c r="C676" s="124" t="s">
        <v>365</v>
      </c>
      <c r="D676" s="12">
        <v>2954385</v>
      </c>
      <c r="E676" s="82">
        <v>0.95300271670000003</v>
      </c>
      <c r="F676" s="14">
        <v>2815536.93</v>
      </c>
      <c r="G676" s="12">
        <v>0</v>
      </c>
      <c r="H676" s="10"/>
      <c r="I676" s="10"/>
    </row>
    <row r="677" spans="1:9">
      <c r="A677" s="10" t="s">
        <v>1324</v>
      </c>
      <c r="B677" s="124" t="s">
        <v>556</v>
      </c>
      <c r="C677" s="124" t="s">
        <v>365</v>
      </c>
      <c r="D677" s="14">
        <v>3841101.28</v>
      </c>
      <c r="E677" s="82">
        <v>0.95931463459999999</v>
      </c>
      <c r="F677" s="14">
        <v>3684824.67</v>
      </c>
      <c r="G677" s="12">
        <v>0</v>
      </c>
      <c r="H677" s="10"/>
      <c r="I677" s="10"/>
    </row>
    <row r="678" spans="1:9">
      <c r="A678" s="10" t="s">
        <v>1325</v>
      </c>
      <c r="B678" s="124" t="s">
        <v>556</v>
      </c>
      <c r="C678" s="124" t="s">
        <v>365</v>
      </c>
      <c r="D678" s="14">
        <v>3841101.28</v>
      </c>
      <c r="E678" s="82">
        <v>0.95931463459999999</v>
      </c>
      <c r="F678" s="14">
        <v>3684824.67</v>
      </c>
      <c r="G678" s="12">
        <v>0</v>
      </c>
      <c r="H678" s="10"/>
      <c r="I678" s="10"/>
    </row>
    <row r="679" spans="1:9">
      <c r="A679" s="10" t="s">
        <v>1326</v>
      </c>
      <c r="B679" s="124" t="s">
        <v>614</v>
      </c>
      <c r="C679" s="124" t="s">
        <v>365</v>
      </c>
      <c r="D679" s="12">
        <v>50000000</v>
      </c>
      <c r="E679" s="82">
        <v>0.95674976889999996</v>
      </c>
      <c r="F679" s="14">
        <v>47837488.450000003</v>
      </c>
      <c r="G679" s="14">
        <v>0.06</v>
      </c>
      <c r="H679" s="10"/>
      <c r="I679" s="10"/>
    </row>
    <row r="680" spans="1:9">
      <c r="A680" s="10" t="s">
        <v>1327</v>
      </c>
      <c r="B680" s="124" t="s">
        <v>578</v>
      </c>
      <c r="C680" s="124" t="s">
        <v>365</v>
      </c>
      <c r="D680" s="12">
        <v>7000000</v>
      </c>
      <c r="E680" s="82">
        <v>0.99525551570000004</v>
      </c>
      <c r="F680" s="14">
        <v>6966788.6100000003</v>
      </c>
      <c r="G680" s="14">
        <v>0.01</v>
      </c>
      <c r="H680" s="10"/>
      <c r="I680" s="10"/>
    </row>
    <row r="681" spans="1:9">
      <c r="A681" s="10" t="s">
        <v>1328</v>
      </c>
      <c r="B681" s="124" t="s">
        <v>692</v>
      </c>
      <c r="C681" s="124" t="s">
        <v>365</v>
      </c>
      <c r="D681" s="14">
        <v>3140560.45</v>
      </c>
      <c r="E681" s="82">
        <v>0.98926715129999998</v>
      </c>
      <c r="F681" s="14">
        <v>3106853.29</v>
      </c>
      <c r="G681" s="12">
        <v>0</v>
      </c>
      <c r="H681" s="10"/>
      <c r="I681" s="10"/>
    </row>
    <row r="682" spans="1:9">
      <c r="A682" s="10" t="s">
        <v>1329</v>
      </c>
      <c r="B682" s="124" t="s">
        <v>517</v>
      </c>
      <c r="C682" s="124" t="s">
        <v>365</v>
      </c>
      <c r="D682" s="14">
        <v>3140560.45</v>
      </c>
      <c r="E682" s="82">
        <v>0.98830283610000003</v>
      </c>
      <c r="F682" s="153">
        <v>3103824.8</v>
      </c>
      <c r="G682" s="12">
        <v>0</v>
      </c>
      <c r="H682" s="10"/>
      <c r="I682" s="10"/>
    </row>
    <row r="683" spans="1:9">
      <c r="A683" s="10" t="s">
        <v>1330</v>
      </c>
      <c r="B683" s="124" t="s">
        <v>463</v>
      </c>
      <c r="C683" s="124" t="s">
        <v>365</v>
      </c>
      <c r="D683" s="14">
        <v>3140560.45</v>
      </c>
      <c r="E683" s="82">
        <v>0.98734045390000003</v>
      </c>
      <c r="F683" s="14">
        <v>3100802.38</v>
      </c>
      <c r="G683" s="12">
        <v>0</v>
      </c>
      <c r="H683" s="10"/>
      <c r="I683" s="10"/>
    </row>
    <row r="684" spans="1:9">
      <c r="A684" s="10" t="s">
        <v>1331</v>
      </c>
      <c r="B684" s="124" t="s">
        <v>505</v>
      </c>
      <c r="C684" s="124" t="s">
        <v>365</v>
      </c>
      <c r="D684" s="14">
        <v>3140560.45</v>
      </c>
      <c r="E684" s="82">
        <v>0.99314324919999997</v>
      </c>
      <c r="F684" s="14">
        <v>3119026.41</v>
      </c>
      <c r="G684" s="12">
        <v>0</v>
      </c>
      <c r="H684" s="10"/>
      <c r="I684" s="10"/>
    </row>
    <row r="685" spans="1:9">
      <c r="A685" s="10" t="s">
        <v>1332</v>
      </c>
      <c r="B685" s="124" t="s">
        <v>513</v>
      </c>
      <c r="C685" s="124" t="s">
        <v>365</v>
      </c>
      <c r="D685" s="14">
        <v>3140560.45</v>
      </c>
      <c r="E685" s="82">
        <v>0.9825562981</v>
      </c>
      <c r="F685" s="14">
        <v>3085777.45</v>
      </c>
      <c r="G685" s="12">
        <v>0</v>
      </c>
      <c r="H685" s="10"/>
      <c r="I685" s="10"/>
    </row>
    <row r="686" spans="1:9">
      <c r="A686" s="10" t="s">
        <v>1333</v>
      </c>
      <c r="B686" s="124" t="s">
        <v>746</v>
      </c>
      <c r="C686" s="124" t="s">
        <v>365</v>
      </c>
      <c r="D686" s="14">
        <v>3140560.45</v>
      </c>
      <c r="E686" s="82">
        <v>0.98542118830000003</v>
      </c>
      <c r="F686" s="14">
        <v>3094774.81</v>
      </c>
      <c r="G686" s="12">
        <v>0</v>
      </c>
      <c r="H686" s="10"/>
      <c r="I686" s="10"/>
    </row>
    <row r="687" spans="1:9">
      <c r="A687" s="10" t="s">
        <v>1334</v>
      </c>
      <c r="B687" s="124" t="s">
        <v>456</v>
      </c>
      <c r="C687" s="124" t="s">
        <v>365</v>
      </c>
      <c r="D687" s="14">
        <v>3140560.45</v>
      </c>
      <c r="E687" s="82">
        <v>0.98637988629999995</v>
      </c>
      <c r="F687" s="14">
        <v>3097785.66</v>
      </c>
      <c r="G687" s="12">
        <v>0</v>
      </c>
      <c r="H687" s="10"/>
      <c r="I687" s="10"/>
    </row>
    <row r="688" spans="1:9">
      <c r="A688" s="10" t="s">
        <v>1335</v>
      </c>
      <c r="B688" s="124" t="s">
        <v>746</v>
      </c>
      <c r="C688" s="124" t="s">
        <v>365</v>
      </c>
      <c r="D688" s="14">
        <v>3105640.28</v>
      </c>
      <c r="E688" s="82">
        <v>0.98542118670000001</v>
      </c>
      <c r="F688" s="14">
        <v>3060363.73</v>
      </c>
      <c r="G688" s="12">
        <v>0</v>
      </c>
      <c r="H688" s="10"/>
      <c r="I688" s="10"/>
    </row>
    <row r="689" spans="1:9">
      <c r="A689" s="10" t="s">
        <v>1336</v>
      </c>
      <c r="B689" s="124" t="s">
        <v>456</v>
      </c>
      <c r="C689" s="124" t="s">
        <v>365</v>
      </c>
      <c r="D689" s="14">
        <v>3105640.28</v>
      </c>
      <c r="E689" s="82">
        <v>0.98637988440000002</v>
      </c>
      <c r="F689" s="153">
        <v>3063341.1</v>
      </c>
      <c r="G689" s="12">
        <v>0</v>
      </c>
      <c r="H689" s="10"/>
      <c r="I689" s="10"/>
    </row>
    <row r="690" spans="1:9">
      <c r="A690" s="10" t="s">
        <v>1337</v>
      </c>
      <c r="B690" s="124" t="s">
        <v>463</v>
      </c>
      <c r="C690" s="124" t="s">
        <v>365</v>
      </c>
      <c r="D690" s="14">
        <v>3105640.28</v>
      </c>
      <c r="E690" s="82">
        <v>0.98734045910000001</v>
      </c>
      <c r="F690" s="153">
        <v>3066324.3</v>
      </c>
      <c r="G690" s="12">
        <v>0</v>
      </c>
      <c r="H690" s="10"/>
      <c r="I690" s="10"/>
    </row>
    <row r="691" spans="1:9">
      <c r="A691" s="10" t="s">
        <v>1338</v>
      </c>
      <c r="B691" s="124" t="s">
        <v>636</v>
      </c>
      <c r="C691" s="124" t="s">
        <v>365</v>
      </c>
      <c r="D691" s="12">
        <v>25000000</v>
      </c>
      <c r="E691" s="82">
        <v>0.94127970159999996</v>
      </c>
      <c r="F691" s="14">
        <v>23531992.539999999</v>
      </c>
      <c r="G691" s="14">
        <v>0.03</v>
      </c>
      <c r="H691" s="10"/>
      <c r="I691" s="10"/>
    </row>
    <row r="692" spans="1:9">
      <c r="A692" s="10" t="s">
        <v>1339</v>
      </c>
      <c r="B692" s="124" t="s">
        <v>614</v>
      </c>
      <c r="C692" s="124" t="s">
        <v>365</v>
      </c>
      <c r="D692" s="12">
        <v>25000000</v>
      </c>
      <c r="E692" s="82">
        <v>0.95674976889999996</v>
      </c>
      <c r="F692" s="14">
        <v>23918744.219999999</v>
      </c>
      <c r="G692" s="14">
        <v>0.03</v>
      </c>
      <c r="H692" s="10"/>
      <c r="I692" s="10"/>
    </row>
    <row r="693" spans="1:9">
      <c r="A693" s="10" t="s">
        <v>1340</v>
      </c>
      <c r="B693" s="124" t="s">
        <v>657</v>
      </c>
      <c r="C693" s="124" t="s">
        <v>365</v>
      </c>
      <c r="D693" s="12">
        <v>25000000</v>
      </c>
      <c r="E693" s="82">
        <v>0.94692062340000005</v>
      </c>
      <c r="F693" s="14">
        <v>23673015.59</v>
      </c>
      <c r="G693" s="14">
        <v>0.03</v>
      </c>
      <c r="H693" s="10"/>
      <c r="I693" s="10"/>
    </row>
    <row r="694" spans="1:9">
      <c r="A694" s="10" t="s">
        <v>1341</v>
      </c>
      <c r="B694" s="124" t="s">
        <v>556</v>
      </c>
      <c r="C694" s="124" t="s">
        <v>365</v>
      </c>
      <c r="D694" s="12">
        <v>25000000</v>
      </c>
      <c r="E694" s="82">
        <v>0.96257820670000005</v>
      </c>
      <c r="F694" s="14">
        <v>24064455.170000002</v>
      </c>
      <c r="G694" s="14">
        <v>0.03</v>
      </c>
      <c r="H694" s="10"/>
      <c r="I694" s="10"/>
    </row>
    <row r="695" spans="1:9">
      <c r="A695" s="10" t="s">
        <v>1342</v>
      </c>
      <c r="B695" s="124" t="s">
        <v>810</v>
      </c>
      <c r="C695" s="124" t="s">
        <v>365</v>
      </c>
      <c r="D695" s="12">
        <v>25000000</v>
      </c>
      <c r="E695" s="82">
        <v>0.97102879760000005</v>
      </c>
      <c r="F695" s="14">
        <v>24275719.940000001</v>
      </c>
      <c r="G695" s="14">
        <v>0.03</v>
      </c>
      <c r="H695" s="10"/>
      <c r="I695" s="10"/>
    </row>
    <row r="696" spans="1:9">
      <c r="A696" s="10" t="s">
        <v>1343</v>
      </c>
      <c r="B696" s="124" t="s">
        <v>625</v>
      </c>
      <c r="C696" s="124" t="s">
        <v>365</v>
      </c>
      <c r="D696" s="12">
        <v>25000000</v>
      </c>
      <c r="E696" s="157">
        <v>0.99909670799999994</v>
      </c>
      <c r="F696" s="153">
        <v>24977417.699999999</v>
      </c>
      <c r="G696" s="14">
        <v>0.03</v>
      </c>
      <c r="H696" s="10"/>
      <c r="I696" s="10"/>
    </row>
    <row r="697" spans="1:9">
      <c r="A697" s="10" t="s">
        <v>1344</v>
      </c>
      <c r="B697" s="124" t="s">
        <v>459</v>
      </c>
      <c r="C697" s="124" t="s">
        <v>365</v>
      </c>
      <c r="D697" s="12">
        <v>25000000</v>
      </c>
      <c r="E697" s="82">
        <v>0.98223904120000005</v>
      </c>
      <c r="F697" s="14">
        <v>24555976.030000001</v>
      </c>
      <c r="G697" s="14">
        <v>0.03</v>
      </c>
      <c r="H697" s="10"/>
      <c r="I697" s="10"/>
    </row>
    <row r="698" spans="1:9">
      <c r="A698" s="10" t="s">
        <v>1345</v>
      </c>
      <c r="B698" s="124" t="s">
        <v>463</v>
      </c>
      <c r="C698" s="124" t="s">
        <v>365</v>
      </c>
      <c r="D698" s="12">
        <v>25000000</v>
      </c>
      <c r="E698" s="82">
        <v>0.98838316289999995</v>
      </c>
      <c r="F698" s="14">
        <v>24709579.07</v>
      </c>
      <c r="G698" s="14">
        <v>0.03</v>
      </c>
      <c r="H698" s="10"/>
      <c r="I698" s="10"/>
    </row>
    <row r="699" spans="1:9">
      <c r="A699" s="10" t="s">
        <v>1346</v>
      </c>
      <c r="B699" s="124" t="s">
        <v>517</v>
      </c>
      <c r="C699" s="124" t="s">
        <v>365</v>
      </c>
      <c r="D699" s="12">
        <v>60000000</v>
      </c>
      <c r="E699" s="82">
        <v>0.98766100840000004</v>
      </c>
      <c r="F699" s="153">
        <v>59259660.5</v>
      </c>
      <c r="G699" s="14">
        <v>7.0000000000000007E-2</v>
      </c>
      <c r="H699" s="10"/>
      <c r="I699" s="10"/>
    </row>
    <row r="700" spans="1:9">
      <c r="A700" s="10" t="s">
        <v>1348</v>
      </c>
      <c r="B700" s="124" t="s">
        <v>473</v>
      </c>
      <c r="C700" s="124" t="s">
        <v>365</v>
      </c>
      <c r="D700" s="12">
        <v>10000000</v>
      </c>
      <c r="E700" s="82">
        <v>0.99596158810000002</v>
      </c>
      <c r="F700" s="14">
        <v>9959615.8800000008</v>
      </c>
      <c r="G700" s="14">
        <v>0.01</v>
      </c>
      <c r="H700" s="10"/>
      <c r="I700" s="10"/>
    </row>
    <row r="701" spans="1:9">
      <c r="A701" s="10" t="s">
        <v>1349</v>
      </c>
      <c r="B701" s="124" t="s">
        <v>625</v>
      </c>
      <c r="C701" s="124" t="s">
        <v>365</v>
      </c>
      <c r="D701" s="12">
        <v>10000000</v>
      </c>
      <c r="E701" s="157">
        <v>0.99898732899999998</v>
      </c>
      <c r="F701" s="14">
        <v>9989873.2899999991</v>
      </c>
      <c r="G701" s="14">
        <v>0.01</v>
      </c>
      <c r="H701" s="10"/>
      <c r="I701" s="10"/>
    </row>
    <row r="702" spans="1:9">
      <c r="A702" s="10" t="s">
        <v>1350</v>
      </c>
      <c r="B702" s="124" t="s">
        <v>561</v>
      </c>
      <c r="C702" s="124" t="s">
        <v>365</v>
      </c>
      <c r="D702" s="12">
        <v>10000000</v>
      </c>
      <c r="E702" s="82">
        <v>0.99495706689999996</v>
      </c>
      <c r="F702" s="14">
        <v>9949570.6699999999</v>
      </c>
      <c r="G702" s="14">
        <v>0.01</v>
      </c>
      <c r="H702" s="10"/>
      <c r="I702" s="10"/>
    </row>
    <row r="703" spans="1:9">
      <c r="A703" s="10" t="s">
        <v>1351</v>
      </c>
      <c r="B703" s="124" t="s">
        <v>510</v>
      </c>
      <c r="C703" s="124" t="s">
        <v>365</v>
      </c>
      <c r="D703" s="12">
        <v>482400</v>
      </c>
      <c r="E703" s="82">
        <v>0.98247696910000004</v>
      </c>
      <c r="F703" s="14">
        <v>473946.89</v>
      </c>
      <c r="G703" s="12">
        <v>0</v>
      </c>
      <c r="H703" s="10"/>
      <c r="I703" s="10"/>
    </row>
    <row r="704" spans="1:9">
      <c r="A704" s="10" t="s">
        <v>1352</v>
      </c>
      <c r="B704" s="124" t="s">
        <v>661</v>
      </c>
      <c r="C704" s="124" t="s">
        <v>365</v>
      </c>
      <c r="D704" s="12">
        <v>482400</v>
      </c>
      <c r="E704" s="82">
        <v>0.95692541450000002</v>
      </c>
      <c r="F704" s="14">
        <v>461620.82</v>
      </c>
      <c r="G704" s="12">
        <v>0</v>
      </c>
      <c r="H704" s="10"/>
      <c r="I704" s="10"/>
    </row>
    <row r="705" spans="1:9">
      <c r="A705" s="10" t="s">
        <v>1354</v>
      </c>
      <c r="B705" s="124" t="s">
        <v>810</v>
      </c>
      <c r="C705" s="124" t="s">
        <v>365</v>
      </c>
      <c r="D705" s="12">
        <v>985744</v>
      </c>
      <c r="E705" s="82">
        <v>0.97273676509999996</v>
      </c>
      <c r="F705" s="14">
        <v>958869.43</v>
      </c>
      <c r="G705" s="12">
        <v>0</v>
      </c>
      <c r="H705" s="10"/>
      <c r="I705" s="10"/>
    </row>
    <row r="706" spans="1:9">
      <c r="A706" s="10" t="s">
        <v>1355</v>
      </c>
      <c r="B706" s="124" t="s">
        <v>505</v>
      </c>
      <c r="C706" s="124" t="s">
        <v>365</v>
      </c>
      <c r="D706" s="12">
        <v>1598248</v>
      </c>
      <c r="E706" s="82">
        <v>0.99408994090000002</v>
      </c>
      <c r="F706" s="14">
        <v>1588802.26</v>
      </c>
      <c r="G706" s="12">
        <v>0</v>
      </c>
      <c r="H706" s="10"/>
      <c r="I706" s="10"/>
    </row>
    <row r="707" spans="1:9">
      <c r="A707" s="10" t="s">
        <v>1356</v>
      </c>
      <c r="B707" s="124" t="s">
        <v>552</v>
      </c>
      <c r="C707" s="124" t="s">
        <v>365</v>
      </c>
      <c r="D707" s="12">
        <v>1598248</v>
      </c>
      <c r="E707" s="157">
        <v>0.96634986499999997</v>
      </c>
      <c r="F707" s="14">
        <v>1544466.74</v>
      </c>
      <c r="G707" s="12">
        <v>0</v>
      </c>
      <c r="H707" s="10"/>
      <c r="I707" s="10"/>
    </row>
    <row r="708" spans="1:9">
      <c r="A708" s="10" t="s">
        <v>1357</v>
      </c>
      <c r="B708" s="124" t="s">
        <v>636</v>
      </c>
      <c r="C708" s="124" t="s">
        <v>365</v>
      </c>
      <c r="D708" s="12">
        <v>8523313</v>
      </c>
      <c r="E708" s="157">
        <v>0.944641497</v>
      </c>
      <c r="F708" s="14">
        <v>8051475.1500000004</v>
      </c>
      <c r="G708" s="14">
        <v>0.01</v>
      </c>
      <c r="H708" s="10"/>
      <c r="I708" s="10"/>
    </row>
    <row r="709" spans="1:9">
      <c r="A709" s="10" t="s">
        <v>1358</v>
      </c>
      <c r="B709" s="124" t="s">
        <v>578</v>
      </c>
      <c r="C709" s="124" t="s">
        <v>365</v>
      </c>
      <c r="D709" s="12">
        <v>8523310</v>
      </c>
      <c r="E709" s="82">
        <v>0.99492996850000004</v>
      </c>
      <c r="F709" s="14">
        <v>8480096.5500000007</v>
      </c>
      <c r="G709" s="14">
        <v>0.01</v>
      </c>
      <c r="H709" s="10"/>
      <c r="I709" s="10"/>
    </row>
    <row r="710" spans="1:9">
      <c r="A710" s="10" t="s">
        <v>1359</v>
      </c>
      <c r="B710" s="124" t="s">
        <v>634</v>
      </c>
      <c r="C710" s="124" t="s">
        <v>365</v>
      </c>
      <c r="D710" s="12">
        <v>8523310</v>
      </c>
      <c r="E710" s="82">
        <v>0.97033183219999997</v>
      </c>
      <c r="F710" s="14">
        <v>8270439.0099999998</v>
      </c>
      <c r="G710" s="14">
        <v>0.01</v>
      </c>
      <c r="H710" s="10"/>
      <c r="I710" s="10"/>
    </row>
    <row r="711" spans="1:9">
      <c r="A711" s="10" t="s">
        <v>1360</v>
      </c>
      <c r="B711" s="124" t="s">
        <v>463</v>
      </c>
      <c r="C711" s="124" t="s">
        <v>365</v>
      </c>
      <c r="D711" s="12">
        <v>100000000</v>
      </c>
      <c r="E711" s="82">
        <v>0.98942807430000002</v>
      </c>
      <c r="F711" s="14">
        <v>98942807.430000007</v>
      </c>
      <c r="G711" s="14">
        <v>0.12</v>
      </c>
      <c r="H711" s="10"/>
      <c r="I711" s="10"/>
    </row>
    <row r="712" spans="1:9">
      <c r="A712" s="10" t="s">
        <v>1361</v>
      </c>
      <c r="B712" s="124" t="s">
        <v>746</v>
      </c>
      <c r="C712" s="124" t="s">
        <v>365</v>
      </c>
      <c r="D712" s="12">
        <v>100000000</v>
      </c>
      <c r="E712" s="82">
        <v>0.98782139710000005</v>
      </c>
      <c r="F712" s="14">
        <v>98782139.709999993</v>
      </c>
      <c r="G712" s="14">
        <v>0.12</v>
      </c>
      <c r="H712" s="10"/>
      <c r="I712" s="10"/>
    </row>
    <row r="713" spans="1:9">
      <c r="A713" s="10" t="s">
        <v>1362</v>
      </c>
      <c r="B713" s="124" t="s">
        <v>463</v>
      </c>
      <c r="C713" s="124" t="s">
        <v>365</v>
      </c>
      <c r="D713" s="12">
        <v>100000000</v>
      </c>
      <c r="E713" s="82">
        <v>0.98942807430000002</v>
      </c>
      <c r="F713" s="14">
        <v>98942807.430000007</v>
      </c>
      <c r="G713" s="14">
        <v>0.12</v>
      </c>
      <c r="H713" s="10"/>
      <c r="I713" s="10"/>
    </row>
    <row r="714" spans="1:9">
      <c r="A714" s="10" t="s">
        <v>1363</v>
      </c>
      <c r="B714" s="124" t="s">
        <v>513</v>
      </c>
      <c r="C714" s="124" t="s">
        <v>365</v>
      </c>
      <c r="D714" s="12">
        <v>42000000</v>
      </c>
      <c r="E714" s="82">
        <v>0.98160503129999999</v>
      </c>
      <c r="F714" s="14">
        <v>41227411.310000002</v>
      </c>
      <c r="G714" s="14">
        <v>0.05</v>
      </c>
      <c r="H714" s="10"/>
      <c r="I714" s="10"/>
    </row>
    <row r="715" spans="1:9">
      <c r="A715" s="10" t="s">
        <v>1364</v>
      </c>
      <c r="B715" s="124" t="s">
        <v>692</v>
      </c>
      <c r="C715" s="124" t="s">
        <v>365</v>
      </c>
      <c r="D715" s="12">
        <v>43500000</v>
      </c>
      <c r="E715" s="82">
        <v>0.98867763190000002</v>
      </c>
      <c r="F715" s="14">
        <v>43007476.990000002</v>
      </c>
      <c r="G715" s="14">
        <v>0.05</v>
      </c>
      <c r="H715" s="10"/>
      <c r="I715" s="10"/>
    </row>
    <row r="716" spans="1:9">
      <c r="A716" s="10" t="s">
        <v>1365</v>
      </c>
      <c r="B716" s="124" t="s">
        <v>578</v>
      </c>
      <c r="C716" s="124" t="s">
        <v>365</v>
      </c>
      <c r="D716" s="12">
        <v>40000000</v>
      </c>
      <c r="E716" s="82">
        <v>0.99379222860000005</v>
      </c>
      <c r="F716" s="14">
        <v>39751689.140000001</v>
      </c>
      <c r="G716" s="14">
        <v>0.05</v>
      </c>
      <c r="H716" s="10"/>
      <c r="I716" s="10"/>
    </row>
    <row r="717" spans="1:9">
      <c r="A717" s="10" t="s">
        <v>1366</v>
      </c>
      <c r="B717" s="124" t="s">
        <v>473</v>
      </c>
      <c r="C717" s="124" t="s">
        <v>365</v>
      </c>
      <c r="D717" s="12">
        <v>475000000</v>
      </c>
      <c r="E717" s="82">
        <v>0.99650541169999995</v>
      </c>
      <c r="F717" s="14">
        <v>473340070.56</v>
      </c>
      <c r="G717" s="14">
        <v>0.57999999999999996</v>
      </c>
      <c r="H717" s="10"/>
      <c r="I717" s="10"/>
    </row>
    <row r="718" spans="1:9">
      <c r="A718" s="10" t="s">
        <v>1372</v>
      </c>
      <c r="B718" s="124" t="s">
        <v>1007</v>
      </c>
      <c r="C718" s="124" t="s">
        <v>396</v>
      </c>
      <c r="D718" s="12">
        <v>65000000</v>
      </c>
      <c r="E718" s="82">
        <v>0.90402484059999999</v>
      </c>
      <c r="F718" s="14">
        <v>58761614.640000001</v>
      </c>
      <c r="G718" s="14">
        <v>7.0000000000000007E-2</v>
      </c>
      <c r="H718" s="10"/>
      <c r="I718" s="10"/>
    </row>
    <row r="719" spans="1:9">
      <c r="A719" s="10" t="s">
        <v>1373</v>
      </c>
      <c r="B719" s="124" t="s">
        <v>636</v>
      </c>
      <c r="C719" s="124" t="s">
        <v>396</v>
      </c>
      <c r="D719" s="12">
        <v>80000000</v>
      </c>
      <c r="E719" s="82">
        <v>0.94464153920000005</v>
      </c>
      <c r="F719" s="14">
        <v>75571323.140000001</v>
      </c>
      <c r="G719" s="14">
        <v>0.09</v>
      </c>
      <c r="H719" s="10"/>
      <c r="I719" s="10"/>
    </row>
    <row r="720" spans="1:9">
      <c r="A720" s="10" t="s">
        <v>1374</v>
      </c>
      <c r="B720" s="124" t="s">
        <v>992</v>
      </c>
      <c r="C720" s="124" t="s">
        <v>396</v>
      </c>
      <c r="D720" s="12">
        <v>60000000</v>
      </c>
      <c r="E720" s="82">
        <v>0.92388691970000003</v>
      </c>
      <c r="F720" s="14">
        <v>55433215.18</v>
      </c>
      <c r="G720" s="14">
        <v>7.0000000000000007E-2</v>
      </c>
      <c r="H720" s="10"/>
      <c r="I720" s="10"/>
    </row>
    <row r="721" spans="1:9">
      <c r="A721" s="10" t="s">
        <v>1375</v>
      </c>
      <c r="B721" s="124" t="s">
        <v>634</v>
      </c>
      <c r="C721" s="124" t="s">
        <v>396</v>
      </c>
      <c r="D721" s="12">
        <v>20000000</v>
      </c>
      <c r="E721" s="82">
        <v>0.96755391069999996</v>
      </c>
      <c r="F721" s="14">
        <v>19351078.210000001</v>
      </c>
      <c r="G721" s="14">
        <v>0.02</v>
      </c>
      <c r="H721" s="10"/>
      <c r="I721" s="10"/>
    </row>
    <row r="722" spans="1:9">
      <c r="A722" s="10" t="s">
        <v>1376</v>
      </c>
      <c r="B722" s="124" t="s">
        <v>645</v>
      </c>
      <c r="C722" s="124" t="s">
        <v>396</v>
      </c>
      <c r="D722" s="12">
        <v>50000000</v>
      </c>
      <c r="E722" s="82">
        <v>0.97193378659999996</v>
      </c>
      <c r="F722" s="14">
        <v>48596689.329999998</v>
      </c>
      <c r="G722" s="14">
        <v>0.06</v>
      </c>
      <c r="H722" s="10"/>
      <c r="I722" s="10"/>
    </row>
    <row r="723" spans="1:9">
      <c r="A723" s="10" t="s">
        <v>1377</v>
      </c>
      <c r="B723" s="124" t="s">
        <v>645</v>
      </c>
      <c r="C723" s="124" t="s">
        <v>396</v>
      </c>
      <c r="D723" s="12">
        <v>50000000</v>
      </c>
      <c r="E723" s="82">
        <v>0.97193378659999996</v>
      </c>
      <c r="F723" s="14">
        <v>48596689.329999998</v>
      </c>
      <c r="G723" s="14">
        <v>0.06</v>
      </c>
      <c r="H723" s="10"/>
      <c r="I723" s="10"/>
    </row>
    <row r="724" spans="1:9">
      <c r="A724" s="10" t="s">
        <v>1378</v>
      </c>
      <c r="B724" s="124" t="s">
        <v>625</v>
      </c>
      <c r="C724" s="124" t="s">
        <v>396</v>
      </c>
      <c r="D724" s="12">
        <v>12000000</v>
      </c>
      <c r="E724" s="82">
        <v>0.9990693625</v>
      </c>
      <c r="F724" s="14">
        <v>11988832.35</v>
      </c>
      <c r="G724" s="14">
        <v>0.01</v>
      </c>
      <c r="H724" s="10"/>
      <c r="I724" s="10"/>
    </row>
    <row r="725" spans="1:9">
      <c r="A725" s="10" t="s">
        <v>1379</v>
      </c>
      <c r="B725" s="124" t="s">
        <v>561</v>
      </c>
      <c r="C725" s="124" t="s">
        <v>396</v>
      </c>
      <c r="D725" s="14">
        <v>48042680.460000001</v>
      </c>
      <c r="E725" s="157">
        <v>0.99577138899999995</v>
      </c>
      <c r="F725" s="14">
        <v>47839526.649999999</v>
      </c>
      <c r="G725" s="14">
        <v>0.06</v>
      </c>
      <c r="H725" s="10"/>
      <c r="I725" s="10"/>
    </row>
    <row r="726" spans="1:9">
      <c r="A726" s="10" t="s">
        <v>1380</v>
      </c>
      <c r="B726" s="124" t="s">
        <v>925</v>
      </c>
      <c r="C726" s="124" t="s">
        <v>396</v>
      </c>
      <c r="D726" s="12">
        <v>25000000</v>
      </c>
      <c r="E726" s="157">
        <v>0.96007155200000005</v>
      </c>
      <c r="F726" s="153">
        <v>24001788.800000001</v>
      </c>
      <c r="G726" s="14">
        <v>0.03</v>
      </c>
      <c r="H726" s="10"/>
      <c r="I726" s="10"/>
    </row>
    <row r="727" spans="1:9">
      <c r="A727" s="10" t="s">
        <v>1381</v>
      </c>
      <c r="B727" s="124" t="s">
        <v>587</v>
      </c>
      <c r="C727" s="124" t="s">
        <v>396</v>
      </c>
      <c r="D727" s="12">
        <v>25000000</v>
      </c>
      <c r="E727" s="157">
        <v>0.95262960600000002</v>
      </c>
      <c r="F727" s="14">
        <v>23815740.149999999</v>
      </c>
      <c r="G727" s="14">
        <v>0.03</v>
      </c>
      <c r="H727" s="10"/>
      <c r="I727" s="10"/>
    </row>
    <row r="728" spans="1:9">
      <c r="A728" s="10" t="s">
        <v>1382</v>
      </c>
      <c r="B728" s="124" t="s">
        <v>746</v>
      </c>
      <c r="C728" s="124" t="s">
        <v>396</v>
      </c>
      <c r="D728" s="12">
        <v>25000000</v>
      </c>
      <c r="E728" s="82">
        <v>0.98661985070000002</v>
      </c>
      <c r="F728" s="14">
        <v>24665496.27</v>
      </c>
      <c r="G728" s="14">
        <v>0.03</v>
      </c>
      <c r="H728" s="10"/>
      <c r="I728" s="10"/>
    </row>
    <row r="729" spans="1:9">
      <c r="A729" s="10" t="s">
        <v>1383</v>
      </c>
      <c r="B729" s="124" t="s">
        <v>561</v>
      </c>
      <c r="C729" s="124" t="s">
        <v>396</v>
      </c>
      <c r="D729" s="12">
        <v>25000000</v>
      </c>
      <c r="E729" s="82">
        <v>0.99549980319999998</v>
      </c>
      <c r="F729" s="14">
        <v>24887495.079999998</v>
      </c>
      <c r="G729" s="14">
        <v>0.03</v>
      </c>
      <c r="H729" s="10"/>
      <c r="I729" s="10"/>
    </row>
    <row r="730" spans="1:9">
      <c r="A730" s="10" t="s">
        <v>1384</v>
      </c>
      <c r="B730" s="124" t="s">
        <v>716</v>
      </c>
      <c r="C730" s="124" t="s">
        <v>396</v>
      </c>
      <c r="D730" s="12">
        <v>25000000</v>
      </c>
      <c r="E730" s="157">
        <v>0.98049755800000005</v>
      </c>
      <c r="F730" s="14">
        <v>24512438.949999999</v>
      </c>
      <c r="G730" s="14">
        <v>0.03</v>
      </c>
      <c r="H730" s="10"/>
      <c r="I730" s="10"/>
    </row>
    <row r="731" spans="1:9">
      <c r="A731" s="10" t="s">
        <v>1385</v>
      </c>
      <c r="B731" s="124" t="s">
        <v>636</v>
      </c>
      <c r="C731" s="124" t="s">
        <v>396</v>
      </c>
      <c r="D731" s="12">
        <v>25000000</v>
      </c>
      <c r="E731" s="82">
        <v>0.94127974680000004</v>
      </c>
      <c r="F731" s="14">
        <v>23531993.670000002</v>
      </c>
      <c r="G731" s="14">
        <v>0.03</v>
      </c>
      <c r="H731" s="10"/>
      <c r="I731" s="10"/>
    </row>
    <row r="732" spans="1:9">
      <c r="A732" s="10" t="s">
        <v>1386</v>
      </c>
      <c r="B732" s="124" t="s">
        <v>645</v>
      </c>
      <c r="C732" s="124" t="s">
        <v>396</v>
      </c>
      <c r="D732" s="12">
        <v>25000000</v>
      </c>
      <c r="E732" s="82">
        <v>0.97017706439999996</v>
      </c>
      <c r="F732" s="14">
        <v>24254426.609999999</v>
      </c>
      <c r="G732" s="14">
        <v>0.03</v>
      </c>
      <c r="H732" s="10"/>
      <c r="I732" s="10"/>
    </row>
    <row r="733" spans="1:9">
      <c r="A733" s="10" t="s">
        <v>1387</v>
      </c>
      <c r="B733" s="124" t="s">
        <v>692</v>
      </c>
      <c r="C733" s="124" t="s">
        <v>396</v>
      </c>
      <c r="D733" s="12">
        <v>25000000</v>
      </c>
      <c r="E733" s="82">
        <v>0.99015276220000004</v>
      </c>
      <c r="F733" s="14">
        <v>24753819.059999999</v>
      </c>
      <c r="G733" s="14">
        <v>0.03</v>
      </c>
      <c r="H733" s="10"/>
      <c r="I733" s="10"/>
    </row>
    <row r="734" spans="1:9">
      <c r="A734" s="10" t="s">
        <v>1388</v>
      </c>
      <c r="B734" s="124" t="s">
        <v>505</v>
      </c>
      <c r="C734" s="124" t="s">
        <v>396</v>
      </c>
      <c r="D734" s="12">
        <v>50000000</v>
      </c>
      <c r="E734" s="82">
        <v>0.99333245459999997</v>
      </c>
      <c r="F734" s="14">
        <v>49666622.729999997</v>
      </c>
      <c r="G734" s="14">
        <v>0.06</v>
      </c>
      <c r="H734" s="10"/>
      <c r="I734" s="10"/>
    </row>
    <row r="735" spans="1:9">
      <c r="A735" s="10" t="s">
        <v>1389</v>
      </c>
      <c r="B735" s="124" t="s">
        <v>578</v>
      </c>
      <c r="C735" s="124" t="s">
        <v>396</v>
      </c>
      <c r="D735" s="14">
        <v>4981378.5599999996</v>
      </c>
      <c r="E735" s="82">
        <v>0.99582571779999995</v>
      </c>
      <c r="F735" s="14">
        <v>4960584.88</v>
      </c>
      <c r="G735" s="14">
        <v>0.01</v>
      </c>
      <c r="H735" s="10"/>
      <c r="I735" s="10"/>
    </row>
    <row r="736" spans="1:9">
      <c r="A736" s="10" t="s">
        <v>1390</v>
      </c>
      <c r="B736" s="124" t="s">
        <v>415</v>
      </c>
      <c r="C736" s="124" t="s">
        <v>396</v>
      </c>
      <c r="D736" s="12">
        <v>35000000</v>
      </c>
      <c r="E736" s="82">
        <v>0.98210685959999999</v>
      </c>
      <c r="F736" s="14">
        <v>34373740.090000004</v>
      </c>
      <c r="G736" s="14">
        <v>0.04</v>
      </c>
      <c r="H736" s="10"/>
      <c r="I736" s="10"/>
    </row>
    <row r="737" spans="1:9">
      <c r="A737" s="10" t="s">
        <v>1391</v>
      </c>
      <c r="B737" s="124" t="s">
        <v>461</v>
      </c>
      <c r="C737" s="124" t="s">
        <v>396</v>
      </c>
      <c r="D737" s="12">
        <v>35000000</v>
      </c>
      <c r="E737" s="82">
        <v>0.97476301379999997</v>
      </c>
      <c r="F737" s="14">
        <v>34116705.479999997</v>
      </c>
      <c r="G737" s="14">
        <v>0.04</v>
      </c>
      <c r="H737" s="10"/>
      <c r="I737" s="10"/>
    </row>
    <row r="738" spans="1:9">
      <c r="A738" s="10" t="s">
        <v>1392</v>
      </c>
      <c r="B738" s="124" t="s">
        <v>561</v>
      </c>
      <c r="C738" s="124" t="s">
        <v>396</v>
      </c>
      <c r="D738" s="14">
        <v>20344755.739999998</v>
      </c>
      <c r="E738" s="82">
        <v>0.99577138890000005</v>
      </c>
      <c r="F738" s="14">
        <v>20258725.68</v>
      </c>
      <c r="G738" s="14">
        <v>0.02</v>
      </c>
      <c r="H738" s="10"/>
      <c r="I738" s="10"/>
    </row>
    <row r="739" spans="1:9">
      <c r="A739" s="10" t="s">
        <v>1398</v>
      </c>
      <c r="B739" s="124" t="s">
        <v>587</v>
      </c>
      <c r="C739" s="124" t="s">
        <v>391</v>
      </c>
      <c r="D739" s="12">
        <v>15000000</v>
      </c>
      <c r="E739" s="82">
        <v>0.94990254330000001</v>
      </c>
      <c r="F739" s="14">
        <v>14248538.15</v>
      </c>
      <c r="G739" s="14">
        <v>0.02</v>
      </c>
      <c r="H739" s="10"/>
      <c r="I739" s="10"/>
    </row>
    <row r="740" spans="1:9">
      <c r="A740" s="10" t="s">
        <v>1399</v>
      </c>
      <c r="B740" s="124" t="s">
        <v>655</v>
      </c>
      <c r="C740" s="124" t="s">
        <v>391</v>
      </c>
      <c r="D740" s="12">
        <v>2383603</v>
      </c>
      <c r="E740" s="82">
        <v>0.93293125960000001</v>
      </c>
      <c r="F740" s="14">
        <v>2223737.75</v>
      </c>
      <c r="G740" s="12">
        <v>0</v>
      </c>
      <c r="H740" s="10"/>
      <c r="I740" s="10"/>
    </row>
    <row r="741" spans="1:9">
      <c r="A741" s="10" t="s">
        <v>1400</v>
      </c>
      <c r="B741" s="124" t="s">
        <v>692</v>
      </c>
      <c r="C741" s="124" t="s">
        <v>391</v>
      </c>
      <c r="D741" s="12">
        <v>13000000</v>
      </c>
      <c r="E741" s="82">
        <v>0.99044832689999995</v>
      </c>
      <c r="F741" s="14">
        <v>12875828.25</v>
      </c>
      <c r="G741" s="14">
        <v>0.02</v>
      </c>
      <c r="H741" s="10"/>
      <c r="I741" s="10"/>
    </row>
    <row r="742" spans="1:9">
      <c r="A742" s="10" t="s">
        <v>1401</v>
      </c>
      <c r="B742" s="124" t="s">
        <v>636</v>
      </c>
      <c r="C742" s="124" t="s">
        <v>391</v>
      </c>
      <c r="D742" s="12">
        <v>13000000</v>
      </c>
      <c r="E742" s="82">
        <v>0.94295753319999998</v>
      </c>
      <c r="F742" s="14">
        <v>12258447.93</v>
      </c>
      <c r="G742" s="14">
        <v>0.02</v>
      </c>
      <c r="H742" s="10"/>
      <c r="I742" s="10"/>
    </row>
    <row r="743" spans="1:9">
      <c r="A743" s="10" t="s">
        <v>1402</v>
      </c>
      <c r="B743" s="124" t="s">
        <v>630</v>
      </c>
      <c r="C743" s="124" t="s">
        <v>391</v>
      </c>
      <c r="D743" s="12">
        <v>13000000</v>
      </c>
      <c r="E743" s="82">
        <v>0.91644077160000004</v>
      </c>
      <c r="F743" s="14">
        <v>11913730.029999999</v>
      </c>
      <c r="G743" s="14">
        <v>0.01</v>
      </c>
      <c r="H743" s="10"/>
      <c r="I743" s="10"/>
    </row>
    <row r="744" spans="1:9">
      <c r="A744" s="10" t="s">
        <v>1403</v>
      </c>
      <c r="B744" s="124" t="s">
        <v>267</v>
      </c>
      <c r="C744" s="124" t="s">
        <v>391</v>
      </c>
      <c r="D744" s="12">
        <v>13000000</v>
      </c>
      <c r="E744" s="82">
        <v>0.96448583830000001</v>
      </c>
      <c r="F744" s="153">
        <v>12538315.9</v>
      </c>
      <c r="G744" s="14">
        <v>0.02</v>
      </c>
      <c r="H744" s="10"/>
      <c r="I744" s="10"/>
    </row>
    <row r="745" spans="1:9">
      <c r="A745" s="10" t="s">
        <v>1405</v>
      </c>
      <c r="B745" s="124" t="s">
        <v>657</v>
      </c>
      <c r="C745" s="124" t="s">
        <v>391</v>
      </c>
      <c r="D745" s="14">
        <v>6535955.1799999997</v>
      </c>
      <c r="E745" s="82">
        <v>0.94844625110000003</v>
      </c>
      <c r="F745" s="14">
        <v>6199002.1900000004</v>
      </c>
      <c r="G745" s="14">
        <v>0.01</v>
      </c>
      <c r="H745" s="10"/>
      <c r="I745" s="10"/>
    </row>
    <row r="746" spans="1:9">
      <c r="A746" s="10" t="s">
        <v>1406</v>
      </c>
      <c r="B746" s="124" t="s">
        <v>498</v>
      </c>
      <c r="C746" s="124" t="s">
        <v>391</v>
      </c>
      <c r="D746" s="14">
        <v>6535955.1799999997</v>
      </c>
      <c r="E746" s="82">
        <v>0.97271081670000004</v>
      </c>
      <c r="F746" s="153">
        <v>6357594.2999999998</v>
      </c>
      <c r="G746" s="14">
        <v>0.01</v>
      </c>
      <c r="H746" s="10"/>
      <c r="I746" s="10"/>
    </row>
    <row r="747" spans="1:9">
      <c r="A747" s="10" t="s">
        <v>1407</v>
      </c>
      <c r="B747" s="124" t="s">
        <v>429</v>
      </c>
      <c r="C747" s="124" t="s">
        <v>391</v>
      </c>
      <c r="D747" s="12">
        <v>4000000</v>
      </c>
      <c r="E747" s="82">
        <v>0.93676227450000005</v>
      </c>
      <c r="F747" s="153">
        <v>3747049.1</v>
      </c>
      <c r="G747" s="12">
        <v>0</v>
      </c>
      <c r="H747" s="10"/>
      <c r="I747" s="10"/>
    </row>
    <row r="748" spans="1:9">
      <c r="A748" s="10" t="s">
        <v>1408</v>
      </c>
      <c r="B748" s="124" t="s">
        <v>505</v>
      </c>
      <c r="C748" s="124" t="s">
        <v>391</v>
      </c>
      <c r="D748" s="14">
        <v>4758168.4800000004</v>
      </c>
      <c r="E748" s="82">
        <v>0.99390044509999997</v>
      </c>
      <c r="F748" s="14">
        <v>4729145.7699999996</v>
      </c>
      <c r="G748" s="14">
        <v>0.01</v>
      </c>
      <c r="H748" s="10"/>
      <c r="I748" s="10"/>
    </row>
    <row r="749" spans="1:9">
      <c r="A749" s="10" t="s">
        <v>1409</v>
      </c>
      <c r="B749" s="124" t="s">
        <v>578</v>
      </c>
      <c r="C749" s="124" t="s">
        <v>391</v>
      </c>
      <c r="D749" s="14">
        <v>2749536.48</v>
      </c>
      <c r="E749" s="82">
        <v>0.99476726719999997</v>
      </c>
      <c r="F749" s="14">
        <v>2735148.89</v>
      </c>
      <c r="G749" s="12">
        <v>0</v>
      </c>
      <c r="H749" s="10"/>
      <c r="I749" s="10"/>
    </row>
    <row r="750" spans="1:9">
      <c r="A750" s="10" t="s">
        <v>1412</v>
      </c>
      <c r="B750" s="124" t="s">
        <v>561</v>
      </c>
      <c r="C750" s="124" t="s">
        <v>391</v>
      </c>
      <c r="D750" s="12">
        <v>4000000</v>
      </c>
      <c r="E750" s="157">
        <v>0.99563558500000005</v>
      </c>
      <c r="F750" s="14">
        <v>3982542.34</v>
      </c>
      <c r="G750" s="12">
        <v>0</v>
      </c>
      <c r="H750" s="10"/>
      <c r="I750" s="10"/>
    </row>
    <row r="751" spans="1:9">
      <c r="A751" s="10" t="s">
        <v>1413</v>
      </c>
      <c r="B751" s="124" t="s">
        <v>463</v>
      </c>
      <c r="C751" s="124" t="s">
        <v>391</v>
      </c>
      <c r="D751" s="12">
        <v>60000000</v>
      </c>
      <c r="E751" s="82">
        <v>0.98664650919999997</v>
      </c>
      <c r="F751" s="14">
        <v>59198790.549999997</v>
      </c>
      <c r="G751" s="14">
        <v>7.0000000000000007E-2</v>
      </c>
      <c r="H751" s="10"/>
      <c r="I751" s="10"/>
    </row>
    <row r="752" spans="1:9">
      <c r="A752" s="10" t="s">
        <v>1414</v>
      </c>
      <c r="B752" s="124" t="s">
        <v>463</v>
      </c>
      <c r="C752" s="124" t="s">
        <v>391</v>
      </c>
      <c r="D752" s="12">
        <v>60000000</v>
      </c>
      <c r="E752" s="82">
        <v>0.98664650919999997</v>
      </c>
      <c r="F752" s="14">
        <v>59198790.549999997</v>
      </c>
      <c r="G752" s="14">
        <v>7.0000000000000007E-2</v>
      </c>
      <c r="H752" s="10"/>
      <c r="I752" s="10"/>
    </row>
    <row r="753" spans="1:9">
      <c r="A753" s="10" t="s">
        <v>1415</v>
      </c>
      <c r="B753" s="124" t="s">
        <v>517</v>
      </c>
      <c r="C753" s="124" t="s">
        <v>391</v>
      </c>
      <c r="D753" s="12">
        <v>25000000</v>
      </c>
      <c r="E753" s="82">
        <v>0.98766104519999998</v>
      </c>
      <c r="F753" s="14">
        <v>24691526.129999999</v>
      </c>
      <c r="G753" s="14">
        <v>0.03</v>
      </c>
      <c r="H753" s="10"/>
      <c r="I753" s="10"/>
    </row>
    <row r="754" spans="1:9">
      <c r="A754" s="10" t="s">
        <v>1416</v>
      </c>
      <c r="B754" s="124" t="s">
        <v>517</v>
      </c>
      <c r="C754" s="124" t="s">
        <v>391</v>
      </c>
      <c r="D754" s="12">
        <v>25000000</v>
      </c>
      <c r="E754" s="82">
        <v>0.98766104519999998</v>
      </c>
      <c r="F754" s="14">
        <v>24691526.129999999</v>
      </c>
      <c r="G754" s="14">
        <v>0.03</v>
      </c>
      <c r="H754" s="10"/>
      <c r="I754" s="10"/>
    </row>
    <row r="755" spans="1:9">
      <c r="A755" s="10" t="s">
        <v>1417</v>
      </c>
      <c r="B755" s="124" t="s">
        <v>517</v>
      </c>
      <c r="C755" s="124" t="s">
        <v>391</v>
      </c>
      <c r="D755" s="12">
        <v>25000000</v>
      </c>
      <c r="E755" s="82">
        <v>0.98766104519999998</v>
      </c>
      <c r="F755" s="14">
        <v>24691526.129999999</v>
      </c>
      <c r="G755" s="14">
        <v>0.03</v>
      </c>
      <c r="H755" s="10"/>
      <c r="I755" s="10"/>
    </row>
    <row r="756" spans="1:9">
      <c r="A756" s="10" t="s">
        <v>1418</v>
      </c>
      <c r="B756" s="124" t="s">
        <v>463</v>
      </c>
      <c r="C756" s="124" t="s">
        <v>391</v>
      </c>
      <c r="D756" s="12">
        <v>30000000</v>
      </c>
      <c r="E756" s="82">
        <v>0.98664650919999997</v>
      </c>
      <c r="F756" s="14">
        <v>29599395.280000001</v>
      </c>
      <c r="G756" s="14">
        <v>0.04</v>
      </c>
      <c r="H756" s="10"/>
      <c r="I756" s="10"/>
    </row>
    <row r="757" spans="1:9">
      <c r="A757" s="10" t="s">
        <v>1419</v>
      </c>
      <c r="B757" s="124" t="s">
        <v>415</v>
      </c>
      <c r="C757" s="124" t="s">
        <v>391</v>
      </c>
      <c r="D757" s="12">
        <v>45200000</v>
      </c>
      <c r="E757" s="82">
        <v>0.98060293730000003</v>
      </c>
      <c r="F757" s="14">
        <v>44323252.770000003</v>
      </c>
      <c r="G757" s="14">
        <v>0.05</v>
      </c>
      <c r="H757" s="10"/>
      <c r="I757" s="10"/>
    </row>
    <row r="758" spans="1:9">
      <c r="A758" s="10" t="s">
        <v>1420</v>
      </c>
      <c r="B758" s="124" t="s">
        <v>415</v>
      </c>
      <c r="C758" s="124" t="s">
        <v>391</v>
      </c>
      <c r="D758" s="12">
        <v>25000000</v>
      </c>
      <c r="E758" s="82">
        <v>0.98060293730000003</v>
      </c>
      <c r="F758" s="14">
        <v>24515073.43</v>
      </c>
      <c r="G758" s="14">
        <v>0.03</v>
      </c>
      <c r="H758" s="10"/>
      <c r="I758" s="10"/>
    </row>
    <row r="759" spans="1:9">
      <c r="A759" s="10" t="s">
        <v>1431</v>
      </c>
      <c r="B759" s="124" t="s">
        <v>415</v>
      </c>
      <c r="C759" s="124" t="s">
        <v>486</v>
      </c>
      <c r="D759" s="12">
        <v>10000000</v>
      </c>
      <c r="E759" s="82">
        <v>0.98361543669999996</v>
      </c>
      <c r="F759" s="14">
        <v>9836154.3699999992</v>
      </c>
      <c r="G759" s="14">
        <v>0.01</v>
      </c>
      <c r="H759" s="10"/>
      <c r="I759" s="10"/>
    </row>
    <row r="760" spans="1:9">
      <c r="A760" s="10" t="s">
        <v>1432</v>
      </c>
      <c r="B760" s="124" t="s">
        <v>810</v>
      </c>
      <c r="C760" s="124" t="s">
        <v>486</v>
      </c>
      <c r="D760" s="12">
        <v>10000000</v>
      </c>
      <c r="E760" s="82">
        <v>0.97188207329999998</v>
      </c>
      <c r="F760" s="14">
        <v>9718820.7300000004</v>
      </c>
      <c r="G760" s="14">
        <v>0.01</v>
      </c>
      <c r="H760" s="10"/>
      <c r="I760" s="10"/>
    </row>
    <row r="761" spans="1:9">
      <c r="A761" s="10" t="s">
        <v>1433</v>
      </c>
      <c r="B761" s="124" t="s">
        <v>461</v>
      </c>
      <c r="C761" s="124" t="s">
        <v>486</v>
      </c>
      <c r="D761" s="12">
        <v>10000000</v>
      </c>
      <c r="E761" s="157">
        <v>0.97687617699999996</v>
      </c>
      <c r="F761" s="14">
        <v>9768761.7699999996</v>
      </c>
      <c r="G761" s="14">
        <v>0.01</v>
      </c>
      <c r="H761" s="10"/>
      <c r="I761" s="10"/>
    </row>
    <row r="762" spans="1:9">
      <c r="A762" s="10" t="s">
        <v>1434</v>
      </c>
      <c r="B762" s="124" t="s">
        <v>618</v>
      </c>
      <c r="C762" s="124" t="s">
        <v>486</v>
      </c>
      <c r="D762" s="12">
        <v>15000000</v>
      </c>
      <c r="E762" s="82">
        <v>0.93830337630000005</v>
      </c>
      <c r="F762" s="14">
        <v>14074550.640000001</v>
      </c>
      <c r="G762" s="14">
        <v>0.02</v>
      </c>
      <c r="H762" s="10"/>
      <c r="I762" s="10"/>
    </row>
    <row r="763" spans="1:9">
      <c r="A763" s="10" t="s">
        <v>1435</v>
      </c>
      <c r="B763" s="124" t="s">
        <v>636</v>
      </c>
      <c r="C763" s="124" t="s">
        <v>486</v>
      </c>
      <c r="D763" s="12">
        <v>15000000</v>
      </c>
      <c r="E763" s="157">
        <v>0.94295766599999997</v>
      </c>
      <c r="F763" s="14">
        <v>14144364.99</v>
      </c>
      <c r="G763" s="14">
        <v>0.02</v>
      </c>
      <c r="H763" s="10"/>
      <c r="I763" s="10"/>
    </row>
    <row r="764" spans="1:9">
      <c r="A764" s="10" t="s">
        <v>1436</v>
      </c>
      <c r="B764" s="124" t="s">
        <v>974</v>
      </c>
      <c r="C764" s="124" t="s">
        <v>486</v>
      </c>
      <c r="D764" s="12">
        <v>15000000</v>
      </c>
      <c r="E764" s="82">
        <v>0.92762027449999995</v>
      </c>
      <c r="F764" s="14">
        <v>13914304.119999999</v>
      </c>
      <c r="G764" s="14">
        <v>0.02</v>
      </c>
      <c r="H764" s="10"/>
      <c r="I764" s="10"/>
    </row>
    <row r="765" spans="1:9">
      <c r="A765" s="10" t="s">
        <v>1437</v>
      </c>
      <c r="B765" s="124" t="s">
        <v>1113</v>
      </c>
      <c r="C765" s="124" t="s">
        <v>486</v>
      </c>
      <c r="D765" s="12">
        <v>10000000</v>
      </c>
      <c r="E765" s="82">
        <v>0.92236943260000004</v>
      </c>
      <c r="F765" s="14">
        <v>9223694.3300000001</v>
      </c>
      <c r="G765" s="14">
        <v>0.01</v>
      </c>
      <c r="H765" s="10"/>
      <c r="I765" s="10"/>
    </row>
    <row r="766" spans="1:9">
      <c r="A766" s="10" t="s">
        <v>1438</v>
      </c>
      <c r="B766" s="124" t="s">
        <v>682</v>
      </c>
      <c r="C766" s="124" t="s">
        <v>486</v>
      </c>
      <c r="D766" s="12">
        <v>6000000</v>
      </c>
      <c r="E766" s="82">
        <v>0.97113211960000001</v>
      </c>
      <c r="F766" s="14">
        <v>5826792.7199999997</v>
      </c>
      <c r="G766" s="14">
        <v>0.01</v>
      </c>
      <c r="H766" s="10"/>
      <c r="I766" s="10"/>
    </row>
    <row r="767" spans="1:9">
      <c r="A767" s="10" t="s">
        <v>1439</v>
      </c>
      <c r="B767" s="124" t="s">
        <v>578</v>
      </c>
      <c r="C767" s="124" t="s">
        <v>486</v>
      </c>
      <c r="D767" s="12">
        <v>6000000</v>
      </c>
      <c r="E767" s="82">
        <v>0.99492994990000005</v>
      </c>
      <c r="F767" s="153">
        <v>5969579.7000000002</v>
      </c>
      <c r="G767" s="14">
        <v>0.01</v>
      </c>
      <c r="H767" s="10"/>
      <c r="I767" s="10"/>
    </row>
    <row r="768" spans="1:9">
      <c r="A768" s="10" t="s">
        <v>1440</v>
      </c>
      <c r="B768" s="124" t="s">
        <v>645</v>
      </c>
      <c r="C768" s="124" t="s">
        <v>486</v>
      </c>
      <c r="D768" s="12">
        <v>5000000</v>
      </c>
      <c r="E768" s="82">
        <v>0.9719338059</v>
      </c>
      <c r="F768" s="14">
        <v>4859669.03</v>
      </c>
      <c r="G768" s="14">
        <v>0.01</v>
      </c>
      <c r="H768" s="10"/>
      <c r="I768" s="10"/>
    </row>
    <row r="769" spans="1:9">
      <c r="A769" s="10" t="s">
        <v>1441</v>
      </c>
      <c r="B769" s="124" t="s">
        <v>461</v>
      </c>
      <c r="C769" s="124" t="s">
        <v>486</v>
      </c>
      <c r="D769" s="12">
        <v>5000000</v>
      </c>
      <c r="E769" s="82">
        <v>0.9775825977</v>
      </c>
      <c r="F769" s="14">
        <v>4887912.99</v>
      </c>
      <c r="G769" s="14">
        <v>0.01</v>
      </c>
      <c r="H769" s="10"/>
      <c r="I769" s="10"/>
    </row>
    <row r="770" spans="1:9">
      <c r="A770" s="10" t="s">
        <v>1442</v>
      </c>
      <c r="B770" s="124" t="s">
        <v>746</v>
      </c>
      <c r="C770" s="124" t="s">
        <v>486</v>
      </c>
      <c r="D770" s="12">
        <v>5000000</v>
      </c>
      <c r="E770" s="82">
        <v>0.98742057780000003</v>
      </c>
      <c r="F770" s="14">
        <v>4937102.8899999997</v>
      </c>
      <c r="G770" s="14">
        <v>0.01</v>
      </c>
      <c r="H770" s="10"/>
      <c r="I770" s="10"/>
    </row>
    <row r="771" spans="1:9">
      <c r="A771" s="10" t="s">
        <v>1443</v>
      </c>
      <c r="B771" s="124" t="s">
        <v>1113</v>
      </c>
      <c r="C771" s="124" t="s">
        <v>486</v>
      </c>
      <c r="D771" s="12">
        <v>10000000</v>
      </c>
      <c r="E771" s="82">
        <v>0.92013722060000003</v>
      </c>
      <c r="F771" s="14">
        <v>9201372.2100000009</v>
      </c>
      <c r="G771" s="14">
        <v>0.01</v>
      </c>
      <c r="H771" s="10"/>
      <c r="I771" s="10"/>
    </row>
    <row r="772" spans="1:9">
      <c r="A772" s="10" t="s">
        <v>1444</v>
      </c>
      <c r="B772" s="124" t="s">
        <v>1007</v>
      </c>
      <c r="C772" s="124" t="s">
        <v>486</v>
      </c>
      <c r="D772" s="12">
        <v>10000000</v>
      </c>
      <c r="E772" s="82">
        <v>0.8984616352</v>
      </c>
      <c r="F772" s="14">
        <v>8984616.3499999996</v>
      </c>
      <c r="G772" s="14">
        <v>0.01</v>
      </c>
      <c r="H772" s="10"/>
      <c r="I772" s="10"/>
    </row>
    <row r="773" spans="1:9">
      <c r="A773" s="10" t="s">
        <v>1445</v>
      </c>
      <c r="B773" s="124" t="s">
        <v>1446</v>
      </c>
      <c r="C773" s="124" t="s">
        <v>486</v>
      </c>
      <c r="D773" s="12">
        <v>10000000</v>
      </c>
      <c r="E773" s="82">
        <v>0.90212571929999996</v>
      </c>
      <c r="F773" s="14">
        <v>9021257.1899999995</v>
      </c>
      <c r="G773" s="14">
        <v>0.01</v>
      </c>
      <c r="H773" s="10"/>
      <c r="I773" s="10"/>
    </row>
    <row r="774" spans="1:9">
      <c r="A774" s="10" t="s">
        <v>1447</v>
      </c>
      <c r="B774" s="124" t="s">
        <v>1448</v>
      </c>
      <c r="C774" s="124" t="s">
        <v>486</v>
      </c>
      <c r="D774" s="12">
        <v>10000000</v>
      </c>
      <c r="E774" s="82">
        <v>0.90359962370000002</v>
      </c>
      <c r="F774" s="14">
        <v>9035996.2400000002</v>
      </c>
      <c r="G774" s="14">
        <v>0.01</v>
      </c>
      <c r="H774" s="10"/>
      <c r="I774" s="10"/>
    </row>
    <row r="775" spans="1:9">
      <c r="A775" s="10" t="s">
        <v>1449</v>
      </c>
      <c r="B775" s="124" t="s">
        <v>655</v>
      </c>
      <c r="C775" s="124" t="s">
        <v>486</v>
      </c>
      <c r="D775" s="12">
        <v>10000000</v>
      </c>
      <c r="E775" s="82">
        <v>0.93098000270000003</v>
      </c>
      <c r="F775" s="14">
        <v>9309800.0299999993</v>
      </c>
      <c r="G775" s="14">
        <v>0.01</v>
      </c>
      <c r="H775" s="10"/>
      <c r="I775" s="10"/>
    </row>
    <row r="776" spans="1:9">
      <c r="A776" s="10" t="s">
        <v>1450</v>
      </c>
      <c r="B776" s="124" t="s">
        <v>616</v>
      </c>
      <c r="C776" s="124" t="s">
        <v>486</v>
      </c>
      <c r="D776" s="12">
        <v>10000000</v>
      </c>
      <c r="E776" s="82">
        <v>0.91329931909999995</v>
      </c>
      <c r="F776" s="14">
        <v>9132993.1899999995</v>
      </c>
      <c r="G776" s="14">
        <v>0.01</v>
      </c>
      <c r="H776" s="10"/>
      <c r="I776" s="10"/>
    </row>
    <row r="777" spans="1:9">
      <c r="A777" s="10" t="s">
        <v>1451</v>
      </c>
      <c r="B777" s="124" t="s">
        <v>463</v>
      </c>
      <c r="C777" s="124" t="s">
        <v>486</v>
      </c>
      <c r="D777" s="14">
        <v>60027851.850000001</v>
      </c>
      <c r="E777" s="82">
        <v>0.98942804039999999</v>
      </c>
      <c r="F777" s="14">
        <v>59393239.829999998</v>
      </c>
      <c r="G777" s="14">
        <v>7.0000000000000007E-2</v>
      </c>
      <c r="H777" s="10"/>
      <c r="I777" s="10"/>
    </row>
    <row r="778" spans="1:9">
      <c r="A778" s="10" t="s">
        <v>1452</v>
      </c>
      <c r="B778" s="124" t="s">
        <v>610</v>
      </c>
      <c r="C778" s="124" t="s">
        <v>486</v>
      </c>
      <c r="D778" s="12">
        <v>2500000</v>
      </c>
      <c r="E778" s="82">
        <v>0.97596201189999998</v>
      </c>
      <c r="F778" s="14">
        <v>2439905.0299999998</v>
      </c>
      <c r="G778" s="12">
        <v>0</v>
      </c>
      <c r="H778" s="10"/>
      <c r="I778" s="10"/>
    </row>
    <row r="779" spans="1:9">
      <c r="A779" s="10" t="s">
        <v>1453</v>
      </c>
      <c r="B779" s="124" t="s">
        <v>645</v>
      </c>
      <c r="C779" s="124" t="s">
        <v>486</v>
      </c>
      <c r="D779" s="12">
        <v>5000000</v>
      </c>
      <c r="E779" s="82">
        <v>0.9719338059</v>
      </c>
      <c r="F779" s="14">
        <v>4859669.03</v>
      </c>
      <c r="G779" s="14">
        <v>0.01</v>
      </c>
      <c r="H779" s="10"/>
      <c r="I779" s="10"/>
    </row>
    <row r="780" spans="1:9">
      <c r="A780" s="10" t="s">
        <v>1454</v>
      </c>
      <c r="B780" s="124" t="s">
        <v>692</v>
      </c>
      <c r="C780" s="124" t="s">
        <v>486</v>
      </c>
      <c r="D780" s="153">
        <v>1756706.4</v>
      </c>
      <c r="E780" s="157">
        <v>0.99074404800000004</v>
      </c>
      <c r="F780" s="14">
        <v>1740446.41</v>
      </c>
      <c r="G780" s="12">
        <v>0</v>
      </c>
      <c r="H780" s="10"/>
      <c r="I780" s="10"/>
    </row>
    <row r="781" spans="1:9">
      <c r="A781" s="10" t="s">
        <v>1455</v>
      </c>
      <c r="B781" s="124" t="s">
        <v>423</v>
      </c>
      <c r="C781" s="124" t="s">
        <v>486</v>
      </c>
      <c r="D781" s="14">
        <v>19588994.07</v>
      </c>
      <c r="E781" s="82">
        <v>0.88835897450000001</v>
      </c>
      <c r="F781" s="14">
        <v>17402058.68</v>
      </c>
      <c r="G781" s="14">
        <v>0.02</v>
      </c>
      <c r="H781" s="10"/>
      <c r="I781" s="10"/>
    </row>
    <row r="782" spans="1:9">
      <c r="A782" s="10" t="s">
        <v>1456</v>
      </c>
      <c r="B782" s="124" t="s">
        <v>459</v>
      </c>
      <c r="C782" s="124" t="s">
        <v>486</v>
      </c>
      <c r="D782" s="14">
        <v>918585.17</v>
      </c>
      <c r="E782" s="82">
        <v>0.98542117750000002</v>
      </c>
      <c r="F782" s="14">
        <v>905193.28</v>
      </c>
      <c r="G782" s="12">
        <v>0</v>
      </c>
      <c r="H782" s="10"/>
      <c r="I782" s="10"/>
    </row>
    <row r="783" spans="1:9">
      <c r="A783" s="10" t="s">
        <v>1457</v>
      </c>
      <c r="B783" s="124" t="s">
        <v>419</v>
      </c>
      <c r="C783" s="124" t="s">
        <v>486</v>
      </c>
      <c r="D783" s="14">
        <v>285154.71999999997</v>
      </c>
      <c r="E783" s="82">
        <v>0.9657107909</v>
      </c>
      <c r="F783" s="14">
        <v>275376.99</v>
      </c>
      <c r="G783" s="12">
        <v>0</v>
      </c>
      <c r="H783" s="10"/>
      <c r="I783" s="10"/>
    </row>
    <row r="784" spans="1:9">
      <c r="A784" s="10" t="s">
        <v>1458</v>
      </c>
      <c r="B784" s="124" t="s">
        <v>419</v>
      </c>
      <c r="C784" s="124" t="s">
        <v>486</v>
      </c>
      <c r="D784" s="14">
        <v>285154.71999999997</v>
      </c>
      <c r="E784" s="82">
        <v>0.9657107909</v>
      </c>
      <c r="F784" s="14">
        <v>275376.99</v>
      </c>
      <c r="G784" s="12">
        <v>0</v>
      </c>
      <c r="H784" s="10"/>
      <c r="I784" s="10"/>
    </row>
    <row r="785" spans="1:9">
      <c r="A785" s="10" t="s">
        <v>1459</v>
      </c>
      <c r="B785" s="124" t="s">
        <v>459</v>
      </c>
      <c r="C785" s="124" t="s">
        <v>486</v>
      </c>
      <c r="D785" s="14">
        <v>918585.17</v>
      </c>
      <c r="E785" s="82">
        <v>0.98542117750000002</v>
      </c>
      <c r="F785" s="14">
        <v>905193.28</v>
      </c>
      <c r="G785" s="12">
        <v>0</v>
      </c>
      <c r="H785" s="10"/>
      <c r="I785" s="10"/>
    </row>
    <row r="786" spans="1:9">
      <c r="A786" s="10" t="s">
        <v>1460</v>
      </c>
      <c r="B786" s="124" t="s">
        <v>1461</v>
      </c>
      <c r="C786" s="124" t="s">
        <v>486</v>
      </c>
      <c r="D786" s="14">
        <v>2493401.42</v>
      </c>
      <c r="E786" s="82">
        <v>0.94346945950000005</v>
      </c>
      <c r="F786" s="14">
        <v>2352448.09</v>
      </c>
      <c r="G786" s="12">
        <v>0</v>
      </c>
      <c r="H786" s="10"/>
      <c r="I786" s="10"/>
    </row>
    <row r="787" spans="1:9">
      <c r="A787" s="10" t="s">
        <v>1462</v>
      </c>
      <c r="B787" s="124" t="s">
        <v>1461</v>
      </c>
      <c r="C787" s="124" t="s">
        <v>486</v>
      </c>
      <c r="D787" s="14">
        <v>2493401.42</v>
      </c>
      <c r="E787" s="82">
        <v>0.94346945950000005</v>
      </c>
      <c r="F787" s="14">
        <v>2352448.09</v>
      </c>
      <c r="G787" s="12">
        <v>0</v>
      </c>
      <c r="H787" s="10"/>
      <c r="I787" s="10"/>
    </row>
    <row r="788" spans="1:9">
      <c r="A788" s="10" t="s">
        <v>1463</v>
      </c>
      <c r="B788" s="124" t="s">
        <v>1461</v>
      </c>
      <c r="C788" s="124" t="s">
        <v>486</v>
      </c>
      <c r="D788" s="14">
        <v>2493401.42</v>
      </c>
      <c r="E788" s="82">
        <v>0.94346945950000005</v>
      </c>
      <c r="F788" s="14">
        <v>2352448.09</v>
      </c>
      <c r="G788" s="12">
        <v>0</v>
      </c>
      <c r="H788" s="10"/>
      <c r="I788" s="10"/>
    </row>
    <row r="789" spans="1:9">
      <c r="A789" s="10" t="s">
        <v>1464</v>
      </c>
      <c r="B789" s="124" t="s">
        <v>459</v>
      </c>
      <c r="C789" s="124" t="s">
        <v>486</v>
      </c>
      <c r="D789" s="14">
        <v>918585.17</v>
      </c>
      <c r="E789" s="82">
        <v>0.98542117750000002</v>
      </c>
      <c r="F789" s="14">
        <v>905193.28</v>
      </c>
      <c r="G789" s="12">
        <v>0</v>
      </c>
      <c r="H789" s="10"/>
      <c r="I789" s="10"/>
    </row>
    <row r="790" spans="1:9">
      <c r="A790" s="10" t="s">
        <v>1465</v>
      </c>
      <c r="B790" s="124" t="s">
        <v>459</v>
      </c>
      <c r="C790" s="124" t="s">
        <v>486</v>
      </c>
      <c r="D790" s="14">
        <v>918585.17</v>
      </c>
      <c r="E790" s="82">
        <v>0.98542117750000002</v>
      </c>
      <c r="F790" s="14">
        <v>905193.28</v>
      </c>
      <c r="G790" s="12">
        <v>0</v>
      </c>
      <c r="H790" s="10"/>
      <c r="I790" s="10"/>
    </row>
    <row r="791" spans="1:9">
      <c r="A791" s="10" t="s">
        <v>1466</v>
      </c>
      <c r="B791" s="124" t="s">
        <v>419</v>
      </c>
      <c r="C791" s="124" t="s">
        <v>486</v>
      </c>
      <c r="D791" s="14">
        <v>285154.71999999997</v>
      </c>
      <c r="E791" s="82">
        <v>0.9657107909</v>
      </c>
      <c r="F791" s="14">
        <v>275376.99</v>
      </c>
      <c r="G791" s="12">
        <v>0</v>
      </c>
      <c r="H791" s="10"/>
      <c r="I791" s="10"/>
    </row>
    <row r="792" spans="1:9">
      <c r="A792" s="10" t="s">
        <v>1467</v>
      </c>
      <c r="B792" s="124" t="s">
        <v>419</v>
      </c>
      <c r="C792" s="124" t="s">
        <v>486</v>
      </c>
      <c r="D792" s="14">
        <v>285154.71999999997</v>
      </c>
      <c r="E792" s="82">
        <v>0.9657107909</v>
      </c>
      <c r="F792" s="14">
        <v>275376.99</v>
      </c>
      <c r="G792" s="12">
        <v>0</v>
      </c>
      <c r="H792" s="10"/>
      <c r="I792" s="10"/>
    </row>
    <row r="793" spans="1:9">
      <c r="A793" s="10" t="s">
        <v>1468</v>
      </c>
      <c r="B793" s="124" t="s">
        <v>1461</v>
      </c>
      <c r="C793" s="124" t="s">
        <v>486</v>
      </c>
      <c r="D793" s="14">
        <v>2493401.42</v>
      </c>
      <c r="E793" s="82">
        <v>0.94346945950000005</v>
      </c>
      <c r="F793" s="14">
        <v>2352448.09</v>
      </c>
      <c r="G793" s="12">
        <v>0</v>
      </c>
      <c r="H793" s="10"/>
      <c r="I793" s="10"/>
    </row>
    <row r="794" spans="1:9">
      <c r="A794" s="10" t="s">
        <v>1470</v>
      </c>
      <c r="B794" s="124" t="s">
        <v>559</v>
      </c>
      <c r="C794" s="124" t="s">
        <v>486</v>
      </c>
      <c r="D794" s="12">
        <v>150000000</v>
      </c>
      <c r="E794" s="82">
        <v>0.97167501810000001</v>
      </c>
      <c r="F794" s="14">
        <v>145751252.72</v>
      </c>
      <c r="G794" s="14">
        <v>0.18</v>
      </c>
      <c r="H794" s="10"/>
      <c r="I794" s="10"/>
    </row>
    <row r="795" spans="1:9">
      <c r="A795" s="10" t="s">
        <v>1471</v>
      </c>
      <c r="B795" s="124" t="s">
        <v>456</v>
      </c>
      <c r="C795" s="124" t="s">
        <v>486</v>
      </c>
      <c r="D795" s="12">
        <v>150000000</v>
      </c>
      <c r="E795" s="82">
        <v>0.98563411810000001</v>
      </c>
      <c r="F795" s="14">
        <v>147845117.72</v>
      </c>
      <c r="G795" s="14">
        <v>0.18</v>
      </c>
      <c r="H795" s="10"/>
      <c r="I795" s="10"/>
    </row>
    <row r="796" spans="1:9">
      <c r="A796" s="10" t="s">
        <v>1472</v>
      </c>
      <c r="B796" s="124" t="s">
        <v>267</v>
      </c>
      <c r="C796" s="124" t="s">
        <v>486</v>
      </c>
      <c r="D796" s="14">
        <v>3105640.28</v>
      </c>
      <c r="E796" s="82">
        <v>0.96022312669999998</v>
      </c>
      <c r="F796" s="14">
        <v>2982107.62</v>
      </c>
      <c r="G796" s="12">
        <v>0</v>
      </c>
      <c r="H796" s="10"/>
      <c r="I796" s="10"/>
    </row>
    <row r="797" spans="1:9">
      <c r="A797" s="10" t="s">
        <v>1473</v>
      </c>
      <c r="B797" s="124" t="s">
        <v>556</v>
      </c>
      <c r="C797" s="124" t="s">
        <v>486</v>
      </c>
      <c r="D797" s="14">
        <v>3105640.28</v>
      </c>
      <c r="E797" s="82">
        <v>0.95931470510000005</v>
      </c>
      <c r="F797" s="14">
        <v>2979286.39</v>
      </c>
      <c r="G797" s="12">
        <v>0</v>
      </c>
      <c r="H797" s="10"/>
      <c r="I797" s="10"/>
    </row>
    <row r="798" spans="1:9">
      <c r="A798" s="10" t="s">
        <v>1474</v>
      </c>
      <c r="B798" s="124" t="s">
        <v>556</v>
      </c>
      <c r="C798" s="124" t="s">
        <v>486</v>
      </c>
      <c r="D798" s="14">
        <v>3105640.28</v>
      </c>
      <c r="E798" s="82">
        <v>0.95931470510000005</v>
      </c>
      <c r="F798" s="14">
        <v>2979286.39</v>
      </c>
      <c r="G798" s="12">
        <v>0</v>
      </c>
      <c r="H798" s="10"/>
      <c r="I798" s="10"/>
    </row>
    <row r="799" spans="1:9">
      <c r="A799" s="10" t="s">
        <v>1475</v>
      </c>
      <c r="B799" s="124" t="s">
        <v>925</v>
      </c>
      <c r="C799" s="124" t="s">
        <v>486</v>
      </c>
      <c r="D799" s="14">
        <v>3105640.28</v>
      </c>
      <c r="E799" s="82">
        <v>0.95659924959999998</v>
      </c>
      <c r="F799" s="14">
        <v>2970853.16</v>
      </c>
      <c r="G799" s="12">
        <v>0</v>
      </c>
      <c r="H799" s="10"/>
      <c r="I799" s="10"/>
    </row>
    <row r="800" spans="1:9">
      <c r="A800" s="10" t="s">
        <v>1476</v>
      </c>
      <c r="B800" s="124" t="s">
        <v>752</v>
      </c>
      <c r="C800" s="124" t="s">
        <v>486</v>
      </c>
      <c r="D800" s="14">
        <v>3105640.28</v>
      </c>
      <c r="E800" s="82">
        <v>0.95569766710000004</v>
      </c>
      <c r="F800" s="14">
        <v>2968053.17</v>
      </c>
      <c r="G800" s="12">
        <v>0</v>
      </c>
      <c r="H800" s="10"/>
      <c r="I800" s="10"/>
    </row>
    <row r="801" spans="1:9">
      <c r="A801" s="10" t="s">
        <v>1477</v>
      </c>
      <c r="B801" s="124" t="s">
        <v>667</v>
      </c>
      <c r="C801" s="124" t="s">
        <v>486</v>
      </c>
      <c r="D801" s="14">
        <v>3105640.28</v>
      </c>
      <c r="E801" s="82">
        <v>0.95389927770000005</v>
      </c>
      <c r="F801" s="14">
        <v>2962468.02</v>
      </c>
      <c r="G801" s="12">
        <v>0</v>
      </c>
      <c r="H801" s="10"/>
      <c r="I801" s="10"/>
    </row>
    <row r="802" spans="1:9">
      <c r="A802" s="10" t="s">
        <v>1478</v>
      </c>
      <c r="B802" s="124" t="s">
        <v>614</v>
      </c>
      <c r="C802" s="124" t="s">
        <v>486</v>
      </c>
      <c r="D802" s="14">
        <v>3105640.28</v>
      </c>
      <c r="E802" s="82">
        <v>0.95300261220000004</v>
      </c>
      <c r="F802" s="153">
        <v>2959683.3</v>
      </c>
      <c r="G802" s="12">
        <v>0</v>
      </c>
      <c r="H802" s="10"/>
      <c r="I802" s="10"/>
    </row>
    <row r="803" spans="1:9">
      <c r="A803" s="10" t="s">
        <v>1479</v>
      </c>
      <c r="B803" s="124" t="s">
        <v>661</v>
      </c>
      <c r="C803" s="124" t="s">
        <v>486</v>
      </c>
      <c r="D803" s="14">
        <v>3105640.28</v>
      </c>
      <c r="E803" s="82">
        <v>0.95032287829999995</v>
      </c>
      <c r="F803" s="14">
        <v>2951361.01</v>
      </c>
      <c r="G803" s="12">
        <v>0</v>
      </c>
      <c r="H803" s="10"/>
      <c r="I803" s="10"/>
    </row>
    <row r="804" spans="1:9">
      <c r="A804" s="10" t="s">
        <v>1480</v>
      </c>
      <c r="B804" s="124" t="s">
        <v>573</v>
      </c>
      <c r="C804" s="124" t="s">
        <v>486</v>
      </c>
      <c r="D804" s="14">
        <v>3105640.28</v>
      </c>
      <c r="E804" s="82">
        <v>0.94943309750000004</v>
      </c>
      <c r="F804" s="14">
        <v>2948597.67</v>
      </c>
      <c r="G804" s="12">
        <v>0</v>
      </c>
      <c r="H804" s="10"/>
      <c r="I804" s="10"/>
    </row>
    <row r="805" spans="1:9">
      <c r="A805" s="10" t="s">
        <v>1481</v>
      </c>
      <c r="B805" s="124" t="s">
        <v>627</v>
      </c>
      <c r="C805" s="124" t="s">
        <v>486</v>
      </c>
      <c r="D805" s="14">
        <v>3105640.28</v>
      </c>
      <c r="E805" s="82">
        <v>0.94412835220000002</v>
      </c>
      <c r="F805" s="14">
        <v>2932123.04</v>
      </c>
      <c r="G805" s="12">
        <v>0</v>
      </c>
      <c r="H805" s="10"/>
      <c r="I805" s="10"/>
    </row>
    <row r="806" spans="1:9">
      <c r="A806" s="10" t="s">
        <v>1482</v>
      </c>
      <c r="B806" s="124" t="s">
        <v>762</v>
      </c>
      <c r="C806" s="124" t="s">
        <v>486</v>
      </c>
      <c r="D806" s="14">
        <v>3105640.28</v>
      </c>
      <c r="E806" s="82">
        <v>0.94324994979999999</v>
      </c>
      <c r="F806" s="14">
        <v>2929395.04</v>
      </c>
      <c r="G806" s="12">
        <v>0</v>
      </c>
      <c r="H806" s="10"/>
      <c r="I806" s="10"/>
    </row>
    <row r="807" spans="1:9">
      <c r="A807" s="10" t="s">
        <v>1489</v>
      </c>
      <c r="B807" s="124" t="s">
        <v>461</v>
      </c>
      <c r="C807" s="124" t="s">
        <v>405</v>
      </c>
      <c r="D807" s="12">
        <v>8500000</v>
      </c>
      <c r="E807" s="82">
        <v>0.98542120730000005</v>
      </c>
      <c r="F807" s="14">
        <v>8376080.2599999998</v>
      </c>
      <c r="G807" s="14">
        <v>0.01</v>
      </c>
      <c r="H807" s="10"/>
      <c r="I807" s="10"/>
    </row>
    <row r="808" spans="1:9">
      <c r="A808" s="10" t="s">
        <v>1490</v>
      </c>
      <c r="B808" s="124" t="s">
        <v>610</v>
      </c>
      <c r="C808" s="124" t="s">
        <v>405</v>
      </c>
      <c r="D808" s="12">
        <v>8500000</v>
      </c>
      <c r="E808" s="82">
        <v>0.98435814919999998</v>
      </c>
      <c r="F808" s="14">
        <v>8367044.2699999996</v>
      </c>
      <c r="G808" s="14">
        <v>0.01</v>
      </c>
      <c r="H808" s="10"/>
      <c r="I808" s="10"/>
    </row>
    <row r="809" spans="1:9">
      <c r="A809" s="10" t="s">
        <v>1491</v>
      </c>
      <c r="B809" s="124" t="s">
        <v>810</v>
      </c>
      <c r="C809" s="124" t="s">
        <v>405</v>
      </c>
      <c r="D809" s="12">
        <v>8500000</v>
      </c>
      <c r="E809" s="82">
        <v>0.98223904080000002</v>
      </c>
      <c r="F809" s="14">
        <v>8349031.8499999996</v>
      </c>
      <c r="G809" s="14">
        <v>0.01</v>
      </c>
      <c r="H809" s="10"/>
      <c r="I809" s="10"/>
    </row>
    <row r="810" spans="1:9">
      <c r="A810" s="10" t="s">
        <v>1492</v>
      </c>
      <c r="B810" s="124" t="s">
        <v>645</v>
      </c>
      <c r="C810" s="124" t="s">
        <v>405</v>
      </c>
      <c r="D810" s="12">
        <v>8500000</v>
      </c>
      <c r="E810" s="157">
        <v>0.98171065099999999</v>
      </c>
      <c r="F810" s="14">
        <v>8344540.5300000003</v>
      </c>
      <c r="G810" s="14">
        <v>0.01</v>
      </c>
      <c r="H810" s="10"/>
      <c r="I810" s="10"/>
    </row>
    <row r="811" spans="1:9">
      <c r="A811" s="10" t="s">
        <v>1493</v>
      </c>
      <c r="B811" s="124" t="s">
        <v>578</v>
      </c>
      <c r="C811" s="124" t="s">
        <v>405</v>
      </c>
      <c r="D811" s="14">
        <v>346488.63</v>
      </c>
      <c r="E811" s="82">
        <v>0.99672309589999997</v>
      </c>
      <c r="F811" s="14">
        <v>345353.22</v>
      </c>
      <c r="G811" s="12">
        <v>0</v>
      </c>
      <c r="H811" s="10"/>
      <c r="I811" s="10"/>
    </row>
    <row r="812" spans="1:9">
      <c r="A812" s="10" t="s">
        <v>1494</v>
      </c>
      <c r="B812" s="124" t="s">
        <v>925</v>
      </c>
      <c r="C812" s="124" t="s">
        <v>405</v>
      </c>
      <c r="D812" s="14">
        <v>2409463.31</v>
      </c>
      <c r="E812" s="82">
        <v>0.97541425540000004</v>
      </c>
      <c r="F812" s="14">
        <v>2350224.86</v>
      </c>
      <c r="G812" s="12">
        <v>0</v>
      </c>
      <c r="H812" s="10"/>
      <c r="I812" s="10"/>
    </row>
    <row r="813" spans="1:9">
      <c r="A813" s="10" t="s">
        <v>1495</v>
      </c>
      <c r="B813" s="124" t="s">
        <v>463</v>
      </c>
      <c r="C813" s="124" t="s">
        <v>405</v>
      </c>
      <c r="D813" s="14">
        <v>9990457.7799999993</v>
      </c>
      <c r="E813" s="82">
        <v>0.98907950860000005</v>
      </c>
      <c r="F813" s="14">
        <v>9881357.0700000003</v>
      </c>
      <c r="G813" s="14">
        <v>0.01</v>
      </c>
      <c r="H813" s="10"/>
      <c r="I813" s="10"/>
    </row>
    <row r="814" spans="1:9">
      <c r="A814" s="10" t="s">
        <v>1496</v>
      </c>
      <c r="B814" s="124" t="s">
        <v>1497</v>
      </c>
      <c r="C814" s="124" t="s">
        <v>405</v>
      </c>
      <c r="D814" s="14">
        <v>9990457.7699999996</v>
      </c>
      <c r="E814" s="82">
        <v>0.94086726639999996</v>
      </c>
      <c r="F814" s="14">
        <v>9399694.6899999995</v>
      </c>
      <c r="G814" s="14">
        <v>0.01</v>
      </c>
      <c r="H814" s="10"/>
      <c r="I814" s="10"/>
    </row>
    <row r="815" spans="1:9">
      <c r="A815" s="10" t="s">
        <v>1498</v>
      </c>
      <c r="B815" s="124" t="s">
        <v>556</v>
      </c>
      <c r="C815" s="124" t="s">
        <v>405</v>
      </c>
      <c r="D815" s="14">
        <v>9990457.7799999993</v>
      </c>
      <c r="E815" s="82">
        <v>0.96476624229999997</v>
      </c>
      <c r="F815" s="14">
        <v>9638456.4100000001</v>
      </c>
      <c r="G815" s="14">
        <v>0.01</v>
      </c>
      <c r="H815" s="10"/>
      <c r="I815" s="10"/>
    </row>
    <row r="816" spans="1:9">
      <c r="A816" s="10" t="s">
        <v>1499</v>
      </c>
      <c r="B816" s="124" t="s">
        <v>636</v>
      </c>
      <c r="C816" s="124" t="s">
        <v>405</v>
      </c>
      <c r="D816" s="153">
        <v>1756706.4</v>
      </c>
      <c r="E816" s="157">
        <v>0.94464144299999997</v>
      </c>
      <c r="F816" s="14">
        <v>1659457.67</v>
      </c>
      <c r="G816" s="12">
        <v>0</v>
      </c>
      <c r="H816" s="10"/>
      <c r="I816" s="10"/>
    </row>
    <row r="817" spans="1:9">
      <c r="A817" s="10" t="s">
        <v>1500</v>
      </c>
      <c r="B817" s="124" t="s">
        <v>625</v>
      </c>
      <c r="C817" s="124" t="s">
        <v>405</v>
      </c>
      <c r="D817" s="12">
        <v>4000000</v>
      </c>
      <c r="E817" s="21">
        <v>0.99917876000000005</v>
      </c>
      <c r="F817" s="14">
        <v>3996715.04</v>
      </c>
      <c r="G817" s="12">
        <v>0</v>
      </c>
      <c r="H817" s="10"/>
      <c r="I817" s="10"/>
    </row>
    <row r="818" spans="1:9">
      <c r="A818" s="10" t="s">
        <v>1501</v>
      </c>
      <c r="B818" s="124" t="s">
        <v>473</v>
      </c>
      <c r="C818" s="124" t="s">
        <v>405</v>
      </c>
      <c r="D818" s="12">
        <v>4000000</v>
      </c>
      <c r="E818" s="82">
        <v>0.99672312249999995</v>
      </c>
      <c r="F818" s="14">
        <v>3986892.49</v>
      </c>
      <c r="G818" s="12">
        <v>0</v>
      </c>
      <c r="H818" s="10"/>
      <c r="I818" s="10"/>
    </row>
    <row r="819" spans="1:9">
      <c r="A819" s="10" t="s">
        <v>1503</v>
      </c>
      <c r="B819" s="124" t="s">
        <v>578</v>
      </c>
      <c r="C819" s="124" t="s">
        <v>405</v>
      </c>
      <c r="D819" s="12">
        <v>5000000</v>
      </c>
      <c r="E819" s="82">
        <v>0.99509270790000004</v>
      </c>
      <c r="F819" s="14">
        <v>4975463.54</v>
      </c>
      <c r="G819" s="14">
        <v>0.01</v>
      </c>
      <c r="H819" s="10"/>
      <c r="I819" s="10"/>
    </row>
    <row r="820" spans="1:9">
      <c r="A820" s="10" t="s">
        <v>1504</v>
      </c>
      <c r="B820" s="124" t="s">
        <v>463</v>
      </c>
      <c r="C820" s="124" t="s">
        <v>405</v>
      </c>
      <c r="D820" s="14">
        <v>20398741.449999999</v>
      </c>
      <c r="E820" s="82">
        <v>0.98907950720000004</v>
      </c>
      <c r="F820" s="14">
        <v>20175977.140000001</v>
      </c>
      <c r="G820" s="14">
        <v>0.02</v>
      </c>
      <c r="H820" s="10"/>
      <c r="I820" s="10"/>
    </row>
    <row r="821" spans="1:9">
      <c r="A821" s="10" t="s">
        <v>1505</v>
      </c>
      <c r="B821" s="124" t="s">
        <v>556</v>
      </c>
      <c r="C821" s="124" t="s">
        <v>405</v>
      </c>
      <c r="D821" s="14">
        <v>18916974.350000001</v>
      </c>
      <c r="E821" s="82">
        <v>0.96476624229999997</v>
      </c>
      <c r="F821" s="14">
        <v>18250458.260000002</v>
      </c>
      <c r="G821" s="14">
        <v>0.02</v>
      </c>
      <c r="H821" s="10"/>
      <c r="I821" s="10"/>
    </row>
    <row r="822" spans="1:9">
      <c r="A822" s="10" t="s">
        <v>1506</v>
      </c>
      <c r="B822" s="124" t="s">
        <v>556</v>
      </c>
      <c r="C822" s="124" t="s">
        <v>405</v>
      </c>
      <c r="D822" s="14">
        <v>20398741.449999999</v>
      </c>
      <c r="E822" s="82">
        <v>0.96476624229999997</v>
      </c>
      <c r="F822" s="14">
        <v>19680017.140000001</v>
      </c>
      <c r="G822" s="14">
        <v>0.02</v>
      </c>
      <c r="H822" s="10"/>
      <c r="I822" s="10"/>
    </row>
    <row r="823" spans="1:9">
      <c r="A823" s="10" t="s">
        <v>1507</v>
      </c>
      <c r="B823" s="124" t="s">
        <v>682</v>
      </c>
      <c r="C823" s="124" t="s">
        <v>405</v>
      </c>
      <c r="D823" s="12">
        <v>50000000</v>
      </c>
      <c r="E823" s="157">
        <v>0.97022865599999997</v>
      </c>
      <c r="F823" s="153">
        <v>48511432.799999997</v>
      </c>
      <c r="G823" s="14">
        <v>0.06</v>
      </c>
      <c r="H823" s="10"/>
      <c r="I823" s="10"/>
    </row>
    <row r="824" spans="1:9">
      <c r="A824" s="10" t="s">
        <v>1508</v>
      </c>
      <c r="B824" s="124" t="s">
        <v>456</v>
      </c>
      <c r="C824" s="124" t="s">
        <v>405</v>
      </c>
      <c r="D824" s="14">
        <v>2874176.47</v>
      </c>
      <c r="E824" s="157">
        <v>0.98637986200000005</v>
      </c>
      <c r="F824" s="14">
        <v>2835029.79</v>
      </c>
      <c r="G824" s="12">
        <v>0</v>
      </c>
      <c r="H824" s="10"/>
      <c r="I824" s="10"/>
    </row>
    <row r="825" spans="1:9">
      <c r="A825" s="10" t="s">
        <v>1509</v>
      </c>
      <c r="B825" s="124" t="s">
        <v>746</v>
      </c>
      <c r="C825" s="124" t="s">
        <v>405</v>
      </c>
      <c r="D825" s="14">
        <v>2874176.47</v>
      </c>
      <c r="E825" s="82">
        <v>0.98542123969999995</v>
      </c>
      <c r="F825" s="14">
        <v>2832274.54</v>
      </c>
      <c r="G825" s="12">
        <v>0</v>
      </c>
      <c r="H825" s="10"/>
      <c r="I825" s="10"/>
    </row>
    <row r="826" spans="1:9">
      <c r="A826" s="10" t="s">
        <v>1510</v>
      </c>
      <c r="B826" s="124" t="s">
        <v>415</v>
      </c>
      <c r="C826" s="124" t="s">
        <v>405</v>
      </c>
      <c r="D826" s="14">
        <v>2874176.47</v>
      </c>
      <c r="E826" s="82">
        <v>0.98160507159999999</v>
      </c>
      <c r="F826" s="153">
        <v>2821306.2</v>
      </c>
      <c r="G826" s="12">
        <v>0</v>
      </c>
      <c r="H826" s="10"/>
      <c r="I826" s="10"/>
    </row>
    <row r="827" spans="1:9">
      <c r="A827" s="10" t="s">
        <v>1511</v>
      </c>
      <c r="B827" s="124" t="s">
        <v>716</v>
      </c>
      <c r="C827" s="124" t="s">
        <v>405</v>
      </c>
      <c r="D827" s="14">
        <v>2874176.47</v>
      </c>
      <c r="E827" s="82">
        <v>0.97876219809999998</v>
      </c>
      <c r="F827" s="14">
        <v>2813135.28</v>
      </c>
      <c r="G827" s="12">
        <v>0</v>
      </c>
      <c r="H827" s="10"/>
      <c r="I827" s="10"/>
    </row>
    <row r="828" spans="1:9">
      <c r="A828" s="10" t="s">
        <v>1512</v>
      </c>
      <c r="B828" s="124" t="s">
        <v>473</v>
      </c>
      <c r="C828" s="124" t="s">
        <v>405</v>
      </c>
      <c r="D828" s="14">
        <v>1874176.47</v>
      </c>
      <c r="E828" s="82">
        <v>0.99607031670000001</v>
      </c>
      <c r="F828" s="14">
        <v>1866811.55</v>
      </c>
      <c r="G828" s="12">
        <v>0</v>
      </c>
      <c r="H828" s="10"/>
      <c r="I828" s="10"/>
    </row>
    <row r="829" spans="1:9">
      <c r="A829" s="10" t="s">
        <v>1513</v>
      </c>
      <c r="B829" s="124" t="s">
        <v>561</v>
      </c>
      <c r="C829" s="124" t="s">
        <v>405</v>
      </c>
      <c r="D829" s="14">
        <v>1874176.47</v>
      </c>
      <c r="E829" s="82">
        <v>0.99509271919999998</v>
      </c>
      <c r="F829" s="14">
        <v>1864979.36</v>
      </c>
      <c r="G829" s="12">
        <v>0</v>
      </c>
      <c r="H829" s="10"/>
      <c r="I829" s="10"/>
    </row>
    <row r="830" spans="1:9">
      <c r="A830" s="10" t="s">
        <v>1518</v>
      </c>
      <c r="B830" s="124" t="s">
        <v>419</v>
      </c>
      <c r="C830" s="124" t="s">
        <v>480</v>
      </c>
      <c r="D830" s="12">
        <v>530200000</v>
      </c>
      <c r="E830" s="82">
        <v>0.95961722660000004</v>
      </c>
      <c r="F830" s="14">
        <v>508789053.54000002</v>
      </c>
      <c r="G830" s="14">
        <v>0.62</v>
      </c>
      <c r="H830" s="10"/>
      <c r="I830" s="10"/>
    </row>
    <row r="831" spans="1:9">
      <c r="A831" s="10" t="s">
        <v>1519</v>
      </c>
      <c r="B831" s="124" t="s">
        <v>419</v>
      </c>
      <c r="C831" s="124" t="s">
        <v>480</v>
      </c>
      <c r="D831" s="12">
        <v>40000000</v>
      </c>
      <c r="E831" s="82">
        <v>0.95840775320000005</v>
      </c>
      <c r="F831" s="14">
        <v>38336310.130000003</v>
      </c>
      <c r="G831" s="14">
        <v>0.05</v>
      </c>
      <c r="H831" s="10"/>
      <c r="I831" s="10"/>
    </row>
    <row r="832" spans="1:9">
      <c r="A832" s="10" t="s">
        <v>1520</v>
      </c>
      <c r="B832" s="124" t="s">
        <v>692</v>
      </c>
      <c r="C832" s="124" t="s">
        <v>480</v>
      </c>
      <c r="D832" s="12">
        <v>5000000</v>
      </c>
      <c r="E832" s="82">
        <v>0.99103992789999995</v>
      </c>
      <c r="F832" s="14">
        <v>4955199.6399999997</v>
      </c>
      <c r="G832" s="14">
        <v>0.01</v>
      </c>
      <c r="H832" s="10"/>
      <c r="I832" s="10"/>
    </row>
    <row r="833" spans="1:9">
      <c r="A833" s="10" t="s">
        <v>1521</v>
      </c>
      <c r="B833" s="124" t="s">
        <v>625</v>
      </c>
      <c r="C833" s="124" t="s">
        <v>480</v>
      </c>
      <c r="D833" s="12">
        <v>5000000</v>
      </c>
      <c r="E833" s="157">
        <v>0.999178758</v>
      </c>
      <c r="F833" s="14">
        <v>4995893.79</v>
      </c>
      <c r="G833" s="14">
        <v>0.01</v>
      </c>
      <c r="H833" s="10"/>
      <c r="I833" s="10"/>
    </row>
    <row r="834" spans="1:9">
      <c r="A834" s="10" t="s">
        <v>1522</v>
      </c>
      <c r="B834" s="124" t="s">
        <v>505</v>
      </c>
      <c r="C834" s="124" t="s">
        <v>480</v>
      </c>
      <c r="D834" s="12">
        <v>5000000</v>
      </c>
      <c r="E834" s="157">
        <v>0.99427950399999998</v>
      </c>
      <c r="F834" s="14">
        <v>4971397.5199999996</v>
      </c>
      <c r="G834" s="14">
        <v>0.01</v>
      </c>
      <c r="H834" s="10"/>
      <c r="I834" s="10"/>
    </row>
    <row r="835" spans="1:9">
      <c r="A835" s="10" t="s">
        <v>1523</v>
      </c>
      <c r="B835" s="124" t="s">
        <v>561</v>
      </c>
      <c r="C835" s="124" t="s">
        <v>480</v>
      </c>
      <c r="D835" s="12">
        <v>5000000</v>
      </c>
      <c r="E835" s="82">
        <v>0.99590725390000001</v>
      </c>
      <c r="F835" s="14">
        <v>4979536.2699999996</v>
      </c>
      <c r="G835" s="14">
        <v>0.01</v>
      </c>
      <c r="H835" s="10"/>
      <c r="I835" s="10"/>
    </row>
    <row r="836" spans="1:9">
      <c r="A836" s="10" t="s">
        <v>1524</v>
      </c>
      <c r="B836" s="124" t="s">
        <v>1525</v>
      </c>
      <c r="C836" s="124" t="s">
        <v>480</v>
      </c>
      <c r="D836" s="12">
        <v>25000000</v>
      </c>
      <c r="E836" s="82">
        <v>0.91784648759999998</v>
      </c>
      <c r="F836" s="14">
        <v>22946162.190000001</v>
      </c>
      <c r="G836" s="14">
        <v>0.03</v>
      </c>
      <c r="H836" s="10"/>
      <c r="I836" s="10"/>
    </row>
    <row r="837" spans="1:9">
      <c r="A837" s="10" t="s">
        <v>1526</v>
      </c>
      <c r="B837" s="124" t="s">
        <v>636</v>
      </c>
      <c r="C837" s="124" t="s">
        <v>480</v>
      </c>
      <c r="D837" s="12">
        <v>11820000</v>
      </c>
      <c r="E837" s="82">
        <v>0.94464148859999997</v>
      </c>
      <c r="F837" s="153">
        <v>11165662.4</v>
      </c>
      <c r="G837" s="14">
        <v>0.01</v>
      </c>
      <c r="H837" s="10"/>
      <c r="I837" s="10"/>
    </row>
    <row r="838" spans="1:9">
      <c r="A838" s="10" t="s">
        <v>1527</v>
      </c>
      <c r="B838" s="124" t="s">
        <v>1525</v>
      </c>
      <c r="C838" s="124" t="s">
        <v>480</v>
      </c>
      <c r="D838" s="12">
        <v>11820000</v>
      </c>
      <c r="E838" s="82">
        <v>0.92243931329999995</v>
      </c>
      <c r="F838" s="14">
        <v>10903232.68</v>
      </c>
      <c r="G838" s="14">
        <v>0.01</v>
      </c>
      <c r="H838" s="10"/>
      <c r="I838" s="10"/>
    </row>
    <row r="839" spans="1:9">
      <c r="A839" s="10" t="s">
        <v>1528</v>
      </c>
      <c r="B839" s="124" t="s">
        <v>552</v>
      </c>
      <c r="C839" s="124" t="s">
        <v>480</v>
      </c>
      <c r="D839" s="12">
        <v>11820000</v>
      </c>
      <c r="E839" s="82">
        <v>0.96634985350000002</v>
      </c>
      <c r="F839" s="14">
        <v>11422255.27</v>
      </c>
      <c r="G839" s="14">
        <v>0.01</v>
      </c>
      <c r="H839" s="10"/>
      <c r="I839" s="10"/>
    </row>
    <row r="840" spans="1:9">
      <c r="A840" s="10" t="s">
        <v>1529</v>
      </c>
      <c r="B840" s="124" t="s">
        <v>995</v>
      </c>
      <c r="C840" s="124" t="s">
        <v>480</v>
      </c>
      <c r="D840" s="14">
        <v>9990457.7699999996</v>
      </c>
      <c r="E840" s="21">
        <v>0.91740818000000002</v>
      </c>
      <c r="F840" s="14">
        <v>9165327.6799999997</v>
      </c>
      <c r="G840" s="14">
        <v>0.01</v>
      </c>
      <c r="H840" s="10"/>
      <c r="I840" s="10"/>
    </row>
    <row r="841" spans="1:9">
      <c r="A841" s="10" t="s">
        <v>1530</v>
      </c>
      <c r="B841" s="124" t="s">
        <v>578</v>
      </c>
      <c r="C841" s="124" t="s">
        <v>480</v>
      </c>
      <c r="D841" s="12">
        <v>30000000</v>
      </c>
      <c r="E841" s="82">
        <v>0.99460463369999996</v>
      </c>
      <c r="F841" s="14">
        <v>29838139.010000002</v>
      </c>
      <c r="G841" s="14">
        <v>0.04</v>
      </c>
      <c r="H841" s="10"/>
      <c r="I841" s="10"/>
    </row>
    <row r="842" spans="1:9">
      <c r="A842" s="10" t="s">
        <v>1531</v>
      </c>
      <c r="B842" s="124" t="s">
        <v>578</v>
      </c>
      <c r="C842" s="124" t="s">
        <v>480</v>
      </c>
      <c r="D842" s="12">
        <v>30000000</v>
      </c>
      <c r="E842" s="82">
        <v>0.99460463369999996</v>
      </c>
      <c r="F842" s="14">
        <v>29838139.010000002</v>
      </c>
      <c r="G842" s="14">
        <v>0.04</v>
      </c>
      <c r="H842" s="10"/>
      <c r="I842" s="10"/>
    </row>
    <row r="843" spans="1:9">
      <c r="A843" s="10" t="s">
        <v>1532</v>
      </c>
      <c r="B843" s="124" t="s">
        <v>505</v>
      </c>
      <c r="C843" s="124" t="s">
        <v>480</v>
      </c>
      <c r="D843" s="12">
        <v>40000000</v>
      </c>
      <c r="E843" s="82">
        <v>0.99371104939999999</v>
      </c>
      <c r="F843" s="14">
        <v>39748441.979999997</v>
      </c>
      <c r="G843" s="14">
        <v>0.05</v>
      </c>
      <c r="H843" s="10"/>
      <c r="I843" s="10"/>
    </row>
    <row r="844" spans="1:9">
      <c r="A844" s="10" t="s">
        <v>1533</v>
      </c>
      <c r="B844" s="124" t="s">
        <v>636</v>
      </c>
      <c r="C844" s="124" t="s">
        <v>480</v>
      </c>
      <c r="D844" s="12">
        <v>25000000</v>
      </c>
      <c r="E844" s="82">
        <v>0.94464148859999997</v>
      </c>
      <c r="F844" s="14">
        <v>23616037.219999999</v>
      </c>
      <c r="G844" s="14">
        <v>0.03</v>
      </c>
      <c r="H844" s="10"/>
      <c r="I844" s="10"/>
    </row>
    <row r="845" spans="1:9">
      <c r="A845" s="10" t="s">
        <v>1534</v>
      </c>
      <c r="B845" s="124" t="s">
        <v>657</v>
      </c>
      <c r="C845" s="124" t="s">
        <v>480</v>
      </c>
      <c r="D845" s="12">
        <v>25000000</v>
      </c>
      <c r="E845" s="157">
        <v>0.94997662500000002</v>
      </c>
      <c r="F845" s="14">
        <v>23749415.629999999</v>
      </c>
      <c r="G845" s="14">
        <v>0.03</v>
      </c>
      <c r="H845" s="10"/>
      <c r="I845" s="10"/>
    </row>
    <row r="846" spans="1:9">
      <c r="A846" s="10" t="s">
        <v>1538</v>
      </c>
      <c r="B846" s="124" t="s">
        <v>682</v>
      </c>
      <c r="C846" s="124" t="s">
        <v>441</v>
      </c>
      <c r="D846" s="14">
        <v>2105640.2799999998</v>
      </c>
      <c r="E846" s="157">
        <v>0.96663148499999996</v>
      </c>
      <c r="F846" s="14">
        <v>2035378.19</v>
      </c>
      <c r="G846" s="12">
        <v>0</v>
      </c>
      <c r="H846" s="10"/>
      <c r="I846" s="10"/>
    </row>
    <row r="847" spans="1:9">
      <c r="A847" s="10" t="s">
        <v>1539</v>
      </c>
      <c r="B847" s="124" t="s">
        <v>634</v>
      </c>
      <c r="C847" s="124" t="s">
        <v>441</v>
      </c>
      <c r="D847" s="14">
        <v>2874176.47</v>
      </c>
      <c r="E847" s="82">
        <v>0.96571075839999998</v>
      </c>
      <c r="F847" s="14">
        <v>2775623.14</v>
      </c>
      <c r="G847" s="12">
        <v>0</v>
      </c>
      <c r="H847" s="10"/>
      <c r="I847" s="10"/>
    </row>
    <row r="848" spans="1:9">
      <c r="A848" s="10" t="s">
        <v>1540</v>
      </c>
      <c r="B848" s="124" t="s">
        <v>634</v>
      </c>
      <c r="C848" s="124" t="s">
        <v>441</v>
      </c>
      <c r="D848" s="14">
        <v>3841101.28</v>
      </c>
      <c r="E848" s="82">
        <v>0.96571075839999998</v>
      </c>
      <c r="F848" s="14">
        <v>3709392.83</v>
      </c>
      <c r="G848" s="12">
        <v>0</v>
      </c>
      <c r="H848" s="10"/>
      <c r="I848" s="10"/>
    </row>
    <row r="849" spans="1:9">
      <c r="A849" s="10" t="s">
        <v>1541</v>
      </c>
      <c r="B849" s="124" t="s">
        <v>634</v>
      </c>
      <c r="C849" s="124" t="s">
        <v>441</v>
      </c>
      <c r="D849" s="14">
        <v>3105640.28</v>
      </c>
      <c r="E849" s="157">
        <v>0.96571075200000001</v>
      </c>
      <c r="F849" s="14">
        <v>2999150.21</v>
      </c>
      <c r="G849" s="12">
        <v>0</v>
      </c>
      <c r="H849" s="10"/>
      <c r="I849" s="10"/>
    </row>
    <row r="850" spans="1:9">
      <c r="A850" s="10" t="s">
        <v>1542</v>
      </c>
      <c r="B850" s="124" t="s">
        <v>810</v>
      </c>
      <c r="C850" s="124" t="s">
        <v>441</v>
      </c>
      <c r="D850" s="14">
        <v>3105640.28</v>
      </c>
      <c r="E850" s="82">
        <v>0.9684781039</v>
      </c>
      <c r="F850" s="14">
        <v>3007744.61</v>
      </c>
      <c r="G850" s="12">
        <v>0</v>
      </c>
      <c r="H850" s="10"/>
      <c r="I850" s="10"/>
    </row>
    <row r="851" spans="1:9">
      <c r="A851" s="10" t="s">
        <v>1543</v>
      </c>
      <c r="B851" s="124" t="s">
        <v>634</v>
      </c>
      <c r="C851" s="124" t="s">
        <v>441</v>
      </c>
      <c r="D851" s="14">
        <v>2105640.2799999998</v>
      </c>
      <c r="E851" s="82">
        <v>0.96571075750000002</v>
      </c>
      <c r="F851" s="14">
        <v>2033439.47</v>
      </c>
      <c r="G851" s="12">
        <v>0</v>
      </c>
      <c r="H851" s="10"/>
      <c r="I851" s="10"/>
    </row>
    <row r="852" spans="1:9">
      <c r="A852" s="10" t="s">
        <v>1544</v>
      </c>
      <c r="B852" s="124" t="s">
        <v>682</v>
      </c>
      <c r="C852" s="124" t="s">
        <v>441</v>
      </c>
      <c r="D852" s="14">
        <v>3105640.28</v>
      </c>
      <c r="E852" s="82">
        <v>0.96663149569999995</v>
      </c>
      <c r="F852" s="14">
        <v>3002009.71</v>
      </c>
      <c r="G852" s="12">
        <v>0</v>
      </c>
      <c r="H852" s="10"/>
      <c r="I852" s="10"/>
    </row>
    <row r="853" spans="1:9">
      <c r="A853" s="10" t="s">
        <v>1545</v>
      </c>
      <c r="B853" s="124" t="s">
        <v>682</v>
      </c>
      <c r="C853" s="124" t="s">
        <v>441</v>
      </c>
      <c r="D853" s="14">
        <v>2874176.47</v>
      </c>
      <c r="E853" s="82">
        <v>0.96663149569999995</v>
      </c>
      <c r="F853" s="153">
        <v>2778269.5</v>
      </c>
      <c r="G853" s="12">
        <v>0</v>
      </c>
      <c r="H853" s="10"/>
      <c r="I853" s="10"/>
    </row>
    <row r="854" spans="1:9">
      <c r="A854" s="10" t="s">
        <v>1546</v>
      </c>
      <c r="B854" s="124" t="s">
        <v>682</v>
      </c>
      <c r="C854" s="124" t="s">
        <v>441</v>
      </c>
      <c r="D854" s="14">
        <v>3841101.28</v>
      </c>
      <c r="E854" s="82">
        <v>0.96663149390000003</v>
      </c>
      <c r="F854" s="14">
        <v>3712929.47</v>
      </c>
      <c r="G854" s="12">
        <v>0</v>
      </c>
      <c r="H854" s="10"/>
      <c r="I854" s="10"/>
    </row>
    <row r="855" spans="1:9">
      <c r="A855" s="10" t="s">
        <v>1547</v>
      </c>
      <c r="B855" s="124" t="s">
        <v>552</v>
      </c>
      <c r="C855" s="124" t="s">
        <v>441</v>
      </c>
      <c r="D855" s="14">
        <v>2874176.47</v>
      </c>
      <c r="E855" s="82">
        <v>0.96113339509999995</v>
      </c>
      <c r="F855" s="14">
        <v>2762466.99</v>
      </c>
      <c r="G855" s="12">
        <v>0</v>
      </c>
      <c r="H855" s="10"/>
      <c r="I855" s="10"/>
    </row>
    <row r="856" spans="1:9">
      <c r="A856" s="10" t="s">
        <v>1548</v>
      </c>
      <c r="B856" s="124" t="s">
        <v>505</v>
      </c>
      <c r="C856" s="124" t="s">
        <v>441</v>
      </c>
      <c r="D856" s="12">
        <v>170000000</v>
      </c>
      <c r="E856" s="82">
        <v>0.99276508549999998</v>
      </c>
      <c r="F856" s="14">
        <v>168770064.53999999</v>
      </c>
      <c r="G856" s="14">
        <v>0.21</v>
      </c>
      <c r="H856" s="10"/>
      <c r="I856" s="10"/>
    </row>
    <row r="857" spans="1:9">
      <c r="A857" s="10" t="s">
        <v>1549</v>
      </c>
      <c r="B857" s="124" t="s">
        <v>456</v>
      </c>
      <c r="C857" s="124" t="s">
        <v>441</v>
      </c>
      <c r="D857" s="12">
        <v>40000000</v>
      </c>
      <c r="E857" s="82">
        <v>0.98750072909999997</v>
      </c>
      <c r="F857" s="14">
        <v>39500029.159999996</v>
      </c>
      <c r="G857" s="14">
        <v>0.05</v>
      </c>
      <c r="H857" s="10"/>
      <c r="I857" s="10"/>
    </row>
    <row r="858" spans="1:9">
      <c r="A858" s="10" t="s">
        <v>1550</v>
      </c>
      <c r="B858" s="124" t="s">
        <v>556</v>
      </c>
      <c r="C858" s="124" t="s">
        <v>487</v>
      </c>
      <c r="D858" s="153">
        <v>211135.5</v>
      </c>
      <c r="E858" s="82">
        <v>0.97698080109999996</v>
      </c>
      <c r="F858" s="14">
        <v>206275.33</v>
      </c>
      <c r="G858" s="12">
        <v>0</v>
      </c>
      <c r="H858" s="10"/>
      <c r="I858" s="10"/>
    </row>
    <row r="859" spans="1:9">
      <c r="A859" s="10" t="s">
        <v>1551</v>
      </c>
      <c r="B859" s="124" t="s">
        <v>556</v>
      </c>
      <c r="C859" s="124" t="s">
        <v>487</v>
      </c>
      <c r="D859" s="153">
        <v>126868.5</v>
      </c>
      <c r="E859" s="82">
        <v>0.97698065270000001</v>
      </c>
      <c r="F859" s="14">
        <v>123948.07</v>
      </c>
      <c r="G859" s="12">
        <v>0</v>
      </c>
      <c r="H859" s="10"/>
      <c r="I859" s="10"/>
    </row>
    <row r="860" spans="1:9">
      <c r="A860" s="10" t="s">
        <v>1552</v>
      </c>
      <c r="B860" s="124" t="s">
        <v>1553</v>
      </c>
      <c r="C860" s="124" t="s">
        <v>487</v>
      </c>
      <c r="D860" s="12">
        <v>5000000</v>
      </c>
      <c r="E860" s="82">
        <v>0.92264926189999996</v>
      </c>
      <c r="F860" s="14">
        <v>4613246.3099999996</v>
      </c>
      <c r="G860" s="14">
        <v>0.01</v>
      </c>
      <c r="H860" s="10"/>
      <c r="I860" s="10"/>
    </row>
    <row r="861" spans="1:9">
      <c r="A861" s="10" t="s">
        <v>1554</v>
      </c>
      <c r="B861" s="124" t="s">
        <v>419</v>
      </c>
      <c r="C861" s="124" t="s">
        <v>487</v>
      </c>
      <c r="D861" s="12">
        <v>642000</v>
      </c>
      <c r="E861" s="82">
        <v>0.97437274159999998</v>
      </c>
      <c r="F861" s="153">
        <v>625547.30000000005</v>
      </c>
      <c r="G861" s="12">
        <v>0</v>
      </c>
      <c r="H861" s="10"/>
      <c r="I861" s="10"/>
    </row>
    <row r="862" spans="1:9">
      <c r="A862" s="10" t="s">
        <v>1555</v>
      </c>
      <c r="B862" s="124" t="s">
        <v>667</v>
      </c>
      <c r="C862" s="124" t="s">
        <v>487</v>
      </c>
      <c r="D862" s="12">
        <v>115000000</v>
      </c>
      <c r="E862" s="82">
        <v>0.95512240270000004</v>
      </c>
      <c r="F862" s="14">
        <v>109839076.31</v>
      </c>
      <c r="G862" s="14">
        <v>0.13</v>
      </c>
      <c r="H862" s="10"/>
      <c r="I862" s="10"/>
    </row>
    <row r="863" spans="1:9">
      <c r="A863" s="10" t="s">
        <v>1556</v>
      </c>
      <c r="B863" s="124" t="s">
        <v>634</v>
      </c>
      <c r="C863" s="124" t="s">
        <v>487</v>
      </c>
      <c r="D863" s="12">
        <v>5000000</v>
      </c>
      <c r="E863" s="82">
        <v>0.9684781643</v>
      </c>
      <c r="F863" s="14">
        <v>4842390.82</v>
      </c>
      <c r="G863" s="14">
        <v>0.01</v>
      </c>
      <c r="H863" s="10"/>
      <c r="I863" s="10"/>
    </row>
    <row r="864" spans="1:9">
      <c r="A864" s="10" t="s">
        <v>1557</v>
      </c>
      <c r="B864" s="124" t="s">
        <v>925</v>
      </c>
      <c r="C864" s="124" t="s">
        <v>487</v>
      </c>
      <c r="D864" s="12">
        <v>5000000</v>
      </c>
      <c r="E864" s="82">
        <v>0.96007157990000003</v>
      </c>
      <c r="F864" s="153">
        <v>4800357.9000000004</v>
      </c>
      <c r="G864" s="14">
        <v>0.01</v>
      </c>
      <c r="H864" s="10"/>
      <c r="I864" s="10"/>
    </row>
    <row r="865" spans="1:9">
      <c r="A865" s="10" t="s">
        <v>1558</v>
      </c>
      <c r="B865" s="124" t="s">
        <v>645</v>
      </c>
      <c r="C865" s="124" t="s">
        <v>487</v>
      </c>
      <c r="D865" s="12">
        <v>5000000</v>
      </c>
      <c r="E865" s="82">
        <v>0.97017709159999999</v>
      </c>
      <c r="F865" s="14">
        <v>4850885.46</v>
      </c>
      <c r="G865" s="14">
        <v>0.01</v>
      </c>
      <c r="H865" s="10"/>
      <c r="I865" s="10"/>
    </row>
    <row r="866" spans="1:9">
      <c r="A866" s="10" t="s">
        <v>1559</v>
      </c>
      <c r="B866" s="124" t="s">
        <v>267</v>
      </c>
      <c r="C866" s="124" t="s">
        <v>487</v>
      </c>
      <c r="D866" s="12">
        <v>5000000</v>
      </c>
      <c r="E866" s="82">
        <v>0.96341661030000003</v>
      </c>
      <c r="F866" s="14">
        <v>4817083.05</v>
      </c>
      <c r="G866" s="14">
        <v>0.01</v>
      </c>
      <c r="H866" s="10"/>
      <c r="I866" s="10"/>
    </row>
    <row r="867" spans="1:9">
      <c r="A867" s="10" t="s">
        <v>1560</v>
      </c>
      <c r="B867" s="124" t="s">
        <v>552</v>
      </c>
      <c r="C867" s="124" t="s">
        <v>487</v>
      </c>
      <c r="D867" s="14">
        <v>3105640.28</v>
      </c>
      <c r="E867" s="82">
        <v>0.96113343770000004</v>
      </c>
      <c r="F867" s="14">
        <v>2984934.72</v>
      </c>
      <c r="G867" s="12">
        <v>0</v>
      </c>
      <c r="H867" s="10"/>
      <c r="I867" s="10"/>
    </row>
    <row r="868" spans="1:9">
      <c r="A868" s="10" t="s">
        <v>1561</v>
      </c>
      <c r="B868" s="124" t="s">
        <v>552</v>
      </c>
      <c r="C868" s="124" t="s">
        <v>487</v>
      </c>
      <c r="D868" s="14">
        <v>3841101.28</v>
      </c>
      <c r="E868" s="82">
        <v>0.96113343559999997</v>
      </c>
      <c r="F868" s="14">
        <v>3691810.87</v>
      </c>
      <c r="G868" s="12">
        <v>0</v>
      </c>
      <c r="H868" s="10"/>
      <c r="I868" s="10"/>
    </row>
    <row r="869" spans="1:9">
      <c r="A869" s="10" t="s">
        <v>1562</v>
      </c>
      <c r="B869" s="124" t="s">
        <v>667</v>
      </c>
      <c r="C869" s="124" t="s">
        <v>487</v>
      </c>
      <c r="D869" s="14">
        <v>2874176.47</v>
      </c>
      <c r="E869" s="82">
        <v>0.95389929849999999</v>
      </c>
      <c r="F869" s="14">
        <v>2741674.92</v>
      </c>
      <c r="G869" s="12">
        <v>0</v>
      </c>
      <c r="H869" s="10"/>
      <c r="I869" s="10"/>
    </row>
    <row r="870" spans="1:9">
      <c r="A870" s="10" t="s">
        <v>1563</v>
      </c>
      <c r="B870" s="124" t="s">
        <v>752</v>
      </c>
      <c r="C870" s="124" t="s">
        <v>487</v>
      </c>
      <c r="D870" s="14">
        <v>2874176.47</v>
      </c>
      <c r="E870" s="82">
        <v>0.95569767880000001</v>
      </c>
      <c r="F870" s="14">
        <v>2746843.78</v>
      </c>
      <c r="G870" s="12">
        <v>0</v>
      </c>
      <c r="H870" s="10"/>
      <c r="I870" s="10"/>
    </row>
    <row r="871" spans="1:9">
      <c r="A871" s="10" t="s">
        <v>1564</v>
      </c>
      <c r="B871" s="124" t="s">
        <v>925</v>
      </c>
      <c r="C871" s="124" t="s">
        <v>487</v>
      </c>
      <c r="D871" s="14">
        <v>2874176.47</v>
      </c>
      <c r="E871" s="82">
        <v>0.95659926920000005</v>
      </c>
      <c r="F871" s="14">
        <v>2749435.11</v>
      </c>
      <c r="G871" s="12">
        <v>0</v>
      </c>
      <c r="H871" s="10"/>
      <c r="I871" s="10"/>
    </row>
    <row r="872" spans="1:9">
      <c r="A872" s="10" t="s">
        <v>1565</v>
      </c>
      <c r="B872" s="124" t="s">
        <v>556</v>
      </c>
      <c r="C872" s="124" t="s">
        <v>487</v>
      </c>
      <c r="D872" s="14">
        <v>2874176.47</v>
      </c>
      <c r="E872" s="82">
        <v>0.95931456520000002</v>
      </c>
      <c r="F872" s="14">
        <v>2757239.35</v>
      </c>
      <c r="G872" s="12">
        <v>0</v>
      </c>
      <c r="H872" s="10"/>
      <c r="I872" s="10"/>
    </row>
    <row r="873" spans="1:9">
      <c r="A873" s="10" t="s">
        <v>1566</v>
      </c>
      <c r="B873" s="124" t="s">
        <v>267</v>
      </c>
      <c r="C873" s="124" t="s">
        <v>487</v>
      </c>
      <c r="D873" s="14">
        <v>2874176.47</v>
      </c>
      <c r="E873" s="82">
        <v>0.96022313839999995</v>
      </c>
      <c r="F873" s="14">
        <v>2759850.75</v>
      </c>
      <c r="G873" s="12">
        <v>0</v>
      </c>
      <c r="H873" s="10"/>
      <c r="I873" s="10"/>
    </row>
    <row r="874" spans="1:9">
      <c r="A874" s="10" t="s">
        <v>1567</v>
      </c>
      <c r="B874" s="124" t="s">
        <v>267</v>
      </c>
      <c r="C874" s="124" t="s">
        <v>487</v>
      </c>
      <c r="D874" s="14">
        <v>3841101.28</v>
      </c>
      <c r="E874" s="82">
        <v>0.96022313729999997</v>
      </c>
      <c r="F874" s="14">
        <v>3688314.32</v>
      </c>
      <c r="G874" s="12">
        <v>0</v>
      </c>
      <c r="H874" s="10"/>
      <c r="I874" s="10"/>
    </row>
    <row r="875" spans="1:9">
      <c r="A875" s="10" t="s">
        <v>1568</v>
      </c>
      <c r="B875" s="124" t="s">
        <v>556</v>
      </c>
      <c r="C875" s="124" t="s">
        <v>487</v>
      </c>
      <c r="D875" s="14">
        <v>2874176.47</v>
      </c>
      <c r="E875" s="82">
        <v>0.95931456520000002</v>
      </c>
      <c r="F875" s="14">
        <v>2757239.35</v>
      </c>
      <c r="G875" s="12">
        <v>0</v>
      </c>
      <c r="H875" s="10"/>
      <c r="I875" s="10"/>
    </row>
    <row r="876" spans="1:9">
      <c r="A876" s="10" t="s">
        <v>1569</v>
      </c>
      <c r="B876" s="124" t="s">
        <v>614</v>
      </c>
      <c r="C876" s="124" t="s">
        <v>487</v>
      </c>
      <c r="D876" s="14">
        <v>2874176.47</v>
      </c>
      <c r="E876" s="82">
        <v>0.95300263460000001</v>
      </c>
      <c r="F876" s="14">
        <v>2739097.75</v>
      </c>
      <c r="G876" s="12">
        <v>0</v>
      </c>
      <c r="H876" s="10"/>
      <c r="I876" s="10"/>
    </row>
    <row r="877" spans="1:9">
      <c r="A877" s="10" t="s">
        <v>1570</v>
      </c>
      <c r="B877" s="124" t="s">
        <v>661</v>
      </c>
      <c r="C877" s="124" t="s">
        <v>487</v>
      </c>
      <c r="D877" s="14">
        <v>2874176.47</v>
      </c>
      <c r="E877" s="157">
        <v>0.95032291099999999</v>
      </c>
      <c r="F877" s="14">
        <v>2731395.75</v>
      </c>
      <c r="G877" s="12">
        <v>0</v>
      </c>
      <c r="H877" s="10"/>
      <c r="I877" s="10"/>
    </row>
    <row r="878" spans="1:9">
      <c r="A878" s="10" t="s">
        <v>1571</v>
      </c>
      <c r="B878" s="124" t="s">
        <v>1572</v>
      </c>
      <c r="C878" s="124" t="s">
        <v>487</v>
      </c>
      <c r="D878" s="12">
        <v>31000000</v>
      </c>
      <c r="E878" s="82">
        <v>0.84043294150000003</v>
      </c>
      <c r="F878" s="14">
        <v>26053421.190000001</v>
      </c>
      <c r="G878" s="14">
        <v>0.03</v>
      </c>
      <c r="H878" s="10"/>
      <c r="I878" s="10"/>
    </row>
    <row r="879" spans="1:9">
      <c r="A879" s="10" t="s">
        <v>1573</v>
      </c>
      <c r="B879" s="124" t="s">
        <v>459</v>
      </c>
      <c r="C879" s="124" t="s">
        <v>487</v>
      </c>
      <c r="D879" s="12">
        <v>24730000</v>
      </c>
      <c r="E879" s="82">
        <v>0.98223900149999999</v>
      </c>
      <c r="F879" s="14">
        <v>24290770.510000002</v>
      </c>
      <c r="G879" s="14">
        <v>0.03</v>
      </c>
      <c r="H879" s="10"/>
      <c r="I879" s="10"/>
    </row>
    <row r="880" spans="1:9">
      <c r="A880" s="10" t="s">
        <v>1574</v>
      </c>
      <c r="B880" s="124" t="s">
        <v>559</v>
      </c>
      <c r="C880" s="124" t="s">
        <v>487</v>
      </c>
      <c r="D880" s="12">
        <v>24730000</v>
      </c>
      <c r="E880" s="157">
        <v>0.97530998199999996</v>
      </c>
      <c r="F880" s="14">
        <v>24119415.850000001</v>
      </c>
      <c r="G880" s="14">
        <v>0.03</v>
      </c>
      <c r="H880" s="10"/>
      <c r="I880" s="10"/>
    </row>
    <row r="881" spans="1:9">
      <c r="A881" s="10" t="s">
        <v>1575</v>
      </c>
      <c r="B881" s="124" t="s">
        <v>655</v>
      </c>
      <c r="C881" s="124" t="s">
        <v>487</v>
      </c>
      <c r="D881" s="12">
        <v>108911054</v>
      </c>
      <c r="E881" s="82">
        <v>0.93293125960000001</v>
      </c>
      <c r="F881" s="14">
        <v>101606526.79000001</v>
      </c>
      <c r="G881" s="14">
        <v>0.12</v>
      </c>
      <c r="H881" s="10"/>
      <c r="I881" s="10"/>
    </row>
    <row r="882" spans="1:9">
      <c r="A882" s="10" t="s">
        <v>1576</v>
      </c>
      <c r="B882" s="124" t="s">
        <v>667</v>
      </c>
      <c r="C882" s="124" t="s">
        <v>487</v>
      </c>
      <c r="D882" s="12">
        <v>108911054</v>
      </c>
      <c r="E882" s="82">
        <v>0.95881061249999999</v>
      </c>
      <c r="F882" s="14">
        <v>104425074.39</v>
      </c>
      <c r="G882" s="14">
        <v>0.13</v>
      </c>
      <c r="H882" s="10"/>
      <c r="I882" s="10"/>
    </row>
    <row r="883" spans="1:9">
      <c r="A883" s="10" t="s">
        <v>1577</v>
      </c>
      <c r="B883" s="124" t="s">
        <v>517</v>
      </c>
      <c r="C883" s="124" t="s">
        <v>487</v>
      </c>
      <c r="D883" s="12">
        <v>148000000</v>
      </c>
      <c r="E883" s="82">
        <v>0.98702005469999998</v>
      </c>
      <c r="F883" s="153">
        <v>146078968.09999999</v>
      </c>
      <c r="G883" s="14">
        <v>0.18</v>
      </c>
      <c r="H883" s="10"/>
      <c r="I883" s="10"/>
    </row>
    <row r="884" spans="1:9">
      <c r="A884" s="10" t="s">
        <v>1578</v>
      </c>
      <c r="B884" s="124" t="s">
        <v>578</v>
      </c>
      <c r="C884" s="124" t="s">
        <v>487</v>
      </c>
      <c r="D884" s="14">
        <v>6150126.3399999999</v>
      </c>
      <c r="E884" s="82">
        <v>0.99509269909999998</v>
      </c>
      <c r="F884" s="14">
        <v>6119945.8200000003</v>
      </c>
      <c r="G884" s="14">
        <v>0.01</v>
      </c>
      <c r="H884" s="10"/>
      <c r="I884" s="10"/>
    </row>
    <row r="885" spans="1:9">
      <c r="A885" s="10" t="s">
        <v>1579</v>
      </c>
      <c r="B885" s="124" t="s">
        <v>634</v>
      </c>
      <c r="C885" s="124" t="s">
        <v>487</v>
      </c>
      <c r="D885" s="14">
        <v>6150126.3399999999</v>
      </c>
      <c r="E885" s="82">
        <v>0.97126142920000003</v>
      </c>
      <c r="F885" s="153">
        <v>5973380.5</v>
      </c>
      <c r="G885" s="14">
        <v>0.01</v>
      </c>
      <c r="H885" s="10"/>
      <c r="I885" s="10"/>
    </row>
    <row r="886" spans="1:9">
      <c r="A886" s="10" t="s">
        <v>1580</v>
      </c>
      <c r="B886" s="124" t="s">
        <v>578</v>
      </c>
      <c r="C886" s="124" t="s">
        <v>487</v>
      </c>
      <c r="D886" s="14">
        <v>5103695.5599999996</v>
      </c>
      <c r="E886" s="82">
        <v>0.99509269909999998</v>
      </c>
      <c r="F886" s="14">
        <v>5078650.1900000004</v>
      </c>
      <c r="G886" s="14">
        <v>0.01</v>
      </c>
      <c r="H886" s="10"/>
      <c r="I886" s="10"/>
    </row>
    <row r="887" spans="1:9">
      <c r="A887" s="10" t="s">
        <v>1581</v>
      </c>
      <c r="B887" s="124" t="s">
        <v>578</v>
      </c>
      <c r="C887" s="124" t="s">
        <v>487</v>
      </c>
      <c r="D887" s="12">
        <v>2500000</v>
      </c>
      <c r="E887" s="157">
        <v>0.99509269600000005</v>
      </c>
      <c r="F887" s="14">
        <v>2487731.7400000002</v>
      </c>
      <c r="G887" s="12">
        <v>0</v>
      </c>
      <c r="H887" s="10"/>
      <c r="I887" s="10"/>
    </row>
    <row r="888" spans="1:9">
      <c r="A888" s="10" t="s">
        <v>1582</v>
      </c>
      <c r="B888" s="124" t="s">
        <v>456</v>
      </c>
      <c r="C888" s="124" t="s">
        <v>487</v>
      </c>
      <c r="D888" s="12">
        <v>2700000</v>
      </c>
      <c r="E888" s="82">
        <v>0.9886240516</v>
      </c>
      <c r="F888" s="14">
        <v>2669284.94</v>
      </c>
      <c r="G888" s="12">
        <v>0</v>
      </c>
      <c r="H888" s="10"/>
      <c r="I888" s="10"/>
    </row>
    <row r="889" spans="1:9">
      <c r="A889" s="10" t="s">
        <v>1583</v>
      </c>
      <c r="B889" s="124" t="s">
        <v>578</v>
      </c>
      <c r="C889" s="124" t="s">
        <v>487</v>
      </c>
      <c r="D889" s="12">
        <v>2700000</v>
      </c>
      <c r="E889" s="82">
        <v>0.99509269990000004</v>
      </c>
      <c r="F889" s="14">
        <v>2686750.29</v>
      </c>
      <c r="G889" s="12">
        <v>0</v>
      </c>
      <c r="H889" s="10"/>
      <c r="I889" s="10"/>
    </row>
    <row r="890" spans="1:9">
      <c r="A890" s="10" t="s">
        <v>1584</v>
      </c>
      <c r="B890" s="124" t="s">
        <v>517</v>
      </c>
      <c r="C890" s="124" t="s">
        <v>487</v>
      </c>
      <c r="D890" s="12">
        <v>2700000</v>
      </c>
      <c r="E890" s="82">
        <v>0.99023334809999997</v>
      </c>
      <c r="F890" s="14">
        <v>2673630.04</v>
      </c>
      <c r="G890" s="12">
        <v>0</v>
      </c>
      <c r="H890" s="10"/>
      <c r="I890" s="10"/>
    </row>
    <row r="891" spans="1:9">
      <c r="A891" s="10" t="s">
        <v>1585</v>
      </c>
      <c r="B891" s="124" t="s">
        <v>459</v>
      </c>
      <c r="C891" s="124" t="s">
        <v>487</v>
      </c>
      <c r="D891" s="12">
        <v>2700000</v>
      </c>
      <c r="E891" s="82">
        <v>0.98382752610000002</v>
      </c>
      <c r="F891" s="14">
        <v>2656334.3199999998</v>
      </c>
      <c r="G891" s="12">
        <v>0</v>
      </c>
      <c r="H891" s="10"/>
      <c r="I891" s="10"/>
    </row>
    <row r="892" spans="1:9">
      <c r="A892" s="10" t="s">
        <v>1586</v>
      </c>
      <c r="B892" s="124" t="s">
        <v>461</v>
      </c>
      <c r="C892" s="124" t="s">
        <v>487</v>
      </c>
      <c r="D892" s="12">
        <v>2700000</v>
      </c>
      <c r="E892" s="82">
        <v>0.97829005150000004</v>
      </c>
      <c r="F892" s="14">
        <v>2641383.14</v>
      </c>
      <c r="G892" s="12">
        <v>0</v>
      </c>
      <c r="H892" s="10"/>
      <c r="I892" s="10"/>
    </row>
    <row r="893" spans="1:9">
      <c r="A893" s="10" t="s">
        <v>1587</v>
      </c>
      <c r="B893" s="124" t="s">
        <v>610</v>
      </c>
      <c r="C893" s="124" t="s">
        <v>487</v>
      </c>
      <c r="D893" s="12">
        <v>2700000</v>
      </c>
      <c r="E893" s="82">
        <v>0.97671939279999997</v>
      </c>
      <c r="F893" s="14">
        <v>2637142.36</v>
      </c>
      <c r="G893" s="12">
        <v>0</v>
      </c>
      <c r="H893" s="10"/>
      <c r="I893" s="10"/>
    </row>
    <row r="894" spans="1:9">
      <c r="A894" s="10" t="s">
        <v>1588</v>
      </c>
      <c r="B894" s="124" t="s">
        <v>645</v>
      </c>
      <c r="C894" s="124" t="s">
        <v>487</v>
      </c>
      <c r="D894" s="14">
        <v>2934952.58</v>
      </c>
      <c r="E894" s="82">
        <v>0.97281455890000001</v>
      </c>
      <c r="F894" s="153">
        <v>2855164.6</v>
      </c>
      <c r="G894" s="12">
        <v>0</v>
      </c>
      <c r="H894" s="10"/>
      <c r="I894" s="10"/>
    </row>
    <row r="895" spans="1:9">
      <c r="A895" s="10" t="s">
        <v>1589</v>
      </c>
      <c r="B895" s="124" t="s">
        <v>463</v>
      </c>
      <c r="C895" s="124" t="s">
        <v>487</v>
      </c>
      <c r="D895" s="12">
        <v>1340000</v>
      </c>
      <c r="E895" s="82">
        <v>0.9894280446</v>
      </c>
      <c r="F895" s="14">
        <v>1325833.58</v>
      </c>
      <c r="G895" s="12">
        <v>0</v>
      </c>
      <c r="H895" s="10"/>
      <c r="I895" s="10"/>
    </row>
    <row r="896" spans="1:9">
      <c r="A896" s="10" t="s">
        <v>1591</v>
      </c>
      <c r="B896" s="124" t="s">
        <v>610</v>
      </c>
      <c r="C896" s="124" t="s">
        <v>487</v>
      </c>
      <c r="D896" s="14">
        <v>5577023.0199999996</v>
      </c>
      <c r="E896" s="82">
        <v>0.97671939129999996</v>
      </c>
      <c r="F896" s="14">
        <v>5447186.5300000003</v>
      </c>
      <c r="G896" s="14">
        <v>0.01</v>
      </c>
      <c r="H896" s="10"/>
      <c r="I896" s="10"/>
    </row>
    <row r="897" spans="1:9">
      <c r="A897" s="10" t="s">
        <v>1592</v>
      </c>
      <c r="B897" s="124" t="s">
        <v>578</v>
      </c>
      <c r="C897" s="124" t="s">
        <v>487</v>
      </c>
      <c r="D897" s="14">
        <v>5577023.0199999996</v>
      </c>
      <c r="E897" s="82">
        <v>0.99509270090000002</v>
      </c>
      <c r="F897" s="153">
        <v>5549654.9000000004</v>
      </c>
      <c r="G897" s="14">
        <v>0.01</v>
      </c>
      <c r="H897" s="10"/>
      <c r="I897" s="10"/>
    </row>
    <row r="898" spans="1:9">
      <c r="A898" s="10" t="s">
        <v>1593</v>
      </c>
      <c r="B898" s="124" t="s">
        <v>513</v>
      </c>
      <c r="C898" s="124" t="s">
        <v>487</v>
      </c>
      <c r="D898" s="14">
        <v>5925436.6100000003</v>
      </c>
      <c r="E898" s="82">
        <v>0.98542123960000005</v>
      </c>
      <c r="F898" s="14">
        <v>5839051.0899999999</v>
      </c>
      <c r="G898" s="14">
        <v>0.01</v>
      </c>
      <c r="H898" s="10"/>
      <c r="I898" s="10"/>
    </row>
    <row r="899" spans="1:9">
      <c r="A899" s="10" t="s">
        <v>1594</v>
      </c>
      <c r="B899" s="124" t="s">
        <v>625</v>
      </c>
      <c r="C899" s="124" t="s">
        <v>487</v>
      </c>
      <c r="D899" s="14">
        <v>1852533.42</v>
      </c>
      <c r="E899" s="82">
        <v>0.99917876250000004</v>
      </c>
      <c r="F899" s="14">
        <v>1851012.05</v>
      </c>
      <c r="G899" s="12">
        <v>0</v>
      </c>
      <c r="H899" s="10"/>
      <c r="I899" s="10"/>
    </row>
    <row r="900" spans="1:9">
      <c r="A900" s="10" t="s">
        <v>1595</v>
      </c>
      <c r="B900" s="124" t="s">
        <v>645</v>
      </c>
      <c r="C900" s="124" t="s">
        <v>487</v>
      </c>
      <c r="D900" s="14">
        <v>1852533.42</v>
      </c>
      <c r="E900" s="157">
        <v>0.97281455800000005</v>
      </c>
      <c r="F900" s="14">
        <v>1802171.48</v>
      </c>
      <c r="G900" s="12">
        <v>0</v>
      </c>
      <c r="H900" s="10"/>
      <c r="I900" s="10"/>
    </row>
    <row r="901" spans="1:9">
      <c r="A901" s="10" t="s">
        <v>1610</v>
      </c>
      <c r="B901" s="124" t="s">
        <v>716</v>
      </c>
      <c r="C901" s="124" t="s">
        <v>447</v>
      </c>
      <c r="D901" s="12">
        <v>20000000</v>
      </c>
      <c r="E901" s="157">
        <v>0.98049756899999996</v>
      </c>
      <c r="F901" s="14">
        <v>19609951.379999999</v>
      </c>
      <c r="G901" s="14">
        <v>0.02</v>
      </c>
      <c r="H901" s="10"/>
      <c r="I901" s="10"/>
    </row>
    <row r="902" spans="1:9">
      <c r="A902" s="10" t="s">
        <v>1611</v>
      </c>
      <c r="B902" s="124" t="s">
        <v>716</v>
      </c>
      <c r="C902" s="124" t="s">
        <v>447</v>
      </c>
      <c r="D902" s="12">
        <v>40000000</v>
      </c>
      <c r="E902" s="157">
        <v>0.98049756899999996</v>
      </c>
      <c r="F902" s="14">
        <v>39219902.759999998</v>
      </c>
      <c r="G902" s="14">
        <v>0.05</v>
      </c>
      <c r="H902" s="10"/>
      <c r="I902" s="10"/>
    </row>
    <row r="903" spans="1:9">
      <c r="A903" s="10" t="s">
        <v>1612</v>
      </c>
      <c r="B903" s="124" t="s">
        <v>459</v>
      </c>
      <c r="C903" s="124" t="s">
        <v>447</v>
      </c>
      <c r="D903" s="12">
        <v>6500000</v>
      </c>
      <c r="E903" s="82">
        <v>0.98223898620000005</v>
      </c>
      <c r="F903" s="14">
        <v>6384553.4100000001</v>
      </c>
      <c r="G903" s="14">
        <v>0.01</v>
      </c>
      <c r="H903" s="10"/>
      <c r="I903" s="10"/>
    </row>
    <row r="904" spans="1:9">
      <c r="A904" s="10" t="s">
        <v>1613</v>
      </c>
      <c r="B904" s="124" t="s">
        <v>925</v>
      </c>
      <c r="C904" s="124" t="s">
        <v>447</v>
      </c>
      <c r="D904" s="14">
        <v>14698.63</v>
      </c>
      <c r="E904" s="82">
        <v>0.96007110829999998</v>
      </c>
      <c r="F904" s="14">
        <v>14111.73</v>
      </c>
      <c r="G904" s="12">
        <v>0</v>
      </c>
      <c r="H904" s="10"/>
      <c r="I904" s="10"/>
    </row>
    <row r="905" spans="1:9">
      <c r="A905" s="10" t="s">
        <v>1614</v>
      </c>
      <c r="B905" s="124" t="s">
        <v>556</v>
      </c>
      <c r="C905" s="124" t="s">
        <v>447</v>
      </c>
      <c r="D905" s="14">
        <v>28964.94</v>
      </c>
      <c r="E905" s="82">
        <v>0.96257751579999995</v>
      </c>
      <c r="F905" s="12">
        <v>27881</v>
      </c>
      <c r="G905" s="12">
        <v>0</v>
      </c>
      <c r="H905" s="10"/>
      <c r="I905" s="10"/>
    </row>
    <row r="906" spans="1:9">
      <c r="A906" s="10" t="s">
        <v>1615</v>
      </c>
      <c r="B906" s="124" t="s">
        <v>463</v>
      </c>
      <c r="C906" s="124" t="s">
        <v>447</v>
      </c>
      <c r="D906" s="14">
        <v>3890.81</v>
      </c>
      <c r="E906" s="82">
        <v>0.9883828818</v>
      </c>
      <c r="F906" s="14">
        <v>3845.61</v>
      </c>
      <c r="G906" s="12">
        <v>0</v>
      </c>
      <c r="H906" s="10"/>
      <c r="I906" s="10"/>
    </row>
    <row r="907" spans="1:9">
      <c r="A907" s="10" t="s">
        <v>1616</v>
      </c>
      <c r="B907" s="124" t="s">
        <v>556</v>
      </c>
      <c r="C907" s="124" t="s">
        <v>447</v>
      </c>
      <c r="D907" s="14">
        <v>3890.81</v>
      </c>
      <c r="E907" s="82">
        <v>0.96258105679999995</v>
      </c>
      <c r="F907" s="14">
        <v>3745.22</v>
      </c>
      <c r="G907" s="12">
        <v>0</v>
      </c>
      <c r="H907" s="10"/>
      <c r="I907" s="10"/>
    </row>
    <row r="908" spans="1:9">
      <c r="A908" s="10" t="s">
        <v>1617</v>
      </c>
      <c r="B908" s="124" t="s">
        <v>456</v>
      </c>
      <c r="C908" s="124" t="s">
        <v>447</v>
      </c>
      <c r="D908" s="14">
        <v>14698.63</v>
      </c>
      <c r="E908" s="82">
        <v>0.9875008757</v>
      </c>
      <c r="F908" s="14">
        <v>14514.91</v>
      </c>
      <c r="G908" s="12">
        <v>0</v>
      </c>
      <c r="H908" s="10"/>
      <c r="I908" s="10"/>
    </row>
    <row r="909" spans="1:9">
      <c r="A909" s="10" t="s">
        <v>1618</v>
      </c>
      <c r="B909" s="124" t="s">
        <v>463</v>
      </c>
      <c r="C909" s="124" t="s">
        <v>447</v>
      </c>
      <c r="D909" s="14">
        <v>28964.94</v>
      </c>
      <c r="E909" s="82">
        <v>0.98838285189999997</v>
      </c>
      <c r="F909" s="14">
        <v>28628.45</v>
      </c>
      <c r="G909" s="12">
        <v>0</v>
      </c>
      <c r="H909" s="10"/>
      <c r="I909" s="10"/>
    </row>
    <row r="910" spans="1:9">
      <c r="A910" s="10" t="s">
        <v>1620</v>
      </c>
      <c r="B910" s="124" t="s">
        <v>463</v>
      </c>
      <c r="C910" s="124" t="s">
        <v>447</v>
      </c>
      <c r="D910" s="12">
        <v>4000000</v>
      </c>
      <c r="E910" s="157">
        <v>0.98873118500000001</v>
      </c>
      <c r="F910" s="14">
        <v>3954924.74</v>
      </c>
      <c r="G910" s="12">
        <v>0</v>
      </c>
      <c r="H910" s="10"/>
      <c r="I910" s="10"/>
    </row>
    <row r="911" spans="1:9">
      <c r="A911" s="10" t="s">
        <v>1621</v>
      </c>
      <c r="B911" s="124" t="s">
        <v>415</v>
      </c>
      <c r="C911" s="124" t="s">
        <v>447</v>
      </c>
      <c r="D911" s="12">
        <v>4000000</v>
      </c>
      <c r="E911" s="82">
        <v>0.9836154372</v>
      </c>
      <c r="F911" s="14">
        <v>3934461.75</v>
      </c>
      <c r="G911" s="12">
        <v>0</v>
      </c>
      <c r="H911" s="10"/>
      <c r="I911" s="10"/>
    </row>
    <row r="912" spans="1:9">
      <c r="A912" s="10" t="s">
        <v>1622</v>
      </c>
      <c r="B912" s="124" t="s">
        <v>810</v>
      </c>
      <c r="C912" s="124" t="s">
        <v>447</v>
      </c>
      <c r="D912" s="12">
        <v>4000000</v>
      </c>
      <c r="E912" s="82">
        <v>0.97188206730000004</v>
      </c>
      <c r="F912" s="14">
        <v>3887528.27</v>
      </c>
      <c r="G912" s="12">
        <v>0</v>
      </c>
      <c r="H912" s="10"/>
      <c r="I912" s="10"/>
    </row>
    <row r="913" spans="1:9">
      <c r="A913" s="10" t="s">
        <v>1623</v>
      </c>
      <c r="B913" s="124" t="s">
        <v>1624</v>
      </c>
      <c r="C913" s="124" t="s">
        <v>447</v>
      </c>
      <c r="D913" s="14">
        <v>9084444.3200000003</v>
      </c>
      <c r="E913" s="82">
        <v>0.93599348760000001</v>
      </c>
      <c r="F913" s="14">
        <v>8502980.7200000007</v>
      </c>
      <c r="G913" s="14">
        <v>0.01</v>
      </c>
      <c r="H913" s="10"/>
      <c r="I913" s="10"/>
    </row>
    <row r="914" spans="1:9">
      <c r="A914" s="10" t="s">
        <v>1625</v>
      </c>
      <c r="B914" s="124" t="s">
        <v>645</v>
      </c>
      <c r="C914" s="124" t="s">
        <v>447</v>
      </c>
      <c r="D914" s="14">
        <v>4883046.87</v>
      </c>
      <c r="E914" s="82">
        <v>0.97017707320000002</v>
      </c>
      <c r="F914" s="14">
        <v>4737420.12</v>
      </c>
      <c r="G914" s="14">
        <v>0.01</v>
      </c>
      <c r="H914" s="10"/>
      <c r="I914" s="10"/>
    </row>
    <row r="915" spans="1:9">
      <c r="A915" s="10" t="s">
        <v>1626</v>
      </c>
      <c r="B915" s="124" t="s">
        <v>925</v>
      </c>
      <c r="C915" s="124" t="s">
        <v>447</v>
      </c>
      <c r="D915" s="12">
        <v>36666668</v>
      </c>
      <c r="E915" s="82">
        <v>0.96007155550000001</v>
      </c>
      <c r="F915" s="14">
        <v>35202624.979999997</v>
      </c>
      <c r="G915" s="14">
        <v>0.04</v>
      </c>
      <c r="H915" s="10"/>
      <c r="I915" s="10"/>
    </row>
    <row r="916" spans="1:9">
      <c r="A916" s="10" t="s">
        <v>1627</v>
      </c>
      <c r="B916" s="124" t="s">
        <v>513</v>
      </c>
      <c r="C916" s="124" t="s">
        <v>447</v>
      </c>
      <c r="D916" s="12">
        <v>36666666</v>
      </c>
      <c r="E916" s="82">
        <v>0.98398669589999999</v>
      </c>
      <c r="F916" s="14">
        <v>36079511.530000001</v>
      </c>
      <c r="G916" s="14">
        <v>0.04</v>
      </c>
      <c r="H916" s="10"/>
      <c r="I916" s="10"/>
    </row>
    <row r="917" spans="1:9">
      <c r="A917" s="10" t="s">
        <v>1628</v>
      </c>
      <c r="B917" s="124" t="s">
        <v>513</v>
      </c>
      <c r="C917" s="124" t="s">
        <v>447</v>
      </c>
      <c r="D917" s="12">
        <v>7500000</v>
      </c>
      <c r="E917" s="82">
        <v>0.98398669589999999</v>
      </c>
      <c r="F917" s="14">
        <v>7379900.2199999997</v>
      </c>
      <c r="G917" s="14">
        <v>0.01</v>
      </c>
      <c r="H917" s="10"/>
      <c r="I917" s="10"/>
    </row>
    <row r="918" spans="1:9">
      <c r="A918" s="10" t="s">
        <v>1629</v>
      </c>
      <c r="B918" s="124" t="s">
        <v>463</v>
      </c>
      <c r="C918" s="124" t="s">
        <v>447</v>
      </c>
      <c r="D918" s="12">
        <v>7500000</v>
      </c>
      <c r="E918" s="82">
        <v>0.98838312019999996</v>
      </c>
      <c r="F918" s="153">
        <v>7412873.4000000004</v>
      </c>
      <c r="G918" s="14">
        <v>0.01</v>
      </c>
      <c r="H918" s="10"/>
      <c r="I918" s="10"/>
    </row>
    <row r="919" spans="1:9">
      <c r="A919" s="10" t="s">
        <v>1630</v>
      </c>
      <c r="B919" s="124" t="s">
        <v>498</v>
      </c>
      <c r="C919" s="124" t="s">
        <v>447</v>
      </c>
      <c r="D919" s="12">
        <v>5112056</v>
      </c>
      <c r="E919" s="82">
        <v>0.9718821138</v>
      </c>
      <c r="F919" s="14">
        <v>4968315.79</v>
      </c>
      <c r="G919" s="14">
        <v>0.01</v>
      </c>
      <c r="H919" s="10"/>
      <c r="I919" s="10"/>
    </row>
    <row r="920" spans="1:9">
      <c r="A920" s="10" t="s">
        <v>1631</v>
      </c>
      <c r="B920" s="124" t="s">
        <v>552</v>
      </c>
      <c r="C920" s="124" t="s">
        <v>447</v>
      </c>
      <c r="D920" s="14">
        <v>10051717.33</v>
      </c>
      <c r="E920" s="82">
        <v>0.96425652949999996</v>
      </c>
      <c r="F920" s="14">
        <v>9692434.0700000003</v>
      </c>
      <c r="G920" s="14">
        <v>0.01</v>
      </c>
      <c r="H920" s="10"/>
      <c r="I920" s="10"/>
    </row>
    <row r="921" spans="1:9">
      <c r="A921" s="10" t="s">
        <v>1632</v>
      </c>
      <c r="B921" s="124" t="s">
        <v>925</v>
      </c>
      <c r="C921" s="124" t="s">
        <v>447</v>
      </c>
      <c r="D921" s="14">
        <v>10051717.25</v>
      </c>
      <c r="E921" s="82">
        <v>0.96007155550000001</v>
      </c>
      <c r="F921" s="14">
        <v>9650367.8200000003</v>
      </c>
      <c r="G921" s="14">
        <v>0.01</v>
      </c>
      <c r="H921" s="10"/>
      <c r="I921" s="10"/>
    </row>
    <row r="922" spans="1:9">
      <c r="A922" s="10" t="s">
        <v>1638</v>
      </c>
      <c r="B922" s="124" t="s">
        <v>517</v>
      </c>
      <c r="C922" s="124" t="s">
        <v>398</v>
      </c>
      <c r="D922" s="12">
        <v>5300000</v>
      </c>
      <c r="E922" s="82">
        <v>0.98926717360000005</v>
      </c>
      <c r="F922" s="14">
        <v>5243116.0199999996</v>
      </c>
      <c r="G922" s="14">
        <v>0.01</v>
      </c>
      <c r="H922" s="10"/>
      <c r="I922" s="10"/>
    </row>
    <row r="923" spans="1:9">
      <c r="A923" s="10" t="s">
        <v>1639</v>
      </c>
      <c r="B923" s="124" t="s">
        <v>415</v>
      </c>
      <c r="C923" s="124" t="s">
        <v>398</v>
      </c>
      <c r="D923" s="12">
        <v>5300000</v>
      </c>
      <c r="E923" s="82">
        <v>0.98311209030000002</v>
      </c>
      <c r="F923" s="14">
        <v>5210494.08</v>
      </c>
      <c r="G923" s="14">
        <v>0.01</v>
      </c>
      <c r="H923" s="10"/>
      <c r="I923" s="10"/>
    </row>
    <row r="924" spans="1:9">
      <c r="A924" s="10" t="s">
        <v>1640</v>
      </c>
      <c r="B924" s="124" t="s">
        <v>459</v>
      </c>
      <c r="C924" s="124" t="s">
        <v>398</v>
      </c>
      <c r="D924" s="12">
        <v>5300000</v>
      </c>
      <c r="E924" s="82">
        <v>0.98223901530000002</v>
      </c>
      <c r="F924" s="14">
        <v>5205866.78</v>
      </c>
      <c r="G924" s="14">
        <v>0.01</v>
      </c>
      <c r="H924" s="10"/>
      <c r="I924" s="10"/>
    </row>
    <row r="925" spans="1:9">
      <c r="A925" s="10" t="s">
        <v>1641</v>
      </c>
      <c r="B925" s="124" t="s">
        <v>510</v>
      </c>
      <c r="C925" s="124" t="s">
        <v>398</v>
      </c>
      <c r="D925" s="14">
        <v>5687804.6399999997</v>
      </c>
      <c r="E925" s="82">
        <v>0.98136748210000002</v>
      </c>
      <c r="F925" s="14">
        <v>5581826.5199999996</v>
      </c>
      <c r="G925" s="14">
        <v>0.01</v>
      </c>
      <c r="H925" s="10"/>
      <c r="I925" s="10"/>
    </row>
    <row r="926" spans="1:9">
      <c r="A926" s="10" t="s">
        <v>1642</v>
      </c>
      <c r="B926" s="124" t="s">
        <v>625</v>
      </c>
      <c r="C926" s="124" t="s">
        <v>398</v>
      </c>
      <c r="D926" s="12">
        <v>5300000</v>
      </c>
      <c r="E926" s="82">
        <v>0.9990967114</v>
      </c>
      <c r="F926" s="14">
        <v>5295212.57</v>
      </c>
      <c r="G926" s="14">
        <v>0.01</v>
      </c>
      <c r="H926" s="10"/>
      <c r="I926" s="10"/>
    </row>
    <row r="927" spans="1:9">
      <c r="A927" s="10" t="s">
        <v>1643</v>
      </c>
      <c r="B927" s="124" t="s">
        <v>561</v>
      </c>
      <c r="C927" s="124" t="s">
        <v>398</v>
      </c>
      <c r="D927" s="12">
        <v>5300000</v>
      </c>
      <c r="E927" s="82">
        <v>0.99549981320000003</v>
      </c>
      <c r="F927" s="14">
        <v>5276149.01</v>
      </c>
      <c r="G927" s="14">
        <v>0.01</v>
      </c>
      <c r="H927" s="10"/>
      <c r="I927" s="10"/>
    </row>
    <row r="928" spans="1:9">
      <c r="A928" s="10" t="s">
        <v>1644</v>
      </c>
      <c r="B928" s="124" t="s">
        <v>473</v>
      </c>
      <c r="C928" s="124" t="s">
        <v>398</v>
      </c>
      <c r="D928" s="12">
        <v>5300000</v>
      </c>
      <c r="E928" s="82">
        <v>0.99639661509999999</v>
      </c>
      <c r="F928" s="14">
        <v>5280902.0599999996</v>
      </c>
      <c r="G928" s="14">
        <v>0.01</v>
      </c>
      <c r="H928" s="10"/>
      <c r="I928" s="10"/>
    </row>
    <row r="929" spans="1:9">
      <c r="A929" s="10" t="s">
        <v>1645</v>
      </c>
      <c r="B929" s="124" t="s">
        <v>578</v>
      </c>
      <c r="C929" s="124" t="s">
        <v>398</v>
      </c>
      <c r="D929" s="12">
        <v>5300000</v>
      </c>
      <c r="E929" s="82">
        <v>0.9946046207</v>
      </c>
      <c r="F929" s="14">
        <v>5271404.49</v>
      </c>
      <c r="G929" s="14">
        <v>0.01</v>
      </c>
      <c r="H929" s="10"/>
      <c r="I929" s="10"/>
    </row>
    <row r="930" spans="1:9">
      <c r="A930" s="10" t="s">
        <v>1646</v>
      </c>
      <c r="B930" s="124" t="s">
        <v>463</v>
      </c>
      <c r="C930" s="124" t="s">
        <v>398</v>
      </c>
      <c r="D930" s="12">
        <v>5300000</v>
      </c>
      <c r="E930" s="82">
        <v>0.98838314140000005</v>
      </c>
      <c r="F930" s="14">
        <v>5238430.6500000004</v>
      </c>
      <c r="G930" s="14">
        <v>0.01</v>
      </c>
      <c r="H930" s="10"/>
      <c r="I930" s="10"/>
    </row>
    <row r="931" spans="1:9">
      <c r="A931" s="10" t="s">
        <v>1647</v>
      </c>
      <c r="B931" s="124" t="s">
        <v>463</v>
      </c>
      <c r="C931" s="124" t="s">
        <v>398</v>
      </c>
      <c r="D931" s="12">
        <v>5300000</v>
      </c>
      <c r="E931" s="82">
        <v>0.98838314140000005</v>
      </c>
      <c r="F931" s="14">
        <v>5238430.6500000004</v>
      </c>
      <c r="G931" s="14">
        <v>0.01</v>
      </c>
      <c r="H931" s="10"/>
      <c r="I931" s="10"/>
    </row>
    <row r="932" spans="1:9">
      <c r="A932" s="10" t="s">
        <v>1648</v>
      </c>
      <c r="B932" s="124" t="s">
        <v>456</v>
      </c>
      <c r="C932" s="124" t="s">
        <v>398</v>
      </c>
      <c r="D932" s="12">
        <v>5300000</v>
      </c>
      <c r="E932" s="82">
        <v>0.98750068310000005</v>
      </c>
      <c r="F932" s="14">
        <v>5233753.62</v>
      </c>
      <c r="G932" s="14">
        <v>0.01</v>
      </c>
      <c r="H932" s="10"/>
      <c r="I932" s="10"/>
    </row>
    <row r="933" spans="1:9">
      <c r="A933" s="10" t="s">
        <v>1649</v>
      </c>
      <c r="B933" s="124" t="s">
        <v>746</v>
      </c>
      <c r="C933" s="124" t="s">
        <v>398</v>
      </c>
      <c r="D933" s="12">
        <v>5300000</v>
      </c>
      <c r="E933" s="82">
        <v>0.98661988310000004</v>
      </c>
      <c r="F933" s="14">
        <v>5229085.38</v>
      </c>
      <c r="G933" s="14">
        <v>0.01</v>
      </c>
      <c r="H933" s="10"/>
      <c r="I933" s="10"/>
    </row>
    <row r="934" spans="1:9">
      <c r="A934" s="10" t="s">
        <v>1650</v>
      </c>
      <c r="B934" s="124" t="s">
        <v>513</v>
      </c>
      <c r="C934" s="124" t="s">
        <v>398</v>
      </c>
      <c r="D934" s="12">
        <v>5300000</v>
      </c>
      <c r="E934" s="82">
        <v>0.98398662810000004</v>
      </c>
      <c r="F934" s="14">
        <v>5215129.13</v>
      </c>
      <c r="G934" s="14">
        <v>0.01</v>
      </c>
      <c r="H934" s="10"/>
      <c r="I934" s="10"/>
    </row>
    <row r="935" spans="1:9">
      <c r="A935" s="10" t="s">
        <v>1651</v>
      </c>
      <c r="B935" s="124" t="s">
        <v>692</v>
      </c>
      <c r="C935" s="124" t="s">
        <v>398</v>
      </c>
      <c r="D935" s="12">
        <v>5300000</v>
      </c>
      <c r="E935" s="82">
        <v>0.99015278679999996</v>
      </c>
      <c r="F935" s="14">
        <v>5247809.7699999996</v>
      </c>
      <c r="G935" s="14">
        <v>0.01</v>
      </c>
      <c r="H935" s="10"/>
      <c r="I935" s="10"/>
    </row>
    <row r="936" spans="1:9">
      <c r="A936" s="10" t="s">
        <v>1652</v>
      </c>
      <c r="B936" s="124" t="s">
        <v>505</v>
      </c>
      <c r="C936" s="124" t="s">
        <v>398</v>
      </c>
      <c r="D936" s="12">
        <v>5300000</v>
      </c>
      <c r="E936" s="82">
        <v>0.99371103390000004</v>
      </c>
      <c r="F936" s="14">
        <v>5266668.4800000004</v>
      </c>
      <c r="G936" s="14">
        <v>0.01</v>
      </c>
      <c r="H936" s="10"/>
      <c r="I936" s="10"/>
    </row>
    <row r="937" spans="1:9">
      <c r="A937" s="10" t="s">
        <v>1653</v>
      </c>
      <c r="B937" s="124" t="s">
        <v>459</v>
      </c>
      <c r="C937" s="124" t="s">
        <v>398</v>
      </c>
      <c r="D937" s="14">
        <v>685128.94</v>
      </c>
      <c r="E937" s="82">
        <v>0.98223900730000002</v>
      </c>
      <c r="F937" s="14">
        <v>672960.37</v>
      </c>
      <c r="G937" s="12">
        <v>0</v>
      </c>
      <c r="H937" s="10"/>
      <c r="I937" s="10"/>
    </row>
    <row r="938" spans="1:9">
      <c r="A938" s="10" t="s">
        <v>1654</v>
      </c>
      <c r="B938" s="124" t="s">
        <v>459</v>
      </c>
      <c r="C938" s="124" t="s">
        <v>398</v>
      </c>
      <c r="D938" s="14">
        <v>685128.94</v>
      </c>
      <c r="E938" s="82">
        <v>0.98223900730000002</v>
      </c>
      <c r="F938" s="14">
        <v>672960.37</v>
      </c>
      <c r="G938" s="12">
        <v>0</v>
      </c>
      <c r="H938" s="10"/>
      <c r="I938" s="10"/>
    </row>
    <row r="939" spans="1:9">
      <c r="A939" s="10" t="s">
        <v>1655</v>
      </c>
      <c r="B939" s="124" t="s">
        <v>459</v>
      </c>
      <c r="C939" s="124" t="s">
        <v>398</v>
      </c>
      <c r="D939" s="14">
        <v>686128.26</v>
      </c>
      <c r="E939" s="82">
        <v>0.98223899150000005</v>
      </c>
      <c r="F939" s="14">
        <v>673941.93</v>
      </c>
      <c r="G939" s="12">
        <v>0</v>
      </c>
      <c r="H939" s="10"/>
      <c r="I939" s="10"/>
    </row>
    <row r="940" spans="1:9">
      <c r="A940" s="10" t="s">
        <v>1656</v>
      </c>
      <c r="B940" s="124" t="s">
        <v>459</v>
      </c>
      <c r="C940" s="124" t="s">
        <v>398</v>
      </c>
      <c r="D940" s="14">
        <v>686128.26</v>
      </c>
      <c r="E940" s="82">
        <v>0.98223899150000005</v>
      </c>
      <c r="F940" s="14">
        <v>673941.93</v>
      </c>
      <c r="G940" s="12">
        <v>0</v>
      </c>
      <c r="H940" s="10"/>
      <c r="I940" s="10"/>
    </row>
    <row r="941" spans="1:9">
      <c r="A941" s="10" t="s">
        <v>1657</v>
      </c>
      <c r="B941" s="124" t="s">
        <v>513</v>
      </c>
      <c r="C941" s="124" t="s">
        <v>398</v>
      </c>
      <c r="D941" s="14">
        <v>686128.26</v>
      </c>
      <c r="E941" s="82">
        <v>0.98398662380000002</v>
      </c>
      <c r="F941" s="14">
        <v>675141.03</v>
      </c>
      <c r="G941" s="12">
        <v>0</v>
      </c>
      <c r="H941" s="10"/>
      <c r="I941" s="10"/>
    </row>
    <row r="942" spans="1:9">
      <c r="A942" s="10" t="s">
        <v>1658</v>
      </c>
      <c r="B942" s="124" t="s">
        <v>415</v>
      </c>
      <c r="C942" s="124" t="s">
        <v>398</v>
      </c>
      <c r="D942" s="14">
        <v>686128.26</v>
      </c>
      <c r="E942" s="82">
        <v>0.98311207879999996</v>
      </c>
      <c r="F942" s="14">
        <v>674540.98</v>
      </c>
      <c r="G942" s="12">
        <v>0</v>
      </c>
      <c r="H942" s="10"/>
      <c r="I942" s="10"/>
    </row>
    <row r="943" spans="1:9">
      <c r="A943" s="10" t="s">
        <v>1659</v>
      </c>
      <c r="B943" s="124" t="s">
        <v>415</v>
      </c>
      <c r="C943" s="124" t="s">
        <v>398</v>
      </c>
      <c r="D943" s="14">
        <v>685128.94</v>
      </c>
      <c r="E943" s="82">
        <v>0.98311209840000002</v>
      </c>
      <c r="F943" s="14">
        <v>673558.55</v>
      </c>
      <c r="G943" s="12">
        <v>0</v>
      </c>
      <c r="H943" s="10"/>
      <c r="I943" s="10"/>
    </row>
    <row r="944" spans="1:9">
      <c r="A944" s="10" t="s">
        <v>1660</v>
      </c>
      <c r="B944" s="124" t="s">
        <v>667</v>
      </c>
      <c r="C944" s="124" t="s">
        <v>398</v>
      </c>
      <c r="D944" s="14">
        <v>5559577.1900000004</v>
      </c>
      <c r="E944" s="82">
        <v>0.95757806479999996</v>
      </c>
      <c r="F944" s="14">
        <v>5323729.17</v>
      </c>
      <c r="G944" s="14">
        <v>0.01</v>
      </c>
      <c r="H944" s="10"/>
      <c r="I944" s="10"/>
    </row>
    <row r="945" spans="1:9">
      <c r="A945" s="10" t="s">
        <v>1661</v>
      </c>
      <c r="B945" s="124" t="s">
        <v>610</v>
      </c>
      <c r="C945" s="124" t="s">
        <v>398</v>
      </c>
      <c r="D945" s="12">
        <v>5561000</v>
      </c>
      <c r="E945" s="82">
        <v>0.97445069969999998</v>
      </c>
      <c r="F945" s="14">
        <v>5418920.3399999999</v>
      </c>
      <c r="G945" s="14">
        <v>0.01</v>
      </c>
      <c r="H945" s="10"/>
      <c r="I945" s="10"/>
    </row>
    <row r="946" spans="1:9">
      <c r="A946" s="10" t="s">
        <v>1662</v>
      </c>
      <c r="B946" s="124" t="s">
        <v>517</v>
      </c>
      <c r="C946" s="124" t="s">
        <v>398</v>
      </c>
      <c r="D946" s="12">
        <v>5561000</v>
      </c>
      <c r="E946" s="82">
        <v>0.98926717490000005</v>
      </c>
      <c r="F946" s="14">
        <v>5501314.7599999998</v>
      </c>
      <c r="G946" s="14">
        <v>0.01</v>
      </c>
      <c r="H946" s="10"/>
      <c r="I946" s="10"/>
    </row>
    <row r="947" spans="1:9">
      <c r="A947" s="10" t="s">
        <v>1663</v>
      </c>
      <c r="B947" s="124" t="s">
        <v>561</v>
      </c>
      <c r="C947" s="124" t="s">
        <v>398</v>
      </c>
      <c r="D947" s="14">
        <v>258898.86</v>
      </c>
      <c r="E947" s="82">
        <v>0.99549982569999995</v>
      </c>
      <c r="F947" s="14">
        <v>257733.77</v>
      </c>
      <c r="G947" s="12">
        <v>0</v>
      </c>
      <c r="H947" s="10"/>
      <c r="I947" s="10"/>
    </row>
    <row r="948" spans="1:9">
      <c r="A948" s="10" t="s">
        <v>1664</v>
      </c>
      <c r="B948" s="124" t="s">
        <v>625</v>
      </c>
      <c r="C948" s="124" t="s">
        <v>398</v>
      </c>
      <c r="D948" s="14">
        <v>5556718.4800000004</v>
      </c>
      <c r="E948" s="82">
        <v>0.99909671150000001</v>
      </c>
      <c r="F948" s="14">
        <v>5551699.1600000001</v>
      </c>
      <c r="G948" s="14">
        <v>0.01</v>
      </c>
      <c r="H948" s="10"/>
      <c r="I948" s="10"/>
    </row>
    <row r="949" spans="1:9">
      <c r="A949" s="10" t="s">
        <v>1665</v>
      </c>
      <c r="B949" s="124" t="s">
        <v>461</v>
      </c>
      <c r="C949" s="124" t="s">
        <v>398</v>
      </c>
      <c r="D949" s="153">
        <v>6590432.0999999996</v>
      </c>
      <c r="E949" s="157">
        <v>0.97617079900000003</v>
      </c>
      <c r="F949" s="14">
        <v>6433387.3700000001</v>
      </c>
      <c r="G949" s="14">
        <v>0.01</v>
      </c>
      <c r="H949" s="10"/>
      <c r="I949" s="10"/>
    </row>
    <row r="950" spans="1:9">
      <c r="A950" s="10" t="s">
        <v>1666</v>
      </c>
      <c r="B950" s="124" t="s">
        <v>716</v>
      </c>
      <c r="C950" s="124" t="s">
        <v>398</v>
      </c>
      <c r="D950" s="14">
        <v>3581660.97</v>
      </c>
      <c r="E950" s="82">
        <v>0.98049759560000005</v>
      </c>
      <c r="F950" s="14">
        <v>3511809.97</v>
      </c>
      <c r="G950" s="12">
        <v>0</v>
      </c>
      <c r="H950" s="10"/>
      <c r="I950" s="10"/>
    </row>
    <row r="951" spans="1:9">
      <c r="A951" s="10" t="s">
        <v>1667</v>
      </c>
      <c r="B951" s="124" t="s">
        <v>498</v>
      </c>
      <c r="C951" s="124" t="s">
        <v>398</v>
      </c>
      <c r="D951" s="153">
        <v>6590432.0999999996</v>
      </c>
      <c r="E951" s="82">
        <v>0.97188201519999995</v>
      </c>
      <c r="F951" s="14">
        <v>6405122.4299999997</v>
      </c>
      <c r="G951" s="14">
        <v>0.01</v>
      </c>
      <c r="H951" s="10"/>
      <c r="I951" s="10"/>
    </row>
    <row r="952" spans="1:9">
      <c r="A952" s="10" t="s">
        <v>1668</v>
      </c>
      <c r="B952" s="124" t="s">
        <v>559</v>
      </c>
      <c r="C952" s="124" t="s">
        <v>398</v>
      </c>
      <c r="D952" s="153">
        <v>6590432.0999999996</v>
      </c>
      <c r="E952" s="82">
        <v>0.97530999360000004</v>
      </c>
      <c r="F952" s="14">
        <v>6427714.29</v>
      </c>
      <c r="G952" s="14">
        <v>0.01</v>
      </c>
      <c r="H952" s="10"/>
      <c r="I952" s="10"/>
    </row>
    <row r="953" spans="1:9">
      <c r="A953" s="10" t="s">
        <v>1669</v>
      </c>
      <c r="B953" s="124" t="s">
        <v>578</v>
      </c>
      <c r="C953" s="124" t="s">
        <v>398</v>
      </c>
      <c r="D953" s="14">
        <v>1428441.71</v>
      </c>
      <c r="E953" s="82">
        <v>0.99460462409999995</v>
      </c>
      <c r="F953" s="14">
        <v>1420734.73</v>
      </c>
      <c r="G953" s="12">
        <v>0</v>
      </c>
      <c r="H953" s="10"/>
      <c r="I953" s="10"/>
    </row>
    <row r="954" spans="1:9">
      <c r="A954" s="10" t="s">
        <v>1671</v>
      </c>
      <c r="B954" s="124" t="s">
        <v>692</v>
      </c>
      <c r="C954" s="124" t="s">
        <v>398</v>
      </c>
      <c r="D954" s="14">
        <v>1936748.66</v>
      </c>
      <c r="E954" s="82">
        <v>0.99015279030000003</v>
      </c>
      <c r="F954" s="14">
        <v>1917677.09</v>
      </c>
      <c r="G954" s="12">
        <v>0</v>
      </c>
      <c r="H954" s="10"/>
      <c r="I954" s="10"/>
    </row>
    <row r="955" spans="1:9">
      <c r="A955" s="10" t="s">
        <v>1672</v>
      </c>
      <c r="B955" s="124" t="s">
        <v>561</v>
      </c>
      <c r="C955" s="124" t="s">
        <v>398</v>
      </c>
      <c r="D955" s="153">
        <v>155452.9</v>
      </c>
      <c r="E955" s="82">
        <v>0.99549985880000003</v>
      </c>
      <c r="F955" s="14">
        <v>154753.34</v>
      </c>
      <c r="G955" s="12">
        <v>0</v>
      </c>
      <c r="H955" s="10"/>
      <c r="I955" s="10"/>
    </row>
    <row r="956" spans="1:9">
      <c r="A956" s="10" t="s">
        <v>1673</v>
      </c>
      <c r="B956" s="124" t="s">
        <v>625</v>
      </c>
      <c r="C956" s="124" t="s">
        <v>398</v>
      </c>
      <c r="D956" s="14">
        <v>684028.33</v>
      </c>
      <c r="E956" s="82">
        <v>0.99909671870000005</v>
      </c>
      <c r="F956" s="14">
        <v>683410.46</v>
      </c>
      <c r="G956" s="12">
        <v>0</v>
      </c>
      <c r="H956" s="10"/>
      <c r="I956" s="10"/>
    </row>
    <row r="957" spans="1:9">
      <c r="A957" s="10" t="s">
        <v>1674</v>
      </c>
      <c r="B957" s="124" t="s">
        <v>716</v>
      </c>
      <c r="C957" s="124" t="s">
        <v>398</v>
      </c>
      <c r="D957" s="14">
        <v>14295769.460000001</v>
      </c>
      <c r="E957" s="82">
        <v>0.98049759849999996</v>
      </c>
      <c r="F957" s="14">
        <v>14016967.619999999</v>
      </c>
      <c r="G957" s="14">
        <v>0.02</v>
      </c>
      <c r="H957" s="10"/>
      <c r="I957" s="10"/>
    </row>
    <row r="958" spans="1:9">
      <c r="A958" s="10" t="s">
        <v>1675</v>
      </c>
      <c r="B958" s="124" t="s">
        <v>614</v>
      </c>
      <c r="C958" s="124" t="s">
        <v>398</v>
      </c>
      <c r="D958" s="12">
        <v>55000000</v>
      </c>
      <c r="E958" s="82">
        <v>0.95674971249999996</v>
      </c>
      <c r="F958" s="14">
        <v>52621234.189999998</v>
      </c>
      <c r="G958" s="14">
        <v>0.06</v>
      </c>
      <c r="H958" s="10"/>
      <c r="I958" s="10"/>
    </row>
    <row r="959" spans="1:9">
      <c r="A959" s="10" t="s">
        <v>1676</v>
      </c>
      <c r="B959" s="124" t="s">
        <v>459</v>
      </c>
      <c r="C959" s="124" t="s">
        <v>398</v>
      </c>
      <c r="D959" s="12">
        <v>42000000</v>
      </c>
      <c r="E959" s="82">
        <v>0.9796028443</v>
      </c>
      <c r="F959" s="14">
        <v>41143319.460000001</v>
      </c>
      <c r="G959" s="14">
        <v>0.05</v>
      </c>
      <c r="H959" s="10"/>
      <c r="I959" s="10"/>
    </row>
    <row r="960" spans="1:9">
      <c r="A960" s="10" t="s">
        <v>1677</v>
      </c>
      <c r="B960" s="124" t="s">
        <v>463</v>
      </c>
      <c r="C960" s="124" t="s">
        <v>398</v>
      </c>
      <c r="D960" s="12">
        <v>15000000</v>
      </c>
      <c r="E960" s="82">
        <v>0.98664651479999999</v>
      </c>
      <c r="F960" s="14">
        <v>14799697.720000001</v>
      </c>
      <c r="G960" s="14">
        <v>0.02</v>
      </c>
      <c r="H960" s="10"/>
      <c r="I960" s="10"/>
    </row>
    <row r="961" spans="1:9">
      <c r="A961" s="10" t="s">
        <v>1678</v>
      </c>
      <c r="B961" s="124" t="s">
        <v>1461</v>
      </c>
      <c r="C961" s="124" t="s">
        <v>398</v>
      </c>
      <c r="D961" s="14">
        <v>51921649.450000003</v>
      </c>
      <c r="E961" s="157">
        <v>0.93758040099999995</v>
      </c>
      <c r="F961" s="14">
        <v>48680720.909999996</v>
      </c>
      <c r="G961" s="14">
        <v>0.06</v>
      </c>
      <c r="H961" s="10"/>
      <c r="I961" s="10"/>
    </row>
    <row r="962" spans="1:9">
      <c r="A962" s="10" t="s">
        <v>1679</v>
      </c>
      <c r="B962" s="124" t="s">
        <v>463</v>
      </c>
      <c r="C962" s="124" t="s">
        <v>398</v>
      </c>
      <c r="D962" s="14">
        <v>12008751.93</v>
      </c>
      <c r="E962" s="82">
        <v>0.98942805190000005</v>
      </c>
      <c r="F962" s="14">
        <v>11881796.029999999</v>
      </c>
      <c r="G962" s="14">
        <v>0.01</v>
      </c>
      <c r="H962" s="10"/>
      <c r="I962" s="10"/>
    </row>
    <row r="963" spans="1:9">
      <c r="A963" s="10" t="s">
        <v>1680</v>
      </c>
      <c r="B963" s="124" t="s">
        <v>505</v>
      </c>
      <c r="C963" s="124" t="s">
        <v>398</v>
      </c>
      <c r="D963" s="14">
        <v>5568708.9100000001</v>
      </c>
      <c r="E963" s="82">
        <v>0.99427948730000004</v>
      </c>
      <c r="F963" s="14">
        <v>5536853.04</v>
      </c>
      <c r="G963" s="14">
        <v>0.01</v>
      </c>
      <c r="H963" s="10"/>
      <c r="I963" s="10"/>
    </row>
    <row r="964" spans="1:9">
      <c r="A964" s="10" t="s">
        <v>1681</v>
      </c>
      <c r="B964" s="124" t="s">
        <v>463</v>
      </c>
      <c r="C964" s="124" t="s">
        <v>398</v>
      </c>
      <c r="D964" s="14">
        <v>3554233.32</v>
      </c>
      <c r="E964" s="82">
        <v>0.98942805749999996</v>
      </c>
      <c r="F964" s="14">
        <v>3516658.17</v>
      </c>
      <c r="G964" s="12">
        <v>0</v>
      </c>
      <c r="H964" s="10"/>
      <c r="I964" s="10"/>
    </row>
    <row r="965" spans="1:9">
      <c r="A965" s="10" t="s">
        <v>1682</v>
      </c>
      <c r="B965" s="124" t="s">
        <v>463</v>
      </c>
      <c r="C965" s="124" t="s">
        <v>398</v>
      </c>
      <c r="D965" s="14">
        <v>8141903.9699999997</v>
      </c>
      <c r="E965" s="82">
        <v>0.98942805369999998</v>
      </c>
      <c r="F965" s="153">
        <v>8055828.2000000002</v>
      </c>
      <c r="G965" s="14">
        <v>0.01</v>
      </c>
      <c r="H965" s="10"/>
      <c r="I965" s="10"/>
    </row>
    <row r="966" spans="1:9">
      <c r="A966" s="10" t="s">
        <v>1683</v>
      </c>
      <c r="B966" s="124" t="s">
        <v>578</v>
      </c>
      <c r="C966" s="124" t="s">
        <v>398</v>
      </c>
      <c r="D966" s="12">
        <v>6377416</v>
      </c>
      <c r="E966" s="82">
        <v>0.99509270370000003</v>
      </c>
      <c r="F966" s="14">
        <v>6346120.1299999999</v>
      </c>
      <c r="G966" s="14">
        <v>0.01</v>
      </c>
      <c r="H966" s="10"/>
      <c r="I966" s="10"/>
    </row>
    <row r="967" spans="1:9">
      <c r="A967" s="10" t="s">
        <v>1685</v>
      </c>
      <c r="B967" s="124" t="s">
        <v>561</v>
      </c>
      <c r="C967" s="124" t="s">
        <v>398</v>
      </c>
      <c r="D967" s="14">
        <v>4649844.34</v>
      </c>
      <c r="E967" s="157">
        <v>0.99590724799999997</v>
      </c>
      <c r="F967" s="14">
        <v>4630813.68</v>
      </c>
      <c r="G967" s="14">
        <v>0.01</v>
      </c>
      <c r="H967" s="10"/>
      <c r="I967" s="10"/>
    </row>
    <row r="968" spans="1:9">
      <c r="A968" s="10" t="s">
        <v>1686</v>
      </c>
      <c r="B968" s="124" t="s">
        <v>463</v>
      </c>
      <c r="C968" s="124" t="s">
        <v>398</v>
      </c>
      <c r="D968" s="14">
        <v>14376774.91</v>
      </c>
      <c r="E968" s="82">
        <v>0.98942805440000003</v>
      </c>
      <c r="F968" s="14">
        <v>14224784.43</v>
      </c>
      <c r="G968" s="14">
        <v>0.02</v>
      </c>
      <c r="H968" s="10"/>
      <c r="I968" s="10"/>
    </row>
    <row r="969" spans="1:9">
      <c r="A969" s="10" t="s">
        <v>1687</v>
      </c>
      <c r="B969" s="124" t="s">
        <v>463</v>
      </c>
      <c r="C969" s="124" t="s">
        <v>398</v>
      </c>
      <c r="D969" s="14">
        <v>21728976.760000002</v>
      </c>
      <c r="E969" s="82">
        <v>0.98942805469999995</v>
      </c>
      <c r="F969" s="14">
        <v>21499259.210000001</v>
      </c>
      <c r="G969" s="14">
        <v>0.03</v>
      </c>
      <c r="H969" s="10"/>
      <c r="I969" s="10"/>
    </row>
    <row r="970" spans="1:9">
      <c r="A970" s="10" t="s">
        <v>1688</v>
      </c>
      <c r="B970" s="124" t="s">
        <v>578</v>
      </c>
      <c r="C970" s="124" t="s">
        <v>398</v>
      </c>
      <c r="D970" s="14">
        <v>6704674.6699999999</v>
      </c>
      <c r="E970" s="82">
        <v>0.99509270449999998</v>
      </c>
      <c r="F970" s="14">
        <v>6671772.8499999996</v>
      </c>
      <c r="G970" s="14">
        <v>0.01</v>
      </c>
      <c r="H970" s="10"/>
      <c r="I970" s="10"/>
    </row>
    <row r="971" spans="1:9">
      <c r="A971" s="10" t="s">
        <v>1689</v>
      </c>
      <c r="B971" s="124" t="s">
        <v>578</v>
      </c>
      <c r="C971" s="124" t="s">
        <v>398</v>
      </c>
      <c r="D971" s="14">
        <v>9655864.5399999991</v>
      </c>
      <c r="E971" s="82">
        <v>0.99509270459999999</v>
      </c>
      <c r="F971" s="14">
        <v>9608480.3599999994</v>
      </c>
      <c r="G971" s="14">
        <v>0.01</v>
      </c>
      <c r="H971" s="10"/>
      <c r="I971" s="10"/>
    </row>
    <row r="972" spans="1:9">
      <c r="A972" s="10" t="s">
        <v>1690</v>
      </c>
      <c r="B972" s="124" t="s">
        <v>429</v>
      </c>
      <c r="C972" s="124" t="s">
        <v>398</v>
      </c>
      <c r="D972" s="12">
        <v>1869225</v>
      </c>
      <c r="E972" s="82">
        <v>0.93676228939999995</v>
      </c>
      <c r="F972" s="14">
        <v>1751019.49</v>
      </c>
      <c r="G972" s="12">
        <v>0</v>
      </c>
      <c r="H972" s="10"/>
      <c r="I972" s="10"/>
    </row>
    <row r="973" spans="1:9">
      <c r="A973" s="10" t="s">
        <v>1691</v>
      </c>
      <c r="B973" s="124" t="s">
        <v>419</v>
      </c>
      <c r="C973" s="124" t="s">
        <v>398</v>
      </c>
      <c r="D973" s="12">
        <v>1869225</v>
      </c>
      <c r="E973" s="82">
        <v>0.95961732830000002</v>
      </c>
      <c r="F973" s="153">
        <v>1793740.7</v>
      </c>
      <c r="G973" s="12">
        <v>0</v>
      </c>
      <c r="H973" s="10"/>
      <c r="I973" s="10"/>
    </row>
    <row r="974" spans="1:9">
      <c r="A974" s="10" t="s">
        <v>1692</v>
      </c>
      <c r="B974" s="124" t="s">
        <v>513</v>
      </c>
      <c r="C974" s="124" t="s">
        <v>398</v>
      </c>
      <c r="D974" s="12">
        <v>1869225</v>
      </c>
      <c r="E974" s="82">
        <v>0.98446435259999998</v>
      </c>
      <c r="F974" s="14">
        <v>1840185.38</v>
      </c>
      <c r="G974" s="12">
        <v>0</v>
      </c>
      <c r="H974" s="10"/>
      <c r="I974" s="10"/>
    </row>
    <row r="975" spans="1:9">
      <c r="A975" s="10" t="s">
        <v>1693</v>
      </c>
      <c r="B975" s="124" t="s">
        <v>556</v>
      </c>
      <c r="C975" s="124" t="s">
        <v>398</v>
      </c>
      <c r="D975" s="14">
        <v>353613.17</v>
      </c>
      <c r="E975" s="82">
        <v>0.96367089449999999</v>
      </c>
      <c r="F975" s="14">
        <v>340766.71999999997</v>
      </c>
      <c r="G975" s="12">
        <v>0</v>
      </c>
      <c r="H975" s="10"/>
      <c r="I975" s="10"/>
    </row>
    <row r="976" spans="1:9">
      <c r="A976" s="10" t="s">
        <v>1694</v>
      </c>
      <c r="B976" s="124" t="s">
        <v>995</v>
      </c>
      <c r="C976" s="124" t="s">
        <v>398</v>
      </c>
      <c r="D976" s="14">
        <v>353613.17</v>
      </c>
      <c r="E976" s="82">
        <v>0.91497058789999997</v>
      </c>
      <c r="F976" s="14">
        <v>323545.65000000002</v>
      </c>
      <c r="G976" s="12">
        <v>0</v>
      </c>
      <c r="H976" s="10"/>
      <c r="I976" s="10"/>
    </row>
    <row r="977" spans="1:9">
      <c r="A977" s="10" t="s">
        <v>1695</v>
      </c>
      <c r="B977" s="124" t="s">
        <v>1696</v>
      </c>
      <c r="C977" s="124" t="s">
        <v>398</v>
      </c>
      <c r="D977" s="14">
        <v>353613.17</v>
      </c>
      <c r="E977" s="82">
        <v>0.89627750439999998</v>
      </c>
      <c r="F977" s="14">
        <v>316935.53000000003</v>
      </c>
      <c r="G977" s="12">
        <v>0</v>
      </c>
      <c r="H977" s="10"/>
      <c r="I977" s="10"/>
    </row>
    <row r="978" spans="1:9">
      <c r="A978" s="10" t="s">
        <v>1697</v>
      </c>
      <c r="B978" s="124" t="s">
        <v>1698</v>
      </c>
      <c r="C978" s="124" t="s">
        <v>398</v>
      </c>
      <c r="D978" s="14">
        <v>353613.17</v>
      </c>
      <c r="E978" s="21">
        <v>0.94140108</v>
      </c>
      <c r="F978" s="14">
        <v>332891.82</v>
      </c>
      <c r="G978" s="12">
        <v>0</v>
      </c>
      <c r="H978" s="10"/>
      <c r="I978" s="10"/>
    </row>
    <row r="979" spans="1:9">
      <c r="A979" s="10" t="s">
        <v>1699</v>
      </c>
      <c r="B979" s="124" t="s">
        <v>578</v>
      </c>
      <c r="C979" s="124" t="s">
        <v>398</v>
      </c>
      <c r="D979" s="14">
        <v>891634.28</v>
      </c>
      <c r="E979" s="82">
        <v>0.99476726029999996</v>
      </c>
      <c r="F979" s="14">
        <v>886968.59</v>
      </c>
      <c r="G979" s="12">
        <v>0</v>
      </c>
      <c r="H979" s="10"/>
      <c r="I979" s="10"/>
    </row>
    <row r="980" spans="1:9">
      <c r="A980" s="10" t="s">
        <v>1700</v>
      </c>
      <c r="B980" s="124" t="s">
        <v>645</v>
      </c>
      <c r="C980" s="124" t="s">
        <v>398</v>
      </c>
      <c r="D980" s="153">
        <v>851519.2</v>
      </c>
      <c r="E980" s="82">
        <v>0.9710546753</v>
      </c>
      <c r="F980" s="153">
        <v>826871.7</v>
      </c>
      <c r="G980" s="12">
        <v>0</v>
      </c>
      <c r="H980" s="10"/>
      <c r="I980" s="10"/>
    </row>
    <row r="981" spans="1:9">
      <c r="A981" s="10" t="s">
        <v>1701</v>
      </c>
      <c r="B981" s="124" t="s">
        <v>632</v>
      </c>
      <c r="C981" s="124" t="s">
        <v>398</v>
      </c>
      <c r="D981" s="14">
        <v>1264579.98</v>
      </c>
      <c r="E981" s="82">
        <v>0.91204412339999996</v>
      </c>
      <c r="F981" s="14">
        <v>1153352.74</v>
      </c>
      <c r="G981" s="12">
        <v>0</v>
      </c>
      <c r="H981" s="10"/>
      <c r="I981" s="10"/>
    </row>
    <row r="982" spans="1:9">
      <c r="A982" s="10" t="s">
        <v>1702</v>
      </c>
      <c r="B982" s="124" t="s">
        <v>255</v>
      </c>
      <c r="C982" s="124" t="s">
        <v>398</v>
      </c>
      <c r="D982" s="14">
        <v>1102078.1599999999</v>
      </c>
      <c r="E982" s="82">
        <v>0.93753212559999999</v>
      </c>
      <c r="F982" s="14">
        <v>1033233.68</v>
      </c>
      <c r="G982" s="12">
        <v>0</v>
      </c>
      <c r="H982" s="10"/>
      <c r="I982" s="10"/>
    </row>
    <row r="983" spans="1:9">
      <c r="A983" s="10" t="s">
        <v>1703</v>
      </c>
      <c r="B983" s="124" t="s">
        <v>925</v>
      </c>
      <c r="C983" s="124" t="s">
        <v>398</v>
      </c>
      <c r="D983" s="14">
        <v>8123170.71</v>
      </c>
      <c r="E983" s="82">
        <v>0.9612346463</v>
      </c>
      <c r="F983" s="14">
        <v>7808273.1200000001</v>
      </c>
      <c r="G983" s="14">
        <v>0.01</v>
      </c>
      <c r="H983" s="10"/>
      <c r="I983" s="10"/>
    </row>
    <row r="984" spans="1:9">
      <c r="A984" s="10" t="s">
        <v>1704</v>
      </c>
      <c r="B984" s="124" t="s">
        <v>456</v>
      </c>
      <c r="C984" s="124" t="s">
        <v>398</v>
      </c>
      <c r="D984" s="14">
        <v>8123170.71</v>
      </c>
      <c r="E984" s="82">
        <v>0.98787486010000003</v>
      </c>
      <c r="F984" s="14">
        <v>8024676.1299999999</v>
      </c>
      <c r="G984" s="14">
        <v>0.01</v>
      </c>
      <c r="H984" s="10"/>
      <c r="I984" s="10"/>
    </row>
    <row r="985" spans="1:9">
      <c r="A985" s="10" t="s">
        <v>1705</v>
      </c>
      <c r="B985" s="124" t="s">
        <v>1706</v>
      </c>
      <c r="C985" s="124" t="s">
        <v>398</v>
      </c>
      <c r="D985" s="14">
        <v>8123170.7400000002</v>
      </c>
      <c r="E985" s="82">
        <v>0.89487108459999998</v>
      </c>
      <c r="F985" s="14">
        <v>7269190.6100000003</v>
      </c>
      <c r="G985" s="14">
        <v>0.01</v>
      </c>
      <c r="H985" s="10"/>
      <c r="I985" s="10"/>
    </row>
    <row r="986" spans="1:9">
      <c r="A986" s="10" t="s">
        <v>1707</v>
      </c>
      <c r="B986" s="124" t="s">
        <v>995</v>
      </c>
      <c r="C986" s="124" t="s">
        <v>398</v>
      </c>
      <c r="D986" s="14">
        <v>8123170.71</v>
      </c>
      <c r="E986" s="82">
        <v>0.91497059030000005</v>
      </c>
      <c r="F986" s="153">
        <v>7432462.2999999998</v>
      </c>
      <c r="G986" s="14">
        <v>0.01</v>
      </c>
      <c r="H986" s="10"/>
      <c r="I986" s="10"/>
    </row>
    <row r="987" spans="1:9">
      <c r="A987" s="10" t="s">
        <v>1708</v>
      </c>
      <c r="B987" s="124" t="s">
        <v>255</v>
      </c>
      <c r="C987" s="124" t="s">
        <v>398</v>
      </c>
      <c r="D987" s="14">
        <v>8123170.71</v>
      </c>
      <c r="E987" s="82">
        <v>0.93753212919999995</v>
      </c>
      <c r="F987" s="14">
        <v>7615733.5300000003</v>
      </c>
      <c r="G987" s="14">
        <v>0.01</v>
      </c>
      <c r="H987" s="10"/>
      <c r="I987" s="10"/>
    </row>
    <row r="988" spans="1:9">
      <c r="A988" s="10" t="s">
        <v>1709</v>
      </c>
      <c r="B988" s="124" t="s">
        <v>463</v>
      </c>
      <c r="C988" s="124" t="s">
        <v>398</v>
      </c>
      <c r="D988" s="12">
        <v>445000</v>
      </c>
      <c r="E988" s="82">
        <v>0.98873119089999995</v>
      </c>
      <c r="F988" s="14">
        <v>439985.38</v>
      </c>
      <c r="G988" s="12">
        <v>0</v>
      </c>
      <c r="H988" s="10"/>
      <c r="I988" s="10"/>
    </row>
    <row r="989" spans="1:9">
      <c r="A989" s="10" t="s">
        <v>1710</v>
      </c>
      <c r="B989" s="124" t="s">
        <v>746</v>
      </c>
      <c r="C989" s="124" t="s">
        <v>398</v>
      </c>
      <c r="D989" s="14">
        <v>1129854.56</v>
      </c>
      <c r="E989" s="82">
        <v>0.98702007290000005</v>
      </c>
      <c r="F989" s="14">
        <v>1115189.1299999999</v>
      </c>
      <c r="G989" s="12">
        <v>0</v>
      </c>
      <c r="H989" s="10"/>
      <c r="I989" s="10"/>
    </row>
    <row r="990" spans="1:9">
      <c r="A990" s="10" t="s">
        <v>1711</v>
      </c>
      <c r="B990" s="124" t="s">
        <v>752</v>
      </c>
      <c r="C990" s="124" t="s">
        <v>398</v>
      </c>
      <c r="D990" s="14">
        <v>1129854.56</v>
      </c>
      <c r="E990" s="82">
        <v>0.96042524220000003</v>
      </c>
      <c r="F990" s="14">
        <v>1085140.8400000001</v>
      </c>
      <c r="G990" s="12">
        <v>0</v>
      </c>
      <c r="H990" s="10"/>
      <c r="I990" s="10"/>
    </row>
    <row r="991" spans="1:9">
      <c r="A991" s="10" t="s">
        <v>1712</v>
      </c>
      <c r="B991" s="124" t="s">
        <v>255</v>
      </c>
      <c r="C991" s="124" t="s">
        <v>398</v>
      </c>
      <c r="D991" s="14">
        <v>1129854.56</v>
      </c>
      <c r="E991" s="82">
        <v>0.9375321365</v>
      </c>
      <c r="F991" s="14">
        <v>1059274.96</v>
      </c>
      <c r="G991" s="12">
        <v>0</v>
      </c>
      <c r="H991" s="10"/>
      <c r="I991" s="10"/>
    </row>
    <row r="992" spans="1:9">
      <c r="A992" s="10" t="s">
        <v>1713</v>
      </c>
      <c r="B992" s="124" t="s">
        <v>337</v>
      </c>
      <c r="C992" s="124" t="s">
        <v>398</v>
      </c>
      <c r="D992" s="14">
        <v>1129854.56</v>
      </c>
      <c r="E992" s="82">
        <v>0.89276986250000001</v>
      </c>
      <c r="F992" s="153">
        <v>1008700.1</v>
      </c>
      <c r="G992" s="12">
        <v>0</v>
      </c>
      <c r="H992" s="10"/>
      <c r="I992" s="10"/>
    </row>
    <row r="993" spans="1:9">
      <c r="A993" s="10" t="s">
        <v>1714</v>
      </c>
      <c r="B993" s="124" t="s">
        <v>431</v>
      </c>
      <c r="C993" s="124" t="s">
        <v>398</v>
      </c>
      <c r="D993" s="14">
        <v>1129854.56</v>
      </c>
      <c r="E993" s="82">
        <v>0.9127738272</v>
      </c>
      <c r="F993" s="14">
        <v>1031301.67</v>
      </c>
      <c r="G993" s="12">
        <v>0</v>
      </c>
      <c r="H993" s="10"/>
      <c r="I993" s="10"/>
    </row>
    <row r="994" spans="1:9">
      <c r="A994" s="10" t="s">
        <v>1715</v>
      </c>
      <c r="B994" s="124" t="s">
        <v>419</v>
      </c>
      <c r="C994" s="124" t="s">
        <v>398</v>
      </c>
      <c r="D994" s="14">
        <v>2112204.7400000002</v>
      </c>
      <c r="E994" s="82">
        <v>0.95961733309999997</v>
      </c>
      <c r="F994" s="14">
        <v>2026908.28</v>
      </c>
      <c r="G994" s="12">
        <v>0</v>
      </c>
      <c r="H994" s="10"/>
      <c r="I994" s="10"/>
    </row>
    <row r="995" spans="1:9">
      <c r="A995" s="10" t="s">
        <v>1716</v>
      </c>
      <c r="B995" s="124" t="s">
        <v>459</v>
      </c>
      <c r="C995" s="124" t="s">
        <v>398</v>
      </c>
      <c r="D995" s="14">
        <v>2112204.7400000002</v>
      </c>
      <c r="E995" s="82">
        <v>0.98276795809999995</v>
      </c>
      <c r="F995" s="14">
        <v>2075807.14</v>
      </c>
      <c r="G995" s="12">
        <v>0</v>
      </c>
      <c r="H995" s="10"/>
      <c r="I995" s="10"/>
    </row>
    <row r="996" spans="1:9">
      <c r="A996" s="10" t="s">
        <v>1717</v>
      </c>
      <c r="B996" s="124" t="s">
        <v>510</v>
      </c>
      <c r="C996" s="124" t="s">
        <v>398</v>
      </c>
      <c r="D996" s="14">
        <v>2188623.9300000002</v>
      </c>
      <c r="E996" s="82">
        <v>0.98192189169999999</v>
      </c>
      <c r="F996" s="14">
        <v>2149057.75</v>
      </c>
      <c r="G996" s="12">
        <v>0</v>
      </c>
      <c r="H996" s="10"/>
      <c r="I996" s="10"/>
    </row>
    <row r="997" spans="1:9">
      <c r="A997" s="10" t="s">
        <v>1718</v>
      </c>
      <c r="B997" s="124" t="s">
        <v>1719</v>
      </c>
      <c r="C997" s="124" t="s">
        <v>398</v>
      </c>
      <c r="D997" s="12">
        <v>11820000</v>
      </c>
      <c r="E997" s="82">
        <v>0.89981266989999997</v>
      </c>
      <c r="F997" s="14">
        <v>10635785.76</v>
      </c>
      <c r="G997" s="14">
        <v>0.01</v>
      </c>
      <c r="H997" s="10"/>
      <c r="I997" s="10"/>
    </row>
    <row r="998" spans="1:9">
      <c r="A998" s="10" t="s">
        <v>1720</v>
      </c>
      <c r="B998" s="124" t="s">
        <v>610</v>
      </c>
      <c r="C998" s="124" t="s">
        <v>398</v>
      </c>
      <c r="D998" s="12">
        <v>1509475</v>
      </c>
      <c r="E998" s="82">
        <v>0.97520573060000004</v>
      </c>
      <c r="F998" s="14">
        <v>1472048.67</v>
      </c>
      <c r="G998" s="12">
        <v>0</v>
      </c>
      <c r="H998" s="10"/>
      <c r="I998" s="10"/>
    </row>
    <row r="999" spans="1:9">
      <c r="A999" s="10" t="s">
        <v>1721</v>
      </c>
      <c r="B999" s="124" t="s">
        <v>1722</v>
      </c>
      <c r="C999" s="124" t="s">
        <v>398</v>
      </c>
      <c r="D999" s="14">
        <v>1648012.48</v>
      </c>
      <c r="E999" s="82">
        <v>0.92837536580000002</v>
      </c>
      <c r="F999" s="14">
        <v>1529974.19</v>
      </c>
      <c r="G999" s="12">
        <v>0</v>
      </c>
      <c r="H999" s="10"/>
      <c r="I999" s="10"/>
    </row>
    <row r="1000" spans="1:9">
      <c r="A1000" s="10" t="s">
        <v>1723</v>
      </c>
      <c r="B1000" s="124" t="s">
        <v>627</v>
      </c>
      <c r="C1000" s="124" t="s">
        <v>398</v>
      </c>
      <c r="D1000" s="12">
        <v>1620000</v>
      </c>
      <c r="E1000" s="82">
        <v>0.95002612310000001</v>
      </c>
      <c r="F1000" s="14">
        <v>1539042.32</v>
      </c>
      <c r="G1000" s="12">
        <v>0</v>
      </c>
      <c r="H1000" s="10"/>
      <c r="I1000" s="10"/>
    </row>
    <row r="1001" spans="1:9">
      <c r="A1001" s="10" t="s">
        <v>1724</v>
      </c>
      <c r="B1001" s="124" t="s">
        <v>559</v>
      </c>
      <c r="C1001" s="124" t="s">
        <v>398</v>
      </c>
      <c r="D1001" s="12">
        <v>1620000</v>
      </c>
      <c r="E1001" s="82">
        <v>0.97604025329999999</v>
      </c>
      <c r="F1001" s="14">
        <v>1581185.21</v>
      </c>
      <c r="G1001" s="12">
        <v>0</v>
      </c>
      <c r="H1001" s="10"/>
      <c r="I1001" s="10"/>
    </row>
    <row r="1002" spans="1:9">
      <c r="A1002" s="10" t="s">
        <v>1725</v>
      </c>
      <c r="B1002" s="124" t="s">
        <v>456</v>
      </c>
      <c r="C1002" s="124" t="s">
        <v>398</v>
      </c>
      <c r="D1002" s="14">
        <v>428767.71</v>
      </c>
      <c r="E1002" s="82">
        <v>0.98787485639999995</v>
      </c>
      <c r="F1002" s="14">
        <v>423568.84</v>
      </c>
      <c r="G1002" s="12">
        <v>0</v>
      </c>
      <c r="H1002" s="10"/>
      <c r="I1002" s="10"/>
    </row>
    <row r="1003" spans="1:9">
      <c r="A1003" s="10" t="s">
        <v>1726</v>
      </c>
      <c r="B1003" s="124" t="s">
        <v>925</v>
      </c>
      <c r="C1003" s="124" t="s">
        <v>398</v>
      </c>
      <c r="D1003" s="14">
        <v>428767.71</v>
      </c>
      <c r="E1003" s="157">
        <v>0.96123465100000005</v>
      </c>
      <c r="F1003" s="14">
        <v>412146.38</v>
      </c>
      <c r="G1003" s="12">
        <v>0</v>
      </c>
      <c r="H1003" s="10"/>
      <c r="I1003" s="10"/>
    </row>
    <row r="1004" spans="1:9">
      <c r="A1004" s="10" t="s">
        <v>1727</v>
      </c>
      <c r="B1004" s="124" t="s">
        <v>419</v>
      </c>
      <c r="C1004" s="124" t="s">
        <v>398</v>
      </c>
      <c r="D1004" s="14">
        <v>1566916.35</v>
      </c>
      <c r="E1004" s="82">
        <v>0.95961734040000002</v>
      </c>
      <c r="F1004" s="153">
        <v>1503640.1</v>
      </c>
      <c r="G1004" s="12">
        <v>0</v>
      </c>
      <c r="H1004" s="10"/>
      <c r="I1004" s="10"/>
    </row>
    <row r="1005" spans="1:9">
      <c r="A1005" s="10" t="s">
        <v>1728</v>
      </c>
      <c r="B1005" s="124" t="s">
        <v>1461</v>
      </c>
      <c r="C1005" s="124" t="s">
        <v>398</v>
      </c>
      <c r="D1005" s="14">
        <v>1566916.35</v>
      </c>
      <c r="E1005" s="82">
        <v>0.93369501870000005</v>
      </c>
      <c r="F1005" s="14">
        <v>1463021.99</v>
      </c>
      <c r="G1005" s="12">
        <v>0</v>
      </c>
      <c r="H1005" s="10"/>
      <c r="I1005" s="10"/>
    </row>
    <row r="1006" spans="1:9">
      <c r="A1006" s="10" t="s">
        <v>1729</v>
      </c>
      <c r="B1006" s="124" t="s">
        <v>459</v>
      </c>
      <c r="C1006" s="124" t="s">
        <v>398</v>
      </c>
      <c r="D1006" s="14">
        <v>1566916.35</v>
      </c>
      <c r="E1006" s="157">
        <v>0.98276793799999995</v>
      </c>
      <c r="F1006" s="14">
        <v>1539915.15</v>
      </c>
      <c r="G1006" s="12">
        <v>0</v>
      </c>
      <c r="H1006" s="10"/>
      <c r="I1006" s="10"/>
    </row>
    <row r="1007" spans="1:9">
      <c r="A1007" s="10" t="s">
        <v>1730</v>
      </c>
      <c r="B1007" s="124" t="s">
        <v>1108</v>
      </c>
      <c r="C1007" s="124" t="s">
        <v>398</v>
      </c>
      <c r="D1007" s="14">
        <v>1566916.35</v>
      </c>
      <c r="E1007" s="82">
        <v>0.91131541140000005</v>
      </c>
      <c r="F1007" s="14">
        <v>1427955.02</v>
      </c>
      <c r="G1007" s="12">
        <v>0</v>
      </c>
      <c r="H1007" s="10"/>
      <c r="I1007" s="10"/>
    </row>
    <row r="1008" spans="1:9">
      <c r="A1008" s="10" t="s">
        <v>1731</v>
      </c>
      <c r="B1008" s="124" t="s">
        <v>925</v>
      </c>
      <c r="C1008" s="124" t="s">
        <v>398</v>
      </c>
      <c r="D1008" s="14">
        <v>17763197.079999998</v>
      </c>
      <c r="E1008" s="82">
        <v>0.96123464510000001</v>
      </c>
      <c r="F1008" s="14">
        <v>17074600.440000001</v>
      </c>
      <c r="G1008" s="14">
        <v>0.02</v>
      </c>
      <c r="H1008" s="10"/>
      <c r="I1008" s="10"/>
    </row>
    <row r="1009" spans="1:9">
      <c r="A1009" s="10" t="s">
        <v>1732</v>
      </c>
      <c r="B1009" s="124" t="s">
        <v>456</v>
      </c>
      <c r="C1009" s="124" t="s">
        <v>398</v>
      </c>
      <c r="D1009" s="14">
        <v>17763197.079999998</v>
      </c>
      <c r="E1009" s="82">
        <v>0.98787485939999997</v>
      </c>
      <c r="F1009" s="14">
        <v>17547815.82</v>
      </c>
      <c r="G1009" s="14">
        <v>0.02</v>
      </c>
      <c r="H1009" s="10"/>
      <c r="I1009" s="10"/>
    </row>
    <row r="1010" spans="1:9">
      <c r="A1010" s="10" t="s">
        <v>1733</v>
      </c>
      <c r="B1010" s="124" t="s">
        <v>459</v>
      </c>
      <c r="C1010" s="124" t="s">
        <v>398</v>
      </c>
      <c r="D1010" s="12">
        <v>5000000</v>
      </c>
      <c r="E1010" s="82">
        <v>0.98276795019999996</v>
      </c>
      <c r="F1010" s="14">
        <v>4913839.75</v>
      </c>
      <c r="G1010" s="14">
        <v>0.01</v>
      </c>
      <c r="H1010" s="10"/>
      <c r="I1010" s="10"/>
    </row>
    <row r="1011" spans="1:9">
      <c r="A1011" s="10" t="s">
        <v>1734</v>
      </c>
      <c r="B1011" s="124" t="s">
        <v>667</v>
      </c>
      <c r="C1011" s="124" t="s">
        <v>398</v>
      </c>
      <c r="D1011" s="12">
        <v>5000000</v>
      </c>
      <c r="E1011" s="82">
        <v>0.95881063219999996</v>
      </c>
      <c r="F1011" s="14">
        <v>4794053.16</v>
      </c>
      <c r="G1011" s="14">
        <v>0.01</v>
      </c>
      <c r="H1011" s="10"/>
      <c r="I1011" s="10"/>
    </row>
    <row r="1012" spans="1:9">
      <c r="A1012" s="10" t="s">
        <v>1735</v>
      </c>
      <c r="B1012" s="124" t="s">
        <v>463</v>
      </c>
      <c r="C1012" s="124" t="s">
        <v>398</v>
      </c>
      <c r="D1012" s="12">
        <v>2073150</v>
      </c>
      <c r="E1012" s="82">
        <v>0.98873119649999996</v>
      </c>
      <c r="F1012" s="14">
        <v>2049788.08</v>
      </c>
      <c r="G1012" s="12">
        <v>0</v>
      </c>
      <c r="H1012" s="10"/>
      <c r="I1012" s="10"/>
    </row>
    <row r="1013" spans="1:9">
      <c r="A1013" s="10" t="s">
        <v>1736</v>
      </c>
      <c r="B1013" s="124" t="s">
        <v>610</v>
      </c>
      <c r="C1013" s="124" t="s">
        <v>398</v>
      </c>
      <c r="D1013" s="12">
        <v>50000000</v>
      </c>
      <c r="E1013" s="82">
        <v>0.97445070349999996</v>
      </c>
      <c r="F1013" s="14">
        <v>48722535.18</v>
      </c>
      <c r="G1013" s="14">
        <v>0.06</v>
      </c>
      <c r="H1013" s="10"/>
      <c r="I1013" s="10"/>
    </row>
    <row r="1014" spans="1:9">
      <c r="A1014" s="10" t="s">
        <v>1737</v>
      </c>
      <c r="B1014" s="124" t="s">
        <v>716</v>
      </c>
      <c r="C1014" s="124" t="s">
        <v>398</v>
      </c>
      <c r="D1014" s="12">
        <v>20000000</v>
      </c>
      <c r="E1014" s="82">
        <v>0.98049759849999996</v>
      </c>
      <c r="F1014" s="14">
        <v>19609951.969999999</v>
      </c>
      <c r="G1014" s="14">
        <v>0.02</v>
      </c>
      <c r="H1014" s="10"/>
      <c r="I1014" s="10"/>
    </row>
    <row r="1015" spans="1:9">
      <c r="A1015" s="10" t="s">
        <v>1738</v>
      </c>
      <c r="B1015" s="124" t="s">
        <v>655</v>
      </c>
      <c r="C1015" s="124" t="s">
        <v>398</v>
      </c>
      <c r="D1015" s="12">
        <v>520000000</v>
      </c>
      <c r="E1015" s="82">
        <v>0.93098004160000003</v>
      </c>
      <c r="F1015" s="14">
        <v>484109621.63</v>
      </c>
      <c r="G1015" s="14">
        <v>0.59</v>
      </c>
      <c r="H1015" s="10"/>
      <c r="I1015" s="10"/>
    </row>
    <row r="1016" spans="1:9">
      <c r="A1016" s="10" t="s">
        <v>1739</v>
      </c>
      <c r="B1016" s="124" t="s">
        <v>459</v>
      </c>
      <c r="C1016" s="124" t="s">
        <v>398</v>
      </c>
      <c r="D1016" s="12">
        <v>375000000</v>
      </c>
      <c r="E1016" s="82">
        <v>0.98223901319999996</v>
      </c>
      <c r="F1016" s="14">
        <v>368339629.94999999</v>
      </c>
      <c r="G1016" s="14">
        <v>0.45</v>
      </c>
      <c r="H1016" s="10"/>
      <c r="I1016" s="10"/>
    </row>
    <row r="1017" spans="1:9">
      <c r="A1017" s="10" t="s">
        <v>1740</v>
      </c>
      <c r="B1017" s="124" t="s">
        <v>667</v>
      </c>
      <c r="C1017" s="124" t="s">
        <v>398</v>
      </c>
      <c r="D1017" s="12">
        <v>375000000</v>
      </c>
      <c r="E1017" s="82">
        <v>0.95757806609999996</v>
      </c>
      <c r="F1017" s="14">
        <v>359091774.79000002</v>
      </c>
      <c r="G1017" s="14">
        <v>0.44</v>
      </c>
      <c r="H1017" s="10"/>
      <c r="I1017" s="10"/>
    </row>
    <row r="1018" spans="1:9">
      <c r="A1018" s="10" t="s">
        <v>1769</v>
      </c>
      <c r="B1018" s="124" t="s">
        <v>636</v>
      </c>
      <c r="C1018" s="124" t="s">
        <v>395</v>
      </c>
      <c r="D1018" s="12">
        <v>7000000</v>
      </c>
      <c r="E1018" s="82">
        <v>0.9463313981</v>
      </c>
      <c r="F1018" s="14">
        <v>6624319.79</v>
      </c>
      <c r="G1018" s="14">
        <v>0.01</v>
      </c>
      <c r="H1018" s="10"/>
      <c r="I1018" s="10"/>
    </row>
    <row r="1019" spans="1:9">
      <c r="A1019" s="10" t="s">
        <v>1770</v>
      </c>
      <c r="B1019" s="124" t="s">
        <v>255</v>
      </c>
      <c r="C1019" s="124" t="s">
        <v>395</v>
      </c>
      <c r="D1019" s="12">
        <v>7000000</v>
      </c>
      <c r="E1019" s="157">
        <v>0.94120687400000003</v>
      </c>
      <c r="F1019" s="14">
        <v>6588448.1200000001</v>
      </c>
      <c r="G1019" s="14">
        <v>0.01</v>
      </c>
      <c r="H1019" s="10"/>
      <c r="I1019" s="10"/>
    </row>
    <row r="1020" spans="1:9">
      <c r="A1020" s="10" t="s">
        <v>1771</v>
      </c>
      <c r="B1020" s="124" t="s">
        <v>992</v>
      </c>
      <c r="C1020" s="124" t="s">
        <v>395</v>
      </c>
      <c r="D1020" s="12">
        <v>14000000</v>
      </c>
      <c r="E1020" s="82">
        <v>0.92616098690000004</v>
      </c>
      <c r="F1020" s="14">
        <v>12966253.82</v>
      </c>
      <c r="G1020" s="14">
        <v>0.02</v>
      </c>
      <c r="H1020" s="10"/>
      <c r="I1020" s="10"/>
    </row>
    <row r="1021" spans="1:9">
      <c r="A1021" s="10" t="s">
        <v>1772</v>
      </c>
      <c r="B1021" s="124" t="s">
        <v>559</v>
      </c>
      <c r="C1021" s="124" t="s">
        <v>395</v>
      </c>
      <c r="D1021" s="12">
        <v>20000000</v>
      </c>
      <c r="E1021" s="82">
        <v>0.97750407939999995</v>
      </c>
      <c r="F1021" s="14">
        <v>19550081.59</v>
      </c>
      <c r="G1021" s="14">
        <v>0.02</v>
      </c>
      <c r="H1021" s="10"/>
      <c r="I1021" s="10"/>
    </row>
    <row r="1022" spans="1:9">
      <c r="A1022" s="10" t="s">
        <v>1773</v>
      </c>
      <c r="B1022" s="124" t="s">
        <v>716</v>
      </c>
      <c r="C1022" s="124" t="s">
        <v>395</v>
      </c>
      <c r="D1022" s="12">
        <v>10000000</v>
      </c>
      <c r="E1022" s="82">
        <v>0.98223898519999997</v>
      </c>
      <c r="F1022" s="14">
        <v>9822389.8499999996</v>
      </c>
      <c r="G1022" s="14">
        <v>0.01</v>
      </c>
      <c r="H1022" s="10"/>
      <c r="I1022" s="10"/>
    </row>
    <row r="1023" spans="1:9">
      <c r="A1023" s="10" t="s">
        <v>1774</v>
      </c>
      <c r="B1023" s="124" t="s">
        <v>510</v>
      </c>
      <c r="C1023" s="124" t="s">
        <v>395</v>
      </c>
      <c r="D1023" s="12">
        <v>10000000</v>
      </c>
      <c r="E1023" s="82">
        <v>0.98303263320000001</v>
      </c>
      <c r="F1023" s="14">
        <v>9830326.3300000001</v>
      </c>
      <c r="G1023" s="14">
        <v>0.01</v>
      </c>
      <c r="H1023" s="10"/>
      <c r="I1023" s="10"/>
    </row>
    <row r="1024" spans="1:9">
      <c r="A1024" s="10" t="s">
        <v>1775</v>
      </c>
      <c r="B1024" s="124" t="s">
        <v>461</v>
      </c>
      <c r="C1024" s="124" t="s">
        <v>395</v>
      </c>
      <c r="D1024" s="12">
        <v>10000000</v>
      </c>
      <c r="E1024" s="157">
        <v>0.978290094</v>
      </c>
      <c r="F1024" s="14">
        <v>9782900.9399999995</v>
      </c>
      <c r="G1024" s="14">
        <v>0.01</v>
      </c>
      <c r="H1024" s="10"/>
      <c r="I1024" s="10"/>
    </row>
    <row r="1025" spans="1:9">
      <c r="A1025" s="10" t="s">
        <v>1776</v>
      </c>
      <c r="B1025" s="124" t="s">
        <v>1108</v>
      </c>
      <c r="C1025" s="124" t="s">
        <v>395</v>
      </c>
      <c r="D1025" s="12">
        <v>35000000</v>
      </c>
      <c r="E1025" s="82">
        <v>0.91639482289999996</v>
      </c>
      <c r="F1025" s="153">
        <v>32073818.800000001</v>
      </c>
      <c r="G1025" s="14">
        <v>0.04</v>
      </c>
      <c r="H1025" s="10"/>
      <c r="I1025" s="10"/>
    </row>
    <row r="1026" spans="1:9">
      <c r="A1026" s="10" t="s">
        <v>1777</v>
      </c>
      <c r="B1026" s="124" t="s">
        <v>636</v>
      </c>
      <c r="C1026" s="124" t="s">
        <v>395</v>
      </c>
      <c r="D1026" s="12">
        <v>10000000</v>
      </c>
      <c r="E1026" s="82">
        <v>0.9463313981</v>
      </c>
      <c r="F1026" s="14">
        <v>9463313.9800000004</v>
      </c>
      <c r="G1026" s="14">
        <v>0.01</v>
      </c>
      <c r="H1026" s="10"/>
      <c r="I1026" s="10"/>
    </row>
    <row r="1027" spans="1:9">
      <c r="A1027" s="10" t="s">
        <v>1778</v>
      </c>
      <c r="B1027" s="124" t="s">
        <v>657</v>
      </c>
      <c r="C1027" s="124" t="s">
        <v>395</v>
      </c>
      <c r="D1027" s="12">
        <v>10000000</v>
      </c>
      <c r="E1027" s="82">
        <v>0.95151202859999995</v>
      </c>
      <c r="F1027" s="14">
        <v>9515120.2899999991</v>
      </c>
      <c r="G1027" s="14">
        <v>0.01</v>
      </c>
      <c r="H1027" s="10"/>
      <c r="I1027" s="10"/>
    </row>
    <row r="1028" spans="1:9">
      <c r="A1028" s="10" t="s">
        <v>1779</v>
      </c>
      <c r="B1028" s="124" t="s">
        <v>636</v>
      </c>
      <c r="C1028" s="124" t="s">
        <v>395</v>
      </c>
      <c r="D1028" s="12">
        <v>10000000</v>
      </c>
      <c r="E1028" s="82">
        <v>0.9463313981</v>
      </c>
      <c r="F1028" s="14">
        <v>9463313.9800000004</v>
      </c>
      <c r="G1028" s="14">
        <v>0.01</v>
      </c>
      <c r="H1028" s="10"/>
      <c r="I1028" s="10"/>
    </row>
    <row r="1029" spans="1:9">
      <c r="A1029" s="10" t="s">
        <v>1780</v>
      </c>
      <c r="B1029" s="124" t="s">
        <v>1781</v>
      </c>
      <c r="C1029" s="124" t="s">
        <v>395</v>
      </c>
      <c r="D1029" s="12">
        <v>10000000</v>
      </c>
      <c r="E1029" s="82">
        <v>0.94559586179999999</v>
      </c>
      <c r="F1029" s="14">
        <v>9455958.6199999992</v>
      </c>
      <c r="G1029" s="14">
        <v>0.01</v>
      </c>
      <c r="H1029" s="10"/>
      <c r="I1029" s="10"/>
    </row>
    <row r="1030" spans="1:9">
      <c r="A1030" s="10" t="s">
        <v>1782</v>
      </c>
      <c r="B1030" s="124" t="s">
        <v>636</v>
      </c>
      <c r="C1030" s="124" t="s">
        <v>395</v>
      </c>
      <c r="D1030" s="12">
        <v>4000000</v>
      </c>
      <c r="E1030" s="157">
        <v>0.94295759199999996</v>
      </c>
      <c r="F1030" s="14">
        <v>3771830.37</v>
      </c>
      <c r="G1030" s="12">
        <v>0</v>
      </c>
      <c r="H1030" s="10"/>
      <c r="I1030" s="10"/>
    </row>
    <row r="1031" spans="1:9">
      <c r="A1031" s="10" t="s">
        <v>1783</v>
      </c>
      <c r="B1031" s="124" t="s">
        <v>657</v>
      </c>
      <c r="C1031" s="124" t="s">
        <v>395</v>
      </c>
      <c r="D1031" s="12">
        <v>4000000</v>
      </c>
      <c r="E1031" s="82">
        <v>0.94844614569999997</v>
      </c>
      <c r="F1031" s="14">
        <v>3793784.58</v>
      </c>
      <c r="G1031" s="12">
        <v>0</v>
      </c>
      <c r="H1031" s="10"/>
      <c r="I1031" s="10"/>
    </row>
    <row r="1032" spans="1:9">
      <c r="A1032" s="10" t="s">
        <v>1784</v>
      </c>
      <c r="B1032" s="124" t="s">
        <v>419</v>
      </c>
      <c r="C1032" s="124" t="s">
        <v>395</v>
      </c>
      <c r="D1032" s="14">
        <v>29431.84</v>
      </c>
      <c r="E1032" s="82">
        <v>0.95599867390000004</v>
      </c>
      <c r="F1032" s="153">
        <v>28136.799999999999</v>
      </c>
      <c r="G1032" s="12">
        <v>0</v>
      </c>
      <c r="H1032" s="10"/>
      <c r="I1032" s="10"/>
    </row>
    <row r="1033" spans="1:9">
      <c r="A1033" s="10" t="s">
        <v>1785</v>
      </c>
      <c r="B1033" s="124" t="s">
        <v>415</v>
      </c>
      <c r="C1033" s="124" t="s">
        <v>395</v>
      </c>
      <c r="D1033" s="14">
        <v>29431.84</v>
      </c>
      <c r="E1033" s="82">
        <v>0.98210679329999995</v>
      </c>
      <c r="F1033" s="14">
        <v>28905.21</v>
      </c>
      <c r="G1033" s="12">
        <v>0</v>
      </c>
      <c r="H1033" s="10"/>
      <c r="I1033" s="10"/>
    </row>
    <row r="1034" spans="1:9">
      <c r="A1034" s="10" t="s">
        <v>1786</v>
      </c>
      <c r="B1034" s="124" t="s">
        <v>510</v>
      </c>
      <c r="C1034" s="124" t="s">
        <v>395</v>
      </c>
      <c r="D1034" s="14">
        <v>278508.32</v>
      </c>
      <c r="E1034" s="157">
        <v>0.98026055400000001</v>
      </c>
      <c r="F1034" s="14">
        <v>273010.71999999997</v>
      </c>
      <c r="G1034" s="12">
        <v>0</v>
      </c>
      <c r="H1034" s="10"/>
      <c r="I1034" s="10"/>
    </row>
    <row r="1035" spans="1:9">
      <c r="A1035" s="10" t="s">
        <v>1787</v>
      </c>
      <c r="B1035" s="124" t="s">
        <v>505</v>
      </c>
      <c r="C1035" s="124" t="s">
        <v>395</v>
      </c>
      <c r="D1035" s="12">
        <v>475000000</v>
      </c>
      <c r="E1035" s="82">
        <v>0.99390045979999997</v>
      </c>
      <c r="F1035" s="14">
        <v>472102718.41000003</v>
      </c>
      <c r="G1035" s="14">
        <v>0.57999999999999996</v>
      </c>
      <c r="H1035" s="10"/>
      <c r="I1035" s="10"/>
    </row>
    <row r="1036" spans="1:9">
      <c r="A1036" s="10" t="s">
        <v>1788</v>
      </c>
      <c r="B1036" s="124" t="s">
        <v>716</v>
      </c>
      <c r="C1036" s="124" t="s">
        <v>395</v>
      </c>
      <c r="D1036" s="12">
        <v>10000000</v>
      </c>
      <c r="E1036" s="82">
        <v>0.98107732609999998</v>
      </c>
      <c r="F1036" s="14">
        <v>9810773.2599999998</v>
      </c>
      <c r="G1036" s="14">
        <v>0.01</v>
      </c>
      <c r="H1036" s="10"/>
      <c r="I1036" s="10"/>
    </row>
    <row r="1037" spans="1:9">
      <c r="A1037" s="10" t="s">
        <v>1789</v>
      </c>
      <c r="B1037" s="124" t="s">
        <v>456</v>
      </c>
      <c r="C1037" s="124" t="s">
        <v>395</v>
      </c>
      <c r="D1037" s="153">
        <v>37348528.700000003</v>
      </c>
      <c r="E1037" s="82">
        <v>0.98787488069999996</v>
      </c>
      <c r="F1037" s="14">
        <v>36895673.329999998</v>
      </c>
      <c r="G1037" s="14">
        <v>0.05</v>
      </c>
      <c r="H1037" s="10"/>
      <c r="I1037" s="10"/>
    </row>
    <row r="1038" spans="1:9">
      <c r="A1038" s="10" t="s">
        <v>1790</v>
      </c>
      <c r="B1038" s="124" t="s">
        <v>667</v>
      </c>
      <c r="C1038" s="124" t="s">
        <v>395</v>
      </c>
      <c r="D1038" s="14">
        <v>1027513.96</v>
      </c>
      <c r="E1038" s="82">
        <v>0.95881068160000005</v>
      </c>
      <c r="F1038" s="14">
        <v>985191.36</v>
      </c>
      <c r="G1038" s="12">
        <v>0</v>
      </c>
      <c r="H1038" s="10"/>
      <c r="I1038" s="10"/>
    </row>
    <row r="1039" spans="1:9">
      <c r="A1039" s="10" t="s">
        <v>1791</v>
      </c>
      <c r="B1039" s="124" t="s">
        <v>459</v>
      </c>
      <c r="C1039" s="124" t="s">
        <v>395</v>
      </c>
      <c r="D1039" s="14">
        <v>1027513.96</v>
      </c>
      <c r="E1039" s="82">
        <v>0.98276798089999995</v>
      </c>
      <c r="F1039" s="14">
        <v>1009807.82</v>
      </c>
      <c r="G1039" s="12">
        <v>0</v>
      </c>
      <c r="H1039" s="10"/>
      <c r="I1039" s="10"/>
    </row>
    <row r="1040" spans="1:9">
      <c r="A1040" s="10" t="s">
        <v>1792</v>
      </c>
      <c r="B1040" s="124" t="s">
        <v>655</v>
      </c>
      <c r="C1040" s="124" t="s">
        <v>395</v>
      </c>
      <c r="D1040" s="14">
        <v>1027513.96</v>
      </c>
      <c r="E1040" s="82">
        <v>0.93293133390000005</v>
      </c>
      <c r="F1040" s="14">
        <v>958599.97</v>
      </c>
      <c r="G1040" s="12">
        <v>0</v>
      </c>
      <c r="H1040" s="10"/>
      <c r="I1040" s="10"/>
    </row>
    <row r="1041" spans="1:9">
      <c r="A1041" s="10" t="s">
        <v>1793</v>
      </c>
      <c r="B1041" s="124" t="s">
        <v>1108</v>
      </c>
      <c r="C1041" s="124" t="s">
        <v>395</v>
      </c>
      <c r="D1041" s="14">
        <v>1027513.96</v>
      </c>
      <c r="E1041" s="82">
        <v>0.91131546190000001</v>
      </c>
      <c r="F1041" s="14">
        <v>936389.36</v>
      </c>
      <c r="G1041" s="12">
        <v>0</v>
      </c>
      <c r="H1041" s="10"/>
      <c r="I1041" s="10"/>
    </row>
    <row r="1042" spans="1:9">
      <c r="A1042" s="10" t="s">
        <v>1794</v>
      </c>
      <c r="B1042" s="124" t="s">
        <v>614</v>
      </c>
      <c r="C1042" s="124" t="s">
        <v>395</v>
      </c>
      <c r="D1042" s="14">
        <v>21145734.48</v>
      </c>
      <c r="E1042" s="82">
        <v>0.95800533109999997</v>
      </c>
      <c r="F1042" s="14">
        <v>20257726.359999999</v>
      </c>
      <c r="G1042" s="14">
        <v>0.02</v>
      </c>
      <c r="H1042" s="10"/>
      <c r="I1042" s="10"/>
    </row>
    <row r="1043" spans="1:9">
      <c r="A1043" s="10" t="s">
        <v>1795</v>
      </c>
      <c r="B1043" s="124" t="s">
        <v>822</v>
      </c>
      <c r="C1043" s="124" t="s">
        <v>395</v>
      </c>
      <c r="D1043" s="14">
        <v>21145734.48</v>
      </c>
      <c r="E1043" s="82">
        <v>0.91058786749999998</v>
      </c>
      <c r="F1043" s="14">
        <v>19255049.27</v>
      </c>
      <c r="G1043" s="14">
        <v>0.02</v>
      </c>
      <c r="H1043" s="10"/>
      <c r="I1043" s="10"/>
    </row>
    <row r="1044" spans="1:9">
      <c r="A1044" s="10" t="s">
        <v>1796</v>
      </c>
      <c r="B1044" s="124" t="s">
        <v>663</v>
      </c>
      <c r="C1044" s="124" t="s">
        <v>395</v>
      </c>
      <c r="D1044" s="14">
        <v>21145734.48</v>
      </c>
      <c r="E1044" s="82">
        <v>0.93216884779999998</v>
      </c>
      <c r="F1044" s="14">
        <v>19711394.949999999</v>
      </c>
      <c r="G1044" s="14">
        <v>0.02</v>
      </c>
      <c r="H1044" s="10"/>
      <c r="I1044" s="10"/>
    </row>
    <row r="1045" spans="1:9">
      <c r="A1045" s="10" t="s">
        <v>1797</v>
      </c>
      <c r="B1045" s="124" t="s">
        <v>824</v>
      </c>
      <c r="C1045" s="124" t="s">
        <v>395</v>
      </c>
      <c r="D1045" s="14">
        <v>21145734.48</v>
      </c>
      <c r="E1045" s="82">
        <v>0.89067854710000005</v>
      </c>
      <c r="F1045" s="14">
        <v>18834052.059999999</v>
      </c>
      <c r="G1045" s="14">
        <v>0.02</v>
      </c>
      <c r="H1045" s="10"/>
      <c r="I1045" s="10"/>
    </row>
    <row r="1046" spans="1:9">
      <c r="A1046" s="10" t="s">
        <v>1798</v>
      </c>
      <c r="B1046" s="124" t="s">
        <v>461</v>
      </c>
      <c r="C1046" s="124" t="s">
        <v>395</v>
      </c>
      <c r="D1046" s="153">
        <v>121402.9</v>
      </c>
      <c r="E1046" s="82">
        <v>0.97617075040000001</v>
      </c>
      <c r="F1046" s="14">
        <v>118509.96</v>
      </c>
      <c r="G1046" s="12">
        <v>0</v>
      </c>
      <c r="H1046" s="10"/>
      <c r="I1046" s="10"/>
    </row>
    <row r="1047" spans="1:9">
      <c r="A1047" s="10" t="s">
        <v>1799</v>
      </c>
      <c r="B1047" s="124" t="s">
        <v>456</v>
      </c>
      <c r="C1047" s="124" t="s">
        <v>395</v>
      </c>
      <c r="D1047" s="14">
        <v>437966.99</v>
      </c>
      <c r="E1047" s="82">
        <v>0.98750070180000005</v>
      </c>
      <c r="F1047" s="14">
        <v>432492.71</v>
      </c>
      <c r="G1047" s="12">
        <v>0</v>
      </c>
      <c r="H1047" s="10"/>
      <c r="I1047" s="10"/>
    </row>
    <row r="1048" spans="1:9">
      <c r="A1048" s="10" t="s">
        <v>1800</v>
      </c>
      <c r="B1048" s="124" t="s">
        <v>752</v>
      </c>
      <c r="C1048" s="124" t="s">
        <v>395</v>
      </c>
      <c r="D1048" s="14">
        <v>78805.34</v>
      </c>
      <c r="E1048" s="82">
        <v>0.95923880240000003</v>
      </c>
      <c r="F1048" s="14">
        <v>75593.14</v>
      </c>
      <c r="G1048" s="12">
        <v>0</v>
      </c>
      <c r="H1048" s="10"/>
      <c r="I1048" s="10"/>
    </row>
    <row r="1049" spans="1:9">
      <c r="A1049" s="10" t="s">
        <v>1801</v>
      </c>
      <c r="B1049" s="124" t="s">
        <v>461</v>
      </c>
      <c r="C1049" s="124" t="s">
        <v>395</v>
      </c>
      <c r="D1049" s="14">
        <v>281718.78999999998</v>
      </c>
      <c r="E1049" s="82">
        <v>0.97617088289999998</v>
      </c>
      <c r="F1049" s="14">
        <v>275005.68</v>
      </c>
      <c r="G1049" s="12">
        <v>0</v>
      </c>
      <c r="H1049" s="10"/>
      <c r="I1049" s="10"/>
    </row>
    <row r="1050" spans="1:9">
      <c r="A1050" s="10" t="s">
        <v>1802</v>
      </c>
      <c r="B1050" s="124" t="s">
        <v>627</v>
      </c>
      <c r="C1050" s="124" t="s">
        <v>395</v>
      </c>
      <c r="D1050" s="12">
        <v>85000000</v>
      </c>
      <c r="E1050" s="82">
        <v>0.94559599750000001</v>
      </c>
      <c r="F1050" s="14">
        <v>80375659.790000007</v>
      </c>
      <c r="G1050" s="153">
        <v>0.1</v>
      </c>
      <c r="H1050" s="10"/>
      <c r="I1050" s="10"/>
    </row>
    <row r="1051" spans="1:9">
      <c r="A1051" s="10" t="s">
        <v>1803</v>
      </c>
      <c r="B1051" s="124" t="s">
        <v>473</v>
      </c>
      <c r="C1051" s="124" t="s">
        <v>395</v>
      </c>
      <c r="D1051" s="12">
        <v>50000000</v>
      </c>
      <c r="E1051" s="82">
        <v>0.99650540919999997</v>
      </c>
      <c r="F1051" s="14">
        <v>49825270.460000001</v>
      </c>
      <c r="G1051" s="14">
        <v>0.06</v>
      </c>
      <c r="H1051" s="10"/>
      <c r="I1051" s="10"/>
    </row>
    <row r="1052" spans="1:9">
      <c r="A1052" s="10" t="s">
        <v>1804</v>
      </c>
      <c r="B1052" s="124" t="s">
        <v>667</v>
      </c>
      <c r="C1052" s="124" t="s">
        <v>395</v>
      </c>
      <c r="D1052" s="12">
        <v>50000000</v>
      </c>
      <c r="E1052" s="82">
        <v>0.95881067419999999</v>
      </c>
      <c r="F1052" s="14">
        <v>47940533.710000001</v>
      </c>
      <c r="G1052" s="14">
        <v>0.06</v>
      </c>
      <c r="H1052" s="10"/>
      <c r="I1052" s="10"/>
    </row>
    <row r="1053" spans="1:9">
      <c r="A1053" s="10" t="s">
        <v>1805</v>
      </c>
      <c r="B1053" s="124" t="s">
        <v>692</v>
      </c>
      <c r="C1053" s="124" t="s">
        <v>395</v>
      </c>
      <c r="D1053" s="12">
        <v>50000000</v>
      </c>
      <c r="E1053" s="82">
        <v>0.9904482926</v>
      </c>
      <c r="F1053" s="14">
        <v>49522414.630000003</v>
      </c>
      <c r="G1053" s="14">
        <v>0.06</v>
      </c>
      <c r="H1053" s="10"/>
      <c r="I1053" s="10"/>
    </row>
    <row r="1054" spans="1:9">
      <c r="A1054" s="10" t="s">
        <v>1806</v>
      </c>
      <c r="B1054" s="124" t="s">
        <v>746</v>
      </c>
      <c r="C1054" s="124" t="s">
        <v>395</v>
      </c>
      <c r="D1054" s="12">
        <v>50000000</v>
      </c>
      <c r="E1054" s="82">
        <v>0.98702001959999996</v>
      </c>
      <c r="F1054" s="14">
        <v>49351000.979999997</v>
      </c>
      <c r="G1054" s="14">
        <v>0.06</v>
      </c>
      <c r="H1054" s="10"/>
      <c r="I1054" s="10"/>
    </row>
    <row r="1055" spans="1:9">
      <c r="A1055" s="10" t="s">
        <v>1807</v>
      </c>
      <c r="B1055" s="124" t="s">
        <v>415</v>
      </c>
      <c r="C1055" s="124" t="s">
        <v>395</v>
      </c>
      <c r="D1055" s="12">
        <v>50000000</v>
      </c>
      <c r="E1055" s="82">
        <v>0.98361539440000001</v>
      </c>
      <c r="F1055" s="14">
        <v>49180769.719999999</v>
      </c>
      <c r="G1055" s="14">
        <v>0.06</v>
      </c>
      <c r="H1055" s="10"/>
      <c r="I1055" s="10"/>
    </row>
    <row r="1056" spans="1:9">
      <c r="A1056" s="10" t="s">
        <v>1808</v>
      </c>
      <c r="B1056" s="124" t="s">
        <v>992</v>
      </c>
      <c r="C1056" s="124" t="s">
        <v>395</v>
      </c>
      <c r="D1056" s="12">
        <v>32000000</v>
      </c>
      <c r="E1056" s="157">
        <v>0.91490174800000001</v>
      </c>
      <c r="F1056" s="14">
        <v>29276855.940000001</v>
      </c>
      <c r="G1056" s="14">
        <v>0.04</v>
      </c>
      <c r="H1056" s="10"/>
      <c r="I1056" s="10"/>
    </row>
    <row r="1057" spans="1:9">
      <c r="A1057" s="10" t="s">
        <v>1809</v>
      </c>
      <c r="B1057" s="124" t="s">
        <v>283</v>
      </c>
      <c r="C1057" s="124" t="s">
        <v>395</v>
      </c>
      <c r="D1057" s="12">
        <v>50000000</v>
      </c>
      <c r="E1057" s="82">
        <v>0.93112254729999999</v>
      </c>
      <c r="F1057" s="14">
        <v>46556127.369999997</v>
      </c>
      <c r="G1057" s="14">
        <v>0.06</v>
      </c>
      <c r="H1057" s="10"/>
      <c r="I1057" s="10"/>
    </row>
    <row r="1058" spans="1:9">
      <c r="A1058" s="10" t="s">
        <v>1810</v>
      </c>
      <c r="B1058" s="124" t="s">
        <v>931</v>
      </c>
      <c r="C1058" s="124" t="s">
        <v>395</v>
      </c>
      <c r="D1058" s="12">
        <v>50000000</v>
      </c>
      <c r="E1058" s="82">
        <v>0.93469926650000001</v>
      </c>
      <c r="F1058" s="14">
        <v>46734963.329999998</v>
      </c>
      <c r="G1058" s="14">
        <v>0.06</v>
      </c>
      <c r="H1058" s="10"/>
      <c r="I1058" s="10"/>
    </row>
    <row r="1059" spans="1:9">
      <c r="A1059" s="10" t="s">
        <v>1811</v>
      </c>
      <c r="B1059" s="124" t="s">
        <v>283</v>
      </c>
      <c r="C1059" s="124" t="s">
        <v>395</v>
      </c>
      <c r="D1059" s="12">
        <v>50000000</v>
      </c>
      <c r="E1059" s="82">
        <v>0.93112254729999999</v>
      </c>
      <c r="F1059" s="14">
        <v>46556127.369999997</v>
      </c>
      <c r="G1059" s="14">
        <v>0.06</v>
      </c>
      <c r="H1059" s="10"/>
      <c r="I1059" s="10"/>
    </row>
    <row r="1060" spans="1:9">
      <c r="A1060" s="10" t="s">
        <v>1812</v>
      </c>
      <c r="B1060" s="124" t="s">
        <v>1813</v>
      </c>
      <c r="C1060" s="124" t="s">
        <v>395</v>
      </c>
      <c r="D1060" s="12">
        <v>50000000</v>
      </c>
      <c r="E1060" s="82">
        <v>0.92969944179999997</v>
      </c>
      <c r="F1060" s="14">
        <v>46484972.090000004</v>
      </c>
      <c r="G1060" s="14">
        <v>0.06</v>
      </c>
      <c r="H1060" s="10"/>
      <c r="I1060" s="10"/>
    </row>
    <row r="1061" spans="1:9">
      <c r="A1061" s="10" t="s">
        <v>1814</v>
      </c>
      <c r="B1061" s="124" t="s">
        <v>255</v>
      </c>
      <c r="C1061" s="124" t="s">
        <v>395</v>
      </c>
      <c r="D1061" s="12">
        <v>17200000</v>
      </c>
      <c r="E1061" s="82">
        <v>0.93753217860000004</v>
      </c>
      <c r="F1061" s="14">
        <v>16125553.470000001</v>
      </c>
      <c r="G1061" s="14">
        <v>0.02</v>
      </c>
      <c r="H1061" s="10"/>
      <c r="I1061" s="10"/>
    </row>
    <row r="1062" spans="1:9">
      <c r="A1062" s="10" t="s">
        <v>1815</v>
      </c>
      <c r="B1062" s="124" t="s">
        <v>931</v>
      </c>
      <c r="C1062" s="124" t="s">
        <v>395</v>
      </c>
      <c r="D1062" s="12">
        <v>19500000</v>
      </c>
      <c r="E1062" s="82">
        <v>0.93064780020000004</v>
      </c>
      <c r="F1062" s="153">
        <v>18147632.100000001</v>
      </c>
      <c r="G1062" s="14">
        <v>0.02</v>
      </c>
      <c r="H1062" s="10"/>
      <c r="I1062" s="10"/>
    </row>
    <row r="1063" spans="1:9">
      <c r="A1063" s="10" t="s">
        <v>1816</v>
      </c>
      <c r="B1063" s="124" t="s">
        <v>663</v>
      </c>
      <c r="C1063" s="124" t="s">
        <v>395</v>
      </c>
      <c r="D1063" s="12">
        <v>18500000</v>
      </c>
      <c r="E1063" s="82">
        <v>0.93216884779999998</v>
      </c>
      <c r="F1063" s="14">
        <v>17245123.68</v>
      </c>
      <c r="G1063" s="14">
        <v>0.02</v>
      </c>
      <c r="H1063" s="10"/>
      <c r="I1063" s="10"/>
    </row>
    <row r="1064" spans="1:9">
      <c r="A1064" s="10" t="s">
        <v>1817</v>
      </c>
      <c r="B1064" s="124" t="s">
        <v>556</v>
      </c>
      <c r="C1064" s="124" t="s">
        <v>395</v>
      </c>
      <c r="D1064" s="12">
        <v>8000000</v>
      </c>
      <c r="E1064" s="82">
        <v>0.96367099069999995</v>
      </c>
      <c r="F1064" s="14">
        <v>7709367.9299999997</v>
      </c>
      <c r="G1064" s="14">
        <v>0.01</v>
      </c>
      <c r="H1064" s="10"/>
      <c r="I1064" s="10"/>
    </row>
    <row r="1065" spans="1:9">
      <c r="A1065" s="10" t="s">
        <v>1818</v>
      </c>
      <c r="B1065" s="124" t="s">
        <v>556</v>
      </c>
      <c r="C1065" s="124" t="s">
        <v>395</v>
      </c>
      <c r="D1065" s="12">
        <v>8000000</v>
      </c>
      <c r="E1065" s="82">
        <v>0.96367099069999995</v>
      </c>
      <c r="F1065" s="14">
        <v>7709367.9299999997</v>
      </c>
      <c r="G1065" s="14">
        <v>0.01</v>
      </c>
      <c r="H1065" s="10"/>
      <c r="I1065" s="10"/>
    </row>
    <row r="1066" spans="1:9">
      <c r="A1066" s="10" t="s">
        <v>1819</v>
      </c>
      <c r="B1066" s="124" t="s">
        <v>556</v>
      </c>
      <c r="C1066" s="124" t="s">
        <v>395</v>
      </c>
      <c r="D1066" s="12">
        <v>8000000</v>
      </c>
      <c r="E1066" s="82">
        <v>0.96367099069999995</v>
      </c>
      <c r="F1066" s="14">
        <v>7709367.9299999997</v>
      </c>
      <c r="G1066" s="14">
        <v>0.01</v>
      </c>
      <c r="H1066" s="10"/>
      <c r="I1066" s="10"/>
    </row>
    <row r="1067" spans="1:9">
      <c r="A1067" s="10" t="s">
        <v>1820</v>
      </c>
      <c r="B1067" s="124" t="s">
        <v>556</v>
      </c>
      <c r="C1067" s="124" t="s">
        <v>395</v>
      </c>
      <c r="D1067" s="12">
        <v>8000000</v>
      </c>
      <c r="E1067" s="82">
        <v>0.96367099069999995</v>
      </c>
      <c r="F1067" s="14">
        <v>7709367.9299999997</v>
      </c>
      <c r="G1067" s="14">
        <v>0.01</v>
      </c>
      <c r="H1067" s="10"/>
      <c r="I1067" s="10"/>
    </row>
    <row r="1068" spans="1:9">
      <c r="A1068" s="10" t="s">
        <v>1821</v>
      </c>
      <c r="B1068" s="124" t="s">
        <v>556</v>
      </c>
      <c r="C1068" s="124" t="s">
        <v>395</v>
      </c>
      <c r="D1068" s="12">
        <v>8000000</v>
      </c>
      <c r="E1068" s="82">
        <v>0.96367099069999995</v>
      </c>
      <c r="F1068" s="14">
        <v>7709367.9299999997</v>
      </c>
      <c r="G1068" s="14">
        <v>0.01</v>
      </c>
      <c r="H1068" s="10"/>
      <c r="I1068" s="10"/>
    </row>
    <row r="1069" spans="1:9">
      <c r="A1069" s="10" t="s">
        <v>1822</v>
      </c>
      <c r="B1069" s="124" t="s">
        <v>925</v>
      </c>
      <c r="C1069" s="124" t="s">
        <v>395</v>
      </c>
      <c r="D1069" s="12">
        <v>8000000</v>
      </c>
      <c r="E1069" s="82">
        <v>0.96123468820000002</v>
      </c>
      <c r="F1069" s="14">
        <v>7689877.5099999998</v>
      </c>
      <c r="G1069" s="14">
        <v>0.01</v>
      </c>
      <c r="H1069" s="10"/>
      <c r="I1069" s="10"/>
    </row>
    <row r="1070" spans="1:9">
      <c r="A1070" s="10" t="s">
        <v>1823</v>
      </c>
      <c r="B1070" s="124" t="s">
        <v>667</v>
      </c>
      <c r="C1070" s="124" t="s">
        <v>395</v>
      </c>
      <c r="D1070" s="12">
        <v>2019362</v>
      </c>
      <c r="E1070" s="82">
        <v>0.96502138839999996</v>
      </c>
      <c r="F1070" s="14">
        <v>1948727.52</v>
      </c>
      <c r="G1070" s="12">
        <v>0</v>
      </c>
      <c r="H1070" s="10"/>
      <c r="I1070" s="10"/>
    </row>
    <row r="1071" spans="1:9">
      <c r="A1071" s="10" t="s">
        <v>1832</v>
      </c>
      <c r="B1071" s="124" t="s">
        <v>974</v>
      </c>
      <c r="C1071" s="124" t="s">
        <v>397</v>
      </c>
      <c r="D1071" s="12">
        <v>50000000</v>
      </c>
      <c r="E1071" s="82">
        <v>0.93289544540000002</v>
      </c>
      <c r="F1071" s="14">
        <v>46644772.270000003</v>
      </c>
      <c r="G1071" s="14">
        <v>0.06</v>
      </c>
      <c r="H1071" s="10"/>
      <c r="I1071" s="10"/>
    </row>
    <row r="1072" spans="1:9">
      <c r="A1072" s="10" t="s">
        <v>1833</v>
      </c>
      <c r="B1072" s="124" t="s">
        <v>419</v>
      </c>
      <c r="C1072" s="124" t="s">
        <v>397</v>
      </c>
      <c r="D1072" s="12">
        <v>20000000</v>
      </c>
      <c r="E1072" s="82">
        <v>0.96204538589999999</v>
      </c>
      <c r="F1072" s="14">
        <v>19240907.719999999</v>
      </c>
      <c r="G1072" s="14">
        <v>0.02</v>
      </c>
      <c r="H1072" s="10"/>
      <c r="I1072" s="10"/>
    </row>
    <row r="1073" spans="1:9">
      <c r="A1073" s="10" t="s">
        <v>1834</v>
      </c>
      <c r="B1073" s="124" t="s">
        <v>616</v>
      </c>
      <c r="C1073" s="124" t="s">
        <v>397</v>
      </c>
      <c r="D1073" s="12">
        <v>5000000</v>
      </c>
      <c r="E1073" s="82">
        <v>0.92055498660000001</v>
      </c>
      <c r="F1073" s="14">
        <v>4602774.93</v>
      </c>
      <c r="G1073" s="14">
        <v>0.01</v>
      </c>
      <c r="H1073" s="10"/>
      <c r="I1073" s="10"/>
    </row>
    <row r="1074" spans="1:9">
      <c r="A1074" s="10" t="s">
        <v>1835</v>
      </c>
      <c r="B1074" s="124" t="s">
        <v>1698</v>
      </c>
      <c r="C1074" s="124" t="s">
        <v>397</v>
      </c>
      <c r="D1074" s="12">
        <v>25000000</v>
      </c>
      <c r="E1074" s="82">
        <v>0.94486151350000003</v>
      </c>
      <c r="F1074" s="14">
        <v>23621537.84</v>
      </c>
      <c r="G1074" s="14">
        <v>0.03</v>
      </c>
      <c r="H1074" s="10"/>
      <c r="I1074" s="10"/>
    </row>
    <row r="1075" spans="1:9">
      <c r="A1075" s="10" t="s">
        <v>1836</v>
      </c>
      <c r="B1075" s="124" t="s">
        <v>618</v>
      </c>
      <c r="C1075" s="124" t="s">
        <v>397</v>
      </c>
      <c r="D1075" s="12">
        <v>25000000</v>
      </c>
      <c r="E1075" s="82">
        <v>0.94193564429999999</v>
      </c>
      <c r="F1075" s="14">
        <v>23548391.109999999</v>
      </c>
      <c r="G1075" s="14">
        <v>0.03</v>
      </c>
      <c r="H1075" s="10"/>
      <c r="I1075" s="10"/>
    </row>
    <row r="1076" spans="1:9">
      <c r="A1076" s="10" t="s">
        <v>1837</v>
      </c>
      <c r="B1076" s="124" t="s">
        <v>627</v>
      </c>
      <c r="C1076" s="124" t="s">
        <v>397</v>
      </c>
      <c r="D1076" s="12">
        <v>250000000</v>
      </c>
      <c r="E1076" s="82">
        <v>0.95750263079999998</v>
      </c>
      <c r="F1076" s="153">
        <v>239375657.69999999</v>
      </c>
      <c r="G1076" s="14">
        <v>0.28999999999999998</v>
      </c>
      <c r="H1076" s="10"/>
      <c r="I1076" s="10"/>
    </row>
    <row r="1077" spans="1:9">
      <c r="A1077" s="10" t="s">
        <v>1838</v>
      </c>
      <c r="B1077" s="124" t="s">
        <v>587</v>
      </c>
      <c r="C1077" s="124" t="s">
        <v>397</v>
      </c>
      <c r="D1077" s="12">
        <v>265000000</v>
      </c>
      <c r="E1077" s="82">
        <v>0.96090568050000003</v>
      </c>
      <c r="F1077" s="14">
        <v>254640005.33000001</v>
      </c>
      <c r="G1077" s="14">
        <v>0.31</v>
      </c>
      <c r="H1077" s="10"/>
      <c r="I1077" s="10"/>
    </row>
    <row r="1078" spans="1:9">
      <c r="A1078" s="10" t="s">
        <v>1839</v>
      </c>
      <c r="B1078" s="124" t="s">
        <v>556</v>
      </c>
      <c r="C1078" s="124" t="s">
        <v>397</v>
      </c>
      <c r="D1078" s="12">
        <v>30000000</v>
      </c>
      <c r="E1078" s="82">
        <v>0.96586408629999998</v>
      </c>
      <c r="F1078" s="14">
        <v>28975922.59</v>
      </c>
      <c r="G1078" s="14">
        <v>0.04</v>
      </c>
      <c r="H1078" s="10"/>
      <c r="I1078" s="10"/>
    </row>
    <row r="1079" spans="1:9">
      <c r="A1079" s="10" t="s">
        <v>1840</v>
      </c>
      <c r="B1079" s="124" t="s">
        <v>746</v>
      </c>
      <c r="C1079" s="124" t="s">
        <v>397</v>
      </c>
      <c r="D1079" s="12">
        <v>30000000</v>
      </c>
      <c r="E1079" s="82">
        <v>0.9878214099</v>
      </c>
      <c r="F1079" s="153">
        <v>29634642.300000001</v>
      </c>
      <c r="G1079" s="14">
        <v>0.04</v>
      </c>
      <c r="H1079" s="10"/>
      <c r="I1079" s="10"/>
    </row>
    <row r="1080" spans="1:9">
      <c r="A1080" s="10" t="s">
        <v>1841</v>
      </c>
      <c r="B1080" s="124" t="s">
        <v>461</v>
      </c>
      <c r="C1080" s="124" t="s">
        <v>397</v>
      </c>
      <c r="D1080" s="12">
        <v>140000000</v>
      </c>
      <c r="E1080" s="82">
        <v>0.98084530979999995</v>
      </c>
      <c r="F1080" s="14">
        <v>137318343.37</v>
      </c>
      <c r="G1080" s="14">
        <v>0.17</v>
      </c>
      <c r="H1080" s="10"/>
      <c r="I1080" s="10"/>
    </row>
    <row r="1081" spans="1:9">
      <c r="A1081" s="10" t="s">
        <v>1842</v>
      </c>
      <c r="B1081" s="124" t="s">
        <v>762</v>
      </c>
      <c r="C1081" s="124" t="s">
        <v>397</v>
      </c>
      <c r="D1081" s="12">
        <v>18000000</v>
      </c>
      <c r="E1081" s="82">
        <v>0.95225684379999997</v>
      </c>
      <c r="F1081" s="14">
        <v>17140623.190000001</v>
      </c>
      <c r="G1081" s="14">
        <v>0.02</v>
      </c>
      <c r="H1081" s="10"/>
      <c r="I1081" s="10"/>
    </row>
    <row r="1082" spans="1:9">
      <c r="A1082" s="10" t="s">
        <v>1843</v>
      </c>
      <c r="B1082" s="124" t="s">
        <v>552</v>
      </c>
      <c r="C1082" s="124" t="s">
        <v>397</v>
      </c>
      <c r="D1082" s="12">
        <v>8000000</v>
      </c>
      <c r="E1082" s="82">
        <v>0.96950704610000005</v>
      </c>
      <c r="F1082" s="14">
        <v>7756056.3700000001</v>
      </c>
      <c r="G1082" s="14">
        <v>0.01</v>
      </c>
      <c r="H1082" s="10"/>
      <c r="I1082" s="10"/>
    </row>
    <row r="1083" spans="1:9">
      <c r="A1083" s="10" t="s">
        <v>1844</v>
      </c>
      <c r="B1083" s="124" t="s">
        <v>473</v>
      </c>
      <c r="C1083" s="124" t="s">
        <v>397</v>
      </c>
      <c r="D1083" s="12">
        <v>7000000</v>
      </c>
      <c r="E1083" s="82">
        <v>0.99694090280000003</v>
      </c>
      <c r="F1083" s="14">
        <v>6978586.3200000003</v>
      </c>
      <c r="G1083" s="14">
        <v>0.01</v>
      </c>
      <c r="H1083" s="10"/>
      <c r="I1083" s="10"/>
    </row>
    <row r="1084" spans="1:9">
      <c r="A1084" s="10" t="s">
        <v>1845</v>
      </c>
      <c r="B1084" s="124" t="s">
        <v>463</v>
      </c>
      <c r="C1084" s="124" t="s">
        <v>397</v>
      </c>
      <c r="D1084" s="12">
        <v>7000000</v>
      </c>
      <c r="E1084" s="82">
        <v>0.99012592710000003</v>
      </c>
      <c r="F1084" s="14">
        <v>6930881.4900000002</v>
      </c>
      <c r="G1084" s="14">
        <v>0.01</v>
      </c>
      <c r="H1084" s="10"/>
      <c r="I1084" s="10"/>
    </row>
    <row r="1085" spans="1:9">
      <c r="A1085" s="10" t="s">
        <v>1846</v>
      </c>
      <c r="B1085" s="124" t="s">
        <v>692</v>
      </c>
      <c r="C1085" s="124" t="s">
        <v>397</v>
      </c>
      <c r="D1085" s="12">
        <v>7000000</v>
      </c>
      <c r="E1085" s="82">
        <v>0.99163228290000005</v>
      </c>
      <c r="F1085" s="14">
        <v>6941425.9800000004</v>
      </c>
      <c r="G1085" s="14">
        <v>0.01</v>
      </c>
      <c r="H1085" s="10"/>
      <c r="I1085" s="10"/>
    </row>
    <row r="1086" spans="1:9">
      <c r="A1086" s="10" t="s">
        <v>1847</v>
      </c>
      <c r="B1086" s="124" t="s">
        <v>645</v>
      </c>
      <c r="C1086" s="124" t="s">
        <v>397</v>
      </c>
      <c r="D1086" s="12">
        <v>8000000</v>
      </c>
      <c r="E1086" s="82">
        <v>0.97458081529999996</v>
      </c>
      <c r="F1086" s="14">
        <v>7796646.5199999996</v>
      </c>
      <c r="G1086" s="14">
        <v>0.01</v>
      </c>
      <c r="H1086" s="10"/>
      <c r="I1086" s="10"/>
    </row>
    <row r="1087" spans="1:9">
      <c r="A1087" s="10" t="s">
        <v>1848</v>
      </c>
      <c r="B1087" s="124" t="s">
        <v>498</v>
      </c>
      <c r="C1087" s="124" t="s">
        <v>397</v>
      </c>
      <c r="D1087" s="12">
        <v>8000000</v>
      </c>
      <c r="E1087" s="82">
        <v>0.97604030340000003</v>
      </c>
      <c r="F1087" s="14">
        <v>7808322.4299999997</v>
      </c>
      <c r="G1087" s="14">
        <v>0.01</v>
      </c>
      <c r="H1087" s="10"/>
      <c r="I1087" s="10"/>
    </row>
    <row r="1088" spans="1:9">
      <c r="A1088" s="10" t="s">
        <v>1849</v>
      </c>
      <c r="B1088" s="124" t="s">
        <v>716</v>
      </c>
      <c r="C1088" s="124" t="s">
        <v>397</v>
      </c>
      <c r="D1088" s="12">
        <v>8000000</v>
      </c>
      <c r="E1088" s="82">
        <v>0.9834034277</v>
      </c>
      <c r="F1088" s="14">
        <v>7867227.4199999999</v>
      </c>
      <c r="G1088" s="14">
        <v>0.01</v>
      </c>
      <c r="H1088" s="10"/>
      <c r="I1088" s="10"/>
    </row>
    <row r="1089" spans="1:9">
      <c r="A1089" s="10" t="s">
        <v>1850</v>
      </c>
      <c r="B1089" s="124" t="s">
        <v>419</v>
      </c>
      <c r="C1089" s="124" t="s">
        <v>397</v>
      </c>
      <c r="D1089" s="12">
        <v>8000000</v>
      </c>
      <c r="E1089" s="82">
        <v>0.9644858315</v>
      </c>
      <c r="F1089" s="14">
        <v>7715886.6500000004</v>
      </c>
      <c r="G1089" s="14">
        <v>0.01</v>
      </c>
      <c r="H1089" s="10"/>
      <c r="I1089" s="10"/>
    </row>
    <row r="1090" spans="1:9">
      <c r="A1090" s="10" t="s">
        <v>1851</v>
      </c>
      <c r="B1090" s="124" t="s">
        <v>459</v>
      </c>
      <c r="C1090" s="124" t="s">
        <v>397</v>
      </c>
      <c r="D1090" s="12">
        <v>8000000</v>
      </c>
      <c r="E1090" s="82">
        <v>0.9848893702</v>
      </c>
      <c r="F1090" s="14">
        <v>7879114.96</v>
      </c>
      <c r="G1090" s="14">
        <v>0.01</v>
      </c>
      <c r="H1090" s="10"/>
      <c r="I1090" s="10"/>
    </row>
    <row r="1091" spans="1:9">
      <c r="A1091" s="10" t="s">
        <v>1852</v>
      </c>
      <c r="B1091" s="124" t="s">
        <v>419</v>
      </c>
      <c r="C1091" s="124" t="s">
        <v>397</v>
      </c>
      <c r="D1091" s="12">
        <v>8000000</v>
      </c>
      <c r="E1091" s="82">
        <v>0.9644858315</v>
      </c>
      <c r="F1091" s="14">
        <v>7715886.6500000004</v>
      </c>
      <c r="G1091" s="14">
        <v>0.01</v>
      </c>
      <c r="H1091" s="10"/>
      <c r="I1091" s="10"/>
    </row>
    <row r="1092" spans="1:9">
      <c r="A1092" s="10" t="s">
        <v>1853</v>
      </c>
      <c r="B1092" s="124" t="s">
        <v>556</v>
      </c>
      <c r="C1092" s="124" t="s">
        <v>397</v>
      </c>
      <c r="D1092" s="12">
        <v>8000000</v>
      </c>
      <c r="E1092" s="82">
        <v>0.9680671435</v>
      </c>
      <c r="F1092" s="14">
        <v>7744537.1500000004</v>
      </c>
      <c r="G1092" s="14">
        <v>0.01</v>
      </c>
      <c r="H1092" s="10"/>
      <c r="I1092" s="10"/>
    </row>
    <row r="1093" spans="1:9">
      <c r="A1093" s="10" t="s">
        <v>1854</v>
      </c>
      <c r="B1093" s="124" t="s">
        <v>618</v>
      </c>
      <c r="C1093" s="124" t="s">
        <v>397</v>
      </c>
      <c r="D1093" s="12">
        <v>7000000</v>
      </c>
      <c r="E1093" s="82">
        <v>0.94559600740000005</v>
      </c>
      <c r="F1093" s="14">
        <v>6619172.0499999998</v>
      </c>
      <c r="G1093" s="14">
        <v>0.01</v>
      </c>
      <c r="H1093" s="10"/>
      <c r="I1093" s="10"/>
    </row>
    <row r="1094" spans="1:9">
      <c r="A1094" s="10" t="s">
        <v>1855</v>
      </c>
      <c r="B1094" s="124" t="s">
        <v>556</v>
      </c>
      <c r="C1094" s="124" t="s">
        <v>397</v>
      </c>
      <c r="D1094" s="12">
        <v>8000000</v>
      </c>
      <c r="E1094" s="82">
        <v>0.9680671435</v>
      </c>
      <c r="F1094" s="14">
        <v>7744537.1500000004</v>
      </c>
      <c r="G1094" s="14">
        <v>0.01</v>
      </c>
      <c r="H1094" s="10"/>
      <c r="I1094" s="10"/>
    </row>
    <row r="1095" spans="1:9">
      <c r="A1095" s="10" t="s">
        <v>1856</v>
      </c>
      <c r="B1095" s="124" t="s">
        <v>578</v>
      </c>
      <c r="C1095" s="124" t="s">
        <v>397</v>
      </c>
      <c r="D1095" s="12">
        <v>33170000</v>
      </c>
      <c r="E1095" s="82">
        <v>0.99558128459999995</v>
      </c>
      <c r="F1095" s="14">
        <v>33023431.210000001</v>
      </c>
      <c r="G1095" s="14">
        <v>0.04</v>
      </c>
      <c r="H1095" s="10"/>
      <c r="I1095" s="10"/>
    </row>
    <row r="1096" spans="1:9">
      <c r="A1096" s="10" t="s">
        <v>1857</v>
      </c>
      <c r="B1096" s="124" t="s">
        <v>267</v>
      </c>
      <c r="C1096" s="124" t="s">
        <v>397</v>
      </c>
      <c r="D1096" s="12">
        <v>33250000</v>
      </c>
      <c r="E1096" s="82">
        <v>0.96986779840000004</v>
      </c>
      <c r="F1096" s="153">
        <v>32248104.300000001</v>
      </c>
      <c r="G1096" s="14">
        <v>0.04</v>
      </c>
      <c r="H1096" s="10"/>
      <c r="I1096" s="10"/>
    </row>
    <row r="1097" spans="1:9">
      <c r="A1097" s="10" t="s">
        <v>1858</v>
      </c>
      <c r="B1097" s="124" t="s">
        <v>463</v>
      </c>
      <c r="C1097" s="124" t="s">
        <v>397</v>
      </c>
      <c r="D1097" s="12">
        <v>33580000</v>
      </c>
      <c r="E1097" s="82">
        <v>0.99047521510000003</v>
      </c>
      <c r="F1097" s="14">
        <v>33260157.719999999</v>
      </c>
      <c r="G1097" s="14">
        <v>0.04</v>
      </c>
      <c r="H1097" s="10"/>
      <c r="I1097" s="10"/>
    </row>
    <row r="1098" spans="1:9">
      <c r="A1098" s="10" t="s">
        <v>1859</v>
      </c>
      <c r="B1098" s="124" t="s">
        <v>517</v>
      </c>
      <c r="C1098" s="124" t="s">
        <v>397</v>
      </c>
      <c r="D1098" s="12">
        <v>5000000</v>
      </c>
      <c r="E1098" s="82">
        <v>0.99023332590000002</v>
      </c>
      <c r="F1098" s="14">
        <v>4951166.63</v>
      </c>
      <c r="G1098" s="14">
        <v>0.01</v>
      </c>
      <c r="H1098" s="10"/>
      <c r="I1098" s="10"/>
    </row>
    <row r="1099" spans="1:9">
      <c r="A1099" s="10" t="s">
        <v>1860</v>
      </c>
      <c r="B1099" s="124" t="s">
        <v>473</v>
      </c>
      <c r="C1099" s="124" t="s">
        <v>397</v>
      </c>
      <c r="D1099" s="12">
        <v>5000000</v>
      </c>
      <c r="E1099" s="157">
        <v>0.99672311199999997</v>
      </c>
      <c r="F1099" s="14">
        <v>4983615.5599999996</v>
      </c>
      <c r="G1099" s="14">
        <v>0.01</v>
      </c>
      <c r="H1099" s="10"/>
      <c r="I1099" s="10"/>
    </row>
    <row r="1100" spans="1:9">
      <c r="A1100" s="10" t="s">
        <v>1861</v>
      </c>
      <c r="B1100" s="124" t="s">
        <v>578</v>
      </c>
      <c r="C1100" s="124" t="s">
        <v>397</v>
      </c>
      <c r="D1100" s="12">
        <v>5000000</v>
      </c>
      <c r="E1100" s="157">
        <v>0.99509272400000004</v>
      </c>
      <c r="F1100" s="14">
        <v>4975463.62</v>
      </c>
      <c r="G1100" s="14">
        <v>0.01</v>
      </c>
      <c r="H1100" s="10"/>
      <c r="I1100" s="10"/>
    </row>
    <row r="1101" spans="1:9">
      <c r="A1101" s="10" t="s">
        <v>1862</v>
      </c>
      <c r="B1101" s="124" t="s">
        <v>630</v>
      </c>
      <c r="C1101" s="124" t="s">
        <v>397</v>
      </c>
      <c r="D1101" s="12">
        <v>27000000</v>
      </c>
      <c r="E1101" s="82">
        <v>0.91405389159999995</v>
      </c>
      <c r="F1101" s="14">
        <v>24679455.07</v>
      </c>
      <c r="G1101" s="14">
        <v>0.03</v>
      </c>
      <c r="H1101" s="10"/>
      <c r="I1101" s="10"/>
    </row>
    <row r="1102" spans="1:9">
      <c r="A1102" s="10" t="s">
        <v>1863</v>
      </c>
      <c r="B1102" s="124" t="s">
        <v>718</v>
      </c>
      <c r="C1102" s="124" t="s">
        <v>397</v>
      </c>
      <c r="D1102" s="153">
        <v>1555000.5</v>
      </c>
      <c r="E1102" s="82">
        <v>0.97567500480000002</v>
      </c>
      <c r="F1102" s="14">
        <v>1517175.12</v>
      </c>
      <c r="G1102" s="12">
        <v>0</v>
      </c>
      <c r="H1102" s="10"/>
      <c r="I1102" s="10"/>
    </row>
    <row r="1103" spans="1:9">
      <c r="A1103" s="10" t="s">
        <v>1864</v>
      </c>
      <c r="B1103" s="124" t="s">
        <v>716</v>
      </c>
      <c r="C1103" s="124" t="s">
        <v>397</v>
      </c>
      <c r="D1103" s="153">
        <v>1555000.5</v>
      </c>
      <c r="E1103" s="82">
        <v>0.97934000659999998</v>
      </c>
      <c r="F1103" s="153">
        <v>1522874.2</v>
      </c>
      <c r="G1103" s="12">
        <v>0</v>
      </c>
      <c r="H1103" s="10"/>
      <c r="I1103" s="10"/>
    </row>
    <row r="1104" spans="1:9">
      <c r="A1104" s="10" t="s">
        <v>1865</v>
      </c>
      <c r="B1104" s="124" t="s">
        <v>716</v>
      </c>
      <c r="C1104" s="124" t="s">
        <v>397</v>
      </c>
      <c r="D1104" s="14">
        <v>1250300.6499999999</v>
      </c>
      <c r="E1104" s="82">
        <v>0.97934000080000005</v>
      </c>
      <c r="F1104" s="14">
        <v>1224469.44</v>
      </c>
      <c r="G1104" s="12">
        <v>0</v>
      </c>
      <c r="H1104" s="10"/>
      <c r="I1104" s="10"/>
    </row>
    <row r="1105" spans="1:9">
      <c r="A1105" s="10" t="s">
        <v>1866</v>
      </c>
      <c r="B1105" s="124" t="s">
        <v>510</v>
      </c>
      <c r="C1105" s="124" t="s">
        <v>397</v>
      </c>
      <c r="D1105" s="153">
        <v>3256800.5</v>
      </c>
      <c r="E1105" s="21">
        <v>0.98026058999999999</v>
      </c>
      <c r="F1105" s="14">
        <v>3192513.18</v>
      </c>
      <c r="G1105" s="12">
        <v>0</v>
      </c>
      <c r="H1105" s="10"/>
      <c r="I1105" s="10"/>
    </row>
    <row r="1106" spans="1:9">
      <c r="A1106" s="10" t="s">
        <v>1867</v>
      </c>
      <c r="B1106" s="124" t="s">
        <v>517</v>
      </c>
      <c r="C1106" s="124" t="s">
        <v>397</v>
      </c>
      <c r="D1106" s="14">
        <v>1250300.6499999999</v>
      </c>
      <c r="E1106" s="82">
        <v>0.98862407220000004</v>
      </c>
      <c r="F1106" s="14">
        <v>1236077.32</v>
      </c>
      <c r="G1106" s="12">
        <v>0</v>
      </c>
      <c r="H1106" s="10"/>
      <c r="I1106" s="10"/>
    </row>
    <row r="1107" spans="1:9">
      <c r="A1107" s="10" t="s">
        <v>1868</v>
      </c>
      <c r="B1107" s="124" t="s">
        <v>692</v>
      </c>
      <c r="C1107" s="124" t="s">
        <v>397</v>
      </c>
      <c r="D1107" s="153">
        <v>1555000.5</v>
      </c>
      <c r="E1107" s="82">
        <v>0.98956218330000001</v>
      </c>
      <c r="F1107" s="14">
        <v>1538769.69</v>
      </c>
      <c r="G1107" s="12">
        <v>0</v>
      </c>
      <c r="H1107" s="10"/>
      <c r="I1107" s="10"/>
    </row>
    <row r="1108" spans="1:9">
      <c r="A1108" s="10" t="s">
        <v>1869</v>
      </c>
      <c r="B1108" s="124" t="s">
        <v>461</v>
      </c>
      <c r="C1108" s="124" t="s">
        <v>397</v>
      </c>
      <c r="D1108" s="153">
        <v>3256800.5</v>
      </c>
      <c r="E1108" s="82">
        <v>0.97476300120000003</v>
      </c>
      <c r="F1108" s="14">
        <v>3174608.63</v>
      </c>
      <c r="G1108" s="12">
        <v>0</v>
      </c>
      <c r="H1108" s="10"/>
      <c r="I1108" s="10"/>
    </row>
    <row r="1109" spans="1:9">
      <c r="A1109" s="10" t="s">
        <v>1870</v>
      </c>
      <c r="B1109" s="124" t="s">
        <v>718</v>
      </c>
      <c r="C1109" s="124" t="s">
        <v>397</v>
      </c>
      <c r="D1109" s="14">
        <v>1250300.6499999999</v>
      </c>
      <c r="E1109" s="82">
        <v>0.97567499459999996</v>
      </c>
      <c r="F1109" s="14">
        <v>1219887.08</v>
      </c>
      <c r="G1109" s="12">
        <v>0</v>
      </c>
      <c r="H1109" s="10"/>
      <c r="I1109" s="10"/>
    </row>
    <row r="1110" spans="1:9">
      <c r="A1110" s="10" t="s">
        <v>1871</v>
      </c>
      <c r="B1110" s="124" t="s">
        <v>692</v>
      </c>
      <c r="C1110" s="124" t="s">
        <v>397</v>
      </c>
      <c r="D1110" s="14">
        <v>1250300.6499999999</v>
      </c>
      <c r="E1110" s="82">
        <v>0.98956218240000005</v>
      </c>
      <c r="F1110" s="14">
        <v>1237250.24</v>
      </c>
      <c r="G1110" s="12">
        <v>0</v>
      </c>
      <c r="H1110" s="10"/>
      <c r="I1110" s="10"/>
    </row>
    <row r="1111" spans="1:9">
      <c r="A1111" s="10" t="s">
        <v>1872</v>
      </c>
      <c r="B1111" s="124" t="s">
        <v>463</v>
      </c>
      <c r="C1111" s="124" t="s">
        <v>397</v>
      </c>
      <c r="D1111" s="153">
        <v>3256800.5</v>
      </c>
      <c r="E1111" s="82">
        <v>0.98768780270000001</v>
      </c>
      <c r="F1111" s="14">
        <v>3216702.13</v>
      </c>
      <c r="G1111" s="12">
        <v>0</v>
      </c>
      <c r="H1111" s="10"/>
      <c r="I1111" s="10"/>
    </row>
    <row r="1112" spans="1:9">
      <c r="A1112" s="10" t="s">
        <v>1873</v>
      </c>
      <c r="B1112" s="124" t="s">
        <v>463</v>
      </c>
      <c r="C1112" s="124" t="s">
        <v>397</v>
      </c>
      <c r="D1112" s="153">
        <v>3256800.5</v>
      </c>
      <c r="E1112" s="82">
        <v>0.98768780270000001</v>
      </c>
      <c r="F1112" s="14">
        <v>3216702.13</v>
      </c>
      <c r="G1112" s="12">
        <v>0</v>
      </c>
      <c r="H1112" s="10"/>
      <c r="I1112" s="10"/>
    </row>
    <row r="1113" spans="1:9">
      <c r="A1113" s="10" t="s">
        <v>1874</v>
      </c>
      <c r="B1113" s="124" t="s">
        <v>505</v>
      </c>
      <c r="C1113" s="124" t="s">
        <v>397</v>
      </c>
      <c r="D1113" s="153">
        <v>3256800.5</v>
      </c>
      <c r="E1113" s="82">
        <v>0.9933324563</v>
      </c>
      <c r="F1113" s="14">
        <v>3235085.64</v>
      </c>
      <c r="G1113" s="12">
        <v>0</v>
      </c>
      <c r="H1113" s="10"/>
      <c r="I1113" s="10"/>
    </row>
    <row r="1114" spans="1:9">
      <c r="A1114" s="10" t="s">
        <v>1875</v>
      </c>
      <c r="B1114" s="124" t="s">
        <v>456</v>
      </c>
      <c r="C1114" s="124" t="s">
        <v>397</v>
      </c>
      <c r="D1114" s="14">
        <v>1250300.6499999999</v>
      </c>
      <c r="E1114" s="82">
        <v>0.98675324190000002</v>
      </c>
      <c r="F1114" s="14">
        <v>1233738.22</v>
      </c>
      <c r="G1114" s="12">
        <v>0</v>
      </c>
      <c r="H1114" s="10"/>
      <c r="I1114" s="10"/>
    </row>
    <row r="1115" spans="1:9">
      <c r="A1115" s="10" t="s">
        <v>1876</v>
      </c>
      <c r="B1115" s="124" t="s">
        <v>456</v>
      </c>
      <c r="C1115" s="124" t="s">
        <v>397</v>
      </c>
      <c r="D1115" s="153">
        <v>1555000.5</v>
      </c>
      <c r="E1115" s="82">
        <v>0.98675323260000003</v>
      </c>
      <c r="F1115" s="14">
        <v>1534401.77</v>
      </c>
      <c r="G1115" s="12">
        <v>0</v>
      </c>
      <c r="H1115" s="10"/>
      <c r="I1115" s="10"/>
    </row>
    <row r="1116" spans="1:9">
      <c r="A1116" s="10" t="s">
        <v>1877</v>
      </c>
      <c r="B1116" s="124" t="s">
        <v>517</v>
      </c>
      <c r="C1116" s="124" t="s">
        <v>397</v>
      </c>
      <c r="D1116" s="153">
        <v>1555000.5</v>
      </c>
      <c r="E1116" s="82">
        <v>0.98862408089999998</v>
      </c>
      <c r="F1116" s="14">
        <v>1537310.94</v>
      </c>
      <c r="G1116" s="12">
        <v>0</v>
      </c>
      <c r="H1116" s="10"/>
      <c r="I1116" s="10"/>
    </row>
    <row r="1117" spans="1:9">
      <c r="A1117" s="10" t="s">
        <v>1878</v>
      </c>
      <c r="B1117" s="124" t="s">
        <v>559</v>
      </c>
      <c r="C1117" s="124" t="s">
        <v>397</v>
      </c>
      <c r="D1117" s="14">
        <v>47373027.109999999</v>
      </c>
      <c r="E1117" s="82">
        <v>0.97677166660000003</v>
      </c>
      <c r="F1117" s="14">
        <v>46272630.640000001</v>
      </c>
      <c r="G1117" s="14">
        <v>0.06</v>
      </c>
      <c r="H1117" s="10"/>
      <c r="I1117" s="10"/>
    </row>
    <row r="1118" spans="1:9">
      <c r="A1118" s="10" t="s">
        <v>1879</v>
      </c>
      <c r="B1118" s="124" t="s">
        <v>657</v>
      </c>
      <c r="C1118" s="124" t="s">
        <v>397</v>
      </c>
      <c r="D1118" s="14">
        <v>47373027.109999999</v>
      </c>
      <c r="E1118" s="82">
        <v>0.94997666020000004</v>
      </c>
      <c r="F1118" s="14">
        <v>45003270.079999998</v>
      </c>
      <c r="G1118" s="14">
        <v>0.06</v>
      </c>
      <c r="H1118" s="10"/>
      <c r="I1118" s="10"/>
    </row>
    <row r="1119" spans="1:9">
      <c r="A1119" s="10" t="s">
        <v>1880</v>
      </c>
      <c r="B1119" s="124" t="s">
        <v>459</v>
      </c>
      <c r="C1119" s="124" t="s">
        <v>397</v>
      </c>
      <c r="D1119" s="12">
        <v>25000000</v>
      </c>
      <c r="E1119" s="82">
        <v>0.98542116739999996</v>
      </c>
      <c r="F1119" s="14">
        <v>24635529.190000001</v>
      </c>
      <c r="G1119" s="14">
        <v>0.03</v>
      </c>
      <c r="H1119" s="10"/>
      <c r="I1119" s="10"/>
    </row>
    <row r="1120" spans="1:9">
      <c r="A1120" s="10" t="s">
        <v>1881</v>
      </c>
      <c r="B1120" s="124" t="s">
        <v>510</v>
      </c>
      <c r="C1120" s="124" t="s">
        <v>397</v>
      </c>
      <c r="D1120" s="12">
        <v>25000000</v>
      </c>
      <c r="E1120" s="82">
        <v>0.98470343969999996</v>
      </c>
      <c r="F1120" s="14">
        <v>24617585.989999998</v>
      </c>
      <c r="G1120" s="14">
        <v>0.03</v>
      </c>
      <c r="H1120" s="10"/>
      <c r="I1120" s="10"/>
    </row>
    <row r="1121" spans="1:9">
      <c r="A1121" s="10" t="s">
        <v>1882</v>
      </c>
      <c r="B1121" s="124" t="s">
        <v>459</v>
      </c>
      <c r="C1121" s="124" t="s">
        <v>397</v>
      </c>
      <c r="D1121" s="12">
        <v>25000000</v>
      </c>
      <c r="E1121" s="82">
        <v>0.98542116739999996</v>
      </c>
      <c r="F1121" s="14">
        <v>24635529.190000001</v>
      </c>
      <c r="G1121" s="14">
        <v>0.03</v>
      </c>
      <c r="H1121" s="10"/>
      <c r="I1121" s="10"/>
    </row>
    <row r="1122" spans="1:9">
      <c r="A1122" s="10" t="s">
        <v>1883</v>
      </c>
      <c r="B1122" s="124" t="s">
        <v>459</v>
      </c>
      <c r="C1122" s="124" t="s">
        <v>397</v>
      </c>
      <c r="D1122" s="12">
        <v>25000000</v>
      </c>
      <c r="E1122" s="82">
        <v>0.98542116739999996</v>
      </c>
      <c r="F1122" s="14">
        <v>24635529.190000001</v>
      </c>
      <c r="G1122" s="14">
        <v>0.03</v>
      </c>
      <c r="H1122" s="10"/>
      <c r="I1122" s="10"/>
    </row>
    <row r="1123" spans="1:9">
      <c r="A1123" s="10" t="s">
        <v>1884</v>
      </c>
      <c r="B1123" s="124" t="s">
        <v>1885</v>
      </c>
      <c r="C1123" s="124" t="s">
        <v>397</v>
      </c>
      <c r="D1123" s="12">
        <v>19000000</v>
      </c>
      <c r="E1123" s="82">
        <v>0.90239334719999997</v>
      </c>
      <c r="F1123" s="153">
        <v>17145473.600000001</v>
      </c>
      <c r="G1123" s="14">
        <v>0.02</v>
      </c>
      <c r="H1123" s="10"/>
      <c r="I1123" s="10"/>
    </row>
    <row r="1124" spans="1:9">
      <c r="A1124" s="10" t="s">
        <v>1886</v>
      </c>
      <c r="B1124" s="124" t="s">
        <v>1887</v>
      </c>
      <c r="C1124" s="124" t="s">
        <v>397</v>
      </c>
      <c r="D1124" s="12">
        <v>19000000</v>
      </c>
      <c r="E1124" s="82">
        <v>0.8999015158</v>
      </c>
      <c r="F1124" s="153">
        <v>17098128.800000001</v>
      </c>
      <c r="G1124" s="14">
        <v>0.02</v>
      </c>
      <c r="H1124" s="10"/>
      <c r="I1124" s="10"/>
    </row>
    <row r="1125" spans="1:9">
      <c r="A1125" s="10" t="s">
        <v>1888</v>
      </c>
      <c r="B1125" s="124" t="s">
        <v>1553</v>
      </c>
      <c r="C1125" s="124" t="s">
        <v>397</v>
      </c>
      <c r="D1125" s="12">
        <v>19000000</v>
      </c>
      <c r="E1125" s="82">
        <v>0.89495890810000001</v>
      </c>
      <c r="F1125" s="14">
        <v>17004219.25</v>
      </c>
      <c r="G1125" s="14">
        <v>0.02</v>
      </c>
      <c r="H1125" s="10"/>
      <c r="I1125" s="10"/>
    </row>
    <row r="1126" spans="1:9">
      <c r="A1126" s="10" t="s">
        <v>1889</v>
      </c>
      <c r="B1126" s="124" t="s">
        <v>459</v>
      </c>
      <c r="C1126" s="124" t="s">
        <v>397</v>
      </c>
      <c r="D1126" s="14">
        <v>165489.23000000001</v>
      </c>
      <c r="E1126" s="82">
        <v>0.98223890479999998</v>
      </c>
      <c r="F1126" s="14">
        <v>162549.96</v>
      </c>
      <c r="G1126" s="12">
        <v>0</v>
      </c>
      <c r="H1126" s="10"/>
      <c r="I1126" s="10"/>
    </row>
    <row r="1127" spans="1:9">
      <c r="A1127" s="10" t="s">
        <v>1890</v>
      </c>
      <c r="B1127" s="124" t="s">
        <v>667</v>
      </c>
      <c r="C1127" s="124" t="s">
        <v>397</v>
      </c>
      <c r="D1127" s="14">
        <v>165489.23000000001</v>
      </c>
      <c r="E1127" s="82">
        <v>0.95757808570000003</v>
      </c>
      <c r="F1127" s="14">
        <v>158468.85999999999</v>
      </c>
      <c r="G1127" s="12">
        <v>0</v>
      </c>
      <c r="H1127" s="10"/>
      <c r="I1127" s="10"/>
    </row>
    <row r="1128" spans="1:9">
      <c r="A1128" s="10" t="s">
        <v>1891</v>
      </c>
      <c r="B1128" s="124" t="s">
        <v>561</v>
      </c>
      <c r="C1128" s="124" t="s">
        <v>397</v>
      </c>
      <c r="D1128" s="14">
        <v>102281981.31999999</v>
      </c>
      <c r="E1128" s="82">
        <v>0.99577138590000003</v>
      </c>
      <c r="F1128" s="14">
        <v>101849470.29000001</v>
      </c>
      <c r="G1128" s="14">
        <v>0.12</v>
      </c>
      <c r="H1128" s="10"/>
      <c r="I1128" s="10"/>
    </row>
    <row r="1129" spans="1:9">
      <c r="A1129" s="10" t="s">
        <v>1899</v>
      </c>
      <c r="B1129" s="124" t="s">
        <v>505</v>
      </c>
      <c r="C1129" s="124" t="s">
        <v>449</v>
      </c>
      <c r="D1129" s="12">
        <v>1500000</v>
      </c>
      <c r="E1129" s="82">
        <v>0.99465885330000003</v>
      </c>
      <c r="F1129" s="14">
        <v>1491988.28</v>
      </c>
      <c r="G1129" s="12">
        <v>0</v>
      </c>
      <c r="H1129" s="10"/>
      <c r="I1129" s="10"/>
    </row>
    <row r="1130" spans="1:9">
      <c r="A1130" s="10" t="s">
        <v>1900</v>
      </c>
      <c r="B1130" s="124" t="s">
        <v>718</v>
      </c>
      <c r="C1130" s="124" t="s">
        <v>449</v>
      </c>
      <c r="D1130" s="12">
        <v>3000000</v>
      </c>
      <c r="E1130" s="82">
        <v>0.98044489359999998</v>
      </c>
      <c r="F1130" s="14">
        <v>2941334.68</v>
      </c>
      <c r="G1130" s="12">
        <v>0</v>
      </c>
      <c r="H1130" s="10"/>
      <c r="I1130" s="10"/>
    </row>
    <row r="1131" spans="1:9">
      <c r="A1131" s="10" t="s">
        <v>1901</v>
      </c>
      <c r="B1131" s="124" t="s">
        <v>645</v>
      </c>
      <c r="C1131" s="124" t="s">
        <v>449</v>
      </c>
      <c r="D1131" s="12">
        <v>5000000</v>
      </c>
      <c r="E1131" s="82">
        <v>0.97458084980000004</v>
      </c>
      <c r="F1131" s="14">
        <v>4872904.25</v>
      </c>
      <c r="G1131" s="14">
        <v>0.01</v>
      </c>
      <c r="H1131" s="10"/>
      <c r="I1131" s="10"/>
    </row>
    <row r="1132" spans="1:9">
      <c r="A1132" s="10" t="s">
        <v>1902</v>
      </c>
      <c r="B1132" s="124" t="s">
        <v>419</v>
      </c>
      <c r="C1132" s="124" t="s">
        <v>449</v>
      </c>
      <c r="D1132" s="12">
        <v>3700000</v>
      </c>
      <c r="E1132" s="82">
        <v>0.96082983769999997</v>
      </c>
      <c r="F1132" s="153">
        <v>3555070.4</v>
      </c>
      <c r="G1132" s="12">
        <v>0</v>
      </c>
      <c r="H1132" s="10"/>
      <c r="I1132" s="10"/>
    </row>
    <row r="1133" spans="1:9">
      <c r="A1133" s="10" t="s">
        <v>1903</v>
      </c>
      <c r="B1133" s="124" t="s">
        <v>1904</v>
      </c>
      <c r="C1133" s="124" t="s">
        <v>449</v>
      </c>
      <c r="D1133" s="12">
        <v>3700000</v>
      </c>
      <c r="E1133" s="82">
        <v>0.89509067170000001</v>
      </c>
      <c r="F1133" s="14">
        <v>3311835.49</v>
      </c>
      <c r="G1133" s="12">
        <v>0</v>
      </c>
      <c r="H1133" s="10"/>
      <c r="I1133" s="10"/>
    </row>
    <row r="1134" spans="1:9">
      <c r="A1134" s="10" t="s">
        <v>1905</v>
      </c>
      <c r="B1134" s="124" t="s">
        <v>1906</v>
      </c>
      <c r="C1134" s="124" t="s">
        <v>449</v>
      </c>
      <c r="D1134" s="12">
        <v>3700000</v>
      </c>
      <c r="E1134" s="82">
        <v>0.85480111690000005</v>
      </c>
      <c r="F1134" s="14">
        <v>3162764.13</v>
      </c>
      <c r="G1134" s="12">
        <v>0</v>
      </c>
      <c r="H1134" s="10"/>
      <c r="I1134" s="10"/>
    </row>
    <row r="1135" spans="1:9">
      <c r="A1135" s="10" t="s">
        <v>1907</v>
      </c>
      <c r="B1135" s="124" t="s">
        <v>1908</v>
      </c>
      <c r="C1135" s="124" t="s">
        <v>449</v>
      </c>
      <c r="D1135" s="12">
        <v>3700000</v>
      </c>
      <c r="E1135" s="82">
        <v>0.87513201019999998</v>
      </c>
      <c r="F1135" s="14">
        <v>3237988.44</v>
      </c>
      <c r="G1135" s="12">
        <v>0</v>
      </c>
      <c r="H1135" s="10"/>
      <c r="I1135" s="10"/>
    </row>
    <row r="1136" spans="1:9">
      <c r="A1136" s="10" t="s">
        <v>1909</v>
      </c>
      <c r="B1136" s="124" t="s">
        <v>1624</v>
      </c>
      <c r="C1136" s="124" t="s">
        <v>449</v>
      </c>
      <c r="D1136" s="12">
        <v>3700000</v>
      </c>
      <c r="E1136" s="82">
        <v>0.93786943779999998</v>
      </c>
      <c r="F1136" s="14">
        <v>3470116.92</v>
      </c>
      <c r="G1136" s="12">
        <v>0</v>
      </c>
      <c r="H1136" s="10"/>
      <c r="I1136" s="10"/>
    </row>
    <row r="1137" spans="1:9">
      <c r="A1137" s="10" t="s">
        <v>1910</v>
      </c>
      <c r="B1137" s="124" t="s">
        <v>632</v>
      </c>
      <c r="C1137" s="124" t="s">
        <v>449</v>
      </c>
      <c r="D1137" s="12">
        <v>3700000</v>
      </c>
      <c r="E1137" s="82">
        <v>0.91455787850000003</v>
      </c>
      <c r="F1137" s="14">
        <v>3383864.15</v>
      </c>
      <c r="G1137" s="12">
        <v>0</v>
      </c>
      <c r="H1137" s="10"/>
      <c r="I1137" s="10"/>
    </row>
    <row r="1138" spans="1:9">
      <c r="A1138" s="10" t="s">
        <v>1911</v>
      </c>
      <c r="B1138" s="124" t="s">
        <v>1461</v>
      </c>
      <c r="C1138" s="124" t="s">
        <v>449</v>
      </c>
      <c r="D1138" s="12">
        <v>16000000</v>
      </c>
      <c r="E1138" s="82">
        <v>0.93758037370000002</v>
      </c>
      <c r="F1138" s="14">
        <v>15001285.98</v>
      </c>
      <c r="G1138" s="14">
        <v>0.02</v>
      </c>
      <c r="H1138" s="10"/>
      <c r="I1138" s="10"/>
    </row>
    <row r="1139" spans="1:9">
      <c r="A1139" s="10" t="s">
        <v>1912</v>
      </c>
      <c r="B1139" s="124" t="s">
        <v>1007</v>
      </c>
      <c r="C1139" s="124" t="s">
        <v>449</v>
      </c>
      <c r="D1139" s="12">
        <v>6441003</v>
      </c>
      <c r="E1139" s="82">
        <v>0.90683239390000003</v>
      </c>
      <c r="F1139" s="14">
        <v>5840910.1699999999</v>
      </c>
      <c r="G1139" s="14">
        <v>0.01</v>
      </c>
      <c r="H1139" s="10"/>
      <c r="I1139" s="10"/>
    </row>
    <row r="1140" spans="1:9">
      <c r="A1140" s="10" t="s">
        <v>1913</v>
      </c>
      <c r="B1140" s="124" t="s">
        <v>992</v>
      </c>
      <c r="C1140" s="124" t="s">
        <v>449</v>
      </c>
      <c r="D1140" s="12">
        <v>6441003</v>
      </c>
      <c r="E1140" s="82">
        <v>0.92616090709999999</v>
      </c>
      <c r="F1140" s="14">
        <v>5965405.1799999997</v>
      </c>
      <c r="G1140" s="14">
        <v>0.01</v>
      </c>
      <c r="H1140" s="10"/>
      <c r="I1140" s="10"/>
    </row>
    <row r="1141" spans="1:9">
      <c r="A1141" s="10" t="s">
        <v>1914</v>
      </c>
      <c r="B1141" s="124" t="s">
        <v>992</v>
      </c>
      <c r="C1141" s="124" t="s">
        <v>449</v>
      </c>
      <c r="D1141" s="14">
        <v>961486.87</v>
      </c>
      <c r="E1141" s="82">
        <v>0.92616090480000002</v>
      </c>
      <c r="F1141" s="14">
        <v>890491.55</v>
      </c>
      <c r="G1141" s="12">
        <v>0</v>
      </c>
      <c r="H1141" s="10"/>
      <c r="I1141" s="10"/>
    </row>
    <row r="1142" spans="1:9">
      <c r="A1142" s="10" t="s">
        <v>1915</v>
      </c>
      <c r="B1142" s="124" t="s">
        <v>1007</v>
      </c>
      <c r="C1142" s="124" t="s">
        <v>449</v>
      </c>
      <c r="D1142" s="12">
        <v>2122114</v>
      </c>
      <c r="E1142" s="82">
        <v>0.90683239390000003</v>
      </c>
      <c r="F1142" s="14">
        <v>1924401.72</v>
      </c>
      <c r="G1142" s="12">
        <v>0</v>
      </c>
      <c r="H1142" s="10"/>
      <c r="I1142" s="10"/>
    </row>
    <row r="1143" spans="1:9">
      <c r="A1143" s="10" t="s">
        <v>1916</v>
      </c>
      <c r="B1143" s="124" t="s">
        <v>655</v>
      </c>
      <c r="C1143" s="124" t="s">
        <v>449</v>
      </c>
      <c r="D1143" s="12">
        <v>25000000</v>
      </c>
      <c r="E1143" s="82">
        <v>0.93685836950000001</v>
      </c>
      <c r="F1143" s="14">
        <v>23421459.239999998</v>
      </c>
      <c r="G1143" s="14">
        <v>0.03</v>
      </c>
      <c r="H1143" s="10"/>
      <c r="I1143" s="10"/>
    </row>
    <row r="1144" spans="1:9">
      <c r="A1144" s="10" t="s">
        <v>1917</v>
      </c>
      <c r="B1144" s="124" t="s">
        <v>1108</v>
      </c>
      <c r="C1144" s="124" t="s">
        <v>449</v>
      </c>
      <c r="D1144" s="12">
        <v>5580000</v>
      </c>
      <c r="E1144" s="82">
        <v>0.91639474379999997</v>
      </c>
      <c r="F1144" s="14">
        <v>5113482.67</v>
      </c>
      <c r="G1144" s="14">
        <v>0.01</v>
      </c>
      <c r="H1144" s="10"/>
      <c r="I1144" s="10"/>
    </row>
    <row r="1145" spans="1:9">
      <c r="A1145" s="10" t="s">
        <v>1918</v>
      </c>
      <c r="B1145" s="124" t="s">
        <v>655</v>
      </c>
      <c r="C1145" s="124" t="s">
        <v>449</v>
      </c>
      <c r="D1145" s="12">
        <v>5580000</v>
      </c>
      <c r="E1145" s="82">
        <v>0.93685836950000001</v>
      </c>
      <c r="F1145" s="153">
        <v>5227669.7</v>
      </c>
      <c r="G1145" s="14">
        <v>0.01</v>
      </c>
      <c r="H1145" s="10"/>
      <c r="I1145" s="10"/>
    </row>
    <row r="1146" spans="1:9">
      <c r="A1146" s="10" t="s">
        <v>1919</v>
      </c>
      <c r="B1146" s="124" t="s">
        <v>824</v>
      </c>
      <c r="C1146" s="124" t="s">
        <v>449</v>
      </c>
      <c r="D1146" s="12">
        <v>5580000</v>
      </c>
      <c r="E1146" s="82">
        <v>0.89680597390000005</v>
      </c>
      <c r="F1146" s="14">
        <v>5004177.33</v>
      </c>
      <c r="G1146" s="14">
        <v>0.01</v>
      </c>
      <c r="H1146" s="10"/>
      <c r="I1146" s="10"/>
    </row>
    <row r="1147" spans="1:9">
      <c r="A1147" s="10" t="s">
        <v>1920</v>
      </c>
      <c r="B1147" s="124" t="s">
        <v>682</v>
      </c>
      <c r="C1147" s="124" t="s">
        <v>449</v>
      </c>
      <c r="D1147" s="12">
        <v>5580000</v>
      </c>
      <c r="E1147" s="82">
        <v>0.9720373135</v>
      </c>
      <c r="F1147" s="14">
        <v>5423968.21</v>
      </c>
      <c r="G1147" s="14">
        <v>0.01</v>
      </c>
      <c r="H1147" s="10"/>
      <c r="I1147" s="10"/>
    </row>
    <row r="1148" spans="1:9">
      <c r="A1148" s="10" t="s">
        <v>1921</v>
      </c>
      <c r="B1148" s="124" t="s">
        <v>578</v>
      </c>
      <c r="C1148" s="124" t="s">
        <v>449</v>
      </c>
      <c r="D1148" s="12">
        <v>5580000</v>
      </c>
      <c r="E1148" s="82">
        <v>0.99509269710000003</v>
      </c>
      <c r="F1148" s="14">
        <v>5552617.25</v>
      </c>
      <c r="G1148" s="14">
        <v>0.01</v>
      </c>
      <c r="H1148" s="10"/>
      <c r="I1148" s="10"/>
    </row>
    <row r="1149" spans="1:9">
      <c r="A1149" s="10" t="s">
        <v>1922</v>
      </c>
      <c r="B1149" s="124" t="s">
        <v>614</v>
      </c>
      <c r="C1149" s="124" t="s">
        <v>449</v>
      </c>
      <c r="D1149" s="12">
        <v>5580000</v>
      </c>
      <c r="E1149" s="82">
        <v>0.96052632839999996</v>
      </c>
      <c r="F1149" s="14">
        <v>5359736.91</v>
      </c>
      <c r="G1149" s="14">
        <v>0.01</v>
      </c>
      <c r="H1149" s="10"/>
      <c r="I1149" s="10"/>
    </row>
    <row r="1150" spans="1:9">
      <c r="A1150" s="10" t="s">
        <v>1923</v>
      </c>
      <c r="B1150" s="124" t="s">
        <v>636</v>
      </c>
      <c r="C1150" s="124" t="s">
        <v>449</v>
      </c>
      <c r="D1150" s="12">
        <v>5580000</v>
      </c>
      <c r="E1150" s="82">
        <v>0.94633149120000004</v>
      </c>
      <c r="F1150" s="14">
        <v>5280529.72</v>
      </c>
      <c r="G1150" s="14">
        <v>0.01</v>
      </c>
      <c r="H1150" s="10"/>
      <c r="I1150" s="10"/>
    </row>
    <row r="1151" spans="1:9">
      <c r="A1151" s="10" t="s">
        <v>1924</v>
      </c>
      <c r="B1151" s="124" t="s">
        <v>1925</v>
      </c>
      <c r="C1151" s="124" t="s">
        <v>449</v>
      </c>
      <c r="D1151" s="12">
        <v>5580000</v>
      </c>
      <c r="E1151" s="82">
        <v>0.8850631337</v>
      </c>
      <c r="F1151" s="14">
        <v>4938652.29</v>
      </c>
      <c r="G1151" s="14">
        <v>0.01</v>
      </c>
      <c r="H1151" s="10"/>
      <c r="I1151" s="10"/>
    </row>
    <row r="1152" spans="1:9">
      <c r="A1152" s="10" t="s">
        <v>1926</v>
      </c>
      <c r="B1152" s="124" t="s">
        <v>1113</v>
      </c>
      <c r="C1152" s="124" t="s">
        <v>449</v>
      </c>
      <c r="D1152" s="12">
        <v>5580000</v>
      </c>
      <c r="E1152" s="82">
        <v>0.92686651330000003</v>
      </c>
      <c r="F1152" s="14">
        <v>5171915.1399999997</v>
      </c>
      <c r="G1152" s="14">
        <v>0.01</v>
      </c>
      <c r="H1152" s="10"/>
      <c r="I1152" s="10"/>
    </row>
    <row r="1153" spans="1:9">
      <c r="A1153" s="10" t="s">
        <v>1927</v>
      </c>
      <c r="B1153" s="124" t="s">
        <v>459</v>
      </c>
      <c r="C1153" s="124" t="s">
        <v>449</v>
      </c>
      <c r="D1153" s="12">
        <v>5580000</v>
      </c>
      <c r="E1153" s="82">
        <v>0.98382751980000005</v>
      </c>
      <c r="F1153" s="14">
        <v>5489757.5599999996</v>
      </c>
      <c r="G1153" s="14">
        <v>0.01</v>
      </c>
      <c r="H1153" s="10"/>
      <c r="I1153" s="10"/>
    </row>
    <row r="1154" spans="1:9">
      <c r="A1154" s="10" t="s">
        <v>1928</v>
      </c>
      <c r="B1154" s="124" t="s">
        <v>1007</v>
      </c>
      <c r="C1154" s="124" t="s">
        <v>449</v>
      </c>
      <c r="D1154" s="12">
        <v>5580000</v>
      </c>
      <c r="E1154" s="82">
        <v>0.90683239390000003</v>
      </c>
      <c r="F1154" s="14">
        <v>5060124.76</v>
      </c>
      <c r="G1154" s="14">
        <v>0.01</v>
      </c>
      <c r="H1154" s="10"/>
      <c r="I1154" s="10"/>
    </row>
    <row r="1155" spans="1:9">
      <c r="A1155" s="10" t="s">
        <v>1929</v>
      </c>
      <c r="B1155" s="124" t="s">
        <v>667</v>
      </c>
      <c r="C1155" s="124" t="s">
        <v>449</v>
      </c>
      <c r="D1155" s="12">
        <v>40000000</v>
      </c>
      <c r="E1155" s="82">
        <v>0.96377275669999996</v>
      </c>
      <c r="F1155" s="14">
        <v>38550910.270000003</v>
      </c>
      <c r="G1155" s="14">
        <v>0.05</v>
      </c>
      <c r="H1155" s="10"/>
      <c r="I1155" s="10"/>
    </row>
    <row r="1156" spans="1:9">
      <c r="A1156" s="10" t="s">
        <v>1930</v>
      </c>
      <c r="B1156" s="124" t="s">
        <v>661</v>
      </c>
      <c r="C1156" s="124" t="s">
        <v>449</v>
      </c>
      <c r="D1156" s="12">
        <v>40000000</v>
      </c>
      <c r="E1156" s="82">
        <v>0.96093095449999999</v>
      </c>
      <c r="F1156" s="14">
        <v>38437238.18</v>
      </c>
      <c r="G1156" s="14">
        <v>0.05</v>
      </c>
      <c r="H1156" s="10"/>
      <c r="I1156" s="10"/>
    </row>
    <row r="1157" spans="1:9">
      <c r="A1157" s="10" t="s">
        <v>1931</v>
      </c>
      <c r="B1157" s="124" t="s">
        <v>627</v>
      </c>
      <c r="C1157" s="124" t="s">
        <v>449</v>
      </c>
      <c r="D1157" s="12">
        <v>40000000</v>
      </c>
      <c r="E1157" s="82">
        <v>0.9559979542</v>
      </c>
      <c r="F1157" s="14">
        <v>38239918.170000002</v>
      </c>
      <c r="G1157" s="14">
        <v>0.05</v>
      </c>
      <c r="H1157" s="10"/>
      <c r="I1157" s="10"/>
    </row>
    <row r="1158" spans="1:9">
      <c r="A1158" s="10" t="s">
        <v>1932</v>
      </c>
      <c r="B1158" s="124" t="s">
        <v>587</v>
      </c>
      <c r="C1158" s="124" t="s">
        <v>449</v>
      </c>
      <c r="D1158" s="12">
        <v>50000000</v>
      </c>
      <c r="E1158" s="82">
        <v>0.95951640130000004</v>
      </c>
      <c r="F1158" s="14">
        <v>47975820.07</v>
      </c>
      <c r="G1158" s="14">
        <v>0.06</v>
      </c>
      <c r="H1158" s="10"/>
      <c r="I1158" s="10"/>
    </row>
    <row r="1159" spans="1:9">
      <c r="A1159" s="10" t="s">
        <v>1933</v>
      </c>
      <c r="B1159" s="124" t="s">
        <v>1007</v>
      </c>
      <c r="C1159" s="124" t="s">
        <v>449</v>
      </c>
      <c r="D1159" s="12">
        <v>4715388</v>
      </c>
      <c r="E1159" s="82">
        <v>0.90965741440000003</v>
      </c>
      <c r="F1159" s="14">
        <v>4289387.66</v>
      </c>
      <c r="G1159" s="14">
        <v>0.01</v>
      </c>
      <c r="H1159" s="10"/>
      <c r="I1159" s="10"/>
    </row>
    <row r="1160" spans="1:9">
      <c r="A1160" s="10" t="s">
        <v>1934</v>
      </c>
      <c r="B1160" s="124" t="s">
        <v>610</v>
      </c>
      <c r="C1160" s="124" t="s">
        <v>449</v>
      </c>
      <c r="D1160" s="12">
        <v>5000000</v>
      </c>
      <c r="E1160" s="157">
        <v>0.97747793199999999</v>
      </c>
      <c r="F1160" s="14">
        <v>4887389.66</v>
      </c>
      <c r="G1160" s="14">
        <v>0.01</v>
      </c>
      <c r="H1160" s="10"/>
      <c r="I1160" s="10"/>
    </row>
    <row r="1161" spans="1:9">
      <c r="A1161" s="10" t="s">
        <v>1935</v>
      </c>
      <c r="B1161" s="124" t="s">
        <v>559</v>
      </c>
      <c r="C1161" s="124" t="s">
        <v>449</v>
      </c>
      <c r="D1161" s="12">
        <v>5000000</v>
      </c>
      <c r="E1161" s="82">
        <v>0.97823757609999995</v>
      </c>
      <c r="F1161" s="14">
        <v>4891187.88</v>
      </c>
      <c r="G1161" s="14">
        <v>0.01</v>
      </c>
      <c r="H1161" s="10"/>
      <c r="I1161" s="10"/>
    </row>
    <row r="1162" spans="1:9">
      <c r="A1162" s="10" t="s">
        <v>1936</v>
      </c>
      <c r="B1162" s="124" t="s">
        <v>559</v>
      </c>
      <c r="C1162" s="124" t="s">
        <v>449</v>
      </c>
      <c r="D1162" s="12">
        <v>5000000</v>
      </c>
      <c r="E1162" s="82">
        <v>0.97823757609999995</v>
      </c>
      <c r="F1162" s="14">
        <v>4891187.88</v>
      </c>
      <c r="G1162" s="14">
        <v>0.01</v>
      </c>
      <c r="H1162" s="10"/>
      <c r="I1162" s="10"/>
    </row>
    <row r="1163" spans="1:9">
      <c r="A1163" s="10" t="s">
        <v>1937</v>
      </c>
      <c r="B1163" s="124" t="s">
        <v>559</v>
      </c>
      <c r="C1163" s="124" t="s">
        <v>449</v>
      </c>
      <c r="D1163" s="12">
        <v>5000000</v>
      </c>
      <c r="E1163" s="82">
        <v>0.97823757609999995</v>
      </c>
      <c r="F1163" s="14">
        <v>4891187.88</v>
      </c>
      <c r="G1163" s="14">
        <v>0.01</v>
      </c>
      <c r="H1163" s="10"/>
      <c r="I1163" s="10"/>
    </row>
    <row r="1164" spans="1:9">
      <c r="A1164" s="10" t="s">
        <v>1938</v>
      </c>
      <c r="B1164" s="124" t="s">
        <v>559</v>
      </c>
      <c r="C1164" s="124" t="s">
        <v>449</v>
      </c>
      <c r="D1164" s="12">
        <v>5000000</v>
      </c>
      <c r="E1164" s="82">
        <v>0.97823757609999995</v>
      </c>
      <c r="F1164" s="14">
        <v>4891187.88</v>
      </c>
      <c r="G1164" s="14">
        <v>0.01</v>
      </c>
      <c r="H1164" s="10"/>
      <c r="I1164" s="10"/>
    </row>
    <row r="1165" spans="1:9">
      <c r="A1165" s="10" t="s">
        <v>1939</v>
      </c>
      <c r="B1165" s="124" t="s">
        <v>610</v>
      </c>
      <c r="C1165" s="124" t="s">
        <v>449</v>
      </c>
      <c r="D1165" s="12">
        <v>5000000</v>
      </c>
      <c r="E1165" s="157">
        <v>0.97747793199999999</v>
      </c>
      <c r="F1165" s="14">
        <v>4887389.66</v>
      </c>
      <c r="G1165" s="14">
        <v>0.01</v>
      </c>
      <c r="H1165" s="10"/>
      <c r="I1165" s="10"/>
    </row>
    <row r="1166" spans="1:9">
      <c r="A1166" s="10" t="s">
        <v>1940</v>
      </c>
      <c r="B1166" s="124" t="s">
        <v>610</v>
      </c>
      <c r="C1166" s="124" t="s">
        <v>449</v>
      </c>
      <c r="D1166" s="12">
        <v>5000000</v>
      </c>
      <c r="E1166" s="157">
        <v>0.97747793199999999</v>
      </c>
      <c r="F1166" s="14">
        <v>4887389.66</v>
      </c>
      <c r="G1166" s="14">
        <v>0.01</v>
      </c>
      <c r="H1166" s="10"/>
      <c r="I1166" s="10"/>
    </row>
    <row r="1167" spans="1:9">
      <c r="A1167" s="10" t="s">
        <v>1941</v>
      </c>
      <c r="B1167" s="124" t="s">
        <v>614</v>
      </c>
      <c r="C1167" s="124" t="s">
        <v>449</v>
      </c>
      <c r="D1167" s="12">
        <v>160000000</v>
      </c>
      <c r="E1167" s="82">
        <v>0.96306069620000001</v>
      </c>
      <c r="F1167" s="14">
        <v>154089711.38999999</v>
      </c>
      <c r="G1167" s="14">
        <v>0.19</v>
      </c>
      <c r="H1167" s="10"/>
      <c r="I1167" s="10"/>
    </row>
    <row r="1168" spans="1:9">
      <c r="A1168" s="10" t="s">
        <v>1942</v>
      </c>
      <c r="B1168" s="124" t="s">
        <v>645</v>
      </c>
      <c r="C1168" s="124" t="s">
        <v>449</v>
      </c>
      <c r="D1168" s="12">
        <v>13500000</v>
      </c>
      <c r="E1168" s="82">
        <v>0.97458085159999996</v>
      </c>
      <c r="F1168" s="153">
        <v>13156841.5</v>
      </c>
      <c r="G1168" s="14">
        <v>0.02</v>
      </c>
      <c r="H1168" s="10"/>
      <c r="I1168" s="10"/>
    </row>
    <row r="1169" spans="1:9">
      <c r="A1169" s="10" t="s">
        <v>1943</v>
      </c>
      <c r="B1169" s="124" t="s">
        <v>667</v>
      </c>
      <c r="C1169" s="124" t="s">
        <v>449</v>
      </c>
      <c r="D1169" s="12">
        <v>13500000</v>
      </c>
      <c r="E1169" s="82">
        <v>0.96377275669999996</v>
      </c>
      <c r="F1169" s="14">
        <v>13010932.220000001</v>
      </c>
      <c r="G1169" s="14">
        <v>0.02</v>
      </c>
      <c r="H1169" s="10"/>
      <c r="I1169" s="10"/>
    </row>
    <row r="1170" spans="1:9">
      <c r="A1170" s="10" t="s">
        <v>1944</v>
      </c>
      <c r="B1170" s="124" t="s">
        <v>992</v>
      </c>
      <c r="C1170" s="124" t="s">
        <v>449</v>
      </c>
      <c r="D1170" s="12">
        <v>13500000</v>
      </c>
      <c r="E1170" s="82">
        <v>0.92616090709999999</v>
      </c>
      <c r="F1170" s="14">
        <v>12503172.25</v>
      </c>
      <c r="G1170" s="14">
        <v>0.02</v>
      </c>
      <c r="H1170" s="10"/>
      <c r="I1170" s="10"/>
    </row>
    <row r="1171" spans="1:9">
      <c r="A1171" s="10" t="s">
        <v>1945</v>
      </c>
      <c r="B1171" s="124" t="s">
        <v>1108</v>
      </c>
      <c r="C1171" s="124" t="s">
        <v>449</v>
      </c>
      <c r="D1171" s="12">
        <v>13500000</v>
      </c>
      <c r="E1171" s="82">
        <v>0.91639474379999997</v>
      </c>
      <c r="F1171" s="14">
        <v>12371329.039999999</v>
      </c>
      <c r="G1171" s="14">
        <v>0.02</v>
      </c>
      <c r="H1171" s="10"/>
      <c r="I1171" s="10"/>
    </row>
    <row r="1172" spans="1:9">
      <c r="A1172" s="10" t="s">
        <v>1946</v>
      </c>
      <c r="B1172" s="124" t="s">
        <v>655</v>
      </c>
      <c r="C1172" s="124" t="s">
        <v>449</v>
      </c>
      <c r="D1172" s="12">
        <v>50000000</v>
      </c>
      <c r="E1172" s="82">
        <v>0.93685836950000001</v>
      </c>
      <c r="F1172" s="14">
        <v>46842918.479999997</v>
      </c>
      <c r="G1172" s="14">
        <v>0.06</v>
      </c>
      <c r="H1172" s="10"/>
      <c r="I1172" s="10"/>
    </row>
    <row r="1173" spans="1:9">
      <c r="A1173" s="10" t="s">
        <v>1947</v>
      </c>
      <c r="B1173" s="124" t="s">
        <v>645</v>
      </c>
      <c r="C1173" s="124" t="s">
        <v>449</v>
      </c>
      <c r="D1173" s="12">
        <v>50000000</v>
      </c>
      <c r="E1173" s="82">
        <v>0.97281455709999998</v>
      </c>
      <c r="F1173" s="14">
        <v>48640727.859999999</v>
      </c>
      <c r="G1173" s="14">
        <v>0.06</v>
      </c>
      <c r="H1173" s="10"/>
      <c r="I1173" s="10"/>
    </row>
    <row r="1174" spans="1:9">
      <c r="A1174" s="10" t="s">
        <v>1948</v>
      </c>
      <c r="B1174" s="124" t="s">
        <v>419</v>
      </c>
      <c r="C1174" s="124" t="s">
        <v>449</v>
      </c>
      <c r="D1174" s="12">
        <v>50000000</v>
      </c>
      <c r="E1174" s="82">
        <v>0.96204542719999997</v>
      </c>
      <c r="F1174" s="14">
        <v>48102271.359999999</v>
      </c>
      <c r="G1174" s="14">
        <v>0.06</v>
      </c>
      <c r="H1174" s="10"/>
      <c r="I1174" s="10"/>
    </row>
    <row r="1175" spans="1:9">
      <c r="A1175" s="10" t="s">
        <v>1949</v>
      </c>
      <c r="B1175" s="124" t="s">
        <v>510</v>
      </c>
      <c r="C1175" s="124" t="s">
        <v>449</v>
      </c>
      <c r="D1175" s="12">
        <v>2500000</v>
      </c>
      <c r="E1175" s="21">
        <v>0.98470338000000002</v>
      </c>
      <c r="F1175" s="14">
        <v>2461758.4500000002</v>
      </c>
      <c r="G1175" s="12">
        <v>0</v>
      </c>
      <c r="H1175" s="10"/>
      <c r="I1175" s="10"/>
    </row>
    <row r="1176" spans="1:9">
      <c r="A1176" s="10" t="s">
        <v>1950</v>
      </c>
      <c r="B1176" s="124" t="s">
        <v>505</v>
      </c>
      <c r="C1176" s="124" t="s">
        <v>449</v>
      </c>
      <c r="D1176" s="12">
        <v>2500000</v>
      </c>
      <c r="E1176" s="82">
        <v>0.99484862389999995</v>
      </c>
      <c r="F1176" s="14">
        <v>2487121.56</v>
      </c>
      <c r="G1176" s="12">
        <v>0</v>
      </c>
      <c r="H1176" s="10"/>
      <c r="I1176" s="10"/>
    </row>
    <row r="1177" spans="1:9">
      <c r="A1177" s="10" t="s">
        <v>1951</v>
      </c>
      <c r="B1177" s="124" t="s">
        <v>463</v>
      </c>
      <c r="C1177" s="124" t="s">
        <v>449</v>
      </c>
      <c r="D1177" s="12">
        <v>5000000</v>
      </c>
      <c r="E1177" s="82">
        <v>0.98942804179999999</v>
      </c>
      <c r="F1177" s="14">
        <v>4947140.21</v>
      </c>
      <c r="G1177" s="14">
        <v>0.01</v>
      </c>
      <c r="H1177" s="10"/>
      <c r="I1177" s="10"/>
    </row>
    <row r="1178" spans="1:9">
      <c r="A1178" s="10" t="s">
        <v>1952</v>
      </c>
      <c r="B1178" s="124" t="s">
        <v>517</v>
      </c>
      <c r="C1178" s="124" t="s">
        <v>449</v>
      </c>
      <c r="D1178" s="12">
        <v>5000000</v>
      </c>
      <c r="E1178" s="82">
        <v>0.99023334590000001</v>
      </c>
      <c r="F1178" s="14">
        <v>4951166.7300000004</v>
      </c>
      <c r="G1178" s="14">
        <v>0.01</v>
      </c>
      <c r="H1178" s="10"/>
      <c r="I1178" s="10"/>
    </row>
    <row r="1179" spans="1:9">
      <c r="A1179" s="10" t="s">
        <v>1953</v>
      </c>
      <c r="B1179" s="124" t="s">
        <v>559</v>
      </c>
      <c r="C1179" s="124" t="s">
        <v>449</v>
      </c>
      <c r="D1179" s="14">
        <v>3102456.89</v>
      </c>
      <c r="E1179" s="82">
        <v>0.97385273890000001</v>
      </c>
      <c r="F1179" s="14">
        <v>3021336.14</v>
      </c>
      <c r="G1179" s="12">
        <v>0</v>
      </c>
      <c r="H1179" s="10"/>
      <c r="I1179" s="10"/>
    </row>
    <row r="1180" spans="1:9">
      <c r="A1180" s="10" t="s">
        <v>1954</v>
      </c>
      <c r="B1180" s="124" t="s">
        <v>559</v>
      </c>
      <c r="C1180" s="124" t="s">
        <v>449</v>
      </c>
      <c r="D1180" s="14">
        <v>4150625.28</v>
      </c>
      <c r="E1180" s="82">
        <v>0.97385273240000003</v>
      </c>
      <c r="F1180" s="14">
        <v>4042097.77</v>
      </c>
      <c r="G1180" s="12">
        <v>0</v>
      </c>
      <c r="H1180" s="10"/>
      <c r="I1180" s="10"/>
    </row>
    <row r="1181" spans="1:9">
      <c r="A1181" s="10" t="s">
        <v>1955</v>
      </c>
      <c r="B1181" s="124" t="s">
        <v>498</v>
      </c>
      <c r="C1181" s="124" t="s">
        <v>449</v>
      </c>
      <c r="D1181" s="14">
        <v>1250300.6499999999</v>
      </c>
      <c r="E1181" s="82">
        <v>0.97022860020000001</v>
      </c>
      <c r="F1181" s="14">
        <v>1213077.45</v>
      </c>
      <c r="G1181" s="12">
        <v>0</v>
      </c>
      <c r="H1181" s="10"/>
      <c r="I1181" s="10"/>
    </row>
    <row r="1182" spans="1:9">
      <c r="A1182" s="10" t="s">
        <v>1956</v>
      </c>
      <c r="B1182" s="124" t="s">
        <v>559</v>
      </c>
      <c r="C1182" s="124" t="s">
        <v>449</v>
      </c>
      <c r="D1182" s="153">
        <v>1555000.5</v>
      </c>
      <c r="E1182" s="82">
        <v>0.97385273530000005</v>
      </c>
      <c r="F1182" s="14">
        <v>1514341.49</v>
      </c>
      <c r="G1182" s="12">
        <v>0</v>
      </c>
      <c r="H1182" s="10"/>
      <c r="I1182" s="10"/>
    </row>
    <row r="1183" spans="1:9">
      <c r="A1183" s="10" t="s">
        <v>1957</v>
      </c>
      <c r="B1183" s="124" t="s">
        <v>559</v>
      </c>
      <c r="C1183" s="124" t="s">
        <v>449</v>
      </c>
      <c r="D1183" s="14">
        <v>1250300.6499999999</v>
      </c>
      <c r="E1183" s="82">
        <v>0.97385274470000005</v>
      </c>
      <c r="F1183" s="14">
        <v>1217608.72</v>
      </c>
      <c r="G1183" s="12">
        <v>0</v>
      </c>
      <c r="H1183" s="10"/>
      <c r="I1183" s="10"/>
    </row>
    <row r="1184" spans="1:9">
      <c r="A1184" s="10" t="s">
        <v>1958</v>
      </c>
      <c r="B1184" s="124" t="s">
        <v>610</v>
      </c>
      <c r="C1184" s="124" t="s">
        <v>449</v>
      </c>
      <c r="D1184" s="14">
        <v>4150625.28</v>
      </c>
      <c r="E1184" s="157">
        <v>0.97294426700000003</v>
      </c>
      <c r="F1184" s="14">
        <v>4038327.07</v>
      </c>
      <c r="G1184" s="12">
        <v>0</v>
      </c>
      <c r="H1184" s="10"/>
      <c r="I1184" s="10"/>
    </row>
    <row r="1185" spans="1:9">
      <c r="A1185" s="10" t="s">
        <v>1959</v>
      </c>
      <c r="B1185" s="124" t="s">
        <v>610</v>
      </c>
      <c r="C1185" s="124" t="s">
        <v>449</v>
      </c>
      <c r="D1185" s="153">
        <v>3256800.5</v>
      </c>
      <c r="E1185" s="82">
        <v>0.97294426850000004</v>
      </c>
      <c r="F1185" s="14">
        <v>3168685.38</v>
      </c>
      <c r="G1185" s="12">
        <v>0</v>
      </c>
      <c r="H1185" s="10"/>
      <c r="I1185" s="10"/>
    </row>
    <row r="1186" spans="1:9">
      <c r="A1186" s="10" t="s">
        <v>1960</v>
      </c>
      <c r="B1186" s="124" t="s">
        <v>498</v>
      </c>
      <c r="C1186" s="124" t="s">
        <v>449</v>
      </c>
      <c r="D1186" s="14">
        <v>3102456.89</v>
      </c>
      <c r="E1186" s="82">
        <v>0.97022860180000003</v>
      </c>
      <c r="F1186" s="14">
        <v>3010092.41</v>
      </c>
      <c r="G1186" s="12">
        <v>0</v>
      </c>
      <c r="H1186" s="10"/>
      <c r="I1186" s="10"/>
    </row>
    <row r="1187" spans="1:9">
      <c r="A1187" s="10" t="s">
        <v>1961</v>
      </c>
      <c r="B1187" s="124" t="s">
        <v>498</v>
      </c>
      <c r="C1187" s="124" t="s">
        <v>449</v>
      </c>
      <c r="D1187" s="153">
        <v>1555000.5</v>
      </c>
      <c r="E1187" s="82">
        <v>0.97022861419999995</v>
      </c>
      <c r="F1187" s="14">
        <v>1508705.98</v>
      </c>
      <c r="G1187" s="12">
        <v>0</v>
      </c>
      <c r="H1187" s="10"/>
      <c r="I1187" s="10"/>
    </row>
    <row r="1188" spans="1:9">
      <c r="A1188" s="10" t="s">
        <v>1962</v>
      </c>
      <c r="B1188" s="124" t="s">
        <v>498</v>
      </c>
      <c r="C1188" s="124" t="s">
        <v>449</v>
      </c>
      <c r="D1188" s="14">
        <v>4150625.28</v>
      </c>
      <c r="E1188" s="157">
        <v>0.97022860099999997</v>
      </c>
      <c r="F1188" s="14">
        <v>4027055.36</v>
      </c>
      <c r="G1188" s="12">
        <v>0</v>
      </c>
      <c r="H1188" s="10"/>
      <c r="I1188" s="10"/>
    </row>
    <row r="1189" spans="1:9">
      <c r="A1189" s="10" t="s">
        <v>1963</v>
      </c>
      <c r="B1189" s="124" t="s">
        <v>610</v>
      </c>
      <c r="C1189" s="124" t="s">
        <v>449</v>
      </c>
      <c r="D1189" s="14">
        <v>3102456.89</v>
      </c>
      <c r="E1189" s="82">
        <v>0.97294426850000004</v>
      </c>
      <c r="F1189" s="14">
        <v>3018517.65</v>
      </c>
      <c r="G1189" s="12">
        <v>0</v>
      </c>
      <c r="H1189" s="10"/>
      <c r="I1189" s="10"/>
    </row>
    <row r="1190" spans="1:9">
      <c r="A1190" s="10" t="s">
        <v>1964</v>
      </c>
      <c r="B1190" s="124" t="s">
        <v>498</v>
      </c>
      <c r="C1190" s="124" t="s">
        <v>449</v>
      </c>
      <c r="D1190" s="12">
        <v>8000000</v>
      </c>
      <c r="E1190" s="82">
        <v>0.97687613910000004</v>
      </c>
      <c r="F1190" s="14">
        <v>7815009.1100000003</v>
      </c>
      <c r="G1190" s="14">
        <v>0.01</v>
      </c>
      <c r="H1190" s="10"/>
      <c r="I1190" s="10"/>
    </row>
    <row r="1191" spans="1:9">
      <c r="A1191" s="10" t="s">
        <v>1965</v>
      </c>
      <c r="B1191" s="124" t="s">
        <v>718</v>
      </c>
      <c r="C1191" s="124" t="s">
        <v>449</v>
      </c>
      <c r="D1191" s="12">
        <v>8000000</v>
      </c>
      <c r="E1191" s="82">
        <v>0.98113011260000005</v>
      </c>
      <c r="F1191" s="153">
        <v>7849040.9000000004</v>
      </c>
      <c r="G1191" s="14">
        <v>0.01</v>
      </c>
      <c r="H1191" s="10"/>
      <c r="I1191" s="10"/>
    </row>
    <row r="1192" spans="1:9">
      <c r="A1192" s="10" t="s">
        <v>1966</v>
      </c>
      <c r="B1192" s="124" t="s">
        <v>1624</v>
      </c>
      <c r="C1192" s="124" t="s">
        <v>449</v>
      </c>
      <c r="D1192" s="12">
        <v>25000000</v>
      </c>
      <c r="E1192" s="82">
        <v>0.93041047980000002</v>
      </c>
      <c r="F1192" s="12">
        <v>23260262</v>
      </c>
      <c r="G1192" s="14">
        <v>0.03</v>
      </c>
      <c r="H1192" s="10"/>
      <c r="I1192" s="10"/>
    </row>
    <row r="1193" spans="1:9">
      <c r="A1193" s="10" t="s">
        <v>1967</v>
      </c>
      <c r="B1193" s="124" t="s">
        <v>974</v>
      </c>
      <c r="C1193" s="124" t="s">
        <v>449</v>
      </c>
      <c r="D1193" s="12">
        <v>25000000</v>
      </c>
      <c r="E1193" s="82">
        <v>0.9213682473</v>
      </c>
      <c r="F1193" s="14">
        <v>23034206.18</v>
      </c>
      <c r="G1193" s="14">
        <v>0.03</v>
      </c>
      <c r="H1193" s="10"/>
      <c r="I1193" s="10"/>
    </row>
    <row r="1194" spans="1:9">
      <c r="A1194" s="10" t="s">
        <v>1968</v>
      </c>
      <c r="B1194" s="124" t="s">
        <v>655</v>
      </c>
      <c r="C1194" s="124" t="s">
        <v>449</v>
      </c>
      <c r="D1194" s="12">
        <v>25000000</v>
      </c>
      <c r="E1194" s="82">
        <v>0.92710191409999998</v>
      </c>
      <c r="F1194" s="14">
        <v>23177547.850000001</v>
      </c>
      <c r="G1194" s="14">
        <v>0.03</v>
      </c>
      <c r="H1194" s="10"/>
      <c r="I1194" s="10"/>
    </row>
    <row r="1195" spans="1:9">
      <c r="A1195" s="10" t="s">
        <v>1969</v>
      </c>
      <c r="B1195" s="124" t="s">
        <v>618</v>
      </c>
      <c r="C1195" s="124" t="s">
        <v>449</v>
      </c>
      <c r="D1195" s="12">
        <v>25000000</v>
      </c>
      <c r="E1195" s="82">
        <v>0.93290739119999999</v>
      </c>
      <c r="F1195" s="14">
        <v>23322684.780000001</v>
      </c>
      <c r="G1195" s="14">
        <v>0.03</v>
      </c>
      <c r="H1195" s="10"/>
      <c r="I1195" s="10"/>
    </row>
    <row r="1196" spans="1:9">
      <c r="A1196" s="10" t="s">
        <v>1970</v>
      </c>
      <c r="B1196" s="124" t="s">
        <v>931</v>
      </c>
      <c r="C1196" s="124" t="s">
        <v>449</v>
      </c>
      <c r="D1196" s="12">
        <v>25000000</v>
      </c>
      <c r="E1196" s="157">
        <v>0.92463594299999996</v>
      </c>
      <c r="F1196" s="14">
        <v>23115898.579999998</v>
      </c>
      <c r="G1196" s="14">
        <v>0.03</v>
      </c>
      <c r="H1196" s="10"/>
      <c r="I1196" s="10"/>
    </row>
    <row r="1197" spans="1:9">
      <c r="A1197" s="10" t="s">
        <v>1971</v>
      </c>
      <c r="B1197" s="124" t="s">
        <v>616</v>
      </c>
      <c r="C1197" s="124" t="s">
        <v>449</v>
      </c>
      <c r="D1197" s="12">
        <v>25000000</v>
      </c>
      <c r="E1197" s="82">
        <v>0.90852520219999999</v>
      </c>
      <c r="F1197" s="14">
        <v>22713130.059999999</v>
      </c>
      <c r="G1197" s="14">
        <v>0.03</v>
      </c>
      <c r="H1197" s="10"/>
      <c r="I1197" s="10"/>
    </row>
    <row r="1198" spans="1:9">
      <c r="A1198" s="10" t="s">
        <v>1972</v>
      </c>
      <c r="B1198" s="124" t="s">
        <v>630</v>
      </c>
      <c r="C1198" s="124" t="s">
        <v>449</v>
      </c>
      <c r="D1198" s="12">
        <v>25000000</v>
      </c>
      <c r="E1198" s="82">
        <v>0.90931744569999995</v>
      </c>
      <c r="F1198" s="14">
        <v>22732936.140000001</v>
      </c>
      <c r="G1198" s="14">
        <v>0.03</v>
      </c>
      <c r="H1198" s="10"/>
      <c r="I1198" s="10"/>
    </row>
    <row r="1199" spans="1:9">
      <c r="A1199" s="10" t="s">
        <v>1973</v>
      </c>
      <c r="B1199" s="124" t="s">
        <v>1525</v>
      </c>
      <c r="C1199" s="124" t="s">
        <v>449</v>
      </c>
      <c r="D1199" s="12">
        <v>25000000</v>
      </c>
      <c r="E1199" s="82">
        <v>0.91329927020000001</v>
      </c>
      <c r="F1199" s="14">
        <v>22832481.760000002</v>
      </c>
      <c r="G1199" s="14">
        <v>0.03</v>
      </c>
      <c r="H1199" s="10"/>
      <c r="I1199" s="10"/>
    </row>
    <row r="1200" spans="1:9">
      <c r="A1200" s="10" t="s">
        <v>1974</v>
      </c>
      <c r="B1200" s="124" t="s">
        <v>616</v>
      </c>
      <c r="C1200" s="124" t="s">
        <v>449</v>
      </c>
      <c r="D1200" s="12">
        <v>25000000</v>
      </c>
      <c r="E1200" s="82">
        <v>0.90852520219999999</v>
      </c>
      <c r="F1200" s="14">
        <v>22713130.059999999</v>
      </c>
      <c r="G1200" s="14">
        <v>0.03</v>
      </c>
      <c r="H1200" s="10"/>
      <c r="I1200" s="10"/>
    </row>
    <row r="1201" spans="1:9">
      <c r="A1201" s="10" t="s">
        <v>1975</v>
      </c>
      <c r="B1201" s="124" t="s">
        <v>556</v>
      </c>
      <c r="C1201" s="124" t="s">
        <v>449</v>
      </c>
      <c r="D1201" s="12">
        <v>5000000</v>
      </c>
      <c r="E1201" s="82">
        <v>0.96040011250000001</v>
      </c>
      <c r="F1201" s="14">
        <v>4802000.5599999996</v>
      </c>
      <c r="G1201" s="14">
        <v>0.01</v>
      </c>
      <c r="H1201" s="10"/>
      <c r="I1201" s="10"/>
    </row>
    <row r="1202" spans="1:9">
      <c r="A1202" s="10" t="s">
        <v>1976</v>
      </c>
      <c r="B1202" s="124" t="s">
        <v>925</v>
      </c>
      <c r="C1202" s="124" t="s">
        <v>449</v>
      </c>
      <c r="D1202" s="12">
        <v>5000000</v>
      </c>
      <c r="E1202" s="82">
        <v>0.9577538981</v>
      </c>
      <c r="F1202" s="14">
        <v>4788769.49</v>
      </c>
      <c r="G1202" s="14">
        <v>0.01</v>
      </c>
      <c r="H1202" s="10"/>
      <c r="I1202" s="10"/>
    </row>
    <row r="1203" spans="1:9">
      <c r="A1203" s="10" t="s">
        <v>1977</v>
      </c>
      <c r="B1203" s="124" t="s">
        <v>419</v>
      </c>
      <c r="C1203" s="124" t="s">
        <v>449</v>
      </c>
      <c r="D1203" s="12">
        <v>5000000</v>
      </c>
      <c r="E1203" s="82">
        <v>0.95599801039999999</v>
      </c>
      <c r="F1203" s="14">
        <v>4779990.05</v>
      </c>
      <c r="G1203" s="14">
        <v>0.01</v>
      </c>
      <c r="H1203" s="10"/>
      <c r="I1203" s="10"/>
    </row>
    <row r="1204" spans="1:9">
      <c r="A1204" s="10" t="s">
        <v>1978</v>
      </c>
      <c r="B1204" s="124" t="s">
        <v>587</v>
      </c>
      <c r="C1204" s="124" t="s">
        <v>449</v>
      </c>
      <c r="D1204" s="12">
        <v>5000000</v>
      </c>
      <c r="E1204" s="82">
        <v>0.9499025324</v>
      </c>
      <c r="F1204" s="14">
        <v>4749512.66</v>
      </c>
      <c r="G1204" s="14">
        <v>0.01</v>
      </c>
      <c r="H1204" s="10"/>
      <c r="I1204" s="10"/>
    </row>
    <row r="1205" spans="1:9">
      <c r="A1205" s="10" t="s">
        <v>1979</v>
      </c>
      <c r="B1205" s="124" t="s">
        <v>661</v>
      </c>
      <c r="C1205" s="124" t="s">
        <v>449</v>
      </c>
      <c r="D1205" s="12">
        <v>5000000</v>
      </c>
      <c r="E1205" s="82">
        <v>0.95163607650000004</v>
      </c>
      <c r="F1205" s="14">
        <v>4758180.38</v>
      </c>
      <c r="G1205" s="14">
        <v>0.01</v>
      </c>
      <c r="H1205" s="10"/>
      <c r="I1205" s="10"/>
    </row>
    <row r="1206" spans="1:9">
      <c r="A1206" s="10" t="s">
        <v>1980</v>
      </c>
      <c r="B1206" s="124" t="s">
        <v>573</v>
      </c>
      <c r="C1206" s="124" t="s">
        <v>449</v>
      </c>
      <c r="D1206" s="12">
        <v>25000000</v>
      </c>
      <c r="E1206" s="82">
        <v>0.9507686045</v>
      </c>
      <c r="F1206" s="14">
        <v>23769215.109999999</v>
      </c>
      <c r="G1206" s="14">
        <v>0.03</v>
      </c>
      <c r="H1206" s="10"/>
      <c r="I1206" s="10"/>
    </row>
    <row r="1207" spans="1:9">
      <c r="A1207" s="10" t="s">
        <v>1981</v>
      </c>
      <c r="B1207" s="124" t="s">
        <v>552</v>
      </c>
      <c r="C1207" s="124" t="s">
        <v>449</v>
      </c>
      <c r="D1207" s="12">
        <v>25000000</v>
      </c>
      <c r="E1207" s="82">
        <v>0.96217222290000004</v>
      </c>
      <c r="F1207" s="14">
        <v>24054305.57</v>
      </c>
      <c r="G1207" s="14">
        <v>0.03</v>
      </c>
      <c r="H1207" s="10"/>
      <c r="I1207" s="10"/>
    </row>
    <row r="1208" spans="1:9">
      <c r="A1208" s="10" t="s">
        <v>1982</v>
      </c>
      <c r="B1208" s="124" t="s">
        <v>655</v>
      </c>
      <c r="C1208" s="124" t="s">
        <v>449</v>
      </c>
      <c r="D1208" s="12">
        <v>25000000</v>
      </c>
      <c r="E1208" s="82">
        <v>0.92710191409999998</v>
      </c>
      <c r="F1208" s="14">
        <v>23177547.850000001</v>
      </c>
      <c r="G1208" s="14">
        <v>0.03</v>
      </c>
      <c r="H1208" s="10"/>
      <c r="I1208" s="10"/>
    </row>
    <row r="1209" spans="1:9">
      <c r="A1209" s="10" t="s">
        <v>1983</v>
      </c>
      <c r="B1209" s="124" t="s">
        <v>636</v>
      </c>
      <c r="C1209" s="124" t="s">
        <v>449</v>
      </c>
      <c r="D1209" s="12">
        <v>25000000</v>
      </c>
      <c r="E1209" s="157">
        <v>0.93794183399999997</v>
      </c>
      <c r="F1209" s="14">
        <v>23448545.850000001</v>
      </c>
      <c r="G1209" s="14">
        <v>0.03</v>
      </c>
      <c r="H1209" s="10"/>
      <c r="I1209" s="10"/>
    </row>
    <row r="1210" spans="1:9">
      <c r="A1210" s="10" t="s">
        <v>1984</v>
      </c>
      <c r="B1210" s="124" t="s">
        <v>255</v>
      </c>
      <c r="C1210" s="124" t="s">
        <v>449</v>
      </c>
      <c r="D1210" s="14">
        <v>710169.09</v>
      </c>
      <c r="E1210" s="82">
        <v>0.95052098009999997</v>
      </c>
      <c r="F1210" s="14">
        <v>675030.62</v>
      </c>
      <c r="G1210" s="12">
        <v>0</v>
      </c>
      <c r="H1210" s="10"/>
      <c r="I1210" s="10"/>
    </row>
    <row r="1211" spans="1:9">
      <c r="A1211" s="10" t="s">
        <v>1985</v>
      </c>
      <c r="B1211" s="124" t="s">
        <v>255</v>
      </c>
      <c r="C1211" s="124" t="s">
        <v>449</v>
      </c>
      <c r="D1211" s="14">
        <v>994204.24</v>
      </c>
      <c r="E1211" s="82">
        <v>0.95052099140000001</v>
      </c>
      <c r="F1211" s="12">
        <v>945012</v>
      </c>
      <c r="G1211" s="12">
        <v>0</v>
      </c>
      <c r="H1211" s="10"/>
      <c r="I1211" s="10"/>
    </row>
    <row r="1212" spans="1:9">
      <c r="A1212" s="10" t="s">
        <v>1986</v>
      </c>
      <c r="B1212" s="124" t="s">
        <v>513</v>
      </c>
      <c r="C1212" s="124" t="s">
        <v>449</v>
      </c>
      <c r="D1212" s="14">
        <v>3915102.27</v>
      </c>
      <c r="E1212" s="82">
        <v>0.98782144709999997</v>
      </c>
      <c r="F1212" s="14">
        <v>3867421.99</v>
      </c>
      <c r="G1212" s="12">
        <v>0</v>
      </c>
      <c r="H1212" s="10"/>
      <c r="I1212" s="10"/>
    </row>
    <row r="1213" spans="1:9">
      <c r="A1213" s="10" t="s">
        <v>1987</v>
      </c>
      <c r="B1213" s="124" t="s">
        <v>513</v>
      </c>
      <c r="C1213" s="124" t="s">
        <v>449</v>
      </c>
      <c r="D1213" s="14">
        <v>973870.43</v>
      </c>
      <c r="E1213" s="82">
        <v>0.98782144949999995</v>
      </c>
      <c r="F1213" s="153">
        <v>962010.1</v>
      </c>
      <c r="G1213" s="12">
        <v>0</v>
      </c>
      <c r="H1213" s="10"/>
      <c r="I1213" s="10"/>
    </row>
    <row r="1214" spans="1:9">
      <c r="A1214" s="10" t="s">
        <v>1988</v>
      </c>
      <c r="B1214" s="124" t="s">
        <v>419</v>
      </c>
      <c r="C1214" s="124" t="s">
        <v>449</v>
      </c>
      <c r="D1214" s="14">
        <v>584965.91</v>
      </c>
      <c r="E1214" s="82">
        <v>0.96816982039999999</v>
      </c>
      <c r="F1214" s="14">
        <v>566346.34</v>
      </c>
      <c r="G1214" s="12">
        <v>0</v>
      </c>
      <c r="H1214" s="10"/>
      <c r="I1214" s="10"/>
    </row>
    <row r="1215" spans="1:9">
      <c r="A1215" s="10" t="s">
        <v>1989</v>
      </c>
      <c r="B1215" s="124" t="s">
        <v>419</v>
      </c>
      <c r="C1215" s="124" t="s">
        <v>449</v>
      </c>
      <c r="D1215" s="14">
        <v>839215.58</v>
      </c>
      <c r="E1215" s="82">
        <v>0.96816984760000002</v>
      </c>
      <c r="F1215" s="14">
        <v>812503.22</v>
      </c>
      <c r="G1215" s="12">
        <v>0</v>
      </c>
      <c r="H1215" s="10"/>
      <c r="I1215" s="10"/>
    </row>
    <row r="1216" spans="1:9">
      <c r="A1216" s="10" t="s">
        <v>1990</v>
      </c>
      <c r="B1216" s="124" t="s">
        <v>419</v>
      </c>
      <c r="C1216" s="124" t="s">
        <v>449</v>
      </c>
      <c r="D1216" s="14">
        <v>1676589.68</v>
      </c>
      <c r="E1216" s="82">
        <v>0.96816983889999997</v>
      </c>
      <c r="F1216" s="14">
        <v>1623223.56</v>
      </c>
      <c r="G1216" s="12">
        <v>0</v>
      </c>
      <c r="H1216" s="10"/>
      <c r="I1216" s="10"/>
    </row>
    <row r="1217" spans="1:9">
      <c r="A1217" s="10" t="s">
        <v>1991</v>
      </c>
      <c r="B1217" s="124" t="s">
        <v>513</v>
      </c>
      <c r="C1217" s="124" t="s">
        <v>449</v>
      </c>
      <c r="D1217" s="14">
        <v>1029426.04</v>
      </c>
      <c r="E1217" s="157">
        <v>0.98782143700000002</v>
      </c>
      <c r="F1217" s="14">
        <v>1016889.11</v>
      </c>
      <c r="G1217" s="12">
        <v>0</v>
      </c>
      <c r="H1217" s="10"/>
      <c r="I1217" s="10"/>
    </row>
    <row r="1218" spans="1:9">
      <c r="A1218" s="10" t="s">
        <v>1992</v>
      </c>
      <c r="B1218" s="124" t="s">
        <v>513</v>
      </c>
      <c r="C1218" s="124" t="s">
        <v>449</v>
      </c>
      <c r="D1218" s="14">
        <v>1351574.42</v>
      </c>
      <c r="E1218" s="82">
        <v>0.9878214327</v>
      </c>
      <c r="F1218" s="14">
        <v>1335114.18</v>
      </c>
      <c r="G1218" s="12">
        <v>0</v>
      </c>
      <c r="H1218" s="10"/>
      <c r="I1218" s="10"/>
    </row>
    <row r="1219" spans="1:9">
      <c r="A1219" s="10" t="s">
        <v>1993</v>
      </c>
      <c r="B1219" s="124" t="s">
        <v>513</v>
      </c>
      <c r="C1219" s="124" t="s">
        <v>449</v>
      </c>
      <c r="D1219" s="14">
        <v>188938.02</v>
      </c>
      <c r="E1219" s="82">
        <v>0.98782134990000003</v>
      </c>
      <c r="F1219" s="14">
        <v>186637.01</v>
      </c>
      <c r="G1219" s="12">
        <v>0</v>
      </c>
      <c r="H1219" s="10"/>
      <c r="I1219" s="10"/>
    </row>
    <row r="1220" spans="1:9">
      <c r="A1220" s="10" t="s">
        <v>1994</v>
      </c>
      <c r="B1220" s="124" t="s">
        <v>513</v>
      </c>
      <c r="C1220" s="124" t="s">
        <v>449</v>
      </c>
      <c r="D1220" s="14">
        <v>1351574.42</v>
      </c>
      <c r="E1220" s="82">
        <v>0.9878214327</v>
      </c>
      <c r="F1220" s="14">
        <v>1335114.18</v>
      </c>
      <c r="G1220" s="12">
        <v>0</v>
      </c>
      <c r="H1220" s="10"/>
      <c r="I1220" s="10"/>
    </row>
    <row r="1221" spans="1:9">
      <c r="A1221" s="10" t="s">
        <v>1995</v>
      </c>
      <c r="B1221" s="124" t="s">
        <v>419</v>
      </c>
      <c r="C1221" s="124" t="s">
        <v>449</v>
      </c>
      <c r="D1221" s="153">
        <v>2681816.6</v>
      </c>
      <c r="E1221" s="82">
        <v>0.96816982910000005</v>
      </c>
      <c r="F1221" s="14">
        <v>2596453.92</v>
      </c>
      <c r="G1221" s="12">
        <v>0</v>
      </c>
      <c r="H1221" s="10"/>
      <c r="I1221" s="10"/>
    </row>
    <row r="1222" spans="1:9">
      <c r="A1222" s="10" t="s">
        <v>1996</v>
      </c>
      <c r="B1222" s="124" t="s">
        <v>419</v>
      </c>
      <c r="C1222" s="124" t="s">
        <v>449</v>
      </c>
      <c r="D1222" s="14">
        <v>669474.55000000005</v>
      </c>
      <c r="E1222" s="157">
        <v>0.96816981300000005</v>
      </c>
      <c r="F1222" s="14">
        <v>648165.05000000005</v>
      </c>
      <c r="G1222" s="12">
        <v>0</v>
      </c>
      <c r="H1222" s="10"/>
      <c r="I1222" s="10"/>
    </row>
    <row r="1223" spans="1:9">
      <c r="A1223" s="10" t="s">
        <v>1997</v>
      </c>
      <c r="B1223" s="124" t="s">
        <v>682</v>
      </c>
      <c r="C1223" s="124" t="s">
        <v>449</v>
      </c>
      <c r="D1223" s="12">
        <v>10000000</v>
      </c>
      <c r="E1223" s="82">
        <v>0.97476300760000001</v>
      </c>
      <c r="F1223" s="14">
        <v>9747630.0800000001</v>
      </c>
      <c r="G1223" s="14">
        <v>0.01</v>
      </c>
      <c r="H1223" s="10"/>
      <c r="I1223" s="10"/>
    </row>
    <row r="1224" spans="1:9">
      <c r="A1224" s="10" t="s">
        <v>1998</v>
      </c>
      <c r="B1224" s="124" t="s">
        <v>634</v>
      </c>
      <c r="C1224" s="124" t="s">
        <v>449</v>
      </c>
      <c r="D1224" s="12">
        <v>10000000</v>
      </c>
      <c r="E1224" s="82">
        <v>0.97406074139999999</v>
      </c>
      <c r="F1224" s="14">
        <v>9740607.4100000001</v>
      </c>
      <c r="G1224" s="14">
        <v>0.01</v>
      </c>
      <c r="H1224" s="10"/>
      <c r="I1224" s="10"/>
    </row>
    <row r="1225" spans="1:9">
      <c r="A1225" s="10" t="s">
        <v>1999</v>
      </c>
      <c r="B1225" s="124" t="s">
        <v>552</v>
      </c>
      <c r="C1225" s="124" t="s">
        <v>449</v>
      </c>
      <c r="D1225" s="12">
        <v>10000000</v>
      </c>
      <c r="E1225" s="82">
        <v>0.97056405850000005</v>
      </c>
      <c r="F1225" s="14">
        <v>9705640.5899999999</v>
      </c>
      <c r="G1225" s="14">
        <v>0.01</v>
      </c>
      <c r="H1225" s="10"/>
      <c r="I1225" s="10"/>
    </row>
    <row r="1226" spans="1:9">
      <c r="A1226" s="10" t="s">
        <v>2000</v>
      </c>
      <c r="B1226" s="124" t="s">
        <v>810</v>
      </c>
      <c r="C1226" s="124" t="s">
        <v>449</v>
      </c>
      <c r="D1226" s="12">
        <v>5000000</v>
      </c>
      <c r="E1226" s="82">
        <v>0.97617082590000004</v>
      </c>
      <c r="F1226" s="14">
        <v>4880854.13</v>
      </c>
      <c r="G1226" s="14">
        <v>0.01</v>
      </c>
      <c r="H1226" s="10"/>
      <c r="I1226" s="10"/>
    </row>
    <row r="1227" spans="1:9">
      <c r="A1227" s="10" t="s">
        <v>2001</v>
      </c>
      <c r="B1227" s="124" t="s">
        <v>682</v>
      </c>
      <c r="C1227" s="124" t="s">
        <v>449</v>
      </c>
      <c r="D1227" s="12">
        <v>10000000</v>
      </c>
      <c r="E1227" s="82">
        <v>0.97476300760000001</v>
      </c>
      <c r="F1227" s="14">
        <v>9747630.0800000001</v>
      </c>
      <c r="G1227" s="14">
        <v>0.01</v>
      </c>
      <c r="H1227" s="10"/>
      <c r="I1227" s="10"/>
    </row>
    <row r="1228" spans="1:9">
      <c r="A1228" s="10" t="s">
        <v>2002</v>
      </c>
      <c r="B1228" s="124" t="s">
        <v>634</v>
      </c>
      <c r="C1228" s="124" t="s">
        <v>449</v>
      </c>
      <c r="D1228" s="12">
        <v>10000000</v>
      </c>
      <c r="E1228" s="82">
        <v>0.97406074139999999</v>
      </c>
      <c r="F1228" s="14">
        <v>9740607.4100000001</v>
      </c>
      <c r="G1228" s="14">
        <v>0.01</v>
      </c>
      <c r="H1228" s="10"/>
      <c r="I1228" s="10"/>
    </row>
    <row r="1229" spans="1:9">
      <c r="A1229" s="10" t="s">
        <v>2003</v>
      </c>
      <c r="B1229" s="124" t="s">
        <v>610</v>
      </c>
      <c r="C1229" s="124" t="s">
        <v>449</v>
      </c>
      <c r="D1229" s="12">
        <v>5000000</v>
      </c>
      <c r="E1229" s="82">
        <v>0.97899855570000005</v>
      </c>
      <c r="F1229" s="14">
        <v>4894992.78</v>
      </c>
      <c r="G1229" s="14">
        <v>0.01</v>
      </c>
      <c r="H1229" s="10"/>
      <c r="I1229" s="10"/>
    </row>
    <row r="1230" spans="1:9">
      <c r="A1230" s="10" t="s">
        <v>2004</v>
      </c>
      <c r="B1230" s="124" t="s">
        <v>610</v>
      </c>
      <c r="C1230" s="124" t="s">
        <v>449</v>
      </c>
      <c r="D1230" s="12">
        <v>5000000</v>
      </c>
      <c r="E1230" s="82">
        <v>0.97899855570000005</v>
      </c>
      <c r="F1230" s="14">
        <v>4894992.78</v>
      </c>
      <c r="G1230" s="14">
        <v>0.01</v>
      </c>
      <c r="H1230" s="10"/>
      <c r="I1230" s="10"/>
    </row>
    <row r="1231" spans="1:9">
      <c r="A1231" s="10" t="s">
        <v>2005</v>
      </c>
      <c r="B1231" s="124" t="s">
        <v>498</v>
      </c>
      <c r="C1231" s="124" t="s">
        <v>449</v>
      </c>
      <c r="D1231" s="12">
        <v>5000000</v>
      </c>
      <c r="E1231" s="82">
        <v>0.97687613829999997</v>
      </c>
      <c r="F1231" s="14">
        <v>4884380.6900000004</v>
      </c>
      <c r="G1231" s="14">
        <v>0.01</v>
      </c>
      <c r="H1231" s="10"/>
      <c r="I1231" s="10"/>
    </row>
    <row r="1232" spans="1:9">
      <c r="A1232" s="10" t="s">
        <v>2006</v>
      </c>
      <c r="B1232" s="124" t="s">
        <v>498</v>
      </c>
      <c r="C1232" s="124" t="s">
        <v>449</v>
      </c>
      <c r="D1232" s="12">
        <v>5000000</v>
      </c>
      <c r="E1232" s="82">
        <v>0.97687613829999997</v>
      </c>
      <c r="F1232" s="14">
        <v>4884380.6900000004</v>
      </c>
      <c r="G1232" s="14">
        <v>0.01</v>
      </c>
      <c r="H1232" s="10"/>
      <c r="I1232" s="10"/>
    </row>
    <row r="1233" spans="1:9">
      <c r="A1233" s="10" t="s">
        <v>2007</v>
      </c>
      <c r="B1233" s="124" t="s">
        <v>810</v>
      </c>
      <c r="C1233" s="124" t="s">
        <v>449</v>
      </c>
      <c r="D1233" s="12">
        <v>5000000</v>
      </c>
      <c r="E1233" s="82">
        <v>0.97617082590000004</v>
      </c>
      <c r="F1233" s="14">
        <v>4880854.13</v>
      </c>
      <c r="G1233" s="14">
        <v>0.01</v>
      </c>
      <c r="H1233" s="10"/>
      <c r="I1233" s="10"/>
    </row>
    <row r="1234" spans="1:9">
      <c r="A1234" s="10" t="s">
        <v>2008</v>
      </c>
      <c r="B1234" s="124" t="s">
        <v>645</v>
      </c>
      <c r="C1234" s="124" t="s">
        <v>449</v>
      </c>
      <c r="D1234" s="12">
        <v>5000000</v>
      </c>
      <c r="E1234" s="82">
        <v>0.97546640630000003</v>
      </c>
      <c r="F1234" s="14">
        <v>4877332.03</v>
      </c>
      <c r="G1234" s="14">
        <v>0.01</v>
      </c>
      <c r="H1234" s="10"/>
      <c r="I1234" s="10"/>
    </row>
    <row r="1235" spans="1:9">
      <c r="A1235" s="10" t="s">
        <v>2009</v>
      </c>
      <c r="B1235" s="124" t="s">
        <v>645</v>
      </c>
      <c r="C1235" s="124" t="s">
        <v>449</v>
      </c>
      <c r="D1235" s="12">
        <v>5000000</v>
      </c>
      <c r="E1235" s="82">
        <v>0.97546640630000003</v>
      </c>
      <c r="F1235" s="14">
        <v>4877332.03</v>
      </c>
      <c r="G1235" s="14">
        <v>0.01</v>
      </c>
      <c r="H1235" s="10"/>
      <c r="I1235" s="10"/>
    </row>
    <row r="1236" spans="1:9">
      <c r="A1236" s="10" t="s">
        <v>2010</v>
      </c>
      <c r="B1236" s="124" t="s">
        <v>559</v>
      </c>
      <c r="C1236" s="124" t="s">
        <v>449</v>
      </c>
      <c r="D1236" s="12">
        <v>5000000</v>
      </c>
      <c r="E1236" s="82">
        <v>0.97970797980000002</v>
      </c>
      <c r="F1236" s="153">
        <v>4898539.9000000004</v>
      </c>
      <c r="G1236" s="14">
        <v>0.01</v>
      </c>
      <c r="H1236" s="10"/>
      <c r="I1236" s="10"/>
    </row>
    <row r="1237" spans="1:9">
      <c r="A1237" s="10" t="s">
        <v>2011</v>
      </c>
      <c r="B1237" s="124" t="s">
        <v>559</v>
      </c>
      <c r="C1237" s="124" t="s">
        <v>449</v>
      </c>
      <c r="D1237" s="12">
        <v>5000000</v>
      </c>
      <c r="E1237" s="82">
        <v>0.97970797980000002</v>
      </c>
      <c r="F1237" s="153">
        <v>4898539.9000000004</v>
      </c>
      <c r="G1237" s="14">
        <v>0.01</v>
      </c>
      <c r="H1237" s="10"/>
      <c r="I1237" s="10"/>
    </row>
    <row r="1238" spans="1:9">
      <c r="A1238" s="10" t="s">
        <v>2012</v>
      </c>
      <c r="B1238" s="124" t="s">
        <v>1813</v>
      </c>
      <c r="C1238" s="124" t="s">
        <v>449</v>
      </c>
      <c r="D1238" s="12">
        <v>5000000</v>
      </c>
      <c r="E1238" s="82">
        <v>0.92536264509999999</v>
      </c>
      <c r="F1238" s="14">
        <v>4626813.2300000004</v>
      </c>
      <c r="G1238" s="14">
        <v>0.01</v>
      </c>
      <c r="H1238" s="10"/>
      <c r="I1238" s="10"/>
    </row>
    <row r="1239" spans="1:9">
      <c r="A1239" s="10" t="s">
        <v>2013</v>
      </c>
      <c r="B1239" s="124" t="s">
        <v>1004</v>
      </c>
      <c r="C1239" s="124" t="s">
        <v>449</v>
      </c>
      <c r="D1239" s="12">
        <v>5000000</v>
      </c>
      <c r="E1239" s="82">
        <v>0.92311597180000005</v>
      </c>
      <c r="F1239" s="14">
        <v>4615579.8600000003</v>
      </c>
      <c r="G1239" s="14">
        <v>0.01</v>
      </c>
      <c r="H1239" s="10"/>
      <c r="I1239" s="10"/>
    </row>
    <row r="1240" spans="1:9">
      <c r="A1240" s="10" t="s">
        <v>2014</v>
      </c>
      <c r="B1240" s="124" t="s">
        <v>661</v>
      </c>
      <c r="C1240" s="124" t="s">
        <v>449</v>
      </c>
      <c r="D1240" s="12">
        <v>200000000</v>
      </c>
      <c r="E1240" s="82">
        <v>0.96093095449999999</v>
      </c>
      <c r="F1240" s="153">
        <v>192186190.90000001</v>
      </c>
      <c r="G1240" s="14">
        <v>0.24</v>
      </c>
      <c r="H1240" s="10"/>
      <c r="I1240" s="10"/>
    </row>
    <row r="1241" spans="1:9">
      <c r="A1241" s="10" t="s">
        <v>2019</v>
      </c>
      <c r="B1241" s="124" t="s">
        <v>645</v>
      </c>
      <c r="C1241" s="124" t="s">
        <v>408</v>
      </c>
      <c r="D1241" s="12">
        <v>1500000</v>
      </c>
      <c r="E1241" s="157">
        <v>0.97017706699999995</v>
      </c>
      <c r="F1241" s="153">
        <v>1455265.6</v>
      </c>
      <c r="G1241" s="12">
        <v>0</v>
      </c>
      <c r="H1241" s="10"/>
      <c r="I1241" s="10"/>
    </row>
    <row r="1242" spans="1:9">
      <c r="A1242" s="10" t="s">
        <v>2020</v>
      </c>
      <c r="B1242" s="124" t="s">
        <v>810</v>
      </c>
      <c r="C1242" s="124" t="s">
        <v>408</v>
      </c>
      <c r="D1242" s="12">
        <v>1500000</v>
      </c>
      <c r="E1242" s="82">
        <v>0.97102884710000004</v>
      </c>
      <c r="F1242" s="14">
        <v>1456543.27</v>
      </c>
      <c r="G1242" s="12">
        <v>0</v>
      </c>
      <c r="H1242" s="10"/>
      <c r="I1242" s="10"/>
    </row>
    <row r="1243" spans="1:9">
      <c r="A1243" s="10" t="s">
        <v>2021</v>
      </c>
      <c r="B1243" s="124" t="s">
        <v>498</v>
      </c>
      <c r="C1243" s="124" t="s">
        <v>408</v>
      </c>
      <c r="D1243" s="12">
        <v>1500000</v>
      </c>
      <c r="E1243" s="82">
        <v>0.97188210630000005</v>
      </c>
      <c r="F1243" s="14">
        <v>1457823.16</v>
      </c>
      <c r="G1243" s="12">
        <v>0</v>
      </c>
      <c r="H1243" s="10"/>
      <c r="I1243" s="10"/>
    </row>
    <row r="1244" spans="1:9">
      <c r="A1244" s="10" t="s">
        <v>2022</v>
      </c>
      <c r="B1244" s="124" t="s">
        <v>610</v>
      </c>
      <c r="C1244" s="124" t="s">
        <v>408</v>
      </c>
      <c r="D1244" s="12">
        <v>1500000</v>
      </c>
      <c r="E1244" s="82">
        <v>0.97445079329999995</v>
      </c>
      <c r="F1244" s="14">
        <v>1461676.19</v>
      </c>
      <c r="G1244" s="12">
        <v>0</v>
      </c>
      <c r="H1244" s="10"/>
      <c r="I1244" s="10"/>
    </row>
    <row r="1245" spans="1:9">
      <c r="A1245" s="10" t="s">
        <v>2023</v>
      </c>
      <c r="B1245" s="124" t="s">
        <v>559</v>
      </c>
      <c r="C1245" s="124" t="s">
        <v>408</v>
      </c>
      <c r="D1245" s="12">
        <v>1500000</v>
      </c>
      <c r="E1245" s="82">
        <v>0.97531007319999996</v>
      </c>
      <c r="F1245" s="14">
        <v>1462965.11</v>
      </c>
      <c r="G1245" s="12">
        <v>0</v>
      </c>
      <c r="H1245" s="10"/>
      <c r="I1245" s="10"/>
    </row>
    <row r="1246" spans="1:9">
      <c r="A1246" s="10" t="s">
        <v>2024</v>
      </c>
      <c r="B1246" s="124" t="s">
        <v>645</v>
      </c>
      <c r="C1246" s="124" t="s">
        <v>408</v>
      </c>
      <c r="D1246" s="12">
        <v>1500000</v>
      </c>
      <c r="E1246" s="157">
        <v>0.97017706699999995</v>
      </c>
      <c r="F1246" s="153">
        <v>1455265.6</v>
      </c>
      <c r="G1246" s="12">
        <v>0</v>
      </c>
      <c r="H1246" s="10"/>
      <c r="I1246" s="10"/>
    </row>
    <row r="1247" spans="1:9">
      <c r="A1247" s="10" t="s">
        <v>2025</v>
      </c>
      <c r="B1247" s="124" t="s">
        <v>645</v>
      </c>
      <c r="C1247" s="124" t="s">
        <v>408</v>
      </c>
      <c r="D1247" s="12">
        <v>1500000</v>
      </c>
      <c r="E1247" s="157">
        <v>0.97017706699999995</v>
      </c>
      <c r="F1247" s="153">
        <v>1455265.6</v>
      </c>
      <c r="G1247" s="12">
        <v>0</v>
      </c>
      <c r="H1247" s="10"/>
      <c r="I1247" s="10"/>
    </row>
    <row r="1248" spans="1:9">
      <c r="A1248" s="10" t="s">
        <v>2026</v>
      </c>
      <c r="B1248" s="124" t="s">
        <v>559</v>
      </c>
      <c r="C1248" s="124" t="s">
        <v>408</v>
      </c>
      <c r="D1248" s="12">
        <v>1500000</v>
      </c>
      <c r="E1248" s="82">
        <v>0.97531007319999996</v>
      </c>
      <c r="F1248" s="14">
        <v>1462965.11</v>
      </c>
      <c r="G1248" s="12">
        <v>0</v>
      </c>
      <c r="H1248" s="10"/>
      <c r="I1248" s="10"/>
    </row>
    <row r="1249" spans="1:9">
      <c r="A1249" s="10" t="s">
        <v>2027</v>
      </c>
      <c r="B1249" s="124" t="s">
        <v>743</v>
      </c>
      <c r="C1249" s="124" t="s">
        <v>408</v>
      </c>
      <c r="D1249" s="12">
        <v>15000000</v>
      </c>
      <c r="E1249" s="82">
        <v>0.94780580430000005</v>
      </c>
      <c r="F1249" s="14">
        <v>14217087.060000001</v>
      </c>
      <c r="G1249" s="14">
        <v>0.02</v>
      </c>
      <c r="H1249" s="10"/>
      <c r="I1249" s="10"/>
    </row>
    <row r="1250" spans="1:9">
      <c r="A1250" s="10" t="s">
        <v>2028</v>
      </c>
      <c r="B1250" s="124" t="s">
        <v>618</v>
      </c>
      <c r="C1250" s="124" t="s">
        <v>408</v>
      </c>
      <c r="D1250" s="12">
        <v>15000000</v>
      </c>
      <c r="E1250" s="82">
        <v>0.94193549119999997</v>
      </c>
      <c r="F1250" s="14">
        <v>14129032.369999999</v>
      </c>
      <c r="G1250" s="14">
        <v>0.02</v>
      </c>
      <c r="H1250" s="10"/>
      <c r="I1250" s="10"/>
    </row>
    <row r="1251" spans="1:9">
      <c r="A1251" s="10" t="s">
        <v>2029</v>
      </c>
      <c r="B1251" s="124" t="s">
        <v>627</v>
      </c>
      <c r="C1251" s="124" t="s">
        <v>408</v>
      </c>
      <c r="D1251" s="12">
        <v>15000000</v>
      </c>
      <c r="E1251" s="82">
        <v>0.95300263630000004</v>
      </c>
      <c r="F1251" s="14">
        <v>14295039.539999999</v>
      </c>
      <c r="G1251" s="14">
        <v>0.02</v>
      </c>
      <c r="H1251" s="10"/>
      <c r="I1251" s="10"/>
    </row>
    <row r="1252" spans="1:9">
      <c r="A1252" s="10" t="s">
        <v>2030</v>
      </c>
      <c r="B1252" s="124" t="s">
        <v>636</v>
      </c>
      <c r="C1252" s="124" t="s">
        <v>408</v>
      </c>
      <c r="D1252" s="12">
        <v>15000000</v>
      </c>
      <c r="E1252" s="82">
        <v>0.94633146410000002</v>
      </c>
      <c r="F1252" s="14">
        <v>14194971.960000001</v>
      </c>
      <c r="G1252" s="14">
        <v>0.02</v>
      </c>
      <c r="H1252" s="10"/>
      <c r="I1252" s="10"/>
    </row>
    <row r="1253" spans="1:9">
      <c r="A1253" s="10" t="s">
        <v>2031</v>
      </c>
      <c r="B1253" s="124" t="s">
        <v>657</v>
      </c>
      <c r="C1253" s="124" t="s">
        <v>408</v>
      </c>
      <c r="D1253" s="12">
        <v>15000000</v>
      </c>
      <c r="E1253" s="82">
        <v>0.95151209319999996</v>
      </c>
      <c r="F1253" s="153">
        <v>14272681.4</v>
      </c>
      <c r="G1253" s="14">
        <v>0.02</v>
      </c>
      <c r="H1253" s="10"/>
      <c r="I1253" s="10"/>
    </row>
    <row r="1254" spans="1:9">
      <c r="A1254" s="10" t="s">
        <v>2032</v>
      </c>
      <c r="B1254" s="124" t="s">
        <v>578</v>
      </c>
      <c r="C1254" s="124" t="s">
        <v>408</v>
      </c>
      <c r="D1254" s="12">
        <v>20000000</v>
      </c>
      <c r="E1254" s="82">
        <v>0.99476729239999995</v>
      </c>
      <c r="F1254" s="14">
        <v>19895345.850000001</v>
      </c>
      <c r="G1254" s="14">
        <v>0.02</v>
      </c>
      <c r="H1254" s="10"/>
      <c r="I1254" s="10"/>
    </row>
    <row r="1255" spans="1:9">
      <c r="A1255" s="10" t="s">
        <v>2033</v>
      </c>
      <c r="B1255" s="124" t="s">
        <v>505</v>
      </c>
      <c r="C1255" s="124" t="s">
        <v>408</v>
      </c>
      <c r="D1255" s="12">
        <v>20000000</v>
      </c>
      <c r="E1255" s="82">
        <v>0.99390047989999997</v>
      </c>
      <c r="F1255" s="153">
        <v>19878009.600000001</v>
      </c>
      <c r="G1255" s="14">
        <v>0.02</v>
      </c>
      <c r="H1255" s="10"/>
      <c r="I1255" s="10"/>
    </row>
    <row r="1256" spans="1:9">
      <c r="A1256" s="10" t="s">
        <v>2034</v>
      </c>
      <c r="B1256" s="124" t="s">
        <v>463</v>
      </c>
      <c r="C1256" s="124" t="s">
        <v>408</v>
      </c>
      <c r="D1256" s="12">
        <v>20000000</v>
      </c>
      <c r="E1256" s="82">
        <v>0.98873117489999995</v>
      </c>
      <c r="F1256" s="153">
        <v>19774623.5</v>
      </c>
      <c r="G1256" s="14">
        <v>0.02</v>
      </c>
      <c r="H1256" s="10"/>
      <c r="I1256" s="10"/>
    </row>
    <row r="1257" spans="1:9">
      <c r="A1257" s="10" t="s">
        <v>2035</v>
      </c>
      <c r="B1257" s="124" t="s">
        <v>463</v>
      </c>
      <c r="C1257" s="124" t="s">
        <v>408</v>
      </c>
      <c r="D1257" s="12">
        <v>20000000</v>
      </c>
      <c r="E1257" s="82">
        <v>0.98873117489999995</v>
      </c>
      <c r="F1257" s="153">
        <v>19774623.5</v>
      </c>
      <c r="G1257" s="14">
        <v>0.02</v>
      </c>
      <c r="H1257" s="10"/>
      <c r="I1257" s="10"/>
    </row>
    <row r="1258" spans="1:9">
      <c r="A1258" s="10" t="s">
        <v>2036</v>
      </c>
      <c r="B1258" s="124" t="s">
        <v>456</v>
      </c>
      <c r="C1258" s="124" t="s">
        <v>408</v>
      </c>
      <c r="D1258" s="12">
        <v>20000000</v>
      </c>
      <c r="E1258" s="157">
        <v>0.98787491400000005</v>
      </c>
      <c r="F1258" s="14">
        <v>19757498.280000001</v>
      </c>
      <c r="G1258" s="14">
        <v>0.02</v>
      </c>
      <c r="H1258" s="10"/>
      <c r="I1258" s="10"/>
    </row>
    <row r="1259" spans="1:9">
      <c r="A1259" s="10" t="s">
        <v>2037</v>
      </c>
      <c r="B1259" s="124" t="s">
        <v>746</v>
      </c>
      <c r="C1259" s="124" t="s">
        <v>408</v>
      </c>
      <c r="D1259" s="12">
        <v>30000000</v>
      </c>
      <c r="E1259" s="82">
        <v>0.98702005329999998</v>
      </c>
      <c r="F1259" s="153">
        <v>29610601.600000001</v>
      </c>
      <c r="G1259" s="14">
        <v>0.04</v>
      </c>
      <c r="H1259" s="10"/>
      <c r="I1259" s="10"/>
    </row>
    <row r="1260" spans="1:9">
      <c r="A1260" s="10" t="s">
        <v>2038</v>
      </c>
      <c r="B1260" s="124" t="s">
        <v>517</v>
      </c>
      <c r="C1260" s="124" t="s">
        <v>408</v>
      </c>
      <c r="D1260" s="12">
        <v>20000000</v>
      </c>
      <c r="E1260" s="82">
        <v>0.98958900390000004</v>
      </c>
      <c r="F1260" s="14">
        <v>19791780.079999998</v>
      </c>
      <c r="G1260" s="14">
        <v>0.02</v>
      </c>
      <c r="H1260" s="10"/>
      <c r="I1260" s="10"/>
    </row>
    <row r="1261" spans="1:9">
      <c r="A1261" s="10" t="s">
        <v>2039</v>
      </c>
      <c r="B1261" s="124" t="s">
        <v>746</v>
      </c>
      <c r="C1261" s="124" t="s">
        <v>408</v>
      </c>
      <c r="D1261" s="12">
        <v>30000000</v>
      </c>
      <c r="E1261" s="82">
        <v>0.98702005329999998</v>
      </c>
      <c r="F1261" s="153">
        <v>29610601.600000001</v>
      </c>
      <c r="G1261" s="14">
        <v>0.04</v>
      </c>
      <c r="H1261" s="10"/>
      <c r="I1261" s="10"/>
    </row>
    <row r="1262" spans="1:9">
      <c r="A1262" s="10" t="s">
        <v>2040</v>
      </c>
      <c r="B1262" s="124" t="s">
        <v>513</v>
      </c>
      <c r="C1262" s="124" t="s">
        <v>408</v>
      </c>
      <c r="D1262" s="12">
        <v>20000000</v>
      </c>
      <c r="E1262" s="157">
        <v>0.98446440899999998</v>
      </c>
      <c r="F1262" s="14">
        <v>19689288.18</v>
      </c>
      <c r="G1262" s="14">
        <v>0.02</v>
      </c>
      <c r="H1262" s="10"/>
      <c r="I1262" s="10"/>
    </row>
    <row r="1263" spans="1:9">
      <c r="A1263" s="10" t="s">
        <v>2041</v>
      </c>
      <c r="B1263" s="124" t="s">
        <v>561</v>
      </c>
      <c r="C1263" s="124" t="s">
        <v>408</v>
      </c>
      <c r="D1263" s="12">
        <v>20000000</v>
      </c>
      <c r="E1263" s="82">
        <v>0.99563557849999995</v>
      </c>
      <c r="F1263" s="14">
        <v>19912711.57</v>
      </c>
      <c r="G1263" s="14">
        <v>0.02</v>
      </c>
      <c r="H1263" s="10"/>
      <c r="I1263" s="10"/>
    </row>
    <row r="1264" spans="1:9">
      <c r="A1264" s="10" t="s">
        <v>2042</v>
      </c>
      <c r="B1264" s="124" t="s">
        <v>513</v>
      </c>
      <c r="C1264" s="124" t="s">
        <v>408</v>
      </c>
      <c r="D1264" s="12">
        <v>3600000</v>
      </c>
      <c r="E1264" s="82">
        <v>0.98398669159999996</v>
      </c>
      <c r="F1264" s="14">
        <v>3542352.09</v>
      </c>
      <c r="G1264" s="12">
        <v>0</v>
      </c>
      <c r="H1264" s="10"/>
      <c r="I1264" s="10"/>
    </row>
    <row r="1265" spans="1:9">
      <c r="A1265" s="10" t="s">
        <v>2043</v>
      </c>
      <c r="B1265" s="124" t="s">
        <v>415</v>
      </c>
      <c r="C1265" s="124" t="s">
        <v>408</v>
      </c>
      <c r="D1265" s="12">
        <v>3600000</v>
      </c>
      <c r="E1265" s="82">
        <v>0.98311206669999995</v>
      </c>
      <c r="F1265" s="14">
        <v>3539203.44</v>
      </c>
      <c r="G1265" s="12">
        <v>0</v>
      </c>
      <c r="H1265" s="10"/>
      <c r="I1265" s="10"/>
    </row>
    <row r="1266" spans="1:9">
      <c r="A1266" s="10" t="s">
        <v>2044</v>
      </c>
      <c r="B1266" s="124" t="s">
        <v>463</v>
      </c>
      <c r="C1266" s="124" t="s">
        <v>408</v>
      </c>
      <c r="D1266" s="12">
        <v>3600000</v>
      </c>
      <c r="E1266" s="82">
        <v>0.98838311950000002</v>
      </c>
      <c r="F1266" s="14">
        <v>3558179.23</v>
      </c>
      <c r="G1266" s="12">
        <v>0</v>
      </c>
      <c r="H1266" s="10"/>
      <c r="I1266" s="10"/>
    </row>
    <row r="1267" spans="1:9">
      <c r="A1267" s="10" t="s">
        <v>2045</v>
      </c>
      <c r="B1267" s="124" t="s">
        <v>746</v>
      </c>
      <c r="C1267" s="124" t="s">
        <v>408</v>
      </c>
      <c r="D1267" s="12">
        <v>3600000</v>
      </c>
      <c r="E1267" s="82">
        <v>0.98661985829999999</v>
      </c>
      <c r="F1267" s="14">
        <v>3551831.49</v>
      </c>
      <c r="G1267" s="12">
        <v>0</v>
      </c>
      <c r="H1267" s="10"/>
      <c r="I1267" s="10"/>
    </row>
    <row r="1268" spans="1:9">
      <c r="A1268" s="10" t="s">
        <v>2046</v>
      </c>
      <c r="B1268" s="124" t="s">
        <v>456</v>
      </c>
      <c r="C1268" s="124" t="s">
        <v>408</v>
      </c>
      <c r="D1268" s="12">
        <v>3600000</v>
      </c>
      <c r="E1268" s="82">
        <v>0.9875007415</v>
      </c>
      <c r="F1268" s="14">
        <v>3555002.67</v>
      </c>
      <c r="G1268" s="12">
        <v>0</v>
      </c>
      <c r="H1268" s="10"/>
      <c r="I1268" s="10"/>
    </row>
    <row r="1269" spans="1:9">
      <c r="A1269" s="10" t="s">
        <v>2047</v>
      </c>
      <c r="B1269" s="124" t="s">
        <v>459</v>
      </c>
      <c r="C1269" s="124" t="s">
        <v>408</v>
      </c>
      <c r="D1269" s="14">
        <v>12839.68</v>
      </c>
      <c r="E1269" s="82">
        <v>0.98223865369999996</v>
      </c>
      <c r="F1269" s="14">
        <v>12611.63</v>
      </c>
      <c r="G1269" s="12">
        <v>0</v>
      </c>
      <c r="H1269" s="10"/>
      <c r="I1269" s="10"/>
    </row>
    <row r="1270" spans="1:9">
      <c r="A1270" s="10" t="s">
        <v>2048</v>
      </c>
      <c r="B1270" s="124" t="s">
        <v>614</v>
      </c>
      <c r="C1270" s="124" t="s">
        <v>408</v>
      </c>
      <c r="D1270" s="14">
        <v>12839.68</v>
      </c>
      <c r="E1270" s="82">
        <v>0.95674970120000002</v>
      </c>
      <c r="F1270" s="14">
        <v>12284.36</v>
      </c>
      <c r="G1270" s="12">
        <v>0</v>
      </c>
      <c r="H1270" s="10"/>
      <c r="I1270" s="10"/>
    </row>
    <row r="1271" spans="1:9">
      <c r="A1271" s="10" t="s">
        <v>2049</v>
      </c>
      <c r="B1271" s="124" t="s">
        <v>510</v>
      </c>
      <c r="C1271" s="124" t="s">
        <v>408</v>
      </c>
      <c r="D1271" s="153">
        <v>204051.5</v>
      </c>
      <c r="E1271" s="82">
        <v>0.98136759569999998</v>
      </c>
      <c r="F1271" s="14">
        <v>200249.53</v>
      </c>
      <c r="G1271" s="12">
        <v>0</v>
      </c>
      <c r="H1271" s="10"/>
      <c r="I1271" s="10"/>
    </row>
    <row r="1272" spans="1:9">
      <c r="A1272" s="10" t="s">
        <v>2050</v>
      </c>
      <c r="B1272" s="124" t="s">
        <v>661</v>
      </c>
      <c r="C1272" s="124" t="s">
        <v>408</v>
      </c>
      <c r="D1272" s="153">
        <v>204051.5</v>
      </c>
      <c r="E1272" s="82">
        <v>0.95427325880000002</v>
      </c>
      <c r="F1272" s="14">
        <v>194720.89</v>
      </c>
      <c r="G1272" s="12">
        <v>0</v>
      </c>
      <c r="H1272" s="10"/>
      <c r="I1272" s="10"/>
    </row>
    <row r="1273" spans="1:9">
      <c r="A1273" s="10" t="s">
        <v>2051</v>
      </c>
      <c r="B1273" s="124" t="s">
        <v>974</v>
      </c>
      <c r="C1273" s="124" t="s">
        <v>408</v>
      </c>
      <c r="D1273" s="12">
        <v>45000000</v>
      </c>
      <c r="E1273" s="82">
        <v>0.92762024929999998</v>
      </c>
      <c r="F1273" s="14">
        <v>41742911.219999999</v>
      </c>
      <c r="G1273" s="14">
        <v>0.05</v>
      </c>
      <c r="H1273" s="10"/>
      <c r="I1273" s="10"/>
    </row>
    <row r="1274" spans="1:9">
      <c r="A1274" s="10" t="s">
        <v>2052</v>
      </c>
      <c r="B1274" s="124" t="s">
        <v>663</v>
      </c>
      <c r="C1274" s="124" t="s">
        <v>408</v>
      </c>
      <c r="D1274" s="12">
        <v>45000000</v>
      </c>
      <c r="E1274" s="82">
        <v>0.93216892289999997</v>
      </c>
      <c r="F1274" s="14">
        <v>41947601.530000001</v>
      </c>
      <c r="G1274" s="14">
        <v>0.05</v>
      </c>
      <c r="H1274" s="10"/>
      <c r="I1274" s="10"/>
    </row>
    <row r="1275" spans="1:9">
      <c r="A1275" s="10" t="s">
        <v>2053</v>
      </c>
      <c r="B1275" s="124" t="s">
        <v>283</v>
      </c>
      <c r="C1275" s="124" t="s">
        <v>408</v>
      </c>
      <c r="D1275" s="12">
        <v>45000000</v>
      </c>
      <c r="E1275" s="82">
        <v>0.92686660970000001</v>
      </c>
      <c r="F1275" s="14">
        <v>41708997.439999998</v>
      </c>
      <c r="G1275" s="14">
        <v>0.05</v>
      </c>
      <c r="H1275" s="10"/>
      <c r="I1275" s="10"/>
    </row>
    <row r="1276" spans="1:9">
      <c r="A1276" s="10" t="s">
        <v>2054</v>
      </c>
      <c r="B1276" s="124" t="s">
        <v>1113</v>
      </c>
      <c r="C1276" s="124" t="s">
        <v>408</v>
      </c>
      <c r="D1276" s="12">
        <v>40000000</v>
      </c>
      <c r="E1276" s="157">
        <v>0.922369408</v>
      </c>
      <c r="F1276" s="14">
        <v>36894776.32</v>
      </c>
      <c r="G1276" s="14">
        <v>0.05</v>
      </c>
      <c r="H1276" s="10"/>
      <c r="I1276" s="10"/>
    </row>
    <row r="1277" spans="1:9">
      <c r="A1277" s="10" t="s">
        <v>2055</v>
      </c>
      <c r="B1277" s="124" t="s">
        <v>267</v>
      </c>
      <c r="C1277" s="124" t="s">
        <v>408</v>
      </c>
      <c r="D1277" s="12">
        <v>8400000</v>
      </c>
      <c r="E1277" s="82">
        <v>0.96878650730000004</v>
      </c>
      <c r="F1277" s="14">
        <v>8137806.6600000001</v>
      </c>
      <c r="G1277" s="14">
        <v>0.01</v>
      </c>
      <c r="H1277" s="10"/>
      <c r="I1277" s="10"/>
    </row>
    <row r="1278" spans="1:9">
      <c r="A1278" s="10" t="s">
        <v>2056</v>
      </c>
      <c r="B1278" s="124" t="s">
        <v>556</v>
      </c>
      <c r="C1278" s="124" t="s">
        <v>408</v>
      </c>
      <c r="D1278" s="12">
        <v>8400000</v>
      </c>
      <c r="E1278" s="82">
        <v>0.96806716120000003</v>
      </c>
      <c r="F1278" s="14">
        <v>8131764.1500000004</v>
      </c>
      <c r="G1278" s="14">
        <v>0.01</v>
      </c>
      <c r="H1278" s="10"/>
      <c r="I1278" s="10"/>
    </row>
    <row r="1279" spans="1:9">
      <c r="A1279" s="10" t="s">
        <v>2057</v>
      </c>
      <c r="B1279" s="124" t="s">
        <v>752</v>
      </c>
      <c r="C1279" s="124" t="s">
        <v>408</v>
      </c>
      <c r="D1279" s="12">
        <v>8400000</v>
      </c>
      <c r="E1279" s="82">
        <v>0.96520001850000003</v>
      </c>
      <c r="F1279" s="14">
        <v>8107680.1600000001</v>
      </c>
      <c r="G1279" s="14">
        <v>0.01</v>
      </c>
      <c r="H1279" s="10"/>
      <c r="I1279" s="10"/>
    </row>
    <row r="1280" spans="1:9">
      <c r="A1280" s="10" t="s">
        <v>2058</v>
      </c>
      <c r="B1280" s="124" t="s">
        <v>419</v>
      </c>
      <c r="C1280" s="124" t="s">
        <v>408</v>
      </c>
      <c r="D1280" s="12">
        <v>8400000</v>
      </c>
      <c r="E1280" s="82">
        <v>0.96448584739999998</v>
      </c>
      <c r="F1280" s="14">
        <v>8101681.1200000001</v>
      </c>
      <c r="G1280" s="14">
        <v>0.01</v>
      </c>
      <c r="H1280" s="10"/>
      <c r="I1280" s="10"/>
    </row>
    <row r="1281" spans="1:9">
      <c r="A1281" s="10" t="s">
        <v>2059</v>
      </c>
      <c r="B1281" s="124" t="s">
        <v>667</v>
      </c>
      <c r="C1281" s="124" t="s">
        <v>408</v>
      </c>
      <c r="D1281" s="12">
        <v>8400000</v>
      </c>
      <c r="E1281" s="82">
        <v>0.9637727318</v>
      </c>
      <c r="F1281" s="14">
        <v>8095690.9500000002</v>
      </c>
      <c r="G1281" s="14">
        <v>0.01</v>
      </c>
      <c r="H1281" s="10"/>
      <c r="I1281" s="10"/>
    </row>
    <row r="1282" spans="1:9">
      <c r="A1282" s="10" t="s">
        <v>2060</v>
      </c>
      <c r="B1282" s="124" t="s">
        <v>614</v>
      </c>
      <c r="C1282" s="124" t="s">
        <v>408</v>
      </c>
      <c r="D1282" s="12">
        <v>8400000</v>
      </c>
      <c r="E1282" s="82">
        <v>0.96306081690000001</v>
      </c>
      <c r="F1282" s="14">
        <v>8089710.8600000003</v>
      </c>
      <c r="G1282" s="14">
        <v>0.01</v>
      </c>
      <c r="H1282" s="10"/>
      <c r="I1282" s="10"/>
    </row>
    <row r="1283" spans="1:9">
      <c r="A1283" s="10" t="s">
        <v>2061</v>
      </c>
      <c r="B1283" s="124" t="s">
        <v>661</v>
      </c>
      <c r="C1283" s="124" t="s">
        <v>408</v>
      </c>
      <c r="D1283" s="12">
        <v>8400000</v>
      </c>
      <c r="E1283" s="157">
        <v>0.96093092899999999</v>
      </c>
      <c r="F1283" s="153">
        <v>8071819.7999999998</v>
      </c>
      <c r="G1283" s="14">
        <v>0.01</v>
      </c>
      <c r="H1283" s="10"/>
      <c r="I1283" s="10"/>
    </row>
    <row r="1284" spans="1:9">
      <c r="A1284" s="10" t="s">
        <v>2062</v>
      </c>
      <c r="B1284" s="124" t="s">
        <v>573</v>
      </c>
      <c r="C1284" s="124" t="s">
        <v>408</v>
      </c>
      <c r="D1284" s="12">
        <v>8400000</v>
      </c>
      <c r="E1284" s="82">
        <v>0.96022320750000001</v>
      </c>
      <c r="F1284" s="14">
        <v>8065874.9400000004</v>
      </c>
      <c r="G1284" s="14">
        <v>0.01</v>
      </c>
      <c r="H1284" s="10"/>
      <c r="I1284" s="10"/>
    </row>
    <row r="1285" spans="1:9">
      <c r="A1285" s="10" t="s">
        <v>2063</v>
      </c>
      <c r="B1285" s="124" t="s">
        <v>925</v>
      </c>
      <c r="C1285" s="124" t="s">
        <v>408</v>
      </c>
      <c r="D1285" s="12">
        <v>8400000</v>
      </c>
      <c r="E1285" s="82">
        <v>0.96591524640000004</v>
      </c>
      <c r="F1285" s="14">
        <v>8113688.0700000003</v>
      </c>
      <c r="G1285" s="14">
        <v>0.01</v>
      </c>
      <c r="H1285" s="10"/>
      <c r="I1285" s="10"/>
    </row>
    <row r="1286" spans="1:9">
      <c r="A1286" s="10" t="s">
        <v>2064</v>
      </c>
      <c r="B1286" s="124" t="s">
        <v>556</v>
      </c>
      <c r="C1286" s="124" t="s">
        <v>408</v>
      </c>
      <c r="D1286" s="12">
        <v>8400000</v>
      </c>
      <c r="E1286" s="82">
        <v>0.96806716120000003</v>
      </c>
      <c r="F1286" s="14">
        <v>8131764.1500000004</v>
      </c>
      <c r="G1286" s="14">
        <v>0.01</v>
      </c>
      <c r="H1286" s="10"/>
      <c r="I1286" s="10"/>
    </row>
    <row r="1287" spans="1:9">
      <c r="A1287" s="10" t="s">
        <v>2065</v>
      </c>
      <c r="B1287" s="124" t="s">
        <v>655</v>
      </c>
      <c r="C1287" s="124" t="s">
        <v>408</v>
      </c>
      <c r="D1287" s="12">
        <v>20000000</v>
      </c>
      <c r="E1287" s="82">
        <v>0.93685833789999995</v>
      </c>
      <c r="F1287" s="14">
        <v>18737166.760000002</v>
      </c>
      <c r="G1287" s="14">
        <v>0.02</v>
      </c>
      <c r="H1287" s="10"/>
      <c r="I1287" s="10"/>
    </row>
    <row r="1288" spans="1:9">
      <c r="A1288" s="10" t="s">
        <v>2066</v>
      </c>
      <c r="B1288" s="124" t="s">
        <v>1108</v>
      </c>
      <c r="C1288" s="124" t="s">
        <v>408</v>
      </c>
      <c r="D1288" s="12">
        <v>20000000</v>
      </c>
      <c r="E1288" s="82">
        <v>0.9163947106</v>
      </c>
      <c r="F1288" s="14">
        <v>18327894.210000001</v>
      </c>
      <c r="G1288" s="14">
        <v>0.02</v>
      </c>
      <c r="H1288" s="10"/>
      <c r="I1288" s="10"/>
    </row>
    <row r="1289" spans="1:9">
      <c r="A1289" s="10" t="s">
        <v>2067</v>
      </c>
      <c r="B1289" s="124" t="s">
        <v>423</v>
      </c>
      <c r="C1289" s="124" t="s">
        <v>408</v>
      </c>
      <c r="D1289" s="12">
        <v>20000000</v>
      </c>
      <c r="E1289" s="82">
        <v>0.89746751579999995</v>
      </c>
      <c r="F1289" s="14">
        <v>17949350.32</v>
      </c>
      <c r="G1289" s="14">
        <v>0.02</v>
      </c>
      <c r="H1289" s="10"/>
      <c r="I1289" s="10"/>
    </row>
    <row r="1290" spans="1:9">
      <c r="A1290" s="10" t="s">
        <v>2068</v>
      </c>
      <c r="B1290" s="124" t="s">
        <v>587</v>
      </c>
      <c r="C1290" s="124" t="s">
        <v>408</v>
      </c>
      <c r="D1290" s="12">
        <v>5000000</v>
      </c>
      <c r="E1290" s="82">
        <v>0.95951637349999996</v>
      </c>
      <c r="F1290" s="14">
        <v>4797581.87</v>
      </c>
      <c r="G1290" s="14">
        <v>0.01</v>
      </c>
      <c r="H1290" s="10"/>
      <c r="I1290" s="10"/>
    </row>
    <row r="1291" spans="1:9">
      <c r="A1291" s="10" t="s">
        <v>2069</v>
      </c>
      <c r="B1291" s="124" t="s">
        <v>645</v>
      </c>
      <c r="C1291" s="124" t="s">
        <v>408</v>
      </c>
      <c r="D1291" s="12">
        <v>5000000</v>
      </c>
      <c r="E1291" s="82">
        <v>0.97458083039999999</v>
      </c>
      <c r="F1291" s="14">
        <v>4872904.1500000004</v>
      </c>
      <c r="G1291" s="14">
        <v>0.01</v>
      </c>
      <c r="H1291" s="10"/>
      <c r="I1291" s="10"/>
    </row>
    <row r="1292" spans="1:9">
      <c r="A1292" s="10" t="s">
        <v>2070</v>
      </c>
      <c r="B1292" s="124" t="s">
        <v>657</v>
      </c>
      <c r="C1292" s="124" t="s">
        <v>408</v>
      </c>
      <c r="D1292" s="12">
        <v>5000000</v>
      </c>
      <c r="E1292" s="82">
        <v>0.95459785720000001</v>
      </c>
      <c r="F1292" s="14">
        <v>4772989.29</v>
      </c>
      <c r="G1292" s="14">
        <v>0.01</v>
      </c>
      <c r="H1292" s="10"/>
      <c r="I1292" s="10"/>
    </row>
    <row r="1293" spans="1:9">
      <c r="A1293" s="10" t="s">
        <v>2071</v>
      </c>
      <c r="B1293" s="124" t="s">
        <v>498</v>
      </c>
      <c r="C1293" s="124" t="s">
        <v>408</v>
      </c>
      <c r="D1293" s="12">
        <v>10000000</v>
      </c>
      <c r="E1293" s="82">
        <v>0.97687623530000001</v>
      </c>
      <c r="F1293" s="14">
        <v>9768762.3499999996</v>
      </c>
      <c r="G1293" s="14">
        <v>0.01</v>
      </c>
      <c r="H1293" s="10"/>
      <c r="I1293" s="10"/>
    </row>
    <row r="1294" spans="1:9">
      <c r="A1294" s="10" t="s">
        <v>2072</v>
      </c>
      <c r="B1294" s="124" t="s">
        <v>459</v>
      </c>
      <c r="C1294" s="124" t="s">
        <v>408</v>
      </c>
      <c r="D1294" s="14">
        <v>12983989.119999999</v>
      </c>
      <c r="E1294" s="82">
        <v>0.98488937870000004</v>
      </c>
      <c r="F1294" s="14">
        <v>12787792.98</v>
      </c>
      <c r="G1294" s="14">
        <v>0.02</v>
      </c>
      <c r="H1294" s="10"/>
      <c r="I1294" s="10"/>
    </row>
    <row r="1295" spans="1:9">
      <c r="A1295" s="10" t="s">
        <v>2073</v>
      </c>
      <c r="B1295" s="124" t="s">
        <v>614</v>
      </c>
      <c r="C1295" s="124" t="s">
        <v>408</v>
      </c>
      <c r="D1295" s="12">
        <v>34000000</v>
      </c>
      <c r="E1295" s="82">
        <v>0.96306081690000001</v>
      </c>
      <c r="F1295" s="14">
        <v>32744067.77</v>
      </c>
      <c r="G1295" s="14">
        <v>0.04</v>
      </c>
      <c r="H1295" s="10"/>
      <c r="I1295" s="10"/>
    </row>
    <row r="1296" spans="1:9">
      <c r="A1296" s="10" t="s">
        <v>2074</v>
      </c>
      <c r="B1296" s="124" t="s">
        <v>657</v>
      </c>
      <c r="C1296" s="124" t="s">
        <v>408</v>
      </c>
      <c r="D1296" s="12">
        <v>21138534</v>
      </c>
      <c r="E1296" s="82">
        <v>0.95459785720000001</v>
      </c>
      <c r="F1296" s="14">
        <v>20178799.260000002</v>
      </c>
      <c r="G1296" s="14">
        <v>0.02</v>
      </c>
      <c r="H1296" s="10"/>
      <c r="I1296" s="10"/>
    </row>
    <row r="1297" spans="1:9">
      <c r="A1297" s="10" t="s">
        <v>2075</v>
      </c>
      <c r="B1297" s="124" t="s">
        <v>556</v>
      </c>
      <c r="C1297" s="124" t="s">
        <v>408</v>
      </c>
      <c r="D1297" s="14">
        <v>20519816.280000001</v>
      </c>
      <c r="E1297" s="82">
        <v>0.96806716120000003</v>
      </c>
      <c r="F1297" s="14">
        <v>19864560.289999999</v>
      </c>
      <c r="G1297" s="14">
        <v>0.02</v>
      </c>
      <c r="H1297" s="10"/>
      <c r="I1297" s="10"/>
    </row>
    <row r="1298" spans="1:9">
      <c r="A1298" s="10" t="s">
        <v>2076</v>
      </c>
      <c r="B1298" s="124" t="s">
        <v>267</v>
      </c>
      <c r="C1298" s="124" t="s">
        <v>408</v>
      </c>
      <c r="D1298" s="12">
        <v>25000000</v>
      </c>
      <c r="E1298" s="82">
        <v>0.96986768369999998</v>
      </c>
      <c r="F1298" s="14">
        <v>24246692.09</v>
      </c>
      <c r="G1298" s="14">
        <v>0.03</v>
      </c>
      <c r="H1298" s="10"/>
      <c r="I1298" s="10"/>
    </row>
    <row r="1299" spans="1:9">
      <c r="A1299" s="10" t="s">
        <v>2087</v>
      </c>
      <c r="B1299" s="124" t="s">
        <v>573</v>
      </c>
      <c r="C1299" s="124" t="s">
        <v>478</v>
      </c>
      <c r="D1299" s="12">
        <v>10000000</v>
      </c>
      <c r="E1299" s="82">
        <v>0.96022309839999997</v>
      </c>
      <c r="F1299" s="14">
        <v>9602230.9800000004</v>
      </c>
      <c r="G1299" s="14">
        <v>0.01</v>
      </c>
      <c r="H1299" s="10"/>
      <c r="I1299" s="10"/>
    </row>
    <row r="1300" spans="1:9">
      <c r="A1300" s="10" t="s">
        <v>2088</v>
      </c>
      <c r="B1300" s="124" t="s">
        <v>667</v>
      </c>
      <c r="C1300" s="124" t="s">
        <v>478</v>
      </c>
      <c r="D1300" s="12">
        <v>5000000</v>
      </c>
      <c r="E1300" s="82">
        <v>0.96377277539999995</v>
      </c>
      <c r="F1300" s="14">
        <v>4818863.88</v>
      </c>
      <c r="G1300" s="14">
        <v>0.01</v>
      </c>
      <c r="H1300" s="10"/>
      <c r="I1300" s="10"/>
    </row>
    <row r="1301" spans="1:9">
      <c r="A1301" s="10" t="s">
        <v>2089</v>
      </c>
      <c r="B1301" s="124" t="s">
        <v>573</v>
      </c>
      <c r="C1301" s="124" t="s">
        <v>478</v>
      </c>
      <c r="D1301" s="12">
        <v>5000000</v>
      </c>
      <c r="E1301" s="82">
        <v>0.96022309839999997</v>
      </c>
      <c r="F1301" s="14">
        <v>4801115.49</v>
      </c>
      <c r="G1301" s="14">
        <v>0.01</v>
      </c>
      <c r="H1301" s="10"/>
      <c r="I1301" s="10"/>
    </row>
    <row r="1302" spans="1:9">
      <c r="A1302" s="10" t="s">
        <v>2090</v>
      </c>
      <c r="B1302" s="124" t="s">
        <v>752</v>
      </c>
      <c r="C1302" s="124" t="s">
        <v>478</v>
      </c>
      <c r="D1302" s="12">
        <v>5000000</v>
      </c>
      <c r="E1302" s="82">
        <v>0.96520006169999994</v>
      </c>
      <c r="F1302" s="14">
        <v>4826000.3099999996</v>
      </c>
      <c r="G1302" s="14">
        <v>0.01</v>
      </c>
      <c r="H1302" s="10"/>
      <c r="I1302" s="10"/>
    </row>
    <row r="1303" spans="1:9">
      <c r="A1303" s="10" t="s">
        <v>2091</v>
      </c>
      <c r="B1303" s="124" t="s">
        <v>925</v>
      </c>
      <c r="C1303" s="124" t="s">
        <v>478</v>
      </c>
      <c r="D1303" s="14">
        <v>3729055.13</v>
      </c>
      <c r="E1303" s="82">
        <v>0.96827252649999995</v>
      </c>
      <c r="F1303" s="14">
        <v>3610741.63</v>
      </c>
      <c r="G1303" s="12">
        <v>0</v>
      </c>
      <c r="H1303" s="10"/>
      <c r="I1303" s="10"/>
    </row>
    <row r="1304" spans="1:9">
      <c r="A1304" s="10" t="s">
        <v>2092</v>
      </c>
      <c r="B1304" s="124" t="s">
        <v>625</v>
      </c>
      <c r="C1304" s="124" t="s">
        <v>478</v>
      </c>
      <c r="D1304" s="12">
        <v>25000000</v>
      </c>
      <c r="E1304" s="82">
        <v>0.99928818239999995</v>
      </c>
      <c r="F1304" s="14">
        <v>24982204.559999999</v>
      </c>
      <c r="G1304" s="14">
        <v>0.03</v>
      </c>
      <c r="H1304" s="10"/>
      <c r="I1304" s="10"/>
    </row>
    <row r="1305" spans="1:9">
      <c r="A1305" s="10" t="s">
        <v>2093</v>
      </c>
      <c r="B1305" s="124" t="s">
        <v>625</v>
      </c>
      <c r="C1305" s="124" t="s">
        <v>478</v>
      </c>
      <c r="D1305" s="12">
        <v>25000000</v>
      </c>
      <c r="E1305" s="82">
        <v>0.99928818239999995</v>
      </c>
      <c r="F1305" s="14">
        <v>24982204.559999999</v>
      </c>
      <c r="G1305" s="14">
        <v>0.03</v>
      </c>
      <c r="H1305" s="10"/>
      <c r="I1305" s="10"/>
    </row>
    <row r="1306" spans="1:9">
      <c r="A1306" s="10" t="s">
        <v>2094</v>
      </c>
      <c r="B1306" s="124" t="s">
        <v>255</v>
      </c>
      <c r="C1306" s="124" t="s">
        <v>478</v>
      </c>
      <c r="D1306" s="14">
        <v>3729055.13</v>
      </c>
      <c r="E1306" s="82">
        <v>0.94864331950000003</v>
      </c>
      <c r="F1306" s="14">
        <v>3537543.24</v>
      </c>
      <c r="G1306" s="12">
        <v>0</v>
      </c>
      <c r="H1306" s="10"/>
      <c r="I1306" s="10"/>
    </row>
    <row r="1307" spans="1:9">
      <c r="A1307" s="10" t="s">
        <v>2095</v>
      </c>
      <c r="B1307" s="124" t="s">
        <v>1553</v>
      </c>
      <c r="C1307" s="124" t="s">
        <v>478</v>
      </c>
      <c r="D1307" s="12">
        <v>6000000</v>
      </c>
      <c r="E1307" s="82">
        <v>0.8882941674</v>
      </c>
      <c r="F1307" s="12">
        <v>5329765</v>
      </c>
      <c r="G1307" s="14">
        <v>0.01</v>
      </c>
      <c r="H1307" s="10"/>
      <c r="I1307" s="10"/>
    </row>
    <row r="1308" spans="1:9">
      <c r="A1308" s="10" t="s">
        <v>2096</v>
      </c>
      <c r="B1308" s="124" t="s">
        <v>1446</v>
      </c>
      <c r="C1308" s="124" t="s">
        <v>478</v>
      </c>
      <c r="D1308" s="12">
        <v>5000000</v>
      </c>
      <c r="E1308" s="82">
        <v>0.91022462680000005</v>
      </c>
      <c r="F1308" s="14">
        <v>4551123.13</v>
      </c>
      <c r="G1308" s="14">
        <v>0.01</v>
      </c>
      <c r="H1308" s="10"/>
      <c r="I1308" s="10"/>
    </row>
    <row r="1309" spans="1:9">
      <c r="A1309" s="10" t="s">
        <v>2097</v>
      </c>
      <c r="B1309" s="124" t="s">
        <v>1885</v>
      </c>
      <c r="C1309" s="124" t="s">
        <v>478</v>
      </c>
      <c r="D1309" s="12">
        <v>5000000</v>
      </c>
      <c r="E1309" s="82">
        <v>0.8961453908</v>
      </c>
      <c r="F1309" s="14">
        <v>4480726.95</v>
      </c>
      <c r="G1309" s="14">
        <v>0.01</v>
      </c>
      <c r="H1309" s="10"/>
      <c r="I1309" s="10"/>
    </row>
    <row r="1310" spans="1:9">
      <c r="A1310" s="10" t="s">
        <v>2098</v>
      </c>
      <c r="B1310" s="124" t="s">
        <v>2099</v>
      </c>
      <c r="C1310" s="124" t="s">
        <v>478</v>
      </c>
      <c r="D1310" s="12">
        <v>5000000</v>
      </c>
      <c r="E1310" s="82">
        <v>0.91501646589999996</v>
      </c>
      <c r="F1310" s="14">
        <v>4575082.33</v>
      </c>
      <c r="G1310" s="14">
        <v>0.01</v>
      </c>
      <c r="H1310" s="10"/>
      <c r="I1310" s="10"/>
    </row>
    <row r="1311" spans="1:9">
      <c r="A1311" s="10" t="s">
        <v>2100</v>
      </c>
      <c r="B1311" s="124" t="s">
        <v>995</v>
      </c>
      <c r="C1311" s="124" t="s">
        <v>478</v>
      </c>
      <c r="D1311" s="12">
        <v>3000000</v>
      </c>
      <c r="E1311" s="82">
        <v>0.91985903069999997</v>
      </c>
      <c r="F1311" s="14">
        <v>2759577.09</v>
      </c>
      <c r="G1311" s="12">
        <v>0</v>
      </c>
      <c r="H1311" s="10"/>
      <c r="I1311" s="10"/>
    </row>
    <row r="1312" spans="1:9">
      <c r="A1312" s="10" t="s">
        <v>2101</v>
      </c>
      <c r="B1312" s="124" t="s">
        <v>1525</v>
      </c>
      <c r="C1312" s="124" t="s">
        <v>478</v>
      </c>
      <c r="D1312" s="12">
        <v>5000000</v>
      </c>
      <c r="E1312" s="82">
        <v>0.92475311380000003</v>
      </c>
      <c r="F1312" s="14">
        <v>4623765.57</v>
      </c>
      <c r="G1312" s="14">
        <v>0.01</v>
      </c>
      <c r="H1312" s="10"/>
      <c r="I1312" s="10"/>
    </row>
    <row r="1313" spans="1:9">
      <c r="A1313" s="10" t="s">
        <v>2102</v>
      </c>
      <c r="B1313" s="124" t="s">
        <v>2103</v>
      </c>
      <c r="C1313" s="124" t="s">
        <v>478</v>
      </c>
      <c r="D1313" s="12">
        <v>6000000</v>
      </c>
      <c r="E1313" s="82">
        <v>0.90615696690000003</v>
      </c>
      <c r="F1313" s="153">
        <v>5436941.7999999998</v>
      </c>
      <c r="G1313" s="14">
        <v>0.01</v>
      </c>
      <c r="H1313" s="10"/>
      <c r="I1313" s="10"/>
    </row>
    <row r="1314" spans="1:9">
      <c r="A1314" s="10" t="s">
        <v>2104</v>
      </c>
      <c r="B1314" s="124" t="s">
        <v>1925</v>
      </c>
      <c r="C1314" s="124" t="s">
        <v>478</v>
      </c>
      <c r="D1314" s="12">
        <v>4000000</v>
      </c>
      <c r="E1314" s="82">
        <v>0.88506315410000003</v>
      </c>
      <c r="F1314" s="14">
        <v>3540252.62</v>
      </c>
      <c r="G1314" s="12">
        <v>0</v>
      </c>
      <c r="H1314" s="10"/>
      <c r="I1314" s="10"/>
    </row>
    <row r="1315" spans="1:9">
      <c r="A1315" s="10" t="s">
        <v>2105</v>
      </c>
      <c r="B1315" s="124" t="s">
        <v>1706</v>
      </c>
      <c r="C1315" s="124" t="s">
        <v>478</v>
      </c>
      <c r="D1315" s="12">
        <v>5000000</v>
      </c>
      <c r="E1315" s="82">
        <v>0.90078976330000005</v>
      </c>
      <c r="F1315" s="14">
        <v>4503948.82</v>
      </c>
      <c r="G1315" s="14">
        <v>0.01</v>
      </c>
      <c r="H1315" s="10"/>
      <c r="I1315" s="10"/>
    </row>
    <row r="1316" spans="1:9">
      <c r="A1316" s="10" t="s">
        <v>2106</v>
      </c>
      <c r="B1316" s="124" t="s">
        <v>415</v>
      </c>
      <c r="C1316" s="124" t="s">
        <v>478</v>
      </c>
      <c r="D1316" s="14">
        <v>7869664.6799999997</v>
      </c>
      <c r="E1316" s="82">
        <v>0.98614006259999998</v>
      </c>
      <c r="F1316" s="14">
        <v>7760591.6200000001</v>
      </c>
      <c r="G1316" s="14">
        <v>0.01</v>
      </c>
      <c r="H1316" s="10"/>
      <c r="I1316" s="10"/>
    </row>
    <row r="1317" spans="1:9">
      <c r="A1317" s="10" t="s">
        <v>2107</v>
      </c>
      <c r="B1317" s="124" t="s">
        <v>456</v>
      </c>
      <c r="C1317" s="124" t="s">
        <v>478</v>
      </c>
      <c r="D1317" s="14">
        <v>17861208.649999999</v>
      </c>
      <c r="E1317" s="82">
        <v>0.98974998830000005</v>
      </c>
      <c r="F1317" s="14">
        <v>17678131.050000001</v>
      </c>
      <c r="G1317" s="14">
        <v>0.02</v>
      </c>
      <c r="H1317" s="10"/>
      <c r="I1317" s="10"/>
    </row>
    <row r="1318" spans="1:9">
      <c r="A1318" s="10" t="s">
        <v>2109</v>
      </c>
      <c r="B1318" s="124" t="s">
        <v>415</v>
      </c>
      <c r="C1318" s="124" t="s">
        <v>478</v>
      </c>
      <c r="D1318" s="14">
        <v>7411283.71</v>
      </c>
      <c r="E1318" s="82">
        <v>0.98614006359999995</v>
      </c>
      <c r="F1318" s="14">
        <v>7308563.79</v>
      </c>
      <c r="G1318" s="14">
        <v>0.01</v>
      </c>
      <c r="H1318" s="10"/>
      <c r="I1318" s="10"/>
    </row>
    <row r="1319" spans="1:9">
      <c r="A1319" s="10" t="s">
        <v>2110</v>
      </c>
      <c r="B1319" s="124" t="s">
        <v>1497</v>
      </c>
      <c r="C1319" s="124" t="s">
        <v>478</v>
      </c>
      <c r="D1319" s="12">
        <v>4000000</v>
      </c>
      <c r="E1319" s="82">
        <v>0.94266539739999999</v>
      </c>
      <c r="F1319" s="14">
        <v>3770661.59</v>
      </c>
      <c r="G1319" s="12">
        <v>0</v>
      </c>
      <c r="H1319" s="10"/>
      <c r="I1319" s="10"/>
    </row>
    <row r="1320" spans="1:9">
      <c r="A1320" s="10" t="s">
        <v>2111</v>
      </c>
      <c r="B1320" s="124" t="s">
        <v>461</v>
      </c>
      <c r="C1320" s="124" t="s">
        <v>478</v>
      </c>
      <c r="D1320" s="12">
        <v>4000000</v>
      </c>
      <c r="E1320" s="82">
        <v>0.98113009520000005</v>
      </c>
      <c r="F1320" s="14">
        <v>3924520.38</v>
      </c>
      <c r="G1320" s="12">
        <v>0</v>
      </c>
      <c r="H1320" s="10"/>
      <c r="I1320" s="10"/>
    </row>
    <row r="1321" spans="1:9">
      <c r="A1321" s="10" t="s">
        <v>2112</v>
      </c>
      <c r="B1321" s="124" t="s">
        <v>559</v>
      </c>
      <c r="C1321" s="124" t="s">
        <v>478</v>
      </c>
      <c r="D1321" s="12">
        <v>4000000</v>
      </c>
      <c r="E1321" s="82">
        <v>0.98044484710000002</v>
      </c>
      <c r="F1321" s="14">
        <v>3921779.39</v>
      </c>
      <c r="G1321" s="12">
        <v>0</v>
      </c>
      <c r="H1321" s="10"/>
      <c r="I1321" s="10"/>
    </row>
    <row r="1322" spans="1:9">
      <c r="A1322" s="10" t="s">
        <v>2114</v>
      </c>
      <c r="B1322" s="124" t="s">
        <v>810</v>
      </c>
      <c r="C1322" s="124" t="s">
        <v>478</v>
      </c>
      <c r="D1322" s="12">
        <v>4000000</v>
      </c>
      <c r="E1322" s="82">
        <v>0.97703312750000004</v>
      </c>
      <c r="F1322" s="14">
        <v>3908132.51</v>
      </c>
      <c r="G1322" s="12">
        <v>0</v>
      </c>
      <c r="H1322" s="10"/>
      <c r="I1322" s="10"/>
    </row>
    <row r="1323" spans="1:9">
      <c r="A1323" s="10" t="s">
        <v>2115</v>
      </c>
      <c r="B1323" s="124" t="s">
        <v>625</v>
      </c>
      <c r="C1323" s="124" t="s">
        <v>478</v>
      </c>
      <c r="D1323" s="12">
        <v>4000000</v>
      </c>
      <c r="E1323" s="82">
        <v>0.99928818249999996</v>
      </c>
      <c r="F1323" s="14">
        <v>3997152.73</v>
      </c>
      <c r="G1323" s="12">
        <v>0</v>
      </c>
      <c r="H1323" s="10"/>
      <c r="I1323" s="10"/>
    </row>
    <row r="1324" spans="1:9">
      <c r="A1324" s="10" t="s">
        <v>2116</v>
      </c>
      <c r="B1324" s="124" t="s">
        <v>561</v>
      </c>
      <c r="C1324" s="124" t="s">
        <v>478</v>
      </c>
      <c r="D1324" s="12">
        <v>4000000</v>
      </c>
      <c r="E1324" s="82">
        <v>0.99645100990000002</v>
      </c>
      <c r="F1324" s="14">
        <v>3985804.04</v>
      </c>
      <c r="G1324" s="12">
        <v>0</v>
      </c>
      <c r="H1324" s="10"/>
      <c r="I1324" s="10"/>
    </row>
    <row r="1325" spans="1:9">
      <c r="A1325" s="10" t="s">
        <v>2117</v>
      </c>
      <c r="B1325" s="124" t="s">
        <v>513</v>
      </c>
      <c r="C1325" s="124" t="s">
        <v>478</v>
      </c>
      <c r="D1325" s="12">
        <v>4000000</v>
      </c>
      <c r="E1325" s="82">
        <v>0.98734047989999996</v>
      </c>
      <c r="F1325" s="14">
        <v>3949361.92</v>
      </c>
      <c r="G1325" s="12">
        <v>0</v>
      </c>
      <c r="H1325" s="10"/>
      <c r="I1325" s="10"/>
    </row>
    <row r="1326" spans="1:9">
      <c r="A1326" s="10" t="s">
        <v>2118</v>
      </c>
      <c r="B1326" s="124" t="s">
        <v>415</v>
      </c>
      <c r="C1326" s="124" t="s">
        <v>478</v>
      </c>
      <c r="D1326" s="12">
        <v>4000000</v>
      </c>
      <c r="E1326" s="82">
        <v>0.98664653739999997</v>
      </c>
      <c r="F1326" s="14">
        <v>3946586.15</v>
      </c>
      <c r="G1326" s="12">
        <v>0</v>
      </c>
      <c r="H1326" s="10"/>
      <c r="I1326" s="10"/>
    </row>
    <row r="1327" spans="1:9">
      <c r="A1327" s="10" t="s">
        <v>2119</v>
      </c>
      <c r="B1327" s="124" t="s">
        <v>510</v>
      </c>
      <c r="C1327" s="124" t="s">
        <v>478</v>
      </c>
      <c r="D1327" s="12">
        <v>4000000</v>
      </c>
      <c r="E1327" s="82">
        <v>0.98526157510000001</v>
      </c>
      <c r="F1327" s="153">
        <v>3941046.3</v>
      </c>
      <c r="G1327" s="12">
        <v>0</v>
      </c>
      <c r="H1327" s="10"/>
      <c r="I1327" s="10"/>
    </row>
    <row r="1328" spans="1:9">
      <c r="A1328" s="10" t="s">
        <v>2120</v>
      </c>
      <c r="B1328" s="124" t="s">
        <v>661</v>
      </c>
      <c r="C1328" s="124" t="s">
        <v>478</v>
      </c>
      <c r="D1328" s="12">
        <v>50000000</v>
      </c>
      <c r="E1328" s="82">
        <v>0.96227365180000002</v>
      </c>
      <c r="F1328" s="14">
        <v>48113682.590000004</v>
      </c>
      <c r="G1328" s="14">
        <v>0.06</v>
      </c>
      <c r="H1328" s="10"/>
      <c r="I1328" s="10"/>
    </row>
    <row r="1329" spans="1:9">
      <c r="A1329" s="10" t="s">
        <v>2121</v>
      </c>
      <c r="B1329" s="124" t="s">
        <v>741</v>
      </c>
      <c r="C1329" s="124" t="s">
        <v>478</v>
      </c>
      <c r="D1329" s="12">
        <v>20000000</v>
      </c>
      <c r="E1329" s="82">
        <v>0.93041057289999995</v>
      </c>
      <c r="F1329" s="14">
        <v>18608211.460000001</v>
      </c>
      <c r="G1329" s="14">
        <v>0.02</v>
      </c>
      <c r="H1329" s="10"/>
      <c r="I1329" s="10"/>
    </row>
    <row r="1330" spans="1:9">
      <c r="A1330" s="10" t="s">
        <v>2122</v>
      </c>
      <c r="B1330" s="124" t="s">
        <v>283</v>
      </c>
      <c r="C1330" s="124" t="s">
        <v>478</v>
      </c>
      <c r="D1330" s="12">
        <v>20000000</v>
      </c>
      <c r="E1330" s="82">
        <v>0.93112248750000004</v>
      </c>
      <c r="F1330" s="14">
        <v>18622449.75</v>
      </c>
      <c r="G1330" s="14">
        <v>0.02</v>
      </c>
      <c r="H1330" s="10"/>
      <c r="I1330" s="10"/>
    </row>
    <row r="1331" spans="1:9">
      <c r="A1331" s="10" t="s">
        <v>2123</v>
      </c>
      <c r="B1331" s="124" t="s">
        <v>419</v>
      </c>
      <c r="C1331" s="124" t="s">
        <v>478</v>
      </c>
      <c r="D1331" s="12">
        <v>8000000</v>
      </c>
      <c r="E1331" s="82">
        <v>0.96448588889999998</v>
      </c>
      <c r="F1331" s="14">
        <v>7715887.1100000003</v>
      </c>
      <c r="G1331" s="14">
        <v>0.01</v>
      </c>
      <c r="H1331" s="10"/>
      <c r="I1331" s="10"/>
    </row>
    <row r="1332" spans="1:9">
      <c r="A1332" s="10" t="s">
        <v>2124</v>
      </c>
      <c r="B1332" s="124" t="s">
        <v>661</v>
      </c>
      <c r="C1332" s="124" t="s">
        <v>478</v>
      </c>
      <c r="D1332" s="12">
        <v>11000000</v>
      </c>
      <c r="E1332" s="82">
        <v>0.95959202970000002</v>
      </c>
      <c r="F1332" s="14">
        <v>10555512.33</v>
      </c>
      <c r="G1332" s="14">
        <v>0.01</v>
      </c>
      <c r="H1332" s="10"/>
      <c r="I1332" s="10"/>
    </row>
    <row r="1333" spans="1:9">
      <c r="A1333" s="10" t="s">
        <v>2125</v>
      </c>
      <c r="B1333" s="124" t="s">
        <v>419</v>
      </c>
      <c r="C1333" s="124" t="s">
        <v>478</v>
      </c>
      <c r="D1333" s="12">
        <v>14700000</v>
      </c>
      <c r="E1333" s="82">
        <v>0.96448588769999999</v>
      </c>
      <c r="F1333" s="14">
        <v>14177942.550000001</v>
      </c>
      <c r="G1333" s="14">
        <v>0.02</v>
      </c>
      <c r="H1333" s="10"/>
      <c r="I1333" s="10"/>
    </row>
    <row r="1334" spans="1:9">
      <c r="A1334" s="10" t="s">
        <v>2126</v>
      </c>
      <c r="B1334" s="124" t="s">
        <v>419</v>
      </c>
      <c r="C1334" s="124" t="s">
        <v>478</v>
      </c>
      <c r="D1334" s="12">
        <v>14200000</v>
      </c>
      <c r="E1334" s="82">
        <v>0.96448588889999998</v>
      </c>
      <c r="F1334" s="14">
        <v>13695699.619999999</v>
      </c>
      <c r="G1334" s="14">
        <v>0.02</v>
      </c>
      <c r="H1334" s="10"/>
      <c r="I1334" s="10"/>
    </row>
    <row r="1335" spans="1:9">
      <c r="A1335" s="10" t="s">
        <v>2127</v>
      </c>
      <c r="B1335" s="124" t="s">
        <v>419</v>
      </c>
      <c r="C1335" s="124" t="s">
        <v>478</v>
      </c>
      <c r="D1335" s="12">
        <v>6500000</v>
      </c>
      <c r="E1335" s="82">
        <v>0.96448588889999998</v>
      </c>
      <c r="F1335" s="14">
        <v>6269158.2800000003</v>
      </c>
      <c r="G1335" s="14">
        <v>0.01</v>
      </c>
      <c r="H1335" s="10"/>
      <c r="I1335" s="10"/>
    </row>
    <row r="1336" spans="1:9">
      <c r="A1336" s="10" t="s">
        <v>2128</v>
      </c>
      <c r="B1336" s="124" t="s">
        <v>419</v>
      </c>
      <c r="C1336" s="124" t="s">
        <v>478</v>
      </c>
      <c r="D1336" s="12">
        <v>16500000</v>
      </c>
      <c r="E1336" s="82">
        <v>0.96448588889999998</v>
      </c>
      <c r="F1336" s="14">
        <v>15914017.17</v>
      </c>
      <c r="G1336" s="14">
        <v>0.02</v>
      </c>
      <c r="H1336" s="10"/>
      <c r="I1336" s="10"/>
    </row>
    <row r="1337" spans="1:9">
      <c r="A1337" s="10" t="s">
        <v>2129</v>
      </c>
      <c r="B1337" s="124" t="s">
        <v>419</v>
      </c>
      <c r="C1337" s="124" t="s">
        <v>478</v>
      </c>
      <c r="D1337" s="12">
        <v>16500000</v>
      </c>
      <c r="E1337" s="82">
        <v>0.96448588889999998</v>
      </c>
      <c r="F1337" s="14">
        <v>15914017.17</v>
      </c>
      <c r="G1337" s="14">
        <v>0.02</v>
      </c>
      <c r="H1337" s="10"/>
      <c r="I1337" s="10"/>
    </row>
    <row r="1338" spans="1:9">
      <c r="A1338" s="10" t="s">
        <v>2130</v>
      </c>
      <c r="B1338" s="124" t="s">
        <v>419</v>
      </c>
      <c r="C1338" s="124" t="s">
        <v>478</v>
      </c>
      <c r="D1338" s="12">
        <v>13000000</v>
      </c>
      <c r="E1338" s="82">
        <v>0.96448588889999998</v>
      </c>
      <c r="F1338" s="14">
        <v>12538316.560000001</v>
      </c>
      <c r="G1338" s="14">
        <v>0.02</v>
      </c>
      <c r="H1338" s="10"/>
      <c r="I1338" s="10"/>
    </row>
    <row r="1339" spans="1:9">
      <c r="A1339" s="10" t="s">
        <v>2131</v>
      </c>
      <c r="B1339" s="124" t="s">
        <v>419</v>
      </c>
      <c r="C1339" s="124" t="s">
        <v>478</v>
      </c>
      <c r="D1339" s="12">
        <v>13200000</v>
      </c>
      <c r="E1339" s="82">
        <v>0.96448588889999998</v>
      </c>
      <c r="F1339" s="14">
        <v>12731213.73</v>
      </c>
      <c r="G1339" s="14">
        <v>0.02</v>
      </c>
      <c r="H1339" s="10"/>
      <c r="I1339" s="10"/>
    </row>
    <row r="1340" spans="1:9">
      <c r="A1340" s="10" t="s">
        <v>2132</v>
      </c>
      <c r="B1340" s="124" t="s">
        <v>419</v>
      </c>
      <c r="C1340" s="124" t="s">
        <v>478</v>
      </c>
      <c r="D1340" s="12">
        <v>9300000</v>
      </c>
      <c r="E1340" s="82">
        <v>0.96448588889999998</v>
      </c>
      <c r="F1340" s="14">
        <v>8969718.7699999996</v>
      </c>
      <c r="G1340" s="14">
        <v>0.01</v>
      </c>
      <c r="H1340" s="10"/>
      <c r="I1340" s="10"/>
    </row>
    <row r="1341" spans="1:9">
      <c r="A1341" s="10" t="s">
        <v>2133</v>
      </c>
      <c r="B1341" s="124" t="s">
        <v>419</v>
      </c>
      <c r="C1341" s="124" t="s">
        <v>478</v>
      </c>
      <c r="D1341" s="12">
        <v>14600000</v>
      </c>
      <c r="E1341" s="82">
        <v>0.96448588889999998</v>
      </c>
      <c r="F1341" s="14">
        <v>14081493.98</v>
      </c>
      <c r="G1341" s="14">
        <v>0.02</v>
      </c>
      <c r="H1341" s="10"/>
      <c r="I1341" s="10"/>
    </row>
    <row r="1342" spans="1:9">
      <c r="A1342" s="10" t="s">
        <v>2134</v>
      </c>
      <c r="B1342" s="124" t="s">
        <v>419</v>
      </c>
      <c r="C1342" s="124" t="s">
        <v>478</v>
      </c>
      <c r="D1342" s="12">
        <v>15300000</v>
      </c>
      <c r="E1342" s="82">
        <v>0.96448588889999998</v>
      </c>
      <c r="F1342" s="153">
        <v>14756634.1</v>
      </c>
      <c r="G1342" s="14">
        <v>0.02</v>
      </c>
      <c r="H1342" s="10"/>
      <c r="I1342" s="10"/>
    </row>
    <row r="1343" spans="1:9">
      <c r="A1343" s="10" t="s">
        <v>2135</v>
      </c>
      <c r="B1343" s="124" t="s">
        <v>419</v>
      </c>
      <c r="C1343" s="124" t="s">
        <v>478</v>
      </c>
      <c r="D1343" s="12">
        <v>16500000</v>
      </c>
      <c r="E1343" s="82">
        <v>0.96448588889999998</v>
      </c>
      <c r="F1343" s="14">
        <v>15914017.17</v>
      </c>
      <c r="G1343" s="14">
        <v>0.02</v>
      </c>
      <c r="H1343" s="10"/>
      <c r="I1343" s="10"/>
    </row>
    <row r="1344" spans="1:9">
      <c r="A1344" s="10" t="s">
        <v>2136</v>
      </c>
      <c r="B1344" s="124" t="s">
        <v>419</v>
      </c>
      <c r="C1344" s="124" t="s">
        <v>478</v>
      </c>
      <c r="D1344" s="12">
        <v>13100000</v>
      </c>
      <c r="E1344" s="82">
        <v>0.96448588889999998</v>
      </c>
      <c r="F1344" s="14">
        <v>12634765.140000001</v>
      </c>
      <c r="G1344" s="14">
        <v>0.02</v>
      </c>
      <c r="H1344" s="10"/>
      <c r="I1344" s="10"/>
    </row>
    <row r="1345" spans="1:9">
      <c r="A1345" s="10" t="s">
        <v>2137</v>
      </c>
      <c r="B1345" s="124" t="s">
        <v>419</v>
      </c>
      <c r="C1345" s="124" t="s">
        <v>478</v>
      </c>
      <c r="D1345" s="12">
        <v>11000000</v>
      </c>
      <c r="E1345" s="82">
        <v>0.96448588769999999</v>
      </c>
      <c r="F1345" s="14">
        <v>10609344.76</v>
      </c>
      <c r="G1345" s="14">
        <v>0.01</v>
      </c>
      <c r="H1345" s="10"/>
      <c r="I1345" s="10"/>
    </row>
    <row r="1346" spans="1:9">
      <c r="A1346" s="10" t="s">
        <v>2138</v>
      </c>
      <c r="B1346" s="124" t="s">
        <v>419</v>
      </c>
      <c r="C1346" s="124" t="s">
        <v>478</v>
      </c>
      <c r="D1346" s="12">
        <v>16500000</v>
      </c>
      <c r="E1346" s="82">
        <v>0.96448588889999998</v>
      </c>
      <c r="F1346" s="14">
        <v>15914017.17</v>
      </c>
      <c r="G1346" s="14">
        <v>0.02</v>
      </c>
      <c r="H1346" s="10"/>
      <c r="I1346" s="10"/>
    </row>
    <row r="1347" spans="1:9">
      <c r="A1347" s="10" t="s">
        <v>2139</v>
      </c>
      <c r="B1347" s="124" t="s">
        <v>419</v>
      </c>
      <c r="C1347" s="124" t="s">
        <v>478</v>
      </c>
      <c r="D1347" s="12">
        <v>13200000</v>
      </c>
      <c r="E1347" s="82">
        <v>0.96448588889999998</v>
      </c>
      <c r="F1347" s="14">
        <v>12731213.73</v>
      </c>
      <c r="G1347" s="14">
        <v>0.02</v>
      </c>
      <c r="H1347" s="10"/>
      <c r="I1347" s="10"/>
    </row>
    <row r="1348" spans="1:9">
      <c r="A1348" s="10" t="s">
        <v>2140</v>
      </c>
      <c r="B1348" s="124" t="s">
        <v>419</v>
      </c>
      <c r="C1348" s="124" t="s">
        <v>478</v>
      </c>
      <c r="D1348" s="12">
        <v>16500000</v>
      </c>
      <c r="E1348" s="82">
        <v>0.96448588889999998</v>
      </c>
      <c r="F1348" s="14">
        <v>15914017.17</v>
      </c>
      <c r="G1348" s="14">
        <v>0.02</v>
      </c>
      <c r="H1348" s="10"/>
      <c r="I1348" s="10"/>
    </row>
    <row r="1349" spans="1:9">
      <c r="A1349" s="10" t="s">
        <v>2141</v>
      </c>
      <c r="B1349" s="124" t="s">
        <v>517</v>
      </c>
      <c r="C1349" s="124" t="s">
        <v>478</v>
      </c>
      <c r="D1349" s="12">
        <v>40000000</v>
      </c>
      <c r="E1349" s="82">
        <v>0.99120142789999999</v>
      </c>
      <c r="F1349" s="14">
        <v>39648057.119999997</v>
      </c>
      <c r="G1349" s="14">
        <v>0.05</v>
      </c>
      <c r="H1349" s="10"/>
      <c r="I1349" s="10"/>
    </row>
    <row r="1350" spans="1:9">
      <c r="A1350" s="10" t="s">
        <v>2142</v>
      </c>
      <c r="B1350" s="124" t="s">
        <v>459</v>
      </c>
      <c r="C1350" s="124" t="s">
        <v>478</v>
      </c>
      <c r="D1350" s="12">
        <v>40000000</v>
      </c>
      <c r="E1350" s="82">
        <v>0.9854212014</v>
      </c>
      <c r="F1350" s="14">
        <v>39416848.060000002</v>
      </c>
      <c r="G1350" s="14">
        <v>0.05</v>
      </c>
      <c r="H1350" s="10"/>
      <c r="I1350" s="10"/>
    </row>
    <row r="1351" spans="1:9">
      <c r="A1351" s="10" t="s">
        <v>2143</v>
      </c>
      <c r="B1351" s="124" t="s">
        <v>610</v>
      </c>
      <c r="C1351" s="124" t="s">
        <v>478</v>
      </c>
      <c r="D1351" s="12">
        <v>40000000</v>
      </c>
      <c r="E1351" s="82">
        <v>0.97823767230000003</v>
      </c>
      <c r="F1351" s="14">
        <v>39129506.890000001</v>
      </c>
      <c r="G1351" s="14">
        <v>0.05</v>
      </c>
      <c r="H1351" s="10"/>
      <c r="I1351" s="10"/>
    </row>
    <row r="1352" spans="1:9">
      <c r="A1352" s="10" t="s">
        <v>2144</v>
      </c>
      <c r="B1352" s="124" t="s">
        <v>419</v>
      </c>
      <c r="C1352" s="124" t="s">
        <v>478</v>
      </c>
      <c r="D1352" s="12">
        <v>10000000</v>
      </c>
      <c r="E1352" s="82">
        <v>0.96449812109999999</v>
      </c>
      <c r="F1352" s="14">
        <v>9644981.2100000009</v>
      </c>
      <c r="G1352" s="14">
        <v>0.01</v>
      </c>
      <c r="H1352" s="10"/>
      <c r="I1352" s="10"/>
    </row>
    <row r="1353" spans="1:9">
      <c r="A1353" s="10" t="s">
        <v>2145</v>
      </c>
      <c r="B1353" s="124" t="s">
        <v>925</v>
      </c>
      <c r="C1353" s="124" t="s">
        <v>478</v>
      </c>
      <c r="D1353" s="12">
        <v>40400000</v>
      </c>
      <c r="E1353" s="157">
        <v>0.96591514300000003</v>
      </c>
      <c r="F1353" s="14">
        <v>39022971.780000001</v>
      </c>
      <c r="G1353" s="14">
        <v>0.05</v>
      </c>
      <c r="H1353" s="10"/>
      <c r="I1353" s="10"/>
    </row>
    <row r="1354" spans="1:9">
      <c r="A1354" s="10" t="s">
        <v>2146</v>
      </c>
      <c r="B1354" s="124" t="s">
        <v>2147</v>
      </c>
      <c r="C1354" s="124" t="s">
        <v>478</v>
      </c>
      <c r="D1354" s="12">
        <v>40000000</v>
      </c>
      <c r="E1354" s="82">
        <v>0.9103152592</v>
      </c>
      <c r="F1354" s="14">
        <v>36412610.369999997</v>
      </c>
      <c r="G1354" s="14">
        <v>0.04</v>
      </c>
      <c r="H1354" s="10"/>
      <c r="I1354" s="10"/>
    </row>
    <row r="1355" spans="1:9">
      <c r="A1355" s="10" t="s">
        <v>2148</v>
      </c>
      <c r="B1355" s="124" t="s">
        <v>2147</v>
      </c>
      <c r="C1355" s="124" t="s">
        <v>478</v>
      </c>
      <c r="D1355" s="14">
        <v>21076489.489999998</v>
      </c>
      <c r="E1355" s="82">
        <v>0.9103152592</v>
      </c>
      <c r="F1355" s="14">
        <v>19186249.989999998</v>
      </c>
      <c r="G1355" s="14">
        <v>0.02</v>
      </c>
      <c r="H1355" s="10"/>
      <c r="I1355" s="10"/>
    </row>
    <row r="1356" spans="1:9">
      <c r="A1356" s="10" t="s">
        <v>2149</v>
      </c>
      <c r="B1356" s="124" t="s">
        <v>2147</v>
      </c>
      <c r="C1356" s="124" t="s">
        <v>478</v>
      </c>
      <c r="D1356" s="14">
        <v>3640499.43</v>
      </c>
      <c r="E1356" s="82">
        <v>0.9103152592</v>
      </c>
      <c r="F1356" s="14">
        <v>3314002.18</v>
      </c>
      <c r="G1356" s="12">
        <v>0</v>
      </c>
      <c r="H1356" s="10"/>
      <c r="I1356" s="10"/>
    </row>
    <row r="1357" spans="1:9">
      <c r="A1357" s="10" t="s">
        <v>2150</v>
      </c>
      <c r="B1357" s="124" t="s">
        <v>2147</v>
      </c>
      <c r="C1357" s="124" t="s">
        <v>478</v>
      </c>
      <c r="D1357" s="14">
        <v>26701225.219999999</v>
      </c>
      <c r="E1357" s="82">
        <v>0.9103152592</v>
      </c>
      <c r="F1357" s="14">
        <v>24306532.760000002</v>
      </c>
      <c r="G1357" s="14">
        <v>0.03</v>
      </c>
      <c r="H1357" s="10"/>
      <c r="I1357" s="10"/>
    </row>
    <row r="1358" spans="1:9">
      <c r="A1358" s="10" t="s">
        <v>2151</v>
      </c>
      <c r="B1358" s="124" t="s">
        <v>2152</v>
      </c>
      <c r="C1358" s="124" t="s">
        <v>478</v>
      </c>
      <c r="D1358" s="12">
        <v>25000000</v>
      </c>
      <c r="E1358" s="82">
        <v>0.91884014510000001</v>
      </c>
      <c r="F1358" s="14">
        <v>22971003.629999999</v>
      </c>
      <c r="G1358" s="14">
        <v>0.03</v>
      </c>
      <c r="H1358" s="10"/>
      <c r="I1358" s="10"/>
    </row>
    <row r="1359" spans="1:9">
      <c r="A1359" s="10" t="s">
        <v>2153</v>
      </c>
      <c r="B1359" s="124" t="s">
        <v>636</v>
      </c>
      <c r="C1359" s="124" t="s">
        <v>478</v>
      </c>
      <c r="D1359" s="14">
        <v>14617599.810000001</v>
      </c>
      <c r="E1359" s="82">
        <v>0.94802748709999995</v>
      </c>
      <c r="F1359" s="14">
        <v>13857886.42</v>
      </c>
      <c r="G1359" s="14">
        <v>0.02</v>
      </c>
      <c r="H1359" s="10"/>
      <c r="I1359" s="10"/>
    </row>
    <row r="1360" spans="1:9">
      <c r="A1360" s="10" t="s">
        <v>2154</v>
      </c>
      <c r="B1360" s="124" t="s">
        <v>636</v>
      </c>
      <c r="C1360" s="124" t="s">
        <v>478</v>
      </c>
      <c r="D1360" s="153">
        <v>41084332.299999997</v>
      </c>
      <c r="E1360" s="82">
        <v>0.94802748709999995</v>
      </c>
      <c r="F1360" s="14">
        <v>38949076.310000002</v>
      </c>
      <c r="G1360" s="14">
        <v>0.05</v>
      </c>
      <c r="H1360" s="10"/>
      <c r="I1360" s="10"/>
    </row>
    <row r="1361" spans="1:9">
      <c r="A1361" s="10" t="s">
        <v>2155</v>
      </c>
      <c r="B1361" s="124" t="s">
        <v>636</v>
      </c>
      <c r="C1361" s="124" t="s">
        <v>478</v>
      </c>
      <c r="D1361" s="153">
        <v>41084332.299999997</v>
      </c>
      <c r="E1361" s="82">
        <v>0.94802748709999995</v>
      </c>
      <c r="F1361" s="14">
        <v>38949076.310000002</v>
      </c>
      <c r="G1361" s="14">
        <v>0.05</v>
      </c>
      <c r="H1361" s="10"/>
      <c r="I1361" s="10"/>
    </row>
    <row r="1362" spans="1:9">
      <c r="A1362" s="10" t="s">
        <v>2156</v>
      </c>
      <c r="B1362" s="124" t="s">
        <v>636</v>
      </c>
      <c r="C1362" s="124" t="s">
        <v>478</v>
      </c>
      <c r="D1362" s="153">
        <v>41084332.299999997</v>
      </c>
      <c r="E1362" s="82">
        <v>0.94802748709999995</v>
      </c>
      <c r="F1362" s="14">
        <v>38949076.310000002</v>
      </c>
      <c r="G1362" s="14">
        <v>0.05</v>
      </c>
      <c r="H1362" s="10"/>
      <c r="I1362" s="10"/>
    </row>
    <row r="1363" spans="1:9">
      <c r="A1363" s="10" t="s">
        <v>2157</v>
      </c>
      <c r="B1363" s="124" t="s">
        <v>505</v>
      </c>
      <c r="C1363" s="124" t="s">
        <v>478</v>
      </c>
      <c r="D1363" s="12">
        <v>4500000</v>
      </c>
      <c r="E1363" s="82">
        <v>0.99427953319999995</v>
      </c>
      <c r="F1363" s="153">
        <v>4474257.9000000004</v>
      </c>
      <c r="G1363" s="14">
        <v>0.01</v>
      </c>
      <c r="H1363" s="10"/>
      <c r="I1363" s="10"/>
    </row>
    <row r="1364" spans="1:9">
      <c r="A1364" s="10" t="s">
        <v>2158</v>
      </c>
      <c r="B1364" s="124" t="s">
        <v>692</v>
      </c>
      <c r="C1364" s="124" t="s">
        <v>478</v>
      </c>
      <c r="D1364" s="12">
        <v>4500000</v>
      </c>
      <c r="E1364" s="82">
        <v>0.9910399688</v>
      </c>
      <c r="F1364" s="14">
        <v>4459679.8600000003</v>
      </c>
      <c r="G1364" s="14">
        <v>0.01</v>
      </c>
      <c r="H1364" s="10"/>
      <c r="I1364" s="10"/>
    </row>
    <row r="1365" spans="1:9">
      <c r="A1365" s="10" t="s">
        <v>2159</v>
      </c>
      <c r="B1365" s="124" t="s">
        <v>463</v>
      </c>
      <c r="C1365" s="124" t="s">
        <v>478</v>
      </c>
      <c r="D1365" s="14">
        <v>13638775.050000001</v>
      </c>
      <c r="E1365" s="82">
        <v>0.99082471179999998</v>
      </c>
      <c r="F1365" s="14">
        <v>13513635.359999999</v>
      </c>
      <c r="G1365" s="14">
        <v>0.02</v>
      </c>
      <c r="H1365" s="10"/>
      <c r="I1365" s="10"/>
    </row>
    <row r="1366" spans="1:9">
      <c r="A1366" s="10" t="s">
        <v>2160</v>
      </c>
      <c r="B1366" s="124" t="s">
        <v>587</v>
      </c>
      <c r="C1366" s="124" t="s">
        <v>478</v>
      </c>
      <c r="D1366" s="14">
        <v>11666666.66</v>
      </c>
      <c r="E1366" s="82">
        <v>0.95262966069999999</v>
      </c>
      <c r="F1366" s="153">
        <v>11114012.699999999</v>
      </c>
      <c r="G1366" s="14">
        <v>0.01</v>
      </c>
      <c r="H1366" s="10"/>
      <c r="I1366" s="10"/>
    </row>
    <row r="1367" spans="1:9">
      <c r="A1367" s="10" t="s">
        <v>2161</v>
      </c>
      <c r="B1367" s="124" t="s">
        <v>663</v>
      </c>
      <c r="C1367" s="124" t="s">
        <v>478</v>
      </c>
      <c r="D1367" s="12">
        <v>20858250</v>
      </c>
      <c r="E1367" s="82">
        <v>0.93019702150000005</v>
      </c>
      <c r="F1367" s="14">
        <v>19402282.02</v>
      </c>
      <c r="G1367" s="14">
        <v>0.02</v>
      </c>
      <c r="H1367" s="10"/>
      <c r="I1367" s="10"/>
    </row>
    <row r="1368" spans="1:9">
      <c r="A1368" s="10" t="s">
        <v>2162</v>
      </c>
      <c r="B1368" s="124" t="s">
        <v>657</v>
      </c>
      <c r="C1368" s="124" t="s">
        <v>478</v>
      </c>
      <c r="D1368" s="14">
        <v>11666666.67</v>
      </c>
      <c r="E1368" s="82">
        <v>0.94692072540000005</v>
      </c>
      <c r="F1368" s="14">
        <v>11047408.470000001</v>
      </c>
      <c r="G1368" s="14">
        <v>0.01</v>
      </c>
      <c r="H1368" s="10"/>
      <c r="I1368" s="10"/>
    </row>
    <row r="1369" spans="1:9">
      <c r="A1369" s="10" t="s">
        <v>2163</v>
      </c>
      <c r="B1369" s="124" t="s">
        <v>610</v>
      </c>
      <c r="C1369" s="124" t="s">
        <v>478</v>
      </c>
      <c r="D1369" s="14">
        <v>393484.48</v>
      </c>
      <c r="E1369" s="82">
        <v>0.97369698019999995</v>
      </c>
      <c r="F1369" s="14">
        <v>383134.65</v>
      </c>
      <c r="G1369" s="12">
        <v>0</v>
      </c>
      <c r="H1369" s="10"/>
      <c r="I1369" s="10"/>
    </row>
    <row r="1370" spans="1:9">
      <c r="A1370" s="10" t="s">
        <v>2164</v>
      </c>
      <c r="B1370" s="124" t="s">
        <v>692</v>
      </c>
      <c r="C1370" s="124" t="s">
        <v>478</v>
      </c>
      <c r="D1370" s="153">
        <v>1555000.5</v>
      </c>
      <c r="E1370" s="82">
        <v>0.98926720589999995</v>
      </c>
      <c r="F1370" s="12">
        <v>1538311</v>
      </c>
      <c r="G1370" s="12">
        <v>0</v>
      </c>
      <c r="H1370" s="10"/>
      <c r="I1370" s="10"/>
    </row>
    <row r="1371" spans="1:9">
      <c r="A1371" s="10" t="s">
        <v>2165</v>
      </c>
      <c r="B1371" s="124" t="s">
        <v>505</v>
      </c>
      <c r="C1371" s="124" t="s">
        <v>478</v>
      </c>
      <c r="D1371" s="153">
        <v>3256800.5</v>
      </c>
      <c r="E1371" s="82">
        <v>0.99314327970000005</v>
      </c>
      <c r="F1371" s="14">
        <v>3234469.53</v>
      </c>
      <c r="G1371" s="12">
        <v>0</v>
      </c>
      <c r="H1371" s="10"/>
      <c r="I1371" s="10"/>
    </row>
    <row r="1372" spans="1:9">
      <c r="A1372" s="10" t="s">
        <v>2166</v>
      </c>
      <c r="B1372" s="124" t="s">
        <v>517</v>
      </c>
      <c r="C1372" s="124" t="s">
        <v>478</v>
      </c>
      <c r="D1372" s="153">
        <v>1555000.5</v>
      </c>
      <c r="E1372" s="82">
        <v>0.98830287179999998</v>
      </c>
      <c r="F1372" s="14">
        <v>1536811.46</v>
      </c>
      <c r="G1372" s="12">
        <v>0</v>
      </c>
      <c r="H1372" s="10"/>
      <c r="I1372" s="10"/>
    </row>
    <row r="1373" spans="1:9">
      <c r="A1373" s="10" t="s">
        <v>2167</v>
      </c>
      <c r="B1373" s="124" t="s">
        <v>463</v>
      </c>
      <c r="C1373" s="124" t="s">
        <v>478</v>
      </c>
      <c r="D1373" s="153">
        <v>3256800.5</v>
      </c>
      <c r="E1373" s="82">
        <v>0.98734043130000004</v>
      </c>
      <c r="F1373" s="14">
        <v>3215570.81</v>
      </c>
      <c r="G1373" s="12">
        <v>0</v>
      </c>
      <c r="H1373" s="10"/>
      <c r="I1373" s="10"/>
    </row>
    <row r="1374" spans="1:9">
      <c r="A1374" s="10" t="s">
        <v>2168</v>
      </c>
      <c r="B1374" s="124" t="s">
        <v>692</v>
      </c>
      <c r="C1374" s="124" t="s">
        <v>478</v>
      </c>
      <c r="D1374" s="14">
        <v>1250300.6499999999</v>
      </c>
      <c r="E1374" s="82">
        <v>0.98926718940000002</v>
      </c>
      <c r="F1374" s="14">
        <v>1236881.4099999999</v>
      </c>
      <c r="G1374" s="12">
        <v>0</v>
      </c>
      <c r="H1374" s="10"/>
      <c r="I1374" s="10"/>
    </row>
    <row r="1375" spans="1:9">
      <c r="A1375" s="10" t="s">
        <v>2169</v>
      </c>
      <c r="B1375" s="124" t="s">
        <v>463</v>
      </c>
      <c r="C1375" s="124" t="s">
        <v>478</v>
      </c>
      <c r="D1375" s="153">
        <v>3256800.5</v>
      </c>
      <c r="E1375" s="82">
        <v>0.98734043130000004</v>
      </c>
      <c r="F1375" s="14">
        <v>3215570.81</v>
      </c>
      <c r="G1375" s="12">
        <v>0</v>
      </c>
      <c r="H1375" s="10"/>
      <c r="I1375" s="10"/>
    </row>
    <row r="1376" spans="1:9">
      <c r="A1376" s="10" t="s">
        <v>2170</v>
      </c>
      <c r="B1376" s="124" t="s">
        <v>578</v>
      </c>
      <c r="C1376" s="124" t="s">
        <v>478</v>
      </c>
      <c r="D1376" s="153">
        <v>3256800.5</v>
      </c>
      <c r="E1376" s="82">
        <v>0.99411701760000004</v>
      </c>
      <c r="F1376" s="153">
        <v>3237640.8</v>
      </c>
      <c r="G1376" s="12">
        <v>0</v>
      </c>
      <c r="H1376" s="10"/>
      <c r="I1376" s="10"/>
    </row>
    <row r="1377" spans="1:9">
      <c r="A1377" s="10" t="s">
        <v>2171</v>
      </c>
      <c r="B1377" s="124" t="s">
        <v>559</v>
      </c>
      <c r="C1377" s="124" t="s">
        <v>478</v>
      </c>
      <c r="D1377" s="153">
        <v>3256800.5</v>
      </c>
      <c r="E1377" s="82">
        <v>0.97312576220000002</v>
      </c>
      <c r="F1377" s="14">
        <v>3169276.47</v>
      </c>
      <c r="G1377" s="12">
        <v>0</v>
      </c>
      <c r="H1377" s="10"/>
      <c r="I1377" s="10"/>
    </row>
    <row r="1378" spans="1:9">
      <c r="A1378" s="10" t="s">
        <v>2172</v>
      </c>
      <c r="B1378" s="124" t="s">
        <v>810</v>
      </c>
      <c r="C1378" s="124" t="s">
        <v>478</v>
      </c>
      <c r="D1378" s="12">
        <v>2500000</v>
      </c>
      <c r="E1378" s="82">
        <v>0.97102888369999996</v>
      </c>
      <c r="F1378" s="14">
        <v>2427572.21</v>
      </c>
      <c r="G1378" s="12">
        <v>0</v>
      </c>
      <c r="H1378" s="10"/>
      <c r="I1378" s="10"/>
    </row>
    <row r="1379" spans="1:9">
      <c r="A1379" s="10" t="s">
        <v>2173</v>
      </c>
      <c r="B1379" s="124" t="s">
        <v>556</v>
      </c>
      <c r="C1379" s="124" t="s">
        <v>478</v>
      </c>
      <c r="D1379" s="12">
        <v>2500000</v>
      </c>
      <c r="E1379" s="82">
        <v>0.96257814450000001</v>
      </c>
      <c r="F1379" s="14">
        <v>2406445.36</v>
      </c>
      <c r="G1379" s="12">
        <v>0</v>
      </c>
      <c r="H1379" s="10"/>
      <c r="I1379" s="10"/>
    </row>
    <row r="1380" spans="1:9">
      <c r="A1380" s="10" t="s">
        <v>2174</v>
      </c>
      <c r="B1380" s="124" t="s">
        <v>552</v>
      </c>
      <c r="C1380" s="124" t="s">
        <v>478</v>
      </c>
      <c r="D1380" s="12">
        <v>2500000</v>
      </c>
      <c r="E1380" s="82">
        <v>0.96425655980000002</v>
      </c>
      <c r="F1380" s="153">
        <v>2410641.4</v>
      </c>
      <c r="G1380" s="12">
        <v>0</v>
      </c>
      <c r="H1380" s="10"/>
      <c r="I1380" s="10"/>
    </row>
    <row r="1381" spans="1:9">
      <c r="A1381" s="10" t="s">
        <v>2175</v>
      </c>
      <c r="B1381" s="124" t="s">
        <v>682</v>
      </c>
      <c r="C1381" s="124" t="s">
        <v>478</v>
      </c>
      <c r="D1381" s="12">
        <v>2500000</v>
      </c>
      <c r="E1381" s="82">
        <v>0.9693268277</v>
      </c>
      <c r="F1381" s="14">
        <v>2423317.0699999998</v>
      </c>
      <c r="G1381" s="12">
        <v>0</v>
      </c>
      <c r="H1381" s="10"/>
      <c r="I1381" s="10"/>
    </row>
    <row r="1382" spans="1:9">
      <c r="A1382" s="10" t="s">
        <v>2176</v>
      </c>
      <c r="B1382" s="124" t="s">
        <v>610</v>
      </c>
      <c r="C1382" s="124" t="s">
        <v>478</v>
      </c>
      <c r="D1382" s="12">
        <v>2500000</v>
      </c>
      <c r="E1382" s="157">
        <v>0.97445082800000005</v>
      </c>
      <c r="F1382" s="14">
        <v>2436127.0699999998</v>
      </c>
      <c r="G1382" s="12">
        <v>0</v>
      </c>
      <c r="H1382" s="10"/>
      <c r="I1382" s="10"/>
    </row>
    <row r="1383" spans="1:9">
      <c r="A1383" s="10" t="s">
        <v>2177</v>
      </c>
      <c r="B1383" s="124" t="s">
        <v>634</v>
      </c>
      <c r="C1383" s="124" t="s">
        <v>478</v>
      </c>
      <c r="D1383" s="12">
        <v>2500000</v>
      </c>
      <c r="E1383" s="82">
        <v>0.96847803570000002</v>
      </c>
      <c r="F1383" s="14">
        <v>2421195.09</v>
      </c>
      <c r="G1383" s="12">
        <v>0</v>
      </c>
      <c r="H1383" s="10"/>
      <c r="I1383" s="10"/>
    </row>
    <row r="1384" spans="1:9">
      <c r="A1384" s="10" t="s">
        <v>2178</v>
      </c>
      <c r="B1384" s="124" t="s">
        <v>746</v>
      </c>
      <c r="C1384" s="124" t="s">
        <v>478</v>
      </c>
      <c r="D1384" s="12">
        <v>2500000</v>
      </c>
      <c r="E1384" s="82">
        <v>0.98661988389999999</v>
      </c>
      <c r="F1384" s="14">
        <v>2466549.71</v>
      </c>
      <c r="G1384" s="12">
        <v>0</v>
      </c>
      <c r="H1384" s="10"/>
      <c r="I1384" s="10"/>
    </row>
    <row r="1385" spans="1:9">
      <c r="A1385" s="10" t="s">
        <v>2179</v>
      </c>
      <c r="B1385" s="124" t="s">
        <v>415</v>
      </c>
      <c r="C1385" s="124" t="s">
        <v>478</v>
      </c>
      <c r="D1385" s="12">
        <v>2500000</v>
      </c>
      <c r="E1385" s="82">
        <v>0.98311209990000004</v>
      </c>
      <c r="F1385" s="14">
        <v>2457780.25</v>
      </c>
      <c r="G1385" s="12">
        <v>0</v>
      </c>
      <c r="H1385" s="10"/>
      <c r="I1385" s="10"/>
    </row>
    <row r="1386" spans="1:9">
      <c r="A1386" s="10" t="s">
        <v>2180</v>
      </c>
      <c r="B1386" s="124" t="s">
        <v>645</v>
      </c>
      <c r="C1386" s="124" t="s">
        <v>478</v>
      </c>
      <c r="D1386" s="12">
        <v>2500000</v>
      </c>
      <c r="E1386" s="82">
        <v>0.97017710040000005</v>
      </c>
      <c r="F1386" s="14">
        <v>2425442.75</v>
      </c>
      <c r="G1386" s="12">
        <v>0</v>
      </c>
      <c r="H1386" s="10"/>
      <c r="I1386" s="10"/>
    </row>
    <row r="1387" spans="1:9">
      <c r="A1387" s="10" t="s">
        <v>2181</v>
      </c>
      <c r="B1387" s="124" t="s">
        <v>498</v>
      </c>
      <c r="C1387" s="124" t="s">
        <v>478</v>
      </c>
      <c r="D1387" s="12">
        <v>2500000</v>
      </c>
      <c r="E1387" s="82">
        <v>0.97188200359999999</v>
      </c>
      <c r="F1387" s="14">
        <v>2429705.0099999998</v>
      </c>
      <c r="G1387" s="12">
        <v>0</v>
      </c>
      <c r="H1387" s="10"/>
      <c r="I1387" s="10"/>
    </row>
    <row r="1388" spans="1:9">
      <c r="A1388" s="10" t="s">
        <v>2182</v>
      </c>
      <c r="B1388" s="124" t="s">
        <v>510</v>
      </c>
      <c r="C1388" s="124" t="s">
        <v>478</v>
      </c>
      <c r="D1388" s="12">
        <v>2500000</v>
      </c>
      <c r="E1388" s="157">
        <v>0.98136747599999996</v>
      </c>
      <c r="F1388" s="14">
        <v>2453418.69</v>
      </c>
      <c r="G1388" s="12">
        <v>0</v>
      </c>
      <c r="H1388" s="10"/>
      <c r="I1388" s="10"/>
    </row>
    <row r="1389" spans="1:9">
      <c r="A1389" s="10" t="s">
        <v>2183</v>
      </c>
      <c r="B1389" s="124" t="s">
        <v>559</v>
      </c>
      <c r="C1389" s="124" t="s">
        <v>478</v>
      </c>
      <c r="D1389" s="12">
        <v>2500000</v>
      </c>
      <c r="E1389" s="82">
        <v>0.97530998410000003</v>
      </c>
      <c r="F1389" s="14">
        <v>2438274.96</v>
      </c>
      <c r="G1389" s="12">
        <v>0</v>
      </c>
      <c r="H1389" s="10"/>
      <c r="I1389" s="10"/>
    </row>
    <row r="1390" spans="1:9">
      <c r="A1390" s="10" t="s">
        <v>2184</v>
      </c>
      <c r="B1390" s="124" t="s">
        <v>718</v>
      </c>
      <c r="C1390" s="124" t="s">
        <v>478</v>
      </c>
      <c r="D1390" s="12">
        <v>2500000</v>
      </c>
      <c r="E1390" s="82">
        <v>0.97703313579999995</v>
      </c>
      <c r="F1390" s="14">
        <v>2442582.84</v>
      </c>
      <c r="G1390" s="12">
        <v>0</v>
      </c>
      <c r="H1390" s="10"/>
      <c r="I1390" s="10"/>
    </row>
    <row r="1391" spans="1:9">
      <c r="A1391" s="10" t="s">
        <v>2185</v>
      </c>
      <c r="B1391" s="124" t="s">
        <v>743</v>
      </c>
      <c r="C1391" s="124" t="s">
        <v>478</v>
      </c>
      <c r="D1391" s="12">
        <v>7500000</v>
      </c>
      <c r="E1391" s="82">
        <v>0.94288454769999996</v>
      </c>
      <c r="F1391" s="14">
        <v>7071634.1100000003</v>
      </c>
      <c r="G1391" s="14">
        <v>0.01</v>
      </c>
      <c r="H1391" s="10"/>
      <c r="I1391" s="10"/>
    </row>
    <row r="1392" spans="1:9">
      <c r="A1392" s="10" t="s">
        <v>2186</v>
      </c>
      <c r="B1392" s="124" t="s">
        <v>670</v>
      </c>
      <c r="C1392" s="124" t="s">
        <v>478</v>
      </c>
      <c r="D1392" s="12">
        <v>7500000</v>
      </c>
      <c r="E1392" s="82">
        <v>0.9420813992</v>
      </c>
      <c r="F1392" s="14">
        <v>7065610.4900000002</v>
      </c>
      <c r="G1392" s="14">
        <v>0.01</v>
      </c>
      <c r="H1392" s="10"/>
      <c r="I1392" s="10"/>
    </row>
    <row r="1393" spans="1:9">
      <c r="A1393" s="10" t="s">
        <v>2187</v>
      </c>
      <c r="B1393" s="124" t="s">
        <v>657</v>
      </c>
      <c r="C1393" s="124" t="s">
        <v>478</v>
      </c>
      <c r="D1393" s="12">
        <v>5000000</v>
      </c>
      <c r="E1393" s="82">
        <v>0.9469207315</v>
      </c>
      <c r="F1393" s="14">
        <v>4734603.66</v>
      </c>
      <c r="G1393" s="14">
        <v>0.01</v>
      </c>
      <c r="H1393" s="10"/>
      <c r="I1393" s="10"/>
    </row>
    <row r="1394" spans="1:9">
      <c r="A1394" s="10" t="s">
        <v>2188</v>
      </c>
      <c r="B1394" s="124" t="s">
        <v>645</v>
      </c>
      <c r="C1394" s="124" t="s">
        <v>478</v>
      </c>
      <c r="D1394" s="14">
        <v>16643128.32</v>
      </c>
      <c r="E1394" s="82">
        <v>0.97017710560000003</v>
      </c>
      <c r="F1394" s="14">
        <v>16146782.060000001</v>
      </c>
      <c r="G1394" s="14">
        <v>0.02</v>
      </c>
      <c r="H1394" s="10"/>
      <c r="I1394" s="10"/>
    </row>
    <row r="1395" spans="1:9">
      <c r="A1395" s="10" t="s">
        <v>2189</v>
      </c>
      <c r="B1395" s="124" t="s">
        <v>463</v>
      </c>
      <c r="C1395" s="124" t="s">
        <v>478</v>
      </c>
      <c r="D1395" s="14">
        <v>130311.45</v>
      </c>
      <c r="E1395" s="82">
        <v>0.98838321579999999</v>
      </c>
      <c r="F1395" s="14">
        <v>128797.65</v>
      </c>
      <c r="G1395" s="12">
        <v>0</v>
      </c>
      <c r="H1395" s="10"/>
      <c r="I1395" s="10"/>
    </row>
    <row r="1396" spans="1:9">
      <c r="A1396" s="10" t="s">
        <v>2190</v>
      </c>
      <c r="B1396" s="124" t="s">
        <v>463</v>
      </c>
      <c r="C1396" s="124" t="s">
        <v>478</v>
      </c>
      <c r="D1396" s="14">
        <v>8574172.7400000002</v>
      </c>
      <c r="E1396" s="82">
        <v>0.98838313820000001</v>
      </c>
      <c r="F1396" s="14">
        <v>8474567.7599999998</v>
      </c>
      <c r="G1396" s="14">
        <v>0.01</v>
      </c>
      <c r="H1396" s="10"/>
      <c r="I1396" s="10"/>
    </row>
    <row r="1397" spans="1:9">
      <c r="A1397" s="10" t="s">
        <v>2191</v>
      </c>
      <c r="B1397" s="124" t="s">
        <v>459</v>
      </c>
      <c r="C1397" s="124" t="s">
        <v>478</v>
      </c>
      <c r="D1397" s="14">
        <v>8574172.7400000002</v>
      </c>
      <c r="E1397" s="82">
        <v>0.9822390084</v>
      </c>
      <c r="F1397" s="14">
        <v>8421886.9299999997</v>
      </c>
      <c r="G1397" s="14">
        <v>0.01</v>
      </c>
      <c r="H1397" s="10"/>
      <c r="I1397" s="10"/>
    </row>
    <row r="1398" spans="1:9">
      <c r="A1398" s="10" t="s">
        <v>2192</v>
      </c>
      <c r="B1398" s="124" t="s">
        <v>645</v>
      </c>
      <c r="C1398" s="124" t="s">
        <v>478</v>
      </c>
      <c r="D1398" s="12">
        <v>27362969</v>
      </c>
      <c r="E1398" s="82">
        <v>0.97017710560000003</v>
      </c>
      <c r="F1398" s="14">
        <v>26546926.07</v>
      </c>
      <c r="G1398" s="14">
        <v>0.03</v>
      </c>
      <c r="H1398" s="10"/>
      <c r="I1398" s="10"/>
    </row>
    <row r="1399" spans="1:9">
      <c r="A1399" s="10" t="s">
        <v>2193</v>
      </c>
      <c r="B1399" s="124" t="s">
        <v>2194</v>
      </c>
      <c r="C1399" s="124" t="s">
        <v>478</v>
      </c>
      <c r="D1399" s="12">
        <v>27362969</v>
      </c>
      <c r="E1399" s="82">
        <v>0.87362375010000004</v>
      </c>
      <c r="F1399" s="14">
        <v>23904939.59</v>
      </c>
      <c r="G1399" s="14">
        <v>0.03</v>
      </c>
      <c r="H1399" s="10"/>
      <c r="I1399" s="10"/>
    </row>
    <row r="1400" spans="1:9">
      <c r="A1400" s="10" t="s">
        <v>2195</v>
      </c>
      <c r="B1400" s="124" t="s">
        <v>645</v>
      </c>
      <c r="C1400" s="124" t="s">
        <v>478</v>
      </c>
      <c r="D1400" s="14">
        <v>526947.42000000004</v>
      </c>
      <c r="E1400" s="82">
        <v>0.9701770811</v>
      </c>
      <c r="F1400" s="14">
        <v>511232.31</v>
      </c>
      <c r="G1400" s="12">
        <v>0</v>
      </c>
      <c r="H1400" s="10"/>
      <c r="I1400" s="10"/>
    </row>
    <row r="1401" spans="1:9">
      <c r="A1401" s="10" t="s">
        <v>2196</v>
      </c>
      <c r="B1401" s="124" t="s">
        <v>459</v>
      </c>
      <c r="C1401" s="124" t="s">
        <v>478</v>
      </c>
      <c r="D1401" s="153">
        <v>1885862.4</v>
      </c>
      <c r="E1401" s="82">
        <v>0.98223900630000005</v>
      </c>
      <c r="F1401" s="14">
        <v>1852367.61</v>
      </c>
      <c r="G1401" s="12">
        <v>0</v>
      </c>
      <c r="H1401" s="10"/>
      <c r="I1401" s="10"/>
    </row>
    <row r="1402" spans="1:9">
      <c r="A1402" s="10" t="s">
        <v>2197</v>
      </c>
      <c r="B1402" s="124" t="s">
        <v>559</v>
      </c>
      <c r="C1402" s="124" t="s">
        <v>478</v>
      </c>
      <c r="D1402" s="12">
        <v>182156</v>
      </c>
      <c r="E1402" s="82">
        <v>0.9753099542</v>
      </c>
      <c r="F1402" s="14">
        <v>177658.56</v>
      </c>
      <c r="G1402" s="12">
        <v>0</v>
      </c>
      <c r="H1402" s="10"/>
      <c r="I1402" s="10"/>
    </row>
    <row r="1403" spans="1:9">
      <c r="A1403" s="10" t="s">
        <v>2198</v>
      </c>
      <c r="B1403" s="124" t="s">
        <v>2199</v>
      </c>
      <c r="C1403" s="124" t="s">
        <v>478</v>
      </c>
      <c r="D1403" s="12">
        <v>182156</v>
      </c>
      <c r="E1403" s="82">
        <v>0.87987856529999997</v>
      </c>
      <c r="F1403" s="14">
        <v>160275.16</v>
      </c>
      <c r="G1403" s="12">
        <v>0</v>
      </c>
      <c r="H1403" s="10"/>
      <c r="I1403" s="10"/>
    </row>
    <row r="1404" spans="1:9">
      <c r="A1404" s="10" t="s">
        <v>2200</v>
      </c>
      <c r="B1404" s="124" t="s">
        <v>510</v>
      </c>
      <c r="C1404" s="124" t="s">
        <v>478</v>
      </c>
      <c r="D1404" s="14">
        <v>574285.71</v>
      </c>
      <c r="E1404" s="82">
        <v>0.98136747989999995</v>
      </c>
      <c r="F1404" s="14">
        <v>563585.31999999995</v>
      </c>
      <c r="G1404" s="12">
        <v>0</v>
      </c>
      <c r="H1404" s="10"/>
      <c r="I1404" s="10"/>
    </row>
    <row r="1405" spans="1:9">
      <c r="A1405" s="10" t="s">
        <v>2201</v>
      </c>
      <c r="B1405" s="124" t="s">
        <v>634</v>
      </c>
      <c r="C1405" s="124" t="s">
        <v>478</v>
      </c>
      <c r="D1405" s="12">
        <v>436692</v>
      </c>
      <c r="E1405" s="82">
        <v>0.96847803480000005</v>
      </c>
      <c r="F1405" s="14">
        <v>422926.61</v>
      </c>
      <c r="G1405" s="12">
        <v>0</v>
      </c>
      <c r="H1405" s="10"/>
      <c r="I1405" s="10"/>
    </row>
    <row r="1406" spans="1:9">
      <c r="A1406" s="10" t="s">
        <v>2202</v>
      </c>
      <c r="B1406" s="124" t="s">
        <v>415</v>
      </c>
      <c r="C1406" s="124" t="s">
        <v>478</v>
      </c>
      <c r="D1406" s="14">
        <v>2169517.4900000002</v>
      </c>
      <c r="E1406" s="82">
        <v>0.98311209740000005</v>
      </c>
      <c r="F1406" s="14">
        <v>2132878.89</v>
      </c>
      <c r="G1406" s="12">
        <v>0</v>
      </c>
      <c r="H1406" s="10"/>
      <c r="I1406" s="10"/>
    </row>
    <row r="1407" spans="1:9">
      <c r="A1407" s="10" t="s">
        <v>2203</v>
      </c>
      <c r="B1407" s="124" t="s">
        <v>559</v>
      </c>
      <c r="C1407" s="124" t="s">
        <v>478</v>
      </c>
      <c r="D1407" s="14">
        <v>6135324.1399999997</v>
      </c>
      <c r="E1407" s="82">
        <v>0.97530998930000001</v>
      </c>
      <c r="F1407" s="14">
        <v>5983842.9199999999</v>
      </c>
      <c r="G1407" s="14">
        <v>0.01</v>
      </c>
      <c r="H1407" s="10"/>
      <c r="I1407" s="10"/>
    </row>
    <row r="1408" spans="1:9">
      <c r="A1408" s="10" t="s">
        <v>2204</v>
      </c>
      <c r="B1408" s="124" t="s">
        <v>461</v>
      </c>
      <c r="C1408" s="124" t="s">
        <v>478</v>
      </c>
      <c r="D1408" s="153">
        <v>827834.5</v>
      </c>
      <c r="E1408" s="82">
        <v>0.97617080460000005</v>
      </c>
      <c r="F1408" s="14">
        <v>808107.87</v>
      </c>
      <c r="G1408" s="12">
        <v>0</v>
      </c>
      <c r="H1408" s="10"/>
      <c r="I1408" s="10"/>
    </row>
    <row r="1409" spans="1:9">
      <c r="A1409" s="10" t="s">
        <v>2205</v>
      </c>
      <c r="B1409" s="124" t="s">
        <v>461</v>
      </c>
      <c r="C1409" s="124" t="s">
        <v>478</v>
      </c>
      <c r="D1409" s="12">
        <v>25000000</v>
      </c>
      <c r="E1409" s="157">
        <v>0.97970801900000004</v>
      </c>
      <c r="F1409" s="14">
        <v>24492700.48</v>
      </c>
      <c r="G1409" s="14">
        <v>0.03</v>
      </c>
      <c r="H1409" s="10"/>
      <c r="I1409" s="10"/>
    </row>
    <row r="1410" spans="1:9">
      <c r="A1410" s="10" t="s">
        <v>2206</v>
      </c>
      <c r="B1410" s="124" t="s">
        <v>752</v>
      </c>
      <c r="C1410" s="124" t="s">
        <v>478</v>
      </c>
      <c r="D1410" s="12">
        <v>35000000</v>
      </c>
      <c r="E1410" s="82">
        <v>0.96520005929999997</v>
      </c>
      <c r="F1410" s="14">
        <v>33782002.079999998</v>
      </c>
      <c r="G1410" s="14">
        <v>0.04</v>
      </c>
      <c r="H1410" s="10"/>
      <c r="I1410" s="10"/>
    </row>
    <row r="1411" spans="1:9">
      <c r="A1411" s="10" t="s">
        <v>2207</v>
      </c>
      <c r="B1411" s="124" t="s">
        <v>810</v>
      </c>
      <c r="C1411" s="124" t="s">
        <v>478</v>
      </c>
      <c r="D1411" s="12">
        <v>25000000</v>
      </c>
      <c r="E1411" s="82">
        <v>0.97531006470000003</v>
      </c>
      <c r="F1411" s="14">
        <v>24382751.620000001</v>
      </c>
      <c r="G1411" s="14">
        <v>0.03</v>
      </c>
      <c r="H1411" s="10"/>
      <c r="I1411" s="10"/>
    </row>
    <row r="1412" spans="1:9">
      <c r="A1412" s="10" t="s">
        <v>2208</v>
      </c>
      <c r="B1412" s="124" t="s">
        <v>559</v>
      </c>
      <c r="C1412" s="124" t="s">
        <v>478</v>
      </c>
      <c r="D1412" s="14">
        <v>97351912.840000004</v>
      </c>
      <c r="E1412" s="82">
        <v>0.97897223529999999</v>
      </c>
      <c r="F1412" s="14">
        <v>95304819.719999999</v>
      </c>
      <c r="G1412" s="14">
        <v>0.12</v>
      </c>
      <c r="H1412" s="10"/>
      <c r="I1412" s="10"/>
    </row>
    <row r="1413" spans="1:9">
      <c r="A1413" s="10" t="s">
        <v>2209</v>
      </c>
      <c r="B1413" s="124" t="s">
        <v>559</v>
      </c>
      <c r="C1413" s="124" t="s">
        <v>478</v>
      </c>
      <c r="D1413" s="153">
        <v>38458308.5</v>
      </c>
      <c r="E1413" s="82">
        <v>0.97897223529999999</v>
      </c>
      <c r="F1413" s="14">
        <v>37649616.240000002</v>
      </c>
      <c r="G1413" s="14">
        <v>0.05</v>
      </c>
      <c r="H1413" s="10"/>
      <c r="I1413" s="10"/>
    </row>
    <row r="1414" spans="1:9">
      <c r="A1414" s="10" t="s">
        <v>2210</v>
      </c>
      <c r="B1414" s="124" t="s">
        <v>559</v>
      </c>
      <c r="C1414" s="124" t="s">
        <v>478</v>
      </c>
      <c r="D1414" s="14">
        <v>75590913.420000002</v>
      </c>
      <c r="E1414" s="82">
        <v>0.97897223529999999</v>
      </c>
      <c r="F1414" s="14">
        <v>74001405.480000004</v>
      </c>
      <c r="G1414" s="14">
        <v>0.09</v>
      </c>
      <c r="H1414" s="10"/>
      <c r="I1414" s="10"/>
    </row>
    <row r="1415" spans="1:9">
      <c r="A1415" s="10" t="s">
        <v>2225</v>
      </c>
      <c r="B1415" s="124" t="s">
        <v>587</v>
      </c>
      <c r="C1415" s="124" t="s">
        <v>439</v>
      </c>
      <c r="D1415" s="12">
        <v>5633315</v>
      </c>
      <c r="E1415" s="82">
        <v>0.95743984319999997</v>
      </c>
      <c r="F1415" s="14">
        <v>5393560.2300000004</v>
      </c>
      <c r="G1415" s="14">
        <v>0.01</v>
      </c>
      <c r="H1415" s="10"/>
      <c r="I1415" s="10"/>
    </row>
    <row r="1416" spans="1:9">
      <c r="A1416" s="10" t="s">
        <v>2226</v>
      </c>
      <c r="B1416" s="124" t="s">
        <v>559</v>
      </c>
      <c r="C1416" s="124" t="s">
        <v>439</v>
      </c>
      <c r="D1416" s="12">
        <v>5633315</v>
      </c>
      <c r="E1416" s="82">
        <v>0.97787071039999995</v>
      </c>
      <c r="F1416" s="14">
        <v>5508653.7400000002</v>
      </c>
      <c r="G1416" s="14">
        <v>0.01</v>
      </c>
      <c r="H1416" s="10"/>
      <c r="I1416" s="10"/>
    </row>
    <row r="1417" spans="1:9">
      <c r="A1417" s="10" t="s">
        <v>2227</v>
      </c>
      <c r="B1417" s="124" t="s">
        <v>2199</v>
      </c>
      <c r="C1417" s="124" t="s">
        <v>439</v>
      </c>
      <c r="D1417" s="12">
        <v>5633315</v>
      </c>
      <c r="E1417" s="82">
        <v>0.89123309819999996</v>
      </c>
      <c r="F1417" s="14">
        <v>5020596.78</v>
      </c>
      <c r="G1417" s="14">
        <v>0.01</v>
      </c>
      <c r="H1417" s="10"/>
      <c r="I1417" s="10"/>
    </row>
    <row r="1418" spans="1:9">
      <c r="A1418" s="10" t="s">
        <v>2228</v>
      </c>
      <c r="B1418" s="124" t="s">
        <v>931</v>
      </c>
      <c r="C1418" s="124" t="s">
        <v>439</v>
      </c>
      <c r="D1418" s="12">
        <v>5633315</v>
      </c>
      <c r="E1418" s="82">
        <v>0.9357176452</v>
      </c>
      <c r="F1418" s="14">
        <v>5271192.25</v>
      </c>
      <c r="G1418" s="14">
        <v>0.01</v>
      </c>
      <c r="H1418" s="10"/>
      <c r="I1418" s="10"/>
    </row>
    <row r="1419" spans="1:9">
      <c r="A1419" s="10" t="s">
        <v>2229</v>
      </c>
      <c r="B1419" s="124" t="s">
        <v>2230</v>
      </c>
      <c r="C1419" s="124" t="s">
        <v>439</v>
      </c>
      <c r="D1419" s="12">
        <v>5633315</v>
      </c>
      <c r="E1419" s="82">
        <v>0.91360776539999999</v>
      </c>
      <c r="F1419" s="14">
        <v>5146640.33</v>
      </c>
      <c r="G1419" s="14">
        <v>0.01</v>
      </c>
      <c r="H1419" s="10"/>
      <c r="I1419" s="10"/>
    </row>
    <row r="1420" spans="1:9">
      <c r="A1420" s="10" t="s">
        <v>2231</v>
      </c>
      <c r="B1420" s="124" t="s">
        <v>505</v>
      </c>
      <c r="C1420" s="124" t="s">
        <v>439</v>
      </c>
      <c r="D1420" s="12">
        <v>1000000</v>
      </c>
      <c r="E1420" s="156">
        <v>0.99484859999999997</v>
      </c>
      <c r="F1420" s="153">
        <v>994848.6</v>
      </c>
      <c r="G1420" s="12">
        <v>0</v>
      </c>
      <c r="H1420" s="10"/>
      <c r="I1420" s="10"/>
    </row>
    <row r="1421" spans="1:9">
      <c r="A1421" s="10" t="s">
        <v>2232</v>
      </c>
      <c r="B1421" s="124" t="s">
        <v>517</v>
      </c>
      <c r="C1421" s="124" t="s">
        <v>439</v>
      </c>
      <c r="D1421" s="12">
        <v>1000000</v>
      </c>
      <c r="E1421" s="82">
        <v>0.99120144980000002</v>
      </c>
      <c r="F1421" s="14">
        <v>991201.45</v>
      </c>
      <c r="G1421" s="12">
        <v>0</v>
      </c>
      <c r="H1421" s="10"/>
      <c r="I1421" s="10"/>
    </row>
    <row r="1422" spans="1:9">
      <c r="A1422" s="10" t="s">
        <v>2233</v>
      </c>
      <c r="B1422" s="124" t="s">
        <v>692</v>
      </c>
      <c r="C1422" s="124" t="s">
        <v>439</v>
      </c>
      <c r="D1422" s="12">
        <v>1000000</v>
      </c>
      <c r="E1422" s="82">
        <v>0.99192869989999999</v>
      </c>
      <c r="F1422" s="153">
        <v>991928.7</v>
      </c>
      <c r="G1422" s="12">
        <v>0</v>
      </c>
      <c r="H1422" s="10"/>
      <c r="I1422" s="10"/>
    </row>
    <row r="1423" spans="1:9">
      <c r="A1423" s="10" t="s">
        <v>2234</v>
      </c>
      <c r="B1423" s="124" t="s">
        <v>578</v>
      </c>
      <c r="C1423" s="124" t="s">
        <v>439</v>
      </c>
      <c r="D1423" s="12">
        <v>1000000</v>
      </c>
      <c r="E1423" s="82">
        <v>0.99558128010000002</v>
      </c>
      <c r="F1423" s="14">
        <v>995581.28</v>
      </c>
      <c r="G1423" s="12">
        <v>0</v>
      </c>
      <c r="H1423" s="10"/>
      <c r="I1423" s="10"/>
    </row>
    <row r="1424" spans="1:9">
      <c r="A1424" s="10" t="s">
        <v>2235</v>
      </c>
      <c r="B1424" s="124" t="s">
        <v>667</v>
      </c>
      <c r="C1424" s="124" t="s">
        <v>439</v>
      </c>
      <c r="D1424" s="12">
        <v>32500000</v>
      </c>
      <c r="E1424" s="82">
        <v>0.96377281530000003</v>
      </c>
      <c r="F1424" s="153">
        <v>31322616.5</v>
      </c>
      <c r="G1424" s="14">
        <v>0.04</v>
      </c>
      <c r="H1424" s="10"/>
      <c r="I1424" s="10"/>
    </row>
    <row r="1425" spans="1:9">
      <c r="A1425" s="10" t="s">
        <v>2236</v>
      </c>
      <c r="B1425" s="124" t="s">
        <v>645</v>
      </c>
      <c r="C1425" s="124" t="s">
        <v>439</v>
      </c>
      <c r="D1425" s="12">
        <v>32500000</v>
      </c>
      <c r="E1425" s="82">
        <v>0.97458090289999999</v>
      </c>
      <c r="F1425" s="14">
        <v>31673879.34</v>
      </c>
      <c r="G1425" s="14">
        <v>0.04</v>
      </c>
      <c r="H1425" s="10"/>
      <c r="I1425" s="10"/>
    </row>
    <row r="1426" spans="1:9">
      <c r="A1426" s="10" t="s">
        <v>2237</v>
      </c>
      <c r="B1426" s="124" t="s">
        <v>559</v>
      </c>
      <c r="C1426" s="124" t="s">
        <v>439</v>
      </c>
      <c r="D1426" s="12">
        <v>32500000</v>
      </c>
      <c r="E1426" s="82">
        <v>0.97897226770000001</v>
      </c>
      <c r="F1426" s="153">
        <v>31816598.699999999</v>
      </c>
      <c r="G1426" s="14">
        <v>0.04</v>
      </c>
      <c r="H1426" s="10"/>
      <c r="I1426" s="10"/>
    </row>
    <row r="1427" spans="1:9">
      <c r="A1427" s="10" t="s">
        <v>2238</v>
      </c>
      <c r="B1427" s="124" t="s">
        <v>556</v>
      </c>
      <c r="C1427" s="124" t="s">
        <v>439</v>
      </c>
      <c r="D1427" s="12">
        <v>32500000</v>
      </c>
      <c r="E1427" s="82">
        <v>0.96806709940000002</v>
      </c>
      <c r="F1427" s="14">
        <v>31462180.73</v>
      </c>
      <c r="G1427" s="14">
        <v>0.04</v>
      </c>
      <c r="H1427" s="10"/>
      <c r="I1427" s="10"/>
    </row>
    <row r="1428" spans="1:9">
      <c r="A1428" s="10" t="s">
        <v>2239</v>
      </c>
      <c r="B1428" s="124" t="s">
        <v>463</v>
      </c>
      <c r="C1428" s="124" t="s">
        <v>439</v>
      </c>
      <c r="D1428" s="12">
        <v>18000000</v>
      </c>
      <c r="E1428" s="82">
        <v>0.99117451170000004</v>
      </c>
      <c r="F1428" s="14">
        <v>17841141.210000001</v>
      </c>
      <c r="G1428" s="14">
        <v>0.02</v>
      </c>
      <c r="H1428" s="10"/>
      <c r="I1428" s="10"/>
    </row>
    <row r="1429" spans="1:9">
      <c r="A1429" s="10" t="s">
        <v>2240</v>
      </c>
      <c r="B1429" s="124" t="s">
        <v>578</v>
      </c>
      <c r="C1429" s="124" t="s">
        <v>439</v>
      </c>
      <c r="D1429" s="12">
        <v>18000000</v>
      </c>
      <c r="E1429" s="82">
        <v>0.99590724829999999</v>
      </c>
      <c r="F1429" s="14">
        <v>17926330.469999999</v>
      </c>
      <c r="G1429" s="14">
        <v>0.02</v>
      </c>
      <c r="H1429" s="10"/>
      <c r="I1429" s="10"/>
    </row>
    <row r="1430" spans="1:9">
      <c r="A1430" s="10" t="s">
        <v>2241</v>
      </c>
      <c r="B1430" s="124" t="s">
        <v>461</v>
      </c>
      <c r="C1430" s="124" t="s">
        <v>439</v>
      </c>
      <c r="D1430" s="12">
        <v>150000000</v>
      </c>
      <c r="E1430" s="82">
        <v>0.98113012580000003</v>
      </c>
      <c r="F1430" s="14">
        <v>147169518.87</v>
      </c>
      <c r="G1430" s="14">
        <v>0.18</v>
      </c>
      <c r="H1430" s="10"/>
      <c r="I1430" s="10"/>
    </row>
    <row r="1431" spans="1:9">
      <c r="A1431" s="10" t="s">
        <v>2242</v>
      </c>
      <c r="B1431" s="124" t="s">
        <v>459</v>
      </c>
      <c r="C1431" s="124" t="s">
        <v>439</v>
      </c>
      <c r="D1431" s="12">
        <v>150000000</v>
      </c>
      <c r="E1431" s="82">
        <v>0.98595359780000003</v>
      </c>
      <c r="F1431" s="14">
        <v>147893039.66999999</v>
      </c>
      <c r="G1431" s="14">
        <v>0.18</v>
      </c>
      <c r="H1431" s="10"/>
      <c r="I1431" s="10"/>
    </row>
    <row r="1432" spans="1:9">
      <c r="A1432" s="10" t="s">
        <v>2244</v>
      </c>
      <c r="B1432" s="124" t="s">
        <v>505</v>
      </c>
      <c r="C1432" s="124" t="s">
        <v>439</v>
      </c>
      <c r="D1432" s="12">
        <v>15000000</v>
      </c>
      <c r="E1432" s="82">
        <v>0.99522836589999997</v>
      </c>
      <c r="F1432" s="14">
        <v>14928425.49</v>
      </c>
      <c r="G1432" s="14">
        <v>0.02</v>
      </c>
      <c r="H1432" s="10"/>
      <c r="I1432" s="10"/>
    </row>
    <row r="1433" spans="1:9">
      <c r="A1433" s="10" t="s">
        <v>2245</v>
      </c>
      <c r="B1433" s="124" t="s">
        <v>456</v>
      </c>
      <c r="C1433" s="124" t="s">
        <v>439</v>
      </c>
      <c r="D1433" s="12">
        <v>15000000</v>
      </c>
      <c r="E1433" s="157">
        <v>0.99050205599999996</v>
      </c>
      <c r="F1433" s="14">
        <v>14857530.84</v>
      </c>
      <c r="G1433" s="14">
        <v>0.02</v>
      </c>
      <c r="H1433" s="10"/>
      <c r="I1433" s="10"/>
    </row>
    <row r="1434" spans="1:9">
      <c r="A1434" s="10" t="s">
        <v>2246</v>
      </c>
      <c r="B1434" s="124" t="s">
        <v>587</v>
      </c>
      <c r="C1434" s="124" t="s">
        <v>439</v>
      </c>
      <c r="D1434" s="12">
        <v>70000000</v>
      </c>
      <c r="E1434" s="82">
        <v>0.95951630970000001</v>
      </c>
      <c r="F1434" s="14">
        <v>67166141.680000007</v>
      </c>
      <c r="G1434" s="14">
        <v>0.08</v>
      </c>
      <c r="H1434" s="10"/>
      <c r="I1434" s="10"/>
    </row>
    <row r="1435" spans="1:9">
      <c r="A1435" s="10" t="s">
        <v>2247</v>
      </c>
      <c r="B1435" s="124" t="s">
        <v>810</v>
      </c>
      <c r="C1435" s="124" t="s">
        <v>439</v>
      </c>
      <c r="D1435" s="12">
        <v>70000000</v>
      </c>
      <c r="E1435" s="82">
        <v>0.97530997360000005</v>
      </c>
      <c r="F1435" s="14">
        <v>68271698.150000006</v>
      </c>
      <c r="G1435" s="14">
        <v>0.08</v>
      </c>
      <c r="H1435" s="10"/>
      <c r="I1435" s="10"/>
    </row>
    <row r="1436" spans="1:9">
      <c r="A1436" s="10" t="s">
        <v>2248</v>
      </c>
      <c r="B1436" s="124" t="s">
        <v>618</v>
      </c>
      <c r="C1436" s="124" t="s">
        <v>439</v>
      </c>
      <c r="D1436" s="14">
        <v>23167422.219999999</v>
      </c>
      <c r="E1436" s="82">
        <v>0.94193558960000001</v>
      </c>
      <c r="F1436" s="14">
        <v>21822219.510000002</v>
      </c>
      <c r="G1436" s="14">
        <v>0.03</v>
      </c>
      <c r="H1436" s="10"/>
      <c r="I1436" s="10"/>
    </row>
    <row r="1437" spans="1:9">
      <c r="A1437" s="10" t="s">
        <v>2249</v>
      </c>
      <c r="B1437" s="124" t="s">
        <v>573</v>
      </c>
      <c r="C1437" s="124" t="s">
        <v>439</v>
      </c>
      <c r="D1437" s="14">
        <v>23167422.219999999</v>
      </c>
      <c r="E1437" s="82">
        <v>0.95750268029999996</v>
      </c>
      <c r="F1437" s="14">
        <v>22182868.870000001</v>
      </c>
      <c r="G1437" s="14">
        <v>0.03</v>
      </c>
      <c r="H1437" s="10"/>
      <c r="I1437" s="10"/>
    </row>
    <row r="1438" spans="1:9">
      <c r="A1438" s="10" t="s">
        <v>2250</v>
      </c>
      <c r="B1438" s="124" t="s">
        <v>752</v>
      </c>
      <c r="C1438" s="124" t="s">
        <v>439</v>
      </c>
      <c r="D1438" s="14">
        <v>23167422.219999999</v>
      </c>
      <c r="E1438" s="82">
        <v>0.96280668790000001</v>
      </c>
      <c r="F1438" s="14">
        <v>22305749.050000001</v>
      </c>
      <c r="G1438" s="14">
        <v>0.03</v>
      </c>
      <c r="H1438" s="10"/>
      <c r="I1438" s="10"/>
    </row>
    <row r="1439" spans="1:9">
      <c r="A1439" s="10" t="s">
        <v>2251</v>
      </c>
      <c r="B1439" s="124" t="s">
        <v>752</v>
      </c>
      <c r="C1439" s="124" t="s">
        <v>439</v>
      </c>
      <c r="D1439" s="12">
        <v>22500000</v>
      </c>
      <c r="E1439" s="82">
        <v>0.95923896119999996</v>
      </c>
      <c r="F1439" s="14">
        <v>21582876.629999999</v>
      </c>
      <c r="G1439" s="14">
        <v>0.03</v>
      </c>
      <c r="H1439" s="10"/>
      <c r="I1439" s="10"/>
    </row>
    <row r="1440" spans="1:9">
      <c r="A1440" s="10" t="s">
        <v>2252</v>
      </c>
      <c r="B1440" s="124" t="s">
        <v>627</v>
      </c>
      <c r="C1440" s="124" t="s">
        <v>439</v>
      </c>
      <c r="D1440" s="12">
        <v>33500000</v>
      </c>
      <c r="E1440" s="82">
        <v>0.94854482870000001</v>
      </c>
      <c r="F1440" s="14">
        <v>31776251.760000002</v>
      </c>
      <c r="G1440" s="14">
        <v>0.04</v>
      </c>
      <c r="H1440" s="10"/>
      <c r="I1440" s="10"/>
    </row>
    <row r="1441" spans="1:9">
      <c r="A1441" s="10" t="s">
        <v>2253</v>
      </c>
      <c r="B1441" s="124" t="s">
        <v>645</v>
      </c>
      <c r="C1441" s="124" t="s">
        <v>439</v>
      </c>
      <c r="D1441" s="12">
        <v>50000000</v>
      </c>
      <c r="E1441" s="82">
        <v>0.97105471219999995</v>
      </c>
      <c r="F1441" s="14">
        <v>48552735.609999999</v>
      </c>
      <c r="G1441" s="14">
        <v>0.06</v>
      </c>
      <c r="H1441" s="10"/>
      <c r="I1441" s="10"/>
    </row>
    <row r="1442" spans="1:9">
      <c r="A1442" s="10" t="s">
        <v>2254</v>
      </c>
      <c r="B1442" s="124" t="s">
        <v>925</v>
      </c>
      <c r="C1442" s="124" t="s">
        <v>439</v>
      </c>
      <c r="D1442" s="14">
        <v>694088.77</v>
      </c>
      <c r="E1442" s="82">
        <v>0.9624005726</v>
      </c>
      <c r="F1442" s="14">
        <v>667991.43000000005</v>
      </c>
      <c r="G1442" s="12">
        <v>0</v>
      </c>
      <c r="H1442" s="10"/>
      <c r="I1442" s="10"/>
    </row>
    <row r="1443" spans="1:9">
      <c r="A1443" s="10" t="s">
        <v>2255</v>
      </c>
      <c r="B1443" s="124" t="s">
        <v>456</v>
      </c>
      <c r="C1443" s="124" t="s">
        <v>439</v>
      </c>
      <c r="D1443" s="14">
        <v>694088.77</v>
      </c>
      <c r="E1443" s="82">
        <v>0.98824934180000001</v>
      </c>
      <c r="F1443" s="14">
        <v>685932.77</v>
      </c>
      <c r="G1443" s="12">
        <v>0</v>
      </c>
      <c r="H1443" s="10"/>
      <c r="I1443" s="10"/>
    </row>
    <row r="1444" spans="1:9">
      <c r="A1444" s="10" t="s">
        <v>2256</v>
      </c>
      <c r="B1444" s="124" t="s">
        <v>559</v>
      </c>
      <c r="C1444" s="124" t="s">
        <v>439</v>
      </c>
      <c r="D1444" s="12">
        <v>1520907</v>
      </c>
      <c r="E1444" s="21">
        <v>0.97677163</v>
      </c>
      <c r="F1444" s="14">
        <v>1485578.81</v>
      </c>
      <c r="G1444" s="12">
        <v>0</v>
      </c>
      <c r="H1444" s="10"/>
      <c r="I1444" s="10"/>
    </row>
    <row r="1445" spans="1:9">
      <c r="A1445" s="10" t="s">
        <v>2257</v>
      </c>
      <c r="B1445" s="124" t="s">
        <v>657</v>
      </c>
      <c r="C1445" s="124" t="s">
        <v>439</v>
      </c>
      <c r="D1445" s="14">
        <v>1112906.07</v>
      </c>
      <c r="E1445" s="157">
        <v>0.94997660500000003</v>
      </c>
      <c r="F1445" s="14">
        <v>1057234.73</v>
      </c>
      <c r="G1445" s="12">
        <v>0</v>
      </c>
      <c r="H1445" s="10"/>
      <c r="I1445" s="10"/>
    </row>
    <row r="1446" spans="1:9">
      <c r="A1446" s="10" t="s">
        <v>2258</v>
      </c>
      <c r="B1446" s="124" t="s">
        <v>645</v>
      </c>
      <c r="C1446" s="124" t="s">
        <v>439</v>
      </c>
      <c r="D1446" s="14">
        <v>1112906.01</v>
      </c>
      <c r="E1446" s="82">
        <v>0.9719338649</v>
      </c>
      <c r="F1446" s="14">
        <v>1081671.04</v>
      </c>
      <c r="G1446" s="12">
        <v>0</v>
      </c>
      <c r="H1446" s="10"/>
      <c r="I1446" s="10"/>
    </row>
    <row r="1447" spans="1:9">
      <c r="A1447" s="10" t="s">
        <v>2259</v>
      </c>
      <c r="B1447" s="124" t="s">
        <v>587</v>
      </c>
      <c r="C1447" s="124" t="s">
        <v>439</v>
      </c>
      <c r="D1447" s="12">
        <v>619400</v>
      </c>
      <c r="E1447" s="82">
        <v>0.95537234449999997</v>
      </c>
      <c r="F1447" s="14">
        <v>591757.63</v>
      </c>
      <c r="G1447" s="12">
        <v>0</v>
      </c>
      <c r="H1447" s="10"/>
      <c r="I1447" s="10"/>
    </row>
    <row r="1448" spans="1:9">
      <c r="A1448" s="10" t="s">
        <v>2260</v>
      </c>
      <c r="B1448" s="124" t="s">
        <v>461</v>
      </c>
      <c r="C1448" s="124" t="s">
        <v>439</v>
      </c>
      <c r="D1448" s="12">
        <v>619400</v>
      </c>
      <c r="E1448" s="82">
        <v>0.97758264439999998</v>
      </c>
      <c r="F1448" s="14">
        <v>605514.68999999994</v>
      </c>
      <c r="G1448" s="12">
        <v>0</v>
      </c>
      <c r="H1448" s="10"/>
      <c r="I1448" s="10"/>
    </row>
    <row r="1449" spans="1:9">
      <c r="A1449" s="10" t="s">
        <v>2261</v>
      </c>
      <c r="B1449" s="124" t="s">
        <v>2262</v>
      </c>
      <c r="C1449" s="124" t="s">
        <v>439</v>
      </c>
      <c r="D1449" s="14">
        <v>1954301.77</v>
      </c>
      <c r="E1449" s="82">
        <v>0.78944528089999999</v>
      </c>
      <c r="F1449" s="14">
        <v>1542814.31</v>
      </c>
      <c r="G1449" s="12">
        <v>0</v>
      </c>
      <c r="H1449" s="10"/>
      <c r="I1449" s="10"/>
    </row>
    <row r="1450" spans="1:9">
      <c r="A1450" s="10" t="s">
        <v>2263</v>
      </c>
      <c r="B1450" s="124" t="s">
        <v>2264</v>
      </c>
      <c r="C1450" s="124" t="s">
        <v>439</v>
      </c>
      <c r="D1450" s="14">
        <v>5017285.6500000004</v>
      </c>
      <c r="E1450" s="82">
        <v>0.78218768780000003</v>
      </c>
      <c r="F1450" s="14">
        <v>3924459.06</v>
      </c>
      <c r="G1450" s="12">
        <v>0</v>
      </c>
      <c r="H1450" s="10"/>
      <c r="I1450" s="10"/>
    </row>
    <row r="1451" spans="1:9">
      <c r="A1451" s="10" t="s">
        <v>2265</v>
      </c>
      <c r="B1451" s="124" t="s">
        <v>2266</v>
      </c>
      <c r="C1451" s="124" t="s">
        <v>439</v>
      </c>
      <c r="D1451" s="14">
        <v>5504622.8200000003</v>
      </c>
      <c r="E1451" s="82">
        <v>0.81504149049999997</v>
      </c>
      <c r="F1451" s="14">
        <v>4486495.99</v>
      </c>
      <c r="G1451" s="14">
        <v>0.01</v>
      </c>
      <c r="H1451" s="10"/>
      <c r="I1451" s="10"/>
    </row>
    <row r="1452" spans="1:9">
      <c r="A1452" s="10" t="s">
        <v>2267</v>
      </c>
      <c r="B1452" s="124" t="s">
        <v>963</v>
      </c>
      <c r="C1452" s="124" t="s">
        <v>439</v>
      </c>
      <c r="D1452" s="14">
        <v>16097126.970000001</v>
      </c>
      <c r="E1452" s="82">
        <v>0.79000920109999995</v>
      </c>
      <c r="F1452" s="14">
        <v>12716878.42</v>
      </c>
      <c r="G1452" s="14">
        <v>0.02</v>
      </c>
      <c r="H1452" s="10"/>
      <c r="I1452" s="10"/>
    </row>
    <row r="1453" spans="1:9">
      <c r="A1453" s="10" t="s">
        <v>2268</v>
      </c>
      <c r="B1453" s="124" t="s">
        <v>2269</v>
      </c>
      <c r="C1453" s="124" t="s">
        <v>439</v>
      </c>
      <c r="D1453" s="14">
        <v>15885271.07</v>
      </c>
      <c r="E1453" s="82">
        <v>0.80789748859999999</v>
      </c>
      <c r="F1453" s="153">
        <v>12833670.6</v>
      </c>
      <c r="G1453" s="14">
        <v>0.02</v>
      </c>
      <c r="H1453" s="10"/>
      <c r="I1453" s="10"/>
    </row>
    <row r="1454" spans="1:9">
      <c r="A1454" s="10" t="s">
        <v>2270</v>
      </c>
      <c r="B1454" s="124" t="s">
        <v>963</v>
      </c>
      <c r="C1454" s="124" t="s">
        <v>439</v>
      </c>
      <c r="D1454" s="14">
        <v>13593316.07</v>
      </c>
      <c r="E1454" s="82">
        <v>0.79000919609999998</v>
      </c>
      <c r="F1454" s="153">
        <v>10738844.699999999</v>
      </c>
      <c r="G1454" s="14">
        <v>0.01</v>
      </c>
      <c r="H1454" s="10"/>
      <c r="I1454" s="10"/>
    </row>
    <row r="1455" spans="1:9">
      <c r="A1455" s="10" t="s">
        <v>2271</v>
      </c>
      <c r="B1455" s="124" t="s">
        <v>963</v>
      </c>
      <c r="C1455" s="124" t="s">
        <v>439</v>
      </c>
      <c r="D1455" s="14">
        <v>13295806.970000001</v>
      </c>
      <c r="E1455" s="82">
        <v>0.79000920109999995</v>
      </c>
      <c r="F1455" s="14">
        <v>10503809.84</v>
      </c>
      <c r="G1455" s="14">
        <v>0.01</v>
      </c>
      <c r="H1455" s="10"/>
      <c r="I1455" s="10"/>
    </row>
    <row r="1456" spans="1:9">
      <c r="A1456" s="10" t="s">
        <v>2272</v>
      </c>
      <c r="B1456" s="124" t="s">
        <v>2273</v>
      </c>
      <c r="C1456" s="124" t="s">
        <v>439</v>
      </c>
      <c r="D1456" s="14">
        <v>5504622.8200000003</v>
      </c>
      <c r="E1456" s="82">
        <v>0.79798870960000001</v>
      </c>
      <c r="F1456" s="14">
        <v>4392626.8600000003</v>
      </c>
      <c r="G1456" s="14">
        <v>0.01</v>
      </c>
      <c r="H1456" s="10"/>
      <c r="I1456" s="10"/>
    </row>
    <row r="1457" spans="1:9">
      <c r="A1457" s="10" t="s">
        <v>2274</v>
      </c>
      <c r="B1457" s="124" t="s">
        <v>2275</v>
      </c>
      <c r="C1457" s="124" t="s">
        <v>439</v>
      </c>
      <c r="D1457" s="14">
        <v>13120819.52</v>
      </c>
      <c r="E1457" s="82">
        <v>0.80671907369999996</v>
      </c>
      <c r="F1457" s="14">
        <v>10584815.369999999</v>
      </c>
      <c r="G1457" s="14">
        <v>0.01</v>
      </c>
      <c r="H1457" s="10"/>
      <c r="I1457" s="10"/>
    </row>
    <row r="1458" spans="1:9">
      <c r="A1458" s="10" t="s">
        <v>2276</v>
      </c>
      <c r="B1458" s="124" t="s">
        <v>627</v>
      </c>
      <c r="C1458" s="124" t="s">
        <v>439</v>
      </c>
      <c r="D1458" s="12">
        <v>25000000</v>
      </c>
      <c r="E1458" s="82">
        <v>0.94854482870000001</v>
      </c>
      <c r="F1458" s="14">
        <v>23713620.719999999</v>
      </c>
      <c r="G1458" s="14">
        <v>0.03</v>
      </c>
      <c r="H1458" s="10"/>
      <c r="I1458" s="10"/>
    </row>
    <row r="1459" spans="1:9">
      <c r="A1459" s="10" t="s">
        <v>2277</v>
      </c>
      <c r="B1459" s="124" t="s">
        <v>661</v>
      </c>
      <c r="C1459" s="124" t="s">
        <v>439</v>
      </c>
      <c r="D1459" s="12">
        <v>25000000</v>
      </c>
      <c r="E1459" s="82">
        <v>0.95427342540000004</v>
      </c>
      <c r="F1459" s="14">
        <v>23856835.640000001</v>
      </c>
      <c r="G1459" s="14">
        <v>0.03</v>
      </c>
      <c r="H1459" s="10"/>
      <c r="I1459" s="10"/>
    </row>
    <row r="1460" spans="1:9">
      <c r="A1460" s="10" t="s">
        <v>2278</v>
      </c>
      <c r="B1460" s="124" t="s">
        <v>667</v>
      </c>
      <c r="C1460" s="124" t="s">
        <v>439</v>
      </c>
      <c r="D1460" s="12">
        <v>25000000</v>
      </c>
      <c r="E1460" s="82">
        <v>0.95757810789999998</v>
      </c>
      <c r="F1460" s="153">
        <v>23939452.699999999</v>
      </c>
      <c r="G1460" s="14">
        <v>0.03</v>
      </c>
      <c r="H1460" s="10"/>
      <c r="I1460" s="10"/>
    </row>
    <row r="1461" spans="1:9">
      <c r="A1461" s="10" t="s">
        <v>2279</v>
      </c>
      <c r="B1461" s="124" t="s">
        <v>925</v>
      </c>
      <c r="C1461" s="124" t="s">
        <v>439</v>
      </c>
      <c r="D1461" s="12">
        <v>25000000</v>
      </c>
      <c r="E1461" s="82">
        <v>0.96007163569999998</v>
      </c>
      <c r="F1461" s="14">
        <v>24001790.890000001</v>
      </c>
      <c r="G1461" s="14">
        <v>0.03</v>
      </c>
      <c r="H1461" s="10"/>
      <c r="I1461" s="10"/>
    </row>
    <row r="1462" spans="1:9">
      <c r="A1462" s="10" t="s">
        <v>2280</v>
      </c>
      <c r="B1462" s="124" t="s">
        <v>556</v>
      </c>
      <c r="C1462" s="124" t="s">
        <v>439</v>
      </c>
      <c r="D1462" s="12">
        <v>25000000</v>
      </c>
      <c r="E1462" s="157">
        <v>0.962578186</v>
      </c>
      <c r="F1462" s="14">
        <v>24064454.649999999</v>
      </c>
      <c r="G1462" s="14">
        <v>0.03</v>
      </c>
      <c r="H1462" s="10"/>
      <c r="I1462" s="10"/>
    </row>
    <row r="1463" spans="1:9">
      <c r="A1463" s="10" t="s">
        <v>2281</v>
      </c>
      <c r="B1463" s="124" t="s">
        <v>552</v>
      </c>
      <c r="C1463" s="124" t="s">
        <v>439</v>
      </c>
      <c r="D1463" s="12">
        <v>25000000</v>
      </c>
      <c r="E1463" s="82">
        <v>0.96425661309999999</v>
      </c>
      <c r="F1463" s="14">
        <v>24106415.329999998</v>
      </c>
      <c r="G1463" s="14">
        <v>0.03</v>
      </c>
      <c r="H1463" s="10"/>
      <c r="I1463" s="10"/>
    </row>
    <row r="1464" spans="1:9">
      <c r="A1464" s="10" t="s">
        <v>2282</v>
      </c>
      <c r="B1464" s="124" t="s">
        <v>682</v>
      </c>
      <c r="C1464" s="124" t="s">
        <v>439</v>
      </c>
      <c r="D1464" s="12">
        <v>25000000</v>
      </c>
      <c r="E1464" s="82">
        <v>0.96932686639999999</v>
      </c>
      <c r="F1464" s="14">
        <v>24233171.66</v>
      </c>
      <c r="G1464" s="14">
        <v>0.03</v>
      </c>
      <c r="H1464" s="10"/>
      <c r="I1464" s="10"/>
    </row>
    <row r="1465" spans="1:9">
      <c r="A1465" s="10" t="s">
        <v>2283</v>
      </c>
      <c r="B1465" s="124" t="s">
        <v>657</v>
      </c>
      <c r="C1465" s="124" t="s">
        <v>439</v>
      </c>
      <c r="D1465" s="12">
        <v>25000000</v>
      </c>
      <c r="E1465" s="82">
        <v>0.94692058990000005</v>
      </c>
      <c r="F1465" s="14">
        <v>23673014.75</v>
      </c>
      <c r="G1465" s="14">
        <v>0.03</v>
      </c>
      <c r="H1465" s="10"/>
      <c r="I1465" s="10"/>
    </row>
    <row r="1466" spans="1:9">
      <c r="A1466" s="10" t="s">
        <v>2284</v>
      </c>
      <c r="B1466" s="124" t="s">
        <v>463</v>
      </c>
      <c r="C1466" s="124" t="s">
        <v>439</v>
      </c>
      <c r="D1466" s="12">
        <v>70000000</v>
      </c>
      <c r="E1466" s="82">
        <v>0.98838316260000003</v>
      </c>
      <c r="F1466" s="14">
        <v>69186821.379999995</v>
      </c>
      <c r="G1466" s="14">
        <v>0.08</v>
      </c>
      <c r="H1466" s="10"/>
      <c r="I1466" s="10"/>
    </row>
    <row r="1467" spans="1:9">
      <c r="A1467" s="10" t="s">
        <v>2285</v>
      </c>
      <c r="B1467" s="124" t="s">
        <v>627</v>
      </c>
      <c r="C1467" s="124" t="s">
        <v>439</v>
      </c>
      <c r="D1467" s="12">
        <v>115000000</v>
      </c>
      <c r="E1467" s="82">
        <v>0.94559599159999996</v>
      </c>
      <c r="F1467" s="14">
        <v>108743539.03</v>
      </c>
      <c r="G1467" s="14">
        <v>0.13</v>
      </c>
      <c r="H1467" s="10"/>
      <c r="I1467" s="10"/>
    </row>
    <row r="1468" spans="1:9">
      <c r="A1468" s="10" t="s">
        <v>2286</v>
      </c>
      <c r="B1468" s="124" t="s">
        <v>636</v>
      </c>
      <c r="C1468" s="124" t="s">
        <v>439</v>
      </c>
      <c r="D1468" s="12">
        <v>25000000</v>
      </c>
      <c r="E1468" s="82">
        <v>0.94127966969999999</v>
      </c>
      <c r="F1468" s="14">
        <v>23531991.739999998</v>
      </c>
      <c r="G1468" s="14">
        <v>0.03</v>
      </c>
      <c r="H1468" s="10"/>
      <c r="I1468" s="10"/>
    </row>
    <row r="1469" spans="1:9">
      <c r="A1469" s="10" t="s">
        <v>2287</v>
      </c>
      <c r="B1469" s="124" t="s">
        <v>505</v>
      </c>
      <c r="C1469" s="124" t="s">
        <v>439</v>
      </c>
      <c r="D1469" s="12">
        <v>5000000</v>
      </c>
      <c r="E1469" s="82">
        <v>0.99427949790000003</v>
      </c>
      <c r="F1469" s="14">
        <v>4971397.49</v>
      </c>
      <c r="G1469" s="14">
        <v>0.01</v>
      </c>
      <c r="H1469" s="10"/>
      <c r="I1469" s="10"/>
    </row>
    <row r="1470" spans="1:9">
      <c r="A1470" s="10" t="s">
        <v>2288</v>
      </c>
      <c r="B1470" s="124" t="s">
        <v>561</v>
      </c>
      <c r="C1470" s="124" t="s">
        <v>439</v>
      </c>
      <c r="D1470" s="12">
        <v>4000000</v>
      </c>
      <c r="E1470" s="82">
        <v>0.99590725749999998</v>
      </c>
      <c r="F1470" s="14">
        <v>3983629.03</v>
      </c>
      <c r="G1470" s="12">
        <v>0</v>
      </c>
      <c r="H1470" s="10"/>
      <c r="I1470" s="10"/>
    </row>
    <row r="1471" spans="1:9">
      <c r="A1471" s="10" t="s">
        <v>2289</v>
      </c>
      <c r="B1471" s="124" t="s">
        <v>578</v>
      </c>
      <c r="C1471" s="124" t="s">
        <v>439</v>
      </c>
      <c r="D1471" s="12">
        <v>4000000</v>
      </c>
      <c r="E1471" s="82">
        <v>0.99509271509999997</v>
      </c>
      <c r="F1471" s="14">
        <v>3980370.86</v>
      </c>
      <c r="G1471" s="12">
        <v>0</v>
      </c>
      <c r="H1471" s="10"/>
      <c r="I1471" s="10"/>
    </row>
    <row r="1472" spans="1:9">
      <c r="A1472" s="10" t="s">
        <v>2290</v>
      </c>
      <c r="B1472" s="124" t="s">
        <v>517</v>
      </c>
      <c r="C1472" s="124" t="s">
        <v>439</v>
      </c>
      <c r="D1472" s="12">
        <v>5000000</v>
      </c>
      <c r="E1472" s="82">
        <v>0.99023337619999996</v>
      </c>
      <c r="F1472" s="14">
        <v>4951166.88</v>
      </c>
      <c r="G1472" s="14">
        <v>0.01</v>
      </c>
      <c r="H1472" s="10"/>
      <c r="I1472" s="10"/>
    </row>
    <row r="1473" spans="1:9">
      <c r="A1473" s="10" t="s">
        <v>2291</v>
      </c>
      <c r="B1473" s="124" t="s">
        <v>2199</v>
      </c>
      <c r="C1473" s="124" t="s">
        <v>439</v>
      </c>
      <c r="D1473" s="14">
        <v>22918216.550000001</v>
      </c>
      <c r="E1473" s="82">
        <v>0.87987866140000004</v>
      </c>
      <c r="F1473" s="153">
        <v>20165249.699999999</v>
      </c>
      <c r="G1473" s="14">
        <v>0.02</v>
      </c>
      <c r="H1473" s="10"/>
      <c r="I1473" s="10"/>
    </row>
    <row r="1474" spans="1:9">
      <c r="A1474" s="10" t="s">
        <v>2292</v>
      </c>
      <c r="B1474" s="124" t="s">
        <v>2199</v>
      </c>
      <c r="C1474" s="124" t="s">
        <v>439</v>
      </c>
      <c r="D1474" s="12">
        <v>24000000</v>
      </c>
      <c r="E1474" s="82">
        <v>0.87987866140000004</v>
      </c>
      <c r="F1474" s="14">
        <v>21117087.870000001</v>
      </c>
      <c r="G1474" s="14">
        <v>0.03</v>
      </c>
      <c r="H1474" s="10"/>
      <c r="I1474" s="10"/>
    </row>
    <row r="1475" spans="1:9">
      <c r="A1475" s="10" t="s">
        <v>2293</v>
      </c>
      <c r="B1475" s="124" t="s">
        <v>2199</v>
      </c>
      <c r="C1475" s="124" t="s">
        <v>439</v>
      </c>
      <c r="D1475" s="12">
        <v>24000000</v>
      </c>
      <c r="E1475" s="82">
        <v>0.87987866140000004</v>
      </c>
      <c r="F1475" s="14">
        <v>21117087.870000001</v>
      </c>
      <c r="G1475" s="14">
        <v>0.03</v>
      </c>
      <c r="H1475" s="10"/>
      <c r="I1475" s="10"/>
    </row>
    <row r="1476" spans="1:9">
      <c r="A1476" s="10" t="s">
        <v>2294</v>
      </c>
      <c r="B1476" s="124" t="s">
        <v>337</v>
      </c>
      <c r="C1476" s="124" t="s">
        <v>439</v>
      </c>
      <c r="D1476" s="12">
        <v>6006148</v>
      </c>
      <c r="E1476" s="82">
        <v>0.88978828210000005</v>
      </c>
      <c r="F1476" s="14">
        <v>5344200.1100000003</v>
      </c>
      <c r="G1476" s="14">
        <v>0.01</v>
      </c>
      <c r="H1476" s="10"/>
      <c r="I1476" s="10"/>
    </row>
    <row r="1477" spans="1:9">
      <c r="A1477" s="10" t="s">
        <v>2295</v>
      </c>
      <c r="B1477" s="124" t="s">
        <v>2296</v>
      </c>
      <c r="C1477" s="124" t="s">
        <v>439</v>
      </c>
      <c r="D1477" s="12">
        <v>6006148</v>
      </c>
      <c r="E1477" s="82">
        <v>0.88480572729999996</v>
      </c>
      <c r="F1477" s="14">
        <v>5314274.1500000004</v>
      </c>
      <c r="G1477" s="14">
        <v>0.01</v>
      </c>
      <c r="H1477" s="10"/>
      <c r="I1477" s="10"/>
    </row>
    <row r="1478" spans="1:9">
      <c r="A1478" s="10" t="s">
        <v>2297</v>
      </c>
      <c r="B1478" s="124" t="s">
        <v>1553</v>
      </c>
      <c r="C1478" s="124" t="s">
        <v>439</v>
      </c>
      <c r="D1478" s="12">
        <v>6006148</v>
      </c>
      <c r="E1478" s="82">
        <v>0.87848087519999996</v>
      </c>
      <c r="F1478" s="14">
        <v>5276286.1500000004</v>
      </c>
      <c r="G1478" s="14">
        <v>0.01</v>
      </c>
      <c r="H1478" s="10"/>
      <c r="I1478" s="10"/>
    </row>
    <row r="1479" spans="1:9">
      <c r="A1479" s="10" t="s">
        <v>2298</v>
      </c>
      <c r="B1479" s="124" t="s">
        <v>1925</v>
      </c>
      <c r="C1479" s="124" t="s">
        <v>439</v>
      </c>
      <c r="D1479" s="12">
        <v>6006148</v>
      </c>
      <c r="E1479" s="82">
        <v>0.87500616880000004</v>
      </c>
      <c r="F1479" s="14">
        <v>5255416.55</v>
      </c>
      <c r="G1479" s="14">
        <v>0.01</v>
      </c>
      <c r="H1479" s="10"/>
      <c r="I1479" s="10"/>
    </row>
    <row r="1480" spans="1:9">
      <c r="A1480" s="10" t="s">
        <v>2299</v>
      </c>
      <c r="B1480" s="124" t="s">
        <v>1525</v>
      </c>
      <c r="C1480" s="124" t="s">
        <v>439</v>
      </c>
      <c r="D1480" s="12">
        <v>6006148</v>
      </c>
      <c r="E1480" s="82">
        <v>0.91784645789999997</v>
      </c>
      <c r="F1480" s="14">
        <v>5512721.6699999999</v>
      </c>
      <c r="G1480" s="14">
        <v>0.01</v>
      </c>
      <c r="H1480" s="10"/>
      <c r="I1480" s="10"/>
    </row>
    <row r="1481" spans="1:9">
      <c r="A1481" s="10" t="s">
        <v>2300</v>
      </c>
      <c r="B1481" s="124" t="s">
        <v>2301</v>
      </c>
      <c r="C1481" s="124" t="s">
        <v>439</v>
      </c>
      <c r="D1481" s="12">
        <v>6006148</v>
      </c>
      <c r="E1481" s="82">
        <v>0.8948272719</v>
      </c>
      <c r="F1481" s="14">
        <v>5374465.0300000003</v>
      </c>
      <c r="G1481" s="14">
        <v>0.01</v>
      </c>
      <c r="H1481" s="10"/>
      <c r="I1481" s="10"/>
    </row>
    <row r="1482" spans="1:9">
      <c r="A1482" s="10" t="s">
        <v>2302</v>
      </c>
      <c r="B1482" s="124" t="s">
        <v>995</v>
      </c>
      <c r="C1482" s="124" t="s">
        <v>439</v>
      </c>
      <c r="D1482" s="12">
        <v>6006148</v>
      </c>
      <c r="E1482" s="82">
        <v>0.91254564660000004</v>
      </c>
      <c r="F1482" s="14">
        <v>5480884.21</v>
      </c>
      <c r="G1482" s="14">
        <v>0.01</v>
      </c>
      <c r="H1482" s="10"/>
      <c r="I1482" s="10"/>
    </row>
    <row r="1483" spans="1:9">
      <c r="A1483" s="10" t="s">
        <v>2303</v>
      </c>
      <c r="B1483" s="124" t="s">
        <v>1461</v>
      </c>
      <c r="C1483" s="124" t="s">
        <v>439</v>
      </c>
      <c r="D1483" s="12">
        <v>6006148</v>
      </c>
      <c r="E1483" s="82">
        <v>0.93176441219999995</v>
      </c>
      <c r="F1483" s="14">
        <v>5596314.96</v>
      </c>
      <c r="G1483" s="14">
        <v>0.01</v>
      </c>
      <c r="H1483" s="10"/>
      <c r="I1483" s="10"/>
    </row>
    <row r="1484" spans="1:9">
      <c r="A1484" s="10" t="s">
        <v>2304</v>
      </c>
      <c r="B1484" s="124" t="s">
        <v>2099</v>
      </c>
      <c r="C1484" s="124" t="s">
        <v>439</v>
      </c>
      <c r="D1484" s="12">
        <v>6006148</v>
      </c>
      <c r="E1484" s="82">
        <v>0.90730571069999999</v>
      </c>
      <c r="F1484" s="14">
        <v>5449412.3799999999</v>
      </c>
      <c r="G1484" s="14">
        <v>0.01</v>
      </c>
      <c r="H1484" s="10"/>
      <c r="I1484" s="10"/>
    </row>
    <row r="1485" spans="1:9">
      <c r="A1485" s="10" t="s">
        <v>2305</v>
      </c>
      <c r="B1485" s="124" t="s">
        <v>1722</v>
      </c>
      <c r="C1485" s="124" t="s">
        <v>439</v>
      </c>
      <c r="D1485" s="12">
        <v>6006148</v>
      </c>
      <c r="E1485" s="82">
        <v>0.92630190450000005</v>
      </c>
      <c r="F1485" s="14">
        <v>5563506.3300000001</v>
      </c>
      <c r="G1485" s="14">
        <v>0.01</v>
      </c>
      <c r="H1485" s="10"/>
      <c r="I1485" s="10"/>
    </row>
    <row r="1486" spans="1:9">
      <c r="A1486" s="10" t="s">
        <v>2306</v>
      </c>
      <c r="B1486" s="124" t="s">
        <v>1446</v>
      </c>
      <c r="C1486" s="124" t="s">
        <v>439</v>
      </c>
      <c r="D1486" s="12">
        <v>6006148</v>
      </c>
      <c r="E1486" s="82">
        <v>0.90212560959999999</v>
      </c>
      <c r="F1486" s="14">
        <v>5418299.9299999997</v>
      </c>
      <c r="G1486" s="14">
        <v>0.01</v>
      </c>
      <c r="H1486" s="10"/>
      <c r="I1486" s="10"/>
    </row>
    <row r="1487" spans="1:9">
      <c r="A1487" s="10" t="s">
        <v>2307</v>
      </c>
      <c r="B1487" s="124" t="s">
        <v>1004</v>
      </c>
      <c r="C1487" s="124" t="s">
        <v>439</v>
      </c>
      <c r="D1487" s="12">
        <v>6006148</v>
      </c>
      <c r="E1487" s="82">
        <v>0.92090326420000002</v>
      </c>
      <c r="F1487" s="153">
        <v>5531081.2999999998</v>
      </c>
      <c r="G1487" s="14">
        <v>0.01</v>
      </c>
      <c r="H1487" s="10"/>
      <c r="I1487" s="10"/>
    </row>
    <row r="1488" spans="1:9">
      <c r="A1488" s="10" t="s">
        <v>2308</v>
      </c>
      <c r="B1488" s="124" t="s">
        <v>1007</v>
      </c>
      <c r="C1488" s="124" t="s">
        <v>439</v>
      </c>
      <c r="D1488" s="12">
        <v>6006148</v>
      </c>
      <c r="E1488" s="82">
        <v>0.89846172089999998</v>
      </c>
      <c r="F1488" s="14">
        <v>5396294.0700000003</v>
      </c>
      <c r="G1488" s="14">
        <v>0.01</v>
      </c>
      <c r="H1488" s="10"/>
      <c r="I1488" s="10"/>
    </row>
    <row r="1489" spans="1:9">
      <c r="A1489" s="10" t="s">
        <v>2309</v>
      </c>
      <c r="B1489" s="124" t="s">
        <v>992</v>
      </c>
      <c r="C1489" s="124" t="s">
        <v>439</v>
      </c>
      <c r="D1489" s="12">
        <v>6006148</v>
      </c>
      <c r="E1489" s="82">
        <v>0.91937242259999996</v>
      </c>
      <c r="F1489" s="14">
        <v>5521886.8399999999</v>
      </c>
      <c r="G1489" s="14">
        <v>0.01</v>
      </c>
      <c r="H1489" s="10"/>
      <c r="I1489" s="10"/>
    </row>
    <row r="1490" spans="1:9">
      <c r="A1490" s="10" t="s">
        <v>2310</v>
      </c>
      <c r="B1490" s="124" t="s">
        <v>578</v>
      </c>
      <c r="C1490" s="124" t="s">
        <v>439</v>
      </c>
      <c r="D1490" s="14">
        <v>3882407.02</v>
      </c>
      <c r="E1490" s="82">
        <v>0.99460463320000003</v>
      </c>
      <c r="F1490" s="14">
        <v>3861460.01</v>
      </c>
      <c r="G1490" s="12">
        <v>0</v>
      </c>
      <c r="H1490" s="10"/>
      <c r="I1490" s="10"/>
    </row>
    <row r="1491" spans="1:9">
      <c r="A1491" s="10" t="s">
        <v>2311</v>
      </c>
      <c r="B1491" s="124" t="s">
        <v>456</v>
      </c>
      <c r="C1491" s="124" t="s">
        <v>439</v>
      </c>
      <c r="D1491" s="14">
        <v>4753002.9800000004</v>
      </c>
      <c r="E1491" s="82">
        <v>0.98824933619999999</v>
      </c>
      <c r="F1491" s="14">
        <v>4697152.04</v>
      </c>
      <c r="G1491" s="14">
        <v>0.01</v>
      </c>
      <c r="H1491" s="10"/>
      <c r="I1491" s="10"/>
    </row>
    <row r="1492" spans="1:9">
      <c r="A1492" s="10" t="s">
        <v>2322</v>
      </c>
      <c r="B1492" s="124" t="s">
        <v>1007</v>
      </c>
      <c r="C1492" s="124" t="s">
        <v>576</v>
      </c>
      <c r="D1492" s="12">
        <v>1667000</v>
      </c>
      <c r="E1492" s="157">
        <v>0.90402479300000005</v>
      </c>
      <c r="F1492" s="14">
        <v>1507009.33</v>
      </c>
      <c r="G1492" s="12">
        <v>0</v>
      </c>
      <c r="H1492" s="10"/>
      <c r="I1492" s="10"/>
    </row>
    <row r="1493" spans="1:9">
      <c r="A1493" s="10" t="s">
        <v>2323</v>
      </c>
      <c r="B1493" s="124" t="s">
        <v>2152</v>
      </c>
      <c r="C1493" s="124" t="s">
        <v>576</v>
      </c>
      <c r="D1493" s="12">
        <v>2000000</v>
      </c>
      <c r="E1493" s="82">
        <v>0.90471949929999995</v>
      </c>
      <c r="F1493" s="12">
        <v>1809439</v>
      </c>
      <c r="G1493" s="12">
        <v>0</v>
      </c>
      <c r="H1493" s="10"/>
      <c r="I1493" s="10"/>
    </row>
    <row r="1494" spans="1:9">
      <c r="A1494" s="10" t="s">
        <v>2324</v>
      </c>
      <c r="B1494" s="124" t="s">
        <v>1885</v>
      </c>
      <c r="C1494" s="124" t="s">
        <v>576</v>
      </c>
      <c r="D1494" s="12">
        <v>20000000</v>
      </c>
      <c r="E1494" s="82">
        <v>0.89305390849999999</v>
      </c>
      <c r="F1494" s="14">
        <v>17861078.170000002</v>
      </c>
      <c r="G1494" s="14">
        <v>0.02</v>
      </c>
      <c r="H1494" s="10"/>
      <c r="I1494" s="10"/>
    </row>
    <row r="1495" spans="1:9">
      <c r="A1495" s="10" t="s">
        <v>2325</v>
      </c>
      <c r="B1495" s="124" t="s">
        <v>513</v>
      </c>
      <c r="C1495" s="124" t="s">
        <v>576</v>
      </c>
      <c r="D1495" s="12">
        <v>3000000</v>
      </c>
      <c r="E1495" s="21">
        <v>0.98685993999999999</v>
      </c>
      <c r="F1495" s="14">
        <v>2960579.82</v>
      </c>
      <c r="G1495" s="12">
        <v>0</v>
      </c>
      <c r="H1495" s="10"/>
      <c r="I1495" s="10"/>
    </row>
    <row r="1496" spans="1:9">
      <c r="A1496" s="10" t="s">
        <v>2327</v>
      </c>
      <c r="B1496" s="124" t="s">
        <v>610</v>
      </c>
      <c r="C1496" s="124" t="s">
        <v>576</v>
      </c>
      <c r="D1496" s="12">
        <v>5000000</v>
      </c>
      <c r="E1496" s="82">
        <v>0.97671935570000001</v>
      </c>
      <c r="F1496" s="14">
        <v>4883596.78</v>
      </c>
      <c r="G1496" s="14">
        <v>0.01</v>
      </c>
      <c r="H1496" s="10"/>
      <c r="I1496" s="10"/>
    </row>
    <row r="1497" spans="1:9">
      <c r="A1497" s="10" t="s">
        <v>2328</v>
      </c>
      <c r="B1497" s="124" t="s">
        <v>616</v>
      </c>
      <c r="C1497" s="124" t="s">
        <v>576</v>
      </c>
      <c r="D1497" s="12">
        <v>5000000</v>
      </c>
      <c r="E1497" s="82">
        <v>0.92055497689999999</v>
      </c>
      <c r="F1497" s="14">
        <v>4602774.88</v>
      </c>
      <c r="G1497" s="14">
        <v>0.01</v>
      </c>
      <c r="H1497" s="10"/>
      <c r="I1497" s="10"/>
    </row>
    <row r="1498" spans="1:9">
      <c r="A1498" s="10" t="s">
        <v>2329</v>
      </c>
      <c r="B1498" s="124" t="s">
        <v>283</v>
      </c>
      <c r="C1498" s="124" t="s">
        <v>576</v>
      </c>
      <c r="D1498" s="12">
        <v>5000000</v>
      </c>
      <c r="E1498" s="82">
        <v>0.93112259009999998</v>
      </c>
      <c r="F1498" s="14">
        <v>4655612.95</v>
      </c>
      <c r="G1498" s="14">
        <v>0.01</v>
      </c>
      <c r="H1498" s="10"/>
      <c r="I1498" s="10"/>
    </row>
    <row r="1499" spans="1:9">
      <c r="A1499" s="10" t="s">
        <v>2330</v>
      </c>
      <c r="B1499" s="124" t="s">
        <v>1781</v>
      </c>
      <c r="C1499" s="124" t="s">
        <v>576</v>
      </c>
      <c r="D1499" s="12">
        <v>5000000</v>
      </c>
      <c r="E1499" s="82">
        <v>0.94559589610000006</v>
      </c>
      <c r="F1499" s="14">
        <v>4727979.4800000004</v>
      </c>
      <c r="G1499" s="14">
        <v>0.01</v>
      </c>
      <c r="H1499" s="10"/>
      <c r="I1499" s="10"/>
    </row>
    <row r="1500" spans="1:9">
      <c r="A1500" s="10" t="s">
        <v>2331</v>
      </c>
      <c r="B1500" s="124" t="s">
        <v>2152</v>
      </c>
      <c r="C1500" s="124" t="s">
        <v>576</v>
      </c>
      <c r="D1500" s="12">
        <v>5000000</v>
      </c>
      <c r="E1500" s="82">
        <v>0.90750878609999996</v>
      </c>
      <c r="F1500" s="14">
        <v>4537543.93</v>
      </c>
      <c r="G1500" s="14">
        <v>0.01</v>
      </c>
      <c r="H1500" s="10"/>
      <c r="I1500" s="10"/>
    </row>
    <row r="1501" spans="1:9">
      <c r="A1501" s="10" t="s">
        <v>2332</v>
      </c>
      <c r="B1501" s="124" t="s">
        <v>2333</v>
      </c>
      <c r="C1501" s="124" t="s">
        <v>576</v>
      </c>
      <c r="D1501" s="12">
        <v>5000000</v>
      </c>
      <c r="E1501" s="82">
        <v>0.90279505370000002</v>
      </c>
      <c r="F1501" s="14">
        <v>4513975.2699999996</v>
      </c>
      <c r="G1501" s="14">
        <v>0.01</v>
      </c>
      <c r="H1501" s="10"/>
      <c r="I1501" s="10"/>
    </row>
    <row r="1502" spans="1:9">
      <c r="A1502" s="10" t="s">
        <v>2334</v>
      </c>
      <c r="B1502" s="124" t="s">
        <v>463</v>
      </c>
      <c r="C1502" s="124" t="s">
        <v>576</v>
      </c>
      <c r="D1502" s="12">
        <v>5000000</v>
      </c>
      <c r="E1502" s="82">
        <v>0.98942809409999999</v>
      </c>
      <c r="F1502" s="14">
        <v>4947140.47</v>
      </c>
      <c r="G1502" s="14">
        <v>0.01</v>
      </c>
      <c r="H1502" s="10"/>
      <c r="I1502" s="10"/>
    </row>
    <row r="1503" spans="1:9">
      <c r="A1503" s="10" t="s">
        <v>2335</v>
      </c>
      <c r="B1503" s="124" t="s">
        <v>1719</v>
      </c>
      <c r="C1503" s="124" t="s">
        <v>576</v>
      </c>
      <c r="D1503" s="12">
        <v>9000000</v>
      </c>
      <c r="E1503" s="82">
        <v>0.90263879440000006</v>
      </c>
      <c r="F1503" s="14">
        <v>8123749.1500000004</v>
      </c>
      <c r="G1503" s="14">
        <v>0.01</v>
      </c>
      <c r="H1503" s="10"/>
      <c r="I1503" s="10"/>
    </row>
    <row r="1504" spans="1:9">
      <c r="A1504" s="10" t="s">
        <v>2336</v>
      </c>
      <c r="B1504" s="124" t="s">
        <v>1719</v>
      </c>
      <c r="C1504" s="124" t="s">
        <v>576</v>
      </c>
      <c r="D1504" s="12">
        <v>9000000</v>
      </c>
      <c r="E1504" s="82">
        <v>0.90263879440000006</v>
      </c>
      <c r="F1504" s="14">
        <v>8123749.1500000004</v>
      </c>
      <c r="G1504" s="14">
        <v>0.01</v>
      </c>
      <c r="H1504" s="10"/>
      <c r="I1504" s="10"/>
    </row>
    <row r="1505" spans="1:9">
      <c r="A1505" s="10" t="s">
        <v>2337</v>
      </c>
      <c r="B1505" s="124" t="s">
        <v>561</v>
      </c>
      <c r="C1505" s="124" t="s">
        <v>576</v>
      </c>
      <c r="D1505" s="12">
        <v>12500000</v>
      </c>
      <c r="E1505" s="21">
        <v>0.99617904000000002</v>
      </c>
      <c r="F1505" s="12">
        <v>12452238</v>
      </c>
      <c r="G1505" s="14">
        <v>0.02</v>
      </c>
      <c r="H1505" s="10"/>
      <c r="I1505" s="10"/>
    </row>
    <row r="1506" spans="1:9">
      <c r="A1506" s="10" t="s">
        <v>2338</v>
      </c>
      <c r="B1506" s="124" t="s">
        <v>556</v>
      </c>
      <c r="C1506" s="124" t="s">
        <v>576</v>
      </c>
      <c r="D1506" s="12">
        <v>3000000</v>
      </c>
      <c r="E1506" s="82">
        <v>0.96367102680000005</v>
      </c>
      <c r="F1506" s="14">
        <v>2891013.08</v>
      </c>
      <c r="G1506" s="12">
        <v>0</v>
      </c>
      <c r="H1506" s="10"/>
      <c r="I1506" s="10"/>
    </row>
    <row r="1507" spans="1:9">
      <c r="A1507" s="10" t="s">
        <v>2339</v>
      </c>
      <c r="B1507" s="124" t="s">
        <v>556</v>
      </c>
      <c r="C1507" s="124" t="s">
        <v>576</v>
      </c>
      <c r="D1507" s="12">
        <v>3000000</v>
      </c>
      <c r="E1507" s="82">
        <v>0.96367102680000005</v>
      </c>
      <c r="F1507" s="14">
        <v>2891013.08</v>
      </c>
      <c r="G1507" s="12">
        <v>0</v>
      </c>
      <c r="H1507" s="10"/>
      <c r="I1507" s="10"/>
    </row>
    <row r="1508" spans="1:9">
      <c r="A1508" s="10" t="s">
        <v>2340</v>
      </c>
      <c r="B1508" s="124" t="s">
        <v>461</v>
      </c>
      <c r="C1508" s="124" t="s">
        <v>576</v>
      </c>
      <c r="D1508" s="14">
        <v>6744589.1799999997</v>
      </c>
      <c r="E1508" s="157">
        <v>0.97617073700000001</v>
      </c>
      <c r="F1508" s="14">
        <v>6583870.5899999999</v>
      </c>
      <c r="G1508" s="14">
        <v>0.01</v>
      </c>
      <c r="H1508" s="10"/>
      <c r="I1508" s="10"/>
    </row>
    <row r="1509" spans="1:9">
      <c r="A1509" s="10" t="s">
        <v>2341</v>
      </c>
      <c r="B1509" s="124" t="s">
        <v>561</v>
      </c>
      <c r="C1509" s="124" t="s">
        <v>576</v>
      </c>
      <c r="D1509" s="12">
        <v>4500000</v>
      </c>
      <c r="E1509" s="82">
        <v>0.99590723110000001</v>
      </c>
      <c r="F1509" s="14">
        <v>4481582.54</v>
      </c>
      <c r="G1509" s="14">
        <v>0.01</v>
      </c>
      <c r="H1509" s="10"/>
      <c r="I1509" s="10"/>
    </row>
    <row r="1510" spans="1:9">
      <c r="A1510" s="10" t="s">
        <v>2342</v>
      </c>
      <c r="B1510" s="124" t="s">
        <v>463</v>
      </c>
      <c r="C1510" s="124" t="s">
        <v>576</v>
      </c>
      <c r="D1510" s="12">
        <v>4500000</v>
      </c>
      <c r="E1510" s="82">
        <v>0.98942809549999999</v>
      </c>
      <c r="F1510" s="14">
        <v>4452426.43</v>
      </c>
      <c r="G1510" s="14">
        <v>0.01</v>
      </c>
      <c r="H1510" s="10"/>
      <c r="I1510" s="10"/>
    </row>
    <row r="1511" spans="1:9">
      <c r="A1511" s="10" t="s">
        <v>2343</v>
      </c>
      <c r="B1511" s="124" t="s">
        <v>463</v>
      </c>
      <c r="C1511" s="124" t="s">
        <v>576</v>
      </c>
      <c r="D1511" s="12">
        <v>4500000</v>
      </c>
      <c r="E1511" s="82">
        <v>0.98942809549999999</v>
      </c>
      <c r="F1511" s="14">
        <v>4452426.43</v>
      </c>
      <c r="G1511" s="14">
        <v>0.01</v>
      </c>
      <c r="H1511" s="10"/>
      <c r="I1511" s="10"/>
    </row>
    <row r="1512" spans="1:9">
      <c r="A1512" s="10" t="s">
        <v>2344</v>
      </c>
      <c r="B1512" s="124" t="s">
        <v>559</v>
      </c>
      <c r="C1512" s="124" t="s">
        <v>576</v>
      </c>
      <c r="D1512" s="153">
        <v>706225.7</v>
      </c>
      <c r="E1512" s="82">
        <v>0.97531004619999995</v>
      </c>
      <c r="F1512" s="14">
        <v>688789.02</v>
      </c>
      <c r="G1512" s="12">
        <v>0</v>
      </c>
      <c r="H1512" s="10"/>
      <c r="I1512" s="10"/>
    </row>
    <row r="1513" spans="1:9">
      <c r="A1513" s="10" t="s">
        <v>2345</v>
      </c>
      <c r="B1513" s="124" t="s">
        <v>627</v>
      </c>
      <c r="C1513" s="124" t="s">
        <v>576</v>
      </c>
      <c r="D1513" s="153">
        <v>706225.7</v>
      </c>
      <c r="E1513" s="82">
        <v>0.94854486270000005</v>
      </c>
      <c r="F1513" s="14">
        <v>669886.76</v>
      </c>
      <c r="G1513" s="12">
        <v>0</v>
      </c>
      <c r="H1513" s="10"/>
      <c r="I1513" s="10"/>
    </row>
    <row r="1514" spans="1:9">
      <c r="A1514" s="10" t="s">
        <v>2346</v>
      </c>
      <c r="B1514" s="124" t="s">
        <v>283</v>
      </c>
      <c r="C1514" s="124" t="s">
        <v>576</v>
      </c>
      <c r="D1514" s="12">
        <v>20858250</v>
      </c>
      <c r="E1514" s="82">
        <v>0.9205550159</v>
      </c>
      <c r="F1514" s="14">
        <v>19201166.66</v>
      </c>
      <c r="G1514" s="14">
        <v>0.02</v>
      </c>
      <c r="H1514" s="10"/>
      <c r="I1514" s="10"/>
    </row>
    <row r="1515" spans="1:9">
      <c r="A1515" s="10" t="s">
        <v>2347</v>
      </c>
      <c r="B1515" s="124" t="s">
        <v>456</v>
      </c>
      <c r="C1515" s="124" t="s">
        <v>576</v>
      </c>
      <c r="D1515" s="12">
        <v>155000000</v>
      </c>
      <c r="E1515" s="157">
        <v>0.98563410699999998</v>
      </c>
      <c r="F1515" s="14">
        <v>152773286.59</v>
      </c>
      <c r="G1515" s="14">
        <v>0.19</v>
      </c>
      <c r="H1515" s="10"/>
      <c r="I1515" s="10"/>
    </row>
    <row r="1516" spans="1:9">
      <c r="A1516" s="10" t="s">
        <v>2348</v>
      </c>
      <c r="B1516" s="124" t="s">
        <v>1925</v>
      </c>
      <c r="C1516" s="124" t="s">
        <v>576</v>
      </c>
      <c r="D1516" s="12">
        <v>25000000</v>
      </c>
      <c r="E1516" s="82">
        <v>0.87500601970000003</v>
      </c>
      <c r="F1516" s="14">
        <v>21875150.489999998</v>
      </c>
      <c r="G1516" s="14">
        <v>0.03</v>
      </c>
      <c r="H1516" s="10"/>
      <c r="I1516" s="10"/>
    </row>
    <row r="1517" spans="1:9">
      <c r="A1517" s="10" t="s">
        <v>2349</v>
      </c>
      <c r="B1517" s="124" t="s">
        <v>2152</v>
      </c>
      <c r="C1517" s="124" t="s">
        <v>576</v>
      </c>
      <c r="D1517" s="12">
        <v>26750000</v>
      </c>
      <c r="E1517" s="82">
        <v>0.8991920497</v>
      </c>
      <c r="F1517" s="14">
        <v>24053387.329999998</v>
      </c>
      <c r="G1517" s="14">
        <v>0.03</v>
      </c>
      <c r="H1517" s="10"/>
      <c r="I1517" s="10"/>
    </row>
    <row r="1518" spans="1:9">
      <c r="A1518" s="10" t="s">
        <v>2350</v>
      </c>
      <c r="B1518" s="124" t="s">
        <v>2199</v>
      </c>
      <c r="C1518" s="124" t="s">
        <v>576</v>
      </c>
      <c r="D1518" s="12">
        <v>25000000</v>
      </c>
      <c r="E1518" s="82">
        <v>0.87987851409999995</v>
      </c>
      <c r="F1518" s="14">
        <v>21996962.850000001</v>
      </c>
      <c r="G1518" s="14">
        <v>0.03</v>
      </c>
      <c r="H1518" s="10"/>
      <c r="I1518" s="10"/>
    </row>
    <row r="1519" spans="1:9">
      <c r="A1519" s="10" t="s">
        <v>2351</v>
      </c>
      <c r="B1519" s="124" t="s">
        <v>661</v>
      </c>
      <c r="C1519" s="124" t="s">
        <v>576</v>
      </c>
      <c r="D1519" s="12">
        <v>10000000</v>
      </c>
      <c r="E1519" s="82">
        <v>0.95959211929999999</v>
      </c>
      <c r="F1519" s="14">
        <v>9595921.1899999995</v>
      </c>
      <c r="G1519" s="14">
        <v>0.01</v>
      </c>
      <c r="H1519" s="10"/>
      <c r="I1519" s="10"/>
    </row>
    <row r="1520" spans="1:9">
      <c r="A1520" s="10" t="s">
        <v>2352</v>
      </c>
      <c r="B1520" s="124" t="s">
        <v>587</v>
      </c>
      <c r="C1520" s="124" t="s">
        <v>576</v>
      </c>
      <c r="D1520" s="12">
        <v>10000000</v>
      </c>
      <c r="E1520" s="82">
        <v>0.95813104370000002</v>
      </c>
      <c r="F1520" s="14">
        <v>9581310.4399999995</v>
      </c>
      <c r="G1520" s="14">
        <v>0.01</v>
      </c>
      <c r="H1520" s="10"/>
      <c r="I1520" s="10"/>
    </row>
    <row r="1521" spans="1:9">
      <c r="A1521" s="10" t="s">
        <v>2353</v>
      </c>
      <c r="B1521" s="124" t="s">
        <v>2354</v>
      </c>
      <c r="C1521" s="124" t="s">
        <v>576</v>
      </c>
      <c r="D1521" s="12">
        <v>25000000</v>
      </c>
      <c r="E1521" s="157">
        <v>0.93541780900000004</v>
      </c>
      <c r="F1521" s="14">
        <v>23385445.23</v>
      </c>
      <c r="G1521" s="14">
        <v>0.03</v>
      </c>
      <c r="H1521" s="10"/>
      <c r="I1521" s="10"/>
    </row>
    <row r="1522" spans="1:9">
      <c r="A1522" s="10" t="s">
        <v>2355</v>
      </c>
      <c r="B1522" s="124" t="s">
        <v>741</v>
      </c>
      <c r="C1522" s="124" t="s">
        <v>576</v>
      </c>
      <c r="D1522" s="12">
        <v>25000000</v>
      </c>
      <c r="E1522" s="82">
        <v>0.93041049080000005</v>
      </c>
      <c r="F1522" s="14">
        <v>23260262.27</v>
      </c>
      <c r="G1522" s="14">
        <v>0.03</v>
      </c>
      <c r="H1522" s="10"/>
      <c r="I1522" s="10"/>
    </row>
    <row r="1523" spans="1:9">
      <c r="A1523" s="10" t="s">
        <v>2356</v>
      </c>
      <c r="B1523" s="124" t="s">
        <v>429</v>
      </c>
      <c r="C1523" s="124" t="s">
        <v>576</v>
      </c>
      <c r="D1523" s="12">
        <v>25000000</v>
      </c>
      <c r="E1523" s="82">
        <v>0.94047931579999999</v>
      </c>
      <c r="F1523" s="153">
        <v>23511982.899999999</v>
      </c>
      <c r="G1523" s="14">
        <v>0.03</v>
      </c>
      <c r="H1523" s="10"/>
      <c r="I1523" s="10"/>
    </row>
    <row r="1524" spans="1:9">
      <c r="A1524" s="10" t="s">
        <v>2357</v>
      </c>
      <c r="B1524" s="124" t="s">
        <v>1781</v>
      </c>
      <c r="C1524" s="124" t="s">
        <v>576</v>
      </c>
      <c r="D1524" s="12">
        <v>25000000</v>
      </c>
      <c r="E1524" s="82">
        <v>0.94559589610000006</v>
      </c>
      <c r="F1524" s="153">
        <v>23639897.399999999</v>
      </c>
      <c r="G1524" s="14">
        <v>0.03</v>
      </c>
      <c r="H1524" s="10"/>
      <c r="I1524" s="10"/>
    </row>
    <row r="1525" spans="1:9">
      <c r="A1525" s="10" t="s">
        <v>2358</v>
      </c>
      <c r="B1525" s="124" t="s">
        <v>974</v>
      </c>
      <c r="C1525" s="124" t="s">
        <v>576</v>
      </c>
      <c r="D1525" s="12">
        <v>55000000</v>
      </c>
      <c r="E1525" s="82">
        <v>0.92762021569999997</v>
      </c>
      <c r="F1525" s="14">
        <v>51019111.859999999</v>
      </c>
      <c r="G1525" s="14">
        <v>0.06</v>
      </c>
      <c r="H1525" s="10"/>
      <c r="I1525" s="10"/>
    </row>
    <row r="1526" spans="1:9">
      <c r="A1526" s="10" t="s">
        <v>2359</v>
      </c>
      <c r="B1526" s="124" t="s">
        <v>559</v>
      </c>
      <c r="C1526" s="124" t="s">
        <v>576</v>
      </c>
      <c r="D1526" s="12">
        <v>25000000</v>
      </c>
      <c r="E1526" s="82">
        <v>0.97604031830000004</v>
      </c>
      <c r="F1526" s="14">
        <v>24401007.960000001</v>
      </c>
      <c r="G1526" s="14">
        <v>0.03</v>
      </c>
      <c r="H1526" s="10"/>
      <c r="I1526" s="10"/>
    </row>
    <row r="1527" spans="1:9">
      <c r="A1527" s="10" t="s">
        <v>2360</v>
      </c>
      <c r="B1527" s="124" t="s">
        <v>2230</v>
      </c>
      <c r="C1527" s="124" t="s">
        <v>576</v>
      </c>
      <c r="D1527" s="12">
        <v>75000000</v>
      </c>
      <c r="E1527" s="82">
        <v>0.90696756950000001</v>
      </c>
      <c r="F1527" s="14">
        <v>68022567.709999993</v>
      </c>
      <c r="G1527" s="14">
        <v>0.08</v>
      </c>
      <c r="H1527" s="10"/>
      <c r="I1527" s="10"/>
    </row>
    <row r="1528" spans="1:9">
      <c r="A1528" s="10" t="s">
        <v>2361</v>
      </c>
      <c r="B1528" s="124" t="s">
        <v>283</v>
      </c>
      <c r="C1528" s="124" t="s">
        <v>576</v>
      </c>
      <c r="D1528" s="12">
        <v>55000000</v>
      </c>
      <c r="E1528" s="82">
        <v>0.92686657790000004</v>
      </c>
      <c r="F1528" s="14">
        <v>50977661.780000001</v>
      </c>
      <c r="G1528" s="14">
        <v>0.06</v>
      </c>
      <c r="H1528" s="10"/>
      <c r="I1528" s="10"/>
    </row>
    <row r="1529" spans="1:9">
      <c r="A1529" s="10" t="s">
        <v>2362</v>
      </c>
      <c r="B1529" s="124" t="s">
        <v>2152</v>
      </c>
      <c r="C1529" s="124" t="s">
        <v>576</v>
      </c>
      <c r="D1529" s="12">
        <v>75000000</v>
      </c>
      <c r="E1529" s="157">
        <v>0.90194730599999995</v>
      </c>
      <c r="F1529" s="14">
        <v>67646047.950000003</v>
      </c>
      <c r="G1529" s="14">
        <v>0.08</v>
      </c>
      <c r="H1529" s="10"/>
      <c r="I1529" s="10"/>
    </row>
    <row r="1530" spans="1:9">
      <c r="A1530" s="10" t="s">
        <v>2363</v>
      </c>
      <c r="B1530" s="124" t="s">
        <v>1113</v>
      </c>
      <c r="C1530" s="124" t="s">
        <v>576</v>
      </c>
      <c r="D1530" s="12">
        <v>55000000</v>
      </c>
      <c r="E1530" s="82">
        <v>0.9223693744</v>
      </c>
      <c r="F1530" s="14">
        <v>50730315.590000004</v>
      </c>
      <c r="G1530" s="14">
        <v>0.06</v>
      </c>
      <c r="H1530" s="10"/>
      <c r="I1530" s="10"/>
    </row>
    <row r="1531" spans="1:9">
      <c r="A1531" s="10" t="s">
        <v>2364</v>
      </c>
      <c r="B1531" s="124" t="s">
        <v>663</v>
      </c>
      <c r="C1531" s="124" t="s">
        <v>576</v>
      </c>
      <c r="D1531" s="12">
        <v>55000000</v>
      </c>
      <c r="E1531" s="82">
        <v>0.93216889130000002</v>
      </c>
      <c r="F1531" s="14">
        <v>51269289.020000003</v>
      </c>
      <c r="G1531" s="14">
        <v>0.06</v>
      </c>
      <c r="H1531" s="10"/>
      <c r="I1531" s="10"/>
    </row>
    <row r="1532" spans="1:9">
      <c r="A1532" s="10" t="s">
        <v>2366</v>
      </c>
      <c r="B1532" s="124" t="s">
        <v>578</v>
      </c>
      <c r="C1532" s="124" t="s">
        <v>477</v>
      </c>
      <c r="D1532" s="14">
        <v>819152.75</v>
      </c>
      <c r="E1532" s="82">
        <v>0.99574421260000001</v>
      </c>
      <c r="F1532" s="14">
        <v>815666.61</v>
      </c>
      <c r="G1532" s="12">
        <v>0</v>
      </c>
      <c r="H1532" s="10"/>
      <c r="I1532" s="10"/>
    </row>
    <row r="1533" spans="1:9">
      <c r="A1533" s="10" t="s">
        <v>2367</v>
      </c>
      <c r="B1533" s="124" t="s">
        <v>578</v>
      </c>
      <c r="C1533" s="124" t="s">
        <v>477</v>
      </c>
      <c r="D1533" s="14">
        <v>819152.75</v>
      </c>
      <c r="E1533" s="82">
        <v>0.99574421260000001</v>
      </c>
      <c r="F1533" s="14">
        <v>815666.61</v>
      </c>
      <c r="G1533" s="12">
        <v>0</v>
      </c>
      <c r="H1533" s="10"/>
      <c r="I1533" s="10"/>
    </row>
    <row r="1534" spans="1:9">
      <c r="A1534" s="10" t="s">
        <v>2368</v>
      </c>
      <c r="B1534" s="124" t="s">
        <v>578</v>
      </c>
      <c r="C1534" s="124" t="s">
        <v>477</v>
      </c>
      <c r="D1534" s="14">
        <v>819152.75</v>
      </c>
      <c r="E1534" s="82">
        <v>0.99574421260000001</v>
      </c>
      <c r="F1534" s="14">
        <v>815666.61</v>
      </c>
      <c r="G1534" s="12">
        <v>0</v>
      </c>
      <c r="H1534" s="10"/>
      <c r="I1534" s="10"/>
    </row>
    <row r="1535" spans="1:9">
      <c r="A1535" s="10" t="s">
        <v>2369</v>
      </c>
      <c r="B1535" s="124" t="s">
        <v>718</v>
      </c>
      <c r="C1535" s="124" t="s">
        <v>477</v>
      </c>
      <c r="D1535" s="12">
        <v>2500000</v>
      </c>
      <c r="E1535" s="82">
        <v>0.98113010779999998</v>
      </c>
      <c r="F1535" s="14">
        <v>2452825.27</v>
      </c>
      <c r="G1535" s="12">
        <v>0</v>
      </c>
      <c r="H1535" s="10"/>
      <c r="I1535" s="10"/>
    </row>
    <row r="1536" spans="1:9">
      <c r="A1536" s="10" t="s">
        <v>2370</v>
      </c>
      <c r="B1536" s="124" t="s">
        <v>559</v>
      </c>
      <c r="C1536" s="124" t="s">
        <v>477</v>
      </c>
      <c r="D1536" s="14">
        <v>2959532.92</v>
      </c>
      <c r="E1536" s="82">
        <v>0.9797079702</v>
      </c>
      <c r="F1536" s="14">
        <v>2899477.99</v>
      </c>
      <c r="G1536" s="12">
        <v>0</v>
      </c>
      <c r="H1536" s="10"/>
      <c r="I1536" s="10"/>
    </row>
    <row r="1537" spans="1:9">
      <c r="A1537" s="10" t="s">
        <v>2371</v>
      </c>
      <c r="B1537" s="124" t="s">
        <v>746</v>
      </c>
      <c r="C1537" s="124" t="s">
        <v>477</v>
      </c>
      <c r="D1537" s="12">
        <v>2500000</v>
      </c>
      <c r="E1537" s="82">
        <v>0.98902591579999999</v>
      </c>
      <c r="F1537" s="14">
        <v>2472564.79</v>
      </c>
      <c r="G1537" s="12">
        <v>0</v>
      </c>
      <c r="H1537" s="10"/>
      <c r="I1537" s="10"/>
    </row>
    <row r="1538" spans="1:9">
      <c r="A1538" s="10" t="s">
        <v>2372</v>
      </c>
      <c r="B1538" s="124" t="s">
        <v>517</v>
      </c>
      <c r="C1538" s="124" t="s">
        <v>477</v>
      </c>
      <c r="D1538" s="12">
        <v>2500000</v>
      </c>
      <c r="E1538" s="82">
        <v>0.99120141589999999</v>
      </c>
      <c r="F1538" s="14">
        <v>2478003.54</v>
      </c>
      <c r="G1538" s="12">
        <v>0</v>
      </c>
      <c r="H1538" s="10"/>
      <c r="I1538" s="10"/>
    </row>
    <row r="1539" spans="1:9">
      <c r="A1539" s="10" t="s">
        <v>2373</v>
      </c>
      <c r="B1539" s="124" t="s">
        <v>610</v>
      </c>
      <c r="C1539" s="124" t="s">
        <v>477</v>
      </c>
      <c r="D1539" s="12">
        <v>70000000</v>
      </c>
      <c r="E1539" s="82">
        <v>0.97747793350000001</v>
      </c>
      <c r="F1539" s="14">
        <v>68423455.349999994</v>
      </c>
      <c r="G1539" s="14">
        <v>0.08</v>
      </c>
      <c r="H1539" s="10"/>
      <c r="I1539" s="10"/>
    </row>
    <row r="1540" spans="1:9">
      <c r="A1540" s="10" t="s">
        <v>2374</v>
      </c>
      <c r="B1540" s="124" t="s">
        <v>556</v>
      </c>
      <c r="C1540" s="124" t="s">
        <v>477</v>
      </c>
      <c r="D1540" s="12">
        <v>70000000</v>
      </c>
      <c r="E1540" s="82">
        <v>0.96696439869999995</v>
      </c>
      <c r="F1540" s="14">
        <v>67687507.909999996</v>
      </c>
      <c r="G1540" s="14">
        <v>0.08</v>
      </c>
      <c r="H1540" s="10"/>
      <c r="I1540" s="10"/>
    </row>
    <row r="1541" spans="1:9">
      <c r="A1541" s="10" t="s">
        <v>2375</v>
      </c>
      <c r="B1541" s="124" t="s">
        <v>419</v>
      </c>
      <c r="C1541" s="124" t="s">
        <v>477</v>
      </c>
      <c r="D1541" s="12">
        <v>70000000</v>
      </c>
      <c r="E1541" s="82">
        <v>0.96326409769999999</v>
      </c>
      <c r="F1541" s="14">
        <v>67428486.840000004</v>
      </c>
      <c r="G1541" s="14">
        <v>0.08</v>
      </c>
      <c r="H1541" s="10"/>
      <c r="I1541" s="10"/>
    </row>
    <row r="1542" spans="1:9">
      <c r="A1542" s="10" t="s">
        <v>2376</v>
      </c>
      <c r="B1542" s="124" t="s">
        <v>716</v>
      </c>
      <c r="C1542" s="124" t="s">
        <v>477</v>
      </c>
      <c r="D1542" s="12">
        <v>70000000</v>
      </c>
      <c r="E1542" s="82">
        <v>0.98340345389999995</v>
      </c>
      <c r="F1542" s="14">
        <v>68838241.769999996</v>
      </c>
      <c r="G1542" s="14">
        <v>0.08</v>
      </c>
      <c r="H1542" s="10"/>
      <c r="I1542" s="10"/>
    </row>
    <row r="1543" spans="1:9">
      <c r="A1543" s="10" t="s">
        <v>2378</v>
      </c>
      <c r="B1543" s="124" t="s">
        <v>559</v>
      </c>
      <c r="C1543" s="124" t="s">
        <v>477</v>
      </c>
      <c r="D1543" s="14">
        <v>8752704.4100000001</v>
      </c>
      <c r="E1543" s="82">
        <v>0.98044482649999998</v>
      </c>
      <c r="F1543" s="14">
        <v>8581543.7599999998</v>
      </c>
      <c r="G1543" s="14">
        <v>0.01</v>
      </c>
      <c r="H1543" s="10"/>
      <c r="I1543" s="10"/>
    </row>
    <row r="1544" spans="1:9">
      <c r="A1544" s="10" t="s">
        <v>2379</v>
      </c>
      <c r="B1544" s="124" t="s">
        <v>627</v>
      </c>
      <c r="C1544" s="124" t="s">
        <v>477</v>
      </c>
      <c r="D1544" s="14">
        <v>8752704.4100000001</v>
      </c>
      <c r="E1544" s="157">
        <v>0.95901212400000002</v>
      </c>
      <c r="F1544" s="14">
        <v>8393949.6500000004</v>
      </c>
      <c r="G1544" s="14">
        <v>0.01</v>
      </c>
      <c r="H1544" s="10"/>
      <c r="I1544" s="10"/>
    </row>
    <row r="1545" spans="1:9">
      <c r="A1545" s="10" t="s">
        <v>2380</v>
      </c>
      <c r="B1545" s="124" t="s">
        <v>559</v>
      </c>
      <c r="C1545" s="124" t="s">
        <v>477</v>
      </c>
      <c r="D1545" s="14">
        <v>1159427.3899999999</v>
      </c>
      <c r="E1545" s="82">
        <v>0.98044484710000002</v>
      </c>
      <c r="F1545" s="14">
        <v>1136754.6100000001</v>
      </c>
      <c r="G1545" s="12">
        <v>0</v>
      </c>
      <c r="H1545" s="10"/>
      <c r="I1545" s="10"/>
    </row>
    <row r="1546" spans="1:9">
      <c r="A1546" s="10" t="s">
        <v>2382</v>
      </c>
      <c r="B1546" s="124" t="s">
        <v>559</v>
      </c>
      <c r="C1546" s="124" t="s">
        <v>477</v>
      </c>
      <c r="D1546" s="12">
        <v>20000000</v>
      </c>
      <c r="E1546" s="157">
        <v>0.97970796800000004</v>
      </c>
      <c r="F1546" s="14">
        <v>19594159.359999999</v>
      </c>
      <c r="G1546" s="14">
        <v>0.02</v>
      </c>
      <c r="H1546" s="10"/>
      <c r="I1546" s="10"/>
    </row>
    <row r="1547" spans="1:9">
      <c r="A1547" s="10" t="s">
        <v>2383</v>
      </c>
      <c r="B1547" s="124" t="s">
        <v>692</v>
      </c>
      <c r="C1547" s="124" t="s">
        <v>477</v>
      </c>
      <c r="D1547" s="12">
        <v>150000000</v>
      </c>
      <c r="E1547" s="82">
        <v>0.99222534520000005</v>
      </c>
      <c r="F1547" s="14">
        <v>148833801.78</v>
      </c>
      <c r="G1547" s="14">
        <v>0.18</v>
      </c>
      <c r="H1547" s="10"/>
      <c r="I1547" s="10"/>
    </row>
    <row r="1548" spans="1:9">
      <c r="A1548" s="10" t="s">
        <v>2384</v>
      </c>
      <c r="B1548" s="124" t="s">
        <v>505</v>
      </c>
      <c r="C1548" s="124" t="s">
        <v>477</v>
      </c>
      <c r="D1548" s="12">
        <v>50000000</v>
      </c>
      <c r="E1548" s="82">
        <v>0.99503847229999998</v>
      </c>
      <c r="F1548" s="14">
        <v>49751923.619999997</v>
      </c>
      <c r="G1548" s="14">
        <v>0.06</v>
      </c>
      <c r="H1548" s="10"/>
      <c r="I1548" s="10"/>
    </row>
    <row r="1549" spans="1:9">
      <c r="A1549" s="10" t="s">
        <v>2385</v>
      </c>
      <c r="B1549" s="124" t="s">
        <v>456</v>
      </c>
      <c r="C1549" s="124" t="s">
        <v>477</v>
      </c>
      <c r="D1549" s="12">
        <v>8000000</v>
      </c>
      <c r="E1549" s="82">
        <v>0.98975005260000004</v>
      </c>
      <c r="F1549" s="14">
        <v>7918000.4199999999</v>
      </c>
      <c r="G1549" s="14">
        <v>0.01</v>
      </c>
      <c r="H1549" s="10"/>
      <c r="I1549" s="10"/>
    </row>
    <row r="1550" spans="1:9">
      <c r="A1550" s="10" t="s">
        <v>2386</v>
      </c>
      <c r="B1550" s="124" t="s">
        <v>716</v>
      </c>
      <c r="C1550" s="124" t="s">
        <v>477</v>
      </c>
      <c r="D1550" s="12">
        <v>8000000</v>
      </c>
      <c r="E1550" s="82">
        <v>0.98398669859999999</v>
      </c>
      <c r="F1550" s="14">
        <v>7871893.5899999999</v>
      </c>
      <c r="G1550" s="14">
        <v>0.01</v>
      </c>
      <c r="H1550" s="10"/>
      <c r="I1550" s="10"/>
    </row>
    <row r="1551" spans="1:9">
      <c r="A1551" s="10" t="s">
        <v>2387</v>
      </c>
      <c r="B1551" s="124" t="s">
        <v>510</v>
      </c>
      <c r="C1551" s="124" t="s">
        <v>477</v>
      </c>
      <c r="D1551" s="12">
        <v>8000000</v>
      </c>
      <c r="E1551" s="82">
        <v>0.98470346760000005</v>
      </c>
      <c r="F1551" s="14">
        <v>7877627.7400000002</v>
      </c>
      <c r="G1551" s="14">
        <v>0.01</v>
      </c>
      <c r="H1551" s="10"/>
      <c r="I1551" s="10"/>
    </row>
    <row r="1552" spans="1:9">
      <c r="A1552" s="10" t="s">
        <v>2388</v>
      </c>
      <c r="B1552" s="124" t="s">
        <v>746</v>
      </c>
      <c r="C1552" s="124" t="s">
        <v>477</v>
      </c>
      <c r="D1552" s="12">
        <v>8000000</v>
      </c>
      <c r="E1552" s="82">
        <v>0.98902592229999997</v>
      </c>
      <c r="F1552" s="14">
        <v>7912207.3799999999</v>
      </c>
      <c r="G1552" s="14">
        <v>0.01</v>
      </c>
      <c r="H1552" s="10"/>
      <c r="I1552" s="10"/>
    </row>
    <row r="1553" spans="1:9">
      <c r="A1553" s="10" t="s">
        <v>2389</v>
      </c>
      <c r="B1553" s="124" t="s">
        <v>459</v>
      </c>
      <c r="C1553" s="124" t="s">
        <v>477</v>
      </c>
      <c r="D1553" s="14">
        <v>26231345.640000001</v>
      </c>
      <c r="E1553" s="157">
        <v>0.98542118599999995</v>
      </c>
      <c r="F1553" s="14">
        <v>25848923.73</v>
      </c>
      <c r="G1553" s="14">
        <v>0.03</v>
      </c>
      <c r="H1553" s="10"/>
      <c r="I1553" s="10"/>
    </row>
    <row r="1554" spans="1:9">
      <c r="A1554" s="10" t="s">
        <v>2390</v>
      </c>
      <c r="B1554" s="124" t="s">
        <v>667</v>
      </c>
      <c r="C1554" s="124" t="s">
        <v>477</v>
      </c>
      <c r="D1554" s="14">
        <v>26231345.640000001</v>
      </c>
      <c r="E1554" s="82">
        <v>0.96502132210000002</v>
      </c>
      <c r="F1554" s="14">
        <v>25313807.850000001</v>
      </c>
      <c r="G1554" s="14">
        <v>0.03</v>
      </c>
      <c r="H1554" s="10"/>
      <c r="I1554" s="10"/>
    </row>
    <row r="1555" spans="1:9">
      <c r="A1555" s="10" t="s">
        <v>2391</v>
      </c>
      <c r="B1555" s="124" t="s">
        <v>559</v>
      </c>
      <c r="C1555" s="124" t="s">
        <v>477</v>
      </c>
      <c r="D1555" s="12">
        <v>8268850</v>
      </c>
      <c r="E1555" s="82">
        <v>0.97970796869999999</v>
      </c>
      <c r="F1555" s="14">
        <v>8101058.2400000002</v>
      </c>
      <c r="G1555" s="14">
        <v>0.01</v>
      </c>
      <c r="H1555" s="10"/>
      <c r="I1555" s="10"/>
    </row>
    <row r="1556" spans="1:9">
      <c r="A1556" s="10" t="s">
        <v>2392</v>
      </c>
      <c r="B1556" s="124" t="s">
        <v>559</v>
      </c>
      <c r="C1556" s="124" t="s">
        <v>477</v>
      </c>
      <c r="D1556" s="12">
        <v>46583450</v>
      </c>
      <c r="E1556" s="157">
        <v>0.97970796800000004</v>
      </c>
      <c r="F1556" s="14">
        <v>45638177.140000001</v>
      </c>
      <c r="G1556" s="14">
        <v>0.06</v>
      </c>
      <c r="H1556" s="10"/>
      <c r="I1556" s="10"/>
    </row>
    <row r="1557" spans="1:9">
      <c r="A1557" s="10" t="s">
        <v>2393</v>
      </c>
      <c r="B1557" s="124" t="s">
        <v>2394</v>
      </c>
      <c r="C1557" s="124" t="s">
        <v>477</v>
      </c>
      <c r="D1557" s="12">
        <v>2833000</v>
      </c>
      <c r="E1557" s="82">
        <v>0.83219347340000005</v>
      </c>
      <c r="F1557" s="14">
        <v>2357604.11</v>
      </c>
      <c r="G1557" s="12">
        <v>0</v>
      </c>
      <c r="H1557" s="10"/>
      <c r="I1557" s="10"/>
    </row>
    <row r="1558" spans="1:9">
      <c r="A1558" s="10" t="s">
        <v>2395</v>
      </c>
      <c r="B1558" s="124" t="s">
        <v>1108</v>
      </c>
      <c r="C1558" s="124" t="s">
        <v>477</v>
      </c>
      <c r="D1558" s="12">
        <v>2833000</v>
      </c>
      <c r="E1558" s="82">
        <v>0.91131533809999998</v>
      </c>
      <c r="F1558" s="14">
        <v>2581756.35</v>
      </c>
      <c r="G1558" s="12">
        <v>0</v>
      </c>
      <c r="H1558" s="10"/>
      <c r="I1558" s="10"/>
    </row>
    <row r="1559" spans="1:9">
      <c r="A1559" s="10" t="s">
        <v>2396</v>
      </c>
      <c r="B1559" s="124" t="s">
        <v>423</v>
      </c>
      <c r="C1559" s="124" t="s">
        <v>477</v>
      </c>
      <c r="D1559" s="12">
        <v>2833000</v>
      </c>
      <c r="E1559" s="82">
        <v>0.8913745502</v>
      </c>
      <c r="F1559" s="153">
        <v>2525264.1</v>
      </c>
      <c r="G1559" s="12">
        <v>0</v>
      </c>
      <c r="H1559" s="10"/>
      <c r="I1559" s="10"/>
    </row>
    <row r="1560" spans="1:9">
      <c r="A1560" s="10" t="s">
        <v>2397</v>
      </c>
      <c r="B1560" s="124" t="s">
        <v>826</v>
      </c>
      <c r="C1560" s="124" t="s">
        <v>477</v>
      </c>
      <c r="D1560" s="12">
        <v>2833000</v>
      </c>
      <c r="E1560" s="82">
        <v>0.86896497080000001</v>
      </c>
      <c r="F1560" s="14">
        <v>2461777.7599999998</v>
      </c>
      <c r="G1560" s="12">
        <v>0</v>
      </c>
      <c r="H1560" s="10"/>
      <c r="I1560" s="10"/>
    </row>
    <row r="1561" spans="1:9">
      <c r="A1561" s="10" t="s">
        <v>2398</v>
      </c>
      <c r="B1561" s="124" t="s">
        <v>2399</v>
      </c>
      <c r="C1561" s="124" t="s">
        <v>477</v>
      </c>
      <c r="D1561" s="12">
        <v>2833000</v>
      </c>
      <c r="E1561" s="82">
        <v>0.84954852709999995</v>
      </c>
      <c r="F1561" s="14">
        <v>2406770.98</v>
      </c>
      <c r="G1561" s="12">
        <v>0</v>
      </c>
      <c r="H1561" s="10"/>
      <c r="I1561" s="10"/>
    </row>
    <row r="1562" spans="1:9">
      <c r="A1562" s="10" t="s">
        <v>2400</v>
      </c>
      <c r="B1562" s="124" t="s">
        <v>657</v>
      </c>
      <c r="C1562" s="124" t="s">
        <v>477</v>
      </c>
      <c r="D1562" s="12">
        <v>2833000</v>
      </c>
      <c r="E1562" s="82">
        <v>0.94844622670000001</v>
      </c>
      <c r="F1562" s="14">
        <v>2686948.16</v>
      </c>
      <c r="G1562" s="12">
        <v>0</v>
      </c>
      <c r="H1562" s="10"/>
      <c r="I1562" s="10"/>
    </row>
    <row r="1563" spans="1:9">
      <c r="A1563" s="10" t="s">
        <v>2401</v>
      </c>
      <c r="B1563" s="124" t="s">
        <v>645</v>
      </c>
      <c r="C1563" s="124" t="s">
        <v>477</v>
      </c>
      <c r="D1563" s="12">
        <v>2833000</v>
      </c>
      <c r="E1563" s="157">
        <v>0.97105464900000005</v>
      </c>
      <c r="F1563" s="14">
        <v>2750997.82</v>
      </c>
      <c r="G1563" s="12">
        <v>0</v>
      </c>
      <c r="H1563" s="10"/>
      <c r="I1563" s="10"/>
    </row>
    <row r="1564" spans="1:9">
      <c r="A1564" s="10" t="s">
        <v>2403</v>
      </c>
      <c r="B1564" s="124" t="s">
        <v>473</v>
      </c>
      <c r="C1564" s="124" t="s">
        <v>477</v>
      </c>
      <c r="D1564" s="12">
        <v>5000000</v>
      </c>
      <c r="E1564" s="82">
        <v>0.99672312009999997</v>
      </c>
      <c r="F1564" s="153">
        <v>4983615.5999999996</v>
      </c>
      <c r="G1564" s="14">
        <v>0.01</v>
      </c>
      <c r="H1564" s="10"/>
      <c r="I1564" s="10"/>
    </row>
    <row r="1565" spans="1:9">
      <c r="A1565" s="10" t="s">
        <v>2404</v>
      </c>
      <c r="B1565" s="124" t="s">
        <v>463</v>
      </c>
      <c r="C1565" s="124" t="s">
        <v>477</v>
      </c>
      <c r="D1565" s="12">
        <v>5000000</v>
      </c>
      <c r="E1565" s="157">
        <v>0.98942803800000001</v>
      </c>
      <c r="F1565" s="14">
        <v>4947140.1900000004</v>
      </c>
      <c r="G1565" s="14">
        <v>0.01</v>
      </c>
      <c r="H1565" s="10"/>
      <c r="I1565" s="10"/>
    </row>
    <row r="1566" spans="1:9">
      <c r="A1566" s="10" t="s">
        <v>2405</v>
      </c>
      <c r="B1566" s="124" t="s">
        <v>463</v>
      </c>
      <c r="C1566" s="124" t="s">
        <v>477</v>
      </c>
      <c r="D1566" s="12">
        <v>5000000</v>
      </c>
      <c r="E1566" s="157">
        <v>0.98942803800000001</v>
      </c>
      <c r="F1566" s="14">
        <v>4947140.1900000004</v>
      </c>
      <c r="G1566" s="14">
        <v>0.01</v>
      </c>
      <c r="H1566" s="10"/>
      <c r="I1566" s="10"/>
    </row>
    <row r="1567" spans="1:9">
      <c r="A1567" s="10" t="s">
        <v>2406</v>
      </c>
      <c r="B1567" s="124" t="s">
        <v>682</v>
      </c>
      <c r="C1567" s="124" t="s">
        <v>477</v>
      </c>
      <c r="D1567" s="153">
        <v>1555000.5</v>
      </c>
      <c r="E1567" s="82">
        <v>0.9675281778</v>
      </c>
      <c r="F1567" s="153">
        <v>1504506.8</v>
      </c>
      <c r="G1567" s="12">
        <v>0</v>
      </c>
      <c r="H1567" s="10"/>
      <c r="I1567" s="10"/>
    </row>
    <row r="1568" spans="1:9">
      <c r="A1568" s="10" t="s">
        <v>2407</v>
      </c>
      <c r="B1568" s="124" t="s">
        <v>810</v>
      </c>
      <c r="C1568" s="124" t="s">
        <v>477</v>
      </c>
      <c r="D1568" s="153">
        <v>3256800.5</v>
      </c>
      <c r="E1568" s="82">
        <v>0.96932688710000003</v>
      </c>
      <c r="F1568" s="14">
        <v>3156904.29</v>
      </c>
      <c r="G1568" s="12">
        <v>0</v>
      </c>
      <c r="H1568" s="10"/>
      <c r="I1568" s="10"/>
    </row>
    <row r="1569" spans="1:9">
      <c r="A1569" s="10" t="s">
        <v>2408</v>
      </c>
      <c r="B1569" s="124" t="s">
        <v>561</v>
      </c>
      <c r="C1569" s="124" t="s">
        <v>477</v>
      </c>
      <c r="D1569" s="14">
        <v>2510000.36</v>
      </c>
      <c r="E1569" s="82">
        <v>0.99522837119999996</v>
      </c>
      <c r="F1569" s="14">
        <v>2498023.5699999998</v>
      </c>
      <c r="G1569" s="12">
        <v>0</v>
      </c>
      <c r="H1569" s="10"/>
      <c r="I1569" s="10"/>
    </row>
    <row r="1570" spans="1:9">
      <c r="A1570" s="10" t="s">
        <v>2409</v>
      </c>
      <c r="B1570" s="124" t="s">
        <v>645</v>
      </c>
      <c r="C1570" s="124" t="s">
        <v>477</v>
      </c>
      <c r="D1570" s="153">
        <v>3256800.5</v>
      </c>
      <c r="E1570" s="82">
        <v>0.96842669950000004</v>
      </c>
      <c r="F1570" s="14">
        <v>3153972.56</v>
      </c>
      <c r="G1570" s="12">
        <v>0</v>
      </c>
      <c r="H1570" s="10"/>
      <c r="I1570" s="10"/>
    </row>
    <row r="1571" spans="1:9">
      <c r="A1571" s="10" t="s">
        <v>2410</v>
      </c>
      <c r="B1571" s="124" t="s">
        <v>578</v>
      </c>
      <c r="C1571" s="124" t="s">
        <v>477</v>
      </c>
      <c r="D1571" s="14">
        <v>3789564.21</v>
      </c>
      <c r="E1571" s="82">
        <v>0.99427949260000004</v>
      </c>
      <c r="F1571" s="14">
        <v>3767885.98</v>
      </c>
      <c r="G1571" s="12">
        <v>0</v>
      </c>
      <c r="H1571" s="10"/>
      <c r="I1571" s="10"/>
    </row>
    <row r="1572" spans="1:9">
      <c r="A1572" s="10" t="s">
        <v>2411</v>
      </c>
      <c r="B1572" s="124" t="s">
        <v>578</v>
      </c>
      <c r="C1572" s="124" t="s">
        <v>477</v>
      </c>
      <c r="D1572" s="14">
        <v>2510000.36</v>
      </c>
      <c r="E1572" s="82">
        <v>0.99427948690000001</v>
      </c>
      <c r="F1572" s="14">
        <v>2495641.87</v>
      </c>
      <c r="G1572" s="12">
        <v>0</v>
      </c>
      <c r="H1572" s="10"/>
      <c r="I1572" s="10"/>
    </row>
    <row r="1573" spans="1:9">
      <c r="A1573" s="10" t="s">
        <v>2413</v>
      </c>
      <c r="B1573" s="124" t="s">
        <v>473</v>
      </c>
      <c r="C1573" s="124" t="s">
        <v>477</v>
      </c>
      <c r="D1573" s="12">
        <v>530000</v>
      </c>
      <c r="E1573" s="82">
        <v>0.99672311319999995</v>
      </c>
      <c r="F1573" s="14">
        <v>528263.25</v>
      </c>
      <c r="G1573" s="12">
        <v>0</v>
      </c>
      <c r="H1573" s="10"/>
      <c r="I1573" s="10"/>
    </row>
    <row r="1574" spans="1:9">
      <c r="A1574" s="10" t="s">
        <v>2414</v>
      </c>
      <c r="B1574" s="124" t="s">
        <v>716</v>
      </c>
      <c r="C1574" s="124" t="s">
        <v>477</v>
      </c>
      <c r="D1574" s="14">
        <v>1059989.51</v>
      </c>
      <c r="E1574" s="82">
        <v>0.98223904110000004</v>
      </c>
      <c r="F1574" s="14">
        <v>1041163.08</v>
      </c>
      <c r="G1574" s="12">
        <v>0</v>
      </c>
      <c r="H1574" s="10"/>
      <c r="I1574" s="10"/>
    </row>
    <row r="1575" spans="1:9">
      <c r="A1575" s="10" t="s">
        <v>2415</v>
      </c>
      <c r="B1575" s="124" t="s">
        <v>461</v>
      </c>
      <c r="C1575" s="124" t="s">
        <v>477</v>
      </c>
      <c r="D1575" s="12">
        <v>500000</v>
      </c>
      <c r="E1575" s="82">
        <v>0.97829004019999999</v>
      </c>
      <c r="F1575" s="14">
        <v>489145.02</v>
      </c>
      <c r="G1575" s="12">
        <v>0</v>
      </c>
      <c r="H1575" s="10"/>
      <c r="I1575" s="10"/>
    </row>
    <row r="1576" spans="1:9">
      <c r="A1576" s="10" t="s">
        <v>2416</v>
      </c>
      <c r="B1576" s="124" t="s">
        <v>559</v>
      </c>
      <c r="C1576" s="124" t="s">
        <v>477</v>
      </c>
      <c r="D1576" s="14">
        <v>543369.21</v>
      </c>
      <c r="E1576" s="82">
        <v>0.97750404349999997</v>
      </c>
      <c r="F1576" s="153">
        <v>531145.6</v>
      </c>
      <c r="G1576" s="12">
        <v>0</v>
      </c>
      <c r="H1576" s="10"/>
      <c r="I1576" s="10"/>
    </row>
    <row r="1577" spans="1:9">
      <c r="A1577" s="10" t="s">
        <v>2417</v>
      </c>
      <c r="B1577" s="124" t="s">
        <v>456</v>
      </c>
      <c r="C1577" s="124" t="s">
        <v>477</v>
      </c>
      <c r="D1577" s="12">
        <v>500000</v>
      </c>
      <c r="E1577" s="82">
        <v>0.98862411989999999</v>
      </c>
      <c r="F1577" s="14">
        <v>494312.06</v>
      </c>
      <c r="G1577" s="12">
        <v>0</v>
      </c>
      <c r="H1577" s="10"/>
      <c r="I1577" s="10"/>
    </row>
    <row r="1578" spans="1:9">
      <c r="A1578" s="10" t="s">
        <v>2418</v>
      </c>
      <c r="B1578" s="124" t="s">
        <v>415</v>
      </c>
      <c r="C1578" s="124" t="s">
        <v>477</v>
      </c>
      <c r="D1578" s="12">
        <v>2500000</v>
      </c>
      <c r="E1578" s="82">
        <v>0.98462373989999996</v>
      </c>
      <c r="F1578" s="14">
        <v>2461559.35</v>
      </c>
      <c r="G1578" s="12">
        <v>0</v>
      </c>
      <c r="H1578" s="10"/>
      <c r="I1578" s="10"/>
    </row>
    <row r="1579" spans="1:9">
      <c r="A1579" s="10" t="s">
        <v>2419</v>
      </c>
      <c r="B1579" s="124" t="s">
        <v>810</v>
      </c>
      <c r="C1579" s="124" t="s">
        <v>477</v>
      </c>
      <c r="D1579" s="12">
        <v>2500000</v>
      </c>
      <c r="E1579" s="82">
        <v>0.97359305240000005</v>
      </c>
      <c r="F1579" s="14">
        <v>2433982.63</v>
      </c>
      <c r="G1579" s="12">
        <v>0</v>
      </c>
      <c r="H1579" s="10"/>
      <c r="I1579" s="10"/>
    </row>
    <row r="1580" spans="1:9">
      <c r="A1580" s="10" t="s">
        <v>2420</v>
      </c>
      <c r="B1580" s="124" t="s">
        <v>561</v>
      </c>
      <c r="C1580" s="124" t="s">
        <v>477</v>
      </c>
      <c r="D1580" s="12">
        <v>2500000</v>
      </c>
      <c r="E1580" s="157">
        <v>0.99590724399999997</v>
      </c>
      <c r="F1580" s="14">
        <v>2489768.11</v>
      </c>
      <c r="G1580" s="12">
        <v>0</v>
      </c>
      <c r="H1580" s="10"/>
      <c r="I1580" s="10"/>
    </row>
    <row r="1581" spans="1:9">
      <c r="A1581" s="10" t="s">
        <v>2421</v>
      </c>
      <c r="B1581" s="124" t="s">
        <v>456</v>
      </c>
      <c r="C1581" s="124" t="s">
        <v>477</v>
      </c>
      <c r="D1581" s="12">
        <v>2500000</v>
      </c>
      <c r="E1581" s="157">
        <v>0.98862412399999999</v>
      </c>
      <c r="F1581" s="14">
        <v>2471560.31</v>
      </c>
      <c r="G1581" s="12">
        <v>0</v>
      </c>
      <c r="H1581" s="10"/>
      <c r="I1581" s="10"/>
    </row>
    <row r="1582" spans="1:9">
      <c r="A1582" s="10" t="s">
        <v>2422</v>
      </c>
      <c r="B1582" s="124" t="s">
        <v>716</v>
      </c>
      <c r="C1582" s="124" t="s">
        <v>477</v>
      </c>
      <c r="D1582" s="14">
        <v>2269565.34</v>
      </c>
      <c r="E1582" s="82">
        <v>0.98223903990000005</v>
      </c>
      <c r="F1582" s="14">
        <v>2229255.6800000002</v>
      </c>
      <c r="G1582" s="12">
        <v>0</v>
      </c>
      <c r="H1582" s="10"/>
      <c r="I1582" s="10"/>
    </row>
    <row r="1583" spans="1:9">
      <c r="A1583" s="10" t="s">
        <v>2423</v>
      </c>
      <c r="B1583" s="124" t="s">
        <v>625</v>
      </c>
      <c r="C1583" s="124" t="s">
        <v>477</v>
      </c>
      <c r="D1583" s="12">
        <v>2270000</v>
      </c>
      <c r="E1583" s="82">
        <v>0.99917876210000001</v>
      </c>
      <c r="F1583" s="14">
        <v>2268135.79</v>
      </c>
      <c r="G1583" s="12">
        <v>0</v>
      </c>
      <c r="H1583" s="10"/>
      <c r="I1583" s="10"/>
    </row>
    <row r="1584" spans="1:9">
      <c r="A1584" s="10" t="s">
        <v>2424</v>
      </c>
      <c r="B1584" s="124" t="s">
        <v>419</v>
      </c>
      <c r="C1584" s="124" t="s">
        <v>477</v>
      </c>
      <c r="D1584" s="12">
        <v>700000</v>
      </c>
      <c r="E1584" s="82">
        <v>0.96204541389999998</v>
      </c>
      <c r="F1584" s="14">
        <v>673431.79</v>
      </c>
      <c r="G1584" s="12">
        <v>0</v>
      </c>
      <c r="H1584" s="10"/>
      <c r="I1584" s="10"/>
    </row>
    <row r="1585" spans="1:9">
      <c r="A1585" s="10" t="s">
        <v>2425</v>
      </c>
      <c r="B1585" s="124" t="s">
        <v>461</v>
      </c>
      <c r="C1585" s="124" t="s">
        <v>477</v>
      </c>
      <c r="D1585" s="12">
        <v>600000</v>
      </c>
      <c r="E1585" s="82">
        <v>0.97829001680000005</v>
      </c>
      <c r="F1585" s="14">
        <v>586974.01</v>
      </c>
      <c r="G1585" s="12">
        <v>0</v>
      </c>
      <c r="H1585" s="10"/>
      <c r="I1585" s="10"/>
    </row>
    <row r="1586" spans="1:9">
      <c r="A1586" s="10" t="s">
        <v>2426</v>
      </c>
      <c r="B1586" s="124" t="s">
        <v>657</v>
      </c>
      <c r="C1586" s="124" t="s">
        <v>477</v>
      </c>
      <c r="D1586" s="12">
        <v>750000</v>
      </c>
      <c r="E1586" s="82">
        <v>0.95151213310000005</v>
      </c>
      <c r="F1586" s="153">
        <v>713634.1</v>
      </c>
      <c r="G1586" s="12">
        <v>0</v>
      </c>
      <c r="H1586" s="10"/>
      <c r="I1586" s="10"/>
    </row>
    <row r="1587" spans="1:9">
      <c r="A1587" s="10" t="s">
        <v>2427</v>
      </c>
      <c r="B1587" s="124" t="s">
        <v>645</v>
      </c>
      <c r="C1587" s="124" t="s">
        <v>477</v>
      </c>
      <c r="D1587" s="12">
        <v>650000</v>
      </c>
      <c r="E1587" s="82">
        <v>0.97281455360000002</v>
      </c>
      <c r="F1587" s="14">
        <v>632329.46</v>
      </c>
      <c r="G1587" s="12">
        <v>0</v>
      </c>
      <c r="H1587" s="10"/>
      <c r="I1587" s="10"/>
    </row>
    <row r="1588" spans="1:9">
      <c r="A1588" s="10" t="s">
        <v>2428</v>
      </c>
      <c r="B1588" s="124" t="s">
        <v>459</v>
      </c>
      <c r="C1588" s="124" t="s">
        <v>477</v>
      </c>
      <c r="D1588" s="14">
        <v>9087933.1199999992</v>
      </c>
      <c r="E1588" s="82">
        <v>0.98382751290000003</v>
      </c>
      <c r="F1588" s="14">
        <v>8940958.6400000006</v>
      </c>
      <c r="G1588" s="14">
        <v>0.01</v>
      </c>
      <c r="H1588" s="10"/>
      <c r="I1588" s="10"/>
    </row>
    <row r="1589" spans="1:9">
      <c r="A1589" s="10" t="s">
        <v>2429</v>
      </c>
      <c r="B1589" s="124" t="s">
        <v>718</v>
      </c>
      <c r="C1589" s="124" t="s">
        <v>477</v>
      </c>
      <c r="D1589" s="12">
        <v>285000</v>
      </c>
      <c r="E1589" s="82">
        <v>0.97907736860000005</v>
      </c>
      <c r="F1589" s="14">
        <v>279037.05</v>
      </c>
      <c r="G1589" s="12">
        <v>0</v>
      </c>
      <c r="H1589" s="10"/>
      <c r="I1589" s="10"/>
    </row>
    <row r="1590" spans="1:9">
      <c r="A1590" s="10" t="s">
        <v>2430</v>
      </c>
      <c r="B1590" s="124" t="s">
        <v>517</v>
      </c>
      <c r="C1590" s="124" t="s">
        <v>477</v>
      </c>
      <c r="D1590" s="12">
        <v>16250000</v>
      </c>
      <c r="E1590" s="157">
        <v>0.98926716299999995</v>
      </c>
      <c r="F1590" s="153">
        <v>16075591.4</v>
      </c>
      <c r="G1590" s="14">
        <v>0.02</v>
      </c>
      <c r="H1590" s="10"/>
      <c r="I1590" s="10"/>
    </row>
    <row r="1591" spans="1:9">
      <c r="A1591" s="10" t="s">
        <v>2431</v>
      </c>
      <c r="B1591" s="124" t="s">
        <v>459</v>
      </c>
      <c r="C1591" s="124" t="s">
        <v>477</v>
      </c>
      <c r="D1591" s="12">
        <v>13250000</v>
      </c>
      <c r="E1591" s="82">
        <v>0.98223898990000003</v>
      </c>
      <c r="F1591" s="14">
        <v>13014666.619999999</v>
      </c>
      <c r="G1591" s="14">
        <v>0.02</v>
      </c>
      <c r="H1591" s="10"/>
      <c r="I1591" s="10"/>
    </row>
    <row r="1592" spans="1:9">
      <c r="A1592" s="10" t="s">
        <v>2432</v>
      </c>
      <c r="B1592" s="124" t="s">
        <v>559</v>
      </c>
      <c r="C1592" s="124" t="s">
        <v>477</v>
      </c>
      <c r="D1592" s="12">
        <v>16500000</v>
      </c>
      <c r="E1592" s="82">
        <v>0.9753099637</v>
      </c>
      <c r="F1592" s="153">
        <v>16092614.4</v>
      </c>
      <c r="G1592" s="14">
        <v>0.02</v>
      </c>
      <c r="H1592" s="10"/>
      <c r="I1592" s="10"/>
    </row>
    <row r="1593" spans="1:9">
      <c r="A1593" s="10" t="s">
        <v>2433</v>
      </c>
      <c r="B1593" s="124" t="s">
        <v>587</v>
      </c>
      <c r="C1593" s="124" t="s">
        <v>477</v>
      </c>
      <c r="D1593" s="14">
        <v>712621.85</v>
      </c>
      <c r="E1593" s="82">
        <v>0.96229906529999998</v>
      </c>
      <c r="F1593" s="14">
        <v>685755.34</v>
      </c>
      <c r="G1593" s="12">
        <v>0</v>
      </c>
      <c r="H1593" s="10"/>
      <c r="I1593" s="10"/>
    </row>
    <row r="1594" spans="1:9">
      <c r="A1594" s="10" t="s">
        <v>2434</v>
      </c>
      <c r="B1594" s="124" t="s">
        <v>682</v>
      </c>
      <c r="C1594" s="124" t="s">
        <v>477</v>
      </c>
      <c r="D1594" s="14">
        <v>1633163.58</v>
      </c>
      <c r="E1594" s="82">
        <v>0.97567494769999996</v>
      </c>
      <c r="F1594" s="14">
        <v>1593436.79</v>
      </c>
      <c r="G1594" s="12">
        <v>0</v>
      </c>
      <c r="H1594" s="10"/>
      <c r="I1594" s="10"/>
    </row>
    <row r="1595" spans="1:9">
      <c r="A1595" s="10" t="s">
        <v>2446</v>
      </c>
      <c r="B1595" s="124" t="s">
        <v>692</v>
      </c>
      <c r="C1595" s="124" t="s">
        <v>577</v>
      </c>
      <c r="D1595" s="12">
        <v>10000000</v>
      </c>
      <c r="E1595" s="82">
        <v>0.99222533690000003</v>
      </c>
      <c r="F1595" s="14">
        <v>9922253.3699999992</v>
      </c>
      <c r="G1595" s="14">
        <v>0.01</v>
      </c>
      <c r="H1595" s="10"/>
      <c r="I1595" s="10"/>
    </row>
    <row r="1596" spans="1:9">
      <c r="A1596" s="10" t="s">
        <v>2447</v>
      </c>
      <c r="B1596" s="124" t="s">
        <v>561</v>
      </c>
      <c r="C1596" s="124" t="s">
        <v>577</v>
      </c>
      <c r="D1596" s="12">
        <v>20000000</v>
      </c>
      <c r="E1596" s="82">
        <v>0.99645100149999999</v>
      </c>
      <c r="F1596" s="14">
        <v>19929020.030000001</v>
      </c>
      <c r="G1596" s="14">
        <v>0.02</v>
      </c>
      <c r="H1596" s="10"/>
      <c r="I1596" s="10"/>
    </row>
    <row r="1597" spans="1:9">
      <c r="A1597" s="10" t="s">
        <v>2449</v>
      </c>
      <c r="B1597" s="124" t="s">
        <v>578</v>
      </c>
      <c r="C1597" s="124" t="s">
        <v>577</v>
      </c>
      <c r="D1597" s="12">
        <v>10000000</v>
      </c>
      <c r="E1597" s="157">
        <v>0.99574425300000002</v>
      </c>
      <c r="F1597" s="14">
        <v>9957442.5299999993</v>
      </c>
      <c r="G1597" s="14">
        <v>0.01</v>
      </c>
      <c r="H1597" s="10"/>
      <c r="I1597" s="10"/>
    </row>
    <row r="1598" spans="1:9">
      <c r="A1598" s="10" t="s">
        <v>2450</v>
      </c>
      <c r="B1598" s="124" t="s">
        <v>505</v>
      </c>
      <c r="C1598" s="124" t="s">
        <v>577</v>
      </c>
      <c r="D1598" s="12">
        <v>10000000</v>
      </c>
      <c r="E1598" s="157">
        <v>0.99503846600000001</v>
      </c>
      <c r="F1598" s="14">
        <v>9950384.6600000001</v>
      </c>
      <c r="G1598" s="14">
        <v>0.01</v>
      </c>
      <c r="H1598" s="10"/>
      <c r="I1598" s="10"/>
    </row>
    <row r="1599" spans="1:9">
      <c r="A1599" s="10" t="s">
        <v>2451</v>
      </c>
      <c r="B1599" s="124" t="s">
        <v>559</v>
      </c>
      <c r="C1599" s="124" t="s">
        <v>577</v>
      </c>
      <c r="D1599" s="12">
        <v>88000000</v>
      </c>
      <c r="E1599" s="82">
        <v>0.97970806960000001</v>
      </c>
      <c r="F1599" s="14">
        <v>86214310.120000005</v>
      </c>
      <c r="G1599" s="14">
        <v>0.11</v>
      </c>
      <c r="H1599" s="10"/>
      <c r="I1599" s="10"/>
    </row>
    <row r="1600" spans="1:9">
      <c r="A1600" s="10" t="s">
        <v>2452</v>
      </c>
      <c r="B1600" s="124" t="s">
        <v>559</v>
      </c>
      <c r="C1600" s="124" t="s">
        <v>577</v>
      </c>
      <c r="D1600" s="12">
        <v>92000000</v>
      </c>
      <c r="E1600" s="82">
        <v>0.97970806960000001</v>
      </c>
      <c r="F1600" s="153">
        <v>90133142.400000006</v>
      </c>
      <c r="G1600" s="14">
        <v>0.11</v>
      </c>
      <c r="H1600" s="10"/>
      <c r="I1600" s="10"/>
    </row>
    <row r="1601" spans="1:9">
      <c r="A1601" s="10" t="s">
        <v>2453</v>
      </c>
      <c r="B1601" s="124" t="s">
        <v>587</v>
      </c>
      <c r="C1601" s="124" t="s">
        <v>577</v>
      </c>
      <c r="D1601" s="12">
        <v>22000000</v>
      </c>
      <c r="E1601" s="157">
        <v>0.95813106299999995</v>
      </c>
      <c r="F1601" s="14">
        <v>21078883.390000001</v>
      </c>
      <c r="G1601" s="14">
        <v>0.03</v>
      </c>
      <c r="H1601" s="10"/>
      <c r="I1601" s="10"/>
    </row>
    <row r="1602" spans="1:9">
      <c r="A1602" s="10" t="s">
        <v>2454</v>
      </c>
      <c r="B1602" s="124" t="s">
        <v>587</v>
      </c>
      <c r="C1602" s="124" t="s">
        <v>577</v>
      </c>
      <c r="D1602" s="12">
        <v>30000000</v>
      </c>
      <c r="E1602" s="157">
        <v>0.95813106299999995</v>
      </c>
      <c r="F1602" s="14">
        <v>28743931.890000001</v>
      </c>
      <c r="G1602" s="14">
        <v>0.04</v>
      </c>
      <c r="H1602" s="10"/>
      <c r="I1602" s="10"/>
    </row>
    <row r="1603" spans="1:9">
      <c r="A1603" s="10" t="s">
        <v>2455</v>
      </c>
      <c r="B1603" s="124" t="s">
        <v>587</v>
      </c>
      <c r="C1603" s="124" t="s">
        <v>577</v>
      </c>
      <c r="D1603" s="12">
        <v>10000000</v>
      </c>
      <c r="E1603" s="157">
        <v>0.95813106299999995</v>
      </c>
      <c r="F1603" s="14">
        <v>9581310.6300000008</v>
      </c>
      <c r="G1603" s="14">
        <v>0.01</v>
      </c>
      <c r="H1603" s="10"/>
      <c r="I1603" s="10"/>
    </row>
    <row r="1604" spans="1:9">
      <c r="A1604" s="10" t="s">
        <v>2456</v>
      </c>
      <c r="B1604" s="124" t="s">
        <v>587</v>
      </c>
      <c r="C1604" s="124" t="s">
        <v>577</v>
      </c>
      <c r="D1604" s="12">
        <v>18000000</v>
      </c>
      <c r="E1604" s="157">
        <v>0.95813106299999995</v>
      </c>
      <c r="F1604" s="14">
        <v>17246359.129999999</v>
      </c>
      <c r="G1604" s="14">
        <v>0.02</v>
      </c>
      <c r="H1604" s="10"/>
      <c r="I1604" s="10"/>
    </row>
    <row r="1605" spans="1:9">
      <c r="A1605" s="10" t="s">
        <v>2457</v>
      </c>
      <c r="B1605" s="124" t="s">
        <v>587</v>
      </c>
      <c r="C1605" s="124" t="s">
        <v>577</v>
      </c>
      <c r="D1605" s="12">
        <v>15000000</v>
      </c>
      <c r="E1605" s="157">
        <v>0.95813106299999995</v>
      </c>
      <c r="F1605" s="14">
        <v>14371965.949999999</v>
      </c>
      <c r="G1605" s="14">
        <v>0.02</v>
      </c>
      <c r="H1605" s="10"/>
      <c r="I1605" s="10"/>
    </row>
    <row r="1606" spans="1:9">
      <c r="A1606" s="10" t="s">
        <v>2458</v>
      </c>
      <c r="B1606" s="124" t="s">
        <v>587</v>
      </c>
      <c r="C1606" s="124" t="s">
        <v>577</v>
      </c>
      <c r="D1606" s="12">
        <v>12000000</v>
      </c>
      <c r="E1606" s="157">
        <v>0.95813106299999995</v>
      </c>
      <c r="F1606" s="14">
        <v>11497572.76</v>
      </c>
      <c r="G1606" s="14">
        <v>0.01</v>
      </c>
      <c r="H1606" s="10"/>
      <c r="I1606" s="10"/>
    </row>
    <row r="1607" spans="1:9">
      <c r="A1607" s="10" t="s">
        <v>2459</v>
      </c>
      <c r="B1607" s="124" t="s">
        <v>587</v>
      </c>
      <c r="C1607" s="124" t="s">
        <v>577</v>
      </c>
      <c r="D1607" s="12">
        <v>24600000</v>
      </c>
      <c r="E1607" s="157">
        <v>0.95813106299999995</v>
      </c>
      <c r="F1607" s="14">
        <v>23570024.149999999</v>
      </c>
      <c r="G1607" s="14">
        <v>0.03</v>
      </c>
      <c r="H1607" s="10"/>
      <c r="I1607" s="10"/>
    </row>
    <row r="1608" spans="1:9">
      <c r="A1608" s="10" t="s">
        <v>2460</v>
      </c>
      <c r="B1608" s="124" t="s">
        <v>752</v>
      </c>
      <c r="C1608" s="124" t="s">
        <v>577</v>
      </c>
      <c r="D1608" s="12">
        <v>5000000</v>
      </c>
      <c r="E1608" s="82">
        <v>0.96042533360000004</v>
      </c>
      <c r="F1608" s="14">
        <v>4802126.67</v>
      </c>
      <c r="G1608" s="14">
        <v>0.01</v>
      </c>
      <c r="H1608" s="10"/>
      <c r="I1608" s="10"/>
    </row>
    <row r="1609" spans="1:9">
      <c r="A1609" s="10" t="s">
        <v>2461</v>
      </c>
      <c r="B1609" s="124" t="s">
        <v>746</v>
      </c>
      <c r="C1609" s="124" t="s">
        <v>577</v>
      </c>
      <c r="D1609" s="12">
        <v>315500000</v>
      </c>
      <c r="E1609" s="82">
        <v>0.98462373270000003</v>
      </c>
      <c r="F1609" s="14">
        <v>310648787.67000002</v>
      </c>
      <c r="G1609" s="14">
        <v>0.38</v>
      </c>
      <c r="H1609" s="10"/>
      <c r="I1609" s="10"/>
    </row>
    <row r="1610" spans="1:9">
      <c r="A1610" s="10" t="s">
        <v>2462</v>
      </c>
      <c r="B1610" s="124" t="s">
        <v>716</v>
      </c>
      <c r="C1610" s="124" t="s">
        <v>577</v>
      </c>
      <c r="D1610" s="14">
        <v>6355928.2400000002</v>
      </c>
      <c r="E1610" s="82">
        <v>0.98049756610000005</v>
      </c>
      <c r="F1610" s="14">
        <v>6231972.1699999999</v>
      </c>
      <c r="G1610" s="14">
        <v>0.01</v>
      </c>
      <c r="H1610" s="10"/>
      <c r="I1610" s="10"/>
    </row>
    <row r="1611" spans="1:9">
      <c r="A1611" s="10" t="s">
        <v>2463</v>
      </c>
      <c r="B1611" s="124" t="s">
        <v>573</v>
      </c>
      <c r="C1611" s="124" t="s">
        <v>577</v>
      </c>
      <c r="D1611" s="14">
        <v>6355928.2300000004</v>
      </c>
      <c r="E1611" s="82">
        <v>0.95345084369999999</v>
      </c>
      <c r="F1611" s="14">
        <v>6060065.1299999999</v>
      </c>
      <c r="G1611" s="14">
        <v>0.01</v>
      </c>
      <c r="H1611" s="10"/>
      <c r="I1611" s="10"/>
    </row>
    <row r="1612" spans="1:9">
      <c r="A1612" s="10" t="s">
        <v>2464</v>
      </c>
      <c r="B1612" s="124" t="s">
        <v>716</v>
      </c>
      <c r="C1612" s="124" t="s">
        <v>577</v>
      </c>
      <c r="D1612" s="14">
        <v>6355928.2400000002</v>
      </c>
      <c r="E1612" s="82">
        <v>0.98049756610000005</v>
      </c>
      <c r="F1612" s="14">
        <v>6231972.1699999999</v>
      </c>
      <c r="G1612" s="14">
        <v>0.01</v>
      </c>
      <c r="H1612" s="10"/>
      <c r="I1612" s="10"/>
    </row>
    <row r="1613" spans="1:9">
      <c r="A1613" s="10" t="s">
        <v>2465</v>
      </c>
      <c r="B1613" s="124" t="s">
        <v>573</v>
      </c>
      <c r="C1613" s="124" t="s">
        <v>577</v>
      </c>
      <c r="D1613" s="14">
        <v>6355928.2400000002</v>
      </c>
      <c r="E1613" s="82">
        <v>0.95345084369999999</v>
      </c>
      <c r="F1613" s="14">
        <v>6060065.1399999997</v>
      </c>
      <c r="G1613" s="14">
        <v>0.01</v>
      </c>
      <c r="H1613" s="10"/>
      <c r="I1613" s="10"/>
    </row>
    <row r="1614" spans="1:9">
      <c r="A1614" s="10" t="s">
        <v>2466</v>
      </c>
      <c r="B1614" s="124" t="s">
        <v>625</v>
      </c>
      <c r="C1614" s="124" t="s">
        <v>577</v>
      </c>
      <c r="D1614" s="12">
        <v>20000000</v>
      </c>
      <c r="E1614" s="82">
        <v>0.99909670949999996</v>
      </c>
      <c r="F1614" s="14">
        <v>19981934.190000001</v>
      </c>
      <c r="G1614" s="14">
        <v>0.02</v>
      </c>
      <c r="H1614" s="10"/>
      <c r="I1614" s="10"/>
    </row>
    <row r="1615" spans="1:9">
      <c r="A1615" s="10" t="s">
        <v>2467</v>
      </c>
      <c r="B1615" s="124" t="s">
        <v>513</v>
      </c>
      <c r="C1615" s="124" t="s">
        <v>577</v>
      </c>
      <c r="D1615" s="12">
        <v>60000000</v>
      </c>
      <c r="E1615" s="82">
        <v>0.98398669589999999</v>
      </c>
      <c r="F1615" s="14">
        <v>59039201.75</v>
      </c>
      <c r="G1615" s="14">
        <v>7.0000000000000007E-2</v>
      </c>
      <c r="H1615" s="10"/>
      <c r="I1615" s="10"/>
    </row>
    <row r="1616" spans="1:9">
      <c r="A1616" s="10" t="s">
        <v>2468</v>
      </c>
      <c r="B1616" s="124" t="s">
        <v>419</v>
      </c>
      <c r="C1616" s="124" t="s">
        <v>577</v>
      </c>
      <c r="D1616" s="12">
        <v>60000000</v>
      </c>
      <c r="E1616" s="82">
        <v>0.95840779549999999</v>
      </c>
      <c r="F1616" s="14">
        <v>57504467.729999997</v>
      </c>
      <c r="G1616" s="14">
        <v>7.0000000000000007E-2</v>
      </c>
      <c r="H1616" s="10"/>
      <c r="I1616" s="10"/>
    </row>
    <row r="1617" spans="1:9">
      <c r="A1617" s="10" t="s">
        <v>2469</v>
      </c>
      <c r="B1617" s="124" t="s">
        <v>419</v>
      </c>
      <c r="C1617" s="124" t="s">
        <v>577</v>
      </c>
      <c r="D1617" s="12">
        <v>100000000</v>
      </c>
      <c r="E1617" s="82">
        <v>0.95840779549999999</v>
      </c>
      <c r="F1617" s="14">
        <v>95840779.549999997</v>
      </c>
      <c r="G1617" s="14">
        <v>0.12</v>
      </c>
      <c r="H1617" s="10"/>
      <c r="I1617" s="10"/>
    </row>
    <row r="1618" spans="1:9">
      <c r="A1618" s="10" t="s">
        <v>2470</v>
      </c>
      <c r="B1618" s="124" t="s">
        <v>627</v>
      </c>
      <c r="C1618" s="124" t="s">
        <v>577</v>
      </c>
      <c r="D1618" s="12">
        <v>60000000</v>
      </c>
      <c r="E1618" s="82">
        <v>0.9485447119</v>
      </c>
      <c r="F1618" s="14">
        <v>56912682.710000001</v>
      </c>
      <c r="G1618" s="14">
        <v>7.0000000000000007E-2</v>
      </c>
      <c r="H1618" s="10"/>
      <c r="I1618" s="10"/>
    </row>
    <row r="1619" spans="1:9">
      <c r="A1619" s="10" t="s">
        <v>2471</v>
      </c>
      <c r="B1619" s="124" t="s">
        <v>625</v>
      </c>
      <c r="C1619" s="124" t="s">
        <v>577</v>
      </c>
      <c r="D1619" s="12">
        <v>60000000</v>
      </c>
      <c r="E1619" s="82">
        <v>0.99909670949999996</v>
      </c>
      <c r="F1619" s="14">
        <v>59945802.57</v>
      </c>
      <c r="G1619" s="14">
        <v>7.0000000000000007E-2</v>
      </c>
      <c r="H1619" s="10"/>
      <c r="I1619" s="10"/>
    </row>
    <row r="1620" spans="1:9">
      <c r="A1620" s="10" t="s">
        <v>2472</v>
      </c>
      <c r="B1620" s="124" t="s">
        <v>810</v>
      </c>
      <c r="C1620" s="124" t="s">
        <v>577</v>
      </c>
      <c r="D1620" s="12">
        <v>100000000</v>
      </c>
      <c r="E1620" s="82">
        <v>0.97102883340000001</v>
      </c>
      <c r="F1620" s="14">
        <v>97102883.340000004</v>
      </c>
      <c r="G1620" s="14">
        <v>0.12</v>
      </c>
      <c r="H1620" s="10"/>
      <c r="I1620" s="10"/>
    </row>
    <row r="1621" spans="1:9">
      <c r="A1621" s="10" t="s">
        <v>2473</v>
      </c>
      <c r="B1621" s="124" t="s">
        <v>810</v>
      </c>
      <c r="C1621" s="124" t="s">
        <v>577</v>
      </c>
      <c r="D1621" s="12">
        <v>60000000</v>
      </c>
      <c r="E1621" s="82">
        <v>0.97102883340000001</v>
      </c>
      <c r="F1621" s="12">
        <v>58261730</v>
      </c>
      <c r="G1621" s="14">
        <v>7.0000000000000007E-2</v>
      </c>
      <c r="H1621" s="10"/>
      <c r="I1621" s="10"/>
    </row>
    <row r="1622" spans="1:9">
      <c r="A1622" s="10" t="s">
        <v>2474</v>
      </c>
      <c r="B1622" s="124" t="s">
        <v>746</v>
      </c>
      <c r="C1622" s="124" t="s">
        <v>577</v>
      </c>
      <c r="D1622" s="12">
        <v>80000000</v>
      </c>
      <c r="E1622" s="82">
        <v>0.98661985510000005</v>
      </c>
      <c r="F1622" s="14">
        <v>78929588.409999996</v>
      </c>
      <c r="G1622" s="153">
        <v>0.1</v>
      </c>
      <c r="H1622" s="10"/>
      <c r="I1622" s="10"/>
    </row>
    <row r="1623" spans="1:9">
      <c r="A1623" s="10" t="s">
        <v>2475</v>
      </c>
      <c r="B1623" s="124" t="s">
        <v>510</v>
      </c>
      <c r="C1623" s="124" t="s">
        <v>577</v>
      </c>
      <c r="D1623" s="12">
        <v>80000000</v>
      </c>
      <c r="E1623" s="82">
        <v>0.98136755860000002</v>
      </c>
      <c r="F1623" s="14">
        <v>78509404.689999998</v>
      </c>
      <c r="G1623" s="153">
        <v>0.1</v>
      </c>
      <c r="H1623" s="10"/>
      <c r="I1623" s="10"/>
    </row>
    <row r="1624" spans="1:9">
      <c r="A1624" s="10" t="s">
        <v>2476</v>
      </c>
      <c r="B1624" s="124" t="s">
        <v>587</v>
      </c>
      <c r="C1624" s="124" t="s">
        <v>577</v>
      </c>
      <c r="D1624" s="12">
        <v>80000000</v>
      </c>
      <c r="E1624" s="82">
        <v>0.95262960190000001</v>
      </c>
      <c r="F1624" s="14">
        <v>76210368.150000006</v>
      </c>
      <c r="G1624" s="14">
        <v>0.09</v>
      </c>
      <c r="H1624" s="10"/>
      <c r="I1624" s="10"/>
    </row>
    <row r="1625" spans="1:9">
      <c r="A1625" s="10" t="s">
        <v>2477</v>
      </c>
      <c r="B1625" s="124" t="s">
        <v>810</v>
      </c>
      <c r="C1625" s="124" t="s">
        <v>577</v>
      </c>
      <c r="D1625" s="12">
        <v>80000000</v>
      </c>
      <c r="E1625" s="82">
        <v>0.97102883340000001</v>
      </c>
      <c r="F1625" s="14">
        <v>77682306.670000002</v>
      </c>
      <c r="G1625" s="153">
        <v>0.1</v>
      </c>
      <c r="H1625" s="10"/>
      <c r="I1625" s="10"/>
    </row>
    <row r="1626" spans="1:9">
      <c r="A1626" s="10" t="s">
        <v>2478</v>
      </c>
      <c r="B1626" s="124" t="s">
        <v>625</v>
      </c>
      <c r="C1626" s="124" t="s">
        <v>577</v>
      </c>
      <c r="D1626" s="12">
        <v>80000000</v>
      </c>
      <c r="E1626" s="82">
        <v>0.99909670939999995</v>
      </c>
      <c r="F1626" s="14">
        <v>79927736.75</v>
      </c>
      <c r="G1626" s="153">
        <v>0.1</v>
      </c>
      <c r="H1626" s="10"/>
      <c r="I1626" s="10"/>
    </row>
    <row r="1627" spans="1:9">
      <c r="A1627" s="10" t="s">
        <v>2479</v>
      </c>
      <c r="B1627" s="124" t="s">
        <v>2230</v>
      </c>
      <c r="C1627" s="124" t="s">
        <v>577</v>
      </c>
      <c r="D1627" s="12">
        <v>55000000</v>
      </c>
      <c r="E1627" s="82">
        <v>0.90696759319999998</v>
      </c>
      <c r="F1627" s="14">
        <v>49883217.630000003</v>
      </c>
      <c r="G1627" s="14">
        <v>0.06</v>
      </c>
      <c r="H1627" s="10"/>
      <c r="I1627" s="10"/>
    </row>
    <row r="1628" spans="1:9">
      <c r="A1628" s="10" t="s">
        <v>2480</v>
      </c>
      <c r="B1628" s="124" t="s">
        <v>1887</v>
      </c>
      <c r="C1628" s="124" t="s">
        <v>577</v>
      </c>
      <c r="D1628" s="12">
        <v>45000000</v>
      </c>
      <c r="E1628" s="82">
        <v>0.88721455250000003</v>
      </c>
      <c r="F1628" s="14">
        <v>39924654.859999999</v>
      </c>
      <c r="G1628" s="14">
        <v>0.05</v>
      </c>
      <c r="H1628" s="10"/>
      <c r="I1628" s="10"/>
    </row>
    <row r="1629" spans="1:9">
      <c r="A1629" s="10" t="s">
        <v>2481</v>
      </c>
      <c r="B1629" s="124" t="s">
        <v>1446</v>
      </c>
      <c r="C1629" s="124" t="s">
        <v>577</v>
      </c>
      <c r="D1629" s="12">
        <v>45000000</v>
      </c>
      <c r="E1629" s="82">
        <v>0.90480925430000003</v>
      </c>
      <c r="F1629" s="14">
        <v>40716416.439999998</v>
      </c>
      <c r="G1629" s="14">
        <v>0.05</v>
      </c>
      <c r="H1629" s="10"/>
      <c r="I1629" s="10"/>
    </row>
    <row r="1630" spans="1:9">
      <c r="A1630" s="10" t="s">
        <v>2482</v>
      </c>
      <c r="B1630" s="124" t="s">
        <v>1553</v>
      </c>
      <c r="C1630" s="124" t="s">
        <v>577</v>
      </c>
      <c r="D1630" s="12">
        <v>45000000</v>
      </c>
      <c r="E1630" s="82">
        <v>0.88172782370000002</v>
      </c>
      <c r="F1630" s="14">
        <v>39677752.07</v>
      </c>
      <c r="G1630" s="14">
        <v>0.05</v>
      </c>
      <c r="H1630" s="10"/>
      <c r="I1630" s="10"/>
    </row>
    <row r="1631" spans="1:9">
      <c r="A1631" s="10" t="s">
        <v>2483</v>
      </c>
      <c r="B1631" s="124" t="s">
        <v>2484</v>
      </c>
      <c r="C1631" s="124" t="s">
        <v>577</v>
      </c>
      <c r="D1631" s="12">
        <v>45000000</v>
      </c>
      <c r="E1631" s="82">
        <v>0.88104670060000001</v>
      </c>
      <c r="F1631" s="14">
        <v>39647101.530000001</v>
      </c>
      <c r="G1631" s="14">
        <v>0.05</v>
      </c>
      <c r="H1631" s="10"/>
      <c r="I1631" s="10"/>
    </row>
    <row r="1632" spans="1:9">
      <c r="A1632" s="10" t="s">
        <v>2496</v>
      </c>
      <c r="B1632" s="124" t="s">
        <v>682</v>
      </c>
      <c r="C1632" s="124" t="s">
        <v>452</v>
      </c>
      <c r="D1632" s="12">
        <v>1082000000</v>
      </c>
      <c r="E1632" s="157">
        <v>0.96484275399999997</v>
      </c>
      <c r="F1632" s="14">
        <v>1043959859.83</v>
      </c>
      <c r="G1632" s="14">
        <v>1.28</v>
      </c>
      <c r="H1632" s="10"/>
      <c r="I1632" s="10"/>
    </row>
    <row r="1633" spans="1:9">
      <c r="A1633" s="10" t="s">
        <v>2497</v>
      </c>
      <c r="B1633" s="124" t="s">
        <v>682</v>
      </c>
      <c r="C1633" s="124" t="s">
        <v>452</v>
      </c>
      <c r="D1633" s="12">
        <v>100000000</v>
      </c>
      <c r="E1633" s="157">
        <v>0.96484275399999997</v>
      </c>
      <c r="F1633" s="153">
        <v>96484275.400000006</v>
      </c>
      <c r="G1633" s="14">
        <v>0.12</v>
      </c>
      <c r="H1633" s="10"/>
      <c r="I1633" s="10"/>
    </row>
    <row r="1634" spans="1:9">
      <c r="A1634" s="10" t="s">
        <v>2498</v>
      </c>
      <c r="B1634" s="124" t="s">
        <v>645</v>
      </c>
      <c r="C1634" s="124" t="s">
        <v>452</v>
      </c>
      <c r="D1634" s="12">
        <v>100000000</v>
      </c>
      <c r="E1634" s="82">
        <v>0.96581295820000002</v>
      </c>
      <c r="F1634" s="14">
        <v>96581295.819999993</v>
      </c>
      <c r="G1634" s="14">
        <v>0.12</v>
      </c>
      <c r="H1634" s="10"/>
      <c r="I1634" s="10"/>
    </row>
    <row r="1635" spans="1:9">
      <c r="A1635" s="10" t="s">
        <v>2499</v>
      </c>
      <c r="B1635" s="124" t="s">
        <v>925</v>
      </c>
      <c r="C1635" s="124" t="s">
        <v>452</v>
      </c>
      <c r="D1635" s="12">
        <v>65000000</v>
      </c>
      <c r="E1635" s="82">
        <v>0.96007157759999995</v>
      </c>
      <c r="F1635" s="14">
        <v>62404652.539999999</v>
      </c>
      <c r="G1635" s="14">
        <v>0.08</v>
      </c>
      <c r="H1635" s="10"/>
      <c r="I1635" s="10"/>
    </row>
    <row r="1636" spans="1:9">
      <c r="A1636" s="10" t="s">
        <v>2500</v>
      </c>
      <c r="B1636" s="124" t="s">
        <v>746</v>
      </c>
      <c r="C1636" s="124" t="s">
        <v>452</v>
      </c>
      <c r="D1636" s="12">
        <v>65000000</v>
      </c>
      <c r="E1636" s="82">
        <v>0.98661988550000002</v>
      </c>
      <c r="F1636" s="14">
        <v>64130292.560000002</v>
      </c>
      <c r="G1636" s="14">
        <v>0.08</v>
      </c>
      <c r="H1636" s="10"/>
      <c r="I1636" s="10"/>
    </row>
    <row r="1637" spans="1:9">
      <c r="A1637" s="10" t="s">
        <v>2501</v>
      </c>
      <c r="B1637" s="124" t="s">
        <v>578</v>
      </c>
      <c r="C1637" s="124" t="s">
        <v>452</v>
      </c>
      <c r="D1637" s="12">
        <v>5000000</v>
      </c>
      <c r="E1637" s="157">
        <v>0.995092698</v>
      </c>
      <c r="F1637" s="14">
        <v>4975463.49</v>
      </c>
      <c r="G1637" s="14">
        <v>0.01</v>
      </c>
      <c r="H1637" s="10"/>
      <c r="I1637" s="10"/>
    </row>
    <row r="1638" spans="1:9">
      <c r="A1638" s="10" t="s">
        <v>2502</v>
      </c>
      <c r="B1638" s="124" t="s">
        <v>505</v>
      </c>
      <c r="C1638" s="124" t="s">
        <v>452</v>
      </c>
      <c r="D1638" s="12">
        <v>5000000</v>
      </c>
      <c r="E1638" s="82">
        <v>0.99427953390000001</v>
      </c>
      <c r="F1638" s="14">
        <v>4971397.67</v>
      </c>
      <c r="G1638" s="14">
        <v>0.01</v>
      </c>
      <c r="H1638" s="10"/>
      <c r="I1638" s="10"/>
    </row>
    <row r="1639" spans="1:9">
      <c r="A1639" s="10" t="s">
        <v>2503</v>
      </c>
      <c r="B1639" s="124" t="s">
        <v>746</v>
      </c>
      <c r="C1639" s="124" t="s">
        <v>452</v>
      </c>
      <c r="D1639" s="12">
        <v>5000000</v>
      </c>
      <c r="E1639" s="157">
        <v>0.98782144599999999</v>
      </c>
      <c r="F1639" s="14">
        <v>4939107.2300000004</v>
      </c>
      <c r="G1639" s="14">
        <v>0.01</v>
      </c>
      <c r="H1639" s="10"/>
      <c r="I1639" s="10"/>
    </row>
    <row r="1640" spans="1:9">
      <c r="A1640" s="10" t="s">
        <v>2504</v>
      </c>
      <c r="B1640" s="124" t="s">
        <v>746</v>
      </c>
      <c r="C1640" s="124" t="s">
        <v>452</v>
      </c>
      <c r="D1640" s="12">
        <v>5000000</v>
      </c>
      <c r="E1640" s="157">
        <v>0.98782144599999999</v>
      </c>
      <c r="F1640" s="14">
        <v>4939107.2300000004</v>
      </c>
      <c r="G1640" s="14">
        <v>0.01</v>
      </c>
      <c r="H1640" s="10"/>
      <c r="I1640" s="10"/>
    </row>
    <row r="1641" spans="1:9">
      <c r="A1641" s="10" t="s">
        <v>2505</v>
      </c>
      <c r="B1641" s="124" t="s">
        <v>513</v>
      </c>
      <c r="C1641" s="124" t="s">
        <v>452</v>
      </c>
      <c r="D1641" s="12">
        <v>5000000</v>
      </c>
      <c r="E1641" s="82">
        <v>0.98542125589999996</v>
      </c>
      <c r="F1641" s="14">
        <v>4927106.28</v>
      </c>
      <c r="G1641" s="14">
        <v>0.01</v>
      </c>
      <c r="H1641" s="10"/>
      <c r="I1641" s="10"/>
    </row>
    <row r="1642" spans="1:9">
      <c r="A1642" s="10" t="s">
        <v>2506</v>
      </c>
      <c r="B1642" s="124" t="s">
        <v>634</v>
      </c>
      <c r="C1642" s="124" t="s">
        <v>452</v>
      </c>
      <c r="D1642" s="14">
        <v>382772.09</v>
      </c>
      <c r="E1642" s="82">
        <v>0.96847818740000002</v>
      </c>
      <c r="F1642" s="14">
        <v>370706.42</v>
      </c>
      <c r="G1642" s="12">
        <v>0</v>
      </c>
      <c r="H1642" s="10"/>
      <c r="I1642" s="10"/>
    </row>
    <row r="1643" spans="1:9">
      <c r="A1643" s="10" t="s">
        <v>2507</v>
      </c>
      <c r="B1643" s="124" t="s">
        <v>559</v>
      </c>
      <c r="C1643" s="124" t="s">
        <v>452</v>
      </c>
      <c r="D1643" s="14">
        <v>204483.81</v>
      </c>
      <c r="E1643" s="82">
        <v>0.97531002570000003</v>
      </c>
      <c r="F1643" s="14">
        <v>199435.11</v>
      </c>
      <c r="G1643" s="12">
        <v>0</v>
      </c>
      <c r="H1643" s="10"/>
      <c r="I1643" s="10"/>
    </row>
    <row r="1644" spans="1:9">
      <c r="A1644" s="10" t="s">
        <v>2508</v>
      </c>
      <c r="B1644" s="124" t="s">
        <v>657</v>
      </c>
      <c r="C1644" s="124" t="s">
        <v>452</v>
      </c>
      <c r="D1644" s="14">
        <v>204483.81</v>
      </c>
      <c r="E1644" s="82">
        <v>0.94692073610000005</v>
      </c>
      <c r="F1644" s="14">
        <v>193629.96</v>
      </c>
      <c r="G1644" s="12">
        <v>0</v>
      </c>
      <c r="H1644" s="10"/>
      <c r="I1644" s="10"/>
    </row>
    <row r="1645" spans="1:9">
      <c r="A1645" s="10" t="s">
        <v>2509</v>
      </c>
      <c r="B1645" s="124" t="s">
        <v>1113</v>
      </c>
      <c r="C1645" s="124" t="s">
        <v>452</v>
      </c>
      <c r="D1645" s="14">
        <v>10386286.039999999</v>
      </c>
      <c r="E1645" s="82">
        <v>0.92236945280000004</v>
      </c>
      <c r="F1645" s="14">
        <v>9579992.9700000007</v>
      </c>
      <c r="G1645" s="14">
        <v>0.01</v>
      </c>
      <c r="H1645" s="10"/>
      <c r="I1645" s="10"/>
    </row>
    <row r="1646" spans="1:9">
      <c r="A1646" s="10" t="s">
        <v>2510</v>
      </c>
      <c r="B1646" s="124" t="s">
        <v>743</v>
      </c>
      <c r="C1646" s="124" t="s">
        <v>452</v>
      </c>
      <c r="D1646" s="14">
        <v>10386286.039999999</v>
      </c>
      <c r="E1646" s="82">
        <v>0.94451928439999999</v>
      </c>
      <c r="F1646" s="14">
        <v>9810047.4600000009</v>
      </c>
      <c r="G1646" s="14">
        <v>0.01</v>
      </c>
      <c r="H1646" s="10"/>
      <c r="I1646" s="10"/>
    </row>
    <row r="1647" spans="1:9">
      <c r="A1647" s="10" t="s">
        <v>2511</v>
      </c>
      <c r="B1647" s="124" t="s">
        <v>645</v>
      </c>
      <c r="C1647" s="124" t="s">
        <v>452</v>
      </c>
      <c r="D1647" s="14">
        <v>10386286.039999999</v>
      </c>
      <c r="E1647" s="82">
        <v>0.97105466659999995</v>
      </c>
      <c r="F1647" s="14">
        <v>10085651.529999999</v>
      </c>
      <c r="G1647" s="14">
        <v>0.01</v>
      </c>
      <c r="H1647" s="10"/>
      <c r="I1647" s="10"/>
    </row>
    <row r="1648" spans="1:9">
      <c r="A1648" s="10" t="s">
        <v>2512</v>
      </c>
      <c r="B1648" s="124" t="s">
        <v>741</v>
      </c>
      <c r="C1648" s="124" t="s">
        <v>452</v>
      </c>
      <c r="D1648" s="14">
        <v>11145337.859999999</v>
      </c>
      <c r="E1648" s="82">
        <v>0.92611404929999996</v>
      </c>
      <c r="F1648" s="14">
        <v>10321853.98</v>
      </c>
      <c r="G1648" s="14">
        <v>0.01</v>
      </c>
      <c r="H1648" s="10"/>
      <c r="I1648" s="10"/>
    </row>
    <row r="1649" spans="1:9">
      <c r="A1649" s="10" t="s">
        <v>2513</v>
      </c>
      <c r="B1649" s="124" t="s">
        <v>810</v>
      </c>
      <c r="C1649" s="124" t="s">
        <v>452</v>
      </c>
      <c r="D1649" s="14">
        <v>11145337.859999999</v>
      </c>
      <c r="E1649" s="82">
        <v>0.97188210659999996</v>
      </c>
      <c r="F1649" s="14">
        <v>10831954.439999999</v>
      </c>
      <c r="G1649" s="14">
        <v>0.01</v>
      </c>
      <c r="H1649" s="10"/>
      <c r="I1649" s="10"/>
    </row>
    <row r="1650" spans="1:9">
      <c r="A1650" s="10" t="s">
        <v>2514</v>
      </c>
      <c r="B1650" s="124" t="s">
        <v>657</v>
      </c>
      <c r="C1650" s="124" t="s">
        <v>452</v>
      </c>
      <c r="D1650" s="14">
        <v>11145337.859999999</v>
      </c>
      <c r="E1650" s="82">
        <v>0.94844626180000002</v>
      </c>
      <c r="F1650" s="14">
        <v>10570754.029999999</v>
      </c>
      <c r="G1650" s="14">
        <v>0.01</v>
      </c>
      <c r="H1650" s="10"/>
      <c r="I1650" s="10"/>
    </row>
    <row r="1651" spans="1:9">
      <c r="A1651" s="10" t="s">
        <v>2515</v>
      </c>
      <c r="B1651" s="124" t="s">
        <v>746</v>
      </c>
      <c r="C1651" s="124" t="s">
        <v>452</v>
      </c>
      <c r="D1651" s="12">
        <v>50000000</v>
      </c>
      <c r="E1651" s="82">
        <v>0.98702008050000001</v>
      </c>
      <c r="F1651" s="14">
        <v>49351004.030000001</v>
      </c>
      <c r="G1651" s="14">
        <v>0.06</v>
      </c>
      <c r="H1651" s="10"/>
      <c r="I1651" s="10"/>
    </row>
    <row r="1652" spans="1:9">
      <c r="A1652" s="10" t="s">
        <v>2516</v>
      </c>
      <c r="B1652" s="124" t="s">
        <v>667</v>
      </c>
      <c r="C1652" s="124" t="s">
        <v>452</v>
      </c>
      <c r="D1652" s="12">
        <v>50000000</v>
      </c>
      <c r="E1652" s="157">
        <v>0.95881061499999998</v>
      </c>
      <c r="F1652" s="14">
        <v>47940530.75</v>
      </c>
      <c r="G1652" s="14">
        <v>0.06</v>
      </c>
      <c r="H1652" s="10"/>
      <c r="I1652" s="10"/>
    </row>
    <row r="1653" spans="1:9">
      <c r="A1653" s="10" t="s">
        <v>2517</v>
      </c>
      <c r="B1653" s="124" t="s">
        <v>610</v>
      </c>
      <c r="C1653" s="124" t="s">
        <v>452</v>
      </c>
      <c r="D1653" s="12">
        <v>50000000</v>
      </c>
      <c r="E1653" s="157">
        <v>0.97520585299999996</v>
      </c>
      <c r="F1653" s="14">
        <v>48760292.649999999</v>
      </c>
      <c r="G1653" s="14">
        <v>0.06</v>
      </c>
      <c r="H1653" s="10"/>
      <c r="I1653" s="10"/>
    </row>
    <row r="1654" spans="1:9">
      <c r="A1654" s="10" t="s">
        <v>2518</v>
      </c>
      <c r="B1654" s="124" t="s">
        <v>556</v>
      </c>
      <c r="C1654" s="124" t="s">
        <v>452</v>
      </c>
      <c r="D1654" s="12">
        <v>150000000</v>
      </c>
      <c r="E1654" s="82">
        <v>0.96586398520000005</v>
      </c>
      <c r="F1654" s="14">
        <v>144879597.78</v>
      </c>
      <c r="G1654" s="14">
        <v>0.18</v>
      </c>
      <c r="H1654" s="10"/>
      <c r="I1654" s="10"/>
    </row>
    <row r="1655" spans="1:9">
      <c r="A1655" s="10" t="s">
        <v>2519</v>
      </c>
      <c r="B1655" s="124" t="s">
        <v>925</v>
      </c>
      <c r="C1655" s="124" t="s">
        <v>452</v>
      </c>
      <c r="D1655" s="12">
        <v>150000000</v>
      </c>
      <c r="E1655" s="82">
        <v>0.96356919620000003</v>
      </c>
      <c r="F1655" s="14">
        <v>144535379.43000001</v>
      </c>
      <c r="G1655" s="14">
        <v>0.18</v>
      </c>
      <c r="H1655" s="10"/>
      <c r="I1655" s="10"/>
    </row>
    <row r="1656" spans="1:9">
      <c r="A1656" s="10" t="s">
        <v>2520</v>
      </c>
      <c r="B1656" s="124" t="s">
        <v>559</v>
      </c>
      <c r="C1656" s="124" t="s">
        <v>452</v>
      </c>
      <c r="D1656" s="14">
        <v>3535037.55</v>
      </c>
      <c r="E1656" s="82">
        <v>0.97750403249999995</v>
      </c>
      <c r="F1656" s="14">
        <v>3455513.46</v>
      </c>
      <c r="G1656" s="12">
        <v>0</v>
      </c>
      <c r="H1656" s="10"/>
      <c r="I1656" s="10"/>
    </row>
    <row r="1657" spans="1:9">
      <c r="A1657" s="10" t="s">
        <v>2521</v>
      </c>
      <c r="B1657" s="124" t="s">
        <v>762</v>
      </c>
      <c r="C1657" s="124" t="s">
        <v>452</v>
      </c>
      <c r="D1657" s="14">
        <v>3535037.55</v>
      </c>
      <c r="E1657" s="82">
        <v>0.95225672709999998</v>
      </c>
      <c r="F1657" s="14">
        <v>3366263.29</v>
      </c>
      <c r="G1657" s="12">
        <v>0</v>
      </c>
      <c r="H1657" s="10"/>
      <c r="I1657" s="10"/>
    </row>
    <row r="1658" spans="1:9">
      <c r="A1658" s="10" t="s">
        <v>2522</v>
      </c>
      <c r="B1658" s="124" t="s">
        <v>974</v>
      </c>
      <c r="C1658" s="124" t="s">
        <v>452</v>
      </c>
      <c r="D1658" s="14">
        <v>3535037.55</v>
      </c>
      <c r="E1658" s="82">
        <v>0.93183566679999996</v>
      </c>
      <c r="F1658" s="14">
        <v>3294074.07</v>
      </c>
      <c r="G1658" s="12">
        <v>0</v>
      </c>
      <c r="H1658" s="10"/>
      <c r="I1658" s="10"/>
    </row>
    <row r="1659" spans="1:9">
      <c r="A1659" s="10" t="s">
        <v>2523</v>
      </c>
      <c r="B1659" s="124" t="s">
        <v>746</v>
      </c>
      <c r="C1659" s="124" t="s">
        <v>452</v>
      </c>
      <c r="D1659" s="153">
        <v>409929.9</v>
      </c>
      <c r="E1659" s="21">
        <v>0.98782143</v>
      </c>
      <c r="F1659" s="14">
        <v>404937.54</v>
      </c>
      <c r="G1659" s="12">
        <v>0</v>
      </c>
      <c r="H1659" s="10"/>
      <c r="I1659" s="10"/>
    </row>
    <row r="1660" spans="1:9">
      <c r="A1660" s="10" t="s">
        <v>2524</v>
      </c>
      <c r="B1660" s="124" t="s">
        <v>752</v>
      </c>
      <c r="C1660" s="124" t="s">
        <v>452</v>
      </c>
      <c r="D1660" s="153">
        <v>2195601.9</v>
      </c>
      <c r="E1660" s="82">
        <v>0.96280680009999997</v>
      </c>
      <c r="F1660" s="14">
        <v>2113940.44</v>
      </c>
      <c r="G1660" s="12">
        <v>0</v>
      </c>
      <c r="H1660" s="10"/>
      <c r="I1660" s="10"/>
    </row>
    <row r="1661" spans="1:9">
      <c r="A1661" s="10" t="s">
        <v>2525</v>
      </c>
      <c r="B1661" s="124" t="s">
        <v>513</v>
      </c>
      <c r="C1661" s="124" t="s">
        <v>452</v>
      </c>
      <c r="D1661" s="12">
        <v>5920000</v>
      </c>
      <c r="E1661" s="82">
        <v>0.98542125830000005</v>
      </c>
      <c r="F1661" s="14">
        <v>5833693.8499999996</v>
      </c>
      <c r="G1661" s="14">
        <v>0.01</v>
      </c>
      <c r="H1661" s="10"/>
      <c r="I1661" s="10"/>
    </row>
    <row r="1662" spans="1:9">
      <c r="A1662" s="10" t="s">
        <v>2526</v>
      </c>
      <c r="B1662" s="124" t="s">
        <v>419</v>
      </c>
      <c r="C1662" s="124" t="s">
        <v>452</v>
      </c>
      <c r="D1662" s="12">
        <v>5900000</v>
      </c>
      <c r="E1662" s="82">
        <v>0.96204544179999996</v>
      </c>
      <c r="F1662" s="14">
        <v>5676068.1100000003</v>
      </c>
      <c r="G1662" s="14">
        <v>0.01</v>
      </c>
      <c r="H1662" s="10"/>
      <c r="I1662" s="10"/>
    </row>
    <row r="1663" spans="1:9">
      <c r="A1663" s="10" t="s">
        <v>2527</v>
      </c>
      <c r="B1663" s="124" t="s">
        <v>810</v>
      </c>
      <c r="C1663" s="124" t="s">
        <v>452</v>
      </c>
      <c r="D1663" s="12">
        <v>5910000</v>
      </c>
      <c r="E1663" s="82">
        <v>0.97359306950000002</v>
      </c>
      <c r="F1663" s="14">
        <v>5753935.04</v>
      </c>
      <c r="G1663" s="14">
        <v>0.01</v>
      </c>
      <c r="H1663" s="10"/>
      <c r="I1663" s="10"/>
    </row>
    <row r="1664" spans="1:9">
      <c r="A1664" s="10" t="s">
        <v>2528</v>
      </c>
      <c r="B1664" s="124" t="s">
        <v>625</v>
      </c>
      <c r="C1664" s="124" t="s">
        <v>452</v>
      </c>
      <c r="D1664" s="12">
        <v>5930000</v>
      </c>
      <c r="E1664" s="82">
        <v>0.99917876220000001</v>
      </c>
      <c r="F1664" s="14">
        <v>5925130.0599999996</v>
      </c>
      <c r="G1664" s="14">
        <v>0.01</v>
      </c>
      <c r="H1664" s="10"/>
      <c r="I1664" s="10"/>
    </row>
    <row r="1665" spans="1:9">
      <c r="A1665" s="10" t="s">
        <v>2529</v>
      </c>
      <c r="B1665" s="124" t="s">
        <v>743</v>
      </c>
      <c r="C1665" s="124" t="s">
        <v>452</v>
      </c>
      <c r="D1665" s="12">
        <v>5890000</v>
      </c>
      <c r="E1665" s="82">
        <v>0.9478058439</v>
      </c>
      <c r="F1665" s="14">
        <v>5582576.4199999999</v>
      </c>
      <c r="G1665" s="14">
        <v>0.01</v>
      </c>
      <c r="H1665" s="10"/>
      <c r="I1665" s="10"/>
    </row>
    <row r="1666" spans="1:9">
      <c r="A1666" s="10" t="s">
        <v>2530</v>
      </c>
      <c r="B1666" s="124" t="s">
        <v>283</v>
      </c>
      <c r="C1666" s="124" t="s">
        <v>452</v>
      </c>
      <c r="D1666" s="12">
        <v>37500000</v>
      </c>
      <c r="E1666" s="82">
        <v>0.92686645509999999</v>
      </c>
      <c r="F1666" s="14">
        <v>34757492.07</v>
      </c>
      <c r="G1666" s="14">
        <v>0.04</v>
      </c>
      <c r="H1666" s="10"/>
      <c r="I1666" s="10"/>
    </row>
    <row r="1667" spans="1:9">
      <c r="A1667" s="10" t="s">
        <v>2531</v>
      </c>
      <c r="B1667" s="124" t="s">
        <v>283</v>
      </c>
      <c r="C1667" s="124" t="s">
        <v>452</v>
      </c>
      <c r="D1667" s="12">
        <v>37500000</v>
      </c>
      <c r="E1667" s="82">
        <v>0.92686645509999999</v>
      </c>
      <c r="F1667" s="14">
        <v>34757492.07</v>
      </c>
      <c r="G1667" s="14">
        <v>0.04</v>
      </c>
      <c r="H1667" s="10"/>
      <c r="I1667" s="10"/>
    </row>
    <row r="1668" spans="1:9">
      <c r="A1668" s="10" t="s">
        <v>2532</v>
      </c>
      <c r="B1668" s="124" t="s">
        <v>283</v>
      </c>
      <c r="C1668" s="124" t="s">
        <v>452</v>
      </c>
      <c r="D1668" s="12">
        <v>37500000</v>
      </c>
      <c r="E1668" s="82">
        <v>0.92686645509999999</v>
      </c>
      <c r="F1668" s="14">
        <v>34757492.07</v>
      </c>
      <c r="G1668" s="14">
        <v>0.04</v>
      </c>
      <c r="H1668" s="10"/>
      <c r="I1668" s="10"/>
    </row>
    <row r="1669" spans="1:9">
      <c r="A1669" s="10" t="s">
        <v>2533</v>
      </c>
      <c r="B1669" s="124" t="s">
        <v>741</v>
      </c>
      <c r="C1669" s="124" t="s">
        <v>452</v>
      </c>
      <c r="D1669" s="12">
        <v>37500000</v>
      </c>
      <c r="E1669" s="82">
        <v>0.92611404929999996</v>
      </c>
      <c r="F1669" s="14">
        <v>34729276.850000001</v>
      </c>
      <c r="G1669" s="14">
        <v>0.04</v>
      </c>
      <c r="H1669" s="10"/>
      <c r="I1669" s="10"/>
    </row>
    <row r="1670" spans="1:9">
      <c r="A1670" s="10" t="s">
        <v>2534</v>
      </c>
      <c r="B1670" s="124" t="s">
        <v>473</v>
      </c>
      <c r="C1670" s="124" t="s">
        <v>452</v>
      </c>
      <c r="D1670" s="12">
        <v>50000000</v>
      </c>
      <c r="E1670" s="82">
        <v>0.99650543160000005</v>
      </c>
      <c r="F1670" s="14">
        <v>49825271.579999998</v>
      </c>
      <c r="G1670" s="14">
        <v>0.06</v>
      </c>
      <c r="H1670" s="10"/>
      <c r="I1670" s="10"/>
    </row>
    <row r="1671" spans="1:9">
      <c r="A1671" s="10" t="s">
        <v>2535</v>
      </c>
      <c r="B1671" s="124" t="s">
        <v>561</v>
      </c>
      <c r="C1671" s="124" t="s">
        <v>452</v>
      </c>
      <c r="D1671" s="12">
        <v>50000000</v>
      </c>
      <c r="E1671" s="82">
        <v>0.99563558870000002</v>
      </c>
      <c r="F1671" s="14">
        <v>49781779.439999998</v>
      </c>
      <c r="G1671" s="14">
        <v>0.06</v>
      </c>
      <c r="H1671" s="10"/>
      <c r="I1671" s="10"/>
    </row>
    <row r="1672" spans="1:9">
      <c r="A1672" s="10" t="s">
        <v>2542</v>
      </c>
      <c r="B1672" s="124" t="s">
        <v>552</v>
      </c>
      <c r="C1672" s="124" t="s">
        <v>464</v>
      </c>
      <c r="D1672" s="12">
        <v>1000000</v>
      </c>
      <c r="E1672" s="82">
        <v>0.96425662040000004</v>
      </c>
      <c r="F1672" s="14">
        <v>964256.62</v>
      </c>
      <c r="G1672" s="12">
        <v>0</v>
      </c>
      <c r="H1672" s="10"/>
      <c r="I1672" s="10"/>
    </row>
    <row r="1673" spans="1:9">
      <c r="A1673" s="10" t="s">
        <v>2543</v>
      </c>
      <c r="B1673" s="124" t="s">
        <v>552</v>
      </c>
      <c r="C1673" s="124" t="s">
        <v>464</v>
      </c>
      <c r="D1673" s="12">
        <v>5000000</v>
      </c>
      <c r="E1673" s="82">
        <v>0.96425661829999998</v>
      </c>
      <c r="F1673" s="14">
        <v>4821283.09</v>
      </c>
      <c r="G1673" s="14">
        <v>0.01</v>
      </c>
      <c r="H1673" s="10"/>
      <c r="I1673" s="10"/>
    </row>
    <row r="1674" spans="1:9">
      <c r="A1674" s="10" t="s">
        <v>2544</v>
      </c>
      <c r="B1674" s="124" t="s">
        <v>415</v>
      </c>
      <c r="C1674" s="124" t="s">
        <v>464</v>
      </c>
      <c r="D1674" s="12">
        <v>80000000</v>
      </c>
      <c r="E1674" s="82">
        <v>0.98311212810000004</v>
      </c>
      <c r="F1674" s="14">
        <v>78648970.25</v>
      </c>
      <c r="G1674" s="153">
        <v>0.1</v>
      </c>
      <c r="H1674" s="10"/>
      <c r="I1674" s="10"/>
    </row>
    <row r="1675" spans="1:9">
      <c r="A1675" s="10" t="s">
        <v>2545</v>
      </c>
      <c r="B1675" s="124" t="s">
        <v>667</v>
      </c>
      <c r="C1675" s="124" t="s">
        <v>464</v>
      </c>
      <c r="D1675" s="12">
        <v>80000000</v>
      </c>
      <c r="E1675" s="157">
        <v>0.95757810300000001</v>
      </c>
      <c r="F1675" s="14">
        <v>76606248.239999995</v>
      </c>
      <c r="G1675" s="14">
        <v>0.09</v>
      </c>
      <c r="H1675" s="10"/>
      <c r="I1675" s="10"/>
    </row>
    <row r="1676" spans="1:9">
      <c r="A1676" s="10" t="s">
        <v>2546</v>
      </c>
      <c r="B1676" s="124" t="s">
        <v>587</v>
      </c>
      <c r="C1676" s="124" t="s">
        <v>464</v>
      </c>
      <c r="D1676" s="12">
        <v>80000000</v>
      </c>
      <c r="E1676" s="82">
        <v>0.95262971129999996</v>
      </c>
      <c r="F1676" s="153">
        <v>76210376.900000006</v>
      </c>
      <c r="G1676" s="14">
        <v>0.09</v>
      </c>
      <c r="H1676" s="10"/>
      <c r="I1676" s="10"/>
    </row>
    <row r="1677" spans="1:9">
      <c r="A1677" s="10" t="s">
        <v>2547</v>
      </c>
      <c r="B1677" s="124" t="s">
        <v>559</v>
      </c>
      <c r="C1677" s="124" t="s">
        <v>464</v>
      </c>
      <c r="D1677" s="12">
        <v>80000000</v>
      </c>
      <c r="E1677" s="82">
        <v>0.97531002060000005</v>
      </c>
      <c r="F1677" s="14">
        <v>78024801.650000006</v>
      </c>
      <c r="G1677" s="153">
        <v>0.1</v>
      </c>
      <c r="H1677" s="10"/>
      <c r="I1677" s="10"/>
    </row>
    <row r="1678" spans="1:9">
      <c r="A1678" s="10" t="s">
        <v>2548</v>
      </c>
      <c r="B1678" s="124" t="s">
        <v>645</v>
      </c>
      <c r="C1678" s="124" t="s">
        <v>464</v>
      </c>
      <c r="D1678" s="12">
        <v>100000000</v>
      </c>
      <c r="E1678" s="82">
        <v>0.97281461270000003</v>
      </c>
      <c r="F1678" s="14">
        <v>97281461.269999996</v>
      </c>
      <c r="G1678" s="14">
        <v>0.12</v>
      </c>
      <c r="H1678" s="10"/>
      <c r="I1678" s="10"/>
    </row>
    <row r="1679" spans="1:9">
      <c r="A1679" s="10" t="s">
        <v>2549</v>
      </c>
      <c r="B1679" s="124" t="s">
        <v>645</v>
      </c>
      <c r="C1679" s="124" t="s">
        <v>464</v>
      </c>
      <c r="D1679" s="12">
        <v>100000000</v>
      </c>
      <c r="E1679" s="82">
        <v>0.97281461270000003</v>
      </c>
      <c r="F1679" s="14">
        <v>97281461.269999996</v>
      </c>
      <c r="G1679" s="14">
        <v>0.12</v>
      </c>
      <c r="H1679" s="10"/>
      <c r="I1679" s="10"/>
    </row>
    <row r="1680" spans="1:9">
      <c r="A1680" s="10" t="s">
        <v>2550</v>
      </c>
      <c r="B1680" s="124" t="s">
        <v>645</v>
      </c>
      <c r="C1680" s="124" t="s">
        <v>464</v>
      </c>
      <c r="D1680" s="12">
        <v>100000000</v>
      </c>
      <c r="E1680" s="82">
        <v>0.97281461270000003</v>
      </c>
      <c r="F1680" s="14">
        <v>97281461.269999996</v>
      </c>
      <c r="G1680" s="14">
        <v>0.12</v>
      </c>
      <c r="H1680" s="10"/>
      <c r="I1680" s="10"/>
    </row>
    <row r="1681" spans="1:9">
      <c r="A1681" s="10" t="s">
        <v>2551</v>
      </c>
      <c r="B1681" s="124" t="s">
        <v>645</v>
      </c>
      <c r="C1681" s="124" t="s">
        <v>464</v>
      </c>
      <c r="D1681" s="12">
        <v>100000000</v>
      </c>
      <c r="E1681" s="82">
        <v>0.97281461270000003</v>
      </c>
      <c r="F1681" s="14">
        <v>97281461.269999996</v>
      </c>
      <c r="G1681" s="14">
        <v>0.12</v>
      </c>
      <c r="H1681" s="10"/>
      <c r="I1681" s="10"/>
    </row>
    <row r="1682" spans="1:9">
      <c r="A1682" s="10" t="s">
        <v>2552</v>
      </c>
      <c r="B1682" s="124" t="s">
        <v>456</v>
      </c>
      <c r="C1682" s="124" t="s">
        <v>464</v>
      </c>
      <c r="D1682" s="12">
        <v>4250000</v>
      </c>
      <c r="E1682" s="82">
        <v>0.98862407070000002</v>
      </c>
      <c r="F1682" s="153">
        <v>4201652.3</v>
      </c>
      <c r="G1682" s="14">
        <v>0.01</v>
      </c>
      <c r="H1682" s="10"/>
      <c r="I1682" s="10"/>
    </row>
    <row r="1683" spans="1:9">
      <c r="A1683" s="10" t="s">
        <v>2553</v>
      </c>
      <c r="B1683" s="124" t="s">
        <v>459</v>
      </c>
      <c r="C1683" s="124" t="s">
        <v>464</v>
      </c>
      <c r="D1683" s="12">
        <v>4250000</v>
      </c>
      <c r="E1683" s="82">
        <v>0.98382756220000001</v>
      </c>
      <c r="F1683" s="14">
        <v>4181267.14</v>
      </c>
      <c r="G1683" s="14">
        <v>0.01</v>
      </c>
      <c r="H1683" s="10"/>
      <c r="I1683" s="10"/>
    </row>
    <row r="1684" spans="1:9">
      <c r="A1684" s="10" t="s">
        <v>2554</v>
      </c>
      <c r="B1684" s="124" t="s">
        <v>463</v>
      </c>
      <c r="C1684" s="124" t="s">
        <v>464</v>
      </c>
      <c r="D1684" s="12">
        <v>4250000</v>
      </c>
      <c r="E1684" s="82">
        <v>0.98942807529999999</v>
      </c>
      <c r="F1684" s="14">
        <v>4205069.32</v>
      </c>
      <c r="G1684" s="14">
        <v>0.01</v>
      </c>
      <c r="H1684" s="10"/>
      <c r="I1684" s="10"/>
    </row>
    <row r="1685" spans="1:9">
      <c r="A1685" s="10" t="s">
        <v>2555</v>
      </c>
      <c r="B1685" s="124" t="s">
        <v>415</v>
      </c>
      <c r="C1685" s="124" t="s">
        <v>464</v>
      </c>
      <c r="D1685" s="12">
        <v>4250000</v>
      </c>
      <c r="E1685" s="82">
        <v>0.98462377879999996</v>
      </c>
      <c r="F1685" s="14">
        <v>4184651.06</v>
      </c>
      <c r="G1685" s="14">
        <v>0.01</v>
      </c>
      <c r="H1685" s="10"/>
      <c r="I1685" s="10"/>
    </row>
    <row r="1686" spans="1:9">
      <c r="A1686" s="10" t="s">
        <v>2556</v>
      </c>
      <c r="B1686" s="124" t="s">
        <v>419</v>
      </c>
      <c r="C1686" s="124" t="s">
        <v>464</v>
      </c>
      <c r="D1686" s="12">
        <v>5000000</v>
      </c>
      <c r="E1686" s="82">
        <v>0.95840790060000003</v>
      </c>
      <c r="F1686" s="153">
        <v>4792039.5</v>
      </c>
      <c r="G1686" s="14">
        <v>0.01</v>
      </c>
      <c r="H1686" s="10"/>
      <c r="I1686" s="10"/>
    </row>
    <row r="1687" spans="1:9">
      <c r="A1687" s="10" t="s">
        <v>2557</v>
      </c>
      <c r="B1687" s="124" t="s">
        <v>587</v>
      </c>
      <c r="C1687" s="124" t="s">
        <v>464</v>
      </c>
      <c r="D1687" s="12">
        <v>5000000</v>
      </c>
      <c r="E1687" s="82">
        <v>0.95262971259999996</v>
      </c>
      <c r="F1687" s="14">
        <v>4763148.5599999996</v>
      </c>
      <c r="G1687" s="14">
        <v>0.01</v>
      </c>
      <c r="H1687" s="10"/>
      <c r="I1687" s="10"/>
    </row>
    <row r="1688" spans="1:9">
      <c r="A1688" s="10" t="s">
        <v>2558</v>
      </c>
      <c r="B1688" s="124" t="s">
        <v>657</v>
      </c>
      <c r="C1688" s="124" t="s">
        <v>464</v>
      </c>
      <c r="D1688" s="12">
        <v>5000000</v>
      </c>
      <c r="E1688" s="82">
        <v>0.94692057460000001</v>
      </c>
      <c r="F1688" s="14">
        <v>4734602.87</v>
      </c>
      <c r="G1688" s="14">
        <v>0.01</v>
      </c>
      <c r="H1688" s="10"/>
      <c r="I1688" s="10"/>
    </row>
    <row r="1689" spans="1:9">
      <c r="A1689" s="10" t="s">
        <v>2561</v>
      </c>
      <c r="B1689" s="124" t="s">
        <v>992</v>
      </c>
      <c r="C1689" s="124" t="s">
        <v>603</v>
      </c>
      <c r="D1689" s="12">
        <v>1734700</v>
      </c>
      <c r="E1689" s="82">
        <v>0.92162424089999995</v>
      </c>
      <c r="F1689" s="14">
        <v>1598741.57</v>
      </c>
      <c r="G1689" s="12">
        <v>0</v>
      </c>
      <c r="H1689" s="10"/>
      <c r="I1689" s="10"/>
    </row>
    <row r="1690" spans="1:9">
      <c r="A1690" s="10" t="s">
        <v>2562</v>
      </c>
      <c r="B1690" s="124" t="s">
        <v>645</v>
      </c>
      <c r="C1690" s="124" t="s">
        <v>603</v>
      </c>
      <c r="D1690" s="12">
        <v>1734700</v>
      </c>
      <c r="E1690" s="82">
        <v>0.97105458570000003</v>
      </c>
      <c r="F1690" s="14">
        <v>1684488.39</v>
      </c>
      <c r="G1690" s="12">
        <v>0</v>
      </c>
      <c r="H1690" s="10"/>
      <c r="I1690" s="10"/>
    </row>
    <row r="1691" spans="1:9">
      <c r="A1691" s="10" t="s">
        <v>2563</v>
      </c>
      <c r="B1691" s="124" t="s">
        <v>670</v>
      </c>
      <c r="C1691" s="124" t="s">
        <v>603</v>
      </c>
      <c r="D1691" s="12">
        <v>1734700</v>
      </c>
      <c r="E1691" s="82">
        <v>0.94373786780000002</v>
      </c>
      <c r="F1691" s="14">
        <v>1637102.08</v>
      </c>
      <c r="G1691" s="12">
        <v>0</v>
      </c>
      <c r="H1691" s="10"/>
      <c r="I1691" s="10"/>
    </row>
    <row r="1692" spans="1:9">
      <c r="A1692" s="10" t="s">
        <v>2564</v>
      </c>
      <c r="B1692" s="124" t="s">
        <v>2565</v>
      </c>
      <c r="C1692" s="124" t="s">
        <v>603</v>
      </c>
      <c r="D1692" s="153">
        <v>6700113.5999999996</v>
      </c>
      <c r="E1692" s="82">
        <v>0.90266112970000001</v>
      </c>
      <c r="F1692" s="14">
        <v>6047932.1100000003</v>
      </c>
      <c r="G1692" s="14">
        <v>0.01</v>
      </c>
      <c r="H1692" s="10"/>
      <c r="I1692" s="10"/>
    </row>
    <row r="1693" spans="1:9">
      <c r="A1693" s="10" t="s">
        <v>2566</v>
      </c>
      <c r="B1693" s="124" t="s">
        <v>431</v>
      </c>
      <c r="C1693" s="124" t="s">
        <v>603</v>
      </c>
      <c r="D1693" s="14">
        <v>1211583.6200000001</v>
      </c>
      <c r="E1693" s="82">
        <v>0.9127739292</v>
      </c>
      <c r="F1693" s="14">
        <v>1105901.94</v>
      </c>
      <c r="G1693" s="12">
        <v>0</v>
      </c>
      <c r="H1693" s="10"/>
      <c r="I1693" s="10"/>
    </row>
    <row r="1694" spans="1:9">
      <c r="A1694" s="10" t="s">
        <v>2567</v>
      </c>
      <c r="B1694" s="124" t="s">
        <v>645</v>
      </c>
      <c r="C1694" s="124" t="s">
        <v>603</v>
      </c>
      <c r="D1694" s="14">
        <v>1055400.46</v>
      </c>
      <c r="E1694" s="82">
        <v>0.97105458929999999</v>
      </c>
      <c r="F1694" s="14">
        <v>1024851.46</v>
      </c>
      <c r="G1694" s="12">
        <v>0</v>
      </c>
      <c r="H1694" s="10"/>
      <c r="I1694" s="10"/>
    </row>
    <row r="1695" spans="1:9">
      <c r="A1695" s="10" t="s">
        <v>2568</v>
      </c>
      <c r="B1695" s="124" t="s">
        <v>743</v>
      </c>
      <c r="C1695" s="124" t="s">
        <v>603</v>
      </c>
      <c r="D1695" s="14">
        <v>1055400.46</v>
      </c>
      <c r="E1695" s="82">
        <v>0.94451940069999996</v>
      </c>
      <c r="F1695" s="14">
        <v>996846.21</v>
      </c>
      <c r="G1695" s="12">
        <v>0</v>
      </c>
      <c r="H1695" s="10"/>
      <c r="I1695" s="10"/>
    </row>
    <row r="1696" spans="1:9">
      <c r="A1696" s="10" t="s">
        <v>2569</v>
      </c>
      <c r="B1696" s="124" t="s">
        <v>1446</v>
      </c>
      <c r="C1696" s="124" t="s">
        <v>603</v>
      </c>
      <c r="D1696" s="12">
        <v>661730</v>
      </c>
      <c r="E1696" s="82">
        <v>0.90480921130000003</v>
      </c>
      <c r="F1696" s="153">
        <v>598739.4</v>
      </c>
      <c r="G1696" s="12">
        <v>0</v>
      </c>
      <c r="H1696" s="10"/>
      <c r="I1696" s="10"/>
    </row>
    <row r="1697" spans="1:9">
      <c r="A1697" s="10" t="s">
        <v>2570</v>
      </c>
      <c r="B1697" s="124" t="s">
        <v>283</v>
      </c>
      <c r="C1697" s="124" t="s">
        <v>603</v>
      </c>
      <c r="D1697" s="12">
        <v>661730</v>
      </c>
      <c r="E1697" s="82">
        <v>0.92686654619999997</v>
      </c>
      <c r="F1697" s="153">
        <v>613335.4</v>
      </c>
      <c r="G1697" s="12">
        <v>0</v>
      </c>
      <c r="H1697" s="10"/>
      <c r="I1697" s="10"/>
    </row>
    <row r="1698" spans="1:9">
      <c r="A1698" s="10" t="s">
        <v>2571</v>
      </c>
      <c r="B1698" s="124" t="s">
        <v>559</v>
      </c>
      <c r="C1698" s="124" t="s">
        <v>603</v>
      </c>
      <c r="D1698" s="12">
        <v>661730</v>
      </c>
      <c r="E1698" s="82">
        <v>0.97604030369999994</v>
      </c>
      <c r="F1698" s="14">
        <v>645875.15</v>
      </c>
      <c r="G1698" s="12">
        <v>0</v>
      </c>
      <c r="H1698" s="10"/>
      <c r="I1698" s="10"/>
    </row>
    <row r="1699" spans="1:9">
      <c r="A1699" s="10" t="s">
        <v>2572</v>
      </c>
      <c r="B1699" s="124" t="s">
        <v>657</v>
      </c>
      <c r="C1699" s="124" t="s">
        <v>603</v>
      </c>
      <c r="D1699" s="12">
        <v>661730</v>
      </c>
      <c r="E1699" s="157">
        <v>0.94844616400000004</v>
      </c>
      <c r="F1699" s="14">
        <v>627615.28</v>
      </c>
      <c r="G1699" s="12">
        <v>0</v>
      </c>
      <c r="H1699" s="10"/>
      <c r="I1699" s="10"/>
    </row>
    <row r="1700" spans="1:9">
      <c r="A1700" s="10" t="s">
        <v>2573</v>
      </c>
      <c r="B1700" s="124" t="s">
        <v>616</v>
      </c>
      <c r="C1700" s="124" t="s">
        <v>603</v>
      </c>
      <c r="D1700" s="12">
        <v>250000</v>
      </c>
      <c r="E1700" s="82">
        <v>0.91570500119999998</v>
      </c>
      <c r="F1700" s="14">
        <v>228926.25</v>
      </c>
      <c r="G1700" s="12">
        <v>0</v>
      </c>
      <c r="H1700" s="10"/>
      <c r="I1700" s="10"/>
    </row>
    <row r="1701" spans="1:9">
      <c r="A1701" s="10" t="s">
        <v>2574</v>
      </c>
      <c r="B1701" s="124" t="s">
        <v>1525</v>
      </c>
      <c r="C1701" s="124" t="s">
        <v>603</v>
      </c>
      <c r="D1701" s="12">
        <v>1660000</v>
      </c>
      <c r="E1701" s="157">
        <v>0.92013717500000003</v>
      </c>
      <c r="F1701" s="14">
        <v>1527427.71</v>
      </c>
      <c r="G1701" s="12">
        <v>0</v>
      </c>
      <c r="H1701" s="10"/>
      <c r="I1701" s="10"/>
    </row>
    <row r="1702" spans="1:9">
      <c r="A1702" s="10" t="s">
        <v>2575</v>
      </c>
      <c r="B1702" s="124" t="s">
        <v>636</v>
      </c>
      <c r="C1702" s="124" t="s">
        <v>603</v>
      </c>
      <c r="D1702" s="12">
        <v>1660000</v>
      </c>
      <c r="E1702" s="82">
        <v>0.94295760880000001</v>
      </c>
      <c r="F1702" s="14">
        <v>1565309.63</v>
      </c>
      <c r="G1702" s="12">
        <v>0</v>
      </c>
      <c r="H1702" s="10"/>
      <c r="I1702" s="10"/>
    </row>
    <row r="1703" spans="1:9">
      <c r="A1703" s="10" t="s">
        <v>2576</v>
      </c>
      <c r="B1703" s="124" t="s">
        <v>552</v>
      </c>
      <c r="C1703" s="124" t="s">
        <v>603</v>
      </c>
      <c r="D1703" s="12">
        <v>1660000</v>
      </c>
      <c r="E1703" s="82">
        <v>0.96530202990000002</v>
      </c>
      <c r="F1703" s="14">
        <v>1602401.37</v>
      </c>
      <c r="G1703" s="12">
        <v>0</v>
      </c>
      <c r="H1703" s="10"/>
      <c r="I1703" s="10"/>
    </row>
    <row r="1704" spans="1:9">
      <c r="A1704" s="10" t="s">
        <v>2577</v>
      </c>
      <c r="B1704" s="124" t="s">
        <v>2152</v>
      </c>
      <c r="C1704" s="124" t="s">
        <v>603</v>
      </c>
      <c r="D1704" s="153">
        <v>2336718.2999999998</v>
      </c>
      <c r="E1704" s="82">
        <v>0.90194728940000002</v>
      </c>
      <c r="F1704" s="14">
        <v>2107596.7400000002</v>
      </c>
      <c r="G1704" s="12">
        <v>0</v>
      </c>
      <c r="H1704" s="10"/>
      <c r="I1704" s="10"/>
    </row>
    <row r="1705" spans="1:9">
      <c r="A1705" s="10" t="s">
        <v>2578</v>
      </c>
      <c r="B1705" s="124" t="s">
        <v>1813</v>
      </c>
      <c r="C1705" s="124" t="s">
        <v>603</v>
      </c>
      <c r="D1705" s="153">
        <v>2336718.2999999998</v>
      </c>
      <c r="E1705" s="82">
        <v>0.92536256949999995</v>
      </c>
      <c r="F1705" s="14">
        <v>2162311.65</v>
      </c>
      <c r="G1705" s="12">
        <v>0</v>
      </c>
      <c r="H1705" s="10"/>
      <c r="I1705" s="10"/>
    </row>
    <row r="1706" spans="1:9">
      <c r="A1706" s="10" t="s">
        <v>2579</v>
      </c>
      <c r="B1706" s="124" t="s">
        <v>645</v>
      </c>
      <c r="C1706" s="124" t="s">
        <v>603</v>
      </c>
      <c r="D1706" s="153">
        <v>2336718.2999999998</v>
      </c>
      <c r="E1706" s="82">
        <v>0.97105460239999997</v>
      </c>
      <c r="F1706" s="14">
        <v>2269081.06</v>
      </c>
      <c r="G1706" s="12">
        <v>0</v>
      </c>
      <c r="H1706" s="10"/>
      <c r="I1706" s="10"/>
    </row>
    <row r="1707" spans="1:9">
      <c r="A1707" s="10" t="s">
        <v>2580</v>
      </c>
      <c r="B1707" s="124" t="s">
        <v>657</v>
      </c>
      <c r="C1707" s="124" t="s">
        <v>603</v>
      </c>
      <c r="D1707" s="153">
        <v>2336718.2999999998</v>
      </c>
      <c r="E1707" s="82">
        <v>0.9484461823</v>
      </c>
      <c r="F1707" s="14">
        <v>2216251.5499999998</v>
      </c>
      <c r="G1707" s="12">
        <v>0</v>
      </c>
      <c r="H1707" s="10"/>
      <c r="I1707" s="10"/>
    </row>
    <row r="1708" spans="1:9">
      <c r="A1708" s="10" t="s">
        <v>2581</v>
      </c>
      <c r="B1708" s="124" t="s">
        <v>636</v>
      </c>
      <c r="C1708" s="124" t="s">
        <v>603</v>
      </c>
      <c r="D1708" s="12">
        <v>11000000</v>
      </c>
      <c r="E1708" s="82">
        <v>0.94295761389999999</v>
      </c>
      <c r="F1708" s="14">
        <v>10372533.75</v>
      </c>
      <c r="G1708" s="14">
        <v>0.01</v>
      </c>
      <c r="H1708" s="10"/>
      <c r="I1708" s="10"/>
    </row>
    <row r="1709" spans="1:9">
      <c r="A1709" s="10" t="s">
        <v>2582</v>
      </c>
      <c r="B1709" s="124" t="s">
        <v>716</v>
      </c>
      <c r="C1709" s="124" t="s">
        <v>603</v>
      </c>
      <c r="D1709" s="12">
        <v>11000000</v>
      </c>
      <c r="E1709" s="82">
        <v>0.98107734469999996</v>
      </c>
      <c r="F1709" s="14">
        <v>10791850.789999999</v>
      </c>
      <c r="G1709" s="14">
        <v>0.01</v>
      </c>
      <c r="H1709" s="10"/>
      <c r="I1709" s="10"/>
    </row>
    <row r="1710" spans="1:9">
      <c r="A1710" s="10" t="s">
        <v>2583</v>
      </c>
      <c r="B1710" s="124" t="s">
        <v>762</v>
      </c>
      <c r="C1710" s="124" t="s">
        <v>603</v>
      </c>
      <c r="D1710" s="12">
        <v>11000000</v>
      </c>
      <c r="E1710" s="82">
        <v>0.94923553240000003</v>
      </c>
      <c r="F1710" s="14">
        <v>10441590.859999999</v>
      </c>
      <c r="G1710" s="14">
        <v>0.01</v>
      </c>
      <c r="H1710" s="10"/>
      <c r="I1710" s="10"/>
    </row>
    <row r="1711" spans="1:9">
      <c r="A1711" s="10" t="s">
        <v>2584</v>
      </c>
      <c r="B1711" s="124" t="s">
        <v>610</v>
      </c>
      <c r="C1711" s="124" t="s">
        <v>603</v>
      </c>
      <c r="D1711" s="12">
        <v>11000000</v>
      </c>
      <c r="E1711" s="157">
        <v>0.97520578800000002</v>
      </c>
      <c r="F1711" s="14">
        <v>10727263.67</v>
      </c>
      <c r="G1711" s="14">
        <v>0.01</v>
      </c>
      <c r="H1711" s="10"/>
      <c r="I1711" s="10"/>
    </row>
    <row r="1712" spans="1:9">
      <c r="A1712" s="10" t="s">
        <v>2585</v>
      </c>
      <c r="B1712" s="124" t="s">
        <v>578</v>
      </c>
      <c r="C1712" s="124" t="s">
        <v>603</v>
      </c>
      <c r="D1712" s="12">
        <v>11000000</v>
      </c>
      <c r="E1712" s="82">
        <v>0.99476728989999996</v>
      </c>
      <c r="F1712" s="14">
        <v>10942440.189999999</v>
      </c>
      <c r="G1712" s="14">
        <v>0.01</v>
      </c>
      <c r="H1712" s="10"/>
      <c r="I1712" s="10"/>
    </row>
    <row r="1713" spans="1:9">
      <c r="A1713" s="10" t="s">
        <v>2586</v>
      </c>
      <c r="B1713" s="124" t="s">
        <v>925</v>
      </c>
      <c r="C1713" s="124" t="s">
        <v>603</v>
      </c>
      <c r="D1713" s="12">
        <v>11000000</v>
      </c>
      <c r="E1713" s="82">
        <v>0.96123472669999999</v>
      </c>
      <c r="F1713" s="14">
        <v>10573581.99</v>
      </c>
      <c r="G1713" s="14">
        <v>0.01</v>
      </c>
      <c r="H1713" s="10"/>
      <c r="I1713" s="10"/>
    </row>
    <row r="1714" spans="1:9">
      <c r="A1714" s="10" t="s">
        <v>2587</v>
      </c>
      <c r="B1714" s="124" t="s">
        <v>746</v>
      </c>
      <c r="C1714" s="124" t="s">
        <v>603</v>
      </c>
      <c r="D1714" s="12">
        <v>11000000</v>
      </c>
      <c r="E1714" s="82">
        <v>0.98702003439999997</v>
      </c>
      <c r="F1714" s="14">
        <v>10857220.380000001</v>
      </c>
      <c r="G1714" s="14">
        <v>0.01</v>
      </c>
      <c r="H1714" s="10"/>
      <c r="I1714" s="10"/>
    </row>
    <row r="1715" spans="1:9">
      <c r="A1715" s="10" t="s">
        <v>2588</v>
      </c>
      <c r="B1715" s="124" t="s">
        <v>661</v>
      </c>
      <c r="C1715" s="124" t="s">
        <v>603</v>
      </c>
      <c r="D1715" s="12">
        <v>11000000</v>
      </c>
      <c r="E1715" s="82">
        <v>0.95559759990000004</v>
      </c>
      <c r="F1715" s="153">
        <v>10511573.6</v>
      </c>
      <c r="G1715" s="14">
        <v>0.01</v>
      </c>
      <c r="H1715" s="10"/>
      <c r="I1715" s="10"/>
    </row>
    <row r="1716" spans="1:9">
      <c r="A1716" s="10" t="s">
        <v>2589</v>
      </c>
      <c r="B1716" s="124" t="s">
        <v>255</v>
      </c>
      <c r="C1716" s="124" t="s">
        <v>603</v>
      </c>
      <c r="D1716" s="14">
        <v>6791632.5899999999</v>
      </c>
      <c r="E1716" s="82">
        <v>0.9375322116</v>
      </c>
      <c r="F1716" s="14">
        <v>6367374.3200000003</v>
      </c>
      <c r="G1716" s="14">
        <v>0.01</v>
      </c>
      <c r="H1716" s="10"/>
      <c r="I1716" s="10"/>
    </row>
    <row r="1717" spans="1:9">
      <c r="A1717" s="10" t="s">
        <v>2590</v>
      </c>
      <c r="B1717" s="124" t="s">
        <v>752</v>
      </c>
      <c r="C1717" s="124" t="s">
        <v>603</v>
      </c>
      <c r="D1717" s="14">
        <v>7166096.25</v>
      </c>
      <c r="E1717" s="82">
        <v>0.96042530039999996</v>
      </c>
      <c r="F1717" s="14">
        <v>6882500.1399999997</v>
      </c>
      <c r="G1717" s="14">
        <v>0.01</v>
      </c>
      <c r="H1717" s="10"/>
      <c r="I1717" s="10"/>
    </row>
    <row r="1718" spans="1:9">
      <c r="A1718" s="10" t="s">
        <v>2591</v>
      </c>
      <c r="B1718" s="124" t="s">
        <v>636</v>
      </c>
      <c r="C1718" s="124" t="s">
        <v>603</v>
      </c>
      <c r="D1718" s="14">
        <v>6207477.2300000004</v>
      </c>
      <c r="E1718" s="82">
        <v>0.94295761389999999</v>
      </c>
      <c r="F1718" s="14">
        <v>5853387.9199999999</v>
      </c>
      <c r="G1718" s="14">
        <v>0.01</v>
      </c>
      <c r="H1718" s="10"/>
      <c r="I1718" s="10"/>
    </row>
    <row r="1719" spans="1:9">
      <c r="A1719" s="10" t="s">
        <v>2592</v>
      </c>
      <c r="B1719" s="124" t="s">
        <v>743</v>
      </c>
      <c r="C1719" s="124" t="s">
        <v>603</v>
      </c>
      <c r="D1719" s="12">
        <v>10000000</v>
      </c>
      <c r="E1719" s="82">
        <v>0.94451939579999999</v>
      </c>
      <c r="F1719" s="14">
        <v>9445193.9600000009</v>
      </c>
      <c r="G1719" s="14">
        <v>0.01</v>
      </c>
      <c r="H1719" s="10"/>
      <c r="I1719" s="10"/>
    </row>
    <row r="1720" spans="1:9">
      <c r="A1720" s="10" t="s">
        <v>2593</v>
      </c>
      <c r="B1720" s="124" t="s">
        <v>610</v>
      </c>
      <c r="C1720" s="124" t="s">
        <v>603</v>
      </c>
      <c r="D1720" s="12">
        <v>36300000</v>
      </c>
      <c r="E1720" s="82">
        <v>0.97445076460000002</v>
      </c>
      <c r="F1720" s="14">
        <v>35372562.75</v>
      </c>
      <c r="G1720" s="14">
        <v>0.04</v>
      </c>
      <c r="H1720" s="10"/>
      <c r="I1720" s="10"/>
    </row>
    <row r="1721" spans="1:9">
      <c r="A1721" s="10" t="s">
        <v>2594</v>
      </c>
      <c r="B1721" s="124" t="s">
        <v>657</v>
      </c>
      <c r="C1721" s="124" t="s">
        <v>603</v>
      </c>
      <c r="D1721" s="12">
        <v>36300000</v>
      </c>
      <c r="E1721" s="82">
        <v>0.94692063250000003</v>
      </c>
      <c r="F1721" s="14">
        <v>34373218.960000001</v>
      </c>
      <c r="G1721" s="14">
        <v>0.04</v>
      </c>
      <c r="H1721" s="10"/>
      <c r="I1721" s="10"/>
    </row>
    <row r="1722" spans="1:9">
      <c r="A1722" s="10" t="s">
        <v>2595</v>
      </c>
      <c r="B1722" s="124" t="s">
        <v>283</v>
      </c>
      <c r="C1722" s="124" t="s">
        <v>603</v>
      </c>
      <c r="D1722" s="12">
        <v>36300000</v>
      </c>
      <c r="E1722" s="82">
        <v>0.92475312239999996</v>
      </c>
      <c r="F1722" s="14">
        <v>33568538.340000004</v>
      </c>
      <c r="G1722" s="14">
        <v>0.04</v>
      </c>
      <c r="H1722" s="10"/>
      <c r="I1722" s="10"/>
    </row>
    <row r="1723" spans="1:9">
      <c r="A1723" s="10" t="s">
        <v>2596</v>
      </c>
      <c r="B1723" s="124" t="s">
        <v>614</v>
      </c>
      <c r="C1723" s="124" t="s">
        <v>603</v>
      </c>
      <c r="D1723" s="12">
        <v>385000000</v>
      </c>
      <c r="E1723" s="157">
        <v>0.95674979400000004</v>
      </c>
      <c r="F1723" s="14">
        <v>368348670.69</v>
      </c>
      <c r="G1723" s="14">
        <v>0.45</v>
      </c>
      <c r="H1723" s="10"/>
      <c r="I1723" s="10"/>
    </row>
    <row r="1724" spans="1:9">
      <c r="A1724" s="10" t="s">
        <v>2597</v>
      </c>
      <c r="B1724" s="124" t="s">
        <v>587</v>
      </c>
      <c r="C1724" s="124" t="s">
        <v>603</v>
      </c>
      <c r="D1724" s="12">
        <v>95000000</v>
      </c>
      <c r="E1724" s="82">
        <v>0.95262957039999996</v>
      </c>
      <c r="F1724" s="14">
        <v>90499809.189999998</v>
      </c>
      <c r="G1724" s="14">
        <v>0.11</v>
      </c>
      <c r="H1724" s="10"/>
      <c r="I1724" s="10"/>
    </row>
    <row r="1725" spans="1:9">
      <c r="A1725" s="10" t="s">
        <v>2598</v>
      </c>
      <c r="B1725" s="124" t="s">
        <v>559</v>
      </c>
      <c r="C1725" s="124" t="s">
        <v>603</v>
      </c>
      <c r="D1725" s="12">
        <v>95000000</v>
      </c>
      <c r="E1725" s="82">
        <v>0.97531006440000001</v>
      </c>
      <c r="F1725" s="14">
        <v>92654456.120000005</v>
      </c>
      <c r="G1725" s="14">
        <v>0.11</v>
      </c>
      <c r="H1725" s="10"/>
      <c r="I1725" s="10"/>
    </row>
    <row r="1726" spans="1:9">
      <c r="A1726" s="10" t="s">
        <v>2599</v>
      </c>
      <c r="B1726" s="124" t="s">
        <v>810</v>
      </c>
      <c r="C1726" s="124" t="s">
        <v>603</v>
      </c>
      <c r="D1726" s="12">
        <v>95000000</v>
      </c>
      <c r="E1726" s="157">
        <v>0.97102880700000005</v>
      </c>
      <c r="F1726" s="14">
        <v>92247736.670000002</v>
      </c>
      <c r="G1726" s="14">
        <v>0.11</v>
      </c>
      <c r="H1726" s="10"/>
      <c r="I1726" s="10"/>
    </row>
    <row r="1727" spans="1:9">
      <c r="A1727" s="10" t="s">
        <v>2600</v>
      </c>
      <c r="B1727" s="124" t="s">
        <v>657</v>
      </c>
      <c r="C1727" s="124" t="s">
        <v>603</v>
      </c>
      <c r="D1727" s="12">
        <v>95000000</v>
      </c>
      <c r="E1727" s="82">
        <v>0.94692063250000003</v>
      </c>
      <c r="F1727" s="14">
        <v>89957460.090000004</v>
      </c>
      <c r="G1727" s="14">
        <v>0.11</v>
      </c>
      <c r="H1727" s="10"/>
      <c r="I1727" s="10"/>
    </row>
    <row r="1728" spans="1:9">
      <c r="A1728" s="10" t="s">
        <v>2601</v>
      </c>
      <c r="B1728" s="124" t="s">
        <v>473</v>
      </c>
      <c r="C1728" s="124" t="s">
        <v>603</v>
      </c>
      <c r="D1728" s="12">
        <v>55000000</v>
      </c>
      <c r="E1728" s="82">
        <v>0.99639660269999997</v>
      </c>
      <c r="F1728" s="14">
        <v>54801813.149999999</v>
      </c>
      <c r="G1728" s="14">
        <v>7.0000000000000007E-2</v>
      </c>
      <c r="H1728" s="10"/>
      <c r="I1728" s="10"/>
    </row>
    <row r="1729" spans="1:9">
      <c r="A1729" s="10" t="s">
        <v>2602</v>
      </c>
      <c r="B1729" s="124" t="s">
        <v>625</v>
      </c>
      <c r="C1729" s="124" t="s">
        <v>603</v>
      </c>
      <c r="D1729" s="12">
        <v>95000000</v>
      </c>
      <c r="E1729" s="82">
        <v>0.99909670760000002</v>
      </c>
      <c r="F1729" s="14">
        <v>94914187.219999999</v>
      </c>
      <c r="G1729" s="14">
        <v>0.12</v>
      </c>
      <c r="H1729" s="10"/>
      <c r="I1729" s="10"/>
    </row>
    <row r="1730" spans="1:9">
      <c r="A1730" s="10" t="s">
        <v>2603</v>
      </c>
      <c r="B1730" s="124" t="s">
        <v>746</v>
      </c>
      <c r="C1730" s="124" t="s">
        <v>603</v>
      </c>
      <c r="D1730" s="14">
        <v>11255045.75</v>
      </c>
      <c r="E1730" s="82">
        <v>0.98661983750000004</v>
      </c>
      <c r="F1730" s="14">
        <v>11104451.41</v>
      </c>
      <c r="G1730" s="14">
        <v>0.01</v>
      </c>
      <c r="H1730" s="10"/>
      <c r="I1730" s="10"/>
    </row>
    <row r="1731" spans="1:9">
      <c r="A1731" s="10" t="s">
        <v>2604</v>
      </c>
      <c r="B1731" s="124" t="s">
        <v>459</v>
      </c>
      <c r="C1731" s="124" t="s">
        <v>603</v>
      </c>
      <c r="D1731" s="14">
        <v>11255045.75</v>
      </c>
      <c r="E1731" s="82">
        <v>0.98223907870000005</v>
      </c>
      <c r="F1731" s="14">
        <v>11055145.77</v>
      </c>
      <c r="G1731" s="14">
        <v>0.01</v>
      </c>
      <c r="H1731" s="10"/>
      <c r="I1731" s="10"/>
    </row>
    <row r="1732" spans="1:9">
      <c r="A1732" s="10" t="s">
        <v>2605</v>
      </c>
      <c r="B1732" s="124" t="s">
        <v>559</v>
      </c>
      <c r="C1732" s="124" t="s">
        <v>603</v>
      </c>
      <c r="D1732" s="14">
        <v>11255045.75</v>
      </c>
      <c r="E1732" s="82">
        <v>0.97531006509999996</v>
      </c>
      <c r="F1732" s="153">
        <v>10977159.4</v>
      </c>
      <c r="G1732" s="14">
        <v>0.01</v>
      </c>
      <c r="H1732" s="10"/>
      <c r="I1732" s="10"/>
    </row>
    <row r="1733" spans="1:9">
      <c r="A1733" s="10" t="s">
        <v>2606</v>
      </c>
      <c r="B1733" s="124" t="s">
        <v>645</v>
      </c>
      <c r="C1733" s="124" t="s">
        <v>603</v>
      </c>
      <c r="D1733" s="14">
        <v>11255045.75</v>
      </c>
      <c r="E1733" s="82">
        <v>0.97017702669999994</v>
      </c>
      <c r="F1733" s="14">
        <v>10919386.82</v>
      </c>
      <c r="G1733" s="14">
        <v>0.01</v>
      </c>
      <c r="H1733" s="10"/>
      <c r="I1733" s="10"/>
    </row>
    <row r="1734" spans="1:9">
      <c r="A1734" s="10" t="s">
        <v>2607</v>
      </c>
      <c r="B1734" s="124" t="s">
        <v>1004</v>
      </c>
      <c r="C1734" s="124" t="s">
        <v>603</v>
      </c>
      <c r="D1734" s="12">
        <v>6250000</v>
      </c>
      <c r="E1734" s="82">
        <v>0.92311589640000002</v>
      </c>
      <c r="F1734" s="14">
        <v>5769474.3499999996</v>
      </c>
      <c r="G1734" s="14">
        <v>0.01</v>
      </c>
      <c r="H1734" s="10"/>
      <c r="I1734" s="10"/>
    </row>
    <row r="1735" spans="1:9">
      <c r="A1735" s="10" t="s">
        <v>2608</v>
      </c>
      <c r="B1735" s="124" t="s">
        <v>645</v>
      </c>
      <c r="C1735" s="124" t="s">
        <v>603</v>
      </c>
      <c r="D1735" s="12">
        <v>6250000</v>
      </c>
      <c r="E1735" s="82">
        <v>0.97105459540000005</v>
      </c>
      <c r="F1735" s="14">
        <v>6069091.2199999997</v>
      </c>
      <c r="G1735" s="14">
        <v>0.01</v>
      </c>
      <c r="H1735" s="10"/>
      <c r="I1735" s="10"/>
    </row>
    <row r="1736" spans="1:9">
      <c r="A1736" s="10" t="s">
        <v>2609</v>
      </c>
      <c r="B1736" s="124" t="s">
        <v>743</v>
      </c>
      <c r="C1736" s="124" t="s">
        <v>603</v>
      </c>
      <c r="D1736" s="12">
        <v>6250000</v>
      </c>
      <c r="E1736" s="82">
        <v>0.94451939740000002</v>
      </c>
      <c r="F1736" s="14">
        <v>5903246.2300000004</v>
      </c>
      <c r="G1736" s="14">
        <v>0.01</v>
      </c>
      <c r="H1736" s="10"/>
      <c r="I1736" s="10"/>
    </row>
    <row r="1737" spans="1:9">
      <c r="A1737" s="10" t="s">
        <v>2610</v>
      </c>
      <c r="B1737" s="124" t="s">
        <v>561</v>
      </c>
      <c r="C1737" s="124" t="s">
        <v>603</v>
      </c>
      <c r="D1737" s="12">
        <v>6250000</v>
      </c>
      <c r="E1737" s="157">
        <v>0.99563561599999995</v>
      </c>
      <c r="F1737" s="153">
        <v>6222722.5999999996</v>
      </c>
      <c r="G1737" s="14">
        <v>0.01</v>
      </c>
      <c r="H1737" s="10"/>
      <c r="I1737" s="10"/>
    </row>
    <row r="1738" spans="1:9">
      <c r="A1738" s="10" t="s">
        <v>2611</v>
      </c>
      <c r="B1738" s="124" t="s">
        <v>1781</v>
      </c>
      <c r="C1738" s="124" t="s">
        <v>603</v>
      </c>
      <c r="D1738" s="12">
        <v>7500000</v>
      </c>
      <c r="E1738" s="82">
        <v>0.94047929019999998</v>
      </c>
      <c r="F1738" s="14">
        <v>7053594.6799999997</v>
      </c>
      <c r="G1738" s="14">
        <v>0.01</v>
      </c>
      <c r="H1738" s="10"/>
      <c r="I1738" s="10"/>
    </row>
    <row r="1739" spans="1:9">
      <c r="A1739" s="10" t="s">
        <v>2612</v>
      </c>
      <c r="B1739" s="124" t="s">
        <v>616</v>
      </c>
      <c r="C1739" s="124" t="s">
        <v>603</v>
      </c>
      <c r="D1739" s="12">
        <v>10000000</v>
      </c>
      <c r="E1739" s="82">
        <v>0.91329925909999998</v>
      </c>
      <c r="F1739" s="14">
        <v>9132992.5899999999</v>
      </c>
      <c r="G1739" s="14">
        <v>0.01</v>
      </c>
      <c r="H1739" s="10"/>
      <c r="I1739" s="10"/>
    </row>
    <row r="1740" spans="1:9">
      <c r="A1740" s="10" t="s">
        <v>2613</v>
      </c>
      <c r="B1740" s="124" t="s">
        <v>556</v>
      </c>
      <c r="C1740" s="124" t="s">
        <v>603</v>
      </c>
      <c r="D1740" s="12">
        <v>7500000</v>
      </c>
      <c r="E1740" s="82">
        <v>0.96257822749999999</v>
      </c>
      <c r="F1740" s="14">
        <v>7219336.71</v>
      </c>
      <c r="G1740" s="14">
        <v>0.01</v>
      </c>
      <c r="H1740" s="10"/>
      <c r="I1740" s="10"/>
    </row>
    <row r="1741" spans="1:9">
      <c r="A1741" s="10" t="s">
        <v>2614</v>
      </c>
      <c r="B1741" s="124" t="s">
        <v>283</v>
      </c>
      <c r="C1741" s="124" t="s">
        <v>603</v>
      </c>
      <c r="D1741" s="12">
        <v>10000000</v>
      </c>
      <c r="E1741" s="82">
        <v>0.92475312030000001</v>
      </c>
      <c r="F1741" s="153">
        <v>9247531.1999999993</v>
      </c>
      <c r="G1741" s="14">
        <v>0.01</v>
      </c>
      <c r="H1741" s="10"/>
      <c r="I1741" s="10"/>
    </row>
    <row r="1742" spans="1:9">
      <c r="A1742" s="10" t="s">
        <v>2615</v>
      </c>
      <c r="B1742" s="124" t="s">
        <v>610</v>
      </c>
      <c r="C1742" s="124" t="s">
        <v>603</v>
      </c>
      <c r="D1742" s="12">
        <v>7500000</v>
      </c>
      <c r="E1742" s="82">
        <v>0.97445076230000005</v>
      </c>
      <c r="F1742" s="14">
        <v>7308380.7199999997</v>
      </c>
      <c r="G1742" s="14">
        <v>0.01</v>
      </c>
      <c r="H1742" s="10"/>
      <c r="I1742" s="10"/>
    </row>
    <row r="1743" spans="1:9">
      <c r="A1743" s="10" t="s">
        <v>2616</v>
      </c>
      <c r="B1743" s="124" t="s">
        <v>657</v>
      </c>
      <c r="C1743" s="124" t="s">
        <v>603</v>
      </c>
      <c r="D1743" s="12">
        <v>7500000</v>
      </c>
      <c r="E1743" s="82">
        <v>0.94692063250000003</v>
      </c>
      <c r="F1743" s="14">
        <v>7101904.7400000002</v>
      </c>
      <c r="G1743" s="14">
        <v>0.01</v>
      </c>
      <c r="H1743" s="10"/>
      <c r="I1743" s="10"/>
    </row>
    <row r="1744" spans="1:9">
      <c r="A1744" s="10" t="s">
        <v>2617</v>
      </c>
      <c r="B1744" s="124" t="s">
        <v>1497</v>
      </c>
      <c r="C1744" s="124" t="s">
        <v>603</v>
      </c>
      <c r="D1744" s="12">
        <v>2200000</v>
      </c>
      <c r="E1744" s="82">
        <v>0.93729136879999997</v>
      </c>
      <c r="F1744" s="14">
        <v>2062041.01</v>
      </c>
      <c r="G1744" s="12">
        <v>0</v>
      </c>
      <c r="H1744" s="10"/>
      <c r="I1744" s="10"/>
    </row>
    <row r="1745" spans="1:9">
      <c r="A1745" s="10" t="s">
        <v>2618</v>
      </c>
      <c r="B1745" s="124" t="s">
        <v>255</v>
      </c>
      <c r="C1745" s="124" t="s">
        <v>603</v>
      </c>
      <c r="D1745" s="12">
        <v>2200000</v>
      </c>
      <c r="E1745" s="82">
        <v>0.93570559109999996</v>
      </c>
      <c r="F1745" s="153">
        <v>2058552.3</v>
      </c>
      <c r="G1745" s="12">
        <v>0</v>
      </c>
      <c r="H1745" s="10"/>
      <c r="I1745" s="10"/>
    </row>
    <row r="1746" spans="1:9">
      <c r="A1746" s="10" t="s">
        <v>2619</v>
      </c>
      <c r="B1746" s="124" t="s">
        <v>1624</v>
      </c>
      <c r="C1746" s="124" t="s">
        <v>603</v>
      </c>
      <c r="D1746" s="12">
        <v>2200000</v>
      </c>
      <c r="E1746" s="82">
        <v>0.93412520060000004</v>
      </c>
      <c r="F1746" s="14">
        <v>2055075.44</v>
      </c>
      <c r="G1746" s="12">
        <v>0</v>
      </c>
      <c r="H1746" s="10"/>
      <c r="I1746" s="10"/>
    </row>
    <row r="1747" spans="1:9">
      <c r="A1747" s="10" t="s">
        <v>2620</v>
      </c>
      <c r="B1747" s="124" t="s">
        <v>655</v>
      </c>
      <c r="C1747" s="124" t="s">
        <v>603</v>
      </c>
      <c r="D1747" s="12">
        <v>2200000</v>
      </c>
      <c r="E1747" s="82">
        <v>0.93098012730000002</v>
      </c>
      <c r="F1747" s="14">
        <v>2048156.28</v>
      </c>
      <c r="G1747" s="12">
        <v>0</v>
      </c>
      <c r="H1747" s="10"/>
      <c r="I1747" s="10"/>
    </row>
    <row r="1748" spans="1:9">
      <c r="A1748" s="10" t="s">
        <v>2621</v>
      </c>
      <c r="B1748" s="124" t="s">
        <v>2354</v>
      </c>
      <c r="C1748" s="124" t="s">
        <v>603</v>
      </c>
      <c r="D1748" s="12">
        <v>2200000</v>
      </c>
      <c r="E1748" s="82">
        <v>0.92941542710000002</v>
      </c>
      <c r="F1748" s="14">
        <v>2044713.94</v>
      </c>
      <c r="G1748" s="12">
        <v>0</v>
      </c>
      <c r="H1748" s="10"/>
      <c r="I1748" s="10"/>
    </row>
    <row r="1749" spans="1:9">
      <c r="A1749" s="10" t="s">
        <v>2622</v>
      </c>
      <c r="B1749" s="124" t="s">
        <v>1722</v>
      </c>
      <c r="C1749" s="124" t="s">
        <v>603</v>
      </c>
      <c r="D1749" s="12">
        <v>2200000</v>
      </c>
      <c r="E1749" s="21">
        <v>0.92630195000000004</v>
      </c>
      <c r="F1749" s="14">
        <v>2037864.29</v>
      </c>
      <c r="G1749" s="12">
        <v>0</v>
      </c>
      <c r="H1749" s="10"/>
      <c r="I1749" s="10"/>
    </row>
    <row r="1750" spans="1:9">
      <c r="A1750" s="10" t="s">
        <v>2623</v>
      </c>
      <c r="B1750" s="124" t="s">
        <v>283</v>
      </c>
      <c r="C1750" s="124" t="s">
        <v>603</v>
      </c>
      <c r="D1750" s="12">
        <v>2200000</v>
      </c>
      <c r="E1750" s="82">
        <v>0.92475312239999996</v>
      </c>
      <c r="F1750" s="14">
        <v>2034456.87</v>
      </c>
      <c r="G1750" s="12">
        <v>0</v>
      </c>
      <c r="H1750" s="10"/>
      <c r="I1750" s="10"/>
    </row>
    <row r="1751" spans="1:9">
      <c r="A1751" s="10" t="s">
        <v>2624</v>
      </c>
      <c r="B1751" s="124" t="s">
        <v>1813</v>
      </c>
      <c r="C1751" s="124" t="s">
        <v>603</v>
      </c>
      <c r="D1751" s="12">
        <v>2200000</v>
      </c>
      <c r="E1751" s="82">
        <v>0.92320925929999997</v>
      </c>
      <c r="F1751" s="14">
        <v>2031060.37</v>
      </c>
      <c r="G1751" s="12">
        <v>0</v>
      </c>
      <c r="H1751" s="10"/>
      <c r="I1751" s="10"/>
    </row>
    <row r="1752" spans="1:9">
      <c r="A1752" s="10" t="s">
        <v>2625</v>
      </c>
      <c r="B1752" s="124" t="s">
        <v>578</v>
      </c>
      <c r="C1752" s="124" t="s">
        <v>603</v>
      </c>
      <c r="D1752" s="12">
        <v>5000000</v>
      </c>
      <c r="E1752" s="82">
        <v>0.99509272989999997</v>
      </c>
      <c r="F1752" s="14">
        <v>4975463.6500000004</v>
      </c>
      <c r="G1752" s="14">
        <v>0.01</v>
      </c>
      <c r="H1752" s="10"/>
      <c r="I1752" s="10"/>
    </row>
    <row r="1753" spans="1:9">
      <c r="A1753" s="10" t="s">
        <v>2626</v>
      </c>
      <c r="B1753" s="124" t="s">
        <v>463</v>
      </c>
      <c r="C1753" s="124" t="s">
        <v>603</v>
      </c>
      <c r="D1753" s="12">
        <v>5000000</v>
      </c>
      <c r="E1753" s="157">
        <v>0.98942809799999998</v>
      </c>
      <c r="F1753" s="14">
        <v>4947140.49</v>
      </c>
      <c r="G1753" s="14">
        <v>0.01</v>
      </c>
      <c r="H1753" s="10"/>
      <c r="I1753" s="10"/>
    </row>
    <row r="1754" spans="1:9">
      <c r="A1754" s="10" t="s">
        <v>2627</v>
      </c>
      <c r="B1754" s="124" t="s">
        <v>415</v>
      </c>
      <c r="C1754" s="124" t="s">
        <v>603</v>
      </c>
      <c r="D1754" s="12">
        <v>5000000</v>
      </c>
      <c r="E1754" s="82">
        <v>0.9846237001</v>
      </c>
      <c r="F1754" s="153">
        <v>4923118.5</v>
      </c>
      <c r="G1754" s="14">
        <v>0.01</v>
      </c>
      <c r="H1754" s="10"/>
      <c r="I1754" s="10"/>
    </row>
    <row r="1755" spans="1:9">
      <c r="A1755" s="10" t="s">
        <v>2628</v>
      </c>
      <c r="B1755" s="124" t="s">
        <v>1497</v>
      </c>
      <c r="C1755" s="124" t="s">
        <v>603</v>
      </c>
      <c r="D1755" s="12">
        <v>7500000</v>
      </c>
      <c r="E1755" s="82">
        <v>0.93729136879999997</v>
      </c>
      <c r="F1755" s="14">
        <v>7029685.2699999996</v>
      </c>
      <c r="G1755" s="14">
        <v>0.01</v>
      </c>
      <c r="H1755" s="10"/>
      <c r="I1755" s="10"/>
    </row>
    <row r="1756" spans="1:9">
      <c r="A1756" s="10" t="s">
        <v>2629</v>
      </c>
      <c r="B1756" s="124" t="s">
        <v>670</v>
      </c>
      <c r="C1756" s="124" t="s">
        <v>603</v>
      </c>
      <c r="D1756" s="12">
        <v>1500000</v>
      </c>
      <c r="E1756" s="156">
        <v>0.94208150000000002</v>
      </c>
      <c r="F1756" s="14">
        <v>1413122.25</v>
      </c>
      <c r="G1756" s="12">
        <v>0</v>
      </c>
      <c r="H1756" s="10"/>
      <c r="I1756" s="10"/>
    </row>
    <row r="1757" spans="1:9">
      <c r="A1757" s="10" t="s">
        <v>2630</v>
      </c>
      <c r="B1757" s="124" t="s">
        <v>974</v>
      </c>
      <c r="C1757" s="124" t="s">
        <v>603</v>
      </c>
      <c r="D1757" s="12">
        <v>2500000</v>
      </c>
      <c r="E1757" s="82">
        <v>0.92552700050000003</v>
      </c>
      <c r="F1757" s="153">
        <v>2313817.5</v>
      </c>
      <c r="G1757" s="12">
        <v>0</v>
      </c>
      <c r="H1757" s="10"/>
      <c r="I1757" s="10"/>
    </row>
    <row r="1758" spans="1:9">
      <c r="A1758" s="10" t="s">
        <v>2631</v>
      </c>
      <c r="B1758" s="124" t="s">
        <v>741</v>
      </c>
      <c r="C1758" s="124" t="s">
        <v>603</v>
      </c>
      <c r="D1758" s="12">
        <v>2500000</v>
      </c>
      <c r="E1758" s="157">
        <v>0.92398055300000004</v>
      </c>
      <c r="F1758" s="14">
        <v>2309951.38</v>
      </c>
      <c r="G1758" s="12">
        <v>0</v>
      </c>
      <c r="H1758" s="10"/>
      <c r="I1758" s="10"/>
    </row>
    <row r="1759" spans="1:9">
      <c r="A1759" s="10" t="s">
        <v>2632</v>
      </c>
      <c r="B1759" s="124" t="s">
        <v>1813</v>
      </c>
      <c r="C1759" s="124" t="s">
        <v>603</v>
      </c>
      <c r="D1759" s="12">
        <v>2500000</v>
      </c>
      <c r="E1759" s="82">
        <v>0.92320924419999995</v>
      </c>
      <c r="F1759" s="14">
        <v>2308023.11</v>
      </c>
      <c r="G1759" s="12">
        <v>0</v>
      </c>
      <c r="H1759" s="10"/>
      <c r="I1759" s="10"/>
    </row>
    <row r="1760" spans="1:9">
      <c r="A1760" s="10" t="s">
        <v>2633</v>
      </c>
      <c r="B1760" s="124" t="s">
        <v>1004</v>
      </c>
      <c r="C1760" s="124" t="s">
        <v>603</v>
      </c>
      <c r="D1760" s="12">
        <v>2500000</v>
      </c>
      <c r="E1760" s="82">
        <v>0.92090330389999997</v>
      </c>
      <c r="F1760" s="14">
        <v>2302258.2599999998</v>
      </c>
      <c r="G1760" s="12">
        <v>0</v>
      </c>
      <c r="H1760" s="10"/>
      <c r="I1760" s="10"/>
    </row>
    <row r="1761" spans="1:9">
      <c r="A1761" s="10" t="s">
        <v>2634</v>
      </c>
      <c r="B1761" s="124" t="s">
        <v>552</v>
      </c>
      <c r="C1761" s="124" t="s">
        <v>603</v>
      </c>
      <c r="D1761" s="12">
        <v>10415009</v>
      </c>
      <c r="E1761" s="82">
        <v>0.96530203729999997</v>
      </c>
      <c r="F1761" s="14">
        <v>10053629.41</v>
      </c>
      <c r="G1761" s="14">
        <v>0.01</v>
      </c>
      <c r="H1761" s="10"/>
      <c r="I1761" s="10"/>
    </row>
    <row r="1762" spans="1:9">
      <c r="A1762" s="10" t="s">
        <v>2638</v>
      </c>
      <c r="B1762" s="124" t="s">
        <v>2639</v>
      </c>
      <c r="C1762" s="124" t="s">
        <v>603</v>
      </c>
      <c r="D1762" s="14">
        <v>9126668.3499999996</v>
      </c>
      <c r="E1762" s="82">
        <v>0.88523477640000003</v>
      </c>
      <c r="F1762" s="14">
        <v>8079244.2199999997</v>
      </c>
      <c r="G1762" s="14">
        <v>0.01</v>
      </c>
      <c r="H1762" s="10"/>
      <c r="I1762" s="10"/>
    </row>
    <row r="1763" spans="1:9">
      <c r="A1763" s="10" t="s">
        <v>2640</v>
      </c>
      <c r="B1763" s="124" t="s">
        <v>1461</v>
      </c>
      <c r="C1763" s="124" t="s">
        <v>603</v>
      </c>
      <c r="D1763" s="14">
        <v>411845.62</v>
      </c>
      <c r="E1763" s="82">
        <v>0.94149815260000003</v>
      </c>
      <c r="F1763" s="14">
        <v>387751.89</v>
      </c>
      <c r="G1763" s="12">
        <v>0</v>
      </c>
      <c r="H1763" s="10"/>
      <c r="I1763" s="10"/>
    </row>
    <row r="1764" spans="1:9">
      <c r="A1764" s="10" t="s">
        <v>2641</v>
      </c>
      <c r="B1764" s="124" t="s">
        <v>636</v>
      </c>
      <c r="C1764" s="124" t="s">
        <v>603</v>
      </c>
      <c r="D1764" s="12">
        <v>12500000</v>
      </c>
      <c r="E1764" s="82">
        <v>0.94127971330000004</v>
      </c>
      <c r="F1764" s="14">
        <v>11765996.42</v>
      </c>
      <c r="G1764" s="14">
        <v>0.01</v>
      </c>
      <c r="H1764" s="10"/>
      <c r="I1764" s="10"/>
    </row>
    <row r="1765" spans="1:9">
      <c r="A1765" s="10" t="s">
        <v>2642</v>
      </c>
      <c r="B1765" s="124" t="s">
        <v>556</v>
      </c>
      <c r="C1765" s="124" t="s">
        <v>603</v>
      </c>
      <c r="D1765" s="12">
        <v>12500000</v>
      </c>
      <c r="E1765" s="82">
        <v>0.96257822859999997</v>
      </c>
      <c r="F1765" s="14">
        <v>12032227.859999999</v>
      </c>
      <c r="G1765" s="14">
        <v>0.01</v>
      </c>
      <c r="H1765" s="10"/>
      <c r="I1765" s="10"/>
    </row>
    <row r="1766" spans="1:9">
      <c r="A1766" s="10" t="s">
        <v>2643</v>
      </c>
      <c r="B1766" s="124" t="s">
        <v>556</v>
      </c>
      <c r="C1766" s="124" t="s">
        <v>603</v>
      </c>
      <c r="D1766" s="12">
        <v>12500000</v>
      </c>
      <c r="E1766" s="82">
        <v>0.96257822859999997</v>
      </c>
      <c r="F1766" s="14">
        <v>12032227.859999999</v>
      </c>
      <c r="G1766" s="14">
        <v>0.01</v>
      </c>
      <c r="H1766" s="10"/>
      <c r="I1766" s="10"/>
    </row>
    <row r="1767" spans="1:9">
      <c r="A1767" s="10" t="s">
        <v>2644</v>
      </c>
      <c r="B1767" s="124" t="s">
        <v>925</v>
      </c>
      <c r="C1767" s="124" t="s">
        <v>603</v>
      </c>
      <c r="D1767" s="12">
        <v>12500000</v>
      </c>
      <c r="E1767" s="82">
        <v>0.96007168210000005</v>
      </c>
      <c r="F1767" s="14">
        <v>12000896.029999999</v>
      </c>
      <c r="G1767" s="14">
        <v>0.01</v>
      </c>
      <c r="H1767" s="10"/>
      <c r="I1767" s="10"/>
    </row>
    <row r="1768" spans="1:9">
      <c r="A1768" s="10" t="s">
        <v>2645</v>
      </c>
      <c r="B1768" s="124" t="s">
        <v>925</v>
      </c>
      <c r="C1768" s="124" t="s">
        <v>603</v>
      </c>
      <c r="D1768" s="12">
        <v>12500000</v>
      </c>
      <c r="E1768" s="82">
        <v>0.96007168210000005</v>
      </c>
      <c r="F1768" s="14">
        <v>12000896.029999999</v>
      </c>
      <c r="G1768" s="14">
        <v>0.01</v>
      </c>
      <c r="H1768" s="10"/>
      <c r="I1768" s="10"/>
    </row>
    <row r="1769" spans="1:9">
      <c r="A1769" s="10" t="s">
        <v>2646</v>
      </c>
      <c r="B1769" s="124" t="s">
        <v>667</v>
      </c>
      <c r="C1769" s="124" t="s">
        <v>603</v>
      </c>
      <c r="D1769" s="12">
        <v>12500000</v>
      </c>
      <c r="E1769" s="82">
        <v>0.95757815710000005</v>
      </c>
      <c r="F1769" s="14">
        <v>11969726.960000001</v>
      </c>
      <c r="G1769" s="14">
        <v>0.01</v>
      </c>
      <c r="H1769" s="10"/>
      <c r="I1769" s="10"/>
    </row>
    <row r="1770" spans="1:9">
      <c r="A1770" s="10" t="s">
        <v>2647</v>
      </c>
      <c r="B1770" s="124" t="s">
        <v>459</v>
      </c>
      <c r="C1770" s="124" t="s">
        <v>603</v>
      </c>
      <c r="D1770" s="12">
        <v>12500000</v>
      </c>
      <c r="E1770" s="82">
        <v>0.98223907980000003</v>
      </c>
      <c r="F1770" s="153">
        <v>12277988.5</v>
      </c>
      <c r="G1770" s="14">
        <v>0.02</v>
      </c>
      <c r="H1770" s="10"/>
      <c r="I1770" s="10"/>
    </row>
    <row r="1771" spans="1:9">
      <c r="A1771" s="10" t="s">
        <v>2648</v>
      </c>
      <c r="B1771" s="124" t="s">
        <v>661</v>
      </c>
      <c r="C1771" s="124" t="s">
        <v>603</v>
      </c>
      <c r="D1771" s="12">
        <v>12500000</v>
      </c>
      <c r="E1771" s="157">
        <v>0.95427347299999998</v>
      </c>
      <c r="F1771" s="14">
        <v>11928418.41</v>
      </c>
      <c r="G1771" s="14">
        <v>0.01</v>
      </c>
      <c r="H1771" s="10"/>
      <c r="I1771" s="10"/>
    </row>
    <row r="1772" spans="1:9">
      <c r="A1772" s="10" t="s">
        <v>2649</v>
      </c>
      <c r="B1772" s="124" t="s">
        <v>661</v>
      </c>
      <c r="C1772" s="124" t="s">
        <v>603</v>
      </c>
      <c r="D1772" s="12">
        <v>12500000</v>
      </c>
      <c r="E1772" s="157">
        <v>0.95427347299999998</v>
      </c>
      <c r="F1772" s="14">
        <v>11928418.41</v>
      </c>
      <c r="G1772" s="14">
        <v>0.01</v>
      </c>
      <c r="H1772" s="10"/>
      <c r="I1772" s="10"/>
    </row>
    <row r="1773" spans="1:9">
      <c r="A1773" s="10" t="s">
        <v>2650</v>
      </c>
      <c r="B1773" s="124" t="s">
        <v>718</v>
      </c>
      <c r="C1773" s="124" t="s">
        <v>603</v>
      </c>
      <c r="D1773" s="12">
        <v>12500000</v>
      </c>
      <c r="E1773" s="157">
        <v>0.97703306300000003</v>
      </c>
      <c r="F1773" s="14">
        <v>12212913.289999999</v>
      </c>
      <c r="G1773" s="14">
        <v>0.01</v>
      </c>
      <c r="H1773" s="10"/>
      <c r="I1773" s="10"/>
    </row>
    <row r="1774" spans="1:9">
      <c r="A1774" s="10" t="s">
        <v>2651</v>
      </c>
      <c r="B1774" s="124" t="s">
        <v>627</v>
      </c>
      <c r="C1774" s="124" t="s">
        <v>603</v>
      </c>
      <c r="D1774" s="12">
        <v>12500000</v>
      </c>
      <c r="E1774" s="157">
        <v>0.94854487899999995</v>
      </c>
      <c r="F1774" s="14">
        <v>11856810.99</v>
      </c>
      <c r="G1774" s="14">
        <v>0.01</v>
      </c>
      <c r="H1774" s="10"/>
      <c r="I1774" s="10"/>
    </row>
    <row r="1775" spans="1:9">
      <c r="A1775" s="10" t="s">
        <v>2652</v>
      </c>
      <c r="B1775" s="124" t="s">
        <v>559</v>
      </c>
      <c r="C1775" s="124" t="s">
        <v>603</v>
      </c>
      <c r="D1775" s="12">
        <v>12500000</v>
      </c>
      <c r="E1775" s="82">
        <v>0.97531006590000002</v>
      </c>
      <c r="F1775" s="14">
        <v>12191375.82</v>
      </c>
      <c r="G1775" s="14">
        <v>0.01</v>
      </c>
      <c r="H1775" s="10"/>
      <c r="I1775" s="10"/>
    </row>
    <row r="1776" spans="1:9">
      <c r="A1776" s="10" t="s">
        <v>2653</v>
      </c>
      <c r="B1776" s="124" t="s">
        <v>657</v>
      </c>
      <c r="C1776" s="124" t="s">
        <v>603</v>
      </c>
      <c r="D1776" s="12">
        <v>12500000</v>
      </c>
      <c r="E1776" s="82">
        <v>0.94692063250000003</v>
      </c>
      <c r="F1776" s="14">
        <v>11836507.91</v>
      </c>
      <c r="G1776" s="14">
        <v>0.01</v>
      </c>
      <c r="H1776" s="10"/>
      <c r="I1776" s="10"/>
    </row>
    <row r="1777" spans="1:9">
      <c r="A1777" s="10" t="s">
        <v>2654</v>
      </c>
      <c r="B1777" s="124" t="s">
        <v>498</v>
      </c>
      <c r="C1777" s="124" t="s">
        <v>603</v>
      </c>
      <c r="D1777" s="12">
        <v>12500000</v>
      </c>
      <c r="E1777" s="82">
        <v>0.97188208310000002</v>
      </c>
      <c r="F1777" s="14">
        <v>12148526.039999999</v>
      </c>
      <c r="G1777" s="14">
        <v>0.01</v>
      </c>
      <c r="H1777" s="10"/>
      <c r="I1777" s="10"/>
    </row>
    <row r="1778" spans="1:9">
      <c r="A1778" s="10" t="s">
        <v>2655</v>
      </c>
      <c r="B1778" s="124" t="s">
        <v>636</v>
      </c>
      <c r="C1778" s="124" t="s">
        <v>603</v>
      </c>
      <c r="D1778" s="12">
        <v>12500000</v>
      </c>
      <c r="E1778" s="82">
        <v>0.94127971330000004</v>
      </c>
      <c r="F1778" s="14">
        <v>11765996.42</v>
      </c>
      <c r="G1778" s="14">
        <v>0.01</v>
      </c>
      <c r="H1778" s="10"/>
      <c r="I1778" s="10"/>
    </row>
    <row r="1779" spans="1:9">
      <c r="A1779" s="10" t="s">
        <v>2656</v>
      </c>
      <c r="B1779" s="124" t="s">
        <v>1698</v>
      </c>
      <c r="C1779" s="124" t="s">
        <v>603</v>
      </c>
      <c r="D1779" s="12">
        <v>12500000</v>
      </c>
      <c r="E1779" s="82">
        <v>0.93968043509999999</v>
      </c>
      <c r="F1779" s="14">
        <v>11746005.439999999</v>
      </c>
      <c r="G1779" s="14">
        <v>0.01</v>
      </c>
      <c r="H1779" s="10"/>
      <c r="I1779" s="10"/>
    </row>
    <row r="1780" spans="1:9">
      <c r="A1780" s="10" t="s">
        <v>2657</v>
      </c>
      <c r="B1780" s="124" t="s">
        <v>255</v>
      </c>
      <c r="C1780" s="124" t="s">
        <v>603</v>
      </c>
      <c r="D1780" s="12">
        <v>12500000</v>
      </c>
      <c r="E1780" s="82">
        <v>0.93570560390000002</v>
      </c>
      <c r="F1780" s="14">
        <v>11696320.050000001</v>
      </c>
      <c r="G1780" s="14">
        <v>0.01</v>
      </c>
      <c r="H1780" s="10"/>
      <c r="I1780" s="10"/>
    </row>
    <row r="1781" spans="1:9">
      <c r="A1781" s="10" t="s">
        <v>2658</v>
      </c>
      <c r="B1781" s="124" t="s">
        <v>552</v>
      </c>
      <c r="C1781" s="124" t="s">
        <v>603</v>
      </c>
      <c r="D1781" s="12">
        <v>12500000</v>
      </c>
      <c r="E1781" s="82">
        <v>0.96425648360000005</v>
      </c>
      <c r="F1781" s="14">
        <v>12053206.050000001</v>
      </c>
      <c r="G1781" s="14">
        <v>0.01</v>
      </c>
      <c r="H1781" s="10"/>
      <c r="I1781" s="10"/>
    </row>
    <row r="1782" spans="1:9">
      <c r="A1782" s="10" t="s">
        <v>2659</v>
      </c>
      <c r="B1782" s="124" t="s">
        <v>618</v>
      </c>
      <c r="C1782" s="124" t="s">
        <v>603</v>
      </c>
      <c r="D1782" s="12">
        <v>12500000</v>
      </c>
      <c r="E1782" s="157">
        <v>0.93649791900000001</v>
      </c>
      <c r="F1782" s="14">
        <v>11706223.99</v>
      </c>
      <c r="G1782" s="14">
        <v>0.01</v>
      </c>
      <c r="H1782" s="10"/>
      <c r="I1782" s="10"/>
    </row>
    <row r="1783" spans="1:9">
      <c r="A1783" s="10" t="s">
        <v>2660</v>
      </c>
      <c r="B1783" s="124" t="s">
        <v>743</v>
      </c>
      <c r="C1783" s="124" t="s">
        <v>603</v>
      </c>
      <c r="D1783" s="12">
        <v>12500000</v>
      </c>
      <c r="E1783" s="82">
        <v>0.94288465219999995</v>
      </c>
      <c r="F1783" s="14">
        <v>11786058.15</v>
      </c>
      <c r="G1783" s="14">
        <v>0.01</v>
      </c>
      <c r="H1783" s="10"/>
      <c r="I1783" s="10"/>
    </row>
    <row r="1784" spans="1:9">
      <c r="A1784" s="10" t="s">
        <v>2661</v>
      </c>
      <c r="B1784" s="124" t="s">
        <v>636</v>
      </c>
      <c r="C1784" s="124" t="s">
        <v>603</v>
      </c>
      <c r="D1784" s="12">
        <v>14000000</v>
      </c>
      <c r="E1784" s="82">
        <v>0.94127971330000004</v>
      </c>
      <c r="F1784" s="14">
        <v>13177915.99</v>
      </c>
      <c r="G1784" s="14">
        <v>0.02</v>
      </c>
      <c r="H1784" s="10"/>
      <c r="I1784" s="10"/>
    </row>
    <row r="1785" spans="1:9">
      <c r="A1785" s="10" t="s">
        <v>2662</v>
      </c>
      <c r="B1785" s="124" t="s">
        <v>663</v>
      </c>
      <c r="C1785" s="124" t="s">
        <v>603</v>
      </c>
      <c r="D1785" s="12">
        <v>10000000</v>
      </c>
      <c r="E1785" s="82">
        <v>0.93019712379999997</v>
      </c>
      <c r="F1785" s="14">
        <v>9301971.2400000002</v>
      </c>
      <c r="G1785" s="14">
        <v>0.01</v>
      </c>
      <c r="H1785" s="10"/>
      <c r="I1785" s="10"/>
    </row>
    <row r="1786" spans="1:9">
      <c r="A1786" s="10" t="s">
        <v>2663</v>
      </c>
      <c r="B1786" s="124" t="s">
        <v>587</v>
      </c>
      <c r="C1786" s="124" t="s">
        <v>603</v>
      </c>
      <c r="D1786" s="12">
        <v>10000000</v>
      </c>
      <c r="E1786" s="82">
        <v>0.95262957039999996</v>
      </c>
      <c r="F1786" s="153">
        <v>9526295.6999999993</v>
      </c>
      <c r="G1786" s="14">
        <v>0.01</v>
      </c>
      <c r="H1786" s="10"/>
      <c r="I1786" s="10"/>
    </row>
    <row r="1787" spans="1:9">
      <c r="A1787" s="10" t="s">
        <v>2664</v>
      </c>
      <c r="B1787" s="124" t="s">
        <v>636</v>
      </c>
      <c r="C1787" s="124" t="s">
        <v>603</v>
      </c>
      <c r="D1787" s="12">
        <v>75000000</v>
      </c>
      <c r="E1787" s="82">
        <v>0.94633142690000005</v>
      </c>
      <c r="F1787" s="14">
        <v>70974857.019999996</v>
      </c>
      <c r="G1787" s="14">
        <v>0.09</v>
      </c>
      <c r="H1787" s="10"/>
      <c r="I1787" s="10"/>
    </row>
    <row r="1788" spans="1:9">
      <c r="A1788" s="10" t="s">
        <v>2665</v>
      </c>
      <c r="B1788" s="124" t="s">
        <v>682</v>
      </c>
      <c r="C1788" s="124" t="s">
        <v>603</v>
      </c>
      <c r="D1788" s="12">
        <v>75000000</v>
      </c>
      <c r="E1788" s="82">
        <v>0.97203740049999998</v>
      </c>
      <c r="F1788" s="14">
        <v>72902805.040000007</v>
      </c>
      <c r="G1788" s="14">
        <v>0.09</v>
      </c>
      <c r="H1788" s="10"/>
      <c r="I1788" s="10"/>
    </row>
    <row r="1789" spans="1:9">
      <c r="A1789" s="10" t="s">
        <v>2680</v>
      </c>
      <c r="B1789" s="124" t="s">
        <v>556</v>
      </c>
      <c r="C1789" s="124" t="s">
        <v>440</v>
      </c>
      <c r="D1789" s="12">
        <v>9300000</v>
      </c>
      <c r="E1789" s="82">
        <v>0.97698082480000004</v>
      </c>
      <c r="F1789" s="14">
        <v>9085921.6699999999</v>
      </c>
      <c r="G1789" s="14">
        <v>0.01</v>
      </c>
      <c r="H1789" s="10"/>
      <c r="I1789" s="10"/>
    </row>
    <row r="1790" spans="1:9">
      <c r="A1790" s="10" t="s">
        <v>2681</v>
      </c>
      <c r="B1790" s="124" t="s">
        <v>255</v>
      </c>
      <c r="C1790" s="124" t="s">
        <v>440</v>
      </c>
      <c r="D1790" s="12">
        <v>2358919</v>
      </c>
      <c r="E1790" s="82">
        <v>0.96002115290000001</v>
      </c>
      <c r="F1790" s="14">
        <v>2264612.14</v>
      </c>
      <c r="G1790" s="12">
        <v>0</v>
      </c>
      <c r="H1790" s="10"/>
      <c r="I1790" s="10"/>
    </row>
    <row r="1791" spans="1:9">
      <c r="A1791" s="10" t="s">
        <v>2682</v>
      </c>
      <c r="B1791" s="124" t="s">
        <v>636</v>
      </c>
      <c r="C1791" s="124" t="s">
        <v>440</v>
      </c>
      <c r="D1791" s="14">
        <v>479785.49</v>
      </c>
      <c r="E1791" s="82">
        <v>0.96356923949999995</v>
      </c>
      <c r="F1791" s="14">
        <v>462306.54</v>
      </c>
      <c r="G1791" s="12">
        <v>0</v>
      </c>
      <c r="H1791" s="10"/>
      <c r="I1791" s="10"/>
    </row>
    <row r="1792" spans="1:9">
      <c r="A1792" s="10" t="s">
        <v>2683</v>
      </c>
      <c r="B1792" s="124" t="s">
        <v>636</v>
      </c>
      <c r="C1792" s="124" t="s">
        <v>440</v>
      </c>
      <c r="D1792" s="12">
        <v>930850</v>
      </c>
      <c r="E1792" s="82">
        <v>0.9635692535</v>
      </c>
      <c r="F1792" s="14">
        <v>896938.44</v>
      </c>
      <c r="G1792" s="12">
        <v>0</v>
      </c>
      <c r="H1792" s="10"/>
      <c r="I1792" s="10"/>
    </row>
    <row r="1793" spans="1:9">
      <c r="A1793" s="10" t="s">
        <v>2684</v>
      </c>
      <c r="B1793" s="124" t="s">
        <v>667</v>
      </c>
      <c r="C1793" s="124" t="s">
        <v>440</v>
      </c>
      <c r="D1793" s="12">
        <v>6000000</v>
      </c>
      <c r="E1793" s="82">
        <v>0.95881058289999999</v>
      </c>
      <c r="F1793" s="153">
        <v>5752863.5</v>
      </c>
      <c r="G1793" s="14">
        <v>0.01</v>
      </c>
      <c r="H1793" s="10"/>
      <c r="I1793" s="10"/>
    </row>
    <row r="1794" spans="1:9">
      <c r="A1794" s="10" t="s">
        <v>2685</v>
      </c>
      <c r="B1794" s="124" t="s">
        <v>578</v>
      </c>
      <c r="C1794" s="124" t="s">
        <v>440</v>
      </c>
      <c r="D1794" s="12">
        <v>5000000</v>
      </c>
      <c r="E1794" s="157">
        <v>0.99509274599999997</v>
      </c>
      <c r="F1794" s="14">
        <v>4975463.7300000004</v>
      </c>
      <c r="G1794" s="14">
        <v>0.01</v>
      </c>
      <c r="H1794" s="10"/>
      <c r="I1794" s="10"/>
    </row>
    <row r="1795" spans="1:9">
      <c r="A1795" s="10" t="s">
        <v>2686</v>
      </c>
      <c r="B1795" s="124" t="s">
        <v>456</v>
      </c>
      <c r="C1795" s="124" t="s">
        <v>440</v>
      </c>
      <c r="D1795" s="12">
        <v>5000000</v>
      </c>
      <c r="E1795" s="82">
        <v>0.9886241281</v>
      </c>
      <c r="F1795" s="14">
        <v>4943120.6399999997</v>
      </c>
      <c r="G1795" s="14">
        <v>0.01</v>
      </c>
      <c r="H1795" s="10"/>
      <c r="I1795" s="10"/>
    </row>
    <row r="1796" spans="1:9">
      <c r="A1796" s="10" t="s">
        <v>2687</v>
      </c>
      <c r="B1796" s="124" t="s">
        <v>746</v>
      </c>
      <c r="C1796" s="124" t="s">
        <v>440</v>
      </c>
      <c r="D1796" s="12">
        <v>5000000</v>
      </c>
      <c r="E1796" s="157">
        <v>0.98782143200000005</v>
      </c>
      <c r="F1796" s="14">
        <v>4939107.16</v>
      </c>
      <c r="G1796" s="14">
        <v>0.01</v>
      </c>
      <c r="H1796" s="10"/>
      <c r="I1796" s="10"/>
    </row>
    <row r="1797" spans="1:9">
      <c r="A1797" s="10" t="s">
        <v>2688</v>
      </c>
      <c r="B1797" s="124" t="s">
        <v>459</v>
      </c>
      <c r="C1797" s="124" t="s">
        <v>440</v>
      </c>
      <c r="D1797" s="12">
        <v>5000000</v>
      </c>
      <c r="E1797" s="82">
        <v>0.98382750809999997</v>
      </c>
      <c r="F1797" s="14">
        <v>4919137.54</v>
      </c>
      <c r="G1797" s="14">
        <v>0.01</v>
      </c>
      <c r="H1797" s="10"/>
      <c r="I1797" s="10"/>
    </row>
    <row r="1798" spans="1:9">
      <c r="A1798" s="10" t="s">
        <v>2689</v>
      </c>
      <c r="B1798" s="124" t="s">
        <v>718</v>
      </c>
      <c r="C1798" s="124" t="s">
        <v>440</v>
      </c>
      <c r="D1798" s="12">
        <v>4000000</v>
      </c>
      <c r="E1798" s="82">
        <v>0.97907732010000004</v>
      </c>
      <c r="F1798" s="14">
        <v>3916309.28</v>
      </c>
      <c r="G1798" s="12">
        <v>0</v>
      </c>
      <c r="H1798" s="10"/>
      <c r="I1798" s="10"/>
    </row>
    <row r="1799" spans="1:9">
      <c r="A1799" s="10" t="s">
        <v>2690</v>
      </c>
      <c r="B1799" s="124" t="s">
        <v>1108</v>
      </c>
      <c r="C1799" s="124" t="s">
        <v>440</v>
      </c>
      <c r="D1799" s="14">
        <v>12244199.85</v>
      </c>
      <c r="E1799" s="82">
        <v>0.91895570209999999</v>
      </c>
      <c r="F1799" s="14">
        <v>11251877.27</v>
      </c>
      <c r="G1799" s="14">
        <v>0.01</v>
      </c>
      <c r="H1799" s="10"/>
      <c r="I1799" s="10"/>
    </row>
    <row r="1800" spans="1:9">
      <c r="A1800" s="10" t="s">
        <v>2691</v>
      </c>
      <c r="B1800" s="124" t="s">
        <v>2230</v>
      </c>
      <c r="C1800" s="124" t="s">
        <v>440</v>
      </c>
      <c r="D1800" s="14">
        <v>12252176.529999999</v>
      </c>
      <c r="E1800" s="82">
        <v>0.91494759189999997</v>
      </c>
      <c r="F1800" s="14">
        <v>11210099.41</v>
      </c>
      <c r="G1800" s="14">
        <v>0.01</v>
      </c>
      <c r="H1800" s="10"/>
      <c r="I1800" s="10"/>
    </row>
    <row r="1801" spans="1:9">
      <c r="A1801" s="10" t="s">
        <v>2692</v>
      </c>
      <c r="B1801" s="124" t="s">
        <v>1448</v>
      </c>
      <c r="C1801" s="124" t="s">
        <v>440</v>
      </c>
      <c r="D1801" s="14">
        <v>12258159.039999999</v>
      </c>
      <c r="E1801" s="82">
        <v>0.91428290560000003</v>
      </c>
      <c r="F1801" s="14">
        <v>11207425.26</v>
      </c>
      <c r="G1801" s="14">
        <v>0.01</v>
      </c>
      <c r="H1801" s="10"/>
      <c r="I1801" s="10"/>
    </row>
    <row r="1802" spans="1:9">
      <c r="A1802" s="10" t="s">
        <v>2693</v>
      </c>
      <c r="B1802" s="124" t="s">
        <v>2152</v>
      </c>
      <c r="C1802" s="124" t="s">
        <v>440</v>
      </c>
      <c r="D1802" s="14">
        <v>12266135.710000001</v>
      </c>
      <c r="E1802" s="82">
        <v>0.91031536729999996</v>
      </c>
      <c r="F1802" s="14">
        <v>11166051.83</v>
      </c>
      <c r="G1802" s="14">
        <v>0.01</v>
      </c>
      <c r="H1802" s="10"/>
      <c r="I1802" s="10"/>
    </row>
    <row r="1803" spans="1:9">
      <c r="A1803" s="10" t="s">
        <v>2694</v>
      </c>
      <c r="B1803" s="124" t="s">
        <v>925</v>
      </c>
      <c r="C1803" s="124" t="s">
        <v>440</v>
      </c>
      <c r="D1803" s="12">
        <v>100000000</v>
      </c>
      <c r="E1803" s="82">
        <v>0.96356916579999996</v>
      </c>
      <c r="F1803" s="14">
        <v>96356916.579999998</v>
      </c>
      <c r="G1803" s="14">
        <v>0.12</v>
      </c>
      <c r="H1803" s="10"/>
      <c r="I1803" s="10"/>
    </row>
    <row r="1804" spans="1:9">
      <c r="A1804" s="10" t="s">
        <v>2695</v>
      </c>
      <c r="B1804" s="124" t="s">
        <v>752</v>
      </c>
      <c r="C1804" s="124" t="s">
        <v>440</v>
      </c>
      <c r="D1804" s="12">
        <v>100000000</v>
      </c>
      <c r="E1804" s="157">
        <v>0.962806775</v>
      </c>
      <c r="F1804" s="153">
        <v>96280677.5</v>
      </c>
      <c r="G1804" s="14">
        <v>0.12</v>
      </c>
      <c r="H1804" s="10"/>
      <c r="I1804" s="10"/>
    </row>
    <row r="1805" spans="1:9">
      <c r="A1805" s="10" t="s">
        <v>2696</v>
      </c>
      <c r="B1805" s="124" t="s">
        <v>556</v>
      </c>
      <c r="C1805" s="124" t="s">
        <v>440</v>
      </c>
      <c r="D1805" s="12">
        <v>100000000</v>
      </c>
      <c r="E1805" s="157">
        <v>0.96586412700000002</v>
      </c>
      <c r="F1805" s="153">
        <v>96586412.700000003</v>
      </c>
      <c r="G1805" s="14">
        <v>0.12</v>
      </c>
      <c r="H1805" s="10"/>
      <c r="I1805" s="10"/>
    </row>
    <row r="1806" spans="1:9">
      <c r="A1806" s="10" t="s">
        <v>2697</v>
      </c>
      <c r="B1806" s="124" t="s">
        <v>657</v>
      </c>
      <c r="C1806" s="124" t="s">
        <v>440</v>
      </c>
      <c r="D1806" s="12">
        <v>90000000</v>
      </c>
      <c r="E1806" s="82">
        <v>0.94844623120000005</v>
      </c>
      <c r="F1806" s="14">
        <v>85360160.810000002</v>
      </c>
      <c r="G1806" s="153">
        <v>0.1</v>
      </c>
      <c r="H1806" s="10"/>
      <c r="I1806" s="10"/>
    </row>
    <row r="1807" spans="1:9">
      <c r="A1807" s="10" t="s">
        <v>2698</v>
      </c>
      <c r="B1807" s="124" t="s">
        <v>625</v>
      </c>
      <c r="C1807" s="124" t="s">
        <v>440</v>
      </c>
      <c r="D1807" s="12">
        <v>90000000</v>
      </c>
      <c r="E1807" s="82">
        <v>0.99912405930000003</v>
      </c>
      <c r="F1807" s="14">
        <v>89921165.340000004</v>
      </c>
      <c r="G1807" s="14">
        <v>0.11</v>
      </c>
      <c r="H1807" s="10"/>
      <c r="I1807" s="10"/>
    </row>
    <row r="1808" spans="1:9">
      <c r="A1808" s="10" t="s">
        <v>2699</v>
      </c>
      <c r="B1808" s="124" t="s">
        <v>645</v>
      </c>
      <c r="C1808" s="124" t="s">
        <v>440</v>
      </c>
      <c r="D1808" s="12">
        <v>95000000</v>
      </c>
      <c r="E1808" s="82">
        <v>0.97105464019999999</v>
      </c>
      <c r="F1808" s="14">
        <v>92250190.819999993</v>
      </c>
      <c r="G1808" s="14">
        <v>0.11</v>
      </c>
      <c r="H1808" s="10"/>
      <c r="I1808" s="10"/>
    </row>
    <row r="1809" spans="1:9">
      <c r="A1809" s="10" t="s">
        <v>2700</v>
      </c>
      <c r="B1809" s="124" t="s">
        <v>667</v>
      </c>
      <c r="C1809" s="124" t="s">
        <v>440</v>
      </c>
      <c r="D1809" s="12">
        <v>50000000</v>
      </c>
      <c r="E1809" s="82">
        <v>0.95881058289999999</v>
      </c>
      <c r="F1809" s="14">
        <v>47940529.149999999</v>
      </c>
      <c r="G1809" s="14">
        <v>0.06</v>
      </c>
      <c r="H1809" s="10"/>
      <c r="I1809" s="10"/>
    </row>
    <row r="1810" spans="1:9">
      <c r="A1810" s="10" t="s">
        <v>2701</v>
      </c>
      <c r="B1810" s="124" t="s">
        <v>510</v>
      </c>
      <c r="C1810" s="124" t="s">
        <v>440</v>
      </c>
      <c r="D1810" s="12">
        <v>50000000</v>
      </c>
      <c r="E1810" s="82">
        <v>0.98192199150000004</v>
      </c>
      <c r="F1810" s="14">
        <v>49096099.579999998</v>
      </c>
      <c r="G1810" s="14">
        <v>0.06</v>
      </c>
      <c r="H1810" s="10"/>
      <c r="I1810" s="10"/>
    </row>
    <row r="1811" spans="1:9">
      <c r="A1811" s="10" t="s">
        <v>2702</v>
      </c>
      <c r="B1811" s="124" t="s">
        <v>627</v>
      </c>
      <c r="C1811" s="124" t="s">
        <v>440</v>
      </c>
      <c r="D1811" s="12">
        <v>50000000</v>
      </c>
      <c r="E1811" s="82">
        <v>0.95002606079999996</v>
      </c>
      <c r="F1811" s="14">
        <v>47501303.039999999</v>
      </c>
      <c r="G1811" s="14">
        <v>0.06</v>
      </c>
      <c r="H1811" s="10"/>
      <c r="I1811" s="10"/>
    </row>
    <row r="1812" spans="1:9">
      <c r="A1812" s="10" t="s">
        <v>2703</v>
      </c>
      <c r="B1812" s="124" t="s">
        <v>2704</v>
      </c>
      <c r="C1812" s="124" t="s">
        <v>440</v>
      </c>
      <c r="D1812" s="12">
        <v>9000000</v>
      </c>
      <c r="E1812" s="82">
        <v>0.91860891359999997</v>
      </c>
      <c r="F1812" s="14">
        <v>8267480.2199999997</v>
      </c>
      <c r="G1812" s="14">
        <v>0.01</v>
      </c>
      <c r="H1812" s="10"/>
      <c r="I1812" s="10"/>
    </row>
    <row r="1813" spans="1:9">
      <c r="A1813" s="10" t="s">
        <v>2705</v>
      </c>
      <c r="B1813" s="124" t="s">
        <v>1525</v>
      </c>
      <c r="C1813" s="124" t="s">
        <v>440</v>
      </c>
      <c r="D1813" s="12">
        <v>9000000</v>
      </c>
      <c r="E1813" s="82">
        <v>0.91784656070000004</v>
      </c>
      <c r="F1813" s="14">
        <v>8260619.0499999998</v>
      </c>
      <c r="G1813" s="14">
        <v>0.01</v>
      </c>
      <c r="H1813" s="10"/>
      <c r="I1813" s="10"/>
    </row>
    <row r="1814" spans="1:9">
      <c r="A1814" s="10" t="s">
        <v>2706</v>
      </c>
      <c r="B1814" s="124" t="s">
        <v>630</v>
      </c>
      <c r="C1814" s="124" t="s">
        <v>440</v>
      </c>
      <c r="D1814" s="12">
        <v>9000000</v>
      </c>
      <c r="E1814" s="82">
        <v>0.91405391540000003</v>
      </c>
      <c r="F1814" s="14">
        <v>8226485.2400000002</v>
      </c>
      <c r="G1814" s="14">
        <v>0.01</v>
      </c>
      <c r="H1814" s="10"/>
      <c r="I1814" s="10"/>
    </row>
    <row r="1815" spans="1:9">
      <c r="A1815" s="10" t="s">
        <v>2707</v>
      </c>
      <c r="B1815" s="124" t="s">
        <v>616</v>
      </c>
      <c r="C1815" s="124" t="s">
        <v>440</v>
      </c>
      <c r="D1815" s="12">
        <v>9000000</v>
      </c>
      <c r="E1815" s="82">
        <v>0.91329931909999995</v>
      </c>
      <c r="F1815" s="14">
        <v>8219693.8700000001</v>
      </c>
      <c r="G1815" s="14">
        <v>0.01</v>
      </c>
      <c r="H1815" s="10"/>
      <c r="I1815" s="10"/>
    </row>
    <row r="1816" spans="1:9">
      <c r="A1816" s="10" t="s">
        <v>2708</v>
      </c>
      <c r="B1816" s="124" t="s">
        <v>670</v>
      </c>
      <c r="C1816" s="124" t="s">
        <v>440</v>
      </c>
      <c r="D1816" s="12">
        <v>30000000</v>
      </c>
      <c r="E1816" s="82">
        <v>0.94208155790000003</v>
      </c>
      <c r="F1816" s="14">
        <v>28262446.739999998</v>
      </c>
      <c r="G1816" s="14">
        <v>0.03</v>
      </c>
      <c r="H1816" s="10"/>
      <c r="I1816" s="10"/>
    </row>
    <row r="1817" spans="1:9">
      <c r="A1817" s="10" t="s">
        <v>2709</v>
      </c>
      <c r="B1817" s="124" t="s">
        <v>682</v>
      </c>
      <c r="C1817" s="124" t="s">
        <v>440</v>
      </c>
      <c r="D1817" s="12">
        <v>12500000</v>
      </c>
      <c r="E1817" s="82">
        <v>0.97022860359999996</v>
      </c>
      <c r="F1817" s="14">
        <v>12127857.550000001</v>
      </c>
      <c r="G1817" s="14">
        <v>0.01</v>
      </c>
      <c r="H1817" s="10"/>
      <c r="I1817" s="10"/>
    </row>
    <row r="1818" spans="1:9">
      <c r="A1818" s="10" t="s">
        <v>2710</v>
      </c>
      <c r="B1818" s="124" t="s">
        <v>634</v>
      </c>
      <c r="C1818" s="124" t="s">
        <v>440</v>
      </c>
      <c r="D1818" s="12">
        <v>12500000</v>
      </c>
      <c r="E1818" s="82">
        <v>0.96940414269999997</v>
      </c>
      <c r="F1818" s="14">
        <v>12117551.779999999</v>
      </c>
      <c r="G1818" s="14">
        <v>0.01</v>
      </c>
      <c r="H1818" s="10"/>
      <c r="I1818" s="10"/>
    </row>
    <row r="1819" spans="1:9">
      <c r="A1819" s="10" t="s">
        <v>2711</v>
      </c>
      <c r="B1819" s="124" t="s">
        <v>657</v>
      </c>
      <c r="C1819" s="124" t="s">
        <v>440</v>
      </c>
      <c r="D1819" s="12">
        <v>12500000</v>
      </c>
      <c r="E1819" s="82">
        <v>0.94844623120000005</v>
      </c>
      <c r="F1819" s="14">
        <v>11855577.890000001</v>
      </c>
      <c r="G1819" s="14">
        <v>0.01</v>
      </c>
      <c r="H1819" s="10"/>
      <c r="I1819" s="10"/>
    </row>
    <row r="1820" spans="1:9">
      <c r="A1820" s="10" t="s">
        <v>2712</v>
      </c>
      <c r="B1820" s="124" t="s">
        <v>743</v>
      </c>
      <c r="C1820" s="124" t="s">
        <v>440</v>
      </c>
      <c r="D1820" s="12">
        <v>12500000</v>
      </c>
      <c r="E1820" s="82">
        <v>0.94451925169999995</v>
      </c>
      <c r="F1820" s="14">
        <v>11806490.65</v>
      </c>
      <c r="G1820" s="14">
        <v>0.01</v>
      </c>
      <c r="H1820" s="10"/>
      <c r="I1820" s="10"/>
    </row>
    <row r="1821" spans="1:9">
      <c r="A1821" s="10" t="s">
        <v>2713</v>
      </c>
      <c r="B1821" s="124" t="s">
        <v>618</v>
      </c>
      <c r="C1821" s="124" t="s">
        <v>440</v>
      </c>
      <c r="D1821" s="153">
        <v>1131607.5</v>
      </c>
      <c r="E1821" s="82">
        <v>0.93830335090000005</v>
      </c>
      <c r="F1821" s="14">
        <v>1061791.1100000001</v>
      </c>
      <c r="G1821" s="12">
        <v>0</v>
      </c>
      <c r="H1821" s="10"/>
      <c r="I1821" s="10"/>
    </row>
    <row r="1822" spans="1:9">
      <c r="A1822" s="10" t="s">
        <v>2714</v>
      </c>
      <c r="B1822" s="124" t="s">
        <v>746</v>
      </c>
      <c r="C1822" s="124" t="s">
        <v>440</v>
      </c>
      <c r="D1822" s="12">
        <v>1500000</v>
      </c>
      <c r="E1822" s="82">
        <v>0.98702006649999996</v>
      </c>
      <c r="F1822" s="153">
        <v>1480530.1</v>
      </c>
      <c r="G1822" s="12">
        <v>0</v>
      </c>
      <c r="H1822" s="10"/>
      <c r="I1822" s="10"/>
    </row>
    <row r="1823" spans="1:9">
      <c r="A1823" s="10" t="s">
        <v>2715</v>
      </c>
      <c r="B1823" s="124" t="s">
        <v>559</v>
      </c>
      <c r="C1823" s="124" t="s">
        <v>440</v>
      </c>
      <c r="D1823" s="14">
        <v>4180883.08</v>
      </c>
      <c r="E1823" s="82">
        <v>0.9760403607</v>
      </c>
      <c r="F1823" s="14">
        <v>4080710.63</v>
      </c>
      <c r="G1823" s="12">
        <v>0</v>
      </c>
      <c r="H1823" s="10"/>
      <c r="I1823" s="10"/>
    </row>
    <row r="1824" spans="1:9">
      <c r="A1824" s="10" t="s">
        <v>2716</v>
      </c>
      <c r="B1824" s="124" t="s">
        <v>498</v>
      </c>
      <c r="C1824" s="124" t="s">
        <v>440</v>
      </c>
      <c r="D1824" s="14">
        <v>142978.09</v>
      </c>
      <c r="E1824" s="82">
        <v>0.97271092370000001</v>
      </c>
      <c r="F1824" s="14">
        <v>139076.35</v>
      </c>
      <c r="G1824" s="12">
        <v>0</v>
      </c>
      <c r="H1824" s="10"/>
      <c r="I1824" s="10"/>
    </row>
    <row r="1825" spans="1:9">
      <c r="A1825" s="10" t="s">
        <v>2717</v>
      </c>
      <c r="B1825" s="124" t="s">
        <v>645</v>
      </c>
      <c r="C1825" s="124" t="s">
        <v>440</v>
      </c>
      <c r="D1825" s="12">
        <v>639000</v>
      </c>
      <c r="E1825" s="82">
        <v>0.97105464809999997</v>
      </c>
      <c r="F1825" s="14">
        <v>620503.92000000004</v>
      </c>
      <c r="G1825" s="12">
        <v>0</v>
      </c>
      <c r="H1825" s="10"/>
      <c r="I1825" s="10"/>
    </row>
    <row r="1826" spans="1:9">
      <c r="A1826" s="10" t="s">
        <v>2718</v>
      </c>
      <c r="B1826" s="124" t="s">
        <v>645</v>
      </c>
      <c r="C1826" s="124" t="s">
        <v>440</v>
      </c>
      <c r="D1826" s="14">
        <v>855232.58</v>
      </c>
      <c r="E1826" s="82">
        <v>0.97105464549999998</v>
      </c>
      <c r="F1826" s="14">
        <v>830477.57</v>
      </c>
      <c r="G1826" s="12">
        <v>0</v>
      </c>
      <c r="H1826" s="10"/>
      <c r="I1826" s="10"/>
    </row>
    <row r="1827" spans="1:9">
      <c r="A1827" s="10" t="s">
        <v>2719</v>
      </c>
      <c r="B1827" s="124" t="s">
        <v>746</v>
      </c>
      <c r="C1827" s="124" t="s">
        <v>440</v>
      </c>
      <c r="D1827" s="153">
        <v>8338377.5999999996</v>
      </c>
      <c r="E1827" s="82">
        <v>0.98702006610000004</v>
      </c>
      <c r="F1827" s="14">
        <v>8230146.0099999998</v>
      </c>
      <c r="G1827" s="14">
        <v>0.01</v>
      </c>
      <c r="H1827" s="10"/>
      <c r="I1827" s="10"/>
    </row>
    <row r="1828" spans="1:9">
      <c r="A1828" s="10" t="s">
        <v>2720</v>
      </c>
      <c r="B1828" s="124" t="s">
        <v>645</v>
      </c>
      <c r="C1828" s="124" t="s">
        <v>440</v>
      </c>
      <c r="D1828" s="14">
        <v>291635.14</v>
      </c>
      <c r="E1828" s="21">
        <v>0.97105461999999998</v>
      </c>
      <c r="F1828" s="14">
        <v>283193.65000000002</v>
      </c>
      <c r="G1828" s="12">
        <v>0</v>
      </c>
      <c r="H1828" s="10"/>
      <c r="I1828" s="10"/>
    </row>
    <row r="1829" spans="1:9">
      <c r="A1829" s="10" t="s">
        <v>2721</v>
      </c>
      <c r="B1829" s="124" t="s">
        <v>746</v>
      </c>
      <c r="C1829" s="124" t="s">
        <v>440</v>
      </c>
      <c r="D1829" s="12">
        <v>75141</v>
      </c>
      <c r="E1829" s="82">
        <v>0.98702000239999998</v>
      </c>
      <c r="F1829" s="14">
        <v>74165.67</v>
      </c>
      <c r="G1829" s="12">
        <v>0</v>
      </c>
      <c r="H1829" s="10"/>
      <c r="I1829" s="10"/>
    </row>
    <row r="1830" spans="1:9">
      <c r="A1830" s="10" t="s">
        <v>2722</v>
      </c>
      <c r="B1830" s="124" t="s">
        <v>1007</v>
      </c>
      <c r="C1830" s="124" t="s">
        <v>440</v>
      </c>
      <c r="D1830" s="12">
        <v>6000000</v>
      </c>
      <c r="E1830" s="157">
        <v>0.901234643</v>
      </c>
      <c r="F1830" s="14">
        <v>5407407.8600000003</v>
      </c>
      <c r="G1830" s="14">
        <v>0.01</v>
      </c>
      <c r="H1830" s="10"/>
      <c r="I1830" s="10"/>
    </row>
    <row r="1831" spans="1:9">
      <c r="A1831" s="10" t="s">
        <v>2723</v>
      </c>
      <c r="B1831" s="124" t="s">
        <v>645</v>
      </c>
      <c r="C1831" s="124" t="s">
        <v>440</v>
      </c>
      <c r="D1831" s="12">
        <v>6000000</v>
      </c>
      <c r="E1831" s="82">
        <v>0.97105463839999995</v>
      </c>
      <c r="F1831" s="14">
        <v>5826327.8300000001</v>
      </c>
      <c r="G1831" s="14">
        <v>0.01</v>
      </c>
      <c r="H1831" s="10"/>
      <c r="I1831" s="10"/>
    </row>
    <row r="1832" spans="1:9">
      <c r="A1832" s="10" t="s">
        <v>2724</v>
      </c>
      <c r="B1832" s="124" t="s">
        <v>992</v>
      </c>
      <c r="C1832" s="124" t="s">
        <v>440</v>
      </c>
      <c r="D1832" s="12">
        <v>6000000</v>
      </c>
      <c r="E1832" s="82">
        <v>0.92162408510000005</v>
      </c>
      <c r="F1832" s="14">
        <v>5529744.5099999998</v>
      </c>
      <c r="G1832" s="14">
        <v>0.01</v>
      </c>
      <c r="H1832" s="10"/>
      <c r="I1832" s="10"/>
    </row>
    <row r="1833" spans="1:9">
      <c r="A1833" s="10" t="s">
        <v>2725</v>
      </c>
      <c r="B1833" s="124" t="s">
        <v>1925</v>
      </c>
      <c r="C1833" s="124" t="s">
        <v>440</v>
      </c>
      <c r="D1833" s="12">
        <v>6000000</v>
      </c>
      <c r="E1833" s="82">
        <v>0.87833291879999997</v>
      </c>
      <c r="F1833" s="14">
        <v>5269997.51</v>
      </c>
      <c r="G1833" s="14">
        <v>0.01</v>
      </c>
      <c r="H1833" s="10"/>
      <c r="I1833" s="10"/>
    </row>
    <row r="1834" spans="1:9">
      <c r="A1834" s="10" t="s">
        <v>2726</v>
      </c>
      <c r="B1834" s="124" t="s">
        <v>636</v>
      </c>
      <c r="C1834" s="124" t="s">
        <v>440</v>
      </c>
      <c r="D1834" s="12">
        <v>6000000</v>
      </c>
      <c r="E1834" s="157">
        <v>0.94295767100000005</v>
      </c>
      <c r="F1834" s="14">
        <v>5657746.0300000003</v>
      </c>
      <c r="G1834" s="14">
        <v>0.01</v>
      </c>
      <c r="H1834" s="10"/>
      <c r="I1834" s="10"/>
    </row>
    <row r="1835" spans="1:9">
      <c r="A1835" s="10" t="s">
        <v>2728</v>
      </c>
      <c r="B1835" s="124" t="s">
        <v>578</v>
      </c>
      <c r="C1835" s="124" t="s">
        <v>440</v>
      </c>
      <c r="D1835" s="12">
        <v>6000000</v>
      </c>
      <c r="E1835" s="82">
        <v>0.99476730670000002</v>
      </c>
      <c r="F1835" s="14">
        <v>5968603.8399999999</v>
      </c>
      <c r="G1835" s="14">
        <v>0.01</v>
      </c>
      <c r="H1835" s="10"/>
      <c r="I1835" s="10"/>
    </row>
    <row r="1836" spans="1:9">
      <c r="A1836" s="10" t="s">
        <v>2729</v>
      </c>
      <c r="B1836" s="124" t="s">
        <v>746</v>
      </c>
      <c r="C1836" s="124" t="s">
        <v>440</v>
      </c>
      <c r="D1836" s="14">
        <v>3635465.26</v>
      </c>
      <c r="E1836" s="82">
        <v>0.9870200657</v>
      </c>
      <c r="F1836" s="14">
        <v>3588277.16</v>
      </c>
      <c r="G1836" s="12">
        <v>0</v>
      </c>
      <c r="H1836" s="10"/>
      <c r="I1836" s="10"/>
    </row>
    <row r="1837" spans="1:9">
      <c r="A1837" s="10" t="s">
        <v>2730</v>
      </c>
      <c r="B1837" s="124" t="s">
        <v>636</v>
      </c>
      <c r="C1837" s="124" t="s">
        <v>440</v>
      </c>
      <c r="D1837" s="12">
        <v>9354800</v>
      </c>
      <c r="E1837" s="157">
        <v>0.94295767100000005</v>
      </c>
      <c r="F1837" s="14">
        <v>8821180.4199999999</v>
      </c>
      <c r="G1837" s="14">
        <v>0.01</v>
      </c>
      <c r="H1837" s="10"/>
      <c r="I1837" s="10"/>
    </row>
    <row r="1838" spans="1:9">
      <c r="A1838" s="10" t="s">
        <v>2731</v>
      </c>
      <c r="B1838" s="124" t="s">
        <v>746</v>
      </c>
      <c r="C1838" s="124" t="s">
        <v>440</v>
      </c>
      <c r="D1838" s="12">
        <v>1000000</v>
      </c>
      <c r="E1838" s="82">
        <v>0.98702007010000004</v>
      </c>
      <c r="F1838" s="14">
        <v>987020.07</v>
      </c>
      <c r="G1838" s="12">
        <v>0</v>
      </c>
      <c r="H1838" s="10"/>
      <c r="I1838" s="10"/>
    </row>
    <row r="1839" spans="1:9">
      <c r="A1839" s="10" t="s">
        <v>2732</v>
      </c>
      <c r="B1839" s="124" t="s">
        <v>746</v>
      </c>
      <c r="C1839" s="124" t="s">
        <v>440</v>
      </c>
      <c r="D1839" s="12">
        <v>1000000</v>
      </c>
      <c r="E1839" s="82">
        <v>0.98702007010000004</v>
      </c>
      <c r="F1839" s="14">
        <v>987020.07</v>
      </c>
      <c r="G1839" s="12">
        <v>0</v>
      </c>
      <c r="H1839" s="10"/>
      <c r="I1839" s="10"/>
    </row>
    <row r="1840" spans="1:9">
      <c r="A1840" s="10" t="s">
        <v>2733</v>
      </c>
      <c r="B1840" s="124" t="s">
        <v>578</v>
      </c>
      <c r="C1840" s="124" t="s">
        <v>440</v>
      </c>
      <c r="D1840" s="12">
        <v>1000000</v>
      </c>
      <c r="E1840" s="156">
        <v>0.99476730000000002</v>
      </c>
      <c r="F1840" s="153">
        <v>994767.3</v>
      </c>
      <c r="G1840" s="12">
        <v>0</v>
      </c>
      <c r="H1840" s="10"/>
      <c r="I1840" s="10"/>
    </row>
    <row r="1841" spans="1:9">
      <c r="A1841" s="10" t="s">
        <v>2734</v>
      </c>
      <c r="B1841" s="124" t="s">
        <v>810</v>
      </c>
      <c r="C1841" s="124" t="s">
        <v>440</v>
      </c>
      <c r="D1841" s="153">
        <v>187766.2</v>
      </c>
      <c r="E1841" s="82">
        <v>0.97188205360000002</v>
      </c>
      <c r="F1841" s="153">
        <v>182486.6</v>
      </c>
      <c r="G1841" s="12">
        <v>0</v>
      </c>
      <c r="H1841" s="10"/>
      <c r="I1841" s="10"/>
    </row>
    <row r="1842" spans="1:9">
      <c r="A1842" s="10" t="s">
        <v>2735</v>
      </c>
      <c r="B1842" s="124" t="s">
        <v>746</v>
      </c>
      <c r="C1842" s="124" t="s">
        <v>440</v>
      </c>
      <c r="D1842" s="14">
        <v>3145244.05</v>
      </c>
      <c r="E1842" s="82">
        <v>0.98702006289999999</v>
      </c>
      <c r="F1842" s="14">
        <v>3104418.98</v>
      </c>
      <c r="G1842" s="12">
        <v>0</v>
      </c>
      <c r="H1842" s="10"/>
      <c r="I1842" s="10"/>
    </row>
    <row r="1843" spans="1:9">
      <c r="A1843" s="10" t="s">
        <v>2736</v>
      </c>
      <c r="B1843" s="124" t="s">
        <v>587</v>
      </c>
      <c r="C1843" s="124" t="s">
        <v>440</v>
      </c>
      <c r="D1843" s="12">
        <v>200000000</v>
      </c>
      <c r="E1843" s="82">
        <v>0.95674977029999997</v>
      </c>
      <c r="F1843" s="14">
        <v>191349954.06</v>
      </c>
      <c r="G1843" s="14">
        <v>0.23</v>
      </c>
      <c r="H1843" s="10"/>
      <c r="I1843" s="10"/>
    </row>
    <row r="1844" spans="1:9">
      <c r="A1844" s="10" t="s">
        <v>2737</v>
      </c>
      <c r="B1844" s="124" t="s">
        <v>657</v>
      </c>
      <c r="C1844" s="124" t="s">
        <v>440</v>
      </c>
      <c r="D1844" s="12">
        <v>200000000</v>
      </c>
      <c r="E1844" s="82">
        <v>0.95151210850000001</v>
      </c>
      <c r="F1844" s="153">
        <v>190302421.69999999</v>
      </c>
      <c r="G1844" s="14">
        <v>0.23</v>
      </c>
      <c r="H1844" s="10"/>
      <c r="I1844" s="10"/>
    </row>
    <row r="1845" spans="1:9">
      <c r="A1845" s="10" t="s">
        <v>2762</v>
      </c>
      <c r="B1845" s="124" t="s">
        <v>456</v>
      </c>
      <c r="C1845" s="124" t="s">
        <v>412</v>
      </c>
      <c r="D1845" s="12">
        <v>6000000</v>
      </c>
      <c r="E1845" s="157">
        <v>0.98862411500000003</v>
      </c>
      <c r="F1845" s="14">
        <v>5931744.6900000004</v>
      </c>
      <c r="G1845" s="14">
        <v>0.01</v>
      </c>
      <c r="H1845" s="10"/>
      <c r="I1845" s="10"/>
    </row>
    <row r="1846" spans="1:9">
      <c r="A1846" s="10" t="s">
        <v>2763</v>
      </c>
      <c r="B1846" s="124" t="s">
        <v>746</v>
      </c>
      <c r="C1846" s="124" t="s">
        <v>412</v>
      </c>
      <c r="D1846" s="12">
        <v>6000000</v>
      </c>
      <c r="E1846" s="82">
        <v>0.98782141509999999</v>
      </c>
      <c r="F1846" s="14">
        <v>5926928.4900000002</v>
      </c>
      <c r="G1846" s="14">
        <v>0.01</v>
      </c>
      <c r="H1846" s="10"/>
      <c r="I1846" s="10"/>
    </row>
    <row r="1847" spans="1:9">
      <c r="A1847" s="10" t="s">
        <v>2764</v>
      </c>
      <c r="B1847" s="124" t="s">
        <v>513</v>
      </c>
      <c r="C1847" s="124" t="s">
        <v>412</v>
      </c>
      <c r="D1847" s="12">
        <v>6000000</v>
      </c>
      <c r="E1847" s="82">
        <v>0.98542122809999999</v>
      </c>
      <c r="F1847" s="14">
        <v>5912527.3700000001</v>
      </c>
      <c r="G1847" s="14">
        <v>0.01</v>
      </c>
      <c r="H1847" s="10"/>
      <c r="I1847" s="10"/>
    </row>
    <row r="1848" spans="1:9">
      <c r="A1848" s="10" t="s">
        <v>2765</v>
      </c>
      <c r="B1848" s="124" t="s">
        <v>682</v>
      </c>
      <c r="C1848" s="124" t="s">
        <v>412</v>
      </c>
      <c r="D1848" s="12">
        <v>5106355</v>
      </c>
      <c r="E1848" s="82">
        <v>0.97022875620000004</v>
      </c>
      <c r="F1848" s="14">
        <v>4954332.46</v>
      </c>
      <c r="G1848" s="14">
        <v>0.01</v>
      </c>
      <c r="H1848" s="10"/>
      <c r="I1848" s="10"/>
    </row>
    <row r="1849" spans="1:9">
      <c r="A1849" s="10" t="s">
        <v>2766</v>
      </c>
      <c r="B1849" s="124" t="s">
        <v>992</v>
      </c>
      <c r="C1849" s="124" t="s">
        <v>412</v>
      </c>
      <c r="D1849" s="12">
        <v>5106356</v>
      </c>
      <c r="E1849" s="82">
        <v>0.92162426350000004</v>
      </c>
      <c r="F1849" s="14">
        <v>4706141.59</v>
      </c>
      <c r="G1849" s="14">
        <v>0.01</v>
      </c>
      <c r="H1849" s="10"/>
      <c r="I1849" s="10"/>
    </row>
    <row r="1850" spans="1:9">
      <c r="A1850" s="10" t="s">
        <v>2767</v>
      </c>
      <c r="B1850" s="124" t="s">
        <v>636</v>
      </c>
      <c r="C1850" s="124" t="s">
        <v>412</v>
      </c>
      <c r="D1850" s="12">
        <v>5106355</v>
      </c>
      <c r="E1850" s="82">
        <v>0.9429576408</v>
      </c>
      <c r="F1850" s="14">
        <v>4815076.46</v>
      </c>
      <c r="G1850" s="14">
        <v>0.01</v>
      </c>
      <c r="H1850" s="10"/>
      <c r="I1850" s="10"/>
    </row>
    <row r="1851" spans="1:9">
      <c r="A1851" s="10" t="s">
        <v>2768</v>
      </c>
      <c r="B1851" s="124" t="s">
        <v>618</v>
      </c>
      <c r="C1851" s="124" t="s">
        <v>412</v>
      </c>
      <c r="D1851" s="12">
        <v>1858362</v>
      </c>
      <c r="E1851" s="82">
        <v>0.93830353909999997</v>
      </c>
      <c r="F1851" s="14">
        <v>1743707.64</v>
      </c>
      <c r="G1851" s="12">
        <v>0</v>
      </c>
      <c r="H1851" s="10"/>
      <c r="I1851" s="10"/>
    </row>
    <row r="1852" spans="1:9">
      <c r="A1852" s="10" t="s">
        <v>2769</v>
      </c>
      <c r="B1852" s="124" t="s">
        <v>632</v>
      </c>
      <c r="C1852" s="124" t="s">
        <v>412</v>
      </c>
      <c r="D1852" s="12">
        <v>1858362</v>
      </c>
      <c r="E1852" s="82">
        <v>0.91204402559999997</v>
      </c>
      <c r="F1852" s="14">
        <v>1694907.96</v>
      </c>
      <c r="G1852" s="12">
        <v>0</v>
      </c>
      <c r="H1852" s="10"/>
      <c r="I1852" s="10"/>
    </row>
    <row r="1853" spans="1:9">
      <c r="A1853" s="10" t="s">
        <v>2770</v>
      </c>
      <c r="B1853" s="124" t="s">
        <v>974</v>
      </c>
      <c r="C1853" s="124" t="s">
        <v>412</v>
      </c>
      <c r="D1853" s="12">
        <v>1858362</v>
      </c>
      <c r="E1853" s="82">
        <v>0.92762021149999996</v>
      </c>
      <c r="F1853" s="14">
        <v>1723854.15</v>
      </c>
      <c r="G1853" s="12">
        <v>0</v>
      </c>
      <c r="H1853" s="10"/>
      <c r="I1853" s="10"/>
    </row>
    <row r="1854" spans="1:9">
      <c r="A1854" s="10" t="s">
        <v>2771</v>
      </c>
      <c r="B1854" s="124" t="s">
        <v>2152</v>
      </c>
      <c r="C1854" s="124" t="s">
        <v>412</v>
      </c>
      <c r="D1854" s="12">
        <v>1858362</v>
      </c>
      <c r="E1854" s="82">
        <v>0.90194731149999996</v>
      </c>
      <c r="F1854" s="14">
        <v>1676144.61</v>
      </c>
      <c r="G1854" s="12">
        <v>0</v>
      </c>
      <c r="H1854" s="10"/>
      <c r="I1854" s="10"/>
    </row>
    <row r="1855" spans="1:9">
      <c r="A1855" s="10" t="s">
        <v>2772</v>
      </c>
      <c r="B1855" s="124" t="s">
        <v>752</v>
      </c>
      <c r="C1855" s="124" t="s">
        <v>412</v>
      </c>
      <c r="D1855" s="12">
        <v>1858362</v>
      </c>
      <c r="E1855" s="82">
        <v>0.96042533119999995</v>
      </c>
      <c r="F1855" s="14">
        <v>1784817.94</v>
      </c>
      <c r="G1855" s="12">
        <v>0</v>
      </c>
      <c r="H1855" s="10"/>
      <c r="I1855" s="10"/>
    </row>
    <row r="1856" spans="1:9">
      <c r="A1856" s="10" t="s">
        <v>2773</v>
      </c>
      <c r="B1856" s="124" t="s">
        <v>415</v>
      </c>
      <c r="C1856" s="124" t="s">
        <v>412</v>
      </c>
      <c r="D1856" s="12">
        <v>1858362</v>
      </c>
      <c r="E1856" s="82">
        <v>0.98361542560000004</v>
      </c>
      <c r="F1856" s="14">
        <v>1827913.53</v>
      </c>
      <c r="G1856" s="12">
        <v>0</v>
      </c>
      <c r="H1856" s="10"/>
      <c r="I1856" s="10"/>
    </row>
    <row r="1857" spans="1:9">
      <c r="A1857" s="10" t="s">
        <v>2774</v>
      </c>
      <c r="B1857" s="124" t="s">
        <v>657</v>
      </c>
      <c r="C1857" s="124" t="s">
        <v>412</v>
      </c>
      <c r="D1857" s="12">
        <v>1858362</v>
      </c>
      <c r="E1857" s="21">
        <v>0.94844618999999997</v>
      </c>
      <c r="F1857" s="14">
        <v>1762556.36</v>
      </c>
      <c r="G1857" s="12">
        <v>0</v>
      </c>
      <c r="H1857" s="10"/>
      <c r="I1857" s="10"/>
    </row>
    <row r="1858" spans="1:9">
      <c r="A1858" s="10" t="s">
        <v>2775</v>
      </c>
      <c r="B1858" s="124" t="s">
        <v>810</v>
      </c>
      <c r="C1858" s="124" t="s">
        <v>412</v>
      </c>
      <c r="D1858" s="12">
        <v>1858362</v>
      </c>
      <c r="E1858" s="82">
        <v>0.97188206639999997</v>
      </c>
      <c r="F1858" s="153">
        <v>1806108.7</v>
      </c>
      <c r="G1858" s="12">
        <v>0</v>
      </c>
      <c r="H1858" s="10"/>
      <c r="I1858" s="10"/>
    </row>
    <row r="1859" spans="1:9">
      <c r="A1859" s="10" t="s">
        <v>2776</v>
      </c>
      <c r="B1859" s="124" t="s">
        <v>578</v>
      </c>
      <c r="C1859" s="124" t="s">
        <v>412</v>
      </c>
      <c r="D1859" s="14">
        <v>2162998.42</v>
      </c>
      <c r="E1859" s="82">
        <v>0.99476730079999998</v>
      </c>
      <c r="F1859" s="153">
        <v>2151680.1</v>
      </c>
      <c r="G1859" s="12">
        <v>0</v>
      </c>
      <c r="H1859" s="10"/>
      <c r="I1859" s="10"/>
    </row>
    <row r="1860" spans="1:9">
      <c r="A1860" s="10" t="s">
        <v>2777</v>
      </c>
      <c r="B1860" s="124" t="s">
        <v>925</v>
      </c>
      <c r="C1860" s="124" t="s">
        <v>412</v>
      </c>
      <c r="D1860" s="153">
        <v>5325299.2</v>
      </c>
      <c r="E1860" s="82">
        <v>0.96123475459999996</v>
      </c>
      <c r="F1860" s="14">
        <v>5118862.67</v>
      </c>
      <c r="G1860" s="14">
        <v>0.01</v>
      </c>
      <c r="H1860" s="10"/>
      <c r="I1860" s="10"/>
    </row>
    <row r="1861" spans="1:9">
      <c r="A1861" s="10" t="s">
        <v>2778</v>
      </c>
      <c r="B1861" s="124" t="s">
        <v>995</v>
      </c>
      <c r="C1861" s="124" t="s">
        <v>412</v>
      </c>
      <c r="D1861" s="153">
        <v>5325299.2</v>
      </c>
      <c r="E1861" s="82">
        <v>0.91497050280000003</v>
      </c>
      <c r="F1861" s="14">
        <v>4872491.6900000004</v>
      </c>
      <c r="G1861" s="14">
        <v>0.01</v>
      </c>
      <c r="H1861" s="10"/>
      <c r="I1861" s="10"/>
    </row>
    <row r="1862" spans="1:9">
      <c r="A1862" s="10" t="s">
        <v>2779</v>
      </c>
      <c r="B1862" s="124" t="s">
        <v>746</v>
      </c>
      <c r="C1862" s="124" t="s">
        <v>412</v>
      </c>
      <c r="D1862" s="153">
        <v>5325299.2</v>
      </c>
      <c r="E1862" s="82">
        <v>0.98702004769999996</v>
      </c>
      <c r="F1862" s="14">
        <v>5256177.07</v>
      </c>
      <c r="G1862" s="14">
        <v>0.01</v>
      </c>
      <c r="H1862" s="10"/>
      <c r="I1862" s="10"/>
    </row>
    <row r="1863" spans="1:9">
      <c r="A1863" s="10" t="s">
        <v>2780</v>
      </c>
      <c r="B1863" s="124" t="s">
        <v>618</v>
      </c>
      <c r="C1863" s="124" t="s">
        <v>412</v>
      </c>
      <c r="D1863" s="153">
        <v>5325299.2</v>
      </c>
      <c r="E1863" s="82">
        <v>0.93830352819999996</v>
      </c>
      <c r="F1863" s="14">
        <v>4996747.03</v>
      </c>
      <c r="G1863" s="14">
        <v>0.01</v>
      </c>
      <c r="H1863" s="10"/>
      <c r="I1863" s="10"/>
    </row>
    <row r="1864" spans="1:9">
      <c r="A1864" s="10" t="s">
        <v>2781</v>
      </c>
      <c r="B1864" s="124" t="s">
        <v>578</v>
      </c>
      <c r="C1864" s="124" t="s">
        <v>412</v>
      </c>
      <c r="D1864" s="14">
        <v>22929529.789999999</v>
      </c>
      <c r="E1864" s="82">
        <v>0.99476730130000002</v>
      </c>
      <c r="F1864" s="14">
        <v>22809546.469999999</v>
      </c>
      <c r="G1864" s="14">
        <v>0.03</v>
      </c>
      <c r="H1864" s="10"/>
      <c r="I1864" s="10"/>
    </row>
    <row r="1865" spans="1:9">
      <c r="A1865" s="10" t="s">
        <v>2782</v>
      </c>
      <c r="B1865" s="124" t="s">
        <v>1007</v>
      </c>
      <c r="C1865" s="124" t="s">
        <v>412</v>
      </c>
      <c r="D1865" s="153">
        <v>513679.7</v>
      </c>
      <c r="E1865" s="82">
        <v>0.90123460129999999</v>
      </c>
      <c r="F1865" s="14">
        <v>462945.92</v>
      </c>
      <c r="G1865" s="12">
        <v>0</v>
      </c>
      <c r="H1865" s="10"/>
      <c r="I1865" s="10"/>
    </row>
    <row r="1866" spans="1:9">
      <c r="A1866" s="10" t="s">
        <v>2783</v>
      </c>
      <c r="B1866" s="124" t="s">
        <v>1113</v>
      </c>
      <c r="C1866" s="124" t="s">
        <v>412</v>
      </c>
      <c r="D1866" s="14">
        <v>513679.69</v>
      </c>
      <c r="E1866" s="82">
        <v>0.92236938560000004</v>
      </c>
      <c r="F1866" s="14">
        <v>473802.42</v>
      </c>
      <c r="G1866" s="12">
        <v>0</v>
      </c>
      <c r="H1866" s="10"/>
      <c r="I1866" s="10"/>
    </row>
    <row r="1867" spans="1:9">
      <c r="A1867" s="10" t="s">
        <v>2784</v>
      </c>
      <c r="B1867" s="124" t="s">
        <v>473</v>
      </c>
      <c r="C1867" s="124" t="s">
        <v>412</v>
      </c>
      <c r="D1867" s="14">
        <v>513679.69</v>
      </c>
      <c r="E1867" s="82">
        <v>0.99650542919999996</v>
      </c>
      <c r="F1867" s="153">
        <v>511884.6</v>
      </c>
      <c r="G1867" s="12">
        <v>0</v>
      </c>
      <c r="H1867" s="10"/>
      <c r="I1867" s="10"/>
    </row>
    <row r="1868" spans="1:9">
      <c r="A1868" s="10" t="s">
        <v>2785</v>
      </c>
      <c r="B1868" s="124" t="s">
        <v>645</v>
      </c>
      <c r="C1868" s="124" t="s">
        <v>412</v>
      </c>
      <c r="D1868" s="14">
        <v>513679.69</v>
      </c>
      <c r="E1868" s="82">
        <v>0.97105456909999999</v>
      </c>
      <c r="F1868" s="14">
        <v>498811.01</v>
      </c>
      <c r="G1868" s="12">
        <v>0</v>
      </c>
      <c r="H1868" s="10"/>
      <c r="I1868" s="10"/>
    </row>
    <row r="1869" spans="1:9">
      <c r="A1869" s="10" t="s">
        <v>2786</v>
      </c>
      <c r="B1869" s="124" t="s">
        <v>743</v>
      </c>
      <c r="C1869" s="124" t="s">
        <v>412</v>
      </c>
      <c r="D1869" s="14">
        <v>513679.69</v>
      </c>
      <c r="E1869" s="82">
        <v>0.94451922060000004</v>
      </c>
      <c r="F1869" s="14">
        <v>485180.34</v>
      </c>
      <c r="G1869" s="12">
        <v>0</v>
      </c>
      <c r="H1869" s="10"/>
      <c r="I1869" s="10"/>
    </row>
    <row r="1870" spans="1:9">
      <c r="A1870" s="10" t="s">
        <v>2787</v>
      </c>
      <c r="B1870" s="124" t="s">
        <v>810</v>
      </c>
      <c r="C1870" s="124" t="s">
        <v>412</v>
      </c>
      <c r="D1870" s="12">
        <v>766355</v>
      </c>
      <c r="E1870" s="82">
        <v>0.97188205189999999</v>
      </c>
      <c r="F1870" s="14">
        <v>744806.67</v>
      </c>
      <c r="G1870" s="12">
        <v>0</v>
      </c>
      <c r="H1870" s="10"/>
      <c r="I1870" s="10"/>
    </row>
    <row r="1871" spans="1:9">
      <c r="A1871" s="10" t="s">
        <v>2788</v>
      </c>
      <c r="B1871" s="124" t="s">
        <v>1004</v>
      </c>
      <c r="C1871" s="124" t="s">
        <v>412</v>
      </c>
      <c r="D1871" s="12">
        <v>766335</v>
      </c>
      <c r="E1871" s="82">
        <v>0.92311590970000001</v>
      </c>
      <c r="F1871" s="14">
        <v>707416.03</v>
      </c>
      <c r="G1871" s="12">
        <v>0</v>
      </c>
      <c r="H1871" s="10"/>
      <c r="I1871" s="10"/>
    </row>
    <row r="1872" spans="1:9">
      <c r="A1872" s="10" t="s">
        <v>2789</v>
      </c>
      <c r="B1872" s="124" t="s">
        <v>625</v>
      </c>
      <c r="C1872" s="124" t="s">
        <v>412</v>
      </c>
      <c r="D1872" s="14">
        <v>766335.31</v>
      </c>
      <c r="E1872" s="82">
        <v>0.99912406490000005</v>
      </c>
      <c r="F1872" s="14">
        <v>765664.05</v>
      </c>
      <c r="G1872" s="12">
        <v>0</v>
      </c>
      <c r="H1872" s="10"/>
      <c r="I1872" s="10"/>
    </row>
    <row r="1873" spans="1:9">
      <c r="A1873" s="10" t="s">
        <v>2790</v>
      </c>
      <c r="B1873" s="124" t="s">
        <v>657</v>
      </c>
      <c r="C1873" s="124" t="s">
        <v>412</v>
      </c>
      <c r="D1873" s="14">
        <v>766335.31</v>
      </c>
      <c r="E1873" s="82">
        <v>0.94844617009999999</v>
      </c>
      <c r="F1873" s="14">
        <v>726827.79</v>
      </c>
      <c r="G1873" s="12">
        <v>0</v>
      </c>
      <c r="H1873" s="10"/>
      <c r="I1873" s="10"/>
    </row>
    <row r="1874" spans="1:9">
      <c r="A1874" s="10" t="s">
        <v>2791</v>
      </c>
      <c r="B1874" s="124" t="s">
        <v>645</v>
      </c>
      <c r="C1874" s="124" t="s">
        <v>412</v>
      </c>
      <c r="D1874" s="14">
        <v>18485149.41</v>
      </c>
      <c r="E1874" s="82">
        <v>0.97105461120000003</v>
      </c>
      <c r="F1874" s="14">
        <v>17950089.57</v>
      </c>
      <c r="G1874" s="14">
        <v>0.02</v>
      </c>
      <c r="H1874" s="10"/>
      <c r="I1874" s="10"/>
    </row>
    <row r="1875" spans="1:9">
      <c r="A1875" s="10" t="s">
        <v>2792</v>
      </c>
      <c r="B1875" s="124" t="s">
        <v>578</v>
      </c>
      <c r="C1875" s="124" t="s">
        <v>412</v>
      </c>
      <c r="D1875" s="14">
        <v>18485149.41</v>
      </c>
      <c r="E1875" s="82">
        <v>0.99476730120000001</v>
      </c>
      <c r="F1875" s="14">
        <v>18388422.190000001</v>
      </c>
      <c r="G1875" s="14">
        <v>0.02</v>
      </c>
      <c r="H1875" s="10"/>
      <c r="I1875" s="10"/>
    </row>
    <row r="1876" spans="1:9">
      <c r="A1876" s="10" t="s">
        <v>2793</v>
      </c>
      <c r="B1876" s="124" t="s">
        <v>1113</v>
      </c>
      <c r="C1876" s="124" t="s">
        <v>412</v>
      </c>
      <c r="D1876" s="14">
        <v>716184.35</v>
      </c>
      <c r="E1876" s="82">
        <v>0.92236937220000004</v>
      </c>
      <c r="F1876" s="14">
        <v>660586.51</v>
      </c>
      <c r="G1876" s="12">
        <v>0</v>
      </c>
      <c r="H1876" s="10"/>
      <c r="I1876" s="10"/>
    </row>
    <row r="1877" spans="1:9">
      <c r="A1877" s="10" t="s">
        <v>2794</v>
      </c>
      <c r="B1877" s="124" t="s">
        <v>561</v>
      </c>
      <c r="C1877" s="124" t="s">
        <v>412</v>
      </c>
      <c r="D1877" s="14">
        <v>716184.35</v>
      </c>
      <c r="E1877" s="82">
        <v>0.9956355791</v>
      </c>
      <c r="F1877" s="14">
        <v>713058.62</v>
      </c>
      <c r="G1877" s="12">
        <v>0</v>
      </c>
      <c r="H1877" s="10"/>
      <c r="I1877" s="10"/>
    </row>
    <row r="1878" spans="1:9">
      <c r="A1878" s="10" t="s">
        <v>2795</v>
      </c>
      <c r="B1878" s="124" t="s">
        <v>645</v>
      </c>
      <c r="C1878" s="124" t="s">
        <v>412</v>
      </c>
      <c r="D1878" s="14">
        <v>716184.35</v>
      </c>
      <c r="E1878" s="82">
        <v>0.97105463140000003</v>
      </c>
      <c r="F1878" s="14">
        <v>695454.13</v>
      </c>
      <c r="G1878" s="12">
        <v>0</v>
      </c>
      <c r="H1878" s="10"/>
      <c r="I1878" s="10"/>
    </row>
    <row r="1879" spans="1:9">
      <c r="A1879" s="10" t="s">
        <v>2796</v>
      </c>
      <c r="B1879" s="124" t="s">
        <v>670</v>
      </c>
      <c r="C1879" s="124" t="s">
        <v>412</v>
      </c>
      <c r="D1879" s="14">
        <v>716184.35</v>
      </c>
      <c r="E1879" s="82">
        <v>0.9437378662</v>
      </c>
      <c r="F1879" s="14">
        <v>675890.29</v>
      </c>
      <c r="G1879" s="12">
        <v>0</v>
      </c>
      <c r="H1879" s="10"/>
      <c r="I1879" s="10"/>
    </row>
    <row r="1880" spans="1:9">
      <c r="A1880" s="10" t="s">
        <v>2797</v>
      </c>
      <c r="B1880" s="124" t="s">
        <v>746</v>
      </c>
      <c r="C1880" s="124" t="s">
        <v>412</v>
      </c>
      <c r="D1880" s="12">
        <v>5359454</v>
      </c>
      <c r="E1880" s="82">
        <v>0.98782141629999998</v>
      </c>
      <c r="F1880" s="14">
        <v>5294183.4400000004</v>
      </c>
      <c r="G1880" s="14">
        <v>0.01</v>
      </c>
      <c r="H1880" s="10"/>
      <c r="I1880" s="10"/>
    </row>
    <row r="1881" spans="1:9">
      <c r="A1881" s="10" t="s">
        <v>2798</v>
      </c>
      <c r="B1881" s="124" t="s">
        <v>618</v>
      </c>
      <c r="C1881" s="124" t="s">
        <v>412</v>
      </c>
      <c r="D1881" s="12">
        <v>12000000</v>
      </c>
      <c r="E1881" s="82">
        <v>0.93649794779999995</v>
      </c>
      <c r="F1881" s="14">
        <v>11237975.369999999</v>
      </c>
      <c r="G1881" s="14">
        <v>0.01</v>
      </c>
      <c r="H1881" s="10"/>
      <c r="I1881" s="10"/>
    </row>
    <row r="1882" spans="1:9">
      <c r="A1882" s="10" t="s">
        <v>2799</v>
      </c>
      <c r="B1882" s="124" t="s">
        <v>995</v>
      </c>
      <c r="C1882" s="124" t="s">
        <v>412</v>
      </c>
      <c r="D1882" s="12">
        <v>13000000</v>
      </c>
      <c r="E1882" s="82">
        <v>0.9125457119</v>
      </c>
      <c r="F1882" s="14">
        <v>11863094.25</v>
      </c>
      <c r="G1882" s="14">
        <v>0.01</v>
      </c>
      <c r="H1882" s="10"/>
      <c r="I1882" s="10"/>
    </row>
    <row r="1883" spans="1:9">
      <c r="A1883" s="10" t="s">
        <v>2800</v>
      </c>
      <c r="B1883" s="124" t="s">
        <v>556</v>
      </c>
      <c r="C1883" s="124" t="s">
        <v>412</v>
      </c>
      <c r="D1883" s="12">
        <v>12000000</v>
      </c>
      <c r="E1883" s="82">
        <v>0.96257825370000005</v>
      </c>
      <c r="F1883" s="14">
        <v>11550939.039999999</v>
      </c>
      <c r="G1883" s="14">
        <v>0.01</v>
      </c>
      <c r="H1883" s="10"/>
      <c r="I1883" s="10"/>
    </row>
    <row r="1884" spans="1:9">
      <c r="A1884" s="10" t="s">
        <v>2801</v>
      </c>
      <c r="B1884" s="124" t="s">
        <v>556</v>
      </c>
      <c r="C1884" s="124" t="s">
        <v>412</v>
      </c>
      <c r="D1884" s="12">
        <v>50000000</v>
      </c>
      <c r="E1884" s="82">
        <v>0.95715124230000004</v>
      </c>
      <c r="F1884" s="14">
        <v>47857562.119999997</v>
      </c>
      <c r="G1884" s="14">
        <v>0.06</v>
      </c>
      <c r="H1884" s="10"/>
      <c r="I1884" s="10"/>
    </row>
    <row r="1885" spans="1:9">
      <c r="A1885" s="10" t="s">
        <v>2802</v>
      </c>
      <c r="B1885" s="124" t="s">
        <v>634</v>
      </c>
      <c r="C1885" s="124" t="s">
        <v>412</v>
      </c>
      <c r="D1885" s="12">
        <v>25000000</v>
      </c>
      <c r="E1885" s="82">
        <v>0.9638746306</v>
      </c>
      <c r="F1885" s="14">
        <v>24096865.77</v>
      </c>
      <c r="G1885" s="14">
        <v>0.03</v>
      </c>
      <c r="H1885" s="10"/>
      <c r="I1885" s="10"/>
    </row>
    <row r="1886" spans="1:9">
      <c r="A1886" s="10" t="s">
        <v>2803</v>
      </c>
      <c r="B1886" s="124" t="s">
        <v>556</v>
      </c>
      <c r="C1886" s="124" t="s">
        <v>412</v>
      </c>
      <c r="D1886" s="12">
        <v>50000000</v>
      </c>
      <c r="E1886" s="82">
        <v>0.95715124230000004</v>
      </c>
      <c r="F1886" s="14">
        <v>47857562.119999997</v>
      </c>
      <c r="G1886" s="14">
        <v>0.06</v>
      </c>
      <c r="H1886" s="10"/>
      <c r="I1886" s="10"/>
    </row>
    <row r="1887" spans="1:9">
      <c r="A1887" s="10" t="s">
        <v>2804</v>
      </c>
      <c r="B1887" s="124" t="s">
        <v>556</v>
      </c>
      <c r="C1887" s="124" t="s">
        <v>412</v>
      </c>
      <c r="D1887" s="12">
        <v>25000000</v>
      </c>
      <c r="E1887" s="82">
        <v>0.95715124230000004</v>
      </c>
      <c r="F1887" s="14">
        <v>23928781.059999999</v>
      </c>
      <c r="G1887" s="14">
        <v>0.03</v>
      </c>
      <c r="H1887" s="10"/>
      <c r="I1887" s="10"/>
    </row>
    <row r="1888" spans="1:9">
      <c r="A1888" s="10" t="s">
        <v>2805</v>
      </c>
      <c r="B1888" s="124" t="s">
        <v>634</v>
      </c>
      <c r="C1888" s="124" t="s">
        <v>412</v>
      </c>
      <c r="D1888" s="12">
        <v>20000000</v>
      </c>
      <c r="E1888" s="82">
        <v>0.9638746306</v>
      </c>
      <c r="F1888" s="14">
        <v>19277492.609999999</v>
      </c>
      <c r="G1888" s="14">
        <v>0.02</v>
      </c>
      <c r="H1888" s="10"/>
      <c r="I1888" s="10"/>
    </row>
    <row r="1889" spans="1:9">
      <c r="A1889" s="10" t="s">
        <v>2806</v>
      </c>
      <c r="B1889" s="124" t="s">
        <v>634</v>
      </c>
      <c r="C1889" s="124" t="s">
        <v>412</v>
      </c>
      <c r="D1889" s="12">
        <v>20000000</v>
      </c>
      <c r="E1889" s="82">
        <v>0.9638746306</v>
      </c>
      <c r="F1889" s="14">
        <v>19277492.609999999</v>
      </c>
      <c r="G1889" s="14">
        <v>0.02</v>
      </c>
      <c r="H1889" s="10"/>
      <c r="I1889" s="10"/>
    </row>
    <row r="1890" spans="1:9">
      <c r="A1890" s="10" t="s">
        <v>2807</v>
      </c>
      <c r="B1890" s="124" t="s">
        <v>634</v>
      </c>
      <c r="C1890" s="124" t="s">
        <v>412</v>
      </c>
      <c r="D1890" s="12">
        <v>20000000</v>
      </c>
      <c r="E1890" s="82">
        <v>0.9638746306</v>
      </c>
      <c r="F1890" s="14">
        <v>19277492.609999999</v>
      </c>
      <c r="G1890" s="14">
        <v>0.02</v>
      </c>
      <c r="H1890" s="10"/>
      <c r="I1890" s="10"/>
    </row>
    <row r="1891" spans="1:9">
      <c r="A1891" s="10" t="s">
        <v>2808</v>
      </c>
      <c r="B1891" s="124" t="s">
        <v>634</v>
      </c>
      <c r="C1891" s="124" t="s">
        <v>412</v>
      </c>
      <c r="D1891" s="12">
        <v>20000000</v>
      </c>
      <c r="E1891" s="82">
        <v>0.9638746306</v>
      </c>
      <c r="F1891" s="14">
        <v>19277492.609999999</v>
      </c>
      <c r="G1891" s="14">
        <v>0.02</v>
      </c>
      <c r="H1891" s="10"/>
      <c r="I1891" s="10"/>
    </row>
    <row r="1892" spans="1:9">
      <c r="A1892" s="10" t="s">
        <v>2809</v>
      </c>
      <c r="B1892" s="124" t="s">
        <v>634</v>
      </c>
      <c r="C1892" s="124" t="s">
        <v>412</v>
      </c>
      <c r="D1892" s="12">
        <v>20000000</v>
      </c>
      <c r="E1892" s="82">
        <v>0.9638746306</v>
      </c>
      <c r="F1892" s="14">
        <v>19277492.609999999</v>
      </c>
      <c r="G1892" s="14">
        <v>0.02</v>
      </c>
      <c r="H1892" s="10"/>
      <c r="I1892" s="10"/>
    </row>
    <row r="1893" spans="1:9">
      <c r="A1893" s="10" t="s">
        <v>2810</v>
      </c>
      <c r="B1893" s="124" t="s">
        <v>634</v>
      </c>
      <c r="C1893" s="124" t="s">
        <v>412</v>
      </c>
      <c r="D1893" s="12">
        <v>20000000</v>
      </c>
      <c r="E1893" s="82">
        <v>0.9638746306</v>
      </c>
      <c r="F1893" s="14">
        <v>19277492.609999999</v>
      </c>
      <c r="G1893" s="14">
        <v>0.02</v>
      </c>
      <c r="H1893" s="10"/>
      <c r="I1893" s="10"/>
    </row>
    <row r="1894" spans="1:9">
      <c r="A1894" s="10" t="s">
        <v>2811</v>
      </c>
      <c r="B1894" s="124" t="s">
        <v>634</v>
      </c>
      <c r="C1894" s="124" t="s">
        <v>412</v>
      </c>
      <c r="D1894" s="12">
        <v>20000000</v>
      </c>
      <c r="E1894" s="82">
        <v>0.9638746306</v>
      </c>
      <c r="F1894" s="14">
        <v>19277492.609999999</v>
      </c>
      <c r="G1894" s="14">
        <v>0.02</v>
      </c>
      <c r="H1894" s="10"/>
      <c r="I1894" s="10"/>
    </row>
    <row r="1895" spans="1:9">
      <c r="A1895" s="10" t="s">
        <v>2812</v>
      </c>
      <c r="B1895" s="124" t="s">
        <v>267</v>
      </c>
      <c r="C1895" s="124" t="s">
        <v>412</v>
      </c>
      <c r="D1895" s="12">
        <v>6000000</v>
      </c>
      <c r="E1895" s="82">
        <v>0.96448595709999996</v>
      </c>
      <c r="F1895" s="14">
        <v>5786915.7400000002</v>
      </c>
      <c r="G1895" s="14">
        <v>0.01</v>
      </c>
      <c r="H1895" s="10"/>
      <c r="I1895" s="10"/>
    </row>
    <row r="1896" spans="1:9">
      <c r="A1896" s="10" t="s">
        <v>2813</v>
      </c>
      <c r="B1896" s="124" t="s">
        <v>419</v>
      </c>
      <c r="C1896" s="124" t="s">
        <v>412</v>
      </c>
      <c r="D1896" s="12">
        <v>6000000</v>
      </c>
      <c r="E1896" s="157">
        <v>0.95961725799999997</v>
      </c>
      <c r="F1896" s="14">
        <v>5757703.5499999998</v>
      </c>
      <c r="G1896" s="14">
        <v>0.01</v>
      </c>
      <c r="H1896" s="10"/>
      <c r="I1896" s="10"/>
    </row>
    <row r="1897" spans="1:9">
      <c r="A1897" s="10" t="s">
        <v>2814</v>
      </c>
      <c r="B1897" s="124" t="s">
        <v>415</v>
      </c>
      <c r="C1897" s="124" t="s">
        <v>412</v>
      </c>
      <c r="D1897" s="12">
        <v>162500000</v>
      </c>
      <c r="E1897" s="82">
        <v>0.98060290480000001</v>
      </c>
      <c r="F1897" s="14">
        <v>159347972.03</v>
      </c>
      <c r="G1897" s="153">
        <v>0.2</v>
      </c>
      <c r="H1897" s="10"/>
      <c r="I1897" s="10"/>
    </row>
    <row r="1898" spans="1:9">
      <c r="A1898" s="10" t="s">
        <v>2815</v>
      </c>
      <c r="B1898" s="124" t="s">
        <v>587</v>
      </c>
      <c r="C1898" s="124" t="s">
        <v>412</v>
      </c>
      <c r="D1898" s="12">
        <v>100000000</v>
      </c>
      <c r="E1898" s="82">
        <v>0.95262959229999999</v>
      </c>
      <c r="F1898" s="14">
        <v>95262959.230000004</v>
      </c>
      <c r="G1898" s="14">
        <v>0.12</v>
      </c>
      <c r="H1898" s="10"/>
      <c r="I1898" s="10"/>
    </row>
    <row r="1899" spans="1:9">
      <c r="A1899" s="10" t="s">
        <v>2816</v>
      </c>
      <c r="B1899" s="124" t="s">
        <v>415</v>
      </c>
      <c r="C1899" s="124" t="s">
        <v>412</v>
      </c>
      <c r="D1899" s="12">
        <v>197500000</v>
      </c>
      <c r="E1899" s="82">
        <v>0.9796028282</v>
      </c>
      <c r="F1899" s="14">
        <v>193471558.56999999</v>
      </c>
      <c r="G1899" s="14">
        <v>0.24</v>
      </c>
      <c r="H1899" s="10"/>
      <c r="I1899" s="10"/>
    </row>
    <row r="1900" spans="1:9">
      <c r="A1900" s="10" t="s">
        <v>2833</v>
      </c>
      <c r="B1900" s="124" t="s">
        <v>1553</v>
      </c>
      <c r="C1900" s="124" t="s">
        <v>445</v>
      </c>
      <c r="D1900" s="14">
        <v>119630072.31</v>
      </c>
      <c r="E1900" s="82">
        <v>0.87205847820000004</v>
      </c>
      <c r="F1900" s="14">
        <v>104324418.81</v>
      </c>
      <c r="G1900" s="14">
        <v>0.13</v>
      </c>
      <c r="H1900" s="10"/>
      <c r="I1900" s="10"/>
    </row>
    <row r="1901" spans="1:9">
      <c r="A1901" s="10" t="s">
        <v>2834</v>
      </c>
      <c r="B1901" s="124" t="s">
        <v>992</v>
      </c>
      <c r="C1901" s="124" t="s">
        <v>445</v>
      </c>
      <c r="D1901" s="153">
        <v>363375.5</v>
      </c>
      <c r="E1901" s="82">
        <v>0.92162413259999998</v>
      </c>
      <c r="F1901" s="14">
        <v>334895.63</v>
      </c>
      <c r="G1901" s="12">
        <v>0</v>
      </c>
      <c r="H1901" s="10"/>
      <c r="I1901" s="10"/>
    </row>
    <row r="1902" spans="1:9">
      <c r="A1902" s="10" t="s">
        <v>2835</v>
      </c>
      <c r="B1902" s="124" t="s">
        <v>636</v>
      </c>
      <c r="C1902" s="124" t="s">
        <v>445</v>
      </c>
      <c r="D1902" s="153">
        <v>363375.5</v>
      </c>
      <c r="E1902" s="82">
        <v>0.94295771139999995</v>
      </c>
      <c r="F1902" s="14">
        <v>342647.73</v>
      </c>
      <c r="G1902" s="12">
        <v>0</v>
      </c>
      <c r="H1902" s="10"/>
      <c r="I1902" s="10"/>
    </row>
    <row r="1903" spans="1:9">
      <c r="A1903" s="10" t="s">
        <v>2836</v>
      </c>
      <c r="B1903" s="124" t="s">
        <v>578</v>
      </c>
      <c r="C1903" s="124" t="s">
        <v>445</v>
      </c>
      <c r="D1903" s="153">
        <v>363375.5</v>
      </c>
      <c r="E1903" s="82">
        <v>0.99476728619999999</v>
      </c>
      <c r="F1903" s="14">
        <v>361474.06</v>
      </c>
      <c r="G1903" s="12">
        <v>0</v>
      </c>
      <c r="H1903" s="10"/>
      <c r="I1903" s="10"/>
    </row>
    <row r="1904" spans="1:9">
      <c r="A1904" s="10" t="s">
        <v>2837</v>
      </c>
      <c r="B1904" s="124" t="s">
        <v>682</v>
      </c>
      <c r="C1904" s="124" t="s">
        <v>445</v>
      </c>
      <c r="D1904" s="153">
        <v>363375.5</v>
      </c>
      <c r="E1904" s="82">
        <v>0.97022861989999998</v>
      </c>
      <c r="F1904" s="14">
        <v>352557.31</v>
      </c>
      <c r="G1904" s="12">
        <v>0</v>
      </c>
      <c r="H1904" s="10"/>
      <c r="I1904" s="10"/>
    </row>
    <row r="1905" spans="1:9">
      <c r="A1905" s="10" t="s">
        <v>2838</v>
      </c>
      <c r="B1905" s="124" t="s">
        <v>578</v>
      </c>
      <c r="C1905" s="124" t="s">
        <v>445</v>
      </c>
      <c r="D1905" s="14">
        <v>17889421.149999999</v>
      </c>
      <c r="E1905" s="157">
        <v>0.99476725499999996</v>
      </c>
      <c r="F1905" s="14">
        <v>17795810.370000001</v>
      </c>
      <c r="G1905" s="14">
        <v>0.02</v>
      </c>
      <c r="H1905" s="10"/>
      <c r="I1905" s="10"/>
    </row>
    <row r="1906" spans="1:9">
      <c r="A1906" s="10" t="s">
        <v>2839</v>
      </c>
      <c r="B1906" s="124" t="s">
        <v>636</v>
      </c>
      <c r="C1906" s="124" t="s">
        <v>445</v>
      </c>
      <c r="D1906" s="14">
        <v>17889421.149999999</v>
      </c>
      <c r="E1906" s="82">
        <v>0.94295769789999995</v>
      </c>
      <c r="F1906" s="14">
        <v>16868967.379999999</v>
      </c>
      <c r="G1906" s="14">
        <v>0.02</v>
      </c>
      <c r="H1906" s="10"/>
      <c r="I1906" s="10"/>
    </row>
    <row r="1907" spans="1:9">
      <c r="A1907" s="10" t="s">
        <v>2840</v>
      </c>
      <c r="B1907" s="124" t="s">
        <v>992</v>
      </c>
      <c r="C1907" s="124" t="s">
        <v>445</v>
      </c>
      <c r="D1907" s="14">
        <v>17889421.149999999</v>
      </c>
      <c r="E1907" s="82">
        <v>0.92162410549999996</v>
      </c>
      <c r="F1907" s="14">
        <v>16487321.77</v>
      </c>
      <c r="G1907" s="14">
        <v>0.02</v>
      </c>
      <c r="H1907" s="10"/>
      <c r="I1907" s="10"/>
    </row>
    <row r="1908" spans="1:9">
      <c r="A1908" s="10" t="s">
        <v>2841</v>
      </c>
      <c r="B1908" s="124" t="s">
        <v>645</v>
      </c>
      <c r="C1908" s="124" t="s">
        <v>445</v>
      </c>
      <c r="D1908" s="14">
        <v>17889421.149999999</v>
      </c>
      <c r="E1908" s="82">
        <v>0.97105466129999995</v>
      </c>
      <c r="F1908" s="153">
        <v>17371605.800000001</v>
      </c>
      <c r="G1908" s="14">
        <v>0.02</v>
      </c>
      <c r="H1908" s="10"/>
      <c r="I1908" s="10"/>
    </row>
    <row r="1909" spans="1:9">
      <c r="A1909" s="10" t="s">
        <v>2842</v>
      </c>
      <c r="B1909" s="124" t="s">
        <v>2843</v>
      </c>
      <c r="C1909" s="124" t="s">
        <v>445</v>
      </c>
      <c r="D1909" s="12">
        <v>12500000</v>
      </c>
      <c r="E1909" s="82">
        <v>0.84657332249999995</v>
      </c>
      <c r="F1909" s="14">
        <v>10582166.529999999</v>
      </c>
      <c r="G1909" s="14">
        <v>0.01</v>
      </c>
      <c r="H1909" s="10"/>
      <c r="I1909" s="10"/>
    </row>
    <row r="1910" spans="1:9">
      <c r="A1910" s="10" t="s">
        <v>2844</v>
      </c>
      <c r="B1910" s="124" t="s">
        <v>2845</v>
      </c>
      <c r="C1910" s="124" t="s">
        <v>445</v>
      </c>
      <c r="D1910" s="12">
        <v>12500000</v>
      </c>
      <c r="E1910" s="82">
        <v>0.84178966789999998</v>
      </c>
      <c r="F1910" s="14">
        <v>10522370.85</v>
      </c>
      <c r="G1910" s="14">
        <v>0.01</v>
      </c>
      <c r="H1910" s="10"/>
      <c r="I1910" s="10"/>
    </row>
    <row r="1911" spans="1:9">
      <c r="A1911" s="10" t="s">
        <v>2846</v>
      </c>
      <c r="B1911" s="124" t="s">
        <v>2847</v>
      </c>
      <c r="C1911" s="124" t="s">
        <v>445</v>
      </c>
      <c r="D1911" s="12">
        <v>12500000</v>
      </c>
      <c r="E1911" s="82">
        <v>0.83705998969999995</v>
      </c>
      <c r="F1911" s="14">
        <v>10463249.869999999</v>
      </c>
      <c r="G1911" s="14">
        <v>0.01</v>
      </c>
      <c r="H1911" s="10"/>
      <c r="I1911" s="10"/>
    </row>
    <row r="1912" spans="1:9">
      <c r="A1912" s="10" t="s">
        <v>2848</v>
      </c>
      <c r="B1912" s="124" t="s">
        <v>2849</v>
      </c>
      <c r="C1912" s="124" t="s">
        <v>445</v>
      </c>
      <c r="D1912" s="12">
        <v>12500000</v>
      </c>
      <c r="E1912" s="82">
        <v>0.83171946220000004</v>
      </c>
      <c r="F1912" s="14">
        <v>10396493.279999999</v>
      </c>
      <c r="G1912" s="14">
        <v>0.01</v>
      </c>
      <c r="H1912" s="10"/>
      <c r="I1912" s="10"/>
    </row>
    <row r="1913" spans="1:9">
      <c r="A1913" s="10" t="s">
        <v>2850</v>
      </c>
      <c r="B1913" s="124" t="s">
        <v>505</v>
      </c>
      <c r="C1913" s="124" t="s">
        <v>445</v>
      </c>
      <c r="D1913" s="12">
        <v>6000000</v>
      </c>
      <c r="E1913" s="82">
        <v>0.99427954169999999</v>
      </c>
      <c r="F1913" s="14">
        <v>5965677.25</v>
      </c>
      <c r="G1913" s="14">
        <v>0.01</v>
      </c>
      <c r="H1913" s="10"/>
      <c r="I1913" s="10"/>
    </row>
    <row r="1914" spans="1:9">
      <c r="A1914" s="10" t="s">
        <v>2851</v>
      </c>
      <c r="B1914" s="124" t="s">
        <v>463</v>
      </c>
      <c r="C1914" s="124" t="s">
        <v>445</v>
      </c>
      <c r="D1914" s="12">
        <v>6000000</v>
      </c>
      <c r="E1914" s="157">
        <v>0.98942804500000003</v>
      </c>
      <c r="F1914" s="14">
        <v>5936568.2699999996</v>
      </c>
      <c r="G1914" s="14">
        <v>0.01</v>
      </c>
      <c r="H1914" s="10"/>
      <c r="I1914" s="10"/>
    </row>
    <row r="1915" spans="1:9">
      <c r="A1915" s="10" t="s">
        <v>2852</v>
      </c>
      <c r="B1915" s="124" t="s">
        <v>746</v>
      </c>
      <c r="C1915" s="124" t="s">
        <v>445</v>
      </c>
      <c r="D1915" s="12">
        <v>6000000</v>
      </c>
      <c r="E1915" s="82">
        <v>0.98782144679999995</v>
      </c>
      <c r="F1915" s="14">
        <v>5926928.6799999997</v>
      </c>
      <c r="G1915" s="14">
        <v>0.01</v>
      </c>
      <c r="H1915" s="10"/>
      <c r="I1915" s="10"/>
    </row>
    <row r="1916" spans="1:9">
      <c r="A1916" s="10" t="s">
        <v>2853</v>
      </c>
      <c r="B1916" s="124" t="s">
        <v>1461</v>
      </c>
      <c r="C1916" s="124" t="s">
        <v>445</v>
      </c>
      <c r="D1916" s="14">
        <v>2440210.56</v>
      </c>
      <c r="E1916" s="82">
        <v>0.92602001030000003</v>
      </c>
      <c r="F1916" s="14">
        <v>2259683.81</v>
      </c>
      <c r="G1916" s="12">
        <v>0</v>
      </c>
      <c r="H1916" s="10"/>
      <c r="I1916" s="10"/>
    </row>
    <row r="1917" spans="1:9">
      <c r="A1917" s="10" t="s">
        <v>2854</v>
      </c>
      <c r="B1917" s="124" t="s">
        <v>655</v>
      </c>
      <c r="C1917" s="124" t="s">
        <v>445</v>
      </c>
      <c r="D1917" s="14">
        <v>2440210.56</v>
      </c>
      <c r="E1917" s="157">
        <v>0.925174948</v>
      </c>
      <c r="F1917" s="14">
        <v>2257621.6800000002</v>
      </c>
      <c r="G1917" s="12">
        <v>0</v>
      </c>
      <c r="H1917" s="10"/>
      <c r="I1917" s="10"/>
    </row>
    <row r="1918" spans="1:9">
      <c r="A1918" s="10" t="s">
        <v>2855</v>
      </c>
      <c r="B1918" s="124" t="s">
        <v>2354</v>
      </c>
      <c r="C1918" s="124" t="s">
        <v>445</v>
      </c>
      <c r="D1918" s="14">
        <v>2440210.56</v>
      </c>
      <c r="E1918" s="82">
        <v>0.9234896883</v>
      </c>
      <c r="F1918" s="14">
        <v>2253509.29</v>
      </c>
      <c r="G1918" s="12">
        <v>0</v>
      </c>
      <c r="H1918" s="10"/>
      <c r="I1918" s="10"/>
    </row>
    <row r="1919" spans="1:9">
      <c r="A1919" s="10" t="s">
        <v>2856</v>
      </c>
      <c r="B1919" s="124" t="s">
        <v>931</v>
      </c>
      <c r="C1919" s="124" t="s">
        <v>445</v>
      </c>
      <c r="D1919" s="14">
        <v>2440210.56</v>
      </c>
      <c r="E1919" s="82">
        <v>0.92264922780000003</v>
      </c>
      <c r="F1919" s="14">
        <v>2251458.39</v>
      </c>
      <c r="G1919" s="12">
        <v>0</v>
      </c>
      <c r="H1919" s="10"/>
      <c r="I1919" s="10"/>
    </row>
    <row r="1920" spans="1:9">
      <c r="A1920" s="10" t="s">
        <v>2857</v>
      </c>
      <c r="B1920" s="124" t="s">
        <v>1722</v>
      </c>
      <c r="C1920" s="124" t="s">
        <v>445</v>
      </c>
      <c r="D1920" s="14">
        <v>2440210.56</v>
      </c>
      <c r="E1920" s="82">
        <v>0.92013728930000005</v>
      </c>
      <c r="F1920" s="14">
        <v>2245328.73</v>
      </c>
      <c r="G1920" s="12">
        <v>0</v>
      </c>
      <c r="H1920" s="10"/>
      <c r="I1920" s="10"/>
    </row>
    <row r="1921" spans="1:9">
      <c r="A1921" s="10" t="s">
        <v>2858</v>
      </c>
      <c r="B1921" s="124" t="s">
        <v>974</v>
      </c>
      <c r="C1921" s="124" t="s">
        <v>445</v>
      </c>
      <c r="D1921" s="14">
        <v>2440210.56</v>
      </c>
      <c r="E1921" s="82">
        <v>0.91930291109999995</v>
      </c>
      <c r="F1921" s="14">
        <v>2243292.67</v>
      </c>
      <c r="G1921" s="12">
        <v>0</v>
      </c>
      <c r="H1921" s="10"/>
      <c r="I1921" s="10"/>
    </row>
    <row r="1922" spans="1:9">
      <c r="A1922" s="10" t="s">
        <v>2859</v>
      </c>
      <c r="B1922" s="124" t="s">
        <v>741</v>
      </c>
      <c r="C1922" s="124" t="s">
        <v>445</v>
      </c>
      <c r="D1922" s="14">
        <v>2440210.56</v>
      </c>
      <c r="E1922" s="82">
        <v>0.91763896820000002</v>
      </c>
      <c r="F1922" s="153">
        <v>2239232.2999999998</v>
      </c>
      <c r="G1922" s="12">
        <v>0</v>
      </c>
      <c r="H1922" s="10"/>
      <c r="I1922" s="10"/>
    </row>
    <row r="1923" spans="1:9">
      <c r="A1923" s="10" t="s">
        <v>2860</v>
      </c>
      <c r="B1923" s="124" t="s">
        <v>1813</v>
      </c>
      <c r="C1923" s="124" t="s">
        <v>445</v>
      </c>
      <c r="D1923" s="14">
        <v>2440210.56</v>
      </c>
      <c r="E1923" s="157">
        <v>0.916809121</v>
      </c>
      <c r="F1923" s="153">
        <v>2237207.2999999998</v>
      </c>
      <c r="G1923" s="12">
        <v>0</v>
      </c>
      <c r="H1923" s="10"/>
      <c r="I1923" s="10"/>
    </row>
    <row r="1924" spans="1:9">
      <c r="A1924" s="10" t="s">
        <v>2861</v>
      </c>
      <c r="B1924" s="124" t="s">
        <v>1004</v>
      </c>
      <c r="C1924" s="124" t="s">
        <v>445</v>
      </c>
      <c r="D1924" s="14">
        <v>2440210.56</v>
      </c>
      <c r="E1924" s="82">
        <v>0.91432881830000001</v>
      </c>
      <c r="F1924" s="14">
        <v>2231154.84</v>
      </c>
      <c r="G1924" s="12">
        <v>0</v>
      </c>
      <c r="H1924" s="10"/>
      <c r="I1924" s="10"/>
    </row>
    <row r="1925" spans="1:9">
      <c r="A1925" s="10" t="s">
        <v>2862</v>
      </c>
      <c r="B1925" s="124" t="s">
        <v>1113</v>
      </c>
      <c r="C1925" s="124" t="s">
        <v>445</v>
      </c>
      <c r="D1925" s="14">
        <v>2440210.56</v>
      </c>
      <c r="E1925" s="82">
        <v>0.91350495190000003</v>
      </c>
      <c r="F1925" s="14">
        <v>2229144.4300000002</v>
      </c>
      <c r="G1925" s="12">
        <v>0</v>
      </c>
      <c r="H1925" s="10"/>
      <c r="I1925" s="10"/>
    </row>
    <row r="1926" spans="1:9">
      <c r="A1926" s="10" t="s">
        <v>2863</v>
      </c>
      <c r="B1926" s="124" t="s">
        <v>561</v>
      </c>
      <c r="C1926" s="124" t="s">
        <v>445</v>
      </c>
      <c r="D1926" s="14">
        <v>18034893.329999998</v>
      </c>
      <c r="E1926" s="82">
        <v>0.99577139930000003</v>
      </c>
      <c r="F1926" s="14">
        <v>17958630.969999999</v>
      </c>
      <c r="G1926" s="14">
        <v>0.02</v>
      </c>
      <c r="H1926" s="10"/>
      <c r="I1926" s="10"/>
    </row>
    <row r="1927" spans="1:9">
      <c r="A1927" s="10" t="s">
        <v>2865</v>
      </c>
      <c r="B1927" s="124" t="s">
        <v>473</v>
      </c>
      <c r="C1927" s="124" t="s">
        <v>445</v>
      </c>
      <c r="D1927" s="12">
        <v>4795000</v>
      </c>
      <c r="E1927" s="82">
        <v>0.99650543479999998</v>
      </c>
      <c r="F1927" s="14">
        <v>4778243.5599999996</v>
      </c>
      <c r="G1927" s="14">
        <v>0.01</v>
      </c>
      <c r="H1927" s="10"/>
      <c r="I1927" s="10"/>
    </row>
    <row r="1928" spans="1:9">
      <c r="A1928" s="10" t="s">
        <v>2866</v>
      </c>
      <c r="B1928" s="124" t="s">
        <v>625</v>
      </c>
      <c r="C1928" s="124" t="s">
        <v>445</v>
      </c>
      <c r="D1928" s="12">
        <v>15350000</v>
      </c>
      <c r="E1928" s="82">
        <v>0.99912406119999997</v>
      </c>
      <c r="F1928" s="14">
        <v>15336554.34</v>
      </c>
      <c r="G1928" s="14">
        <v>0.02</v>
      </c>
      <c r="H1928" s="10"/>
      <c r="I1928" s="10"/>
    </row>
    <row r="1929" spans="1:9">
      <c r="A1929" s="10" t="s">
        <v>2867</v>
      </c>
      <c r="B1929" s="124" t="s">
        <v>718</v>
      </c>
      <c r="C1929" s="124" t="s">
        <v>445</v>
      </c>
      <c r="D1929" s="12">
        <v>6691520</v>
      </c>
      <c r="E1929" s="82">
        <v>0.97771358370000006</v>
      </c>
      <c r="F1929" s="12">
        <v>6542390</v>
      </c>
      <c r="G1929" s="14">
        <v>0.01</v>
      </c>
      <c r="H1929" s="10"/>
      <c r="I1929" s="10"/>
    </row>
    <row r="1930" spans="1:9">
      <c r="A1930" s="10" t="s">
        <v>2876</v>
      </c>
      <c r="B1930" s="124" t="s">
        <v>625</v>
      </c>
      <c r="C1930" s="124" t="s">
        <v>413</v>
      </c>
      <c r="D1930" s="14">
        <v>19271560.989999998</v>
      </c>
      <c r="E1930" s="82">
        <v>0.99915141490000003</v>
      </c>
      <c r="F1930" s="14">
        <v>19255207.43</v>
      </c>
      <c r="G1930" s="14">
        <v>0.02</v>
      </c>
      <c r="H1930" s="10"/>
      <c r="I1930" s="10"/>
    </row>
    <row r="1931" spans="1:9">
      <c r="A1931" s="10" t="s">
        <v>2877</v>
      </c>
      <c r="B1931" s="124" t="s">
        <v>556</v>
      </c>
      <c r="C1931" s="124" t="s">
        <v>413</v>
      </c>
      <c r="D1931" s="14">
        <v>19203276.93</v>
      </c>
      <c r="E1931" s="82">
        <v>0.96476624560000002</v>
      </c>
      <c r="F1931" s="14">
        <v>18526673.390000001</v>
      </c>
      <c r="G1931" s="14">
        <v>0.02</v>
      </c>
      <c r="H1931" s="10"/>
      <c r="I1931" s="10"/>
    </row>
    <row r="1932" spans="1:9">
      <c r="A1932" s="10" t="s">
        <v>2878</v>
      </c>
      <c r="B1932" s="124" t="s">
        <v>746</v>
      </c>
      <c r="C1932" s="124" t="s">
        <v>413</v>
      </c>
      <c r="D1932" s="14">
        <v>16948758.629999999</v>
      </c>
      <c r="E1932" s="82">
        <v>0.9874206391</v>
      </c>
      <c r="F1932" s="14">
        <v>16735554.08</v>
      </c>
      <c r="G1932" s="14">
        <v>0.02</v>
      </c>
      <c r="H1932" s="10"/>
      <c r="I1932" s="10"/>
    </row>
    <row r="1933" spans="1:9">
      <c r="A1933" s="10" t="s">
        <v>2879</v>
      </c>
      <c r="B1933" s="124" t="s">
        <v>505</v>
      </c>
      <c r="C1933" s="124" t="s">
        <v>413</v>
      </c>
      <c r="D1933" s="12">
        <v>5000000</v>
      </c>
      <c r="E1933" s="157">
        <v>0.99427949199999999</v>
      </c>
      <c r="F1933" s="14">
        <v>4971397.46</v>
      </c>
      <c r="G1933" s="14">
        <v>0.01</v>
      </c>
      <c r="H1933" s="10"/>
      <c r="I1933" s="10"/>
    </row>
    <row r="1934" spans="1:9">
      <c r="A1934" s="10" t="s">
        <v>2880</v>
      </c>
      <c r="B1934" s="124" t="s">
        <v>456</v>
      </c>
      <c r="C1934" s="124" t="s">
        <v>413</v>
      </c>
      <c r="D1934" s="12">
        <v>5000000</v>
      </c>
      <c r="E1934" s="82">
        <v>0.98862406589999996</v>
      </c>
      <c r="F1934" s="14">
        <v>4943120.33</v>
      </c>
      <c r="G1934" s="14">
        <v>0.01</v>
      </c>
      <c r="H1934" s="10"/>
      <c r="I1934" s="10"/>
    </row>
    <row r="1935" spans="1:9">
      <c r="A1935" s="10" t="s">
        <v>2881</v>
      </c>
      <c r="B1935" s="124" t="s">
        <v>746</v>
      </c>
      <c r="C1935" s="124" t="s">
        <v>413</v>
      </c>
      <c r="D1935" s="12">
        <v>5000000</v>
      </c>
      <c r="E1935" s="82">
        <v>0.98782148410000004</v>
      </c>
      <c r="F1935" s="14">
        <v>4939107.42</v>
      </c>
      <c r="G1935" s="14">
        <v>0.01</v>
      </c>
      <c r="H1935" s="10"/>
      <c r="I1935" s="10"/>
    </row>
    <row r="1936" spans="1:9">
      <c r="A1936" s="10" t="s">
        <v>2882</v>
      </c>
      <c r="B1936" s="124" t="s">
        <v>746</v>
      </c>
      <c r="C1936" s="124" t="s">
        <v>413</v>
      </c>
      <c r="D1936" s="12">
        <v>5000000</v>
      </c>
      <c r="E1936" s="82">
        <v>0.98782148410000004</v>
      </c>
      <c r="F1936" s="14">
        <v>4939107.42</v>
      </c>
      <c r="G1936" s="14">
        <v>0.01</v>
      </c>
      <c r="H1936" s="10"/>
      <c r="I1936" s="10"/>
    </row>
    <row r="1937" spans="1:9">
      <c r="A1937" s="10" t="s">
        <v>2883</v>
      </c>
      <c r="B1937" s="124" t="s">
        <v>513</v>
      </c>
      <c r="C1937" s="124" t="s">
        <v>413</v>
      </c>
      <c r="D1937" s="12">
        <v>5000000</v>
      </c>
      <c r="E1937" s="82">
        <v>0.98542117210000002</v>
      </c>
      <c r="F1937" s="14">
        <v>4927105.8600000003</v>
      </c>
      <c r="G1937" s="14">
        <v>0.01</v>
      </c>
      <c r="H1937" s="10"/>
      <c r="I1937" s="10"/>
    </row>
    <row r="1938" spans="1:9">
      <c r="A1938" s="10" t="s">
        <v>2884</v>
      </c>
      <c r="B1938" s="124" t="s">
        <v>2275</v>
      </c>
      <c r="C1938" s="124" t="s">
        <v>413</v>
      </c>
      <c r="D1938" s="12">
        <v>13767552</v>
      </c>
      <c r="E1938" s="82">
        <v>0.8067190501</v>
      </c>
      <c r="F1938" s="14">
        <v>11106546.470000001</v>
      </c>
      <c r="G1938" s="14">
        <v>0.01</v>
      </c>
      <c r="H1938" s="10"/>
      <c r="I1938" s="10"/>
    </row>
    <row r="1939" spans="1:9">
      <c r="A1939" s="10" t="s">
        <v>2885</v>
      </c>
      <c r="B1939" s="124" t="s">
        <v>2886</v>
      </c>
      <c r="C1939" s="124" t="s">
        <v>413</v>
      </c>
      <c r="D1939" s="153">
        <v>61761900.200000003</v>
      </c>
      <c r="E1939" s="82">
        <v>0.76382208910000005</v>
      </c>
      <c r="F1939" s="14">
        <v>47175103.640000001</v>
      </c>
      <c r="G1939" s="14">
        <v>0.06</v>
      </c>
      <c r="H1939" s="10"/>
      <c r="I1939" s="10"/>
    </row>
    <row r="1940" spans="1:9">
      <c r="A1940" s="10" t="s">
        <v>2887</v>
      </c>
      <c r="B1940" s="124" t="s">
        <v>561</v>
      </c>
      <c r="C1940" s="124" t="s">
        <v>413</v>
      </c>
      <c r="D1940" s="14">
        <v>28794267.34</v>
      </c>
      <c r="E1940" s="82">
        <v>0.99455045279999998</v>
      </c>
      <c r="F1940" s="14">
        <v>28637351.620000001</v>
      </c>
      <c r="G1940" s="14">
        <v>0.04</v>
      </c>
      <c r="H1940" s="10"/>
      <c r="I1940" s="10"/>
    </row>
    <row r="1941" spans="1:9">
      <c r="A1941" s="10" t="s">
        <v>2888</v>
      </c>
      <c r="B1941" s="124" t="s">
        <v>1781</v>
      </c>
      <c r="C1941" s="124" t="s">
        <v>413</v>
      </c>
      <c r="D1941" s="12">
        <v>475000000</v>
      </c>
      <c r="E1941" s="82">
        <v>0.94559601780000002</v>
      </c>
      <c r="F1941" s="14">
        <v>449158108.45999998</v>
      </c>
      <c r="G1941" s="14">
        <v>0.55000000000000004</v>
      </c>
      <c r="H1941" s="10"/>
      <c r="I1941" s="10"/>
    </row>
    <row r="1942" spans="1:9">
      <c r="A1942" s="10" t="s">
        <v>2889</v>
      </c>
      <c r="B1942" s="124" t="s">
        <v>559</v>
      </c>
      <c r="C1942" s="124" t="s">
        <v>413</v>
      </c>
      <c r="D1942" s="12">
        <v>50000000</v>
      </c>
      <c r="E1942" s="82">
        <v>0.97750406550000002</v>
      </c>
      <c r="F1942" s="14">
        <v>48875203.280000001</v>
      </c>
      <c r="G1942" s="14">
        <v>0.06</v>
      </c>
      <c r="H1942" s="10"/>
      <c r="I1942" s="10"/>
    </row>
    <row r="1943" spans="1:9">
      <c r="A1943" s="10" t="s">
        <v>2890</v>
      </c>
      <c r="B1943" s="124" t="s">
        <v>559</v>
      </c>
      <c r="C1943" s="124" t="s">
        <v>413</v>
      </c>
      <c r="D1943" s="12">
        <v>50000000</v>
      </c>
      <c r="E1943" s="82">
        <v>0.97750406550000002</v>
      </c>
      <c r="F1943" s="14">
        <v>48875203.280000001</v>
      </c>
      <c r="G1943" s="14">
        <v>0.06</v>
      </c>
      <c r="H1943" s="10"/>
      <c r="I1943" s="10"/>
    </row>
    <row r="1944" spans="1:9">
      <c r="A1944" s="10" t="s">
        <v>2891</v>
      </c>
      <c r="B1944" s="124" t="s">
        <v>610</v>
      </c>
      <c r="C1944" s="124" t="s">
        <v>413</v>
      </c>
      <c r="D1944" s="12">
        <v>50000000</v>
      </c>
      <c r="E1944" s="82">
        <v>0.97671929810000002</v>
      </c>
      <c r="F1944" s="14">
        <v>48835964.909999996</v>
      </c>
      <c r="G1944" s="14">
        <v>0.06</v>
      </c>
      <c r="H1944" s="10"/>
      <c r="I1944" s="10"/>
    </row>
    <row r="1945" spans="1:9">
      <c r="A1945" s="10" t="s">
        <v>2892</v>
      </c>
      <c r="B1945" s="124" t="s">
        <v>498</v>
      </c>
      <c r="C1945" s="124" t="s">
        <v>413</v>
      </c>
      <c r="D1945" s="12">
        <v>50000000</v>
      </c>
      <c r="E1945" s="82">
        <v>0.97437269910000002</v>
      </c>
      <c r="F1945" s="14">
        <v>48718634.960000001</v>
      </c>
      <c r="G1945" s="14">
        <v>0.06</v>
      </c>
      <c r="H1945" s="10"/>
      <c r="I1945" s="10"/>
    </row>
    <row r="1946" spans="1:9">
      <c r="A1946" s="10" t="s">
        <v>2893</v>
      </c>
      <c r="B1946" s="124" t="s">
        <v>267</v>
      </c>
      <c r="C1946" s="124" t="s">
        <v>413</v>
      </c>
      <c r="D1946" s="12">
        <v>10000000</v>
      </c>
      <c r="E1946" s="157">
        <v>0.95916339799999994</v>
      </c>
      <c r="F1946" s="14">
        <v>9591633.9800000004</v>
      </c>
      <c r="G1946" s="14">
        <v>0.01</v>
      </c>
      <c r="H1946" s="10"/>
      <c r="I1946" s="10"/>
    </row>
    <row r="1947" spans="1:9">
      <c r="A1947" s="10" t="s">
        <v>2895</v>
      </c>
      <c r="B1947" s="124" t="s">
        <v>925</v>
      </c>
      <c r="C1947" s="124" t="s">
        <v>413</v>
      </c>
      <c r="D1947" s="14">
        <v>584336.13</v>
      </c>
      <c r="E1947" s="82">
        <v>0.96123472669999999</v>
      </c>
      <c r="F1947" s="14">
        <v>561684.18000000005</v>
      </c>
      <c r="G1947" s="12">
        <v>0</v>
      </c>
      <c r="H1947" s="10"/>
      <c r="I1947" s="10"/>
    </row>
    <row r="1948" spans="1:9">
      <c r="A1948" s="10" t="s">
        <v>2896</v>
      </c>
      <c r="B1948" s="124" t="s">
        <v>670</v>
      </c>
      <c r="C1948" s="124" t="s">
        <v>413</v>
      </c>
      <c r="D1948" s="14">
        <v>175518.88</v>
      </c>
      <c r="E1948" s="82">
        <v>0.9437377898</v>
      </c>
      <c r="F1948" s="153">
        <v>165643.79999999999</v>
      </c>
      <c r="G1948" s="12">
        <v>0</v>
      </c>
      <c r="H1948" s="10"/>
      <c r="I1948" s="10"/>
    </row>
    <row r="1949" spans="1:9">
      <c r="A1949" s="10" t="s">
        <v>2897</v>
      </c>
      <c r="B1949" s="124" t="s">
        <v>645</v>
      </c>
      <c r="C1949" s="124" t="s">
        <v>413</v>
      </c>
      <c r="D1949" s="14">
        <v>175518.88</v>
      </c>
      <c r="E1949" s="82">
        <v>0.97105462350000005</v>
      </c>
      <c r="F1949" s="14">
        <v>170438.42</v>
      </c>
      <c r="G1949" s="12">
        <v>0</v>
      </c>
      <c r="H1949" s="10"/>
      <c r="I1949" s="10"/>
    </row>
    <row r="1950" spans="1:9">
      <c r="A1950" s="10" t="s">
        <v>2898</v>
      </c>
      <c r="B1950" s="124" t="s">
        <v>461</v>
      </c>
      <c r="C1950" s="124" t="s">
        <v>413</v>
      </c>
      <c r="D1950" s="14">
        <v>5158240.3899999997</v>
      </c>
      <c r="E1950" s="82">
        <v>0.97617083140000005</v>
      </c>
      <c r="F1950" s="14">
        <v>5035323.8099999996</v>
      </c>
      <c r="G1950" s="14">
        <v>0.01</v>
      </c>
      <c r="H1950" s="10"/>
      <c r="I1950" s="10"/>
    </row>
    <row r="1951" spans="1:9">
      <c r="A1951" s="10" t="s">
        <v>2906</v>
      </c>
      <c r="B1951" s="124" t="s">
        <v>716</v>
      </c>
      <c r="C1951" s="124" t="s">
        <v>411</v>
      </c>
      <c r="D1951" s="12">
        <v>5907273</v>
      </c>
      <c r="E1951" s="82">
        <v>0.98223899920000002</v>
      </c>
      <c r="F1951" s="14">
        <v>5802353.9199999999</v>
      </c>
      <c r="G1951" s="14">
        <v>0.01</v>
      </c>
      <c r="H1951" s="10"/>
      <c r="I1951" s="10"/>
    </row>
    <row r="1952" spans="1:9">
      <c r="A1952" s="10" t="s">
        <v>2907</v>
      </c>
      <c r="B1952" s="124" t="s">
        <v>746</v>
      </c>
      <c r="C1952" s="124" t="s">
        <v>411</v>
      </c>
      <c r="D1952" s="12">
        <v>5852286</v>
      </c>
      <c r="E1952" s="82">
        <v>0.98782139670000002</v>
      </c>
      <c r="F1952" s="14">
        <v>5781013.3300000001</v>
      </c>
      <c r="G1952" s="14">
        <v>0.01</v>
      </c>
      <c r="H1952" s="10"/>
      <c r="I1952" s="10"/>
    </row>
    <row r="1953" spans="1:9">
      <c r="A1953" s="10" t="s">
        <v>2908</v>
      </c>
      <c r="B1953" s="124" t="s">
        <v>1781</v>
      </c>
      <c r="C1953" s="124" t="s">
        <v>411</v>
      </c>
      <c r="D1953" s="12">
        <v>6250000</v>
      </c>
      <c r="E1953" s="82">
        <v>0.9455958686</v>
      </c>
      <c r="F1953" s="14">
        <v>5909974.1799999997</v>
      </c>
      <c r="G1953" s="14">
        <v>0.01</v>
      </c>
      <c r="H1953" s="10"/>
      <c r="I1953" s="10"/>
    </row>
    <row r="1954" spans="1:9">
      <c r="A1954" s="10" t="s">
        <v>2909</v>
      </c>
      <c r="B1954" s="124" t="s">
        <v>1698</v>
      </c>
      <c r="C1954" s="124" t="s">
        <v>411</v>
      </c>
      <c r="D1954" s="12">
        <v>6250000</v>
      </c>
      <c r="E1954" s="82">
        <v>0.94486167160000001</v>
      </c>
      <c r="F1954" s="14">
        <v>5905385.4500000002</v>
      </c>
      <c r="G1954" s="14">
        <v>0.01</v>
      </c>
      <c r="H1954" s="10"/>
      <c r="I1954" s="10"/>
    </row>
    <row r="1955" spans="1:9">
      <c r="A1955" s="10" t="s">
        <v>2910</v>
      </c>
      <c r="B1955" s="124" t="s">
        <v>925</v>
      </c>
      <c r="C1955" s="124" t="s">
        <v>411</v>
      </c>
      <c r="D1955" s="12">
        <v>6250000</v>
      </c>
      <c r="E1955" s="82">
        <v>0.96356928750000004</v>
      </c>
      <c r="F1955" s="14">
        <v>6022308.0499999998</v>
      </c>
      <c r="G1955" s="14">
        <v>0.01</v>
      </c>
      <c r="H1955" s="10"/>
      <c r="I1955" s="10"/>
    </row>
    <row r="1956" spans="1:9">
      <c r="A1956" s="10" t="s">
        <v>2911</v>
      </c>
      <c r="B1956" s="124" t="s">
        <v>556</v>
      </c>
      <c r="C1956" s="124" t="s">
        <v>411</v>
      </c>
      <c r="D1956" s="12">
        <v>6250000</v>
      </c>
      <c r="E1956" s="157">
        <v>0.96586407200000002</v>
      </c>
      <c r="F1956" s="14">
        <v>6036650.4500000002</v>
      </c>
      <c r="G1956" s="14">
        <v>0.01</v>
      </c>
      <c r="H1956" s="10"/>
      <c r="I1956" s="10"/>
    </row>
    <row r="1957" spans="1:9">
      <c r="A1957" s="10" t="s">
        <v>2912</v>
      </c>
      <c r="B1957" s="124" t="s">
        <v>552</v>
      </c>
      <c r="C1957" s="124" t="s">
        <v>411</v>
      </c>
      <c r="D1957" s="12">
        <v>2750000</v>
      </c>
      <c r="E1957" s="82">
        <v>0.96739995219999997</v>
      </c>
      <c r="F1957" s="14">
        <v>2660349.87</v>
      </c>
      <c r="G1957" s="12">
        <v>0</v>
      </c>
      <c r="H1957" s="10"/>
      <c r="I1957" s="10"/>
    </row>
    <row r="1958" spans="1:9">
      <c r="A1958" s="10" t="s">
        <v>2913</v>
      </c>
      <c r="B1958" s="124" t="s">
        <v>556</v>
      </c>
      <c r="C1958" s="124" t="s">
        <v>411</v>
      </c>
      <c r="D1958" s="153">
        <v>2666356.5</v>
      </c>
      <c r="E1958" s="82">
        <v>0.96586407750000003</v>
      </c>
      <c r="F1958" s="14">
        <v>2575337.96</v>
      </c>
      <c r="G1958" s="12">
        <v>0</v>
      </c>
      <c r="H1958" s="10"/>
      <c r="I1958" s="10"/>
    </row>
    <row r="1959" spans="1:9">
      <c r="A1959" s="10" t="s">
        <v>2914</v>
      </c>
      <c r="B1959" s="124" t="s">
        <v>498</v>
      </c>
      <c r="C1959" s="124" t="s">
        <v>411</v>
      </c>
      <c r="D1959" s="12">
        <v>2750000</v>
      </c>
      <c r="E1959" s="82">
        <v>0.97437274569999999</v>
      </c>
      <c r="F1959" s="14">
        <v>2679525.0499999998</v>
      </c>
      <c r="G1959" s="12">
        <v>0</v>
      </c>
      <c r="H1959" s="10"/>
      <c r="I1959" s="10"/>
    </row>
    <row r="1960" spans="1:9">
      <c r="A1960" s="10" t="s">
        <v>2915</v>
      </c>
      <c r="B1960" s="124" t="s">
        <v>645</v>
      </c>
      <c r="C1960" s="124" t="s">
        <v>411</v>
      </c>
      <c r="D1960" s="12">
        <v>2750000</v>
      </c>
      <c r="E1960" s="157">
        <v>0.972814662</v>
      </c>
      <c r="F1960" s="14">
        <v>2675240.3199999998</v>
      </c>
      <c r="G1960" s="12">
        <v>0</v>
      </c>
      <c r="H1960" s="10"/>
      <c r="I1960" s="10"/>
    </row>
    <row r="1961" spans="1:9">
      <c r="A1961" s="10" t="s">
        <v>2916</v>
      </c>
      <c r="B1961" s="124" t="s">
        <v>578</v>
      </c>
      <c r="C1961" s="124" t="s">
        <v>411</v>
      </c>
      <c r="D1961" s="14">
        <v>628847.81000000006</v>
      </c>
      <c r="E1961" s="82">
        <v>0.99509272370000001</v>
      </c>
      <c r="F1961" s="14">
        <v>625761.88</v>
      </c>
      <c r="G1961" s="12">
        <v>0</v>
      </c>
      <c r="H1961" s="10"/>
      <c r="I1961" s="10"/>
    </row>
    <row r="1962" spans="1:9">
      <c r="A1962" s="10" t="s">
        <v>2917</v>
      </c>
      <c r="B1962" s="124" t="s">
        <v>578</v>
      </c>
      <c r="C1962" s="124" t="s">
        <v>411</v>
      </c>
      <c r="D1962" s="14">
        <v>628847.81000000006</v>
      </c>
      <c r="E1962" s="82">
        <v>0.99509272370000001</v>
      </c>
      <c r="F1962" s="14">
        <v>625761.88</v>
      </c>
      <c r="G1962" s="12">
        <v>0</v>
      </c>
      <c r="H1962" s="10"/>
      <c r="I1962" s="10"/>
    </row>
    <row r="1963" spans="1:9">
      <c r="A1963" s="10" t="s">
        <v>2918</v>
      </c>
      <c r="B1963" s="124" t="s">
        <v>578</v>
      </c>
      <c r="C1963" s="124" t="s">
        <v>411</v>
      </c>
      <c r="D1963" s="14">
        <v>628847.81000000006</v>
      </c>
      <c r="E1963" s="82">
        <v>0.99509272370000001</v>
      </c>
      <c r="F1963" s="14">
        <v>625761.88</v>
      </c>
      <c r="G1963" s="12">
        <v>0</v>
      </c>
      <c r="H1963" s="10"/>
      <c r="I1963" s="10"/>
    </row>
    <row r="1964" spans="1:9">
      <c r="A1964" s="10" t="s">
        <v>2919</v>
      </c>
      <c r="B1964" s="124" t="s">
        <v>718</v>
      </c>
      <c r="C1964" s="124" t="s">
        <v>411</v>
      </c>
      <c r="D1964" s="153">
        <v>1404156.6</v>
      </c>
      <c r="E1964" s="82">
        <v>0.97907726959999997</v>
      </c>
      <c r="F1964" s="14">
        <v>1374777.81</v>
      </c>
      <c r="G1964" s="12">
        <v>0</v>
      </c>
      <c r="H1964" s="10"/>
      <c r="I1964" s="10"/>
    </row>
    <row r="1965" spans="1:9">
      <c r="A1965" s="10" t="s">
        <v>2920</v>
      </c>
      <c r="B1965" s="124" t="s">
        <v>925</v>
      </c>
      <c r="C1965" s="124" t="s">
        <v>411</v>
      </c>
      <c r="D1965" s="12">
        <v>4867830</v>
      </c>
      <c r="E1965" s="82">
        <v>0.96356928860000002</v>
      </c>
      <c r="F1965" s="14">
        <v>4690491.49</v>
      </c>
      <c r="G1965" s="14">
        <v>0.01</v>
      </c>
      <c r="H1965" s="10"/>
      <c r="I1965" s="10"/>
    </row>
    <row r="1966" spans="1:9">
      <c r="A1966" s="10" t="s">
        <v>2921</v>
      </c>
      <c r="B1966" s="124" t="s">
        <v>634</v>
      </c>
      <c r="C1966" s="124" t="s">
        <v>411</v>
      </c>
      <c r="D1966" s="12">
        <v>750000</v>
      </c>
      <c r="E1966" s="82">
        <v>0.9712613604</v>
      </c>
      <c r="F1966" s="14">
        <v>728446.02</v>
      </c>
      <c r="G1966" s="12">
        <v>0</v>
      </c>
      <c r="H1966" s="10"/>
      <c r="I1966" s="10"/>
    </row>
    <row r="1967" spans="1:9">
      <c r="A1967" s="10" t="s">
        <v>2922</v>
      </c>
      <c r="B1967" s="124" t="s">
        <v>578</v>
      </c>
      <c r="C1967" s="124" t="s">
        <v>411</v>
      </c>
      <c r="D1967" s="14">
        <v>7154381.25</v>
      </c>
      <c r="E1967" s="82">
        <v>0.99509273279999999</v>
      </c>
      <c r="F1967" s="14">
        <v>7119272.79</v>
      </c>
      <c r="G1967" s="14">
        <v>0.01</v>
      </c>
      <c r="H1967" s="10"/>
      <c r="I1967" s="10"/>
    </row>
    <row r="1968" spans="1:9">
      <c r="A1968" s="10" t="s">
        <v>2923</v>
      </c>
      <c r="B1968" s="124" t="s">
        <v>657</v>
      </c>
      <c r="C1968" s="124" t="s">
        <v>411</v>
      </c>
      <c r="D1968" s="14">
        <v>2103264.2599999998</v>
      </c>
      <c r="E1968" s="82">
        <v>0.95151204089999997</v>
      </c>
      <c r="F1968" s="14">
        <v>2001281.27</v>
      </c>
      <c r="G1968" s="12">
        <v>0</v>
      </c>
      <c r="H1968" s="10"/>
      <c r="I1968" s="10"/>
    </row>
    <row r="1969" spans="1:9">
      <c r="A1969" s="10" t="s">
        <v>2924</v>
      </c>
      <c r="B1969" s="124" t="s">
        <v>810</v>
      </c>
      <c r="C1969" s="124" t="s">
        <v>411</v>
      </c>
      <c r="D1969" s="12">
        <v>267100000</v>
      </c>
      <c r="E1969" s="82">
        <v>0.96678502119999998</v>
      </c>
      <c r="F1969" s="14">
        <v>258228279.16</v>
      </c>
      <c r="G1969" s="14">
        <v>0.32</v>
      </c>
      <c r="H1969" s="10"/>
      <c r="I1969" s="10"/>
    </row>
    <row r="1970" spans="1:9">
      <c r="A1970" s="10" t="s">
        <v>2925</v>
      </c>
      <c r="B1970" s="124" t="s">
        <v>1497</v>
      </c>
      <c r="C1970" s="124" t="s">
        <v>411</v>
      </c>
      <c r="D1970" s="153">
        <v>476066.3</v>
      </c>
      <c r="E1970" s="82">
        <v>0.9499273319</v>
      </c>
      <c r="F1970" s="14">
        <v>452228.39</v>
      </c>
      <c r="G1970" s="12">
        <v>0</v>
      </c>
      <c r="H1970" s="10"/>
      <c r="I1970" s="10"/>
    </row>
    <row r="1971" spans="1:9">
      <c r="A1971" s="10" t="s">
        <v>2926</v>
      </c>
      <c r="B1971" s="124" t="s">
        <v>556</v>
      </c>
      <c r="C1971" s="124" t="s">
        <v>411</v>
      </c>
      <c r="D1971" s="153">
        <v>476066.3</v>
      </c>
      <c r="E1971" s="82">
        <v>0.97028027370000003</v>
      </c>
      <c r="F1971" s="14">
        <v>461917.74</v>
      </c>
      <c r="G1971" s="12">
        <v>0</v>
      </c>
      <c r="H1971" s="10"/>
      <c r="I1971" s="10"/>
    </row>
    <row r="1972" spans="1:9">
      <c r="A1972" s="10" t="s">
        <v>2927</v>
      </c>
      <c r="B1972" s="124" t="s">
        <v>746</v>
      </c>
      <c r="C1972" s="124" t="s">
        <v>411</v>
      </c>
      <c r="D1972" s="153">
        <v>476066.3</v>
      </c>
      <c r="E1972" s="82">
        <v>0.98942802730000001</v>
      </c>
      <c r="F1972" s="14">
        <v>471033.34</v>
      </c>
      <c r="G1972" s="12">
        <v>0</v>
      </c>
      <c r="H1972" s="10"/>
      <c r="I1972" s="10"/>
    </row>
    <row r="1973" spans="1:9">
      <c r="A1973" s="10" t="s">
        <v>2928</v>
      </c>
      <c r="B1973" s="124" t="s">
        <v>267</v>
      </c>
      <c r="C1973" s="124" t="s">
        <v>411</v>
      </c>
      <c r="D1973" s="14">
        <v>1015657.35</v>
      </c>
      <c r="E1973" s="82">
        <v>0.96878661850000003</v>
      </c>
      <c r="F1973" s="14">
        <v>983955.25</v>
      </c>
      <c r="G1973" s="12">
        <v>0</v>
      </c>
      <c r="H1973" s="10"/>
      <c r="I1973" s="10"/>
    </row>
    <row r="1974" spans="1:9">
      <c r="A1974" s="10" t="s">
        <v>2929</v>
      </c>
      <c r="B1974" s="124" t="s">
        <v>556</v>
      </c>
      <c r="C1974" s="124" t="s">
        <v>411</v>
      </c>
      <c r="D1974" s="14">
        <v>254258.48</v>
      </c>
      <c r="E1974" s="82">
        <v>0.96806714130000004</v>
      </c>
      <c r="F1974" s="14">
        <v>246139.28</v>
      </c>
      <c r="G1974" s="12">
        <v>0</v>
      </c>
      <c r="H1974" s="10"/>
      <c r="I1974" s="10"/>
    </row>
    <row r="1975" spans="1:9">
      <c r="A1975" s="10" t="s">
        <v>2930</v>
      </c>
      <c r="B1975" s="124" t="s">
        <v>925</v>
      </c>
      <c r="C1975" s="124" t="s">
        <v>411</v>
      </c>
      <c r="D1975" s="12">
        <v>2600000</v>
      </c>
      <c r="E1975" s="82">
        <v>0.96591521940000002</v>
      </c>
      <c r="F1975" s="14">
        <v>2511379.5699999998</v>
      </c>
      <c r="G1975" s="12">
        <v>0</v>
      </c>
      <c r="H1975" s="10"/>
      <c r="I1975" s="10"/>
    </row>
    <row r="1976" spans="1:9">
      <c r="A1976" s="10" t="s">
        <v>2931</v>
      </c>
      <c r="B1976" s="124" t="s">
        <v>931</v>
      </c>
      <c r="C1976" s="124" t="s">
        <v>411</v>
      </c>
      <c r="D1976" s="14">
        <v>41582115.490000002</v>
      </c>
      <c r="E1976" s="82">
        <v>0.9387861971</v>
      </c>
      <c r="F1976" s="14">
        <v>39036716.07</v>
      </c>
      <c r="G1976" s="14">
        <v>0.05</v>
      </c>
      <c r="H1976" s="10"/>
      <c r="I1976" s="10"/>
    </row>
    <row r="1977" spans="1:9">
      <c r="A1977" s="10" t="s">
        <v>2932</v>
      </c>
      <c r="B1977" s="124" t="s">
        <v>657</v>
      </c>
      <c r="C1977" s="124" t="s">
        <v>411</v>
      </c>
      <c r="D1977" s="12">
        <v>2750000</v>
      </c>
      <c r="E1977" s="82">
        <v>0.95459781079999995</v>
      </c>
      <c r="F1977" s="14">
        <v>2625143.98</v>
      </c>
      <c r="G1977" s="12">
        <v>0</v>
      </c>
      <c r="H1977" s="10"/>
      <c r="I1977" s="10"/>
    </row>
    <row r="1978" spans="1:9">
      <c r="A1978" s="10" t="s">
        <v>2933</v>
      </c>
      <c r="B1978" s="124" t="s">
        <v>1007</v>
      </c>
      <c r="C1978" s="124" t="s">
        <v>411</v>
      </c>
      <c r="D1978" s="12">
        <v>8876079</v>
      </c>
      <c r="E1978" s="154">
        <v>0.91249999999999998</v>
      </c>
      <c r="F1978" s="14">
        <v>8099422.0899999999</v>
      </c>
      <c r="G1978" s="14">
        <v>0.01</v>
      </c>
      <c r="H1978" s="10"/>
      <c r="I1978" s="10"/>
    </row>
    <row r="1979" spans="1:9">
      <c r="A1979" s="10" t="s">
        <v>2934</v>
      </c>
      <c r="B1979" s="124" t="s">
        <v>645</v>
      </c>
      <c r="C1979" s="124" t="s">
        <v>411</v>
      </c>
      <c r="D1979" s="12">
        <v>664189</v>
      </c>
      <c r="E1979" s="82">
        <v>0.97458095509999998</v>
      </c>
      <c r="F1979" s="14">
        <v>647305.94999999995</v>
      </c>
      <c r="G1979" s="12">
        <v>0</v>
      </c>
      <c r="H1979" s="10"/>
      <c r="I1979" s="10"/>
    </row>
    <row r="1980" spans="1:9">
      <c r="A1980" s="10" t="s">
        <v>2935</v>
      </c>
      <c r="B1980" s="124" t="s">
        <v>992</v>
      </c>
      <c r="C1980" s="124" t="s">
        <v>411</v>
      </c>
      <c r="D1980" s="12">
        <v>8876079</v>
      </c>
      <c r="E1980" s="82">
        <v>0.93074268760000001</v>
      </c>
      <c r="F1980" s="14">
        <v>8261345.6200000001</v>
      </c>
      <c r="G1980" s="14">
        <v>0.01</v>
      </c>
      <c r="H1980" s="10"/>
      <c r="I1980" s="10"/>
    </row>
    <row r="1981" spans="1:9">
      <c r="A1981" s="10" t="s">
        <v>2936</v>
      </c>
      <c r="B1981" s="124" t="s">
        <v>645</v>
      </c>
      <c r="C1981" s="124" t="s">
        <v>411</v>
      </c>
      <c r="D1981" s="12">
        <v>502361</v>
      </c>
      <c r="E1981" s="82">
        <v>0.97458092860000001</v>
      </c>
      <c r="F1981" s="14">
        <v>489591.45</v>
      </c>
      <c r="G1981" s="12">
        <v>0</v>
      </c>
      <c r="H1981" s="10"/>
      <c r="I1981" s="10"/>
    </row>
    <row r="1982" spans="1:9">
      <c r="A1982" s="10" t="s">
        <v>2937</v>
      </c>
      <c r="B1982" s="124" t="s">
        <v>645</v>
      </c>
      <c r="C1982" s="124" t="s">
        <v>411</v>
      </c>
      <c r="D1982" s="14">
        <v>500915.11</v>
      </c>
      <c r="E1982" s="82">
        <v>0.97458094269999995</v>
      </c>
      <c r="F1982" s="14">
        <v>488182.32</v>
      </c>
      <c r="G1982" s="12">
        <v>0</v>
      </c>
      <c r="H1982" s="10"/>
      <c r="I1982" s="10"/>
    </row>
    <row r="1983" spans="1:9">
      <c r="A1983" s="10" t="s">
        <v>2938</v>
      </c>
      <c r="B1983" s="124" t="s">
        <v>645</v>
      </c>
      <c r="C1983" s="124" t="s">
        <v>411</v>
      </c>
      <c r="D1983" s="14">
        <v>416466.04</v>
      </c>
      <c r="E1983" s="82">
        <v>0.97458095249999999</v>
      </c>
      <c r="F1983" s="14">
        <v>405879.87</v>
      </c>
      <c r="G1983" s="12">
        <v>0</v>
      </c>
      <c r="H1983" s="10"/>
      <c r="I1983" s="10"/>
    </row>
    <row r="1984" spans="1:9">
      <c r="A1984" s="10" t="s">
        <v>2939</v>
      </c>
      <c r="B1984" s="124" t="s">
        <v>645</v>
      </c>
      <c r="C1984" s="124" t="s">
        <v>411</v>
      </c>
      <c r="D1984" s="12">
        <v>400000</v>
      </c>
      <c r="E1984" s="82">
        <v>0.97458094979999998</v>
      </c>
      <c r="F1984" s="14">
        <v>389832.38</v>
      </c>
      <c r="G1984" s="12">
        <v>0</v>
      </c>
      <c r="H1984" s="10"/>
      <c r="I1984" s="10"/>
    </row>
    <row r="1985" spans="1:9">
      <c r="A1985" s="10" t="s">
        <v>2940</v>
      </c>
      <c r="B1985" s="124" t="s">
        <v>505</v>
      </c>
      <c r="C1985" s="124" t="s">
        <v>411</v>
      </c>
      <c r="D1985" s="153">
        <v>782797.4</v>
      </c>
      <c r="E1985" s="82">
        <v>0.99465883509999997</v>
      </c>
      <c r="F1985" s="14">
        <v>778616.35</v>
      </c>
      <c r="G1985" s="12">
        <v>0</v>
      </c>
      <c r="H1985" s="10"/>
      <c r="I1985" s="10"/>
    </row>
    <row r="1986" spans="1:9">
      <c r="A1986" s="10" t="s">
        <v>2941</v>
      </c>
      <c r="B1986" s="124" t="s">
        <v>456</v>
      </c>
      <c r="C1986" s="124" t="s">
        <v>411</v>
      </c>
      <c r="D1986" s="14">
        <v>1105641.8600000001</v>
      </c>
      <c r="E1986" s="82">
        <v>0.98937443439999995</v>
      </c>
      <c r="F1986" s="14">
        <v>1093893.79</v>
      </c>
      <c r="G1986" s="12">
        <v>0</v>
      </c>
      <c r="H1986" s="10"/>
      <c r="I1986" s="10"/>
    </row>
    <row r="1987" spans="1:9">
      <c r="A1987" s="10" t="s">
        <v>2942</v>
      </c>
      <c r="B1987" s="124" t="s">
        <v>456</v>
      </c>
      <c r="C1987" s="124" t="s">
        <v>411</v>
      </c>
      <c r="D1987" s="14">
        <v>1421910.06</v>
      </c>
      <c r="E1987" s="82">
        <v>0.98937443329999997</v>
      </c>
      <c r="F1987" s="14">
        <v>1406801.46</v>
      </c>
      <c r="G1987" s="12">
        <v>0</v>
      </c>
      <c r="H1987" s="10"/>
      <c r="I1987" s="10"/>
    </row>
    <row r="1988" spans="1:9">
      <c r="A1988" s="10" t="s">
        <v>2943</v>
      </c>
      <c r="B1988" s="124" t="s">
        <v>456</v>
      </c>
      <c r="C1988" s="124" t="s">
        <v>411</v>
      </c>
      <c r="D1988" s="14">
        <v>609847.96</v>
      </c>
      <c r="E1988" s="82">
        <v>0.9893744337</v>
      </c>
      <c r="F1988" s="14">
        <v>603367.98</v>
      </c>
      <c r="G1988" s="12">
        <v>0</v>
      </c>
      <c r="H1988" s="10"/>
      <c r="I1988" s="10"/>
    </row>
    <row r="1989" spans="1:9">
      <c r="A1989" s="10" t="s">
        <v>2944</v>
      </c>
      <c r="B1989" s="124" t="s">
        <v>746</v>
      </c>
      <c r="C1989" s="124" t="s">
        <v>411</v>
      </c>
      <c r="D1989" s="14">
        <v>254258.48</v>
      </c>
      <c r="E1989" s="82">
        <v>0.98862401749999995</v>
      </c>
      <c r="F1989" s="14">
        <v>251366.04</v>
      </c>
      <c r="G1989" s="12">
        <v>0</v>
      </c>
      <c r="H1989" s="10"/>
      <c r="I1989" s="10"/>
    </row>
    <row r="1990" spans="1:9">
      <c r="A1990" s="10" t="s">
        <v>2945</v>
      </c>
      <c r="B1990" s="124" t="s">
        <v>746</v>
      </c>
      <c r="C1990" s="124" t="s">
        <v>411</v>
      </c>
      <c r="D1990" s="153">
        <v>3392957.4</v>
      </c>
      <c r="E1990" s="82">
        <v>0.98862406570000005</v>
      </c>
      <c r="F1990" s="14">
        <v>3354359.34</v>
      </c>
      <c r="G1990" s="12">
        <v>0</v>
      </c>
      <c r="H1990" s="10"/>
      <c r="I1990" s="10"/>
    </row>
    <row r="1991" spans="1:9">
      <c r="A1991" s="10" t="s">
        <v>2946</v>
      </c>
      <c r="B1991" s="124" t="s">
        <v>746</v>
      </c>
      <c r="C1991" s="124" t="s">
        <v>411</v>
      </c>
      <c r="D1991" s="12">
        <v>655097</v>
      </c>
      <c r="E1991" s="82">
        <v>0.98862406650000001</v>
      </c>
      <c r="F1991" s="14">
        <v>647644.66</v>
      </c>
      <c r="G1991" s="12">
        <v>0</v>
      </c>
      <c r="H1991" s="10"/>
      <c r="I1991" s="10"/>
    </row>
    <row r="1992" spans="1:9">
      <c r="A1992" s="10" t="s">
        <v>2947</v>
      </c>
      <c r="B1992" s="124" t="s">
        <v>746</v>
      </c>
      <c r="C1992" s="124" t="s">
        <v>411</v>
      </c>
      <c r="D1992" s="14">
        <v>175597.86</v>
      </c>
      <c r="E1992" s="82">
        <v>0.98862406410000003</v>
      </c>
      <c r="F1992" s="14">
        <v>173600.27</v>
      </c>
      <c r="G1992" s="12">
        <v>0</v>
      </c>
      <c r="H1992" s="10"/>
      <c r="I1992" s="10"/>
    </row>
    <row r="1993" spans="1:9">
      <c r="A1993" s="10" t="s">
        <v>2948</v>
      </c>
      <c r="B1993" s="124" t="s">
        <v>746</v>
      </c>
      <c r="C1993" s="124" t="s">
        <v>411</v>
      </c>
      <c r="D1993" s="14">
        <v>533194.13</v>
      </c>
      <c r="E1993" s="82">
        <v>0.98862406849999995</v>
      </c>
      <c r="F1993" s="14">
        <v>527128.55000000005</v>
      </c>
      <c r="G1993" s="12">
        <v>0</v>
      </c>
      <c r="H1993" s="10"/>
      <c r="I1993" s="10"/>
    </row>
    <row r="1994" spans="1:9">
      <c r="A1994" s="10" t="s">
        <v>2949</v>
      </c>
      <c r="B1994" s="124" t="s">
        <v>746</v>
      </c>
      <c r="C1994" s="124" t="s">
        <v>411</v>
      </c>
      <c r="D1994" s="12">
        <v>1500000</v>
      </c>
      <c r="E1994" s="82">
        <v>0.98862407330000002</v>
      </c>
      <c r="F1994" s="14">
        <v>1482936.11</v>
      </c>
      <c r="G1994" s="12">
        <v>0</v>
      </c>
      <c r="H1994" s="10"/>
      <c r="I1994" s="10"/>
    </row>
    <row r="1995" spans="1:9">
      <c r="A1995" s="10" t="s">
        <v>2950</v>
      </c>
      <c r="B1995" s="124" t="s">
        <v>559</v>
      </c>
      <c r="C1995" s="124" t="s">
        <v>411</v>
      </c>
      <c r="D1995" s="12">
        <v>740000</v>
      </c>
      <c r="E1995" s="82">
        <v>0.9789722971</v>
      </c>
      <c r="F1995" s="153">
        <v>724439.5</v>
      </c>
      <c r="G1995" s="12">
        <v>0</v>
      </c>
      <c r="H1995" s="10"/>
      <c r="I1995" s="10"/>
    </row>
    <row r="1996" spans="1:9">
      <c r="A1996" s="10" t="s">
        <v>2951</v>
      </c>
      <c r="B1996" s="124" t="s">
        <v>559</v>
      </c>
      <c r="C1996" s="124" t="s">
        <v>411</v>
      </c>
      <c r="D1996" s="12">
        <v>1992000</v>
      </c>
      <c r="E1996" s="82">
        <v>0.97897229419999998</v>
      </c>
      <c r="F1996" s="14">
        <v>1950112.81</v>
      </c>
      <c r="G1996" s="12">
        <v>0</v>
      </c>
      <c r="H1996" s="10"/>
      <c r="I1996" s="10"/>
    </row>
    <row r="1997" spans="1:9">
      <c r="A1997" s="10" t="s">
        <v>2952</v>
      </c>
      <c r="B1997" s="124" t="s">
        <v>610</v>
      </c>
      <c r="C1997" s="124" t="s">
        <v>411</v>
      </c>
      <c r="D1997" s="14">
        <v>358808.84</v>
      </c>
      <c r="E1997" s="82">
        <v>0.97823760390000003</v>
      </c>
      <c r="F1997" s="153">
        <v>351000.3</v>
      </c>
      <c r="G1997" s="12">
        <v>0</v>
      </c>
      <c r="H1997" s="10"/>
      <c r="I1997" s="10"/>
    </row>
    <row r="1998" spans="1:9">
      <c r="A1998" s="10" t="s">
        <v>2953</v>
      </c>
      <c r="B1998" s="124" t="s">
        <v>810</v>
      </c>
      <c r="C1998" s="124" t="s">
        <v>411</v>
      </c>
      <c r="D1998" s="12">
        <v>2000000</v>
      </c>
      <c r="E1998" s="82">
        <v>0.97530999510000005</v>
      </c>
      <c r="F1998" s="14">
        <v>1950619.99</v>
      </c>
      <c r="G1998" s="12">
        <v>0</v>
      </c>
      <c r="H1998" s="10"/>
      <c r="I1998" s="10"/>
    </row>
    <row r="1999" spans="1:9">
      <c r="A1999" s="10" t="s">
        <v>2954</v>
      </c>
      <c r="B1999" s="124" t="s">
        <v>645</v>
      </c>
      <c r="C1999" s="124" t="s">
        <v>411</v>
      </c>
      <c r="D1999" s="14">
        <v>98031.039999999994</v>
      </c>
      <c r="E1999" s="82">
        <v>0.97458090819999998</v>
      </c>
      <c r="F1999" s="14">
        <v>95539.18</v>
      </c>
      <c r="G1999" s="12">
        <v>0</v>
      </c>
      <c r="H1999" s="10"/>
      <c r="I1999" s="10"/>
    </row>
    <row r="2000" spans="1:9">
      <c r="A2000" s="10" t="s">
        <v>2955</v>
      </c>
      <c r="B2000" s="124" t="s">
        <v>578</v>
      </c>
      <c r="C2000" s="124" t="s">
        <v>411</v>
      </c>
      <c r="D2000" s="12">
        <v>3392000</v>
      </c>
      <c r="E2000" s="82">
        <v>0.99541838739999999</v>
      </c>
      <c r="F2000" s="14">
        <v>3376459.17</v>
      </c>
      <c r="G2000" s="12">
        <v>0</v>
      </c>
      <c r="H2000" s="10"/>
      <c r="I2000" s="10"/>
    </row>
    <row r="2001" spans="1:9">
      <c r="A2001" s="10" t="s">
        <v>2956</v>
      </c>
      <c r="B2001" s="124" t="s">
        <v>578</v>
      </c>
      <c r="C2001" s="124" t="s">
        <v>411</v>
      </c>
      <c r="D2001" s="14">
        <v>1269828.6499999999</v>
      </c>
      <c r="E2001" s="82">
        <v>0.99541838959999995</v>
      </c>
      <c r="F2001" s="14">
        <v>1264010.79</v>
      </c>
      <c r="G2001" s="12">
        <v>0</v>
      </c>
      <c r="H2001" s="10"/>
      <c r="I2001" s="10"/>
    </row>
    <row r="2002" spans="1:9">
      <c r="A2002" s="10" t="s">
        <v>2957</v>
      </c>
      <c r="B2002" s="124" t="s">
        <v>578</v>
      </c>
      <c r="C2002" s="124" t="s">
        <v>411</v>
      </c>
      <c r="D2002" s="14">
        <v>507127.84</v>
      </c>
      <c r="E2002" s="82">
        <v>0.99541837420000001</v>
      </c>
      <c r="F2002" s="14">
        <v>504804.37</v>
      </c>
      <c r="G2002" s="12">
        <v>0</v>
      </c>
      <c r="H2002" s="10"/>
      <c r="I2002" s="10"/>
    </row>
    <row r="2003" spans="1:9">
      <c r="A2003" s="10" t="s">
        <v>2958</v>
      </c>
      <c r="B2003" s="124" t="s">
        <v>578</v>
      </c>
      <c r="C2003" s="124" t="s">
        <v>411</v>
      </c>
      <c r="D2003" s="12">
        <v>4094469</v>
      </c>
      <c r="E2003" s="82">
        <v>0.9954183875</v>
      </c>
      <c r="F2003" s="14">
        <v>4075709.73</v>
      </c>
      <c r="G2003" s="12">
        <v>0</v>
      </c>
      <c r="H2003" s="10"/>
      <c r="I2003" s="10"/>
    </row>
    <row r="2004" spans="1:9">
      <c r="A2004" s="10" t="s">
        <v>2959</v>
      </c>
      <c r="B2004" s="124" t="s">
        <v>578</v>
      </c>
      <c r="C2004" s="124" t="s">
        <v>411</v>
      </c>
      <c r="D2004" s="14">
        <v>371781.84</v>
      </c>
      <c r="E2004" s="82">
        <v>0.99541841519999996</v>
      </c>
      <c r="F2004" s="14">
        <v>370078.49</v>
      </c>
      <c r="G2004" s="12">
        <v>0</v>
      </c>
      <c r="H2004" s="10"/>
      <c r="I2004" s="10"/>
    </row>
    <row r="2005" spans="1:9">
      <c r="A2005" s="10" t="s">
        <v>2960</v>
      </c>
      <c r="B2005" s="124" t="s">
        <v>456</v>
      </c>
      <c r="C2005" s="124" t="s">
        <v>411</v>
      </c>
      <c r="D2005" s="153">
        <v>944731.7</v>
      </c>
      <c r="E2005" s="82">
        <v>0.98937443290000004</v>
      </c>
      <c r="F2005" s="14">
        <v>934693.39</v>
      </c>
      <c r="G2005" s="12">
        <v>0</v>
      </c>
      <c r="H2005" s="10"/>
      <c r="I2005" s="10"/>
    </row>
    <row r="2006" spans="1:9">
      <c r="A2006" s="10" t="s">
        <v>2961</v>
      </c>
      <c r="B2006" s="124" t="s">
        <v>473</v>
      </c>
      <c r="C2006" s="124" t="s">
        <v>411</v>
      </c>
      <c r="D2006" s="14">
        <v>131291.41</v>
      </c>
      <c r="E2006" s="157">
        <v>0.99694092700000003</v>
      </c>
      <c r="F2006" s="14">
        <v>130889.78</v>
      </c>
      <c r="G2006" s="12">
        <v>0</v>
      </c>
      <c r="H2006" s="10"/>
      <c r="I2006" s="10"/>
    </row>
    <row r="2007" spans="1:9">
      <c r="A2007" s="10" t="s">
        <v>2962</v>
      </c>
      <c r="B2007" s="124" t="s">
        <v>561</v>
      </c>
      <c r="C2007" s="124" t="s">
        <v>411</v>
      </c>
      <c r="D2007" s="12">
        <v>2750000</v>
      </c>
      <c r="E2007" s="82">
        <v>0.99617908359999996</v>
      </c>
      <c r="F2007" s="14">
        <v>2739492.48</v>
      </c>
      <c r="G2007" s="12">
        <v>0</v>
      </c>
      <c r="H2007" s="10"/>
      <c r="I2007" s="10"/>
    </row>
    <row r="2008" spans="1:9">
      <c r="A2008" s="10" t="s">
        <v>2963</v>
      </c>
      <c r="B2008" s="124" t="s">
        <v>561</v>
      </c>
      <c r="C2008" s="124" t="s">
        <v>411</v>
      </c>
      <c r="D2008" s="14">
        <v>502360.99</v>
      </c>
      <c r="E2008" s="82">
        <v>0.99617910210000005</v>
      </c>
      <c r="F2008" s="14">
        <v>500441.52</v>
      </c>
      <c r="G2008" s="12">
        <v>0</v>
      </c>
      <c r="H2008" s="10"/>
      <c r="I2008" s="10"/>
    </row>
    <row r="2009" spans="1:9">
      <c r="A2009" s="10" t="s">
        <v>2964</v>
      </c>
      <c r="B2009" s="124" t="s">
        <v>578</v>
      </c>
      <c r="C2009" s="124" t="s">
        <v>411</v>
      </c>
      <c r="D2009" s="12">
        <v>420000</v>
      </c>
      <c r="E2009" s="157">
        <v>0.99541838100000002</v>
      </c>
      <c r="F2009" s="14">
        <v>418075.72</v>
      </c>
      <c r="G2009" s="12">
        <v>0</v>
      </c>
      <c r="H2009" s="10"/>
      <c r="I2009" s="10"/>
    </row>
    <row r="2010" spans="1:9">
      <c r="A2010" s="10" t="s">
        <v>2972</v>
      </c>
      <c r="B2010" s="124" t="s">
        <v>618</v>
      </c>
      <c r="C2010" s="124" t="s">
        <v>465</v>
      </c>
      <c r="D2010" s="12">
        <v>22300000</v>
      </c>
      <c r="E2010" s="82">
        <v>0.9364979766</v>
      </c>
      <c r="F2010" s="14">
        <v>20883904.879999999</v>
      </c>
      <c r="G2010" s="14">
        <v>0.03</v>
      </c>
      <c r="H2010" s="10"/>
      <c r="I2010" s="10"/>
    </row>
    <row r="2011" spans="1:9">
      <c r="A2011" s="10" t="s">
        <v>2973</v>
      </c>
      <c r="B2011" s="124" t="s">
        <v>578</v>
      </c>
      <c r="C2011" s="124" t="s">
        <v>465</v>
      </c>
      <c r="D2011" s="12">
        <v>25000000</v>
      </c>
      <c r="E2011" s="82">
        <v>0.99493000880000004</v>
      </c>
      <c r="F2011" s="14">
        <v>24873250.219999999</v>
      </c>
      <c r="G2011" s="14">
        <v>0.03</v>
      </c>
      <c r="H2011" s="10"/>
      <c r="I2011" s="10"/>
    </row>
    <row r="2012" spans="1:9">
      <c r="A2012" s="10" t="s">
        <v>2974</v>
      </c>
      <c r="B2012" s="124" t="s">
        <v>461</v>
      </c>
      <c r="C2012" s="124" t="s">
        <v>465</v>
      </c>
      <c r="D2012" s="12">
        <v>15000000</v>
      </c>
      <c r="E2012" s="82">
        <v>0.97617075809999998</v>
      </c>
      <c r="F2012" s="14">
        <v>14642561.369999999</v>
      </c>
      <c r="G2012" s="14">
        <v>0.02</v>
      </c>
      <c r="H2012" s="10"/>
      <c r="I2012" s="10"/>
    </row>
    <row r="2013" spans="1:9">
      <c r="A2013" s="10" t="s">
        <v>2975</v>
      </c>
      <c r="B2013" s="124" t="s">
        <v>505</v>
      </c>
      <c r="C2013" s="124" t="s">
        <v>465</v>
      </c>
      <c r="D2013" s="12">
        <v>18626000</v>
      </c>
      <c r="E2013" s="157">
        <v>0.99408997899999996</v>
      </c>
      <c r="F2013" s="14">
        <v>18515919.949999999</v>
      </c>
      <c r="G2013" s="14">
        <v>0.02</v>
      </c>
      <c r="H2013" s="10"/>
      <c r="I2013" s="10"/>
    </row>
    <row r="2014" spans="1:9">
      <c r="A2014" s="10" t="s">
        <v>2976</v>
      </c>
      <c r="B2014" s="124" t="s">
        <v>578</v>
      </c>
      <c r="C2014" s="124" t="s">
        <v>465</v>
      </c>
      <c r="D2014" s="12">
        <v>8200000</v>
      </c>
      <c r="E2014" s="82">
        <v>0.99493000850000002</v>
      </c>
      <c r="F2014" s="14">
        <v>8158426.0700000003</v>
      </c>
      <c r="G2014" s="14">
        <v>0.01</v>
      </c>
      <c r="H2014" s="10"/>
      <c r="I2014" s="10"/>
    </row>
    <row r="2015" spans="1:9">
      <c r="A2015" s="10" t="s">
        <v>2977</v>
      </c>
      <c r="B2015" s="124" t="s">
        <v>578</v>
      </c>
      <c r="C2015" s="124" t="s">
        <v>465</v>
      </c>
      <c r="D2015" s="12">
        <v>6400000</v>
      </c>
      <c r="E2015" s="82">
        <v>0.99493000789999997</v>
      </c>
      <c r="F2015" s="14">
        <v>6367552.0499999998</v>
      </c>
      <c r="G2015" s="14">
        <v>0.01</v>
      </c>
      <c r="H2015" s="10"/>
      <c r="I2015" s="10"/>
    </row>
    <row r="2016" spans="1:9">
      <c r="A2016" s="10" t="s">
        <v>2978</v>
      </c>
      <c r="B2016" s="124" t="s">
        <v>578</v>
      </c>
      <c r="C2016" s="124" t="s">
        <v>465</v>
      </c>
      <c r="D2016" s="14">
        <v>8674593.4800000004</v>
      </c>
      <c r="E2016" s="82">
        <v>0.99493000789999997</v>
      </c>
      <c r="F2016" s="14">
        <v>8630613.3599999994</v>
      </c>
      <c r="G2016" s="14">
        <v>0.01</v>
      </c>
      <c r="H2016" s="10"/>
      <c r="I2016" s="10"/>
    </row>
    <row r="2017" spans="1:9">
      <c r="A2017" s="10" t="s">
        <v>2979</v>
      </c>
      <c r="B2017" s="124" t="s">
        <v>578</v>
      </c>
      <c r="C2017" s="124" t="s">
        <v>465</v>
      </c>
      <c r="D2017" s="12">
        <v>4641854</v>
      </c>
      <c r="E2017" s="82">
        <v>0.99493000850000002</v>
      </c>
      <c r="F2017" s="14">
        <v>4618319.84</v>
      </c>
      <c r="G2017" s="14">
        <v>0.01</v>
      </c>
      <c r="H2017" s="10"/>
      <c r="I2017" s="10"/>
    </row>
    <row r="2018" spans="1:9">
      <c r="A2018" s="10" t="s">
        <v>2980</v>
      </c>
      <c r="B2018" s="124" t="s">
        <v>746</v>
      </c>
      <c r="C2018" s="124" t="s">
        <v>465</v>
      </c>
      <c r="D2018" s="12">
        <v>12500000</v>
      </c>
      <c r="E2018" s="82">
        <v>0.98782143280000001</v>
      </c>
      <c r="F2018" s="14">
        <v>12347767.91</v>
      </c>
      <c r="G2018" s="14">
        <v>0.02</v>
      </c>
      <c r="H2018" s="10"/>
      <c r="I2018" s="10"/>
    </row>
    <row r="2019" spans="1:9">
      <c r="A2019" s="10" t="s">
        <v>2981</v>
      </c>
      <c r="B2019" s="124" t="s">
        <v>513</v>
      </c>
      <c r="C2019" s="124" t="s">
        <v>465</v>
      </c>
      <c r="D2019" s="12">
        <v>12500000</v>
      </c>
      <c r="E2019" s="82">
        <v>0.98542124720000002</v>
      </c>
      <c r="F2019" s="14">
        <v>12317765.59</v>
      </c>
      <c r="G2019" s="14">
        <v>0.02</v>
      </c>
      <c r="H2019" s="10"/>
      <c r="I2019" s="10"/>
    </row>
    <row r="2020" spans="1:9">
      <c r="A2020" s="10" t="s">
        <v>2982</v>
      </c>
      <c r="B2020" s="124" t="s">
        <v>661</v>
      </c>
      <c r="C2020" s="124" t="s">
        <v>465</v>
      </c>
      <c r="D2020" s="12">
        <v>150000000</v>
      </c>
      <c r="E2020" s="82">
        <v>0.95825676029999995</v>
      </c>
      <c r="F2020" s="14">
        <v>143738514.05000001</v>
      </c>
      <c r="G2020" s="14">
        <v>0.18</v>
      </c>
      <c r="H2020" s="10"/>
      <c r="I2020" s="10"/>
    </row>
    <row r="2021" spans="1:9">
      <c r="A2021" s="10" t="s">
        <v>2983</v>
      </c>
      <c r="B2021" s="124" t="s">
        <v>573</v>
      </c>
      <c r="C2021" s="124" t="s">
        <v>465</v>
      </c>
      <c r="D2021" s="12">
        <v>150000000</v>
      </c>
      <c r="E2021" s="82">
        <v>0.95750276840000004</v>
      </c>
      <c r="F2021" s="14">
        <v>143625415.25999999</v>
      </c>
      <c r="G2021" s="14">
        <v>0.18</v>
      </c>
      <c r="H2021" s="10"/>
      <c r="I2021" s="10"/>
    </row>
    <row r="2022" spans="1:9">
      <c r="A2022" s="10" t="s">
        <v>2984</v>
      </c>
      <c r="B2022" s="124" t="s">
        <v>578</v>
      </c>
      <c r="C2022" s="124" t="s">
        <v>465</v>
      </c>
      <c r="D2022" s="14">
        <v>363101.32</v>
      </c>
      <c r="E2022" s="82">
        <v>0.99460467389999996</v>
      </c>
      <c r="F2022" s="14">
        <v>361142.27</v>
      </c>
      <c r="G2022" s="12">
        <v>0</v>
      </c>
      <c r="H2022" s="10"/>
      <c r="I2022" s="10"/>
    </row>
    <row r="2023" spans="1:9">
      <c r="A2023" s="10" t="s">
        <v>2991</v>
      </c>
      <c r="B2023" s="124" t="s">
        <v>587</v>
      </c>
      <c r="C2023" s="124" t="s">
        <v>508</v>
      </c>
      <c r="D2023" s="12">
        <v>5000000</v>
      </c>
      <c r="E2023" s="82">
        <v>0.95399908069999995</v>
      </c>
      <c r="F2023" s="153">
        <v>4769995.4000000004</v>
      </c>
      <c r="G2023" s="14">
        <v>0.01</v>
      </c>
      <c r="H2023" s="10"/>
      <c r="I2023" s="10"/>
    </row>
    <row r="2024" spans="1:9">
      <c r="A2024" s="10" t="s">
        <v>2992</v>
      </c>
      <c r="B2024" s="124" t="s">
        <v>573</v>
      </c>
      <c r="C2024" s="124" t="s">
        <v>508</v>
      </c>
      <c r="D2024" s="12">
        <v>5000000</v>
      </c>
      <c r="E2024" s="82">
        <v>0.95479771540000002</v>
      </c>
      <c r="F2024" s="14">
        <v>4773988.58</v>
      </c>
      <c r="G2024" s="14">
        <v>0.01</v>
      </c>
      <c r="H2024" s="10"/>
      <c r="I2024" s="10"/>
    </row>
    <row r="2025" spans="1:9">
      <c r="A2025" s="10" t="s">
        <v>2993</v>
      </c>
      <c r="B2025" s="124" t="s">
        <v>636</v>
      </c>
      <c r="C2025" s="124" t="s">
        <v>508</v>
      </c>
      <c r="D2025" s="12">
        <v>85000000</v>
      </c>
      <c r="E2025" s="82">
        <v>0.93794184570000005</v>
      </c>
      <c r="F2025" s="14">
        <v>79725056.879999995</v>
      </c>
      <c r="G2025" s="153">
        <v>0.1</v>
      </c>
      <c r="H2025" s="10"/>
      <c r="I2025" s="10"/>
    </row>
    <row r="2026" spans="1:9">
      <c r="A2026" s="10" t="s">
        <v>2994</v>
      </c>
      <c r="B2026" s="124" t="s">
        <v>415</v>
      </c>
      <c r="C2026" s="124" t="s">
        <v>508</v>
      </c>
      <c r="D2026" s="12">
        <v>6500000</v>
      </c>
      <c r="E2026" s="157">
        <v>0.98462375099999999</v>
      </c>
      <c r="F2026" s="14">
        <v>6400054.3799999999</v>
      </c>
      <c r="G2026" s="14">
        <v>0.01</v>
      </c>
      <c r="H2026" s="10"/>
      <c r="I2026" s="10"/>
    </row>
    <row r="2027" spans="1:9">
      <c r="A2027" s="10" t="s">
        <v>2995</v>
      </c>
      <c r="B2027" s="124" t="s">
        <v>510</v>
      </c>
      <c r="C2027" s="124" t="s">
        <v>508</v>
      </c>
      <c r="D2027" s="12">
        <v>6500000</v>
      </c>
      <c r="E2027" s="82">
        <v>0.98303273049999995</v>
      </c>
      <c r="F2027" s="14">
        <v>6389712.75</v>
      </c>
      <c r="G2027" s="14">
        <v>0.01</v>
      </c>
      <c r="H2027" s="10"/>
      <c r="I2027" s="10"/>
    </row>
    <row r="2028" spans="1:9">
      <c r="A2028" s="10" t="s">
        <v>2996</v>
      </c>
      <c r="B2028" s="124" t="s">
        <v>746</v>
      </c>
      <c r="C2028" s="124" t="s">
        <v>508</v>
      </c>
      <c r="D2028" s="14">
        <v>42421940.549999997</v>
      </c>
      <c r="E2028" s="157">
        <v>0.98782145200000004</v>
      </c>
      <c r="F2028" s="14">
        <v>41905302.909999996</v>
      </c>
      <c r="G2028" s="14">
        <v>0.05</v>
      </c>
      <c r="H2028" s="10"/>
      <c r="I2028" s="10"/>
    </row>
    <row r="2029" spans="1:9">
      <c r="A2029" s="10" t="s">
        <v>2997</v>
      </c>
      <c r="B2029" s="124" t="s">
        <v>461</v>
      </c>
      <c r="C2029" s="124" t="s">
        <v>508</v>
      </c>
      <c r="D2029" s="153">
        <v>27820501.5</v>
      </c>
      <c r="E2029" s="82">
        <v>0.97829004230000005</v>
      </c>
      <c r="F2029" s="14">
        <v>27216519.59</v>
      </c>
      <c r="G2029" s="14">
        <v>0.03</v>
      </c>
      <c r="H2029" s="10"/>
      <c r="I2029" s="10"/>
    </row>
    <row r="2030" spans="1:9">
      <c r="A2030" s="10" t="s">
        <v>2998</v>
      </c>
      <c r="B2030" s="124" t="s">
        <v>925</v>
      </c>
      <c r="C2030" s="124" t="s">
        <v>508</v>
      </c>
      <c r="D2030" s="12">
        <v>100000000</v>
      </c>
      <c r="E2030" s="82">
        <v>0.96356916810000004</v>
      </c>
      <c r="F2030" s="14">
        <v>96356916.810000002</v>
      </c>
      <c r="G2030" s="14">
        <v>0.12</v>
      </c>
      <c r="H2030" s="10"/>
      <c r="I2030" s="10"/>
    </row>
    <row r="2031" spans="1:9">
      <c r="A2031" s="10" t="s">
        <v>2999</v>
      </c>
      <c r="B2031" s="124" t="s">
        <v>645</v>
      </c>
      <c r="C2031" s="124" t="s">
        <v>508</v>
      </c>
      <c r="D2031" s="12">
        <v>18667000</v>
      </c>
      <c r="E2031" s="82">
        <v>0.97105465339999997</v>
      </c>
      <c r="F2031" s="14">
        <v>18126677.219999999</v>
      </c>
      <c r="G2031" s="14">
        <v>0.02</v>
      </c>
      <c r="H2031" s="10"/>
      <c r="I2031" s="10"/>
    </row>
    <row r="2032" spans="1:9">
      <c r="A2032" s="10" t="s">
        <v>3000</v>
      </c>
      <c r="B2032" s="124" t="s">
        <v>746</v>
      </c>
      <c r="C2032" s="124" t="s">
        <v>508</v>
      </c>
      <c r="D2032" s="12">
        <v>485700</v>
      </c>
      <c r="E2032" s="82">
        <v>0.98782145359999995</v>
      </c>
      <c r="F2032" s="14">
        <v>479784.88</v>
      </c>
      <c r="G2032" s="12">
        <v>0</v>
      </c>
      <c r="H2032" s="10"/>
      <c r="I2032" s="10"/>
    </row>
    <row r="2033" spans="1:9">
      <c r="A2033" s="10" t="s">
        <v>3001</v>
      </c>
      <c r="B2033" s="124" t="s">
        <v>995</v>
      </c>
      <c r="C2033" s="124" t="s">
        <v>508</v>
      </c>
      <c r="D2033" s="14">
        <v>2624182.96</v>
      </c>
      <c r="E2033" s="82">
        <v>0.91985899869999999</v>
      </c>
      <c r="F2033" s="14">
        <v>2413878.31</v>
      </c>
      <c r="G2033" s="12">
        <v>0</v>
      </c>
      <c r="H2033" s="10"/>
      <c r="I2033" s="10"/>
    </row>
    <row r="2034" spans="1:9">
      <c r="A2034" s="10" t="s">
        <v>3002</v>
      </c>
      <c r="B2034" s="124" t="s">
        <v>746</v>
      </c>
      <c r="C2034" s="124" t="s">
        <v>508</v>
      </c>
      <c r="D2034" s="14">
        <v>2624182.96</v>
      </c>
      <c r="E2034" s="82">
        <v>0.98782145519999998</v>
      </c>
      <c r="F2034" s="14">
        <v>2592224.23</v>
      </c>
      <c r="G2034" s="12">
        <v>0</v>
      </c>
      <c r="H2034" s="10"/>
      <c r="I2034" s="10"/>
    </row>
    <row r="2035" spans="1:9">
      <c r="A2035" s="10" t="s">
        <v>3003</v>
      </c>
      <c r="B2035" s="124" t="s">
        <v>625</v>
      </c>
      <c r="C2035" s="124" t="s">
        <v>508</v>
      </c>
      <c r="D2035" s="153">
        <v>525551.4</v>
      </c>
      <c r="E2035" s="82">
        <v>0.99917876729999999</v>
      </c>
      <c r="F2035" s="153">
        <v>525119.80000000005</v>
      </c>
      <c r="G2035" s="12">
        <v>0</v>
      </c>
      <c r="H2035" s="10"/>
      <c r="I2035" s="10"/>
    </row>
    <row r="2036" spans="1:9">
      <c r="A2036" s="10" t="s">
        <v>3004</v>
      </c>
      <c r="B2036" s="124" t="s">
        <v>645</v>
      </c>
      <c r="C2036" s="124" t="s">
        <v>508</v>
      </c>
      <c r="D2036" s="153">
        <v>525551.4</v>
      </c>
      <c r="E2036" s="82">
        <v>0.97281455269999995</v>
      </c>
      <c r="F2036" s="14">
        <v>511264.05</v>
      </c>
      <c r="G2036" s="12">
        <v>0</v>
      </c>
      <c r="H2036" s="10"/>
      <c r="I2036" s="10"/>
    </row>
    <row r="2037" spans="1:9">
      <c r="A2037" s="10" t="s">
        <v>3005</v>
      </c>
      <c r="B2037" s="124" t="s">
        <v>459</v>
      </c>
      <c r="C2037" s="124" t="s">
        <v>508</v>
      </c>
      <c r="D2037" s="14">
        <v>239396.87</v>
      </c>
      <c r="E2037" s="82">
        <v>0.9838275246</v>
      </c>
      <c r="F2037" s="14">
        <v>235525.23</v>
      </c>
      <c r="G2037" s="12">
        <v>0</v>
      </c>
      <c r="H2037" s="10"/>
      <c r="I2037" s="10"/>
    </row>
    <row r="2038" spans="1:9">
      <c r="A2038" s="10" t="s">
        <v>3006</v>
      </c>
      <c r="B2038" s="124" t="s">
        <v>456</v>
      </c>
      <c r="C2038" s="124" t="s">
        <v>508</v>
      </c>
      <c r="D2038" s="12">
        <v>5700000</v>
      </c>
      <c r="E2038" s="82">
        <v>0.98750079310000005</v>
      </c>
      <c r="F2038" s="14">
        <v>5628754.5199999996</v>
      </c>
      <c r="G2038" s="14">
        <v>0.01</v>
      </c>
      <c r="H2038" s="10"/>
      <c r="I2038" s="10"/>
    </row>
    <row r="2039" spans="1:9">
      <c r="A2039" s="10" t="s">
        <v>3007</v>
      </c>
      <c r="B2039" s="124" t="s">
        <v>995</v>
      </c>
      <c r="C2039" s="124" t="s">
        <v>508</v>
      </c>
      <c r="D2039" s="12">
        <v>2500000</v>
      </c>
      <c r="E2039" s="82">
        <v>0.91254576509999996</v>
      </c>
      <c r="F2039" s="14">
        <v>2281364.41</v>
      </c>
      <c r="G2039" s="12">
        <v>0</v>
      </c>
      <c r="H2039" s="10"/>
      <c r="I2039" s="10"/>
    </row>
    <row r="2040" spans="1:9">
      <c r="A2040" s="10" t="s">
        <v>3008</v>
      </c>
      <c r="B2040" s="124" t="s">
        <v>2099</v>
      </c>
      <c r="C2040" s="124" t="s">
        <v>508</v>
      </c>
      <c r="D2040" s="12">
        <v>2500000</v>
      </c>
      <c r="E2040" s="157">
        <v>0.90730583300000001</v>
      </c>
      <c r="F2040" s="14">
        <v>2268264.58</v>
      </c>
      <c r="G2040" s="12">
        <v>0</v>
      </c>
      <c r="H2040" s="10"/>
      <c r="I2040" s="10"/>
    </row>
    <row r="2041" spans="1:9">
      <c r="A2041" s="10" t="s">
        <v>3009</v>
      </c>
      <c r="B2041" s="124" t="s">
        <v>1446</v>
      </c>
      <c r="C2041" s="124" t="s">
        <v>508</v>
      </c>
      <c r="D2041" s="12">
        <v>2500000</v>
      </c>
      <c r="E2041" s="82">
        <v>0.90212574069999996</v>
      </c>
      <c r="F2041" s="14">
        <v>2255314.35</v>
      </c>
      <c r="G2041" s="12">
        <v>0</v>
      </c>
      <c r="H2041" s="10"/>
      <c r="I2041" s="10"/>
    </row>
    <row r="2042" spans="1:9">
      <c r="A2042" s="10" t="s">
        <v>3010</v>
      </c>
      <c r="B2042" s="124" t="s">
        <v>1698</v>
      </c>
      <c r="C2042" s="124" t="s">
        <v>508</v>
      </c>
      <c r="D2042" s="12">
        <v>2500000</v>
      </c>
      <c r="E2042" s="82">
        <v>0.93968028390000002</v>
      </c>
      <c r="F2042" s="14">
        <v>2349200.71</v>
      </c>
      <c r="G2042" s="12">
        <v>0</v>
      </c>
      <c r="H2042" s="10"/>
      <c r="I2042" s="10"/>
    </row>
    <row r="2043" spans="1:9">
      <c r="A2043" s="10" t="s">
        <v>3011</v>
      </c>
      <c r="B2043" s="124" t="s">
        <v>618</v>
      </c>
      <c r="C2043" s="124" t="s">
        <v>508</v>
      </c>
      <c r="D2043" s="12">
        <v>2500000</v>
      </c>
      <c r="E2043" s="157">
        <v>0.93649776399999995</v>
      </c>
      <c r="F2043" s="14">
        <v>2341244.41</v>
      </c>
      <c r="G2043" s="12">
        <v>0</v>
      </c>
      <c r="H2043" s="10"/>
      <c r="I2043" s="10"/>
    </row>
    <row r="2044" spans="1:9">
      <c r="A2044" s="10" t="s">
        <v>3012</v>
      </c>
      <c r="B2044" s="124" t="s">
        <v>1113</v>
      </c>
      <c r="C2044" s="124" t="s">
        <v>508</v>
      </c>
      <c r="D2044" s="12">
        <v>2500000</v>
      </c>
      <c r="E2044" s="82">
        <v>0.9201372162</v>
      </c>
      <c r="F2044" s="14">
        <v>2300343.04</v>
      </c>
      <c r="G2044" s="12">
        <v>0</v>
      </c>
      <c r="H2044" s="10"/>
      <c r="I2044" s="10"/>
    </row>
    <row r="2045" spans="1:9">
      <c r="A2045" s="10" t="s">
        <v>3013</v>
      </c>
      <c r="B2045" s="124" t="s">
        <v>2704</v>
      </c>
      <c r="C2045" s="124" t="s">
        <v>508</v>
      </c>
      <c r="D2045" s="12">
        <v>2500000</v>
      </c>
      <c r="E2045" s="82">
        <v>0.91860893170000002</v>
      </c>
      <c r="F2045" s="14">
        <v>2296522.33</v>
      </c>
      <c r="G2045" s="12">
        <v>0</v>
      </c>
      <c r="H2045" s="10"/>
      <c r="I2045" s="10"/>
    </row>
    <row r="2046" spans="1:9">
      <c r="A2046" s="10" t="s">
        <v>3014</v>
      </c>
      <c r="B2046" s="124" t="s">
        <v>1525</v>
      </c>
      <c r="C2046" s="124" t="s">
        <v>508</v>
      </c>
      <c r="D2046" s="12">
        <v>2500000</v>
      </c>
      <c r="E2046" s="82">
        <v>0.91784657209999998</v>
      </c>
      <c r="F2046" s="14">
        <v>2294616.4300000002</v>
      </c>
      <c r="G2046" s="12">
        <v>0</v>
      </c>
      <c r="H2046" s="10"/>
      <c r="I2046" s="10"/>
    </row>
    <row r="2047" spans="1:9">
      <c r="A2047" s="10" t="s">
        <v>3015</v>
      </c>
      <c r="B2047" s="124" t="s">
        <v>616</v>
      </c>
      <c r="C2047" s="124" t="s">
        <v>508</v>
      </c>
      <c r="D2047" s="12">
        <v>2500000</v>
      </c>
      <c r="E2047" s="82">
        <v>0.91329934069999996</v>
      </c>
      <c r="F2047" s="14">
        <v>2283248.35</v>
      </c>
      <c r="G2047" s="12">
        <v>0</v>
      </c>
      <c r="H2047" s="10"/>
      <c r="I2047" s="10"/>
    </row>
    <row r="2048" spans="1:9">
      <c r="A2048" s="10" t="s">
        <v>3016</v>
      </c>
      <c r="B2048" s="124" t="s">
        <v>1108</v>
      </c>
      <c r="C2048" s="124" t="s">
        <v>508</v>
      </c>
      <c r="D2048" s="12">
        <v>2500000</v>
      </c>
      <c r="E2048" s="82">
        <v>0.9087967039</v>
      </c>
      <c r="F2048" s="14">
        <v>2271991.7599999998</v>
      </c>
      <c r="G2048" s="12">
        <v>0</v>
      </c>
      <c r="H2048" s="10"/>
      <c r="I2048" s="10"/>
    </row>
    <row r="2049" spans="1:9">
      <c r="A2049" s="10" t="s">
        <v>3017</v>
      </c>
      <c r="B2049" s="124" t="s">
        <v>974</v>
      </c>
      <c r="C2049" s="124" t="s">
        <v>508</v>
      </c>
      <c r="D2049" s="12">
        <v>2500000</v>
      </c>
      <c r="E2049" s="157">
        <v>0.92552684799999996</v>
      </c>
      <c r="F2049" s="14">
        <v>2313817.12</v>
      </c>
      <c r="G2049" s="12">
        <v>0</v>
      </c>
      <c r="H2049" s="10"/>
      <c r="I2049" s="10"/>
    </row>
    <row r="2050" spans="1:9">
      <c r="A2050" s="10" t="s">
        <v>3018</v>
      </c>
      <c r="B2050" s="124" t="s">
        <v>741</v>
      </c>
      <c r="C2050" s="124" t="s">
        <v>508</v>
      </c>
      <c r="D2050" s="12">
        <v>2500000</v>
      </c>
      <c r="E2050" s="82">
        <v>0.92398062319999996</v>
      </c>
      <c r="F2050" s="14">
        <v>2309951.56</v>
      </c>
      <c r="G2050" s="12">
        <v>0</v>
      </c>
      <c r="H2050" s="10"/>
      <c r="I2050" s="10"/>
    </row>
    <row r="2051" spans="1:9">
      <c r="A2051" s="10" t="s">
        <v>3019</v>
      </c>
      <c r="B2051" s="124" t="s">
        <v>1781</v>
      </c>
      <c r="C2051" s="124" t="s">
        <v>508</v>
      </c>
      <c r="D2051" s="12">
        <v>2500000</v>
      </c>
      <c r="E2051" s="82">
        <v>0.94047935969999996</v>
      </c>
      <c r="F2051" s="153">
        <v>2351198.4</v>
      </c>
      <c r="G2051" s="12">
        <v>0</v>
      </c>
      <c r="H2051" s="10"/>
      <c r="I2051" s="10"/>
    </row>
    <row r="2052" spans="1:9">
      <c r="A2052" s="10" t="s">
        <v>3020</v>
      </c>
      <c r="B2052" s="124" t="s">
        <v>429</v>
      </c>
      <c r="C2052" s="124" t="s">
        <v>508</v>
      </c>
      <c r="D2052" s="12">
        <v>2500000</v>
      </c>
      <c r="E2052" s="82">
        <v>0.93491470050000003</v>
      </c>
      <c r="F2052" s="14">
        <v>2337286.75</v>
      </c>
      <c r="G2052" s="12">
        <v>0</v>
      </c>
      <c r="H2052" s="10"/>
      <c r="I2052" s="10"/>
    </row>
    <row r="2053" spans="1:9">
      <c r="A2053" s="10" t="s">
        <v>3021</v>
      </c>
      <c r="B2053" s="124" t="s">
        <v>2354</v>
      </c>
      <c r="C2053" s="124" t="s">
        <v>508</v>
      </c>
      <c r="D2053" s="12">
        <v>2500000</v>
      </c>
      <c r="E2053" s="82">
        <v>0.9294155086</v>
      </c>
      <c r="F2053" s="14">
        <v>2323538.77</v>
      </c>
      <c r="G2053" s="12">
        <v>0</v>
      </c>
      <c r="H2053" s="10"/>
      <c r="I2053" s="10"/>
    </row>
    <row r="2054" spans="1:9">
      <c r="A2054" s="10" t="s">
        <v>3022</v>
      </c>
      <c r="B2054" s="124" t="s">
        <v>2152</v>
      </c>
      <c r="C2054" s="124" t="s">
        <v>508</v>
      </c>
      <c r="D2054" s="12">
        <v>2500000</v>
      </c>
      <c r="E2054" s="82">
        <v>0.89919210459999999</v>
      </c>
      <c r="F2054" s="14">
        <v>2247980.2599999998</v>
      </c>
      <c r="G2054" s="12">
        <v>0</v>
      </c>
      <c r="H2054" s="10"/>
      <c r="I2054" s="10"/>
    </row>
    <row r="2055" spans="1:9">
      <c r="A2055" s="10" t="s">
        <v>3023</v>
      </c>
      <c r="B2055" s="124" t="s">
        <v>587</v>
      </c>
      <c r="C2055" s="124" t="s">
        <v>508</v>
      </c>
      <c r="D2055" s="14">
        <v>1129289.6499999999</v>
      </c>
      <c r="E2055" s="82">
        <v>0.95262963739999995</v>
      </c>
      <c r="F2055" s="14">
        <v>1075794.79</v>
      </c>
      <c r="G2055" s="12">
        <v>0</v>
      </c>
      <c r="H2055" s="10"/>
      <c r="I2055" s="10"/>
    </row>
    <row r="2056" spans="1:9">
      <c r="A2056" s="10" t="s">
        <v>3024</v>
      </c>
      <c r="B2056" s="124" t="s">
        <v>459</v>
      </c>
      <c r="C2056" s="124" t="s">
        <v>508</v>
      </c>
      <c r="D2056" s="153">
        <v>388235.2</v>
      </c>
      <c r="E2056" s="82">
        <v>0.9822389883</v>
      </c>
      <c r="F2056" s="14">
        <v>381339.75</v>
      </c>
      <c r="G2056" s="12">
        <v>0</v>
      </c>
      <c r="H2056" s="10"/>
      <c r="I2056" s="10"/>
    </row>
    <row r="2057" spans="1:9">
      <c r="A2057" s="10" t="s">
        <v>3025</v>
      </c>
      <c r="B2057" s="124" t="s">
        <v>556</v>
      </c>
      <c r="C2057" s="124" t="s">
        <v>508</v>
      </c>
      <c r="D2057" s="14">
        <v>10990958.880000001</v>
      </c>
      <c r="E2057" s="82">
        <v>0.96257831370000002</v>
      </c>
      <c r="F2057" s="14">
        <v>10579658.66</v>
      </c>
      <c r="G2057" s="14">
        <v>0.01</v>
      </c>
      <c r="H2057" s="10"/>
      <c r="I2057" s="10"/>
    </row>
    <row r="2058" spans="1:9">
      <c r="A2058" s="10" t="s">
        <v>3026</v>
      </c>
      <c r="B2058" s="124" t="s">
        <v>746</v>
      </c>
      <c r="C2058" s="124" t="s">
        <v>508</v>
      </c>
      <c r="D2058" s="14">
        <v>4394673.9800000004</v>
      </c>
      <c r="E2058" s="157">
        <v>0.98782145399999999</v>
      </c>
      <c r="F2058" s="14">
        <v>4341153.24</v>
      </c>
      <c r="G2058" s="14">
        <v>0.01</v>
      </c>
      <c r="H2058" s="10"/>
      <c r="I2058" s="10"/>
    </row>
    <row r="2059" spans="1:9">
      <c r="A2059" s="10" t="s">
        <v>3027</v>
      </c>
      <c r="B2059" s="124" t="s">
        <v>419</v>
      </c>
      <c r="C2059" s="124" t="s">
        <v>508</v>
      </c>
      <c r="D2059" s="12">
        <v>4396000</v>
      </c>
      <c r="E2059" s="82">
        <v>0.96204542719999997</v>
      </c>
      <c r="F2059" s="153">
        <v>4229151.7</v>
      </c>
      <c r="G2059" s="14">
        <v>0.01</v>
      </c>
      <c r="H2059" s="10"/>
      <c r="I2059" s="10"/>
    </row>
    <row r="2060" spans="1:9">
      <c r="A2060" s="10" t="s">
        <v>3028</v>
      </c>
      <c r="B2060" s="124" t="s">
        <v>2354</v>
      </c>
      <c r="C2060" s="124" t="s">
        <v>508</v>
      </c>
      <c r="D2060" s="12">
        <v>4396000</v>
      </c>
      <c r="E2060" s="82">
        <v>0.93541786940000005</v>
      </c>
      <c r="F2060" s="14">
        <v>4112096.95</v>
      </c>
      <c r="G2060" s="14">
        <v>0.01</v>
      </c>
      <c r="H2060" s="10"/>
      <c r="I2060" s="10"/>
    </row>
    <row r="2061" spans="1:9">
      <c r="A2061" s="10" t="s">
        <v>3029</v>
      </c>
      <c r="B2061" s="124" t="s">
        <v>762</v>
      </c>
      <c r="C2061" s="124" t="s">
        <v>508</v>
      </c>
      <c r="D2061" s="12">
        <v>10000000</v>
      </c>
      <c r="E2061" s="82">
        <v>0.94773214780000004</v>
      </c>
      <c r="F2061" s="14">
        <v>9477321.4800000004</v>
      </c>
      <c r="G2061" s="14">
        <v>0.01</v>
      </c>
      <c r="H2061" s="10"/>
      <c r="I2061" s="10"/>
    </row>
    <row r="2062" spans="1:9">
      <c r="A2062" s="10" t="s">
        <v>3030</v>
      </c>
      <c r="B2062" s="124" t="s">
        <v>456</v>
      </c>
      <c r="C2062" s="124" t="s">
        <v>508</v>
      </c>
      <c r="D2062" s="12">
        <v>1826115</v>
      </c>
      <c r="E2062" s="82">
        <v>0.98750079270000002</v>
      </c>
      <c r="F2062" s="14">
        <v>1803290.01</v>
      </c>
      <c r="G2062" s="12">
        <v>0</v>
      </c>
      <c r="H2062" s="10"/>
      <c r="I2062" s="10"/>
    </row>
    <row r="2063" spans="1:9">
      <c r="A2063" s="10" t="s">
        <v>3031</v>
      </c>
      <c r="B2063" s="124" t="s">
        <v>762</v>
      </c>
      <c r="C2063" s="124" t="s">
        <v>508</v>
      </c>
      <c r="D2063" s="12">
        <v>10000000</v>
      </c>
      <c r="E2063" s="82">
        <v>0.94773214780000004</v>
      </c>
      <c r="F2063" s="14">
        <v>9477321.4800000004</v>
      </c>
      <c r="G2063" s="14">
        <v>0.01</v>
      </c>
      <c r="H2063" s="10"/>
      <c r="I2063" s="10"/>
    </row>
    <row r="2064" spans="1:9">
      <c r="A2064" s="10" t="s">
        <v>3032</v>
      </c>
      <c r="B2064" s="124" t="s">
        <v>587</v>
      </c>
      <c r="C2064" s="124" t="s">
        <v>508</v>
      </c>
      <c r="D2064" s="12">
        <v>150000000</v>
      </c>
      <c r="E2064" s="82">
        <v>0.95674978960000001</v>
      </c>
      <c r="F2064" s="14">
        <v>143512468.44</v>
      </c>
      <c r="G2064" s="14">
        <v>0.18</v>
      </c>
      <c r="H2064" s="10"/>
      <c r="I2064" s="10"/>
    </row>
    <row r="2065" spans="1:9">
      <c r="A2065" s="10" t="s">
        <v>3033</v>
      </c>
      <c r="B2065" s="124" t="s">
        <v>627</v>
      </c>
      <c r="C2065" s="124" t="s">
        <v>508</v>
      </c>
      <c r="D2065" s="12">
        <v>150000000</v>
      </c>
      <c r="E2065" s="82">
        <v>0.95300264980000005</v>
      </c>
      <c r="F2065" s="14">
        <v>142950397.47</v>
      </c>
      <c r="G2065" s="14">
        <v>0.17</v>
      </c>
      <c r="H2065" s="10"/>
      <c r="I2065" s="10"/>
    </row>
    <row r="2066" spans="1:9">
      <c r="A2066" s="10" t="s">
        <v>3034</v>
      </c>
      <c r="B2066" s="124" t="s">
        <v>625</v>
      </c>
      <c r="C2066" s="124" t="s">
        <v>508</v>
      </c>
      <c r="D2066" s="14">
        <v>806741321.13</v>
      </c>
      <c r="E2066" s="82">
        <v>0.99917876319999999</v>
      </c>
      <c r="F2066" s="14">
        <v>806078795.47000003</v>
      </c>
      <c r="G2066" s="14">
        <v>0.99</v>
      </c>
      <c r="H2066" s="10"/>
      <c r="I2066" s="10"/>
    </row>
    <row r="2067" spans="1:9">
      <c r="A2067" s="10" t="s">
        <v>3035</v>
      </c>
      <c r="B2067" s="124" t="s">
        <v>1461</v>
      </c>
      <c r="C2067" s="124" t="s">
        <v>508</v>
      </c>
      <c r="D2067" s="14">
        <v>231663.18</v>
      </c>
      <c r="E2067" s="82">
        <v>0.93758041270000003</v>
      </c>
      <c r="F2067" s="14">
        <v>217202.86</v>
      </c>
      <c r="G2067" s="12">
        <v>0</v>
      </c>
      <c r="H2067" s="10"/>
      <c r="I2067" s="10"/>
    </row>
    <row r="2068" spans="1:9">
      <c r="A2068" s="10" t="s">
        <v>3036</v>
      </c>
      <c r="B2068" s="124" t="s">
        <v>1461</v>
      </c>
      <c r="C2068" s="124" t="s">
        <v>508</v>
      </c>
      <c r="D2068" s="14">
        <v>231663.18</v>
      </c>
      <c r="E2068" s="82">
        <v>0.93758041270000003</v>
      </c>
      <c r="F2068" s="14">
        <v>217202.86</v>
      </c>
      <c r="G2068" s="12">
        <v>0</v>
      </c>
      <c r="H2068" s="10"/>
      <c r="I2068" s="10"/>
    </row>
    <row r="2069" spans="1:9">
      <c r="A2069" s="10" t="s">
        <v>3037</v>
      </c>
      <c r="B2069" s="124" t="s">
        <v>419</v>
      </c>
      <c r="C2069" s="124" t="s">
        <v>508</v>
      </c>
      <c r="D2069" s="14">
        <v>973250.02</v>
      </c>
      <c r="E2069" s="157">
        <v>0.96204542599999998</v>
      </c>
      <c r="F2069" s="14">
        <v>936310.73</v>
      </c>
      <c r="G2069" s="12">
        <v>0</v>
      </c>
      <c r="H2069" s="10"/>
      <c r="I2069" s="10"/>
    </row>
    <row r="2070" spans="1:9">
      <c r="A2070" s="10" t="s">
        <v>3038</v>
      </c>
      <c r="B2070" s="124" t="s">
        <v>419</v>
      </c>
      <c r="C2070" s="124" t="s">
        <v>508</v>
      </c>
      <c r="D2070" s="14">
        <v>973250.02</v>
      </c>
      <c r="E2070" s="157">
        <v>0.96204542599999998</v>
      </c>
      <c r="F2070" s="14">
        <v>936310.73</v>
      </c>
      <c r="G2070" s="12">
        <v>0</v>
      </c>
      <c r="H2070" s="10"/>
      <c r="I2070" s="10"/>
    </row>
    <row r="2071" spans="1:9">
      <c r="A2071" s="10" t="s">
        <v>3039</v>
      </c>
      <c r="B2071" s="124" t="s">
        <v>1108</v>
      </c>
      <c r="C2071" s="124" t="s">
        <v>508</v>
      </c>
      <c r="D2071" s="14">
        <v>1822304.03</v>
      </c>
      <c r="E2071" s="82">
        <v>0.91639471819999996</v>
      </c>
      <c r="F2071" s="14">
        <v>1669949.79</v>
      </c>
      <c r="G2071" s="12">
        <v>0</v>
      </c>
      <c r="H2071" s="10"/>
      <c r="I2071" s="10"/>
    </row>
    <row r="2072" spans="1:9">
      <c r="A2072" s="10" t="s">
        <v>3040</v>
      </c>
      <c r="B2072" s="124" t="s">
        <v>1108</v>
      </c>
      <c r="C2072" s="124" t="s">
        <v>508</v>
      </c>
      <c r="D2072" s="14">
        <v>1822304.03</v>
      </c>
      <c r="E2072" s="82">
        <v>0.91639471819999996</v>
      </c>
      <c r="F2072" s="14">
        <v>1669949.79</v>
      </c>
      <c r="G2072" s="12">
        <v>0</v>
      </c>
      <c r="H2072" s="10"/>
      <c r="I2072" s="10"/>
    </row>
    <row r="2073" spans="1:9">
      <c r="A2073" s="10" t="s">
        <v>3041</v>
      </c>
      <c r="B2073" s="124" t="s">
        <v>1461</v>
      </c>
      <c r="C2073" s="124" t="s">
        <v>508</v>
      </c>
      <c r="D2073" s="14">
        <v>231663.18</v>
      </c>
      <c r="E2073" s="82">
        <v>0.93758041270000003</v>
      </c>
      <c r="F2073" s="14">
        <v>217202.86</v>
      </c>
      <c r="G2073" s="12">
        <v>0</v>
      </c>
      <c r="H2073" s="10"/>
      <c r="I2073" s="10"/>
    </row>
    <row r="2074" spans="1:9">
      <c r="A2074" s="10" t="s">
        <v>3042</v>
      </c>
      <c r="B2074" s="124" t="s">
        <v>1461</v>
      </c>
      <c r="C2074" s="124" t="s">
        <v>508</v>
      </c>
      <c r="D2074" s="14">
        <v>231663.18</v>
      </c>
      <c r="E2074" s="82">
        <v>0.93758041270000003</v>
      </c>
      <c r="F2074" s="14">
        <v>217202.86</v>
      </c>
      <c r="G2074" s="12">
        <v>0</v>
      </c>
      <c r="H2074" s="10"/>
      <c r="I2074" s="10"/>
    </row>
    <row r="2075" spans="1:9">
      <c r="A2075" s="10" t="s">
        <v>3043</v>
      </c>
      <c r="B2075" s="124" t="s">
        <v>419</v>
      </c>
      <c r="C2075" s="124" t="s">
        <v>508</v>
      </c>
      <c r="D2075" s="14">
        <v>973250.02</v>
      </c>
      <c r="E2075" s="157">
        <v>0.96204542599999998</v>
      </c>
      <c r="F2075" s="14">
        <v>936310.73</v>
      </c>
      <c r="G2075" s="12">
        <v>0</v>
      </c>
      <c r="H2075" s="10"/>
      <c r="I2075" s="10"/>
    </row>
    <row r="2076" spans="1:9">
      <c r="A2076" s="10" t="s">
        <v>3044</v>
      </c>
      <c r="B2076" s="124" t="s">
        <v>419</v>
      </c>
      <c r="C2076" s="124" t="s">
        <v>508</v>
      </c>
      <c r="D2076" s="14">
        <v>973250.02</v>
      </c>
      <c r="E2076" s="157">
        <v>0.96204542599999998</v>
      </c>
      <c r="F2076" s="14">
        <v>936310.73</v>
      </c>
      <c r="G2076" s="12">
        <v>0</v>
      </c>
      <c r="H2076" s="10"/>
      <c r="I2076" s="10"/>
    </row>
    <row r="2077" spans="1:9">
      <c r="A2077" s="10" t="s">
        <v>3045</v>
      </c>
      <c r="B2077" s="124" t="s">
        <v>1108</v>
      </c>
      <c r="C2077" s="124" t="s">
        <v>508</v>
      </c>
      <c r="D2077" s="14">
        <v>1822304.03</v>
      </c>
      <c r="E2077" s="82">
        <v>0.91639471819999996</v>
      </c>
      <c r="F2077" s="14">
        <v>1669949.79</v>
      </c>
      <c r="G2077" s="12">
        <v>0</v>
      </c>
      <c r="H2077" s="10"/>
      <c r="I2077" s="10"/>
    </row>
    <row r="2078" spans="1:9">
      <c r="A2078" s="10" t="s">
        <v>3046</v>
      </c>
      <c r="B2078" s="124" t="s">
        <v>1108</v>
      </c>
      <c r="C2078" s="124" t="s">
        <v>508</v>
      </c>
      <c r="D2078" s="14">
        <v>1822304.03</v>
      </c>
      <c r="E2078" s="82">
        <v>0.91639471819999996</v>
      </c>
      <c r="F2078" s="14">
        <v>1669949.79</v>
      </c>
      <c r="G2078" s="12">
        <v>0</v>
      </c>
      <c r="H2078" s="10"/>
      <c r="I2078" s="10"/>
    </row>
    <row r="2079" spans="1:9">
      <c r="A2079" s="10" t="s">
        <v>3047</v>
      </c>
      <c r="B2079" s="124" t="s">
        <v>459</v>
      </c>
      <c r="C2079" s="124" t="s">
        <v>508</v>
      </c>
      <c r="D2079" s="14">
        <v>98736.93</v>
      </c>
      <c r="E2079" s="82">
        <v>0.98382753040000004</v>
      </c>
      <c r="F2079" s="14">
        <v>97140.11</v>
      </c>
      <c r="G2079" s="12">
        <v>0</v>
      </c>
      <c r="H2079" s="10"/>
      <c r="I2079" s="10"/>
    </row>
    <row r="2080" spans="1:9">
      <c r="A2080" s="10" t="s">
        <v>3048</v>
      </c>
      <c r="B2080" s="124" t="s">
        <v>459</v>
      </c>
      <c r="C2080" s="124" t="s">
        <v>508</v>
      </c>
      <c r="D2080" s="14">
        <v>98736.93</v>
      </c>
      <c r="E2080" s="82">
        <v>0.98382753040000004</v>
      </c>
      <c r="F2080" s="14">
        <v>97140.11</v>
      </c>
      <c r="G2080" s="12">
        <v>0</v>
      </c>
      <c r="H2080" s="10"/>
      <c r="I2080" s="10"/>
    </row>
    <row r="2081" spans="1:9">
      <c r="A2081" s="10" t="s">
        <v>3049</v>
      </c>
      <c r="B2081" s="124" t="s">
        <v>459</v>
      </c>
      <c r="C2081" s="124" t="s">
        <v>508</v>
      </c>
      <c r="D2081" s="14">
        <v>98736.93</v>
      </c>
      <c r="E2081" s="82">
        <v>0.98382753040000004</v>
      </c>
      <c r="F2081" s="14">
        <v>97140.11</v>
      </c>
      <c r="G2081" s="12">
        <v>0</v>
      </c>
      <c r="H2081" s="10"/>
      <c r="I2081" s="10"/>
    </row>
    <row r="2082" spans="1:9">
      <c r="A2082" s="10" t="s">
        <v>3050</v>
      </c>
      <c r="B2082" s="124" t="s">
        <v>459</v>
      </c>
      <c r="C2082" s="124" t="s">
        <v>508</v>
      </c>
      <c r="D2082" s="14">
        <v>98736.93</v>
      </c>
      <c r="E2082" s="82">
        <v>0.98382753040000004</v>
      </c>
      <c r="F2082" s="14">
        <v>97140.11</v>
      </c>
      <c r="G2082" s="12">
        <v>0</v>
      </c>
      <c r="H2082" s="10"/>
      <c r="I2082" s="10"/>
    </row>
    <row r="2083" spans="1:9">
      <c r="A2083" s="10" t="s">
        <v>3051</v>
      </c>
      <c r="B2083" s="124" t="s">
        <v>587</v>
      </c>
      <c r="C2083" s="124" t="s">
        <v>508</v>
      </c>
      <c r="D2083" s="14">
        <v>3275889.74</v>
      </c>
      <c r="E2083" s="82">
        <v>0.95262964839999997</v>
      </c>
      <c r="F2083" s="14">
        <v>3120709.69</v>
      </c>
      <c r="G2083" s="12">
        <v>0</v>
      </c>
      <c r="H2083" s="10"/>
      <c r="I2083" s="10"/>
    </row>
    <row r="2084" spans="1:9">
      <c r="A2084" s="10" t="s">
        <v>3052</v>
      </c>
      <c r="B2084" s="124" t="s">
        <v>587</v>
      </c>
      <c r="C2084" s="124" t="s">
        <v>508</v>
      </c>
      <c r="D2084" s="14">
        <v>16321601.68</v>
      </c>
      <c r="E2084" s="82">
        <v>0.95262964559999996</v>
      </c>
      <c r="F2084" s="14">
        <v>15548441.619999999</v>
      </c>
      <c r="G2084" s="14">
        <v>0.02</v>
      </c>
      <c r="H2084" s="10"/>
      <c r="I2084" s="10"/>
    </row>
    <row r="2085" spans="1:9">
      <c r="A2085" s="10" t="s">
        <v>3069</v>
      </c>
      <c r="B2085" s="124" t="s">
        <v>1624</v>
      </c>
      <c r="C2085" s="124" t="s">
        <v>446</v>
      </c>
      <c r="D2085" s="12">
        <v>22500000</v>
      </c>
      <c r="E2085" s="82">
        <v>0.93412511850000002</v>
      </c>
      <c r="F2085" s="14">
        <v>21017815.170000002</v>
      </c>
      <c r="G2085" s="14">
        <v>0.03</v>
      </c>
      <c r="H2085" s="10"/>
      <c r="I2085" s="10"/>
    </row>
    <row r="2086" spans="1:9">
      <c r="A2086" s="10" t="s">
        <v>3089</v>
      </c>
      <c r="B2086" s="124" t="s">
        <v>283</v>
      </c>
      <c r="C2086" s="124" t="s">
        <v>446</v>
      </c>
      <c r="D2086" s="12">
        <v>15000000</v>
      </c>
      <c r="E2086" s="82">
        <v>0.92475303389999997</v>
      </c>
      <c r="F2086" s="14">
        <v>13871295.51</v>
      </c>
      <c r="G2086" s="14">
        <v>0.02</v>
      </c>
      <c r="H2086" s="10"/>
      <c r="I2086" s="10"/>
    </row>
    <row r="2087" spans="1:9">
      <c r="A2087" s="10" t="s">
        <v>3090</v>
      </c>
      <c r="B2087" s="124" t="s">
        <v>655</v>
      </c>
      <c r="C2087" s="124" t="s">
        <v>446</v>
      </c>
      <c r="D2087" s="12">
        <v>15000000</v>
      </c>
      <c r="E2087" s="82">
        <v>0.93098005520000005</v>
      </c>
      <c r="F2087" s="14">
        <v>13964700.83</v>
      </c>
      <c r="G2087" s="14">
        <v>0.02</v>
      </c>
      <c r="H2087" s="10"/>
      <c r="I2087" s="10"/>
    </row>
    <row r="2088" spans="1:9">
      <c r="A2088" s="10" t="s">
        <v>3091</v>
      </c>
      <c r="B2088" s="124" t="s">
        <v>667</v>
      </c>
      <c r="C2088" s="124" t="s">
        <v>446</v>
      </c>
      <c r="D2088" s="12">
        <v>15000000</v>
      </c>
      <c r="E2088" s="82">
        <v>0.95757809189999998</v>
      </c>
      <c r="F2088" s="14">
        <v>14363671.380000001</v>
      </c>
      <c r="G2088" s="14">
        <v>0.02</v>
      </c>
      <c r="H2088" s="10"/>
      <c r="I2088" s="10"/>
    </row>
    <row r="2089" spans="1:9">
      <c r="A2089" s="10" t="s">
        <v>3092</v>
      </c>
      <c r="B2089" s="124" t="s">
        <v>1781</v>
      </c>
      <c r="C2089" s="124" t="s">
        <v>446</v>
      </c>
      <c r="D2089" s="12">
        <v>15000000</v>
      </c>
      <c r="E2089" s="82">
        <v>0.94047942929999995</v>
      </c>
      <c r="F2089" s="14">
        <v>14107191.439999999</v>
      </c>
      <c r="G2089" s="14">
        <v>0.02</v>
      </c>
      <c r="H2089" s="10"/>
      <c r="I2089" s="10"/>
    </row>
    <row r="2090" spans="1:9">
      <c r="A2090" s="10" t="s">
        <v>3094</v>
      </c>
      <c r="B2090" s="124" t="s">
        <v>415</v>
      </c>
      <c r="C2090" s="124" t="s">
        <v>446</v>
      </c>
      <c r="D2090" s="12">
        <v>3930000</v>
      </c>
      <c r="E2090" s="82">
        <v>0.98462379389999999</v>
      </c>
      <c r="F2090" s="14">
        <v>3869571.51</v>
      </c>
      <c r="G2090" s="12">
        <v>0</v>
      </c>
      <c r="H2090" s="10"/>
      <c r="I2090" s="10"/>
    </row>
    <row r="2091" spans="1:9">
      <c r="A2091" s="10" t="s">
        <v>3095</v>
      </c>
      <c r="B2091" s="124" t="s">
        <v>810</v>
      </c>
      <c r="C2091" s="124" t="s">
        <v>446</v>
      </c>
      <c r="D2091" s="12">
        <v>3930000</v>
      </c>
      <c r="E2091" s="82">
        <v>0.97359312440000001</v>
      </c>
      <c r="F2091" s="14">
        <v>3826220.98</v>
      </c>
      <c r="G2091" s="12">
        <v>0</v>
      </c>
      <c r="H2091" s="10"/>
      <c r="I2091" s="10"/>
    </row>
    <row r="2092" spans="1:9">
      <c r="A2092" s="10" t="s">
        <v>3096</v>
      </c>
      <c r="B2092" s="124" t="s">
        <v>625</v>
      </c>
      <c r="C2092" s="124" t="s">
        <v>446</v>
      </c>
      <c r="D2092" s="12">
        <v>3930000</v>
      </c>
      <c r="E2092" s="82">
        <v>0.99917876849999998</v>
      </c>
      <c r="F2092" s="14">
        <v>3926772.56</v>
      </c>
      <c r="G2092" s="12">
        <v>0</v>
      </c>
      <c r="H2092" s="10"/>
      <c r="I2092" s="10"/>
    </row>
    <row r="2093" spans="1:9">
      <c r="A2093" s="10" t="s">
        <v>3097</v>
      </c>
      <c r="B2093" s="124" t="s">
        <v>657</v>
      </c>
      <c r="C2093" s="124" t="s">
        <v>446</v>
      </c>
      <c r="D2093" s="12">
        <v>3930000</v>
      </c>
      <c r="E2093" s="82">
        <v>0.95151219620000005</v>
      </c>
      <c r="F2093" s="14">
        <v>3739442.93</v>
      </c>
      <c r="G2093" s="12">
        <v>0</v>
      </c>
      <c r="H2093" s="10"/>
      <c r="I2093" s="10"/>
    </row>
    <row r="2094" spans="1:9">
      <c r="A2094" s="10" t="s">
        <v>3098</v>
      </c>
      <c r="B2094" s="124" t="s">
        <v>1624</v>
      </c>
      <c r="C2094" s="124" t="s">
        <v>446</v>
      </c>
      <c r="D2094" s="14">
        <v>3935883.26</v>
      </c>
      <c r="E2094" s="82">
        <v>0.93975294909999996</v>
      </c>
      <c r="F2094" s="153">
        <v>3698757.9</v>
      </c>
      <c r="G2094" s="12">
        <v>0</v>
      </c>
      <c r="H2094" s="10"/>
      <c r="I2094" s="10"/>
    </row>
    <row r="2095" spans="1:9">
      <c r="A2095" s="10" t="s">
        <v>3099</v>
      </c>
      <c r="B2095" s="124" t="s">
        <v>419</v>
      </c>
      <c r="C2095" s="124" t="s">
        <v>446</v>
      </c>
      <c r="D2095" s="12">
        <v>3930000</v>
      </c>
      <c r="E2095" s="82">
        <v>0.96204549660000005</v>
      </c>
      <c r="F2095" s="153">
        <v>3780838.8</v>
      </c>
      <c r="G2095" s="12">
        <v>0</v>
      </c>
      <c r="H2095" s="10"/>
      <c r="I2095" s="10"/>
    </row>
    <row r="2096" spans="1:9">
      <c r="A2096" s="10" t="s">
        <v>3101</v>
      </c>
      <c r="B2096" s="124" t="s">
        <v>655</v>
      </c>
      <c r="C2096" s="124" t="s">
        <v>446</v>
      </c>
      <c r="D2096" s="12">
        <v>4198532</v>
      </c>
      <c r="E2096" s="82">
        <v>0.93098005520000005</v>
      </c>
      <c r="F2096" s="14">
        <v>3908749.55</v>
      </c>
      <c r="G2096" s="12">
        <v>0</v>
      </c>
      <c r="H2096" s="10"/>
      <c r="I2096" s="10"/>
    </row>
    <row r="2097" spans="1:9">
      <c r="A2097" s="10" t="s">
        <v>3102</v>
      </c>
      <c r="B2097" s="124" t="s">
        <v>2354</v>
      </c>
      <c r="C2097" s="124" t="s">
        <v>446</v>
      </c>
      <c r="D2097" s="12">
        <v>4719302</v>
      </c>
      <c r="E2097" s="82">
        <v>0.92941557029999999</v>
      </c>
      <c r="F2097" s="14">
        <v>4386192.76</v>
      </c>
      <c r="G2097" s="14">
        <v>0.01</v>
      </c>
      <c r="H2097" s="10"/>
      <c r="I2097" s="10"/>
    </row>
    <row r="2098" spans="1:9">
      <c r="A2098" s="10" t="s">
        <v>3103</v>
      </c>
      <c r="B2098" s="124" t="s">
        <v>931</v>
      </c>
      <c r="C2098" s="124" t="s">
        <v>446</v>
      </c>
      <c r="D2098" s="12">
        <v>4868387</v>
      </c>
      <c r="E2098" s="82">
        <v>0.92863518030000003</v>
      </c>
      <c r="F2098" s="14">
        <v>4520955.4400000004</v>
      </c>
      <c r="G2098" s="14">
        <v>0.01</v>
      </c>
      <c r="H2098" s="10"/>
      <c r="I2098" s="10"/>
    </row>
    <row r="2099" spans="1:9">
      <c r="A2099" s="10" t="s">
        <v>3076</v>
      </c>
      <c r="B2099" s="124" t="s">
        <v>2354</v>
      </c>
      <c r="C2099" s="124" t="s">
        <v>446</v>
      </c>
      <c r="D2099" s="12">
        <v>10000000</v>
      </c>
      <c r="E2099" s="82">
        <v>0.92941557230000005</v>
      </c>
      <c r="F2099" s="14">
        <v>9294155.7200000007</v>
      </c>
      <c r="G2099" s="14">
        <v>0.01</v>
      </c>
      <c r="H2099" s="10"/>
      <c r="I2099" s="10"/>
    </row>
    <row r="2100" spans="1:9">
      <c r="A2100" s="10" t="s">
        <v>3077</v>
      </c>
      <c r="B2100" s="124" t="s">
        <v>429</v>
      </c>
      <c r="C2100" s="124" t="s">
        <v>446</v>
      </c>
      <c r="D2100" s="12">
        <v>10000000</v>
      </c>
      <c r="E2100" s="82">
        <v>0.93491476880000002</v>
      </c>
      <c r="F2100" s="14">
        <v>9349147.6899999995</v>
      </c>
      <c r="G2100" s="14">
        <v>0.01</v>
      </c>
      <c r="H2100" s="10"/>
      <c r="I2100" s="10"/>
    </row>
    <row r="2101" spans="1:9">
      <c r="A2101" s="10" t="s">
        <v>3070</v>
      </c>
      <c r="B2101" s="124" t="s">
        <v>415</v>
      </c>
      <c r="C2101" s="124" t="s">
        <v>446</v>
      </c>
      <c r="D2101" s="12">
        <v>13000000</v>
      </c>
      <c r="E2101" s="82">
        <v>0.98311214219999998</v>
      </c>
      <c r="F2101" s="14">
        <v>12780457.85</v>
      </c>
      <c r="G2101" s="14">
        <v>0.02</v>
      </c>
      <c r="H2101" s="10"/>
      <c r="I2101" s="10"/>
    </row>
    <row r="2102" spans="1:9">
      <c r="A2102" s="10" t="s">
        <v>3116</v>
      </c>
      <c r="B2102" s="124" t="s">
        <v>459</v>
      </c>
      <c r="C2102" s="124" t="s">
        <v>446</v>
      </c>
      <c r="D2102" s="12">
        <v>3500000</v>
      </c>
      <c r="E2102" s="82">
        <v>0.98382756010000005</v>
      </c>
      <c r="F2102" s="14">
        <v>3443396.46</v>
      </c>
      <c r="G2102" s="12">
        <v>0</v>
      </c>
      <c r="H2102" s="10"/>
      <c r="I2102" s="10"/>
    </row>
    <row r="2103" spans="1:9">
      <c r="A2103" s="10" t="s">
        <v>3117</v>
      </c>
      <c r="B2103" s="124" t="s">
        <v>415</v>
      </c>
      <c r="C2103" s="124" t="s">
        <v>446</v>
      </c>
      <c r="D2103" s="12">
        <v>3500000</v>
      </c>
      <c r="E2103" s="157">
        <v>0.98462379700000002</v>
      </c>
      <c r="F2103" s="14">
        <v>3446183.29</v>
      </c>
      <c r="G2103" s="12">
        <v>0</v>
      </c>
      <c r="H2103" s="10"/>
      <c r="I2103" s="10"/>
    </row>
    <row r="2104" spans="1:9">
      <c r="A2104" s="10" t="s">
        <v>3105</v>
      </c>
      <c r="B2104" s="124" t="s">
        <v>459</v>
      </c>
      <c r="C2104" s="124" t="s">
        <v>446</v>
      </c>
      <c r="D2104" s="12">
        <v>5000000</v>
      </c>
      <c r="E2104" s="82">
        <v>0.98223904169999998</v>
      </c>
      <c r="F2104" s="14">
        <v>4911195.21</v>
      </c>
      <c r="G2104" s="14">
        <v>0.01</v>
      </c>
      <c r="H2104" s="10"/>
      <c r="I2104" s="10"/>
    </row>
    <row r="2105" spans="1:9">
      <c r="A2105" s="10" t="s">
        <v>3107</v>
      </c>
      <c r="B2105" s="124" t="s">
        <v>645</v>
      </c>
      <c r="C2105" s="124" t="s">
        <v>446</v>
      </c>
      <c r="D2105" s="14">
        <v>9940463.25</v>
      </c>
      <c r="E2105" s="82">
        <v>0.97017714860000004</v>
      </c>
      <c r="F2105" s="14">
        <v>9644010.2899999991</v>
      </c>
      <c r="G2105" s="14">
        <v>0.01</v>
      </c>
      <c r="H2105" s="10"/>
      <c r="I2105" s="10"/>
    </row>
    <row r="2106" spans="1:9">
      <c r="A2106" s="10" t="s">
        <v>3109</v>
      </c>
      <c r="B2106" s="124" t="s">
        <v>459</v>
      </c>
      <c r="C2106" s="124" t="s">
        <v>446</v>
      </c>
      <c r="D2106" s="14">
        <v>31830956.550000001</v>
      </c>
      <c r="E2106" s="82">
        <v>0.98223904169999998</v>
      </c>
      <c r="F2106" s="14">
        <v>31265608.260000002</v>
      </c>
      <c r="G2106" s="14">
        <v>0.04</v>
      </c>
      <c r="H2106" s="10"/>
      <c r="I2106" s="10"/>
    </row>
    <row r="2107" spans="1:9">
      <c r="A2107" s="10" t="s">
        <v>3111</v>
      </c>
      <c r="B2107" s="124" t="s">
        <v>682</v>
      </c>
      <c r="C2107" s="124" t="s">
        <v>446</v>
      </c>
      <c r="D2107" s="14">
        <v>2616499.4700000002</v>
      </c>
      <c r="E2107" s="82">
        <v>0.96932684660000001</v>
      </c>
      <c r="F2107" s="14">
        <v>2536243.1800000002</v>
      </c>
      <c r="G2107" s="12">
        <v>0</v>
      </c>
      <c r="H2107" s="10"/>
      <c r="I2107" s="10"/>
    </row>
    <row r="2108" spans="1:9">
      <c r="A2108" s="10" t="s">
        <v>3071</v>
      </c>
      <c r="B2108" s="124" t="s">
        <v>255</v>
      </c>
      <c r="C2108" s="124" t="s">
        <v>446</v>
      </c>
      <c r="D2108" s="153">
        <v>395997.4</v>
      </c>
      <c r="E2108" s="82">
        <v>0.93570556189999998</v>
      </c>
      <c r="F2108" s="14">
        <v>370536.97</v>
      </c>
      <c r="G2108" s="12">
        <v>0</v>
      </c>
      <c r="H2108" s="10"/>
      <c r="I2108" s="10"/>
    </row>
    <row r="2109" spans="1:9">
      <c r="A2109" s="10" t="s">
        <v>3072</v>
      </c>
      <c r="B2109" s="124" t="s">
        <v>1698</v>
      </c>
      <c r="C2109" s="124" t="s">
        <v>446</v>
      </c>
      <c r="D2109" s="14">
        <v>181355.13</v>
      </c>
      <c r="E2109" s="82">
        <v>0.93968033890000002</v>
      </c>
      <c r="F2109" s="14">
        <v>170415.85</v>
      </c>
      <c r="G2109" s="12">
        <v>0</v>
      </c>
      <c r="H2109" s="10"/>
      <c r="I2109" s="10"/>
    </row>
    <row r="2110" spans="1:9">
      <c r="A2110" s="10" t="s">
        <v>3073</v>
      </c>
      <c r="B2110" s="124" t="s">
        <v>556</v>
      </c>
      <c r="C2110" s="124" t="s">
        <v>446</v>
      </c>
      <c r="D2110" s="14">
        <v>181355.13</v>
      </c>
      <c r="E2110" s="82">
        <v>0.96257811940000004</v>
      </c>
      <c r="F2110" s="14">
        <v>174568.48</v>
      </c>
      <c r="G2110" s="12">
        <v>0</v>
      </c>
      <c r="H2110" s="10"/>
      <c r="I2110" s="10"/>
    </row>
    <row r="2111" spans="1:9">
      <c r="A2111" s="10" t="s">
        <v>3074</v>
      </c>
      <c r="B2111" s="124" t="s">
        <v>419</v>
      </c>
      <c r="C2111" s="124" t="s">
        <v>446</v>
      </c>
      <c r="D2111" s="153">
        <v>395997.4</v>
      </c>
      <c r="E2111" s="82">
        <v>0.95840793440000005</v>
      </c>
      <c r="F2111" s="14">
        <v>379527.05</v>
      </c>
      <c r="G2111" s="12">
        <v>0</v>
      </c>
      <c r="H2111" s="10"/>
      <c r="I2111" s="10"/>
    </row>
    <row r="2112" spans="1:9">
      <c r="A2112" s="10" t="s">
        <v>3075</v>
      </c>
      <c r="B2112" s="124" t="s">
        <v>661</v>
      </c>
      <c r="C2112" s="124" t="s">
        <v>446</v>
      </c>
      <c r="D2112" s="14">
        <v>388578.52</v>
      </c>
      <c r="E2112" s="82">
        <v>0.95427341219999995</v>
      </c>
      <c r="F2112" s="14">
        <v>370810.15</v>
      </c>
      <c r="G2112" s="12">
        <v>0</v>
      </c>
      <c r="H2112" s="10"/>
      <c r="I2112" s="10"/>
    </row>
    <row r="2113" spans="1:9">
      <c r="A2113" s="10" t="s">
        <v>3088</v>
      </c>
      <c r="B2113" s="124" t="s">
        <v>995</v>
      </c>
      <c r="C2113" s="124" t="s">
        <v>446</v>
      </c>
      <c r="D2113" s="12">
        <v>13000000</v>
      </c>
      <c r="E2113" s="82">
        <v>0.91254583280000001</v>
      </c>
      <c r="F2113" s="14">
        <v>11863095.83</v>
      </c>
      <c r="G2113" s="14">
        <v>0.01</v>
      </c>
      <c r="H2113" s="10"/>
      <c r="I2113" s="10"/>
    </row>
    <row r="2114" spans="1:9">
      <c r="A2114" s="10" t="s">
        <v>3118</v>
      </c>
      <c r="B2114" s="124" t="s">
        <v>415</v>
      </c>
      <c r="C2114" s="124" t="s">
        <v>446</v>
      </c>
      <c r="D2114" s="12">
        <v>50000000</v>
      </c>
      <c r="E2114" s="82">
        <v>0.98462379649999998</v>
      </c>
      <c r="F2114" s="14">
        <v>49231189.829999998</v>
      </c>
      <c r="G2114" s="14">
        <v>0.06</v>
      </c>
      <c r="H2114" s="10"/>
      <c r="I2114" s="10"/>
    </row>
    <row r="2115" spans="1:9">
      <c r="A2115" s="10" t="s">
        <v>3113</v>
      </c>
      <c r="B2115" s="124" t="s">
        <v>636</v>
      </c>
      <c r="C2115" s="124" t="s">
        <v>446</v>
      </c>
      <c r="D2115" s="12">
        <v>6000000</v>
      </c>
      <c r="E2115" s="82">
        <v>0.93794191719999997</v>
      </c>
      <c r="F2115" s="153">
        <v>5627651.5</v>
      </c>
      <c r="G2115" s="14">
        <v>0.01</v>
      </c>
      <c r="H2115" s="10"/>
      <c r="I2115" s="10"/>
    </row>
    <row r="2116" spans="1:9">
      <c r="A2116" s="10" t="s">
        <v>3114</v>
      </c>
      <c r="B2116" s="124" t="s">
        <v>974</v>
      </c>
      <c r="C2116" s="124" t="s">
        <v>446</v>
      </c>
      <c r="D2116" s="12">
        <v>4500000</v>
      </c>
      <c r="E2116" s="157">
        <v>0.921368297</v>
      </c>
      <c r="F2116" s="14">
        <v>4146157.34</v>
      </c>
      <c r="G2116" s="14">
        <v>0.01</v>
      </c>
      <c r="H2116" s="10"/>
      <c r="I2116" s="10"/>
    </row>
    <row r="2117" spans="1:9">
      <c r="A2117" s="10" t="s">
        <v>3115</v>
      </c>
      <c r="B2117" s="124" t="s">
        <v>283</v>
      </c>
      <c r="C2117" s="124" t="s">
        <v>446</v>
      </c>
      <c r="D2117" s="12">
        <v>4500000</v>
      </c>
      <c r="E2117" s="82">
        <v>0.92055491349999996</v>
      </c>
      <c r="F2117" s="14">
        <v>4142497.11</v>
      </c>
      <c r="G2117" s="14">
        <v>0.01</v>
      </c>
      <c r="H2117" s="10"/>
      <c r="I2117" s="10"/>
    </row>
    <row r="2118" spans="1:9">
      <c r="A2118" s="10" t="s">
        <v>3078</v>
      </c>
      <c r="B2118" s="124" t="s">
        <v>636</v>
      </c>
      <c r="C2118" s="124" t="s">
        <v>446</v>
      </c>
      <c r="D2118" s="12">
        <v>3000000</v>
      </c>
      <c r="E2118" s="82">
        <v>0.93794191719999997</v>
      </c>
      <c r="F2118" s="14">
        <v>2813825.75</v>
      </c>
      <c r="G2118" s="12">
        <v>0</v>
      </c>
      <c r="H2118" s="10"/>
      <c r="I2118" s="10"/>
    </row>
    <row r="2119" spans="1:9">
      <c r="A2119" s="10" t="s">
        <v>3079</v>
      </c>
      <c r="B2119" s="124" t="s">
        <v>1781</v>
      </c>
      <c r="C2119" s="124" t="s">
        <v>446</v>
      </c>
      <c r="D2119" s="12">
        <v>3000000</v>
      </c>
      <c r="E2119" s="82">
        <v>0.93709902320000005</v>
      </c>
      <c r="F2119" s="14">
        <v>2811297.07</v>
      </c>
      <c r="G2119" s="12">
        <v>0</v>
      </c>
      <c r="H2119" s="10"/>
      <c r="I2119" s="10"/>
    </row>
    <row r="2120" spans="1:9">
      <c r="A2120" s="10" t="s">
        <v>3080</v>
      </c>
      <c r="B2120" s="124" t="s">
        <v>1698</v>
      </c>
      <c r="C2120" s="124" t="s">
        <v>446</v>
      </c>
      <c r="D2120" s="12">
        <v>3000000</v>
      </c>
      <c r="E2120" s="82">
        <v>0.93625764919999999</v>
      </c>
      <c r="F2120" s="14">
        <v>2808772.95</v>
      </c>
      <c r="G2120" s="12">
        <v>0</v>
      </c>
      <c r="H2120" s="10"/>
      <c r="I2120" s="10"/>
    </row>
    <row r="2121" spans="1:9">
      <c r="A2121" s="10" t="s">
        <v>3081</v>
      </c>
      <c r="B2121" s="124" t="s">
        <v>618</v>
      </c>
      <c r="C2121" s="124" t="s">
        <v>446</v>
      </c>
      <c r="D2121" s="12">
        <v>3000000</v>
      </c>
      <c r="E2121" s="82">
        <v>0.93290743409999999</v>
      </c>
      <c r="F2121" s="153">
        <v>2798722.3</v>
      </c>
      <c r="G2121" s="12">
        <v>0</v>
      </c>
      <c r="H2121" s="10"/>
      <c r="I2121" s="10"/>
    </row>
    <row r="2122" spans="1:9">
      <c r="A2122" s="10" t="s">
        <v>3082</v>
      </c>
      <c r="B2122" s="124" t="s">
        <v>255</v>
      </c>
      <c r="C2122" s="124" t="s">
        <v>446</v>
      </c>
      <c r="D2122" s="12">
        <v>3000000</v>
      </c>
      <c r="E2122" s="82">
        <v>0.93207356249999995</v>
      </c>
      <c r="F2122" s="14">
        <v>2796220.69</v>
      </c>
      <c r="G2122" s="12">
        <v>0</v>
      </c>
      <c r="H2122" s="10"/>
      <c r="I2122" s="10"/>
    </row>
    <row r="2123" spans="1:9">
      <c r="A2123" s="10" t="s">
        <v>3083</v>
      </c>
      <c r="B2123" s="124" t="s">
        <v>429</v>
      </c>
      <c r="C2123" s="124" t="s">
        <v>446</v>
      </c>
      <c r="D2123" s="12">
        <v>3000000</v>
      </c>
      <c r="E2123" s="82">
        <v>0.93124144009999998</v>
      </c>
      <c r="F2123" s="14">
        <v>2793724.32</v>
      </c>
      <c r="G2123" s="12">
        <v>0</v>
      </c>
      <c r="H2123" s="10"/>
      <c r="I2123" s="10"/>
    </row>
    <row r="2124" spans="1:9">
      <c r="A2124" s="10" t="s">
        <v>3084</v>
      </c>
      <c r="B2124" s="124" t="s">
        <v>655</v>
      </c>
      <c r="C2124" s="124" t="s">
        <v>446</v>
      </c>
      <c r="D2124" s="12">
        <v>3000000</v>
      </c>
      <c r="E2124" s="82">
        <v>0.92710196619999996</v>
      </c>
      <c r="F2124" s="153">
        <v>2781305.9</v>
      </c>
      <c r="G2124" s="12">
        <v>0</v>
      </c>
      <c r="H2124" s="10"/>
      <c r="I2124" s="10"/>
    </row>
    <row r="2125" spans="1:9">
      <c r="A2125" s="10" t="s">
        <v>3085</v>
      </c>
      <c r="B2125" s="124" t="s">
        <v>663</v>
      </c>
      <c r="C2125" s="124" t="s">
        <v>446</v>
      </c>
      <c r="D2125" s="12">
        <v>3000000</v>
      </c>
      <c r="E2125" s="82">
        <v>0.92627842419999995</v>
      </c>
      <c r="F2125" s="14">
        <v>2778835.27</v>
      </c>
      <c r="G2125" s="12">
        <v>0</v>
      </c>
      <c r="H2125" s="10"/>
      <c r="I2125" s="10"/>
    </row>
    <row r="2126" spans="1:9">
      <c r="A2126" s="10" t="s">
        <v>3086</v>
      </c>
      <c r="B2126" s="124" t="s">
        <v>2354</v>
      </c>
      <c r="C2126" s="124" t="s">
        <v>446</v>
      </c>
      <c r="D2126" s="12">
        <v>3000000</v>
      </c>
      <c r="E2126" s="82">
        <v>0.92545661420000003</v>
      </c>
      <c r="F2126" s="14">
        <v>2776369.84</v>
      </c>
      <c r="G2126" s="12">
        <v>0</v>
      </c>
      <c r="H2126" s="10"/>
      <c r="I2126" s="10"/>
    </row>
    <row r="2127" spans="1:9">
      <c r="A2127" s="10" t="s">
        <v>3087</v>
      </c>
      <c r="B2127" s="124" t="s">
        <v>974</v>
      </c>
      <c r="C2127" s="124" t="s">
        <v>446</v>
      </c>
      <c r="D2127" s="12">
        <v>3000000</v>
      </c>
      <c r="E2127" s="82">
        <v>0.92136829279999999</v>
      </c>
      <c r="F2127" s="14">
        <v>2764104.88</v>
      </c>
      <c r="G2127" s="12">
        <v>0</v>
      </c>
      <c r="H2127" s="10"/>
      <c r="I2127" s="10"/>
    </row>
    <row r="2128" spans="1:9">
      <c r="A2128" s="10" t="s">
        <v>3120</v>
      </c>
      <c r="B2128" s="124" t="s">
        <v>682</v>
      </c>
      <c r="C2128" s="124" t="s">
        <v>448</v>
      </c>
      <c r="D2128" s="153">
        <v>4175312.5</v>
      </c>
      <c r="E2128" s="82">
        <v>0.97203740319999998</v>
      </c>
      <c r="F2128" s="14">
        <v>4058559.92</v>
      </c>
      <c r="G2128" s="12">
        <v>0</v>
      </c>
      <c r="H2128" s="10"/>
      <c r="I2128" s="10"/>
    </row>
    <row r="2129" spans="1:9">
      <c r="A2129" s="10" t="s">
        <v>3121</v>
      </c>
      <c r="B2129" s="124" t="s">
        <v>415</v>
      </c>
      <c r="C2129" s="124" t="s">
        <v>448</v>
      </c>
      <c r="D2129" s="153">
        <v>4175312.5</v>
      </c>
      <c r="E2129" s="82">
        <v>0.98462384089999999</v>
      </c>
      <c r="F2129" s="14">
        <v>4111112.23</v>
      </c>
      <c r="G2129" s="14">
        <v>0.01</v>
      </c>
      <c r="H2129" s="10"/>
      <c r="I2129" s="10"/>
    </row>
    <row r="2130" spans="1:9">
      <c r="A2130" s="10" t="s">
        <v>3122</v>
      </c>
      <c r="B2130" s="124" t="s">
        <v>461</v>
      </c>
      <c r="C2130" s="124" t="s">
        <v>448</v>
      </c>
      <c r="D2130" s="153">
        <v>4175312.5</v>
      </c>
      <c r="E2130" s="82">
        <v>0.97829014920000001</v>
      </c>
      <c r="F2130" s="14">
        <v>4084667.09</v>
      </c>
      <c r="G2130" s="12">
        <v>0</v>
      </c>
      <c r="H2130" s="10"/>
      <c r="I2130" s="10"/>
    </row>
    <row r="2131" spans="1:9">
      <c r="A2131" s="10" t="s">
        <v>3123</v>
      </c>
      <c r="B2131" s="124" t="s">
        <v>559</v>
      </c>
      <c r="C2131" s="124" t="s">
        <v>448</v>
      </c>
      <c r="D2131" s="153">
        <v>4175312.5</v>
      </c>
      <c r="E2131" s="82">
        <v>0.97750411020000005</v>
      </c>
      <c r="F2131" s="14">
        <v>4081385.13</v>
      </c>
      <c r="G2131" s="12">
        <v>0</v>
      </c>
      <c r="H2131" s="10"/>
      <c r="I2131" s="10"/>
    </row>
    <row r="2132" spans="1:9">
      <c r="A2132" s="10" t="s">
        <v>3124</v>
      </c>
      <c r="B2132" s="124" t="s">
        <v>610</v>
      </c>
      <c r="C2132" s="124" t="s">
        <v>448</v>
      </c>
      <c r="D2132" s="153">
        <v>4175312.5</v>
      </c>
      <c r="E2132" s="157">
        <v>0.97671933300000002</v>
      </c>
      <c r="F2132" s="14">
        <v>4078108.44</v>
      </c>
      <c r="G2132" s="12">
        <v>0</v>
      </c>
      <c r="H2132" s="10"/>
      <c r="I2132" s="10"/>
    </row>
    <row r="2133" spans="1:9">
      <c r="A2133" s="10" t="s">
        <v>3125</v>
      </c>
      <c r="B2133" s="124" t="s">
        <v>645</v>
      </c>
      <c r="C2133" s="124" t="s">
        <v>448</v>
      </c>
      <c r="D2133" s="153">
        <v>4175312.5</v>
      </c>
      <c r="E2133" s="82">
        <v>0.97281467440000002</v>
      </c>
      <c r="F2133" s="14">
        <v>4061805.27</v>
      </c>
      <c r="G2133" s="12">
        <v>0</v>
      </c>
      <c r="H2133" s="10"/>
      <c r="I2133" s="10"/>
    </row>
    <row r="2134" spans="1:9">
      <c r="A2134" s="10" t="s">
        <v>3126</v>
      </c>
      <c r="B2134" s="124" t="s">
        <v>2704</v>
      </c>
      <c r="C2134" s="124" t="s">
        <v>448</v>
      </c>
      <c r="D2134" s="14">
        <v>2776829.85</v>
      </c>
      <c r="E2134" s="82">
        <v>0.92545645840000001</v>
      </c>
      <c r="F2134" s="14">
        <v>2569835.12</v>
      </c>
      <c r="G2134" s="12">
        <v>0</v>
      </c>
      <c r="H2134" s="10"/>
      <c r="I2134" s="10"/>
    </row>
    <row r="2135" spans="1:9">
      <c r="A2135" s="10" t="s">
        <v>3127</v>
      </c>
      <c r="B2135" s="124" t="s">
        <v>636</v>
      </c>
      <c r="C2135" s="124" t="s">
        <v>448</v>
      </c>
      <c r="D2135" s="14">
        <v>2776829.85</v>
      </c>
      <c r="E2135" s="82">
        <v>0.94633139980000003</v>
      </c>
      <c r="F2135" s="14">
        <v>2627801.2799999998</v>
      </c>
      <c r="G2135" s="12">
        <v>0</v>
      </c>
      <c r="H2135" s="10"/>
      <c r="I2135" s="10"/>
    </row>
    <row r="2136" spans="1:9">
      <c r="A2136" s="10" t="s">
        <v>3128</v>
      </c>
      <c r="B2136" s="124" t="s">
        <v>578</v>
      </c>
      <c r="C2136" s="124" t="s">
        <v>448</v>
      </c>
      <c r="D2136" s="14">
        <v>2776829.85</v>
      </c>
      <c r="E2136" s="82">
        <v>0.99509273850000002</v>
      </c>
      <c r="F2136" s="14">
        <v>2763203.22</v>
      </c>
      <c r="G2136" s="12">
        <v>0</v>
      </c>
      <c r="H2136" s="10"/>
      <c r="I2136" s="10"/>
    </row>
    <row r="2137" spans="1:9">
      <c r="A2137" s="10" t="s">
        <v>3129</v>
      </c>
      <c r="B2137" s="124" t="s">
        <v>634</v>
      </c>
      <c r="C2137" s="124" t="s">
        <v>448</v>
      </c>
      <c r="D2137" s="14">
        <v>2776829.85</v>
      </c>
      <c r="E2137" s="82">
        <v>0.97126137150000003</v>
      </c>
      <c r="F2137" s="14">
        <v>2697027.57</v>
      </c>
      <c r="G2137" s="12">
        <v>0</v>
      </c>
      <c r="H2137" s="10"/>
      <c r="I2137" s="10"/>
    </row>
    <row r="2138" spans="1:9">
      <c r="A2138" s="10" t="s">
        <v>3130</v>
      </c>
      <c r="B2138" s="124" t="s">
        <v>459</v>
      </c>
      <c r="C2138" s="124" t="s">
        <v>448</v>
      </c>
      <c r="D2138" s="12">
        <v>2872100</v>
      </c>
      <c r="E2138" s="82">
        <v>0.9838276105</v>
      </c>
      <c r="F2138" s="14">
        <v>2825651.28</v>
      </c>
      <c r="G2138" s="12">
        <v>0</v>
      </c>
      <c r="H2138" s="10"/>
      <c r="I2138" s="10"/>
    </row>
    <row r="2139" spans="1:9">
      <c r="A2139" s="10" t="s">
        <v>3131</v>
      </c>
      <c r="B2139" s="124" t="s">
        <v>645</v>
      </c>
      <c r="C2139" s="124" t="s">
        <v>448</v>
      </c>
      <c r="D2139" s="12">
        <v>2960700</v>
      </c>
      <c r="E2139" s="82">
        <v>0.97281467259999999</v>
      </c>
      <c r="F2139" s="153">
        <v>2880212.4</v>
      </c>
      <c r="G2139" s="12">
        <v>0</v>
      </c>
      <c r="H2139" s="10"/>
      <c r="I2139" s="10"/>
    </row>
    <row r="2140" spans="1:9">
      <c r="A2140" s="10" t="s">
        <v>3132</v>
      </c>
      <c r="B2140" s="124" t="s">
        <v>461</v>
      </c>
      <c r="C2140" s="124" t="s">
        <v>448</v>
      </c>
      <c r="D2140" s="12">
        <v>3017000</v>
      </c>
      <c r="E2140" s="82">
        <v>0.97829014920000001</v>
      </c>
      <c r="F2140" s="14">
        <v>2951501.38</v>
      </c>
      <c r="G2140" s="12">
        <v>0</v>
      </c>
      <c r="H2140" s="10"/>
      <c r="I2140" s="10"/>
    </row>
    <row r="2141" spans="1:9">
      <c r="A2141" s="10" t="s">
        <v>3133</v>
      </c>
      <c r="B2141" s="124" t="s">
        <v>610</v>
      </c>
      <c r="C2141" s="124" t="s">
        <v>448</v>
      </c>
      <c r="D2141" s="12">
        <v>3500000</v>
      </c>
      <c r="E2141" s="82">
        <v>0.97671933450000004</v>
      </c>
      <c r="F2141" s="14">
        <v>3418517.67</v>
      </c>
      <c r="G2141" s="12">
        <v>0</v>
      </c>
      <c r="H2141" s="10"/>
      <c r="I2141" s="10"/>
    </row>
    <row r="2142" spans="1:9">
      <c r="A2142" s="10" t="s">
        <v>3134</v>
      </c>
      <c r="B2142" s="124" t="s">
        <v>925</v>
      </c>
      <c r="C2142" s="124" t="s">
        <v>448</v>
      </c>
      <c r="D2142" s="12">
        <v>30000000</v>
      </c>
      <c r="E2142" s="82">
        <v>0.95775400909999997</v>
      </c>
      <c r="F2142" s="14">
        <v>28732620.27</v>
      </c>
      <c r="G2142" s="14">
        <v>0.04</v>
      </c>
      <c r="H2142" s="10"/>
      <c r="I2142" s="10"/>
    </row>
    <row r="2143" spans="1:9">
      <c r="A2143" s="10" t="s">
        <v>3135</v>
      </c>
      <c r="B2143" s="124" t="s">
        <v>255</v>
      </c>
      <c r="C2143" s="124" t="s">
        <v>448</v>
      </c>
      <c r="D2143" s="12">
        <v>30000000</v>
      </c>
      <c r="E2143" s="82">
        <v>0.93207363310000002</v>
      </c>
      <c r="F2143" s="14">
        <v>27962208.989999998</v>
      </c>
      <c r="G2143" s="14">
        <v>0.03</v>
      </c>
      <c r="H2143" s="10"/>
      <c r="I2143" s="10"/>
    </row>
    <row r="2144" spans="1:9">
      <c r="A2144" s="10" t="s">
        <v>3136</v>
      </c>
      <c r="B2144" s="124" t="s">
        <v>415</v>
      </c>
      <c r="C2144" s="124" t="s">
        <v>448</v>
      </c>
      <c r="D2144" s="12">
        <v>7500000</v>
      </c>
      <c r="E2144" s="82">
        <v>0.98462384540000003</v>
      </c>
      <c r="F2144" s="14">
        <v>7384678.8399999999</v>
      </c>
      <c r="G2144" s="14">
        <v>0.01</v>
      </c>
      <c r="H2144" s="10"/>
      <c r="I2144" s="10"/>
    </row>
    <row r="2145" spans="1:9">
      <c r="A2145" s="10" t="s">
        <v>3137</v>
      </c>
      <c r="B2145" s="124" t="s">
        <v>459</v>
      </c>
      <c r="C2145" s="124" t="s">
        <v>448</v>
      </c>
      <c r="D2145" s="12">
        <v>7500000</v>
      </c>
      <c r="E2145" s="82">
        <v>0.98382761210000003</v>
      </c>
      <c r="F2145" s="14">
        <v>7378707.0899999999</v>
      </c>
      <c r="G2145" s="14">
        <v>0.01</v>
      </c>
      <c r="H2145" s="10"/>
      <c r="I2145" s="10"/>
    </row>
    <row r="2146" spans="1:9">
      <c r="A2146" s="10" t="s">
        <v>3138</v>
      </c>
      <c r="B2146" s="124" t="s">
        <v>510</v>
      </c>
      <c r="C2146" s="124" t="s">
        <v>448</v>
      </c>
      <c r="D2146" s="12">
        <v>8000000</v>
      </c>
      <c r="E2146" s="82">
        <v>0.98303265880000001</v>
      </c>
      <c r="F2146" s="14">
        <v>7864261.2699999996</v>
      </c>
      <c r="G2146" s="14">
        <v>0.01</v>
      </c>
      <c r="H2146" s="10"/>
      <c r="I2146" s="10"/>
    </row>
    <row r="2147" spans="1:9">
      <c r="A2147" s="10" t="s">
        <v>3139</v>
      </c>
      <c r="B2147" s="124" t="s">
        <v>255</v>
      </c>
      <c r="C2147" s="124" t="s">
        <v>448</v>
      </c>
      <c r="D2147" s="12">
        <v>25000000</v>
      </c>
      <c r="E2147" s="82">
        <v>0.93936594269999996</v>
      </c>
      <c r="F2147" s="14">
        <v>23484148.57</v>
      </c>
      <c r="G2147" s="14">
        <v>0.03</v>
      </c>
      <c r="H2147" s="10"/>
      <c r="I2147" s="10"/>
    </row>
    <row r="2148" spans="1:9">
      <c r="A2148" s="10" t="s">
        <v>3140</v>
      </c>
      <c r="B2148" s="124" t="s">
        <v>663</v>
      </c>
      <c r="C2148" s="124" t="s">
        <v>448</v>
      </c>
      <c r="D2148" s="12">
        <v>25000000</v>
      </c>
      <c r="E2148" s="157">
        <v>0.93414899799999995</v>
      </c>
      <c r="F2148" s="14">
        <v>23353724.949999999</v>
      </c>
      <c r="G2148" s="14">
        <v>0.03</v>
      </c>
      <c r="H2148" s="10"/>
      <c r="I2148" s="10"/>
    </row>
    <row r="2149" spans="1:9">
      <c r="A2149" s="10" t="s">
        <v>3141</v>
      </c>
      <c r="B2149" s="124" t="s">
        <v>762</v>
      </c>
      <c r="C2149" s="124" t="s">
        <v>448</v>
      </c>
      <c r="D2149" s="12">
        <v>6500000</v>
      </c>
      <c r="E2149" s="82">
        <v>0.94773204430000002</v>
      </c>
      <c r="F2149" s="14">
        <v>6160258.29</v>
      </c>
      <c r="G2149" s="14">
        <v>0.01</v>
      </c>
      <c r="H2149" s="10"/>
      <c r="I2149" s="10"/>
    </row>
    <row r="2150" spans="1:9">
      <c r="A2150" s="10" t="s">
        <v>3142</v>
      </c>
      <c r="B2150" s="124" t="s">
        <v>627</v>
      </c>
      <c r="C2150" s="124" t="s">
        <v>448</v>
      </c>
      <c r="D2150" s="12">
        <v>6500000</v>
      </c>
      <c r="E2150" s="82">
        <v>0.94854487450000002</v>
      </c>
      <c r="F2150" s="14">
        <v>6165541.6799999997</v>
      </c>
      <c r="G2150" s="14">
        <v>0.01</v>
      </c>
      <c r="H2150" s="10"/>
      <c r="I2150" s="10"/>
    </row>
    <row r="2151" spans="1:9">
      <c r="A2151" s="10" t="s">
        <v>3143</v>
      </c>
      <c r="B2151" s="124" t="s">
        <v>510</v>
      </c>
      <c r="C2151" s="124" t="s">
        <v>448</v>
      </c>
      <c r="D2151" s="14">
        <v>7357016.4500000002</v>
      </c>
      <c r="E2151" s="82">
        <v>0.98303265829999997</v>
      </c>
      <c r="F2151" s="14">
        <v>7232187.4400000004</v>
      </c>
      <c r="G2151" s="14">
        <v>0.01</v>
      </c>
      <c r="H2151" s="10"/>
      <c r="I2151" s="10"/>
    </row>
    <row r="2152" spans="1:9">
      <c r="A2152" s="10" t="s">
        <v>3144</v>
      </c>
      <c r="B2152" s="124" t="s">
        <v>810</v>
      </c>
      <c r="C2152" s="124" t="s">
        <v>448</v>
      </c>
      <c r="D2152" s="12">
        <v>7270000</v>
      </c>
      <c r="E2152" s="82">
        <v>0.97359298380000003</v>
      </c>
      <c r="F2152" s="14">
        <v>7078020.9900000002</v>
      </c>
      <c r="G2152" s="14">
        <v>0.01</v>
      </c>
      <c r="H2152" s="10"/>
      <c r="I2152" s="10"/>
    </row>
    <row r="2153" spans="1:9">
      <c r="A2153" s="10" t="s">
        <v>3145</v>
      </c>
      <c r="B2153" s="124" t="s">
        <v>667</v>
      </c>
      <c r="C2153" s="124" t="s">
        <v>448</v>
      </c>
      <c r="D2153" s="14">
        <v>2763396.02</v>
      </c>
      <c r="E2153" s="82">
        <v>0.96128538640000005</v>
      </c>
      <c r="F2153" s="14">
        <v>2656412.21</v>
      </c>
      <c r="G2153" s="12">
        <v>0</v>
      </c>
      <c r="H2153" s="10"/>
      <c r="I2153" s="10"/>
    </row>
    <row r="2154" spans="1:9">
      <c r="A2154" s="10" t="s">
        <v>3146</v>
      </c>
      <c r="B2154" s="124" t="s">
        <v>614</v>
      </c>
      <c r="C2154" s="124" t="s">
        <v>448</v>
      </c>
      <c r="D2154" s="12">
        <v>3396000</v>
      </c>
      <c r="E2154" s="82">
        <v>0.96052641689999996</v>
      </c>
      <c r="F2154" s="14">
        <v>3261947.71</v>
      </c>
      <c r="G2154" s="12">
        <v>0</v>
      </c>
      <c r="H2154" s="10"/>
      <c r="I2154" s="10"/>
    </row>
    <row r="2155" spans="1:9">
      <c r="A2155" s="10" t="s">
        <v>3147</v>
      </c>
      <c r="B2155" s="124" t="s">
        <v>513</v>
      </c>
      <c r="C2155" s="124" t="s">
        <v>448</v>
      </c>
      <c r="D2155" s="14">
        <v>5320358.03</v>
      </c>
      <c r="E2155" s="82">
        <v>0.98542120460000004</v>
      </c>
      <c r="F2155" s="14">
        <v>5242793.62</v>
      </c>
      <c r="G2155" s="14">
        <v>0.01</v>
      </c>
      <c r="H2155" s="10"/>
      <c r="I2155" s="10"/>
    </row>
    <row r="2156" spans="1:9">
      <c r="A2156" s="10" t="s">
        <v>3148</v>
      </c>
      <c r="B2156" s="124" t="s">
        <v>645</v>
      </c>
      <c r="C2156" s="124" t="s">
        <v>448</v>
      </c>
      <c r="D2156" s="14">
        <v>1151427.6299999999</v>
      </c>
      <c r="E2156" s="82">
        <v>0.97281466110000003</v>
      </c>
      <c r="F2156" s="14">
        <v>1120125.68</v>
      </c>
      <c r="G2156" s="12">
        <v>0</v>
      </c>
      <c r="H2156" s="10"/>
      <c r="I2156" s="10"/>
    </row>
    <row r="2157" spans="1:9">
      <c r="A2157" s="10" t="s">
        <v>3149</v>
      </c>
      <c r="B2157" s="124" t="s">
        <v>461</v>
      </c>
      <c r="C2157" s="124" t="s">
        <v>448</v>
      </c>
      <c r="D2157" s="14">
        <v>633302.62</v>
      </c>
      <c r="E2157" s="82">
        <v>0.97829014209999998</v>
      </c>
      <c r="F2157" s="14">
        <v>619553.71</v>
      </c>
      <c r="G2157" s="12">
        <v>0</v>
      </c>
      <c r="H2157" s="10"/>
      <c r="I2157" s="10"/>
    </row>
    <row r="2158" spans="1:9">
      <c r="A2158" s="10" t="s">
        <v>3150</v>
      </c>
      <c r="B2158" s="124" t="s">
        <v>559</v>
      </c>
      <c r="C2158" s="124" t="s">
        <v>448</v>
      </c>
      <c r="D2158" s="12">
        <v>1187961</v>
      </c>
      <c r="E2158" s="82">
        <v>0.97750411020000005</v>
      </c>
      <c r="F2158" s="14">
        <v>1161236.76</v>
      </c>
      <c r="G2158" s="12">
        <v>0</v>
      </c>
      <c r="H2158" s="10"/>
      <c r="I2158" s="10"/>
    </row>
    <row r="2159" spans="1:9">
      <c r="A2159" s="10" t="s">
        <v>3151</v>
      </c>
      <c r="B2159" s="124" t="s">
        <v>559</v>
      </c>
      <c r="C2159" s="124" t="s">
        <v>448</v>
      </c>
      <c r="D2159" s="12">
        <v>1187961</v>
      </c>
      <c r="E2159" s="82">
        <v>0.97750411020000005</v>
      </c>
      <c r="F2159" s="14">
        <v>1161236.76</v>
      </c>
      <c r="G2159" s="12">
        <v>0</v>
      </c>
      <c r="H2159" s="10"/>
      <c r="I2159" s="10"/>
    </row>
    <row r="2160" spans="1:9">
      <c r="A2160" s="10" t="s">
        <v>3152</v>
      </c>
      <c r="B2160" s="124" t="s">
        <v>614</v>
      </c>
      <c r="C2160" s="124" t="s">
        <v>448</v>
      </c>
      <c r="D2160" s="12">
        <v>1094384</v>
      </c>
      <c r="E2160" s="82">
        <v>0.96052641439999997</v>
      </c>
      <c r="F2160" s="14">
        <v>1051184.74</v>
      </c>
      <c r="G2160" s="12">
        <v>0</v>
      </c>
      <c r="H2160" s="10"/>
      <c r="I2160" s="10"/>
    </row>
    <row r="2161" spans="1:9">
      <c r="A2161" s="10" t="s">
        <v>3153</v>
      </c>
      <c r="B2161" s="124" t="s">
        <v>610</v>
      </c>
      <c r="C2161" s="124" t="s">
        <v>448</v>
      </c>
      <c r="D2161" s="12">
        <v>1187961</v>
      </c>
      <c r="E2161" s="82">
        <v>0.9767193368</v>
      </c>
      <c r="F2161" s="14">
        <v>1160304.48</v>
      </c>
      <c r="G2161" s="12">
        <v>0</v>
      </c>
      <c r="H2161" s="10"/>
      <c r="I2161" s="10"/>
    </row>
    <row r="2162" spans="1:9">
      <c r="A2162" s="10" t="s">
        <v>3154</v>
      </c>
      <c r="B2162" s="124" t="s">
        <v>461</v>
      </c>
      <c r="C2162" s="124" t="s">
        <v>448</v>
      </c>
      <c r="D2162" s="14">
        <v>4932055.16</v>
      </c>
      <c r="E2162" s="82">
        <v>0.97829014780000001</v>
      </c>
      <c r="F2162" s="14">
        <v>4824980.97</v>
      </c>
      <c r="G2162" s="14">
        <v>0.01</v>
      </c>
      <c r="H2162" s="10"/>
      <c r="I2162" s="10"/>
    </row>
    <row r="2163" spans="1:9">
      <c r="A2163" s="10" t="s">
        <v>3155</v>
      </c>
      <c r="B2163" s="124" t="s">
        <v>559</v>
      </c>
      <c r="C2163" s="124" t="s">
        <v>448</v>
      </c>
      <c r="D2163" s="14">
        <v>1502543.92</v>
      </c>
      <c r="E2163" s="82">
        <v>0.97750411829999995</v>
      </c>
      <c r="F2163" s="14">
        <v>1468742.87</v>
      </c>
      <c r="G2163" s="12">
        <v>0</v>
      </c>
      <c r="H2163" s="10"/>
      <c r="I2163" s="10"/>
    </row>
    <row r="2164" spans="1:9">
      <c r="A2164" s="10" t="s">
        <v>3156</v>
      </c>
      <c r="B2164" s="124" t="s">
        <v>255</v>
      </c>
      <c r="C2164" s="124" t="s">
        <v>448</v>
      </c>
      <c r="D2164" s="12">
        <v>50000000</v>
      </c>
      <c r="E2164" s="82">
        <v>0.93753218780000003</v>
      </c>
      <c r="F2164" s="14">
        <v>46876609.390000001</v>
      </c>
      <c r="G2164" s="14">
        <v>0.06</v>
      </c>
      <c r="H2164" s="10"/>
      <c r="I2164" s="10"/>
    </row>
    <row r="2165" spans="1:9">
      <c r="A2165" s="10" t="s">
        <v>3157</v>
      </c>
      <c r="B2165" s="124" t="s">
        <v>634</v>
      </c>
      <c r="C2165" s="124" t="s">
        <v>448</v>
      </c>
      <c r="D2165" s="12">
        <v>25000000</v>
      </c>
      <c r="E2165" s="82">
        <v>0.96940408150000001</v>
      </c>
      <c r="F2165" s="14">
        <v>24235102.039999999</v>
      </c>
      <c r="G2165" s="14">
        <v>0.03</v>
      </c>
      <c r="H2165" s="10"/>
      <c r="I2165" s="10"/>
    </row>
    <row r="2166" spans="1:9">
      <c r="A2166" s="10" t="s">
        <v>3158</v>
      </c>
      <c r="B2166" s="124" t="s">
        <v>556</v>
      </c>
      <c r="C2166" s="124" t="s">
        <v>448</v>
      </c>
      <c r="D2166" s="12">
        <v>25000000</v>
      </c>
      <c r="E2166" s="82">
        <v>0.96367101259999999</v>
      </c>
      <c r="F2166" s="14">
        <v>24091775.32</v>
      </c>
      <c r="G2166" s="14">
        <v>0.03</v>
      </c>
      <c r="H2166" s="10"/>
      <c r="I2166" s="10"/>
    </row>
    <row r="2167" spans="1:9">
      <c r="A2167" s="10" t="s">
        <v>3159</v>
      </c>
      <c r="B2167" s="124" t="s">
        <v>456</v>
      </c>
      <c r="C2167" s="124" t="s">
        <v>448</v>
      </c>
      <c r="D2167" s="12">
        <v>5000000</v>
      </c>
      <c r="E2167" s="156">
        <v>0.98862410000000001</v>
      </c>
      <c r="F2167" s="153">
        <v>4943120.5</v>
      </c>
      <c r="G2167" s="14">
        <v>0.01</v>
      </c>
      <c r="H2167" s="10"/>
      <c r="I2167" s="10"/>
    </row>
    <row r="2168" spans="1:9">
      <c r="A2168" s="10" t="s">
        <v>3160</v>
      </c>
      <c r="B2168" s="124" t="s">
        <v>746</v>
      </c>
      <c r="C2168" s="124" t="s">
        <v>448</v>
      </c>
      <c r="D2168" s="12">
        <v>4000000</v>
      </c>
      <c r="E2168" s="82">
        <v>0.98782138750000004</v>
      </c>
      <c r="F2168" s="14">
        <v>3951285.55</v>
      </c>
      <c r="G2168" s="12">
        <v>0</v>
      </c>
      <c r="H2168" s="10"/>
      <c r="I2168" s="10"/>
    </row>
    <row r="2169" spans="1:9">
      <c r="A2169" s="10" t="s">
        <v>3161</v>
      </c>
      <c r="B2169" s="124" t="s">
        <v>578</v>
      </c>
      <c r="C2169" s="124" t="s">
        <v>448</v>
      </c>
      <c r="D2169" s="12">
        <v>5000000</v>
      </c>
      <c r="E2169" s="21">
        <v>0.99509274000000003</v>
      </c>
      <c r="F2169" s="153">
        <v>4975463.7</v>
      </c>
      <c r="G2169" s="14">
        <v>0.01</v>
      </c>
      <c r="H2169" s="10"/>
      <c r="I2169" s="10"/>
    </row>
    <row r="2170" spans="1:9">
      <c r="A2170" s="10" t="s">
        <v>3162</v>
      </c>
      <c r="B2170" s="124" t="s">
        <v>459</v>
      </c>
      <c r="C2170" s="124" t="s">
        <v>448</v>
      </c>
      <c r="D2170" s="12">
        <v>50000000</v>
      </c>
      <c r="E2170" s="82">
        <v>0.9838276105</v>
      </c>
      <c r="F2170" s="14">
        <v>49191380.530000001</v>
      </c>
      <c r="G2170" s="14">
        <v>0.06</v>
      </c>
      <c r="H2170" s="10"/>
      <c r="I2170" s="10"/>
    </row>
    <row r="2171" spans="1:9">
      <c r="A2171" s="10" t="s">
        <v>3163</v>
      </c>
      <c r="B2171" s="124" t="s">
        <v>419</v>
      </c>
      <c r="C2171" s="124" t="s">
        <v>448</v>
      </c>
      <c r="D2171" s="12">
        <v>286000000</v>
      </c>
      <c r="E2171" s="82">
        <v>0.95240580669999997</v>
      </c>
      <c r="F2171" s="14">
        <v>272388060.72000003</v>
      </c>
      <c r="G2171" s="14">
        <v>0.33</v>
      </c>
      <c r="H2171" s="10"/>
      <c r="I2171" s="10"/>
    </row>
    <row r="2172" spans="1:9">
      <c r="A2172" s="10" t="s">
        <v>3164</v>
      </c>
      <c r="B2172" s="124" t="s">
        <v>419</v>
      </c>
      <c r="C2172" s="124" t="s">
        <v>448</v>
      </c>
      <c r="D2172" s="12">
        <v>233000000</v>
      </c>
      <c r="E2172" s="82">
        <v>0.95240580669999997</v>
      </c>
      <c r="F2172" s="14">
        <v>221910552.96000001</v>
      </c>
      <c r="G2172" s="14">
        <v>0.27</v>
      </c>
      <c r="H2172" s="10"/>
      <c r="I2172" s="10"/>
    </row>
    <row r="2173" spans="1:9">
      <c r="A2173" s="10" t="s">
        <v>3165</v>
      </c>
      <c r="B2173" s="124" t="s">
        <v>718</v>
      </c>
      <c r="C2173" s="124" t="s">
        <v>448</v>
      </c>
      <c r="D2173" s="12">
        <v>8005239</v>
      </c>
      <c r="E2173" s="82">
        <v>0.97907726070000001</v>
      </c>
      <c r="F2173" s="14">
        <v>7837747.4699999997</v>
      </c>
      <c r="G2173" s="14">
        <v>0.01</v>
      </c>
      <c r="H2173" s="10"/>
      <c r="I2173" s="10"/>
    </row>
    <row r="2174" spans="1:9">
      <c r="A2174" s="10" t="s">
        <v>3175</v>
      </c>
      <c r="B2174" s="124" t="s">
        <v>746</v>
      </c>
      <c r="C2174" s="124" t="s">
        <v>417</v>
      </c>
      <c r="D2174" s="14">
        <v>720984.93</v>
      </c>
      <c r="E2174" s="157">
        <v>0.98862809799999996</v>
      </c>
      <c r="F2174" s="14">
        <v>712785.96</v>
      </c>
      <c r="G2174" s="12">
        <v>0</v>
      </c>
      <c r="H2174" s="10"/>
      <c r="I2174" s="10"/>
    </row>
    <row r="2175" spans="1:9">
      <c r="A2175" s="10" t="s">
        <v>3176</v>
      </c>
      <c r="B2175" s="124" t="s">
        <v>561</v>
      </c>
      <c r="C2175" s="124" t="s">
        <v>417</v>
      </c>
      <c r="D2175" s="14">
        <v>634421.24</v>
      </c>
      <c r="E2175" s="82">
        <v>0.99618040839999999</v>
      </c>
      <c r="F2175" s="14">
        <v>631998.01</v>
      </c>
      <c r="G2175" s="12">
        <v>0</v>
      </c>
      <c r="H2175" s="10"/>
      <c r="I2175" s="10"/>
    </row>
    <row r="2176" spans="1:9">
      <c r="A2176" s="10" t="s">
        <v>3177</v>
      </c>
      <c r="B2176" s="124" t="s">
        <v>636</v>
      </c>
      <c r="C2176" s="124" t="s">
        <v>417</v>
      </c>
      <c r="D2176" s="12">
        <v>1720542</v>
      </c>
      <c r="E2176" s="82">
        <v>0.94974656310000005</v>
      </c>
      <c r="F2176" s="14">
        <v>1634078.85</v>
      </c>
      <c r="G2176" s="12">
        <v>0</v>
      </c>
      <c r="H2176" s="10"/>
      <c r="I2176" s="10"/>
    </row>
    <row r="2177" spans="1:9">
      <c r="A2177" s="10" t="s">
        <v>3178</v>
      </c>
      <c r="B2177" s="124" t="s">
        <v>556</v>
      </c>
      <c r="C2177" s="124" t="s">
        <v>417</v>
      </c>
      <c r="D2177" s="12">
        <v>85103</v>
      </c>
      <c r="E2177" s="82">
        <v>0.96807821059999999</v>
      </c>
      <c r="F2177" s="14">
        <v>82386.36</v>
      </c>
      <c r="G2177" s="12">
        <v>0</v>
      </c>
      <c r="H2177" s="10"/>
      <c r="I2177" s="10"/>
    </row>
    <row r="2178" spans="1:9">
      <c r="A2178" s="10" t="s">
        <v>3179</v>
      </c>
      <c r="B2178" s="124" t="s">
        <v>459</v>
      </c>
      <c r="C2178" s="124" t="s">
        <v>417</v>
      </c>
      <c r="D2178" s="14">
        <v>621969.84</v>
      </c>
      <c r="E2178" s="82">
        <v>0.98489483040000003</v>
      </c>
      <c r="F2178" s="14">
        <v>612574.88</v>
      </c>
      <c r="G2178" s="12">
        <v>0</v>
      </c>
      <c r="H2178" s="10"/>
      <c r="I2178" s="10"/>
    </row>
    <row r="2179" spans="1:9">
      <c r="A2179" s="10" t="s">
        <v>3180</v>
      </c>
      <c r="B2179" s="124" t="s">
        <v>716</v>
      </c>
      <c r="C2179" s="124" t="s">
        <v>417</v>
      </c>
      <c r="D2179" s="12">
        <v>265110</v>
      </c>
      <c r="E2179" s="82">
        <v>0.98340926429999997</v>
      </c>
      <c r="F2179" s="14">
        <v>260711.63</v>
      </c>
      <c r="G2179" s="12">
        <v>0</v>
      </c>
      <c r="H2179" s="10"/>
      <c r="I2179" s="10"/>
    </row>
    <row r="2180" spans="1:9">
      <c r="A2180" s="10" t="s">
        <v>3181</v>
      </c>
      <c r="B2180" s="124" t="s">
        <v>657</v>
      </c>
      <c r="C2180" s="124" t="s">
        <v>417</v>
      </c>
      <c r="D2180" s="12">
        <v>293930</v>
      </c>
      <c r="E2180" s="82">
        <v>0.95461331009999995</v>
      </c>
      <c r="F2180" s="14">
        <v>280589.49</v>
      </c>
      <c r="G2180" s="12">
        <v>0</v>
      </c>
      <c r="H2180" s="10"/>
      <c r="I2180" s="10"/>
    </row>
    <row r="2181" spans="1:9">
      <c r="A2181" s="10" t="s">
        <v>3182</v>
      </c>
      <c r="B2181" s="124" t="s">
        <v>682</v>
      </c>
      <c r="C2181" s="124" t="s">
        <v>417</v>
      </c>
      <c r="D2181" s="153">
        <v>2116117.7000000002</v>
      </c>
      <c r="E2181" s="82">
        <v>0.9738619785</v>
      </c>
      <c r="F2181" s="14">
        <v>2060806.57</v>
      </c>
      <c r="G2181" s="12">
        <v>0</v>
      </c>
      <c r="H2181" s="10"/>
      <c r="I2181" s="10"/>
    </row>
    <row r="2182" spans="1:9">
      <c r="A2182" s="10" t="s">
        <v>3183</v>
      </c>
      <c r="B2182" s="124" t="s">
        <v>636</v>
      </c>
      <c r="C2182" s="124" t="s">
        <v>417</v>
      </c>
      <c r="D2182" s="12">
        <v>1720542</v>
      </c>
      <c r="E2182" s="82">
        <v>0.94974656310000005</v>
      </c>
      <c r="F2182" s="14">
        <v>1634078.85</v>
      </c>
      <c r="G2182" s="12">
        <v>0</v>
      </c>
      <c r="H2182" s="10"/>
      <c r="I2182" s="10"/>
    </row>
    <row r="2183" spans="1:9">
      <c r="A2183" s="10" t="s">
        <v>3184</v>
      </c>
      <c r="B2183" s="124" t="s">
        <v>746</v>
      </c>
      <c r="C2183" s="124" t="s">
        <v>417</v>
      </c>
      <c r="D2183" s="12">
        <v>85103</v>
      </c>
      <c r="E2183" s="82">
        <v>0.98862825060000004</v>
      </c>
      <c r="F2183" s="14">
        <v>84135.23</v>
      </c>
      <c r="G2183" s="12">
        <v>0</v>
      </c>
      <c r="H2183" s="10"/>
      <c r="I2183" s="10"/>
    </row>
    <row r="2184" spans="1:9">
      <c r="A2184" s="10" t="s">
        <v>3185</v>
      </c>
      <c r="B2184" s="124" t="s">
        <v>746</v>
      </c>
      <c r="C2184" s="124" t="s">
        <v>417</v>
      </c>
      <c r="D2184" s="14">
        <v>505705.48</v>
      </c>
      <c r="E2184" s="82">
        <v>0.98862814379999997</v>
      </c>
      <c r="F2184" s="14">
        <v>499954.67</v>
      </c>
      <c r="G2184" s="12">
        <v>0</v>
      </c>
      <c r="H2184" s="10"/>
      <c r="I2184" s="10"/>
    </row>
    <row r="2185" spans="1:9">
      <c r="A2185" s="10" t="s">
        <v>3186</v>
      </c>
      <c r="B2185" s="124" t="s">
        <v>459</v>
      </c>
      <c r="C2185" s="124" t="s">
        <v>417</v>
      </c>
      <c r="D2185" s="12">
        <v>534217</v>
      </c>
      <c r="E2185" s="82">
        <v>0.98489482719999999</v>
      </c>
      <c r="F2185" s="14">
        <v>526147.56000000006</v>
      </c>
      <c r="G2185" s="12">
        <v>0</v>
      </c>
      <c r="H2185" s="10"/>
      <c r="I2185" s="10"/>
    </row>
    <row r="2186" spans="1:9">
      <c r="A2186" s="10" t="s">
        <v>3187</v>
      </c>
      <c r="B2186" s="124" t="s">
        <v>510</v>
      </c>
      <c r="C2186" s="124" t="s">
        <v>417</v>
      </c>
      <c r="D2186" s="14">
        <v>534218.82999999996</v>
      </c>
      <c r="E2186" s="82">
        <v>0.98415153219999996</v>
      </c>
      <c r="F2186" s="14">
        <v>525752.28</v>
      </c>
      <c r="G2186" s="12">
        <v>0</v>
      </c>
      <c r="H2186" s="10"/>
      <c r="I2186" s="10"/>
    </row>
    <row r="2187" spans="1:9">
      <c r="A2187" s="10" t="s">
        <v>3188</v>
      </c>
      <c r="B2187" s="124" t="s">
        <v>578</v>
      </c>
      <c r="C2187" s="124" t="s">
        <v>417</v>
      </c>
      <c r="D2187" s="153">
        <v>2116117.7000000002</v>
      </c>
      <c r="E2187" s="82">
        <v>0.99542004679999996</v>
      </c>
      <c r="F2187" s="14">
        <v>2106425.98</v>
      </c>
      <c r="G2187" s="12">
        <v>0</v>
      </c>
      <c r="H2187" s="10"/>
      <c r="I2187" s="10"/>
    </row>
    <row r="2188" spans="1:9">
      <c r="A2188" s="10" t="s">
        <v>3189</v>
      </c>
      <c r="B2188" s="124" t="s">
        <v>561</v>
      </c>
      <c r="C2188" s="124" t="s">
        <v>417</v>
      </c>
      <c r="D2188" s="14">
        <v>168854.79</v>
      </c>
      <c r="E2188" s="82">
        <v>0.99618038659999997</v>
      </c>
      <c r="F2188" s="14">
        <v>168209.83</v>
      </c>
      <c r="G2188" s="12">
        <v>0</v>
      </c>
      <c r="H2188" s="10"/>
      <c r="I2188" s="10"/>
    </row>
    <row r="2189" spans="1:9">
      <c r="A2189" s="10" t="s">
        <v>3191</v>
      </c>
      <c r="B2189" s="124" t="s">
        <v>657</v>
      </c>
      <c r="C2189" s="124" t="s">
        <v>417</v>
      </c>
      <c r="D2189" s="14">
        <v>1622690.32</v>
      </c>
      <c r="E2189" s="157">
        <v>0.954613355</v>
      </c>
      <c r="F2189" s="14">
        <v>1549041.85</v>
      </c>
      <c r="G2189" s="12">
        <v>0</v>
      </c>
      <c r="H2189" s="10"/>
      <c r="I2189" s="10"/>
    </row>
    <row r="2190" spans="1:9">
      <c r="A2190" s="10" t="s">
        <v>3192</v>
      </c>
      <c r="B2190" s="124" t="s">
        <v>657</v>
      </c>
      <c r="C2190" s="124" t="s">
        <v>417</v>
      </c>
      <c r="D2190" s="12">
        <v>2532171</v>
      </c>
      <c r="E2190" s="82">
        <v>0.95461333790000003</v>
      </c>
      <c r="F2190" s="14">
        <v>2417244.21</v>
      </c>
      <c r="G2190" s="12">
        <v>0</v>
      </c>
      <c r="H2190" s="10"/>
      <c r="I2190" s="10"/>
    </row>
    <row r="2191" spans="1:9">
      <c r="A2191" s="10" t="s">
        <v>3193</v>
      </c>
      <c r="B2191" s="124" t="s">
        <v>992</v>
      </c>
      <c r="C2191" s="124" t="s">
        <v>417</v>
      </c>
      <c r="D2191" s="12">
        <v>39096780</v>
      </c>
      <c r="E2191" s="82">
        <v>0.92616106890000005</v>
      </c>
      <c r="F2191" s="14">
        <v>36209915.560000002</v>
      </c>
      <c r="G2191" s="14">
        <v>0.04</v>
      </c>
      <c r="H2191" s="10"/>
      <c r="I2191" s="10"/>
    </row>
    <row r="2192" spans="1:9">
      <c r="A2192" s="10" t="s">
        <v>3194</v>
      </c>
      <c r="B2192" s="124" t="s">
        <v>636</v>
      </c>
      <c r="C2192" s="124" t="s">
        <v>417</v>
      </c>
      <c r="D2192" s="12">
        <v>26800000</v>
      </c>
      <c r="E2192" s="82">
        <v>0.94633146580000005</v>
      </c>
      <c r="F2192" s="14">
        <v>25361683.280000001</v>
      </c>
      <c r="G2192" s="14">
        <v>0.03</v>
      </c>
      <c r="H2192" s="10"/>
      <c r="I2192" s="10"/>
    </row>
    <row r="2193" spans="1:9">
      <c r="A2193" s="10" t="s">
        <v>3195</v>
      </c>
      <c r="B2193" s="124" t="s">
        <v>616</v>
      </c>
      <c r="C2193" s="124" t="s">
        <v>417</v>
      </c>
      <c r="D2193" s="14">
        <v>27038520.739999998</v>
      </c>
      <c r="E2193" s="82">
        <v>0.92055500609999996</v>
      </c>
      <c r="F2193" s="14">
        <v>24890445.620000001</v>
      </c>
      <c r="G2193" s="14">
        <v>0.03</v>
      </c>
      <c r="H2193" s="10"/>
      <c r="I2193" s="10"/>
    </row>
    <row r="2194" spans="1:9">
      <c r="A2194" s="10" t="s">
        <v>3196</v>
      </c>
      <c r="B2194" s="124" t="s">
        <v>2704</v>
      </c>
      <c r="C2194" s="124" t="s">
        <v>417</v>
      </c>
      <c r="D2194" s="12">
        <v>26800000</v>
      </c>
      <c r="E2194" s="82">
        <v>0.92545652280000001</v>
      </c>
      <c r="F2194" s="14">
        <v>24802234.809999999</v>
      </c>
      <c r="G2194" s="14">
        <v>0.03</v>
      </c>
      <c r="H2194" s="10"/>
      <c r="I2194" s="10"/>
    </row>
    <row r="2195" spans="1:9">
      <c r="A2195" s="10" t="s">
        <v>3197</v>
      </c>
      <c r="B2195" s="124" t="s">
        <v>1781</v>
      </c>
      <c r="C2195" s="124" t="s">
        <v>417</v>
      </c>
      <c r="D2195" s="14">
        <v>27038520.739999998</v>
      </c>
      <c r="E2195" s="82">
        <v>0.94559591320000003</v>
      </c>
      <c r="F2195" s="14">
        <v>25567514.710000001</v>
      </c>
      <c r="G2195" s="14">
        <v>0.03</v>
      </c>
      <c r="H2195" s="10"/>
      <c r="I2195" s="10"/>
    </row>
    <row r="2196" spans="1:9">
      <c r="A2196" s="10" t="s">
        <v>3198</v>
      </c>
      <c r="B2196" s="124" t="s">
        <v>992</v>
      </c>
      <c r="C2196" s="124" t="s">
        <v>417</v>
      </c>
      <c r="D2196" s="12">
        <v>26800000</v>
      </c>
      <c r="E2196" s="82">
        <v>0.92616106890000005</v>
      </c>
      <c r="F2196" s="14">
        <v>24821116.649999999</v>
      </c>
      <c r="G2196" s="14">
        <v>0.03</v>
      </c>
      <c r="H2196" s="10"/>
      <c r="I2196" s="10"/>
    </row>
    <row r="2197" spans="1:9">
      <c r="A2197" s="10" t="s">
        <v>3199</v>
      </c>
      <c r="B2197" s="124" t="s">
        <v>1113</v>
      </c>
      <c r="C2197" s="124" t="s">
        <v>417</v>
      </c>
      <c r="D2197" s="12">
        <v>26800000</v>
      </c>
      <c r="E2197" s="82">
        <v>0.92686646130000006</v>
      </c>
      <c r="F2197" s="14">
        <v>24840021.16</v>
      </c>
      <c r="G2197" s="14">
        <v>0.03</v>
      </c>
      <c r="H2197" s="10"/>
      <c r="I2197" s="10"/>
    </row>
    <row r="2198" spans="1:9">
      <c r="A2198" s="10" t="s">
        <v>3200</v>
      </c>
      <c r="B2198" s="124" t="s">
        <v>1113</v>
      </c>
      <c r="C2198" s="124" t="s">
        <v>417</v>
      </c>
      <c r="D2198" s="12">
        <v>22250000</v>
      </c>
      <c r="E2198" s="82">
        <v>0.92686646130000006</v>
      </c>
      <c r="F2198" s="14">
        <v>20622778.760000002</v>
      </c>
      <c r="G2198" s="14">
        <v>0.03</v>
      </c>
      <c r="H2198" s="10"/>
      <c r="I2198" s="10"/>
    </row>
    <row r="2199" spans="1:9">
      <c r="A2199" s="10" t="s">
        <v>3201</v>
      </c>
      <c r="B2199" s="124" t="s">
        <v>255</v>
      </c>
      <c r="C2199" s="124" t="s">
        <v>417</v>
      </c>
      <c r="D2199" s="12">
        <v>20000000</v>
      </c>
      <c r="E2199" s="82">
        <v>0.94120694780000003</v>
      </c>
      <c r="F2199" s="14">
        <v>18824138.960000001</v>
      </c>
      <c r="G2199" s="14">
        <v>0.02</v>
      </c>
      <c r="H2199" s="10"/>
      <c r="I2199" s="10"/>
    </row>
    <row r="2200" spans="1:9">
      <c r="A2200" s="10" t="s">
        <v>3202</v>
      </c>
      <c r="B2200" s="124" t="s">
        <v>931</v>
      </c>
      <c r="C2200" s="124" t="s">
        <v>417</v>
      </c>
      <c r="D2200" s="12">
        <v>20000000</v>
      </c>
      <c r="E2200" s="82">
        <v>0.93469913829999995</v>
      </c>
      <c r="F2200" s="14">
        <v>18693982.77</v>
      </c>
      <c r="G2200" s="14">
        <v>0.02</v>
      </c>
      <c r="H2200" s="10"/>
      <c r="I2200" s="10"/>
    </row>
    <row r="2201" spans="1:9">
      <c r="A2201" s="10" t="s">
        <v>3203</v>
      </c>
      <c r="B2201" s="124" t="s">
        <v>667</v>
      </c>
      <c r="C2201" s="124" t="s">
        <v>417</v>
      </c>
      <c r="D2201" s="12">
        <v>20000000</v>
      </c>
      <c r="E2201" s="82">
        <v>0.96128522770000002</v>
      </c>
      <c r="F2201" s="14">
        <v>19225704.550000001</v>
      </c>
      <c r="G2201" s="14">
        <v>0.02</v>
      </c>
      <c r="H2201" s="10"/>
      <c r="I2201" s="10"/>
    </row>
    <row r="2202" spans="1:9">
      <c r="A2202" s="10" t="s">
        <v>3204</v>
      </c>
      <c r="B2202" s="124" t="s">
        <v>718</v>
      </c>
      <c r="C2202" s="124" t="s">
        <v>417</v>
      </c>
      <c r="D2202" s="12">
        <v>10000000</v>
      </c>
      <c r="E2202" s="82">
        <v>0.97907731259999997</v>
      </c>
      <c r="F2202" s="14">
        <v>9790773.1300000008</v>
      </c>
      <c r="G2202" s="14">
        <v>0.01</v>
      </c>
      <c r="H2202" s="10"/>
      <c r="I2202" s="10"/>
    </row>
    <row r="2203" spans="1:9">
      <c r="A2203" s="10" t="s">
        <v>3205</v>
      </c>
      <c r="B2203" s="124" t="s">
        <v>510</v>
      </c>
      <c r="C2203" s="124" t="s">
        <v>417</v>
      </c>
      <c r="D2203" s="12">
        <v>10000000</v>
      </c>
      <c r="E2203" s="82">
        <v>0.98303270890000005</v>
      </c>
      <c r="F2203" s="14">
        <v>9830327.0899999999</v>
      </c>
      <c r="G2203" s="14">
        <v>0.01</v>
      </c>
      <c r="H2203" s="10"/>
      <c r="I2203" s="10"/>
    </row>
    <row r="2204" spans="1:9">
      <c r="A2204" s="10" t="s">
        <v>3206</v>
      </c>
      <c r="B2204" s="124" t="s">
        <v>716</v>
      </c>
      <c r="C2204" s="124" t="s">
        <v>417</v>
      </c>
      <c r="D2204" s="12">
        <v>10000000</v>
      </c>
      <c r="E2204" s="82">
        <v>0.98223904220000002</v>
      </c>
      <c r="F2204" s="14">
        <v>9822390.4199999999</v>
      </c>
      <c r="G2204" s="14">
        <v>0.01</v>
      </c>
      <c r="H2204" s="10"/>
      <c r="I2204" s="10"/>
    </row>
    <row r="2205" spans="1:9">
      <c r="A2205" s="10" t="s">
        <v>3207</v>
      </c>
      <c r="B2205" s="124" t="s">
        <v>459</v>
      </c>
      <c r="C2205" s="124" t="s">
        <v>417</v>
      </c>
      <c r="D2205" s="12">
        <v>37500000</v>
      </c>
      <c r="E2205" s="82">
        <v>0.98382766190000004</v>
      </c>
      <c r="F2205" s="14">
        <v>36893537.32</v>
      </c>
      <c r="G2205" s="14">
        <v>0.05</v>
      </c>
      <c r="H2205" s="10"/>
      <c r="I2205" s="10"/>
    </row>
    <row r="2206" spans="1:9">
      <c r="A2206" s="10" t="s">
        <v>3208</v>
      </c>
      <c r="B2206" s="124" t="s">
        <v>459</v>
      </c>
      <c r="C2206" s="124" t="s">
        <v>417</v>
      </c>
      <c r="D2206" s="12">
        <v>37500000</v>
      </c>
      <c r="E2206" s="82">
        <v>0.98382766190000004</v>
      </c>
      <c r="F2206" s="14">
        <v>36893537.32</v>
      </c>
      <c r="G2206" s="14">
        <v>0.05</v>
      </c>
      <c r="H2206" s="10"/>
      <c r="I2206" s="10"/>
    </row>
    <row r="2207" spans="1:9">
      <c r="A2207" s="10" t="s">
        <v>3209</v>
      </c>
      <c r="B2207" s="124" t="s">
        <v>459</v>
      </c>
      <c r="C2207" s="124" t="s">
        <v>417</v>
      </c>
      <c r="D2207" s="12">
        <v>37500000</v>
      </c>
      <c r="E2207" s="82">
        <v>0.98382766190000004</v>
      </c>
      <c r="F2207" s="14">
        <v>36893537.32</v>
      </c>
      <c r="G2207" s="14">
        <v>0.05</v>
      </c>
      <c r="H2207" s="10"/>
      <c r="I2207" s="10"/>
    </row>
    <row r="2208" spans="1:9">
      <c r="A2208" s="10" t="s">
        <v>3210</v>
      </c>
      <c r="B2208" s="124" t="s">
        <v>459</v>
      </c>
      <c r="C2208" s="124" t="s">
        <v>417</v>
      </c>
      <c r="D2208" s="12">
        <v>37500000</v>
      </c>
      <c r="E2208" s="82">
        <v>0.98382766190000004</v>
      </c>
      <c r="F2208" s="14">
        <v>36893537.32</v>
      </c>
      <c r="G2208" s="14">
        <v>0.05</v>
      </c>
      <c r="H2208" s="10"/>
      <c r="I2208" s="10"/>
    </row>
    <row r="2209" spans="1:9">
      <c r="A2209" s="10" t="s">
        <v>3211</v>
      </c>
      <c r="B2209" s="124" t="s">
        <v>2484</v>
      </c>
      <c r="C2209" s="124" t="s">
        <v>417</v>
      </c>
      <c r="D2209" s="12">
        <v>28000000</v>
      </c>
      <c r="E2209" s="82">
        <v>0.87778371489999996</v>
      </c>
      <c r="F2209" s="14">
        <v>24577944.02</v>
      </c>
      <c r="G2209" s="14">
        <v>0.03</v>
      </c>
      <c r="H2209" s="10"/>
      <c r="I2209" s="10"/>
    </row>
    <row r="2210" spans="1:9">
      <c r="A2210" s="10" t="s">
        <v>3212</v>
      </c>
      <c r="B2210" s="124" t="s">
        <v>2199</v>
      </c>
      <c r="C2210" s="124" t="s">
        <v>417</v>
      </c>
      <c r="D2210" s="12">
        <v>25000000</v>
      </c>
      <c r="E2210" s="82">
        <v>0.87987852050000004</v>
      </c>
      <c r="F2210" s="14">
        <v>21996963.010000002</v>
      </c>
      <c r="G2210" s="14">
        <v>0.03</v>
      </c>
      <c r="H2210" s="10"/>
      <c r="I2210" s="10"/>
    </row>
    <row r="2211" spans="1:9">
      <c r="A2211" s="10" t="s">
        <v>3213</v>
      </c>
      <c r="B2211" s="124" t="s">
        <v>2333</v>
      </c>
      <c r="C2211" s="124" t="s">
        <v>417</v>
      </c>
      <c r="D2211" s="12">
        <v>25000000</v>
      </c>
      <c r="E2211" s="157">
        <v>0.89410394599999998</v>
      </c>
      <c r="F2211" s="14">
        <v>22352598.649999999</v>
      </c>
      <c r="G2211" s="14">
        <v>0.03</v>
      </c>
      <c r="H2211" s="10"/>
      <c r="I2211" s="10"/>
    </row>
    <row r="2212" spans="1:9">
      <c r="A2212" s="10" t="s">
        <v>3214</v>
      </c>
      <c r="B2212" s="124" t="s">
        <v>1624</v>
      </c>
      <c r="C2212" s="124" t="s">
        <v>417</v>
      </c>
      <c r="D2212" s="153">
        <v>335087.09999999998</v>
      </c>
      <c r="E2212" s="157">
        <v>0.930410391</v>
      </c>
      <c r="F2212" s="14">
        <v>311768.52</v>
      </c>
      <c r="G2212" s="12">
        <v>0</v>
      </c>
      <c r="H2212" s="10"/>
      <c r="I2212" s="10"/>
    </row>
    <row r="2213" spans="1:9">
      <c r="A2213" s="10" t="s">
        <v>3215</v>
      </c>
      <c r="B2213" s="124" t="s">
        <v>419</v>
      </c>
      <c r="C2213" s="124" t="s">
        <v>417</v>
      </c>
      <c r="D2213" s="153">
        <v>335087.09999999998</v>
      </c>
      <c r="E2213" s="82">
        <v>0.95599794790000003</v>
      </c>
      <c r="F2213" s="14">
        <v>320342.58</v>
      </c>
      <c r="G2213" s="12">
        <v>0</v>
      </c>
      <c r="H2213" s="10"/>
      <c r="I2213" s="10"/>
    </row>
    <row r="2214" spans="1:9">
      <c r="A2214" s="10" t="s">
        <v>3216</v>
      </c>
      <c r="B2214" s="124" t="s">
        <v>718</v>
      </c>
      <c r="C2214" s="124" t="s">
        <v>417</v>
      </c>
      <c r="D2214" s="14">
        <v>2437871.4500000002</v>
      </c>
      <c r="E2214" s="82">
        <v>0.97703309569999996</v>
      </c>
      <c r="F2214" s="14">
        <v>2381881.09</v>
      </c>
      <c r="G2214" s="12">
        <v>0</v>
      </c>
      <c r="H2214" s="10"/>
      <c r="I2214" s="10"/>
    </row>
    <row r="2215" spans="1:9">
      <c r="A2215" s="10" t="s">
        <v>3217</v>
      </c>
      <c r="B2215" s="124" t="s">
        <v>627</v>
      </c>
      <c r="C2215" s="124" t="s">
        <v>417</v>
      </c>
      <c r="D2215" s="12">
        <v>4000000</v>
      </c>
      <c r="E2215" s="157">
        <v>0.94854470300000004</v>
      </c>
      <c r="F2215" s="14">
        <v>3794178.81</v>
      </c>
      <c r="G2215" s="12">
        <v>0</v>
      </c>
      <c r="H2215" s="10"/>
      <c r="I2215" s="10"/>
    </row>
    <row r="2216" spans="1:9">
      <c r="A2216" s="10" t="s">
        <v>3218</v>
      </c>
      <c r="B2216" s="124" t="s">
        <v>657</v>
      </c>
      <c r="C2216" s="124" t="s">
        <v>417</v>
      </c>
      <c r="D2216" s="12">
        <v>4000000</v>
      </c>
      <c r="E2216" s="82">
        <v>0.94692067209999997</v>
      </c>
      <c r="F2216" s="14">
        <v>3787682.69</v>
      </c>
      <c r="G2216" s="12">
        <v>0</v>
      </c>
      <c r="H2216" s="10"/>
      <c r="I2216" s="10"/>
    </row>
    <row r="2217" spans="1:9">
      <c r="A2217" s="10" t="s">
        <v>3219</v>
      </c>
      <c r="B2217" s="124" t="s">
        <v>670</v>
      </c>
      <c r="C2217" s="124" t="s">
        <v>417</v>
      </c>
      <c r="D2217" s="12">
        <v>4000000</v>
      </c>
      <c r="E2217" s="82">
        <v>0.94208155289999995</v>
      </c>
      <c r="F2217" s="14">
        <v>3768326.21</v>
      </c>
      <c r="G2217" s="12">
        <v>0</v>
      </c>
      <c r="H2217" s="10"/>
      <c r="I2217" s="10"/>
    </row>
    <row r="2218" spans="1:9">
      <c r="A2218" s="10" t="s">
        <v>3220</v>
      </c>
      <c r="B2218" s="124" t="s">
        <v>573</v>
      </c>
      <c r="C2218" s="124" t="s">
        <v>417</v>
      </c>
      <c r="D2218" s="12">
        <v>260000</v>
      </c>
      <c r="E2218" s="82">
        <v>0.95345088410000001</v>
      </c>
      <c r="F2218" s="14">
        <v>247897.23</v>
      </c>
      <c r="G2218" s="12">
        <v>0</v>
      </c>
      <c r="H2218" s="10"/>
      <c r="I2218" s="10"/>
    </row>
    <row r="2219" spans="1:9">
      <c r="A2219" s="10" t="s">
        <v>3221</v>
      </c>
      <c r="B2219" s="124" t="s">
        <v>667</v>
      </c>
      <c r="C2219" s="124" t="s">
        <v>417</v>
      </c>
      <c r="D2219" s="153">
        <v>1040712.9</v>
      </c>
      <c r="E2219" s="82">
        <v>0.95757797369999997</v>
      </c>
      <c r="F2219" s="14">
        <v>996563.75</v>
      </c>
      <c r="G2219" s="12">
        <v>0</v>
      </c>
      <c r="H2219" s="10"/>
      <c r="I2219" s="10"/>
    </row>
    <row r="2220" spans="1:9">
      <c r="A2220" s="10" t="s">
        <v>3222</v>
      </c>
      <c r="B2220" s="124" t="s">
        <v>667</v>
      </c>
      <c r="C2220" s="124" t="s">
        <v>417</v>
      </c>
      <c r="D2220" s="14">
        <v>528139.15</v>
      </c>
      <c r="E2220" s="82">
        <v>0.95757797870000005</v>
      </c>
      <c r="F2220" s="14">
        <v>505734.42</v>
      </c>
      <c r="G2220" s="12">
        <v>0</v>
      </c>
      <c r="H2220" s="10"/>
      <c r="I2220" s="10"/>
    </row>
    <row r="2221" spans="1:9">
      <c r="A2221" s="10" t="s">
        <v>3223</v>
      </c>
      <c r="B2221" s="124" t="s">
        <v>614</v>
      </c>
      <c r="C2221" s="124" t="s">
        <v>417</v>
      </c>
      <c r="D2221" s="14">
        <v>528139.15</v>
      </c>
      <c r="E2221" s="82">
        <v>0.95674986419999997</v>
      </c>
      <c r="F2221" s="14">
        <v>505297.06</v>
      </c>
      <c r="G2221" s="12">
        <v>0</v>
      </c>
      <c r="H2221" s="10"/>
      <c r="I2221" s="10"/>
    </row>
    <row r="2222" spans="1:9">
      <c r="A2222" s="10" t="s">
        <v>3224</v>
      </c>
      <c r="B2222" s="124" t="s">
        <v>661</v>
      </c>
      <c r="C2222" s="124" t="s">
        <v>417</v>
      </c>
      <c r="D2222" s="14">
        <v>528139.15</v>
      </c>
      <c r="E2222" s="82">
        <v>0.95427354710000001</v>
      </c>
      <c r="F2222" s="14">
        <v>503989.22</v>
      </c>
      <c r="G2222" s="12">
        <v>0</v>
      </c>
      <c r="H2222" s="10"/>
      <c r="I2222" s="10"/>
    </row>
    <row r="2223" spans="1:9">
      <c r="A2223" s="10" t="s">
        <v>3225</v>
      </c>
      <c r="B2223" s="124" t="s">
        <v>573</v>
      </c>
      <c r="C2223" s="124" t="s">
        <v>417</v>
      </c>
      <c r="D2223" s="14">
        <v>528139.15</v>
      </c>
      <c r="E2223" s="82">
        <v>0.9534508478</v>
      </c>
      <c r="F2223" s="14">
        <v>503554.72</v>
      </c>
      <c r="G2223" s="12">
        <v>0</v>
      </c>
      <c r="H2223" s="10"/>
      <c r="I2223" s="10"/>
    </row>
    <row r="2224" spans="1:9">
      <c r="A2224" s="10" t="s">
        <v>3226</v>
      </c>
      <c r="B2224" s="124" t="s">
        <v>587</v>
      </c>
      <c r="C2224" s="124" t="s">
        <v>417</v>
      </c>
      <c r="D2224" s="14">
        <v>528139.15</v>
      </c>
      <c r="E2224" s="157">
        <v>0.95262960600000002</v>
      </c>
      <c r="F2224" s="14">
        <v>503120.99</v>
      </c>
      <c r="G2224" s="12">
        <v>0</v>
      </c>
      <c r="H2224" s="10"/>
      <c r="I2224" s="10"/>
    </row>
    <row r="2225" spans="1:9">
      <c r="A2225" s="10" t="s">
        <v>3227</v>
      </c>
      <c r="B2225" s="124" t="s">
        <v>636</v>
      </c>
      <c r="C2225" s="124" t="s">
        <v>417</v>
      </c>
      <c r="D2225" s="14">
        <v>528139.15</v>
      </c>
      <c r="E2225" s="82">
        <v>0.94127973669999998</v>
      </c>
      <c r="F2225" s="14">
        <v>497126.68</v>
      </c>
      <c r="G2225" s="12">
        <v>0</v>
      </c>
      <c r="H2225" s="10"/>
      <c r="I2225" s="10"/>
    </row>
    <row r="2226" spans="1:9">
      <c r="A2226" s="10" t="s">
        <v>3228</v>
      </c>
      <c r="B2226" s="124" t="s">
        <v>670</v>
      </c>
      <c r="C2226" s="124" t="s">
        <v>417</v>
      </c>
      <c r="D2226" s="14">
        <v>528139.15</v>
      </c>
      <c r="E2226" s="82">
        <v>0.94208155130000004</v>
      </c>
      <c r="F2226" s="14">
        <v>497550.15</v>
      </c>
      <c r="G2226" s="12">
        <v>0</v>
      </c>
      <c r="H2226" s="10"/>
      <c r="I2226" s="10"/>
    </row>
    <row r="2227" spans="1:9">
      <c r="A2227" s="10" t="s">
        <v>3229</v>
      </c>
      <c r="B2227" s="124" t="s">
        <v>743</v>
      </c>
      <c r="C2227" s="124" t="s">
        <v>417</v>
      </c>
      <c r="D2227" s="14">
        <v>528139.15</v>
      </c>
      <c r="E2227" s="82">
        <v>0.94288446449999996</v>
      </c>
      <c r="F2227" s="153">
        <v>497974.2</v>
      </c>
      <c r="G2227" s="12">
        <v>0</v>
      </c>
      <c r="H2227" s="10"/>
      <c r="I2227" s="10"/>
    </row>
    <row r="2228" spans="1:9">
      <c r="A2228" s="10" t="s">
        <v>3230</v>
      </c>
      <c r="B2228" s="124" t="s">
        <v>419</v>
      </c>
      <c r="C2228" s="124" t="s">
        <v>417</v>
      </c>
      <c r="D2228" s="14">
        <v>528139.15</v>
      </c>
      <c r="E2228" s="82">
        <v>0.95840779789999997</v>
      </c>
      <c r="F2228" s="14">
        <v>506172.68</v>
      </c>
      <c r="G2228" s="12">
        <v>0</v>
      </c>
      <c r="H2228" s="10"/>
      <c r="I2228" s="10"/>
    </row>
    <row r="2229" spans="1:9">
      <c r="A2229" s="10" t="s">
        <v>3231</v>
      </c>
      <c r="B2229" s="124" t="s">
        <v>657</v>
      </c>
      <c r="C2229" s="124" t="s">
        <v>417</v>
      </c>
      <c r="D2229" s="14">
        <v>528139.15</v>
      </c>
      <c r="E2229" s="82">
        <v>0.94692065540000003</v>
      </c>
      <c r="F2229" s="14">
        <v>500105.87</v>
      </c>
      <c r="G2229" s="12">
        <v>0</v>
      </c>
      <c r="H2229" s="10"/>
      <c r="I2229" s="10"/>
    </row>
    <row r="2230" spans="1:9">
      <c r="A2230" s="10" t="s">
        <v>3232</v>
      </c>
      <c r="B2230" s="124" t="s">
        <v>657</v>
      </c>
      <c r="C2230" s="124" t="s">
        <v>417</v>
      </c>
      <c r="D2230" s="14">
        <v>528139.15</v>
      </c>
      <c r="E2230" s="82">
        <v>0.94692065540000003</v>
      </c>
      <c r="F2230" s="14">
        <v>500105.87</v>
      </c>
      <c r="G2230" s="12">
        <v>0</v>
      </c>
      <c r="H2230" s="10"/>
      <c r="I2230" s="10"/>
    </row>
    <row r="2231" spans="1:9">
      <c r="A2231" s="10" t="s">
        <v>3233</v>
      </c>
      <c r="B2231" s="124" t="s">
        <v>762</v>
      </c>
      <c r="C2231" s="124" t="s">
        <v>417</v>
      </c>
      <c r="D2231" s="14">
        <v>528139.15</v>
      </c>
      <c r="E2231" s="82">
        <v>0.94773212679999996</v>
      </c>
      <c r="F2231" s="14">
        <v>500534.44</v>
      </c>
      <c r="G2231" s="12">
        <v>0</v>
      </c>
      <c r="H2231" s="10"/>
      <c r="I2231" s="10"/>
    </row>
    <row r="2232" spans="1:9">
      <c r="A2232" s="10" t="s">
        <v>3234</v>
      </c>
      <c r="B2232" s="124" t="s">
        <v>627</v>
      </c>
      <c r="C2232" s="124" t="s">
        <v>417</v>
      </c>
      <c r="D2232" s="14">
        <v>528139.15</v>
      </c>
      <c r="E2232" s="82">
        <v>0.94854467779999996</v>
      </c>
      <c r="F2232" s="14">
        <v>500963.58</v>
      </c>
      <c r="G2232" s="12">
        <v>0</v>
      </c>
      <c r="H2232" s="10"/>
      <c r="I2232" s="10"/>
    </row>
    <row r="2233" spans="1:9">
      <c r="A2233" s="10" t="s">
        <v>3235</v>
      </c>
      <c r="B2233" s="124" t="s">
        <v>657</v>
      </c>
      <c r="C2233" s="124" t="s">
        <v>417</v>
      </c>
      <c r="D2233" s="14">
        <v>528139.15</v>
      </c>
      <c r="E2233" s="82">
        <v>0.94692065540000003</v>
      </c>
      <c r="F2233" s="14">
        <v>500105.87</v>
      </c>
      <c r="G2233" s="12">
        <v>0</v>
      </c>
      <c r="H2233" s="10"/>
      <c r="I2233" s="10"/>
    </row>
    <row r="2234" spans="1:9">
      <c r="A2234" s="10" t="s">
        <v>3236</v>
      </c>
      <c r="B2234" s="124" t="s">
        <v>587</v>
      </c>
      <c r="C2234" s="124" t="s">
        <v>417</v>
      </c>
      <c r="D2234" s="14">
        <v>1418543.31</v>
      </c>
      <c r="E2234" s="82">
        <v>0.95262961010000002</v>
      </c>
      <c r="F2234" s="14">
        <v>1351346.36</v>
      </c>
      <c r="G2234" s="12">
        <v>0</v>
      </c>
      <c r="H2234" s="10"/>
      <c r="I2234" s="10"/>
    </row>
    <row r="2235" spans="1:9">
      <c r="A2235" s="10" t="s">
        <v>3237</v>
      </c>
      <c r="B2235" s="124" t="s">
        <v>627</v>
      </c>
      <c r="C2235" s="124" t="s">
        <v>417</v>
      </c>
      <c r="D2235" s="12">
        <v>1391500</v>
      </c>
      <c r="E2235" s="156">
        <v>0.94854470000000002</v>
      </c>
      <c r="F2235" s="14">
        <v>1319899.95</v>
      </c>
      <c r="G2235" s="12">
        <v>0</v>
      </c>
      <c r="H2235" s="10"/>
      <c r="I2235" s="10"/>
    </row>
    <row r="2236" spans="1:9">
      <c r="A2236" s="10" t="s">
        <v>3238</v>
      </c>
      <c r="B2236" s="124" t="s">
        <v>614</v>
      </c>
      <c r="C2236" s="124" t="s">
        <v>417</v>
      </c>
      <c r="D2236" s="14">
        <v>1288598.56</v>
      </c>
      <c r="E2236" s="82">
        <v>0.95674984289999998</v>
      </c>
      <c r="F2236" s="14">
        <v>1232866.47</v>
      </c>
      <c r="G2236" s="12">
        <v>0</v>
      </c>
      <c r="H2236" s="10"/>
      <c r="I2236" s="10"/>
    </row>
    <row r="2237" spans="1:9">
      <c r="A2237" s="10" t="s">
        <v>3239</v>
      </c>
      <c r="B2237" s="124" t="s">
        <v>556</v>
      </c>
      <c r="C2237" s="124" t="s">
        <v>417</v>
      </c>
      <c r="D2237" s="14">
        <v>1288598.56</v>
      </c>
      <c r="E2237" s="82">
        <v>0.96257828320000005</v>
      </c>
      <c r="F2237" s="14">
        <v>1240376.99</v>
      </c>
      <c r="G2237" s="12">
        <v>0</v>
      </c>
      <c r="H2237" s="10"/>
      <c r="I2237" s="10"/>
    </row>
    <row r="2238" spans="1:9">
      <c r="A2238" s="10" t="s">
        <v>3240</v>
      </c>
      <c r="B2238" s="124" t="s">
        <v>634</v>
      </c>
      <c r="C2238" s="124" t="s">
        <v>417</v>
      </c>
      <c r="D2238" s="14">
        <v>1288598.56</v>
      </c>
      <c r="E2238" s="82">
        <v>0.96847815780000002</v>
      </c>
      <c r="F2238" s="14">
        <v>1247979.56</v>
      </c>
      <c r="G2238" s="12">
        <v>0</v>
      </c>
      <c r="H2238" s="10"/>
      <c r="I2238" s="10"/>
    </row>
    <row r="2239" spans="1:9">
      <c r="A2239" s="10" t="s">
        <v>3241</v>
      </c>
      <c r="B2239" s="124" t="s">
        <v>419</v>
      </c>
      <c r="C2239" s="124" t="s">
        <v>417</v>
      </c>
      <c r="D2239" s="12">
        <v>5363359</v>
      </c>
      <c r="E2239" s="82">
        <v>0.95840779789999997</v>
      </c>
      <c r="F2239" s="14">
        <v>5140285.09</v>
      </c>
      <c r="G2239" s="14">
        <v>0.01</v>
      </c>
      <c r="H2239" s="10"/>
      <c r="I2239" s="10"/>
    </row>
    <row r="2240" spans="1:9">
      <c r="A2240" s="10" t="s">
        <v>3242</v>
      </c>
      <c r="B2240" s="124" t="s">
        <v>556</v>
      </c>
      <c r="C2240" s="124" t="s">
        <v>417</v>
      </c>
      <c r="D2240" s="12">
        <v>2000000</v>
      </c>
      <c r="E2240" s="82">
        <v>0.9625782799</v>
      </c>
      <c r="F2240" s="14">
        <v>1925156.56</v>
      </c>
      <c r="G2240" s="12">
        <v>0</v>
      </c>
      <c r="H2240" s="10"/>
      <c r="I2240" s="10"/>
    </row>
    <row r="2241" spans="1:9">
      <c r="A2241" s="10" t="s">
        <v>3243</v>
      </c>
      <c r="B2241" s="124" t="s">
        <v>556</v>
      </c>
      <c r="C2241" s="124" t="s">
        <v>417</v>
      </c>
      <c r="D2241" s="153">
        <v>3966584.9</v>
      </c>
      <c r="E2241" s="82">
        <v>0.96257827770000004</v>
      </c>
      <c r="F2241" s="14">
        <v>3818148.46</v>
      </c>
      <c r="G2241" s="12">
        <v>0</v>
      </c>
      <c r="H2241" s="10"/>
      <c r="I2241" s="10"/>
    </row>
    <row r="2242" spans="1:9">
      <c r="A2242" s="10" t="s">
        <v>3244</v>
      </c>
      <c r="B2242" s="124" t="s">
        <v>614</v>
      </c>
      <c r="C2242" s="124" t="s">
        <v>417</v>
      </c>
      <c r="D2242" s="153">
        <v>2030740.4</v>
      </c>
      <c r="E2242" s="82">
        <v>0.95674985290000003</v>
      </c>
      <c r="F2242" s="14">
        <v>1942910.58</v>
      </c>
      <c r="G2242" s="12">
        <v>0</v>
      </c>
      <c r="H2242" s="10"/>
      <c r="I2242" s="10"/>
    </row>
    <row r="2243" spans="1:9">
      <c r="A2243" s="10" t="s">
        <v>3245</v>
      </c>
      <c r="B2243" s="124" t="s">
        <v>556</v>
      </c>
      <c r="C2243" s="124" t="s">
        <v>417</v>
      </c>
      <c r="D2243" s="14">
        <v>3171089.32</v>
      </c>
      <c r="E2243" s="82">
        <v>0.9625782853</v>
      </c>
      <c r="F2243" s="14">
        <v>3052421.72</v>
      </c>
      <c r="G2243" s="12">
        <v>0</v>
      </c>
      <c r="H2243" s="10"/>
      <c r="I2243" s="10"/>
    </row>
    <row r="2244" spans="1:9">
      <c r="A2244" s="10" t="s">
        <v>3246</v>
      </c>
      <c r="B2244" s="124" t="s">
        <v>667</v>
      </c>
      <c r="C2244" s="124" t="s">
        <v>417</v>
      </c>
      <c r="D2244" s="14">
        <v>3171089.33</v>
      </c>
      <c r="E2244" s="82">
        <v>0.9575779848</v>
      </c>
      <c r="F2244" s="14">
        <v>3036565.33</v>
      </c>
      <c r="G2244" s="12">
        <v>0</v>
      </c>
      <c r="H2244" s="10"/>
      <c r="I2244" s="10"/>
    </row>
    <row r="2245" spans="1:9">
      <c r="A2245" s="10" t="s">
        <v>3247</v>
      </c>
      <c r="B2245" s="124" t="s">
        <v>556</v>
      </c>
      <c r="C2245" s="124" t="s">
        <v>417</v>
      </c>
      <c r="D2245" s="14">
        <v>523149.89</v>
      </c>
      <c r="E2245" s="82">
        <v>0.96257823949999999</v>
      </c>
      <c r="F2245" s="153">
        <v>503572.7</v>
      </c>
      <c r="G2245" s="12">
        <v>0</v>
      </c>
      <c r="H2245" s="10"/>
      <c r="I2245" s="10"/>
    </row>
    <row r="2246" spans="1:9">
      <c r="A2246" s="10" t="s">
        <v>3248</v>
      </c>
      <c r="B2246" s="124" t="s">
        <v>667</v>
      </c>
      <c r="C2246" s="124" t="s">
        <v>417</v>
      </c>
      <c r="D2246" s="12">
        <v>1210000</v>
      </c>
      <c r="E2246" s="82">
        <v>0.95757799219999995</v>
      </c>
      <c r="F2246" s="14">
        <v>1158669.3700000001</v>
      </c>
      <c r="G2246" s="12">
        <v>0</v>
      </c>
      <c r="H2246" s="10"/>
      <c r="I2246" s="10"/>
    </row>
    <row r="2247" spans="1:9">
      <c r="A2247" s="10" t="s">
        <v>3249</v>
      </c>
      <c r="B2247" s="124" t="s">
        <v>573</v>
      </c>
      <c r="C2247" s="124" t="s">
        <v>417</v>
      </c>
      <c r="D2247" s="14">
        <v>1217088.83</v>
      </c>
      <c r="E2247" s="82">
        <v>0.9534508666</v>
      </c>
      <c r="F2247" s="153">
        <v>1160434.3999999999</v>
      </c>
      <c r="G2247" s="12">
        <v>0</v>
      </c>
      <c r="H2247" s="10"/>
      <c r="I2247" s="10"/>
    </row>
    <row r="2248" spans="1:9">
      <c r="A2248" s="10" t="s">
        <v>3250</v>
      </c>
      <c r="B2248" s="124" t="s">
        <v>657</v>
      </c>
      <c r="C2248" s="124" t="s">
        <v>417</v>
      </c>
      <c r="D2248" s="12">
        <v>1341000</v>
      </c>
      <c r="E2248" s="82">
        <v>0.94692067820000003</v>
      </c>
      <c r="F2248" s="14">
        <v>1269820.6299999999</v>
      </c>
      <c r="G2248" s="12">
        <v>0</v>
      </c>
      <c r="H2248" s="10"/>
      <c r="I2248" s="10"/>
    </row>
    <row r="2249" spans="1:9">
      <c r="A2249" s="10" t="s">
        <v>3251</v>
      </c>
      <c r="B2249" s="124" t="s">
        <v>670</v>
      </c>
      <c r="C2249" s="124" t="s">
        <v>417</v>
      </c>
      <c r="D2249" s="12">
        <v>1490000</v>
      </c>
      <c r="E2249" s="82">
        <v>0.94208154960000001</v>
      </c>
      <c r="F2249" s="14">
        <v>1403701.51</v>
      </c>
      <c r="G2249" s="12">
        <v>0</v>
      </c>
      <c r="H2249" s="10"/>
      <c r="I2249" s="10"/>
    </row>
    <row r="2250" spans="1:9">
      <c r="A2250" s="10" t="s">
        <v>3252</v>
      </c>
      <c r="B2250" s="124" t="s">
        <v>657</v>
      </c>
      <c r="C2250" s="124" t="s">
        <v>417</v>
      </c>
      <c r="D2250" s="12">
        <v>149000</v>
      </c>
      <c r="E2250" s="82">
        <v>0.94692067059999996</v>
      </c>
      <c r="F2250" s="14">
        <v>141091.18</v>
      </c>
      <c r="G2250" s="12">
        <v>0</v>
      </c>
      <c r="H2250" s="10"/>
      <c r="I2250" s="10"/>
    </row>
    <row r="2251" spans="1:9">
      <c r="A2251" s="10" t="s">
        <v>3253</v>
      </c>
      <c r="B2251" s="124" t="s">
        <v>587</v>
      </c>
      <c r="C2251" s="124" t="s">
        <v>417</v>
      </c>
      <c r="D2251" s="12">
        <v>1088222</v>
      </c>
      <c r="E2251" s="82">
        <v>0.95262960190000001</v>
      </c>
      <c r="F2251" s="14">
        <v>1036672.49</v>
      </c>
      <c r="G2251" s="12">
        <v>0</v>
      </c>
      <c r="H2251" s="10"/>
      <c r="I2251" s="10"/>
    </row>
    <row r="2252" spans="1:9">
      <c r="A2252" s="10" t="s">
        <v>3254</v>
      </c>
      <c r="B2252" s="124" t="s">
        <v>610</v>
      </c>
      <c r="C2252" s="124" t="s">
        <v>417</v>
      </c>
      <c r="D2252" s="12">
        <v>1400000</v>
      </c>
      <c r="E2252" s="82">
        <v>0.97445081440000003</v>
      </c>
      <c r="F2252" s="14">
        <v>1364231.14</v>
      </c>
      <c r="G2252" s="12">
        <v>0</v>
      </c>
      <c r="H2252" s="10"/>
      <c r="I2252" s="10"/>
    </row>
    <row r="2253" spans="1:9">
      <c r="A2253" s="10" t="s">
        <v>3255</v>
      </c>
      <c r="B2253" s="124" t="s">
        <v>587</v>
      </c>
      <c r="C2253" s="124" t="s">
        <v>417</v>
      </c>
      <c r="D2253" s="14">
        <v>290287.13</v>
      </c>
      <c r="E2253" s="82">
        <v>0.95262959089999999</v>
      </c>
      <c r="F2253" s="14">
        <v>276536.11</v>
      </c>
      <c r="G2253" s="12">
        <v>0</v>
      </c>
      <c r="H2253" s="10"/>
      <c r="I2253" s="10"/>
    </row>
    <row r="2254" spans="1:9">
      <c r="A2254" s="10" t="s">
        <v>3256</v>
      </c>
      <c r="B2254" s="124" t="s">
        <v>810</v>
      </c>
      <c r="C2254" s="124" t="s">
        <v>417</v>
      </c>
      <c r="D2254" s="12">
        <v>2787075</v>
      </c>
      <c r="E2254" s="82">
        <v>0.97102884540000001</v>
      </c>
      <c r="F2254" s="14">
        <v>2706330.22</v>
      </c>
      <c r="G2254" s="12">
        <v>0</v>
      </c>
      <c r="H2254" s="10"/>
      <c r="I2254" s="10"/>
    </row>
    <row r="2255" spans="1:9">
      <c r="A2255" s="10" t="s">
        <v>3257</v>
      </c>
      <c r="B2255" s="124" t="s">
        <v>419</v>
      </c>
      <c r="C2255" s="124" t="s">
        <v>417</v>
      </c>
      <c r="D2255" s="12">
        <v>2787075</v>
      </c>
      <c r="E2255" s="82">
        <v>0.95840779669999998</v>
      </c>
      <c r="F2255" s="14">
        <v>2671154.41</v>
      </c>
      <c r="G2255" s="12">
        <v>0</v>
      </c>
      <c r="H2255" s="10"/>
      <c r="I2255" s="10"/>
    </row>
    <row r="2256" spans="1:9">
      <c r="A2256" s="10" t="s">
        <v>3258</v>
      </c>
      <c r="B2256" s="124" t="s">
        <v>670</v>
      </c>
      <c r="C2256" s="124" t="s">
        <v>417</v>
      </c>
      <c r="D2256" s="153">
        <v>2787073.7</v>
      </c>
      <c r="E2256" s="82">
        <v>0.94208154960000001</v>
      </c>
      <c r="F2256" s="14">
        <v>2625650.71</v>
      </c>
      <c r="G2256" s="12">
        <v>0</v>
      </c>
      <c r="H2256" s="10"/>
      <c r="I2256" s="10"/>
    </row>
    <row r="2257" spans="1:9">
      <c r="A2257" s="10" t="s">
        <v>3259</v>
      </c>
      <c r="B2257" s="124" t="s">
        <v>657</v>
      </c>
      <c r="C2257" s="124" t="s">
        <v>417</v>
      </c>
      <c r="D2257" s="153">
        <v>200942.1</v>
      </c>
      <c r="E2257" s="157">
        <v>0.94692063100000001</v>
      </c>
      <c r="F2257" s="14">
        <v>190276.22</v>
      </c>
      <c r="G2257" s="12">
        <v>0</v>
      </c>
      <c r="H2257" s="10"/>
      <c r="I2257" s="10"/>
    </row>
    <row r="2258" spans="1:9">
      <c r="A2258" s="10" t="s">
        <v>3260</v>
      </c>
      <c r="B2258" s="124" t="s">
        <v>573</v>
      </c>
      <c r="C2258" s="124" t="s">
        <v>417</v>
      </c>
      <c r="D2258" s="12">
        <v>557284</v>
      </c>
      <c r="E2258" s="82">
        <v>0.95345084369999999</v>
      </c>
      <c r="F2258" s="153">
        <v>531342.9</v>
      </c>
      <c r="G2258" s="12">
        <v>0</v>
      </c>
      <c r="H2258" s="10"/>
      <c r="I2258" s="10"/>
    </row>
    <row r="2259" spans="1:9">
      <c r="A2259" s="10" t="s">
        <v>3261</v>
      </c>
      <c r="B2259" s="124" t="s">
        <v>419</v>
      </c>
      <c r="C2259" s="124" t="s">
        <v>417</v>
      </c>
      <c r="D2259" s="14">
        <v>672232.39</v>
      </c>
      <c r="E2259" s="82">
        <v>0.95840779070000004</v>
      </c>
      <c r="F2259" s="14">
        <v>644272.76</v>
      </c>
      <c r="G2259" s="12">
        <v>0</v>
      </c>
      <c r="H2259" s="10"/>
      <c r="I2259" s="10"/>
    </row>
    <row r="2260" spans="1:9">
      <c r="A2260" s="10" t="s">
        <v>3262</v>
      </c>
      <c r="B2260" s="124" t="s">
        <v>667</v>
      </c>
      <c r="C2260" s="124" t="s">
        <v>417</v>
      </c>
      <c r="D2260" s="14">
        <v>672232.39</v>
      </c>
      <c r="E2260" s="82">
        <v>0.95757798849999998</v>
      </c>
      <c r="F2260" s="14">
        <v>643714.93999999994</v>
      </c>
      <c r="G2260" s="12">
        <v>0</v>
      </c>
      <c r="H2260" s="10"/>
      <c r="I2260" s="10"/>
    </row>
    <row r="2261" spans="1:9">
      <c r="A2261" s="10" t="s">
        <v>3263</v>
      </c>
      <c r="B2261" s="124" t="s">
        <v>498</v>
      </c>
      <c r="C2261" s="124" t="s">
        <v>417</v>
      </c>
      <c r="D2261" s="14">
        <v>668750.99</v>
      </c>
      <c r="E2261" s="82">
        <v>0.97188215020000002</v>
      </c>
      <c r="F2261" s="14">
        <v>649947.15</v>
      </c>
      <c r="G2261" s="12">
        <v>0</v>
      </c>
      <c r="H2261" s="10"/>
      <c r="I2261" s="10"/>
    </row>
    <row r="2262" spans="1:9">
      <c r="A2262" s="10" t="s">
        <v>3264</v>
      </c>
      <c r="B2262" s="124" t="s">
        <v>419</v>
      </c>
      <c r="C2262" s="124" t="s">
        <v>417</v>
      </c>
      <c r="D2262" s="14">
        <v>672232.39</v>
      </c>
      <c r="E2262" s="82">
        <v>0.95840779070000004</v>
      </c>
      <c r="F2262" s="14">
        <v>644272.76</v>
      </c>
      <c r="G2262" s="12">
        <v>0</v>
      </c>
      <c r="H2262" s="10"/>
      <c r="I2262" s="10"/>
    </row>
    <row r="2263" spans="1:9">
      <c r="A2263" s="10" t="s">
        <v>3265</v>
      </c>
      <c r="B2263" s="124" t="s">
        <v>419</v>
      </c>
      <c r="C2263" s="124" t="s">
        <v>417</v>
      </c>
      <c r="D2263" s="14">
        <v>649795.28</v>
      </c>
      <c r="E2263" s="82">
        <v>0.95840779310000002</v>
      </c>
      <c r="F2263" s="14">
        <v>622768.86</v>
      </c>
      <c r="G2263" s="12">
        <v>0</v>
      </c>
      <c r="H2263" s="10"/>
      <c r="I2263" s="10"/>
    </row>
    <row r="2264" spans="1:9">
      <c r="A2264" s="10" t="s">
        <v>3266</v>
      </c>
      <c r="B2264" s="124" t="s">
        <v>752</v>
      </c>
      <c r="C2264" s="124" t="s">
        <v>417</v>
      </c>
      <c r="D2264" s="14">
        <v>672232.39</v>
      </c>
      <c r="E2264" s="82">
        <v>0.95923905129999998</v>
      </c>
      <c r="F2264" s="14">
        <v>644831.56000000006</v>
      </c>
      <c r="G2264" s="12">
        <v>0</v>
      </c>
      <c r="H2264" s="10"/>
      <c r="I2264" s="10"/>
    </row>
    <row r="2265" spans="1:9">
      <c r="A2265" s="10" t="s">
        <v>3267</v>
      </c>
      <c r="B2265" s="124" t="s">
        <v>925</v>
      </c>
      <c r="C2265" s="124" t="s">
        <v>417</v>
      </c>
      <c r="D2265" s="14">
        <v>649795.28</v>
      </c>
      <c r="E2265" s="82">
        <v>0.96007174719999999</v>
      </c>
      <c r="F2265" s="14">
        <v>623850.09</v>
      </c>
      <c r="G2265" s="12">
        <v>0</v>
      </c>
      <c r="H2265" s="10"/>
      <c r="I2265" s="10"/>
    </row>
    <row r="2266" spans="1:9">
      <c r="A2266" s="10" t="s">
        <v>3268</v>
      </c>
      <c r="B2266" s="124" t="s">
        <v>556</v>
      </c>
      <c r="C2266" s="124" t="s">
        <v>417</v>
      </c>
      <c r="D2266" s="14">
        <v>649795.28</v>
      </c>
      <c r="E2266" s="82">
        <v>0.96257829080000001</v>
      </c>
      <c r="F2266" s="14">
        <v>625478.82999999996</v>
      </c>
      <c r="G2266" s="12">
        <v>0</v>
      </c>
      <c r="H2266" s="10"/>
      <c r="I2266" s="10"/>
    </row>
    <row r="2267" spans="1:9">
      <c r="A2267" s="10" t="s">
        <v>3269</v>
      </c>
      <c r="B2267" s="124" t="s">
        <v>556</v>
      </c>
      <c r="C2267" s="124" t="s">
        <v>417</v>
      </c>
      <c r="D2267" s="14">
        <v>649795.28</v>
      </c>
      <c r="E2267" s="82">
        <v>0.96257829080000001</v>
      </c>
      <c r="F2267" s="14">
        <v>625478.82999999996</v>
      </c>
      <c r="G2267" s="12">
        <v>0</v>
      </c>
      <c r="H2267" s="10"/>
      <c r="I2267" s="10"/>
    </row>
    <row r="2268" spans="1:9">
      <c r="A2268" s="10" t="s">
        <v>3270</v>
      </c>
      <c r="B2268" s="124" t="s">
        <v>419</v>
      </c>
      <c r="C2268" s="124" t="s">
        <v>417</v>
      </c>
      <c r="D2268" s="14">
        <v>672232.39</v>
      </c>
      <c r="E2268" s="82">
        <v>0.95840779070000004</v>
      </c>
      <c r="F2268" s="14">
        <v>644272.76</v>
      </c>
      <c r="G2268" s="12">
        <v>0</v>
      </c>
      <c r="H2268" s="10"/>
      <c r="I2268" s="10"/>
    </row>
    <row r="2269" spans="1:9">
      <c r="A2269" s="10" t="s">
        <v>3271</v>
      </c>
      <c r="B2269" s="124" t="s">
        <v>810</v>
      </c>
      <c r="C2269" s="124" t="s">
        <v>417</v>
      </c>
      <c r="D2269" s="14">
        <v>668751.01</v>
      </c>
      <c r="E2269" s="82">
        <v>0.97102884369999998</v>
      </c>
      <c r="F2269" s="14">
        <v>649376.52</v>
      </c>
      <c r="G2269" s="12">
        <v>0</v>
      </c>
      <c r="H2269" s="10"/>
      <c r="I2269" s="10"/>
    </row>
    <row r="2270" spans="1:9">
      <c r="A2270" s="10" t="s">
        <v>3272</v>
      </c>
      <c r="B2270" s="124" t="s">
        <v>556</v>
      </c>
      <c r="C2270" s="124" t="s">
        <v>417</v>
      </c>
      <c r="D2270" s="14">
        <v>649795.28</v>
      </c>
      <c r="E2270" s="82">
        <v>0.96257829080000001</v>
      </c>
      <c r="F2270" s="14">
        <v>625478.82999999996</v>
      </c>
      <c r="G2270" s="12">
        <v>0</v>
      </c>
      <c r="H2270" s="10"/>
      <c r="I2270" s="10"/>
    </row>
    <row r="2271" spans="1:9">
      <c r="A2271" s="10" t="s">
        <v>3273</v>
      </c>
      <c r="B2271" s="124" t="s">
        <v>556</v>
      </c>
      <c r="C2271" s="124" t="s">
        <v>417</v>
      </c>
      <c r="D2271" s="14">
        <v>649795.28</v>
      </c>
      <c r="E2271" s="82">
        <v>0.96257829080000001</v>
      </c>
      <c r="F2271" s="14">
        <v>625478.82999999996</v>
      </c>
      <c r="G2271" s="12">
        <v>0</v>
      </c>
      <c r="H2271" s="10"/>
      <c r="I2271" s="10"/>
    </row>
    <row r="2272" spans="1:9">
      <c r="A2272" s="10" t="s">
        <v>3274</v>
      </c>
      <c r="B2272" s="124" t="s">
        <v>556</v>
      </c>
      <c r="C2272" s="124" t="s">
        <v>417</v>
      </c>
      <c r="D2272" s="14">
        <v>604613.32999999996</v>
      </c>
      <c r="E2272" s="82">
        <v>0.9625782973</v>
      </c>
      <c r="F2272" s="14">
        <v>581987.67000000004</v>
      </c>
      <c r="G2272" s="12">
        <v>0</v>
      </c>
      <c r="H2272" s="10"/>
      <c r="I2272" s="10"/>
    </row>
    <row r="2273" spans="1:9">
      <c r="A2273" s="10" t="s">
        <v>3275</v>
      </c>
      <c r="B2273" s="124" t="s">
        <v>645</v>
      </c>
      <c r="C2273" s="124" t="s">
        <v>417</v>
      </c>
      <c r="D2273" s="14">
        <v>604613.32999999996</v>
      </c>
      <c r="E2273" s="82">
        <v>0.97017705480000005</v>
      </c>
      <c r="F2273" s="14">
        <v>586581.98</v>
      </c>
      <c r="G2273" s="12">
        <v>0</v>
      </c>
      <c r="H2273" s="10"/>
      <c r="I2273" s="10"/>
    </row>
    <row r="2274" spans="1:9">
      <c r="A2274" s="10" t="s">
        <v>3276</v>
      </c>
      <c r="B2274" s="124" t="s">
        <v>556</v>
      </c>
      <c r="C2274" s="124" t="s">
        <v>417</v>
      </c>
      <c r="D2274" s="14">
        <v>649795.28</v>
      </c>
      <c r="E2274" s="82">
        <v>0.96257829080000001</v>
      </c>
      <c r="F2274" s="14">
        <v>625478.82999999996</v>
      </c>
      <c r="G2274" s="12">
        <v>0</v>
      </c>
      <c r="H2274" s="10"/>
      <c r="I2274" s="10"/>
    </row>
    <row r="2275" spans="1:9">
      <c r="A2275" s="10" t="s">
        <v>3277</v>
      </c>
      <c r="B2275" s="124" t="s">
        <v>267</v>
      </c>
      <c r="C2275" s="124" t="s">
        <v>417</v>
      </c>
      <c r="D2275" s="153">
        <v>546454.19999999995</v>
      </c>
      <c r="E2275" s="82">
        <v>0.96341678760000005</v>
      </c>
      <c r="F2275" s="14">
        <v>526463.15</v>
      </c>
      <c r="G2275" s="12">
        <v>0</v>
      </c>
      <c r="H2275" s="10"/>
      <c r="I2275" s="10"/>
    </row>
    <row r="2276" spans="1:9">
      <c r="A2276" s="10" t="s">
        <v>3278</v>
      </c>
      <c r="B2276" s="124" t="s">
        <v>634</v>
      </c>
      <c r="C2276" s="124" t="s">
        <v>417</v>
      </c>
      <c r="D2276" s="14">
        <v>604613.32999999996</v>
      </c>
      <c r="E2276" s="157">
        <v>0.96847816799999997</v>
      </c>
      <c r="F2276" s="14">
        <v>585554.81000000006</v>
      </c>
      <c r="G2276" s="12">
        <v>0</v>
      </c>
      <c r="H2276" s="10"/>
      <c r="I2276" s="10"/>
    </row>
    <row r="2277" spans="1:9">
      <c r="A2277" s="10" t="s">
        <v>3279</v>
      </c>
      <c r="B2277" s="124" t="s">
        <v>682</v>
      </c>
      <c r="C2277" s="124" t="s">
        <v>417</v>
      </c>
      <c r="D2277" s="14">
        <v>604613.32999999996</v>
      </c>
      <c r="E2277" s="82">
        <v>0.96932697450000005</v>
      </c>
      <c r="F2277" s="14">
        <v>586068.01</v>
      </c>
      <c r="G2277" s="12">
        <v>0</v>
      </c>
      <c r="H2277" s="10"/>
      <c r="I2277" s="10"/>
    </row>
    <row r="2278" spans="1:9">
      <c r="A2278" s="10" t="s">
        <v>3280</v>
      </c>
      <c r="B2278" s="124" t="s">
        <v>661</v>
      </c>
      <c r="C2278" s="124" t="s">
        <v>417</v>
      </c>
      <c r="D2278" s="14">
        <v>672232.39</v>
      </c>
      <c r="E2278" s="82">
        <v>0.95427353650000002</v>
      </c>
      <c r="F2278" s="14">
        <v>641493.57999999996</v>
      </c>
      <c r="G2278" s="12">
        <v>0</v>
      </c>
      <c r="H2278" s="10"/>
      <c r="I2278" s="10"/>
    </row>
    <row r="2279" spans="1:9">
      <c r="A2279" s="10" t="s">
        <v>3281</v>
      </c>
      <c r="B2279" s="124" t="s">
        <v>419</v>
      </c>
      <c r="C2279" s="124" t="s">
        <v>417</v>
      </c>
      <c r="D2279" s="14">
        <v>649795.28</v>
      </c>
      <c r="E2279" s="82">
        <v>0.95840779310000002</v>
      </c>
      <c r="F2279" s="14">
        <v>622768.86</v>
      </c>
      <c r="G2279" s="12">
        <v>0</v>
      </c>
      <c r="H2279" s="10"/>
      <c r="I2279" s="10"/>
    </row>
    <row r="2280" spans="1:9">
      <c r="A2280" s="10" t="s">
        <v>3282</v>
      </c>
      <c r="B2280" s="124" t="s">
        <v>419</v>
      </c>
      <c r="C2280" s="124" t="s">
        <v>417</v>
      </c>
      <c r="D2280" s="14">
        <v>649795.28</v>
      </c>
      <c r="E2280" s="82">
        <v>0.95840779310000002</v>
      </c>
      <c r="F2280" s="14">
        <v>622768.86</v>
      </c>
      <c r="G2280" s="12">
        <v>0</v>
      </c>
      <c r="H2280" s="10"/>
      <c r="I2280" s="10"/>
    </row>
    <row r="2281" spans="1:9">
      <c r="A2281" s="10" t="s">
        <v>3283</v>
      </c>
      <c r="B2281" s="124" t="s">
        <v>752</v>
      </c>
      <c r="C2281" s="124" t="s">
        <v>417</v>
      </c>
      <c r="D2281" s="14">
        <v>649795.28</v>
      </c>
      <c r="E2281" s="82">
        <v>0.95923903939999999</v>
      </c>
      <c r="F2281" s="12">
        <v>623309</v>
      </c>
      <c r="G2281" s="12">
        <v>0</v>
      </c>
      <c r="H2281" s="10"/>
      <c r="I2281" s="10"/>
    </row>
    <row r="2282" spans="1:9">
      <c r="A2282" s="10" t="s">
        <v>3284</v>
      </c>
      <c r="B2282" s="124" t="s">
        <v>556</v>
      </c>
      <c r="C2282" s="124" t="s">
        <v>417</v>
      </c>
      <c r="D2282" s="14">
        <v>604613.32999999996</v>
      </c>
      <c r="E2282" s="82">
        <v>0.9625782973</v>
      </c>
      <c r="F2282" s="14">
        <v>581987.67000000004</v>
      </c>
      <c r="G2282" s="12">
        <v>0</v>
      </c>
      <c r="H2282" s="10"/>
      <c r="I2282" s="10"/>
    </row>
    <row r="2283" spans="1:9">
      <c r="A2283" s="10" t="s">
        <v>3285</v>
      </c>
      <c r="B2283" s="124" t="s">
        <v>556</v>
      </c>
      <c r="C2283" s="124" t="s">
        <v>417</v>
      </c>
      <c r="D2283" s="14">
        <v>604613.32999999996</v>
      </c>
      <c r="E2283" s="82">
        <v>0.9625782973</v>
      </c>
      <c r="F2283" s="14">
        <v>581987.67000000004</v>
      </c>
      <c r="G2283" s="12">
        <v>0</v>
      </c>
      <c r="H2283" s="10"/>
      <c r="I2283" s="10"/>
    </row>
    <row r="2284" spans="1:9">
      <c r="A2284" s="10" t="s">
        <v>3286</v>
      </c>
      <c r="B2284" s="124" t="s">
        <v>267</v>
      </c>
      <c r="C2284" s="124" t="s">
        <v>417</v>
      </c>
      <c r="D2284" s="14">
        <v>604613.32999999996</v>
      </c>
      <c r="E2284" s="82">
        <v>0.9634168005</v>
      </c>
      <c r="F2284" s="14">
        <v>582494.64</v>
      </c>
      <c r="G2284" s="12">
        <v>0</v>
      </c>
      <c r="H2284" s="10"/>
      <c r="I2284" s="10"/>
    </row>
    <row r="2285" spans="1:9">
      <c r="A2285" s="10" t="s">
        <v>3287</v>
      </c>
      <c r="B2285" s="124" t="s">
        <v>419</v>
      </c>
      <c r="C2285" s="124" t="s">
        <v>417</v>
      </c>
      <c r="D2285" s="12">
        <v>700000</v>
      </c>
      <c r="E2285" s="82">
        <v>0.95840778579999997</v>
      </c>
      <c r="F2285" s="14">
        <v>670885.44999999995</v>
      </c>
      <c r="G2285" s="12">
        <v>0</v>
      </c>
      <c r="H2285" s="10"/>
      <c r="I2285" s="10"/>
    </row>
    <row r="2286" spans="1:9">
      <c r="A2286" s="10" t="s">
        <v>3288</v>
      </c>
      <c r="B2286" s="124" t="s">
        <v>743</v>
      </c>
      <c r="C2286" s="124" t="s">
        <v>417</v>
      </c>
      <c r="D2286" s="12">
        <v>1800000</v>
      </c>
      <c r="E2286" s="82">
        <v>0.94288446120000002</v>
      </c>
      <c r="F2286" s="14">
        <v>1697192.03</v>
      </c>
      <c r="G2286" s="12">
        <v>0</v>
      </c>
      <c r="H2286" s="10"/>
      <c r="I2286" s="10"/>
    </row>
    <row r="2287" spans="1:9">
      <c r="A2287" s="10" t="s">
        <v>3289</v>
      </c>
      <c r="B2287" s="124" t="s">
        <v>636</v>
      </c>
      <c r="C2287" s="124" t="s">
        <v>417</v>
      </c>
      <c r="D2287" s="12">
        <v>1800000</v>
      </c>
      <c r="E2287" s="82">
        <v>0.94127976189999996</v>
      </c>
      <c r="F2287" s="14">
        <v>1694303.57</v>
      </c>
      <c r="G2287" s="12">
        <v>0</v>
      </c>
      <c r="H2287" s="10"/>
      <c r="I2287" s="10"/>
    </row>
    <row r="2288" spans="1:9">
      <c r="A2288" s="10" t="s">
        <v>3290</v>
      </c>
      <c r="B2288" s="124" t="s">
        <v>657</v>
      </c>
      <c r="C2288" s="124" t="s">
        <v>417</v>
      </c>
      <c r="D2288" s="12">
        <v>1800000</v>
      </c>
      <c r="E2288" s="82">
        <v>0.94692067209999997</v>
      </c>
      <c r="F2288" s="14">
        <v>1704457.21</v>
      </c>
      <c r="G2288" s="12">
        <v>0</v>
      </c>
      <c r="H2288" s="10"/>
      <c r="I2288" s="10"/>
    </row>
    <row r="2289" spans="1:9">
      <c r="A2289" s="10" t="s">
        <v>3291</v>
      </c>
      <c r="B2289" s="124" t="s">
        <v>667</v>
      </c>
      <c r="C2289" s="124" t="s">
        <v>417</v>
      </c>
      <c r="D2289" s="12">
        <v>1800000</v>
      </c>
      <c r="E2289" s="82">
        <v>0.95757798360000002</v>
      </c>
      <c r="F2289" s="14">
        <v>1723640.37</v>
      </c>
      <c r="G2289" s="12">
        <v>0</v>
      </c>
      <c r="H2289" s="10"/>
      <c r="I2289" s="10"/>
    </row>
    <row r="2290" spans="1:9">
      <c r="A2290" s="10" t="s">
        <v>3292</v>
      </c>
      <c r="B2290" s="124" t="s">
        <v>657</v>
      </c>
      <c r="C2290" s="124" t="s">
        <v>417</v>
      </c>
      <c r="D2290" s="12">
        <v>1800000</v>
      </c>
      <c r="E2290" s="82">
        <v>0.94692067209999997</v>
      </c>
      <c r="F2290" s="14">
        <v>1704457.21</v>
      </c>
      <c r="G2290" s="12">
        <v>0</v>
      </c>
      <c r="H2290" s="10"/>
      <c r="I2290" s="10"/>
    </row>
    <row r="2291" spans="1:9">
      <c r="A2291" s="10" t="s">
        <v>3293</v>
      </c>
      <c r="B2291" s="124" t="s">
        <v>627</v>
      </c>
      <c r="C2291" s="124" t="s">
        <v>417</v>
      </c>
      <c r="D2291" s="12">
        <v>1800000</v>
      </c>
      <c r="E2291" s="82">
        <v>0.94854470589999995</v>
      </c>
      <c r="F2291" s="14">
        <v>1707380.47</v>
      </c>
      <c r="G2291" s="12">
        <v>0</v>
      </c>
      <c r="H2291" s="10"/>
      <c r="I2291" s="10"/>
    </row>
    <row r="2292" spans="1:9">
      <c r="A2292" s="10" t="s">
        <v>3294</v>
      </c>
      <c r="B2292" s="124" t="s">
        <v>587</v>
      </c>
      <c r="C2292" s="124" t="s">
        <v>417</v>
      </c>
      <c r="D2292" s="12">
        <v>1800000</v>
      </c>
      <c r="E2292" s="82">
        <v>0.95262961150000003</v>
      </c>
      <c r="F2292" s="153">
        <v>1714733.3</v>
      </c>
      <c r="G2292" s="12">
        <v>0</v>
      </c>
      <c r="H2292" s="10"/>
      <c r="I2292" s="10"/>
    </row>
    <row r="2293" spans="1:9">
      <c r="A2293" s="10" t="s">
        <v>3295</v>
      </c>
      <c r="B2293" s="124" t="s">
        <v>661</v>
      </c>
      <c r="C2293" s="124" t="s">
        <v>417</v>
      </c>
      <c r="D2293" s="12">
        <v>1800000</v>
      </c>
      <c r="E2293" s="82">
        <v>0.95427353910000001</v>
      </c>
      <c r="F2293" s="14">
        <v>1717692.37</v>
      </c>
      <c r="G2293" s="12">
        <v>0</v>
      </c>
      <c r="H2293" s="10"/>
      <c r="I2293" s="10"/>
    </row>
    <row r="2294" spans="1:9">
      <c r="A2294" s="10" t="s">
        <v>3296</v>
      </c>
      <c r="B2294" s="124" t="s">
        <v>419</v>
      </c>
      <c r="C2294" s="124" t="s">
        <v>417</v>
      </c>
      <c r="D2294" s="12">
        <v>1800000</v>
      </c>
      <c r="E2294" s="82">
        <v>0.95840780520000002</v>
      </c>
      <c r="F2294" s="14">
        <v>1725134.05</v>
      </c>
      <c r="G2294" s="12">
        <v>0</v>
      </c>
      <c r="H2294" s="10"/>
      <c r="I2294" s="10"/>
    </row>
    <row r="2295" spans="1:9">
      <c r="A2295" s="10" t="s">
        <v>3297</v>
      </c>
      <c r="B2295" s="124" t="s">
        <v>925</v>
      </c>
      <c r="C2295" s="124" t="s">
        <v>417</v>
      </c>
      <c r="D2295" s="12">
        <v>1800000</v>
      </c>
      <c r="E2295" s="82">
        <v>0.96007173909999999</v>
      </c>
      <c r="F2295" s="14">
        <v>1728129.13</v>
      </c>
      <c r="G2295" s="12">
        <v>0</v>
      </c>
      <c r="H2295" s="10"/>
      <c r="I2295" s="10"/>
    </row>
    <row r="2296" spans="1:9">
      <c r="A2296" s="10" t="s">
        <v>3298</v>
      </c>
      <c r="B2296" s="124" t="s">
        <v>655</v>
      </c>
      <c r="C2296" s="124" t="s">
        <v>417</v>
      </c>
      <c r="D2296" s="12">
        <v>11250000</v>
      </c>
      <c r="E2296" s="82">
        <v>0.93098019350000005</v>
      </c>
      <c r="F2296" s="14">
        <v>10473527.18</v>
      </c>
      <c r="G2296" s="14">
        <v>0.01</v>
      </c>
      <c r="H2296" s="10"/>
      <c r="I2296" s="10"/>
    </row>
    <row r="2297" spans="1:9">
      <c r="A2297" s="10" t="s">
        <v>3299</v>
      </c>
      <c r="B2297" s="124" t="s">
        <v>663</v>
      </c>
      <c r="C2297" s="124" t="s">
        <v>417</v>
      </c>
      <c r="D2297" s="12">
        <v>100000000</v>
      </c>
      <c r="E2297" s="82">
        <v>0.93216892880000002</v>
      </c>
      <c r="F2297" s="14">
        <v>93216892.879999995</v>
      </c>
      <c r="G2297" s="14">
        <v>0.11</v>
      </c>
      <c r="H2297" s="10"/>
      <c r="I2297" s="10"/>
    </row>
    <row r="2298" spans="1:9">
      <c r="A2298" s="10" t="s">
        <v>3300</v>
      </c>
      <c r="B2298" s="124" t="s">
        <v>510</v>
      </c>
      <c r="C2298" s="124" t="s">
        <v>417</v>
      </c>
      <c r="D2298" s="12">
        <v>50000000</v>
      </c>
      <c r="E2298" s="82">
        <v>0.98303271110000001</v>
      </c>
      <c r="F2298" s="14">
        <v>49151635.560000002</v>
      </c>
      <c r="G2298" s="14">
        <v>0.06</v>
      </c>
      <c r="H2298" s="10"/>
      <c r="I2298" s="10"/>
    </row>
    <row r="2299" spans="1:9">
      <c r="A2299" s="10" t="s">
        <v>3327</v>
      </c>
      <c r="B2299" s="124" t="s">
        <v>556</v>
      </c>
      <c r="C2299" s="124" t="s">
        <v>475</v>
      </c>
      <c r="D2299" s="12">
        <v>1500000</v>
      </c>
      <c r="E2299" s="82">
        <v>0.96586409949999996</v>
      </c>
      <c r="F2299" s="14">
        <v>1448796.15</v>
      </c>
      <c r="G2299" s="12">
        <v>0</v>
      </c>
      <c r="H2299" s="10"/>
      <c r="I2299" s="10"/>
    </row>
    <row r="2300" spans="1:9">
      <c r="A2300" s="10" t="s">
        <v>3328</v>
      </c>
      <c r="B2300" s="124" t="s">
        <v>746</v>
      </c>
      <c r="C2300" s="124" t="s">
        <v>475</v>
      </c>
      <c r="D2300" s="12">
        <v>1500000</v>
      </c>
      <c r="E2300" s="82">
        <v>0.98782139989999995</v>
      </c>
      <c r="F2300" s="153">
        <v>1481732.1</v>
      </c>
      <c r="G2300" s="12">
        <v>0</v>
      </c>
      <c r="H2300" s="10"/>
      <c r="I2300" s="10"/>
    </row>
    <row r="2301" spans="1:9">
      <c r="A2301" s="10" t="s">
        <v>3329</v>
      </c>
      <c r="B2301" s="124" t="s">
        <v>459</v>
      </c>
      <c r="C2301" s="124" t="s">
        <v>475</v>
      </c>
      <c r="D2301" s="12">
        <v>1500000</v>
      </c>
      <c r="E2301" s="82">
        <v>0.98382764649999999</v>
      </c>
      <c r="F2301" s="14">
        <v>1475741.47</v>
      </c>
      <c r="G2301" s="12">
        <v>0</v>
      </c>
      <c r="H2301" s="10"/>
      <c r="I2301" s="10"/>
    </row>
    <row r="2302" spans="1:9">
      <c r="A2302" s="10" t="s">
        <v>3330</v>
      </c>
      <c r="B2302" s="124" t="s">
        <v>636</v>
      </c>
      <c r="C2302" s="124" t="s">
        <v>475</v>
      </c>
      <c r="D2302" s="14">
        <v>1343298.29</v>
      </c>
      <c r="E2302" s="82">
        <v>0.94633142859999997</v>
      </c>
      <c r="F2302" s="14">
        <v>1271205.3899999999</v>
      </c>
      <c r="G2302" s="12">
        <v>0</v>
      </c>
      <c r="H2302" s="10"/>
      <c r="I2302" s="10"/>
    </row>
    <row r="2303" spans="1:9">
      <c r="A2303" s="10" t="s">
        <v>3331</v>
      </c>
      <c r="B2303" s="124" t="s">
        <v>255</v>
      </c>
      <c r="C2303" s="124" t="s">
        <v>475</v>
      </c>
      <c r="D2303" s="12">
        <v>1500000</v>
      </c>
      <c r="E2303" s="82">
        <v>0.9412069072</v>
      </c>
      <c r="F2303" s="14">
        <v>1411810.36</v>
      </c>
      <c r="G2303" s="12">
        <v>0</v>
      </c>
      <c r="H2303" s="10"/>
      <c r="I2303" s="10"/>
    </row>
    <row r="2304" spans="1:9">
      <c r="A2304" s="10" t="s">
        <v>3332</v>
      </c>
      <c r="B2304" s="124" t="s">
        <v>667</v>
      </c>
      <c r="C2304" s="124" t="s">
        <v>475</v>
      </c>
      <c r="D2304" s="12">
        <v>1500000</v>
      </c>
      <c r="E2304" s="82">
        <v>0.96128541990000005</v>
      </c>
      <c r="F2304" s="14">
        <v>1441928.13</v>
      </c>
      <c r="G2304" s="12">
        <v>0</v>
      </c>
      <c r="H2304" s="10"/>
      <c r="I2304" s="10"/>
    </row>
    <row r="2305" spans="1:9">
      <c r="A2305" s="10" t="s">
        <v>3333</v>
      </c>
      <c r="B2305" s="124" t="s">
        <v>587</v>
      </c>
      <c r="C2305" s="124" t="s">
        <v>475</v>
      </c>
      <c r="D2305" s="12">
        <v>1500000</v>
      </c>
      <c r="E2305" s="82">
        <v>0.95674971369999995</v>
      </c>
      <c r="F2305" s="14">
        <v>1435124.57</v>
      </c>
      <c r="G2305" s="12">
        <v>0</v>
      </c>
      <c r="H2305" s="10"/>
      <c r="I2305" s="10"/>
    </row>
    <row r="2306" spans="1:9">
      <c r="A2306" s="10" t="s">
        <v>3334</v>
      </c>
      <c r="B2306" s="124" t="s">
        <v>657</v>
      </c>
      <c r="C2306" s="124" t="s">
        <v>475</v>
      </c>
      <c r="D2306" s="12">
        <v>1500000</v>
      </c>
      <c r="E2306" s="82">
        <v>0.95151205319999999</v>
      </c>
      <c r="F2306" s="14">
        <v>1427268.08</v>
      </c>
      <c r="G2306" s="12">
        <v>0</v>
      </c>
      <c r="H2306" s="10"/>
      <c r="I2306" s="10"/>
    </row>
    <row r="2307" spans="1:9">
      <c r="A2307" s="10" t="s">
        <v>3335</v>
      </c>
      <c r="B2307" s="124" t="s">
        <v>645</v>
      </c>
      <c r="C2307" s="124" t="s">
        <v>475</v>
      </c>
      <c r="D2307" s="12">
        <v>1500000</v>
      </c>
      <c r="E2307" s="82">
        <v>0.97281469990000002</v>
      </c>
      <c r="F2307" s="14">
        <v>1459222.05</v>
      </c>
      <c r="G2307" s="12">
        <v>0</v>
      </c>
      <c r="H2307" s="10"/>
      <c r="I2307" s="10"/>
    </row>
    <row r="2308" spans="1:9">
      <c r="A2308" s="10" t="s">
        <v>3336</v>
      </c>
      <c r="B2308" s="124" t="s">
        <v>559</v>
      </c>
      <c r="C2308" s="124" t="s">
        <v>475</v>
      </c>
      <c r="D2308" s="12">
        <v>1500000</v>
      </c>
      <c r="E2308" s="82">
        <v>0.97750414689999998</v>
      </c>
      <c r="F2308" s="14">
        <v>1466256.22</v>
      </c>
      <c r="G2308" s="12">
        <v>0</v>
      </c>
      <c r="H2308" s="10"/>
      <c r="I2308" s="10"/>
    </row>
    <row r="2309" spans="1:9">
      <c r="A2309" s="10" t="s">
        <v>3337</v>
      </c>
      <c r="B2309" s="124" t="s">
        <v>578</v>
      </c>
      <c r="C2309" s="124" t="s">
        <v>475</v>
      </c>
      <c r="D2309" s="14">
        <v>161938.32</v>
      </c>
      <c r="E2309" s="82">
        <v>0.99509276130000002</v>
      </c>
      <c r="F2309" s="14">
        <v>161143.65</v>
      </c>
      <c r="G2309" s="12">
        <v>0</v>
      </c>
      <c r="H2309" s="10"/>
      <c r="I2309" s="10"/>
    </row>
    <row r="2310" spans="1:9">
      <c r="A2310" s="10" t="s">
        <v>3338</v>
      </c>
      <c r="B2310" s="124" t="s">
        <v>459</v>
      </c>
      <c r="C2310" s="124" t="s">
        <v>475</v>
      </c>
      <c r="D2310" s="14">
        <v>5345228.12</v>
      </c>
      <c r="E2310" s="82">
        <v>0.98382764440000003</v>
      </c>
      <c r="F2310" s="14">
        <v>5258783.1900000004</v>
      </c>
      <c r="G2310" s="14">
        <v>0.01</v>
      </c>
      <c r="H2310" s="10"/>
      <c r="I2310" s="10"/>
    </row>
    <row r="2311" spans="1:9">
      <c r="A2311" s="10" t="s">
        <v>3339</v>
      </c>
      <c r="B2311" s="124" t="s">
        <v>561</v>
      </c>
      <c r="C2311" s="124" t="s">
        <v>475</v>
      </c>
      <c r="D2311" s="12">
        <v>3750000</v>
      </c>
      <c r="E2311" s="21">
        <v>0.99590732000000004</v>
      </c>
      <c r="F2311" s="14">
        <v>3734652.45</v>
      </c>
      <c r="G2311" s="12">
        <v>0</v>
      </c>
      <c r="H2311" s="10"/>
      <c r="I2311" s="10"/>
    </row>
    <row r="2312" spans="1:9">
      <c r="A2312" s="10" t="s">
        <v>3340</v>
      </c>
      <c r="B2312" s="124" t="s">
        <v>255</v>
      </c>
      <c r="C2312" s="124" t="s">
        <v>475</v>
      </c>
      <c r="D2312" s="14">
        <v>2853904.95</v>
      </c>
      <c r="E2312" s="82">
        <v>0.94120691089999997</v>
      </c>
      <c r="F2312" s="14">
        <v>2686115.06</v>
      </c>
      <c r="G2312" s="12">
        <v>0</v>
      </c>
      <c r="H2312" s="10"/>
      <c r="I2312" s="10"/>
    </row>
    <row r="2313" spans="1:9">
      <c r="A2313" s="10" t="s">
        <v>3341</v>
      </c>
      <c r="B2313" s="124" t="s">
        <v>741</v>
      </c>
      <c r="C2313" s="124" t="s">
        <v>475</v>
      </c>
      <c r="D2313" s="12">
        <v>5850000</v>
      </c>
      <c r="E2313" s="82">
        <v>0.93041047789999998</v>
      </c>
      <c r="F2313" s="153">
        <v>5442901.2999999998</v>
      </c>
      <c r="G2313" s="14">
        <v>0.01</v>
      </c>
      <c r="H2313" s="10"/>
      <c r="I2313" s="10"/>
    </row>
    <row r="2314" spans="1:9">
      <c r="A2314" s="10" t="s">
        <v>3342</v>
      </c>
      <c r="B2314" s="124" t="s">
        <v>556</v>
      </c>
      <c r="C2314" s="124" t="s">
        <v>475</v>
      </c>
      <c r="D2314" s="153">
        <v>5280714.5999999996</v>
      </c>
      <c r="E2314" s="82">
        <v>0.96586409289999997</v>
      </c>
      <c r="F2314" s="14">
        <v>5100452.62</v>
      </c>
      <c r="G2314" s="14">
        <v>0.01</v>
      </c>
      <c r="H2314" s="10"/>
      <c r="I2314" s="10"/>
    </row>
    <row r="2315" spans="1:9">
      <c r="A2315" s="10" t="s">
        <v>3343</v>
      </c>
      <c r="B2315" s="124" t="s">
        <v>670</v>
      </c>
      <c r="C2315" s="124" t="s">
        <v>475</v>
      </c>
      <c r="D2315" s="12">
        <v>10000000</v>
      </c>
      <c r="E2315" s="82">
        <v>0.94706812839999999</v>
      </c>
      <c r="F2315" s="14">
        <v>9470681.2799999993</v>
      </c>
      <c r="G2315" s="14">
        <v>0.01</v>
      </c>
      <c r="H2315" s="10"/>
      <c r="I2315" s="10"/>
    </row>
    <row r="2316" spans="1:9">
      <c r="A2316" s="10" t="s">
        <v>3344</v>
      </c>
      <c r="B2316" s="124" t="s">
        <v>461</v>
      </c>
      <c r="C2316" s="124" t="s">
        <v>475</v>
      </c>
      <c r="D2316" s="12">
        <v>8000000</v>
      </c>
      <c r="E2316" s="82">
        <v>0.9782901839</v>
      </c>
      <c r="F2316" s="14">
        <v>7826321.4699999997</v>
      </c>
      <c r="G2316" s="14">
        <v>0.01</v>
      </c>
      <c r="H2316" s="10"/>
      <c r="I2316" s="10"/>
    </row>
    <row r="2317" spans="1:9">
      <c r="A2317" s="10" t="s">
        <v>3345</v>
      </c>
      <c r="B2317" s="124" t="s">
        <v>716</v>
      </c>
      <c r="C2317" s="124" t="s">
        <v>475</v>
      </c>
      <c r="D2317" s="12">
        <v>10000000</v>
      </c>
      <c r="E2317" s="82">
        <v>0.9822390137</v>
      </c>
      <c r="F2317" s="14">
        <v>9822390.1400000006</v>
      </c>
      <c r="G2317" s="14">
        <v>0.01</v>
      </c>
      <c r="H2317" s="10"/>
      <c r="I2317" s="10"/>
    </row>
    <row r="2318" spans="1:9">
      <c r="A2318" s="10" t="s">
        <v>3346</v>
      </c>
      <c r="B2318" s="124" t="s">
        <v>718</v>
      </c>
      <c r="C2318" s="124" t="s">
        <v>475</v>
      </c>
      <c r="D2318" s="12">
        <v>10000000</v>
      </c>
      <c r="E2318" s="82">
        <v>0.97907728120000004</v>
      </c>
      <c r="F2318" s="14">
        <v>9790772.8100000005</v>
      </c>
      <c r="G2318" s="14">
        <v>0.01</v>
      </c>
      <c r="H2318" s="10"/>
      <c r="I2318" s="10"/>
    </row>
    <row r="2319" spans="1:9">
      <c r="A2319" s="10" t="s">
        <v>3347</v>
      </c>
      <c r="B2319" s="124" t="s">
        <v>552</v>
      </c>
      <c r="C2319" s="124" t="s">
        <v>475</v>
      </c>
      <c r="D2319" s="14">
        <v>9712653.25</v>
      </c>
      <c r="E2319" s="82">
        <v>0.96217214380000005</v>
      </c>
      <c r="F2319" s="153">
        <v>9345244.4000000004</v>
      </c>
      <c r="G2319" s="14">
        <v>0.01</v>
      </c>
      <c r="H2319" s="10"/>
      <c r="I2319" s="10"/>
    </row>
    <row r="2320" spans="1:9">
      <c r="A2320" s="10" t="s">
        <v>3348</v>
      </c>
      <c r="B2320" s="124" t="s">
        <v>718</v>
      </c>
      <c r="C2320" s="124" t="s">
        <v>475</v>
      </c>
      <c r="D2320" s="12">
        <v>9500000</v>
      </c>
      <c r="E2320" s="82">
        <v>0.97567498640000005</v>
      </c>
      <c r="F2320" s="14">
        <v>9268912.3699999992</v>
      </c>
      <c r="G2320" s="14">
        <v>0.01</v>
      </c>
      <c r="H2320" s="10"/>
      <c r="I2320" s="10"/>
    </row>
    <row r="2321" spans="1:9">
      <c r="A2321" s="10" t="s">
        <v>3349</v>
      </c>
      <c r="B2321" s="124" t="s">
        <v>2704</v>
      </c>
      <c r="C2321" s="124" t="s">
        <v>475</v>
      </c>
      <c r="D2321" s="12">
        <v>11250000</v>
      </c>
      <c r="E2321" s="82">
        <v>0.91860885240000001</v>
      </c>
      <c r="F2321" s="14">
        <v>10334349.59</v>
      </c>
      <c r="G2321" s="14">
        <v>0.01</v>
      </c>
      <c r="H2321" s="10"/>
      <c r="I2321" s="10"/>
    </row>
    <row r="2322" spans="1:9">
      <c r="A2322" s="10" t="s">
        <v>3350</v>
      </c>
      <c r="B2322" s="124" t="s">
        <v>1004</v>
      </c>
      <c r="C2322" s="124" t="s">
        <v>475</v>
      </c>
      <c r="D2322" s="12">
        <v>22000000</v>
      </c>
      <c r="E2322" s="82">
        <v>0.92090330170000001</v>
      </c>
      <c r="F2322" s="14">
        <v>20259872.640000001</v>
      </c>
      <c r="G2322" s="14">
        <v>0.02</v>
      </c>
      <c r="H2322" s="10"/>
      <c r="I2322" s="10"/>
    </row>
    <row r="2323" spans="1:9">
      <c r="A2323" s="10" t="s">
        <v>3351</v>
      </c>
      <c r="B2323" s="124" t="s">
        <v>1113</v>
      </c>
      <c r="C2323" s="124" t="s">
        <v>475</v>
      </c>
      <c r="D2323" s="12">
        <v>20000000</v>
      </c>
      <c r="E2323" s="157">
        <v>0.92013738099999998</v>
      </c>
      <c r="F2323" s="14">
        <v>18402747.620000001</v>
      </c>
      <c r="G2323" s="14">
        <v>0.02</v>
      </c>
      <c r="H2323" s="10"/>
      <c r="I2323" s="10"/>
    </row>
    <row r="2324" spans="1:9">
      <c r="A2324" s="10" t="s">
        <v>3352</v>
      </c>
      <c r="B2324" s="124" t="s">
        <v>552</v>
      </c>
      <c r="C2324" s="124" t="s">
        <v>475</v>
      </c>
      <c r="D2324" s="12">
        <v>20000000</v>
      </c>
      <c r="E2324" s="82">
        <v>0.96425647209999998</v>
      </c>
      <c r="F2324" s="14">
        <v>19285129.440000001</v>
      </c>
      <c r="G2324" s="14">
        <v>0.02</v>
      </c>
      <c r="H2324" s="10"/>
      <c r="I2324" s="10"/>
    </row>
    <row r="2325" spans="1:9">
      <c r="A2325" s="10" t="s">
        <v>3353</v>
      </c>
      <c r="B2325" s="124" t="s">
        <v>1461</v>
      </c>
      <c r="C2325" s="124" t="s">
        <v>475</v>
      </c>
      <c r="D2325" s="12">
        <v>20000000</v>
      </c>
      <c r="E2325" s="82">
        <v>0.93176424270000002</v>
      </c>
      <c r="F2325" s="14">
        <v>18635284.850000001</v>
      </c>
      <c r="G2325" s="14">
        <v>0.02</v>
      </c>
      <c r="H2325" s="10"/>
      <c r="I2325" s="10"/>
    </row>
    <row r="2326" spans="1:9">
      <c r="A2326" s="10" t="s">
        <v>3354</v>
      </c>
      <c r="B2326" s="124" t="s">
        <v>670</v>
      </c>
      <c r="C2326" s="124" t="s">
        <v>475</v>
      </c>
      <c r="D2326" s="12">
        <v>20000000</v>
      </c>
      <c r="E2326" s="82">
        <v>0.94208151490000003</v>
      </c>
      <c r="F2326" s="153">
        <v>18841630.300000001</v>
      </c>
      <c r="G2326" s="14">
        <v>0.02</v>
      </c>
      <c r="H2326" s="10"/>
      <c r="I2326" s="10"/>
    </row>
    <row r="2327" spans="1:9">
      <c r="A2327" s="10" t="s">
        <v>3355</v>
      </c>
      <c r="B2327" s="124" t="s">
        <v>1722</v>
      </c>
      <c r="C2327" s="124" t="s">
        <v>475</v>
      </c>
      <c r="D2327" s="14">
        <v>5101408.41</v>
      </c>
      <c r="E2327" s="82">
        <v>0.92630193760000001</v>
      </c>
      <c r="F2327" s="14">
        <v>4725444.49</v>
      </c>
      <c r="G2327" s="14">
        <v>0.01</v>
      </c>
      <c r="H2327" s="10"/>
      <c r="I2327" s="10"/>
    </row>
    <row r="2328" spans="1:9">
      <c r="A2328" s="10" t="s">
        <v>3356</v>
      </c>
      <c r="B2328" s="124" t="s">
        <v>974</v>
      </c>
      <c r="C2328" s="124" t="s">
        <v>475</v>
      </c>
      <c r="D2328" s="12">
        <v>4198532</v>
      </c>
      <c r="E2328" s="82">
        <v>0.92552701309999996</v>
      </c>
      <c r="F2328" s="14">
        <v>3885854.78</v>
      </c>
      <c r="G2328" s="12">
        <v>0</v>
      </c>
      <c r="H2328" s="10"/>
      <c r="I2328" s="10"/>
    </row>
    <row r="2329" spans="1:9">
      <c r="A2329" s="10" t="s">
        <v>3357</v>
      </c>
      <c r="B2329" s="124" t="s">
        <v>931</v>
      </c>
      <c r="C2329" s="124" t="s">
        <v>475</v>
      </c>
      <c r="D2329" s="12">
        <v>14000000</v>
      </c>
      <c r="E2329" s="82">
        <v>0.92863528070000001</v>
      </c>
      <c r="F2329" s="14">
        <v>13000893.93</v>
      </c>
      <c r="G2329" s="14">
        <v>0.02</v>
      </c>
      <c r="H2329" s="10"/>
      <c r="I2329" s="10"/>
    </row>
    <row r="2330" spans="1:9">
      <c r="A2330" s="10" t="s">
        <v>3358</v>
      </c>
      <c r="B2330" s="124" t="s">
        <v>663</v>
      </c>
      <c r="C2330" s="124" t="s">
        <v>475</v>
      </c>
      <c r="D2330" s="12">
        <v>10000000</v>
      </c>
      <c r="E2330" s="82">
        <v>0.93216888929999997</v>
      </c>
      <c r="F2330" s="14">
        <v>9321688.8900000006</v>
      </c>
      <c r="G2330" s="14">
        <v>0.01</v>
      </c>
      <c r="H2330" s="10"/>
      <c r="I2330" s="10"/>
    </row>
    <row r="2331" spans="1:9">
      <c r="A2331" s="10" t="s">
        <v>3359</v>
      </c>
      <c r="B2331" s="124" t="s">
        <v>573</v>
      </c>
      <c r="C2331" s="124" t="s">
        <v>475</v>
      </c>
      <c r="D2331" s="12">
        <v>10000000</v>
      </c>
      <c r="E2331" s="82">
        <v>0.95479764519999999</v>
      </c>
      <c r="F2331" s="14">
        <v>9547976.4499999993</v>
      </c>
      <c r="G2331" s="14">
        <v>0.01</v>
      </c>
      <c r="H2331" s="10"/>
      <c r="I2331" s="10"/>
    </row>
    <row r="2332" spans="1:9">
      <c r="A2332" s="10" t="s">
        <v>3360</v>
      </c>
      <c r="B2332" s="124" t="s">
        <v>634</v>
      </c>
      <c r="C2332" s="124" t="s">
        <v>475</v>
      </c>
      <c r="D2332" s="14">
        <v>828399.88</v>
      </c>
      <c r="E2332" s="82">
        <v>0.96940411209999999</v>
      </c>
      <c r="F2332" s="14">
        <v>803054.25</v>
      </c>
      <c r="G2332" s="12">
        <v>0</v>
      </c>
      <c r="H2332" s="10"/>
      <c r="I2332" s="10"/>
    </row>
    <row r="2333" spans="1:9">
      <c r="A2333" s="10" t="s">
        <v>3361</v>
      </c>
      <c r="B2333" s="124" t="s">
        <v>556</v>
      </c>
      <c r="C2333" s="124" t="s">
        <v>475</v>
      </c>
      <c r="D2333" s="14">
        <v>1380247.28</v>
      </c>
      <c r="E2333" s="82">
        <v>0.96367104540000004</v>
      </c>
      <c r="F2333" s="14">
        <v>1330104.3400000001</v>
      </c>
      <c r="G2333" s="12">
        <v>0</v>
      </c>
      <c r="H2333" s="10"/>
      <c r="I2333" s="10"/>
    </row>
    <row r="2334" spans="1:9">
      <c r="A2334" s="10" t="s">
        <v>3362</v>
      </c>
      <c r="B2334" s="124" t="s">
        <v>459</v>
      </c>
      <c r="C2334" s="124" t="s">
        <v>475</v>
      </c>
      <c r="D2334" s="153">
        <v>1807987.1</v>
      </c>
      <c r="E2334" s="82">
        <v>0.98276806819999996</v>
      </c>
      <c r="F2334" s="14">
        <v>1776831.99</v>
      </c>
      <c r="G2334" s="12">
        <v>0</v>
      </c>
      <c r="H2334" s="10"/>
      <c r="I2334" s="10"/>
    </row>
    <row r="2335" spans="1:9">
      <c r="A2335" s="10" t="s">
        <v>3363</v>
      </c>
      <c r="B2335" s="124" t="s">
        <v>459</v>
      </c>
      <c r="C2335" s="124" t="s">
        <v>475</v>
      </c>
      <c r="D2335" s="12">
        <v>1300000</v>
      </c>
      <c r="E2335" s="82">
        <v>0.98276806930000005</v>
      </c>
      <c r="F2335" s="14">
        <v>1277598.49</v>
      </c>
      <c r="G2335" s="12">
        <v>0</v>
      </c>
      <c r="H2335" s="10"/>
      <c r="I2335" s="10"/>
    </row>
    <row r="2336" spans="1:9">
      <c r="A2336" s="10" t="s">
        <v>3364</v>
      </c>
      <c r="B2336" s="124" t="s">
        <v>645</v>
      </c>
      <c r="C2336" s="124" t="s">
        <v>475</v>
      </c>
      <c r="D2336" s="12">
        <v>1380000</v>
      </c>
      <c r="E2336" s="82">
        <v>0.97105482639999996</v>
      </c>
      <c r="F2336" s="14">
        <v>1340055.6599999999</v>
      </c>
      <c r="G2336" s="12">
        <v>0</v>
      </c>
      <c r="H2336" s="10"/>
      <c r="I2336" s="10"/>
    </row>
    <row r="2337" spans="1:9">
      <c r="A2337" s="10" t="s">
        <v>3365</v>
      </c>
      <c r="B2337" s="124" t="s">
        <v>645</v>
      </c>
      <c r="C2337" s="124" t="s">
        <v>475</v>
      </c>
      <c r="D2337" s="12">
        <v>151949</v>
      </c>
      <c r="E2337" s="82">
        <v>0.97105489320000005</v>
      </c>
      <c r="F2337" s="14">
        <v>147550.82</v>
      </c>
      <c r="G2337" s="12">
        <v>0</v>
      </c>
      <c r="H2337" s="10"/>
      <c r="I2337" s="10"/>
    </row>
    <row r="2338" spans="1:9">
      <c r="A2338" s="10" t="s">
        <v>3366</v>
      </c>
      <c r="B2338" s="124" t="s">
        <v>645</v>
      </c>
      <c r="C2338" s="124" t="s">
        <v>475</v>
      </c>
      <c r="D2338" s="12">
        <v>5000000</v>
      </c>
      <c r="E2338" s="82">
        <v>0.97105481410000005</v>
      </c>
      <c r="F2338" s="14">
        <v>4855274.07</v>
      </c>
      <c r="G2338" s="14">
        <v>0.01</v>
      </c>
      <c r="H2338" s="10"/>
      <c r="I2338" s="10"/>
    </row>
    <row r="2339" spans="1:9">
      <c r="A2339" s="10" t="s">
        <v>3367</v>
      </c>
      <c r="B2339" s="124" t="s">
        <v>578</v>
      </c>
      <c r="C2339" s="124" t="s">
        <v>475</v>
      </c>
      <c r="D2339" s="12">
        <v>5000000</v>
      </c>
      <c r="E2339" s="82">
        <v>0.9947673239</v>
      </c>
      <c r="F2339" s="14">
        <v>4973836.62</v>
      </c>
      <c r="G2339" s="14">
        <v>0.01</v>
      </c>
      <c r="H2339" s="10"/>
      <c r="I2339" s="10"/>
    </row>
    <row r="2340" spans="1:9">
      <c r="A2340" s="10" t="s">
        <v>3368</v>
      </c>
      <c r="B2340" s="124" t="s">
        <v>559</v>
      </c>
      <c r="C2340" s="124" t="s">
        <v>475</v>
      </c>
      <c r="D2340" s="12">
        <v>5000000</v>
      </c>
      <c r="E2340" s="82">
        <v>0.97604035190000005</v>
      </c>
      <c r="F2340" s="14">
        <v>4880201.76</v>
      </c>
      <c r="G2340" s="14">
        <v>0.01</v>
      </c>
      <c r="H2340" s="10"/>
      <c r="I2340" s="10"/>
    </row>
    <row r="2341" spans="1:9">
      <c r="A2341" s="10" t="s">
        <v>3369</v>
      </c>
      <c r="B2341" s="124" t="s">
        <v>746</v>
      </c>
      <c r="C2341" s="124" t="s">
        <v>475</v>
      </c>
      <c r="D2341" s="14">
        <v>4996789.67</v>
      </c>
      <c r="E2341" s="157">
        <v>0.98702003800000004</v>
      </c>
      <c r="F2341" s="14">
        <v>4931931.53</v>
      </c>
      <c r="G2341" s="14">
        <v>0.01</v>
      </c>
      <c r="H2341" s="10"/>
      <c r="I2341" s="10"/>
    </row>
    <row r="2342" spans="1:9">
      <c r="A2342" s="10" t="s">
        <v>3370</v>
      </c>
      <c r="B2342" s="124" t="s">
        <v>1624</v>
      </c>
      <c r="C2342" s="124" t="s">
        <v>475</v>
      </c>
      <c r="D2342" s="14">
        <v>8648727.6500000004</v>
      </c>
      <c r="E2342" s="82">
        <v>0.93599365609999996</v>
      </c>
      <c r="F2342" s="14">
        <v>8095154.21</v>
      </c>
      <c r="G2342" s="14">
        <v>0.01</v>
      </c>
      <c r="H2342" s="10"/>
      <c r="I2342" s="10"/>
    </row>
    <row r="2343" spans="1:9">
      <c r="A2343" s="10" t="s">
        <v>3371</v>
      </c>
      <c r="B2343" s="124" t="s">
        <v>459</v>
      </c>
      <c r="C2343" s="124" t="s">
        <v>475</v>
      </c>
      <c r="D2343" s="12">
        <v>8000000</v>
      </c>
      <c r="E2343" s="157">
        <v>0.98276806500000002</v>
      </c>
      <c r="F2343" s="14">
        <v>7862144.5199999996</v>
      </c>
      <c r="G2343" s="14">
        <v>0.01</v>
      </c>
      <c r="H2343" s="10"/>
      <c r="I2343" s="10"/>
    </row>
    <row r="2344" spans="1:9">
      <c r="A2344" s="10" t="s">
        <v>3372</v>
      </c>
      <c r="B2344" s="124" t="s">
        <v>267</v>
      </c>
      <c r="C2344" s="124" t="s">
        <v>475</v>
      </c>
      <c r="D2344" s="12">
        <v>144800</v>
      </c>
      <c r="E2344" s="82">
        <v>0.96448591110000004</v>
      </c>
      <c r="F2344" s="14">
        <v>139657.56</v>
      </c>
      <c r="G2344" s="12">
        <v>0</v>
      </c>
      <c r="H2344" s="10"/>
      <c r="I2344" s="10"/>
    </row>
    <row r="2345" spans="1:9">
      <c r="A2345" s="10" t="s">
        <v>3373</v>
      </c>
      <c r="B2345" s="124" t="s">
        <v>267</v>
      </c>
      <c r="C2345" s="124" t="s">
        <v>475</v>
      </c>
      <c r="D2345" s="12">
        <v>465943</v>
      </c>
      <c r="E2345" s="82">
        <v>0.96448595609999999</v>
      </c>
      <c r="F2345" s="14">
        <v>449395.48</v>
      </c>
      <c r="G2345" s="12">
        <v>0</v>
      </c>
      <c r="H2345" s="10"/>
      <c r="I2345" s="10"/>
    </row>
    <row r="2346" spans="1:9">
      <c r="A2346" s="10" t="s">
        <v>3374</v>
      </c>
      <c r="B2346" s="124" t="s">
        <v>1722</v>
      </c>
      <c r="C2346" s="124" t="s">
        <v>475</v>
      </c>
      <c r="D2346" s="14">
        <v>5391304.5499999998</v>
      </c>
      <c r="E2346" s="82">
        <v>0.92630193760000001</v>
      </c>
      <c r="F2346" s="14">
        <v>4993975.8499999996</v>
      </c>
      <c r="G2346" s="14">
        <v>0.01</v>
      </c>
      <c r="H2346" s="10"/>
      <c r="I2346" s="10"/>
    </row>
    <row r="2347" spans="1:9">
      <c r="A2347" s="10" t="s">
        <v>3375</v>
      </c>
      <c r="B2347" s="124" t="s">
        <v>456</v>
      </c>
      <c r="C2347" s="124" t="s">
        <v>475</v>
      </c>
      <c r="D2347" s="14">
        <v>13171884.07</v>
      </c>
      <c r="E2347" s="82">
        <v>0.98675326090000004</v>
      </c>
      <c r="F2347" s="14">
        <v>12997399.560000001</v>
      </c>
      <c r="G2347" s="14">
        <v>0.02</v>
      </c>
      <c r="H2347" s="10"/>
      <c r="I2347" s="10"/>
    </row>
    <row r="2348" spans="1:9">
      <c r="A2348" s="10" t="s">
        <v>3376</v>
      </c>
      <c r="B2348" s="124" t="s">
        <v>810</v>
      </c>
      <c r="C2348" s="124" t="s">
        <v>475</v>
      </c>
      <c r="D2348" s="14">
        <v>44839412.649999999</v>
      </c>
      <c r="E2348" s="82">
        <v>0.96932683779999995</v>
      </c>
      <c r="F2348" s="14">
        <v>43464046.07</v>
      </c>
      <c r="G2348" s="14">
        <v>0.05</v>
      </c>
      <c r="H2348" s="10"/>
      <c r="I2348" s="10"/>
    </row>
    <row r="2349" spans="1:9">
      <c r="A2349" s="10" t="s">
        <v>3377</v>
      </c>
      <c r="B2349" s="124" t="s">
        <v>716</v>
      </c>
      <c r="C2349" s="124" t="s">
        <v>475</v>
      </c>
      <c r="D2349" s="12">
        <v>50000000</v>
      </c>
      <c r="E2349" s="82">
        <v>0.98223901319999996</v>
      </c>
      <c r="F2349" s="14">
        <v>49111950.659999996</v>
      </c>
      <c r="G2349" s="14">
        <v>0.06</v>
      </c>
      <c r="H2349" s="10"/>
      <c r="I2349" s="10"/>
    </row>
    <row r="2350" spans="1:9">
      <c r="A2350" s="10" t="s">
        <v>3378</v>
      </c>
      <c r="B2350" s="124" t="s">
        <v>636</v>
      </c>
      <c r="C2350" s="124" t="s">
        <v>475</v>
      </c>
      <c r="D2350" s="153">
        <v>4175312.5</v>
      </c>
      <c r="E2350" s="82">
        <v>0.94633142859999997</v>
      </c>
      <c r="F2350" s="14">
        <v>3951229.44</v>
      </c>
      <c r="G2350" s="12">
        <v>0</v>
      </c>
      <c r="H2350" s="10"/>
      <c r="I2350" s="10"/>
    </row>
    <row r="2351" spans="1:9">
      <c r="A2351" s="10" t="s">
        <v>3379</v>
      </c>
      <c r="B2351" s="124" t="s">
        <v>255</v>
      </c>
      <c r="C2351" s="124" t="s">
        <v>475</v>
      </c>
      <c r="D2351" s="153">
        <v>4175312.5</v>
      </c>
      <c r="E2351" s="82">
        <v>0.94120691089999997</v>
      </c>
      <c r="F2351" s="14">
        <v>3929832.98</v>
      </c>
      <c r="G2351" s="12">
        <v>0</v>
      </c>
      <c r="H2351" s="10"/>
      <c r="I2351" s="10"/>
    </row>
    <row r="2352" spans="1:9">
      <c r="A2352" s="10" t="s">
        <v>3380</v>
      </c>
      <c r="B2352" s="124" t="s">
        <v>255</v>
      </c>
      <c r="C2352" s="124" t="s">
        <v>475</v>
      </c>
      <c r="D2352" s="153">
        <v>4175312.5</v>
      </c>
      <c r="E2352" s="82">
        <v>0.94120691089999997</v>
      </c>
      <c r="F2352" s="14">
        <v>3929832.98</v>
      </c>
      <c r="G2352" s="12">
        <v>0</v>
      </c>
      <c r="H2352" s="10"/>
      <c r="I2352" s="10"/>
    </row>
    <row r="2353" spans="1:9">
      <c r="A2353" s="10" t="s">
        <v>3381</v>
      </c>
      <c r="B2353" s="124" t="s">
        <v>657</v>
      </c>
      <c r="C2353" s="124" t="s">
        <v>475</v>
      </c>
      <c r="D2353" s="153">
        <v>4175312.5</v>
      </c>
      <c r="E2353" s="82">
        <v>0.95151205620000001</v>
      </c>
      <c r="F2353" s="14">
        <v>3972860.18</v>
      </c>
      <c r="G2353" s="12">
        <v>0</v>
      </c>
      <c r="H2353" s="10"/>
      <c r="I2353" s="10"/>
    </row>
    <row r="2354" spans="1:9">
      <c r="A2354" s="10" t="s">
        <v>3382</v>
      </c>
      <c r="B2354" s="124" t="s">
        <v>552</v>
      </c>
      <c r="C2354" s="124" t="s">
        <v>475</v>
      </c>
      <c r="D2354" s="153">
        <v>4175312.5</v>
      </c>
      <c r="E2354" s="82">
        <v>0.9673999512</v>
      </c>
      <c r="F2354" s="14">
        <v>4039197.11</v>
      </c>
      <c r="G2354" s="12">
        <v>0</v>
      </c>
      <c r="H2354" s="10"/>
      <c r="I2354" s="10"/>
    </row>
    <row r="2355" spans="1:9">
      <c r="A2355" s="10" t="s">
        <v>3383</v>
      </c>
      <c r="B2355" s="124" t="s">
        <v>627</v>
      </c>
      <c r="C2355" s="124" t="s">
        <v>475</v>
      </c>
      <c r="D2355" s="153">
        <v>4175312.5</v>
      </c>
      <c r="E2355" s="82">
        <v>0.95300279610000005</v>
      </c>
      <c r="F2355" s="14">
        <v>3979084.49</v>
      </c>
      <c r="G2355" s="12">
        <v>0</v>
      </c>
      <c r="H2355" s="10"/>
      <c r="I2355" s="10"/>
    </row>
    <row r="2356" spans="1:9">
      <c r="A2356" s="10" t="s">
        <v>3384</v>
      </c>
      <c r="B2356" s="124" t="s">
        <v>634</v>
      </c>
      <c r="C2356" s="124" t="s">
        <v>475</v>
      </c>
      <c r="D2356" s="153">
        <v>4175312.5</v>
      </c>
      <c r="E2356" s="82">
        <v>0.97126139850000004</v>
      </c>
      <c r="F2356" s="14">
        <v>4055319.86</v>
      </c>
      <c r="G2356" s="12">
        <v>0</v>
      </c>
      <c r="H2356" s="10"/>
      <c r="I2356" s="10"/>
    </row>
    <row r="2357" spans="1:9">
      <c r="A2357" s="10" t="s">
        <v>3385</v>
      </c>
      <c r="B2357" s="124" t="s">
        <v>255</v>
      </c>
      <c r="C2357" s="124" t="s">
        <v>475</v>
      </c>
      <c r="D2357" s="153">
        <v>4175312.5</v>
      </c>
      <c r="E2357" s="82">
        <v>0.94120691089999997</v>
      </c>
      <c r="F2357" s="14">
        <v>3929832.98</v>
      </c>
      <c r="G2357" s="12">
        <v>0</v>
      </c>
      <c r="H2357" s="10"/>
      <c r="I2357" s="10"/>
    </row>
    <row r="2358" spans="1:9">
      <c r="A2358" s="10" t="s">
        <v>3386</v>
      </c>
      <c r="B2358" s="124" t="s">
        <v>429</v>
      </c>
      <c r="C2358" s="124" t="s">
        <v>475</v>
      </c>
      <c r="D2358" s="153">
        <v>4175312.5</v>
      </c>
      <c r="E2358" s="82">
        <v>0.94047929340000003</v>
      </c>
      <c r="F2358" s="14">
        <v>3926794.95</v>
      </c>
      <c r="G2358" s="12">
        <v>0</v>
      </c>
      <c r="H2358" s="10"/>
      <c r="I2358" s="10"/>
    </row>
    <row r="2359" spans="1:9">
      <c r="A2359" s="10" t="s">
        <v>3387</v>
      </c>
      <c r="B2359" s="124" t="s">
        <v>670</v>
      </c>
      <c r="C2359" s="124" t="s">
        <v>475</v>
      </c>
      <c r="D2359" s="153">
        <v>4175312.5</v>
      </c>
      <c r="E2359" s="82">
        <v>0.94706812669999996</v>
      </c>
      <c r="F2359" s="14">
        <v>3954305.39</v>
      </c>
      <c r="G2359" s="12">
        <v>0</v>
      </c>
      <c r="H2359" s="10"/>
      <c r="I2359" s="10"/>
    </row>
    <row r="2360" spans="1:9">
      <c r="A2360" s="10" t="s">
        <v>3388</v>
      </c>
      <c r="B2360" s="124" t="s">
        <v>716</v>
      </c>
      <c r="C2360" s="124" t="s">
        <v>475</v>
      </c>
      <c r="D2360" s="12">
        <v>50000000</v>
      </c>
      <c r="E2360" s="82">
        <v>0.98107735279999997</v>
      </c>
      <c r="F2360" s="14">
        <v>49053867.640000001</v>
      </c>
      <c r="G2360" s="14">
        <v>0.06</v>
      </c>
      <c r="H2360" s="10"/>
      <c r="I2360" s="10"/>
    </row>
    <row r="2361" spans="1:9">
      <c r="A2361" s="10" t="s">
        <v>3389</v>
      </c>
      <c r="B2361" s="124" t="s">
        <v>456</v>
      </c>
      <c r="C2361" s="124" t="s">
        <v>475</v>
      </c>
      <c r="D2361" s="12">
        <v>50000000</v>
      </c>
      <c r="E2361" s="82">
        <v>0.98787492830000001</v>
      </c>
      <c r="F2361" s="14">
        <v>49393746.420000002</v>
      </c>
      <c r="G2361" s="14">
        <v>0.06</v>
      </c>
      <c r="H2361" s="10"/>
      <c r="I2361" s="10"/>
    </row>
    <row r="2362" spans="1:9">
      <c r="A2362" s="10" t="s">
        <v>3390</v>
      </c>
      <c r="B2362" s="124" t="s">
        <v>578</v>
      </c>
      <c r="C2362" s="124" t="s">
        <v>475</v>
      </c>
      <c r="D2362" s="12">
        <v>50000000</v>
      </c>
      <c r="E2362" s="82">
        <v>0.99476732489999997</v>
      </c>
      <c r="F2362" s="14">
        <v>49738366.25</v>
      </c>
      <c r="G2362" s="14">
        <v>0.06</v>
      </c>
      <c r="H2362" s="10"/>
      <c r="I2362" s="10"/>
    </row>
    <row r="2363" spans="1:9">
      <c r="A2363" s="10" t="s">
        <v>3391</v>
      </c>
      <c r="B2363" s="124" t="s">
        <v>459</v>
      </c>
      <c r="C2363" s="124" t="s">
        <v>475</v>
      </c>
      <c r="D2363" s="12">
        <v>50000000</v>
      </c>
      <c r="E2363" s="82">
        <v>0.9827680661</v>
      </c>
      <c r="F2363" s="14">
        <v>49138403.310000002</v>
      </c>
      <c r="G2363" s="14">
        <v>0.06</v>
      </c>
      <c r="H2363" s="10"/>
      <c r="I2363" s="10"/>
    </row>
    <row r="2364" spans="1:9">
      <c r="A2364" s="10" t="s">
        <v>3392</v>
      </c>
      <c r="B2364" s="124" t="s">
        <v>657</v>
      </c>
      <c r="C2364" s="124" t="s">
        <v>475</v>
      </c>
      <c r="D2364" s="12">
        <v>10000000</v>
      </c>
      <c r="E2364" s="82">
        <v>0.95151205620000001</v>
      </c>
      <c r="F2364" s="14">
        <v>9515120.5600000005</v>
      </c>
      <c r="G2364" s="14">
        <v>0.01</v>
      </c>
      <c r="H2364" s="10"/>
      <c r="I2364" s="10"/>
    </row>
    <row r="2365" spans="1:9">
      <c r="A2365" s="10" t="s">
        <v>3393</v>
      </c>
      <c r="B2365" s="124" t="s">
        <v>743</v>
      </c>
      <c r="C2365" s="124" t="s">
        <v>475</v>
      </c>
      <c r="D2365" s="12">
        <v>28000000</v>
      </c>
      <c r="E2365" s="82">
        <v>0.94780597749999995</v>
      </c>
      <c r="F2365" s="14">
        <v>26538567.370000001</v>
      </c>
      <c r="G2365" s="14">
        <v>0.03</v>
      </c>
      <c r="H2365" s="10"/>
      <c r="I2365" s="10"/>
    </row>
    <row r="2366" spans="1:9">
      <c r="A2366" s="10" t="s">
        <v>3394</v>
      </c>
      <c r="B2366" s="124" t="s">
        <v>283</v>
      </c>
      <c r="C2366" s="124" t="s">
        <v>475</v>
      </c>
      <c r="D2366" s="12">
        <v>28000000</v>
      </c>
      <c r="E2366" s="82">
        <v>0.93112259009999998</v>
      </c>
      <c r="F2366" s="14">
        <v>26071432.52</v>
      </c>
      <c r="G2366" s="14">
        <v>0.03</v>
      </c>
      <c r="H2366" s="10"/>
      <c r="I2366" s="10"/>
    </row>
    <row r="2367" spans="1:9">
      <c r="A2367" s="10" t="s">
        <v>3395</v>
      </c>
      <c r="B2367" s="124" t="s">
        <v>657</v>
      </c>
      <c r="C2367" s="124" t="s">
        <v>475</v>
      </c>
      <c r="D2367" s="12">
        <v>27000000</v>
      </c>
      <c r="E2367" s="82">
        <v>0.95151205620000001</v>
      </c>
      <c r="F2367" s="14">
        <v>25690825.52</v>
      </c>
      <c r="G2367" s="14">
        <v>0.03</v>
      </c>
      <c r="H2367" s="10"/>
      <c r="I2367" s="10"/>
    </row>
    <row r="2368" spans="1:9">
      <c r="A2368" s="10" t="s">
        <v>3396</v>
      </c>
      <c r="B2368" s="124" t="s">
        <v>1813</v>
      </c>
      <c r="C2368" s="124" t="s">
        <v>475</v>
      </c>
      <c r="D2368" s="12">
        <v>28000000</v>
      </c>
      <c r="E2368" s="82">
        <v>0.92969945269999998</v>
      </c>
      <c r="F2368" s="14">
        <v>26031584.68</v>
      </c>
      <c r="G2368" s="14">
        <v>0.03</v>
      </c>
      <c r="H2368" s="10"/>
      <c r="I2368" s="10"/>
    </row>
    <row r="2369" spans="1:9">
      <c r="A2369" s="10" t="s">
        <v>3397</v>
      </c>
      <c r="B2369" s="124" t="s">
        <v>461</v>
      </c>
      <c r="C2369" s="124" t="s">
        <v>475</v>
      </c>
      <c r="D2369" s="12">
        <v>198000000</v>
      </c>
      <c r="E2369" s="82">
        <v>0.9726591832</v>
      </c>
      <c r="F2369" s="14">
        <v>192586518.27000001</v>
      </c>
      <c r="G2369" s="14">
        <v>0.24</v>
      </c>
      <c r="H2369" s="10"/>
      <c r="I2369" s="10"/>
    </row>
    <row r="2370" spans="1:9">
      <c r="A2370" s="10" t="s">
        <v>3412</v>
      </c>
      <c r="B2370" s="124" t="s">
        <v>925</v>
      </c>
      <c r="C2370" s="124" t="s">
        <v>450</v>
      </c>
      <c r="D2370" s="12">
        <v>8000000</v>
      </c>
      <c r="E2370" s="157">
        <v>0.96007178199999998</v>
      </c>
      <c r="F2370" s="14">
        <v>7680574.2599999998</v>
      </c>
      <c r="G2370" s="14">
        <v>0.01</v>
      </c>
      <c r="H2370" s="10"/>
      <c r="I2370" s="10"/>
    </row>
    <row r="2371" spans="1:9">
      <c r="A2371" s="10" t="s">
        <v>3413</v>
      </c>
      <c r="B2371" s="124" t="s">
        <v>1698</v>
      </c>
      <c r="C2371" s="124" t="s">
        <v>450</v>
      </c>
      <c r="D2371" s="12">
        <v>8000000</v>
      </c>
      <c r="E2371" s="82">
        <v>0.93968027190000003</v>
      </c>
      <c r="F2371" s="14">
        <v>7517442.1799999997</v>
      </c>
      <c r="G2371" s="14">
        <v>0.01</v>
      </c>
      <c r="H2371" s="10"/>
      <c r="I2371" s="10"/>
    </row>
    <row r="2372" spans="1:9">
      <c r="A2372" s="10" t="s">
        <v>3414</v>
      </c>
      <c r="B2372" s="124" t="s">
        <v>661</v>
      </c>
      <c r="C2372" s="124" t="s">
        <v>450</v>
      </c>
      <c r="D2372" s="12">
        <v>8000000</v>
      </c>
      <c r="E2372" s="157">
        <v>0.95427331699999995</v>
      </c>
      <c r="F2372" s="14">
        <v>7634186.54</v>
      </c>
      <c r="G2372" s="14">
        <v>0.01</v>
      </c>
      <c r="H2372" s="10"/>
      <c r="I2372" s="10"/>
    </row>
    <row r="2373" spans="1:9">
      <c r="A2373" s="10" t="s">
        <v>3415</v>
      </c>
      <c r="B2373" s="124" t="s">
        <v>461</v>
      </c>
      <c r="C2373" s="124" t="s">
        <v>450</v>
      </c>
      <c r="D2373" s="12">
        <v>8000000</v>
      </c>
      <c r="E2373" s="82">
        <v>0.97617077009999997</v>
      </c>
      <c r="F2373" s="14">
        <v>7809366.1600000001</v>
      </c>
      <c r="G2373" s="14">
        <v>0.01</v>
      </c>
      <c r="H2373" s="10"/>
      <c r="I2373" s="10"/>
    </row>
    <row r="2374" spans="1:9">
      <c r="A2374" s="10" t="s">
        <v>3416</v>
      </c>
      <c r="B2374" s="124" t="s">
        <v>670</v>
      </c>
      <c r="C2374" s="124" t="s">
        <v>450</v>
      </c>
      <c r="D2374" s="12">
        <v>8000000</v>
      </c>
      <c r="E2374" s="82">
        <v>0.94208158769999994</v>
      </c>
      <c r="F2374" s="153">
        <v>7536652.7000000002</v>
      </c>
      <c r="G2374" s="14">
        <v>0.01</v>
      </c>
      <c r="H2374" s="10"/>
      <c r="I2374" s="10"/>
    </row>
    <row r="2375" spans="1:9">
      <c r="A2375" s="10" t="s">
        <v>3417</v>
      </c>
      <c r="B2375" s="124" t="s">
        <v>255</v>
      </c>
      <c r="C2375" s="124" t="s">
        <v>450</v>
      </c>
      <c r="D2375" s="12">
        <v>15124789</v>
      </c>
      <c r="E2375" s="82">
        <v>0.93936603819999998</v>
      </c>
      <c r="F2375" s="14">
        <v>14207713.119999999</v>
      </c>
      <c r="G2375" s="14">
        <v>0.02</v>
      </c>
      <c r="H2375" s="10"/>
      <c r="I2375" s="10"/>
    </row>
    <row r="2376" spans="1:9">
      <c r="A2376" s="10" t="s">
        <v>3418</v>
      </c>
      <c r="B2376" s="124" t="s">
        <v>663</v>
      </c>
      <c r="C2376" s="124" t="s">
        <v>450</v>
      </c>
      <c r="D2376" s="12">
        <v>15045230</v>
      </c>
      <c r="E2376" s="82">
        <v>0.9341490952</v>
      </c>
      <c r="F2376" s="14">
        <v>14054487.99</v>
      </c>
      <c r="G2376" s="14">
        <v>0.02</v>
      </c>
      <c r="H2376" s="10"/>
      <c r="I2376" s="10"/>
    </row>
    <row r="2377" spans="1:9">
      <c r="A2377" s="10" t="s">
        <v>3419</v>
      </c>
      <c r="B2377" s="124" t="s">
        <v>667</v>
      </c>
      <c r="C2377" s="124" t="s">
        <v>450</v>
      </c>
      <c r="D2377" s="12">
        <v>10000000</v>
      </c>
      <c r="E2377" s="82">
        <v>0.9600463199</v>
      </c>
      <c r="F2377" s="153">
        <v>9600463.1999999993</v>
      </c>
      <c r="G2377" s="14">
        <v>0.01</v>
      </c>
      <c r="H2377" s="10"/>
      <c r="I2377" s="10"/>
    </row>
    <row r="2378" spans="1:9">
      <c r="A2378" s="10" t="s">
        <v>3420</v>
      </c>
      <c r="B2378" s="124" t="s">
        <v>974</v>
      </c>
      <c r="C2378" s="124" t="s">
        <v>450</v>
      </c>
      <c r="D2378" s="12">
        <v>7000000</v>
      </c>
      <c r="E2378" s="82">
        <v>0.92972315660000004</v>
      </c>
      <c r="F2378" s="153">
        <v>6508062.0999999996</v>
      </c>
      <c r="G2378" s="14">
        <v>0.01</v>
      </c>
      <c r="H2378" s="10"/>
      <c r="I2378" s="10"/>
    </row>
    <row r="2379" spans="1:9">
      <c r="A2379" s="10" t="s">
        <v>3421</v>
      </c>
      <c r="B2379" s="124" t="s">
        <v>2354</v>
      </c>
      <c r="C2379" s="124" t="s">
        <v>450</v>
      </c>
      <c r="D2379" s="12">
        <v>125000000</v>
      </c>
      <c r="E2379" s="82">
        <v>0.92545652940000001</v>
      </c>
      <c r="F2379" s="14">
        <v>115682066.18000001</v>
      </c>
      <c r="G2379" s="14">
        <v>0.14000000000000001</v>
      </c>
      <c r="H2379" s="10"/>
      <c r="I2379" s="10"/>
    </row>
    <row r="2380" spans="1:9">
      <c r="A2380" s="10" t="s">
        <v>3422</v>
      </c>
      <c r="B2380" s="124" t="s">
        <v>461</v>
      </c>
      <c r="C2380" s="124" t="s">
        <v>450</v>
      </c>
      <c r="D2380" s="12">
        <v>9000000</v>
      </c>
      <c r="E2380" s="82">
        <v>0.97829003240000001</v>
      </c>
      <c r="F2380" s="14">
        <v>8804610.2899999991</v>
      </c>
      <c r="G2380" s="14">
        <v>0.01</v>
      </c>
      <c r="H2380" s="10"/>
      <c r="I2380" s="10"/>
    </row>
    <row r="2381" spans="1:9">
      <c r="A2381" s="10" t="s">
        <v>3423</v>
      </c>
      <c r="B2381" s="124" t="s">
        <v>559</v>
      </c>
      <c r="C2381" s="124" t="s">
        <v>450</v>
      </c>
      <c r="D2381" s="12">
        <v>9000000</v>
      </c>
      <c r="E2381" s="82">
        <v>0.9775042048</v>
      </c>
      <c r="F2381" s="14">
        <v>8797537.8399999999</v>
      </c>
      <c r="G2381" s="14">
        <v>0.01</v>
      </c>
      <c r="H2381" s="10"/>
      <c r="I2381" s="10"/>
    </row>
    <row r="2382" spans="1:9">
      <c r="A2382" s="10" t="s">
        <v>3424</v>
      </c>
      <c r="B2382" s="124" t="s">
        <v>716</v>
      </c>
      <c r="C2382" s="124" t="s">
        <v>450</v>
      </c>
      <c r="D2382" s="12">
        <v>9000000</v>
      </c>
      <c r="E2382" s="82">
        <v>0.98223907129999999</v>
      </c>
      <c r="F2382" s="14">
        <v>8840151.6400000006</v>
      </c>
      <c r="G2382" s="14">
        <v>0.01</v>
      </c>
      <c r="H2382" s="10"/>
      <c r="I2382" s="10"/>
    </row>
    <row r="2383" spans="1:9">
      <c r="A2383" s="10" t="s">
        <v>3425</v>
      </c>
      <c r="B2383" s="124" t="s">
        <v>552</v>
      </c>
      <c r="C2383" s="124" t="s">
        <v>450</v>
      </c>
      <c r="D2383" s="12">
        <v>5000000</v>
      </c>
      <c r="E2383" s="82">
        <v>0.96530209379999998</v>
      </c>
      <c r="F2383" s="14">
        <v>4826510.47</v>
      </c>
      <c r="G2383" s="14">
        <v>0.01</v>
      </c>
      <c r="H2383" s="10"/>
      <c r="I2383" s="10"/>
    </row>
    <row r="2384" spans="1:9">
      <c r="A2384" s="10" t="s">
        <v>3426</v>
      </c>
      <c r="B2384" s="124" t="s">
        <v>461</v>
      </c>
      <c r="C2384" s="124" t="s">
        <v>450</v>
      </c>
      <c r="D2384" s="12">
        <v>5000000</v>
      </c>
      <c r="E2384" s="82">
        <v>0.97687616570000002</v>
      </c>
      <c r="F2384" s="14">
        <v>4884380.83</v>
      </c>
      <c r="G2384" s="14">
        <v>0.01</v>
      </c>
      <c r="H2384" s="10"/>
      <c r="I2384" s="10"/>
    </row>
    <row r="2385" spans="1:9">
      <c r="A2385" s="10" t="s">
        <v>3427</v>
      </c>
      <c r="B2385" s="124" t="s">
        <v>559</v>
      </c>
      <c r="C2385" s="124" t="s">
        <v>450</v>
      </c>
      <c r="D2385" s="12">
        <v>5000000</v>
      </c>
      <c r="E2385" s="82">
        <v>0.97604041990000001</v>
      </c>
      <c r="F2385" s="153">
        <v>4880202.0999999996</v>
      </c>
      <c r="G2385" s="14">
        <v>0.01</v>
      </c>
      <c r="H2385" s="10"/>
      <c r="I2385" s="10"/>
    </row>
    <row r="2386" spans="1:9">
      <c r="A2386" s="10" t="s">
        <v>3428</v>
      </c>
      <c r="B2386" s="124" t="s">
        <v>925</v>
      </c>
      <c r="C2386" s="124" t="s">
        <v>450</v>
      </c>
      <c r="D2386" s="12">
        <v>5000000</v>
      </c>
      <c r="E2386" s="82">
        <v>0.96123482449999997</v>
      </c>
      <c r="F2386" s="14">
        <v>4806174.12</v>
      </c>
      <c r="G2386" s="14">
        <v>0.01</v>
      </c>
      <c r="H2386" s="10"/>
      <c r="I2386" s="10"/>
    </row>
    <row r="2387" spans="1:9">
      <c r="A2387" s="10" t="s">
        <v>3429</v>
      </c>
      <c r="B2387" s="124" t="s">
        <v>752</v>
      </c>
      <c r="C2387" s="124" t="s">
        <v>450</v>
      </c>
      <c r="D2387" s="12">
        <v>5000000</v>
      </c>
      <c r="E2387" s="82">
        <v>0.96042537989999999</v>
      </c>
      <c r="F2387" s="153">
        <v>4802126.9000000004</v>
      </c>
      <c r="G2387" s="14">
        <v>0.01</v>
      </c>
      <c r="H2387" s="10"/>
      <c r="I2387" s="10"/>
    </row>
    <row r="2388" spans="1:9">
      <c r="A2388" s="10" t="s">
        <v>3430</v>
      </c>
      <c r="B2388" s="124" t="s">
        <v>610</v>
      </c>
      <c r="C2388" s="124" t="s">
        <v>450</v>
      </c>
      <c r="D2388" s="12">
        <v>5000000</v>
      </c>
      <c r="E2388" s="82">
        <v>0.97520586809999998</v>
      </c>
      <c r="F2388" s="14">
        <v>4876029.34</v>
      </c>
      <c r="G2388" s="14">
        <v>0.01</v>
      </c>
      <c r="H2388" s="10"/>
      <c r="I2388" s="10"/>
    </row>
    <row r="2389" spans="1:9">
      <c r="A2389" s="10" t="s">
        <v>3431</v>
      </c>
      <c r="B2389" s="124" t="s">
        <v>1108</v>
      </c>
      <c r="C2389" s="124" t="s">
        <v>450</v>
      </c>
      <c r="D2389" s="12">
        <v>10000000</v>
      </c>
      <c r="E2389" s="82">
        <v>0.91895569180000003</v>
      </c>
      <c r="F2389" s="14">
        <v>9189556.9199999999</v>
      </c>
      <c r="G2389" s="14">
        <v>0.01</v>
      </c>
      <c r="H2389" s="10"/>
      <c r="I2389" s="10"/>
    </row>
    <row r="2390" spans="1:9">
      <c r="A2390" s="10" t="s">
        <v>3432</v>
      </c>
      <c r="B2390" s="124" t="s">
        <v>992</v>
      </c>
      <c r="C2390" s="124" t="s">
        <v>450</v>
      </c>
      <c r="D2390" s="12">
        <v>10000000</v>
      </c>
      <c r="E2390" s="157">
        <v>0.92844628100000004</v>
      </c>
      <c r="F2390" s="14">
        <v>9284462.8100000005</v>
      </c>
      <c r="G2390" s="14">
        <v>0.01</v>
      </c>
      <c r="H2390" s="10"/>
      <c r="I2390" s="10"/>
    </row>
    <row r="2391" spans="1:9">
      <c r="A2391" s="10" t="s">
        <v>3433</v>
      </c>
      <c r="B2391" s="124" t="s">
        <v>429</v>
      </c>
      <c r="C2391" s="124" t="s">
        <v>450</v>
      </c>
      <c r="D2391" s="14">
        <v>4945300.8499999996</v>
      </c>
      <c r="E2391" s="82">
        <v>0.92941548350000003</v>
      </c>
      <c r="F2391" s="14">
        <v>4596239.18</v>
      </c>
      <c r="G2391" s="14">
        <v>0.01</v>
      </c>
      <c r="H2391" s="10"/>
      <c r="I2391" s="10"/>
    </row>
    <row r="2392" spans="1:9">
      <c r="A2392" s="10" t="s">
        <v>3434</v>
      </c>
      <c r="B2392" s="124" t="s">
        <v>1624</v>
      </c>
      <c r="C2392" s="124" t="s">
        <v>450</v>
      </c>
      <c r="D2392" s="14">
        <v>4945300.8499999996</v>
      </c>
      <c r="E2392" s="82">
        <v>0.92856420790000005</v>
      </c>
      <c r="F2392" s="14">
        <v>4592029.37</v>
      </c>
      <c r="G2392" s="14">
        <v>0.01</v>
      </c>
      <c r="H2392" s="10"/>
      <c r="I2392" s="10"/>
    </row>
    <row r="2393" spans="1:9">
      <c r="A2393" s="10" t="s">
        <v>3435</v>
      </c>
      <c r="B2393" s="124" t="s">
        <v>655</v>
      </c>
      <c r="C2393" s="124" t="s">
        <v>450</v>
      </c>
      <c r="D2393" s="14">
        <v>4945300.8499999996</v>
      </c>
      <c r="E2393" s="82">
        <v>0.9251749172</v>
      </c>
      <c r="F2393" s="153">
        <v>4575268.3</v>
      </c>
      <c r="G2393" s="14">
        <v>0.01</v>
      </c>
      <c r="H2393" s="10"/>
      <c r="I2393" s="10"/>
    </row>
    <row r="2394" spans="1:9">
      <c r="A2394" s="10" t="s">
        <v>3436</v>
      </c>
      <c r="B2394" s="124" t="s">
        <v>2354</v>
      </c>
      <c r="C2394" s="124" t="s">
        <v>450</v>
      </c>
      <c r="D2394" s="14">
        <v>4945300.8499999996</v>
      </c>
      <c r="E2394" s="82">
        <v>0.92348966860000004</v>
      </c>
      <c r="F2394" s="14">
        <v>4566934.24</v>
      </c>
      <c r="G2394" s="14">
        <v>0.01</v>
      </c>
      <c r="H2394" s="10"/>
      <c r="I2394" s="10"/>
    </row>
    <row r="2395" spans="1:9">
      <c r="A2395" s="10" t="s">
        <v>3437</v>
      </c>
      <c r="B2395" s="124" t="s">
        <v>1461</v>
      </c>
      <c r="C2395" s="124" t="s">
        <v>450</v>
      </c>
      <c r="D2395" s="14">
        <v>4945300.8499999996</v>
      </c>
      <c r="E2395" s="82">
        <v>0.92601998549999998</v>
      </c>
      <c r="F2395" s="14">
        <v>4579447.42</v>
      </c>
      <c r="G2395" s="14">
        <v>0.01</v>
      </c>
      <c r="H2395" s="10"/>
      <c r="I2395" s="10"/>
    </row>
    <row r="2396" spans="1:9">
      <c r="A2396" s="10" t="s">
        <v>3443</v>
      </c>
      <c r="B2396" s="124" t="s">
        <v>552</v>
      </c>
      <c r="C2396" s="124" t="s">
        <v>451</v>
      </c>
      <c r="D2396" s="14">
        <v>4372371.08</v>
      </c>
      <c r="E2396" s="82">
        <v>0.96634998780000003</v>
      </c>
      <c r="F2396" s="14">
        <v>4225240.74</v>
      </c>
      <c r="G2396" s="14">
        <v>0.01</v>
      </c>
      <c r="H2396" s="10"/>
      <c r="I2396" s="10"/>
    </row>
    <row r="2397" spans="1:9">
      <c r="A2397" s="10" t="s">
        <v>3444</v>
      </c>
      <c r="B2397" s="124" t="s">
        <v>556</v>
      </c>
      <c r="C2397" s="124" t="s">
        <v>451</v>
      </c>
      <c r="D2397" s="14">
        <v>3798755.04</v>
      </c>
      <c r="E2397" s="82">
        <v>0.96476621709999999</v>
      </c>
      <c r="F2397" s="14">
        <v>3664910.53</v>
      </c>
      <c r="G2397" s="12">
        <v>0</v>
      </c>
      <c r="H2397" s="10"/>
      <c r="I2397" s="10"/>
    </row>
    <row r="2398" spans="1:9">
      <c r="A2398" s="10" t="s">
        <v>3445</v>
      </c>
      <c r="B2398" s="124" t="s">
        <v>657</v>
      </c>
      <c r="C2398" s="124" t="s">
        <v>451</v>
      </c>
      <c r="D2398" s="14">
        <v>6509893.4299999997</v>
      </c>
      <c r="E2398" s="82">
        <v>0.94997677979999995</v>
      </c>
      <c r="F2398" s="153">
        <v>6184247.5999999996</v>
      </c>
      <c r="G2398" s="14">
        <v>0.01</v>
      </c>
      <c r="H2398" s="10"/>
      <c r="I2398" s="10"/>
    </row>
    <row r="2399" spans="1:9">
      <c r="A2399" s="10" t="s">
        <v>3446</v>
      </c>
      <c r="B2399" s="124" t="s">
        <v>741</v>
      </c>
      <c r="C2399" s="124" t="s">
        <v>451</v>
      </c>
      <c r="D2399" s="14">
        <v>6509893.4400000004</v>
      </c>
      <c r="E2399" s="82">
        <v>0.92825738020000004</v>
      </c>
      <c r="F2399" s="14">
        <v>6042856.6299999999</v>
      </c>
      <c r="G2399" s="14">
        <v>0.01</v>
      </c>
      <c r="H2399" s="10"/>
      <c r="I2399" s="10"/>
    </row>
    <row r="2400" spans="1:9">
      <c r="A2400" s="10" t="s">
        <v>3447</v>
      </c>
      <c r="B2400" s="124" t="s">
        <v>741</v>
      </c>
      <c r="C2400" s="124" t="s">
        <v>451</v>
      </c>
      <c r="D2400" s="14">
        <v>6509893.4400000004</v>
      </c>
      <c r="E2400" s="82">
        <v>0.92825738020000004</v>
      </c>
      <c r="F2400" s="14">
        <v>6042856.6299999999</v>
      </c>
      <c r="G2400" s="14">
        <v>0.01</v>
      </c>
      <c r="H2400" s="10"/>
      <c r="I2400" s="10"/>
    </row>
    <row r="2401" spans="1:9">
      <c r="A2401" s="10" t="s">
        <v>3448</v>
      </c>
      <c r="B2401" s="124" t="s">
        <v>657</v>
      </c>
      <c r="C2401" s="124" t="s">
        <v>451</v>
      </c>
      <c r="D2401" s="14">
        <v>6509893.4400000004</v>
      </c>
      <c r="E2401" s="82">
        <v>0.94997677979999995</v>
      </c>
      <c r="F2401" s="14">
        <v>6184247.6100000003</v>
      </c>
      <c r="G2401" s="14">
        <v>0.01</v>
      </c>
      <c r="H2401" s="10"/>
      <c r="I2401" s="10"/>
    </row>
    <row r="2402" spans="1:9">
      <c r="A2402" s="10" t="s">
        <v>3449</v>
      </c>
      <c r="B2402" s="124" t="s">
        <v>423</v>
      </c>
      <c r="C2402" s="124" t="s">
        <v>451</v>
      </c>
      <c r="D2402" s="12">
        <v>803060</v>
      </c>
      <c r="E2402" s="82">
        <v>0.88536379649999997</v>
      </c>
      <c r="F2402" s="14">
        <v>711000.25</v>
      </c>
      <c r="G2402" s="12">
        <v>0</v>
      </c>
      <c r="H2402" s="10"/>
      <c r="I2402" s="10"/>
    </row>
    <row r="2403" spans="1:9">
      <c r="A2403" s="10" t="s">
        <v>3450</v>
      </c>
      <c r="B2403" s="124" t="s">
        <v>826</v>
      </c>
      <c r="C2403" s="124" t="s">
        <v>451</v>
      </c>
      <c r="D2403" s="12">
        <v>803060</v>
      </c>
      <c r="E2403" s="82">
        <v>0.86190625830000001</v>
      </c>
      <c r="F2403" s="14">
        <v>692162.44</v>
      </c>
      <c r="G2403" s="12">
        <v>0</v>
      </c>
      <c r="H2403" s="10"/>
      <c r="I2403" s="10"/>
    </row>
    <row r="2404" spans="1:9">
      <c r="A2404" s="10" t="s">
        <v>3451</v>
      </c>
      <c r="B2404" s="124" t="s">
        <v>1108</v>
      </c>
      <c r="C2404" s="124" t="s">
        <v>451</v>
      </c>
      <c r="D2404" s="12">
        <v>803060</v>
      </c>
      <c r="E2404" s="82">
        <v>0.90629200789999997</v>
      </c>
      <c r="F2404" s="14">
        <v>727806.86</v>
      </c>
      <c r="G2404" s="12">
        <v>0</v>
      </c>
      <c r="H2404" s="10"/>
      <c r="I2404" s="10"/>
    </row>
    <row r="2405" spans="1:9">
      <c r="A2405" s="10" t="s">
        <v>3452</v>
      </c>
      <c r="B2405" s="124" t="s">
        <v>2269</v>
      </c>
      <c r="C2405" s="124" t="s">
        <v>451</v>
      </c>
      <c r="D2405" s="14">
        <v>18692268.289999999</v>
      </c>
      <c r="E2405" s="82">
        <v>0.80322184720000001</v>
      </c>
      <c r="F2405" s="14">
        <v>15014038.26</v>
      </c>
      <c r="G2405" s="14">
        <v>0.02</v>
      </c>
      <c r="H2405" s="10"/>
      <c r="I2405" s="10"/>
    </row>
    <row r="2406" spans="1:9">
      <c r="A2406" s="10" t="s">
        <v>3453</v>
      </c>
      <c r="B2406" s="124" t="s">
        <v>963</v>
      </c>
      <c r="C2406" s="124" t="s">
        <v>451</v>
      </c>
      <c r="D2406" s="14">
        <v>18692268.289999999</v>
      </c>
      <c r="E2406" s="82">
        <v>0.78501381920000002</v>
      </c>
      <c r="F2406" s="14">
        <v>14673688.92</v>
      </c>
      <c r="G2406" s="14">
        <v>0.02</v>
      </c>
      <c r="H2406" s="10"/>
      <c r="I2406" s="10"/>
    </row>
    <row r="2407" spans="1:9">
      <c r="A2407" s="10" t="s">
        <v>3454</v>
      </c>
      <c r="B2407" s="124" t="s">
        <v>3455</v>
      </c>
      <c r="C2407" s="124" t="s">
        <v>451</v>
      </c>
      <c r="D2407" s="14">
        <v>18692268.289999999</v>
      </c>
      <c r="E2407" s="82">
        <v>0.76871241690000003</v>
      </c>
      <c r="F2407" s="14">
        <v>14368978.73</v>
      </c>
      <c r="G2407" s="14">
        <v>0.02</v>
      </c>
      <c r="H2407" s="10"/>
      <c r="I2407" s="10"/>
    </row>
    <row r="2408" spans="1:9">
      <c r="A2408" s="10" t="s">
        <v>3456</v>
      </c>
      <c r="B2408" s="124" t="s">
        <v>1461</v>
      </c>
      <c r="C2408" s="124" t="s">
        <v>451</v>
      </c>
      <c r="D2408" s="14">
        <v>1260746.67</v>
      </c>
      <c r="E2408" s="82">
        <v>0.92984170980000003</v>
      </c>
      <c r="F2408" s="14">
        <v>1172294.8400000001</v>
      </c>
      <c r="G2408" s="12">
        <v>0</v>
      </c>
      <c r="H2408" s="10"/>
      <c r="I2408" s="10"/>
    </row>
    <row r="2409" spans="1:9">
      <c r="A2409" s="10" t="s">
        <v>3457</v>
      </c>
      <c r="B2409" s="124" t="s">
        <v>459</v>
      </c>
      <c r="C2409" s="124" t="s">
        <v>451</v>
      </c>
      <c r="D2409" s="14">
        <v>1260746.6599999999</v>
      </c>
      <c r="E2409" s="82">
        <v>0.98171067950000002</v>
      </c>
      <c r="F2409" s="14">
        <v>1237688.46</v>
      </c>
      <c r="G2409" s="12">
        <v>0</v>
      </c>
      <c r="H2409" s="10"/>
      <c r="I2409" s="10"/>
    </row>
    <row r="2410" spans="1:9">
      <c r="A2410" s="10" t="s">
        <v>3458</v>
      </c>
      <c r="B2410" s="124" t="s">
        <v>667</v>
      </c>
      <c r="C2410" s="124" t="s">
        <v>451</v>
      </c>
      <c r="D2410" s="14">
        <v>1260746.67</v>
      </c>
      <c r="E2410" s="82">
        <v>0.95634868559999997</v>
      </c>
      <c r="F2410" s="14">
        <v>1205713.42</v>
      </c>
      <c r="G2410" s="12">
        <v>0</v>
      </c>
      <c r="H2410" s="10"/>
      <c r="I2410" s="10"/>
    </row>
    <row r="2411" spans="1:9">
      <c r="A2411" s="10" t="s">
        <v>3459</v>
      </c>
      <c r="B2411" s="124" t="s">
        <v>1624</v>
      </c>
      <c r="C2411" s="124" t="s">
        <v>451</v>
      </c>
      <c r="D2411" s="12">
        <v>1000000</v>
      </c>
      <c r="E2411" s="82">
        <v>0.93226410069999999</v>
      </c>
      <c r="F2411" s="153">
        <v>932264.1</v>
      </c>
      <c r="G2411" s="12">
        <v>0</v>
      </c>
      <c r="H2411" s="10"/>
      <c r="I2411" s="10"/>
    </row>
    <row r="2412" spans="1:9">
      <c r="A2412" s="10" t="s">
        <v>3460</v>
      </c>
      <c r="B2412" s="124" t="s">
        <v>1698</v>
      </c>
      <c r="C2412" s="124" t="s">
        <v>451</v>
      </c>
      <c r="D2412" s="12">
        <v>1000000</v>
      </c>
      <c r="E2412" s="82">
        <v>0.93796585970000002</v>
      </c>
      <c r="F2412" s="14">
        <v>937965.86</v>
      </c>
      <c r="G2412" s="12">
        <v>0</v>
      </c>
      <c r="H2412" s="10"/>
      <c r="I2412" s="10"/>
    </row>
    <row r="2413" spans="1:9">
      <c r="A2413" s="10" t="s">
        <v>3461</v>
      </c>
      <c r="B2413" s="124" t="s">
        <v>663</v>
      </c>
      <c r="C2413" s="124" t="s">
        <v>451</v>
      </c>
      <c r="D2413" s="12">
        <v>1000000</v>
      </c>
      <c r="E2413" s="82">
        <v>0.92823358040000004</v>
      </c>
      <c r="F2413" s="14">
        <v>928233.58</v>
      </c>
      <c r="G2413" s="12">
        <v>0</v>
      </c>
      <c r="H2413" s="10"/>
      <c r="I2413" s="10"/>
    </row>
    <row r="2414" spans="1:9">
      <c r="A2414" s="10" t="s">
        <v>3462</v>
      </c>
      <c r="B2414" s="124" t="s">
        <v>992</v>
      </c>
      <c r="C2414" s="124" t="s">
        <v>451</v>
      </c>
      <c r="D2414" s="12">
        <v>1000000</v>
      </c>
      <c r="E2414" s="21">
        <v>0.91713157000000001</v>
      </c>
      <c r="F2414" s="14">
        <v>917131.57</v>
      </c>
      <c r="G2414" s="12">
        <v>0</v>
      </c>
      <c r="H2414" s="10"/>
      <c r="I2414" s="10"/>
    </row>
    <row r="2415" spans="1:9">
      <c r="A2415" s="10" t="s">
        <v>3463</v>
      </c>
      <c r="B2415" s="124" t="s">
        <v>826</v>
      </c>
      <c r="C2415" s="124" t="s">
        <v>451</v>
      </c>
      <c r="D2415" s="14">
        <v>1186053.25</v>
      </c>
      <c r="E2415" s="82">
        <v>0.86190627580000001</v>
      </c>
      <c r="F2415" s="14">
        <v>1022266.74</v>
      </c>
      <c r="G2415" s="12">
        <v>0</v>
      </c>
      <c r="H2415" s="10"/>
      <c r="I2415" s="10"/>
    </row>
    <row r="2416" spans="1:9">
      <c r="A2416" s="10" t="s">
        <v>3464</v>
      </c>
      <c r="B2416" s="124" t="s">
        <v>1108</v>
      </c>
      <c r="C2416" s="124" t="s">
        <v>451</v>
      </c>
      <c r="D2416" s="12">
        <v>1183000</v>
      </c>
      <c r="E2416" s="82">
        <v>0.9062920029</v>
      </c>
      <c r="F2416" s="14">
        <v>1072143.44</v>
      </c>
      <c r="G2416" s="12">
        <v>0</v>
      </c>
      <c r="H2416" s="10"/>
      <c r="I2416" s="10"/>
    </row>
    <row r="2417" spans="1:9">
      <c r="A2417" s="10" t="s">
        <v>3465</v>
      </c>
      <c r="B2417" s="124" t="s">
        <v>423</v>
      </c>
      <c r="C2417" s="124" t="s">
        <v>451</v>
      </c>
      <c r="D2417" s="12">
        <v>1183000</v>
      </c>
      <c r="E2417" s="82">
        <v>0.88536378760000001</v>
      </c>
      <c r="F2417" s="14">
        <v>1047385.36</v>
      </c>
      <c r="G2417" s="12">
        <v>0</v>
      </c>
      <c r="H2417" s="10"/>
      <c r="I2417" s="10"/>
    </row>
    <row r="2418" spans="1:9">
      <c r="A2418" s="10" t="s">
        <v>3466</v>
      </c>
      <c r="B2418" s="124" t="s">
        <v>655</v>
      </c>
      <c r="C2418" s="124" t="s">
        <v>451</v>
      </c>
      <c r="D2418" s="12">
        <v>1183000</v>
      </c>
      <c r="E2418" s="82">
        <v>0.92903694910000001</v>
      </c>
      <c r="F2418" s="14">
        <v>1099050.71</v>
      </c>
      <c r="G2418" s="12">
        <v>0</v>
      </c>
      <c r="H2418" s="10"/>
      <c r="I2418" s="10"/>
    </row>
    <row r="2419" spans="1:9">
      <c r="A2419" s="10" t="s">
        <v>3467</v>
      </c>
      <c r="B2419" s="124" t="s">
        <v>667</v>
      </c>
      <c r="C2419" s="124" t="s">
        <v>451</v>
      </c>
      <c r="D2419" s="12">
        <v>1183000</v>
      </c>
      <c r="E2419" s="82">
        <v>0.95634868070000001</v>
      </c>
      <c r="F2419" s="14">
        <v>1131360.49</v>
      </c>
      <c r="G2419" s="12">
        <v>0</v>
      </c>
      <c r="H2419" s="10"/>
      <c r="I2419" s="10"/>
    </row>
    <row r="2420" spans="1:9">
      <c r="A2420" s="10" t="s">
        <v>3468</v>
      </c>
      <c r="B2420" s="124" t="s">
        <v>1108</v>
      </c>
      <c r="C2420" s="124" t="s">
        <v>451</v>
      </c>
      <c r="D2420" s="14">
        <v>1416494.71</v>
      </c>
      <c r="E2420" s="82">
        <v>0.90629200539999999</v>
      </c>
      <c r="F2420" s="14">
        <v>1283757.83</v>
      </c>
      <c r="G2420" s="12">
        <v>0</v>
      </c>
      <c r="H2420" s="10"/>
      <c r="I2420" s="10"/>
    </row>
    <row r="2421" spans="1:9">
      <c r="A2421" s="10" t="s">
        <v>3469</v>
      </c>
      <c r="B2421" s="124" t="s">
        <v>423</v>
      </c>
      <c r="C2421" s="124" t="s">
        <v>451</v>
      </c>
      <c r="D2421" s="14">
        <v>1416494.71</v>
      </c>
      <c r="E2421" s="82">
        <v>0.88536378760000001</v>
      </c>
      <c r="F2421" s="14">
        <v>1254113.1200000001</v>
      </c>
      <c r="G2421" s="12">
        <v>0</v>
      </c>
      <c r="H2421" s="10"/>
      <c r="I2421" s="10"/>
    </row>
    <row r="2422" spans="1:9">
      <c r="A2422" s="10" t="s">
        <v>3470</v>
      </c>
      <c r="B2422" s="124" t="s">
        <v>2639</v>
      </c>
      <c r="C2422" s="124" t="s">
        <v>451</v>
      </c>
      <c r="D2422" s="14">
        <v>1416494.72</v>
      </c>
      <c r="E2422" s="157">
        <v>0.86398724400000004</v>
      </c>
      <c r="F2422" s="14">
        <v>1223833.3700000001</v>
      </c>
      <c r="G2422" s="12">
        <v>0</v>
      </c>
      <c r="H2422" s="10"/>
      <c r="I2422" s="10"/>
    </row>
    <row r="2423" spans="1:9">
      <c r="A2423" s="10" t="s">
        <v>3471</v>
      </c>
      <c r="B2423" s="124" t="s">
        <v>1461</v>
      </c>
      <c r="C2423" s="124" t="s">
        <v>451</v>
      </c>
      <c r="D2423" s="14">
        <v>1416494.71</v>
      </c>
      <c r="E2423" s="82">
        <v>0.92984171559999995</v>
      </c>
      <c r="F2423" s="14">
        <v>1317115.8700000001</v>
      </c>
      <c r="G2423" s="12">
        <v>0</v>
      </c>
      <c r="H2423" s="10"/>
      <c r="I2423" s="10"/>
    </row>
    <row r="2424" spans="1:9">
      <c r="A2424" s="10" t="s">
        <v>3472</v>
      </c>
      <c r="B2424" s="124" t="s">
        <v>459</v>
      </c>
      <c r="C2424" s="124" t="s">
        <v>451</v>
      </c>
      <c r="D2424" s="14">
        <v>1416494.71</v>
      </c>
      <c r="E2424" s="82">
        <v>0.98171066210000002</v>
      </c>
      <c r="F2424" s="14">
        <v>1390587.96</v>
      </c>
      <c r="G2424" s="12">
        <v>0</v>
      </c>
      <c r="H2424" s="10"/>
      <c r="I2424" s="10"/>
    </row>
    <row r="2425" spans="1:9">
      <c r="A2425" s="10" t="s">
        <v>3473</v>
      </c>
      <c r="B2425" s="124" t="s">
        <v>419</v>
      </c>
      <c r="C2425" s="124" t="s">
        <v>451</v>
      </c>
      <c r="D2425" s="14">
        <v>1416494.71</v>
      </c>
      <c r="E2425" s="82">
        <v>0.95720148510000003</v>
      </c>
      <c r="F2425" s="14">
        <v>1355870.84</v>
      </c>
      <c r="G2425" s="12">
        <v>0</v>
      </c>
      <c r="H2425" s="10"/>
      <c r="I2425" s="10"/>
    </row>
    <row r="2426" spans="1:9">
      <c r="A2426" s="10" t="s">
        <v>3474</v>
      </c>
      <c r="B2426" s="124" t="s">
        <v>423</v>
      </c>
      <c r="C2426" s="124" t="s">
        <v>451</v>
      </c>
      <c r="D2426" s="14">
        <v>1820648.76</v>
      </c>
      <c r="E2426" s="82">
        <v>0.88536378159999995</v>
      </c>
      <c r="F2426" s="14">
        <v>1611936.47</v>
      </c>
      <c r="G2426" s="12">
        <v>0</v>
      </c>
      <c r="H2426" s="10"/>
      <c r="I2426" s="10"/>
    </row>
    <row r="2427" spans="1:9">
      <c r="A2427" s="10" t="s">
        <v>3475</v>
      </c>
      <c r="B2427" s="124" t="s">
        <v>3476</v>
      </c>
      <c r="C2427" s="124" t="s">
        <v>451</v>
      </c>
      <c r="D2427" s="14">
        <v>1820648.76</v>
      </c>
      <c r="E2427" s="82">
        <v>0.86052437280000005</v>
      </c>
      <c r="F2427" s="14">
        <v>1566712.63</v>
      </c>
      <c r="G2427" s="12">
        <v>0</v>
      </c>
      <c r="H2427" s="10"/>
      <c r="I2427" s="10"/>
    </row>
    <row r="2428" spans="1:9">
      <c r="A2428" s="10" t="s">
        <v>3477</v>
      </c>
      <c r="B2428" s="124" t="s">
        <v>1108</v>
      </c>
      <c r="C2428" s="124" t="s">
        <v>451</v>
      </c>
      <c r="D2428" s="14">
        <v>1820648.76</v>
      </c>
      <c r="E2428" s="82">
        <v>0.90629200789999997</v>
      </c>
      <c r="F2428" s="14">
        <v>1650039.42</v>
      </c>
      <c r="G2428" s="12">
        <v>0</v>
      </c>
      <c r="H2428" s="10"/>
      <c r="I2428" s="10"/>
    </row>
    <row r="2429" spans="1:9">
      <c r="A2429" s="10" t="s">
        <v>3478</v>
      </c>
      <c r="B2429" s="124" t="s">
        <v>427</v>
      </c>
      <c r="C2429" s="124" t="s">
        <v>451</v>
      </c>
      <c r="D2429" s="14">
        <v>1049734.6499999999</v>
      </c>
      <c r="E2429" s="82">
        <v>0.86538006619999996</v>
      </c>
      <c r="F2429" s="14">
        <v>908419.44</v>
      </c>
      <c r="G2429" s="12">
        <v>0</v>
      </c>
      <c r="H2429" s="10"/>
      <c r="I2429" s="10"/>
    </row>
    <row r="2430" spans="1:9">
      <c r="A2430" s="10" t="s">
        <v>3479</v>
      </c>
      <c r="B2430" s="124" t="s">
        <v>431</v>
      </c>
      <c r="C2430" s="124" t="s">
        <v>451</v>
      </c>
      <c r="D2430" s="14">
        <v>1049734.68</v>
      </c>
      <c r="E2430" s="82">
        <v>0.9078249464</v>
      </c>
      <c r="F2430" s="14">
        <v>952975.33</v>
      </c>
      <c r="G2430" s="12">
        <v>0</v>
      </c>
      <c r="H2430" s="10"/>
      <c r="I2430" s="10"/>
    </row>
    <row r="2431" spans="1:9">
      <c r="A2431" s="10" t="s">
        <v>3480</v>
      </c>
      <c r="B2431" s="124" t="s">
        <v>423</v>
      </c>
      <c r="C2431" s="124" t="s">
        <v>451</v>
      </c>
      <c r="D2431" s="14">
        <v>1049734.68</v>
      </c>
      <c r="E2431" s="82">
        <v>0.88536378459999998</v>
      </c>
      <c r="F2431" s="14">
        <v>929397.07</v>
      </c>
      <c r="G2431" s="12">
        <v>0</v>
      </c>
      <c r="H2431" s="10"/>
      <c r="I2431" s="10"/>
    </row>
    <row r="2432" spans="1:9">
      <c r="A2432" s="10" t="s">
        <v>3481</v>
      </c>
      <c r="B2432" s="124" t="s">
        <v>3482</v>
      </c>
      <c r="C2432" s="124" t="s">
        <v>451</v>
      </c>
      <c r="D2432" s="153">
        <v>618696.5</v>
      </c>
      <c r="E2432" s="157">
        <v>0.86121476500000005</v>
      </c>
      <c r="F2432" s="14">
        <v>532830.56000000006</v>
      </c>
      <c r="G2432" s="12">
        <v>0</v>
      </c>
      <c r="H2432" s="10"/>
      <c r="I2432" s="10"/>
    </row>
    <row r="2433" spans="1:9">
      <c r="A2433" s="10" t="s">
        <v>3483</v>
      </c>
      <c r="B2433" s="124" t="s">
        <v>824</v>
      </c>
      <c r="C2433" s="124" t="s">
        <v>451</v>
      </c>
      <c r="D2433" s="153">
        <v>618696.5</v>
      </c>
      <c r="E2433" s="82">
        <v>0.88463413020000004</v>
      </c>
      <c r="F2433" s="14">
        <v>547320.04</v>
      </c>
      <c r="G2433" s="12">
        <v>0</v>
      </c>
      <c r="H2433" s="10"/>
      <c r="I2433" s="10"/>
    </row>
    <row r="2434" spans="1:9">
      <c r="A2434" s="10" t="s">
        <v>3484</v>
      </c>
      <c r="B2434" s="124" t="s">
        <v>822</v>
      </c>
      <c r="C2434" s="124" t="s">
        <v>451</v>
      </c>
      <c r="D2434" s="153">
        <v>618696.5</v>
      </c>
      <c r="E2434" s="82">
        <v>0.90552745889999997</v>
      </c>
      <c r="F2434" s="14">
        <v>560246.67000000004</v>
      </c>
      <c r="G2434" s="12">
        <v>0</v>
      </c>
      <c r="H2434" s="10"/>
      <c r="I2434" s="10"/>
    </row>
    <row r="2435" spans="1:9">
      <c r="A2435" s="10" t="s">
        <v>3485</v>
      </c>
      <c r="B2435" s="124" t="s">
        <v>663</v>
      </c>
      <c r="C2435" s="124" t="s">
        <v>451</v>
      </c>
      <c r="D2435" s="153">
        <v>618696.5</v>
      </c>
      <c r="E2435" s="82">
        <v>0.92823358430000003</v>
      </c>
      <c r="F2435" s="14">
        <v>574294.87</v>
      </c>
      <c r="G2435" s="12">
        <v>0</v>
      </c>
      <c r="H2435" s="10"/>
      <c r="I2435" s="10"/>
    </row>
    <row r="2436" spans="1:9">
      <c r="A2436" s="10" t="s">
        <v>3486</v>
      </c>
      <c r="B2436" s="124" t="s">
        <v>459</v>
      </c>
      <c r="C2436" s="124" t="s">
        <v>451</v>
      </c>
      <c r="D2436" s="153">
        <v>618696.5</v>
      </c>
      <c r="E2436" s="157">
        <v>0.98171066100000004</v>
      </c>
      <c r="F2436" s="14">
        <v>607380.94999999995</v>
      </c>
      <c r="G2436" s="12">
        <v>0</v>
      </c>
      <c r="H2436" s="10"/>
      <c r="I2436" s="10"/>
    </row>
    <row r="2437" spans="1:9">
      <c r="A2437" s="10" t="s">
        <v>3487</v>
      </c>
      <c r="B2437" s="124" t="s">
        <v>614</v>
      </c>
      <c r="C2437" s="124" t="s">
        <v>451</v>
      </c>
      <c r="D2437" s="153">
        <v>618696.5</v>
      </c>
      <c r="E2437" s="82">
        <v>0.9554974047</v>
      </c>
      <c r="F2437" s="153">
        <v>591162.9</v>
      </c>
      <c r="G2437" s="12">
        <v>0</v>
      </c>
      <c r="H2437" s="10"/>
      <c r="I2437" s="10"/>
    </row>
    <row r="2438" spans="1:9">
      <c r="A2438" s="10" t="s">
        <v>3488</v>
      </c>
      <c r="B2438" s="124" t="s">
        <v>2147</v>
      </c>
      <c r="C2438" s="124" t="s">
        <v>451</v>
      </c>
      <c r="D2438" s="14">
        <v>4927055.72</v>
      </c>
      <c r="E2438" s="82">
        <v>0.90248245260000004</v>
      </c>
      <c r="F2438" s="14">
        <v>4446581.33</v>
      </c>
      <c r="G2438" s="14">
        <v>0.01</v>
      </c>
      <c r="H2438" s="10"/>
      <c r="I2438" s="10"/>
    </row>
    <row r="2439" spans="1:9">
      <c r="A2439" s="10" t="s">
        <v>3489</v>
      </c>
      <c r="B2439" s="124" t="s">
        <v>2296</v>
      </c>
      <c r="C2439" s="124" t="s">
        <v>451</v>
      </c>
      <c r="D2439" s="14">
        <v>4927055.72</v>
      </c>
      <c r="E2439" s="82">
        <v>0.88172779209999996</v>
      </c>
      <c r="F2439" s="14">
        <v>4344321.96</v>
      </c>
      <c r="G2439" s="14">
        <v>0.01</v>
      </c>
      <c r="H2439" s="10"/>
      <c r="I2439" s="10"/>
    </row>
    <row r="2440" spans="1:9">
      <c r="A2440" s="10" t="s">
        <v>3490</v>
      </c>
      <c r="B2440" s="124" t="s">
        <v>663</v>
      </c>
      <c r="C2440" s="124" t="s">
        <v>451</v>
      </c>
      <c r="D2440" s="14">
        <v>4927055.72</v>
      </c>
      <c r="E2440" s="82">
        <v>0.92823357449999999</v>
      </c>
      <c r="F2440" s="14">
        <v>4573458.54</v>
      </c>
      <c r="G2440" s="14">
        <v>0.01</v>
      </c>
      <c r="H2440" s="10"/>
      <c r="I2440" s="10"/>
    </row>
    <row r="2441" spans="1:9">
      <c r="A2441" s="10" t="s">
        <v>3491</v>
      </c>
      <c r="B2441" s="124" t="s">
        <v>573</v>
      </c>
      <c r="C2441" s="124" t="s">
        <v>451</v>
      </c>
      <c r="D2441" s="14">
        <v>4927055.72</v>
      </c>
      <c r="E2441" s="82">
        <v>0.95210768619999997</v>
      </c>
      <c r="F2441" s="14">
        <v>4691087.62</v>
      </c>
      <c r="G2441" s="14">
        <v>0.01</v>
      </c>
      <c r="H2441" s="10"/>
      <c r="I2441" s="10"/>
    </row>
    <row r="2442" spans="1:9">
      <c r="A2442" s="10" t="s">
        <v>3492</v>
      </c>
      <c r="B2442" s="124" t="s">
        <v>762</v>
      </c>
      <c r="C2442" s="124" t="s">
        <v>451</v>
      </c>
      <c r="D2442" s="14">
        <v>9718046.9299999997</v>
      </c>
      <c r="E2442" s="82">
        <v>0.94623323950000005</v>
      </c>
      <c r="F2442" s="14">
        <v>9195539.0299999993</v>
      </c>
      <c r="G2442" s="14">
        <v>0.01</v>
      </c>
      <c r="H2442" s="10"/>
      <c r="I2442" s="10"/>
    </row>
    <row r="2443" spans="1:9">
      <c r="A2443" s="10" t="s">
        <v>3493</v>
      </c>
      <c r="B2443" s="124" t="s">
        <v>1113</v>
      </c>
      <c r="C2443" s="124" t="s">
        <v>451</v>
      </c>
      <c r="D2443" s="14">
        <v>784454.61</v>
      </c>
      <c r="E2443" s="82">
        <v>0.9179158489</v>
      </c>
      <c r="F2443" s="14">
        <v>720063.32</v>
      </c>
      <c r="G2443" s="12">
        <v>0</v>
      </c>
      <c r="H2443" s="10"/>
      <c r="I2443" s="10"/>
    </row>
    <row r="2444" spans="1:9">
      <c r="A2444" s="10" t="s">
        <v>3494</v>
      </c>
      <c r="B2444" s="124" t="s">
        <v>743</v>
      </c>
      <c r="C2444" s="124" t="s">
        <v>451</v>
      </c>
      <c r="D2444" s="14">
        <v>784454.61</v>
      </c>
      <c r="E2444" s="82">
        <v>0.94125547939999998</v>
      </c>
      <c r="F2444" s="153">
        <v>738372.2</v>
      </c>
      <c r="G2444" s="12">
        <v>0</v>
      </c>
      <c r="H2444" s="10"/>
      <c r="I2444" s="10"/>
    </row>
    <row r="2445" spans="1:9">
      <c r="A2445" s="10" t="s">
        <v>3495</v>
      </c>
      <c r="B2445" s="124" t="s">
        <v>2333</v>
      </c>
      <c r="C2445" s="124" t="s">
        <v>451</v>
      </c>
      <c r="D2445" s="12">
        <v>980655</v>
      </c>
      <c r="E2445" s="82">
        <v>0.89124406550000002</v>
      </c>
      <c r="F2445" s="14">
        <v>874002.95</v>
      </c>
      <c r="G2445" s="12">
        <v>0</v>
      </c>
      <c r="H2445" s="10"/>
      <c r="I2445" s="10"/>
    </row>
    <row r="2446" spans="1:9">
      <c r="A2446" s="10" t="s">
        <v>3496</v>
      </c>
      <c r="B2446" s="124" t="s">
        <v>2194</v>
      </c>
      <c r="C2446" s="124" t="s">
        <v>451</v>
      </c>
      <c r="D2446" s="14">
        <v>980654.48</v>
      </c>
      <c r="E2446" s="82">
        <v>0.87029113410000003</v>
      </c>
      <c r="F2446" s="153">
        <v>853454.9</v>
      </c>
      <c r="G2446" s="12">
        <v>0</v>
      </c>
      <c r="H2446" s="10"/>
      <c r="I2446" s="10"/>
    </row>
    <row r="2447" spans="1:9">
      <c r="A2447" s="10" t="s">
        <v>3497</v>
      </c>
      <c r="B2447" s="124" t="s">
        <v>1781</v>
      </c>
      <c r="C2447" s="124" t="s">
        <v>451</v>
      </c>
      <c r="D2447" s="12">
        <v>847010</v>
      </c>
      <c r="E2447" s="82">
        <v>0.9387861891</v>
      </c>
      <c r="F2447" s="14">
        <v>795161.29</v>
      </c>
      <c r="G2447" s="12">
        <v>0</v>
      </c>
      <c r="H2447" s="10"/>
      <c r="I2447" s="10"/>
    </row>
    <row r="2448" spans="1:9">
      <c r="A2448" s="10" t="s">
        <v>3498</v>
      </c>
      <c r="B2448" s="124" t="s">
        <v>616</v>
      </c>
      <c r="C2448" s="124" t="s">
        <v>451</v>
      </c>
      <c r="D2448" s="12">
        <v>980655</v>
      </c>
      <c r="E2448" s="82">
        <v>0.91090591460000003</v>
      </c>
      <c r="F2448" s="14">
        <v>893284.44</v>
      </c>
      <c r="G2448" s="12">
        <v>0</v>
      </c>
      <c r="H2448" s="10"/>
      <c r="I2448" s="10"/>
    </row>
    <row r="2449" spans="1:9">
      <c r="A2449" s="10" t="s">
        <v>3499</v>
      </c>
      <c r="B2449" s="124" t="s">
        <v>636</v>
      </c>
      <c r="C2449" s="124" t="s">
        <v>451</v>
      </c>
      <c r="D2449" s="153">
        <v>1592576.4</v>
      </c>
      <c r="E2449" s="157">
        <v>0.93960792699999995</v>
      </c>
      <c r="F2449" s="14">
        <v>1496397.41</v>
      </c>
      <c r="G2449" s="12">
        <v>0</v>
      </c>
      <c r="H2449" s="10"/>
      <c r="I2449" s="10"/>
    </row>
    <row r="2450" spans="1:9">
      <c r="A2450" s="10" t="s">
        <v>3500</v>
      </c>
      <c r="B2450" s="124" t="s">
        <v>2230</v>
      </c>
      <c r="C2450" s="124" t="s">
        <v>451</v>
      </c>
      <c r="D2450" s="14">
        <v>1257626.56</v>
      </c>
      <c r="E2450" s="82">
        <v>0.90172458639999997</v>
      </c>
      <c r="F2450" s="14">
        <v>1134032.79</v>
      </c>
      <c r="G2450" s="12">
        <v>0</v>
      </c>
      <c r="H2450" s="10"/>
      <c r="I2450" s="10"/>
    </row>
    <row r="2451" spans="1:9">
      <c r="A2451" s="10" t="s">
        <v>3501</v>
      </c>
      <c r="B2451" s="124" t="s">
        <v>931</v>
      </c>
      <c r="C2451" s="124" t="s">
        <v>451</v>
      </c>
      <c r="D2451" s="14">
        <v>1257626.54</v>
      </c>
      <c r="E2451" s="82">
        <v>0.92663125660000001</v>
      </c>
      <c r="F2451" s="14">
        <v>1165356.06</v>
      </c>
      <c r="G2451" s="12">
        <v>0</v>
      </c>
      <c r="H2451" s="10"/>
      <c r="I2451" s="10"/>
    </row>
    <row r="2452" spans="1:9">
      <c r="A2452" s="10" t="s">
        <v>3502</v>
      </c>
      <c r="B2452" s="124" t="s">
        <v>559</v>
      </c>
      <c r="C2452" s="124" t="s">
        <v>451</v>
      </c>
      <c r="D2452" s="14">
        <v>1257626.54</v>
      </c>
      <c r="E2452" s="82">
        <v>0.97458083250000005</v>
      </c>
      <c r="F2452" s="14">
        <v>1225658.72</v>
      </c>
      <c r="G2452" s="12">
        <v>0</v>
      </c>
      <c r="H2452" s="10"/>
      <c r="I2452" s="10"/>
    </row>
    <row r="2453" spans="1:9">
      <c r="A2453" s="10" t="s">
        <v>3503</v>
      </c>
      <c r="B2453" s="124" t="s">
        <v>587</v>
      </c>
      <c r="C2453" s="124" t="s">
        <v>451</v>
      </c>
      <c r="D2453" s="14">
        <v>1257626.54</v>
      </c>
      <c r="E2453" s="82">
        <v>0.95126421289999996</v>
      </c>
      <c r="F2453" s="14">
        <v>1196335.1200000001</v>
      </c>
      <c r="G2453" s="12">
        <v>0</v>
      </c>
      <c r="H2453" s="10"/>
      <c r="I2453" s="10"/>
    </row>
    <row r="2454" spans="1:9">
      <c r="A2454" s="10" t="s">
        <v>3504</v>
      </c>
      <c r="B2454" s="124" t="s">
        <v>716</v>
      </c>
      <c r="C2454" s="124" t="s">
        <v>451</v>
      </c>
      <c r="D2454" s="12">
        <v>8000000</v>
      </c>
      <c r="E2454" s="82">
        <v>0.98223913119999995</v>
      </c>
      <c r="F2454" s="14">
        <v>7857913.0499999998</v>
      </c>
      <c r="G2454" s="14">
        <v>0.01</v>
      </c>
      <c r="H2454" s="10"/>
      <c r="I2454" s="10"/>
    </row>
    <row r="2455" spans="1:9">
      <c r="A2455" s="10" t="s">
        <v>3505</v>
      </c>
      <c r="B2455" s="124" t="s">
        <v>559</v>
      </c>
      <c r="C2455" s="124" t="s">
        <v>451</v>
      </c>
      <c r="D2455" s="12">
        <v>8000000</v>
      </c>
      <c r="E2455" s="82">
        <v>0.97750404719999995</v>
      </c>
      <c r="F2455" s="14">
        <v>7820032.3799999999</v>
      </c>
      <c r="G2455" s="14">
        <v>0.01</v>
      </c>
      <c r="H2455" s="10"/>
      <c r="I2455" s="10"/>
    </row>
    <row r="2456" spans="1:9">
      <c r="A2456" s="10" t="s">
        <v>3506</v>
      </c>
      <c r="B2456" s="124" t="s">
        <v>610</v>
      </c>
      <c r="C2456" s="124" t="s">
        <v>451</v>
      </c>
      <c r="D2456" s="12">
        <v>8500000</v>
      </c>
      <c r="E2456" s="82">
        <v>0.97671948679999998</v>
      </c>
      <c r="F2456" s="14">
        <v>8302115.6399999997</v>
      </c>
      <c r="G2456" s="14">
        <v>0.01</v>
      </c>
      <c r="H2456" s="10"/>
      <c r="I2456" s="10"/>
    </row>
    <row r="2457" spans="1:9">
      <c r="A2457" s="10" t="s">
        <v>3507</v>
      </c>
      <c r="B2457" s="124" t="s">
        <v>505</v>
      </c>
      <c r="C2457" s="124" t="s">
        <v>451</v>
      </c>
      <c r="D2457" s="12">
        <v>800000</v>
      </c>
      <c r="E2457" s="82">
        <v>0.99333257490000004</v>
      </c>
      <c r="F2457" s="14">
        <v>794666.06</v>
      </c>
      <c r="G2457" s="12">
        <v>0</v>
      </c>
      <c r="H2457" s="10"/>
      <c r="I2457" s="10"/>
    </row>
    <row r="2458" spans="1:9">
      <c r="A2458" s="10" t="s">
        <v>3508</v>
      </c>
      <c r="B2458" s="124" t="s">
        <v>505</v>
      </c>
      <c r="C2458" s="124" t="s">
        <v>451</v>
      </c>
      <c r="D2458" s="12">
        <v>400000</v>
      </c>
      <c r="E2458" s="82">
        <v>0.99333257490000004</v>
      </c>
      <c r="F2458" s="14">
        <v>397333.03</v>
      </c>
      <c r="G2458" s="12">
        <v>0</v>
      </c>
      <c r="H2458" s="10"/>
      <c r="I2458" s="10"/>
    </row>
    <row r="2459" spans="1:9">
      <c r="A2459" s="10" t="s">
        <v>3509</v>
      </c>
      <c r="B2459" s="124" t="s">
        <v>663</v>
      </c>
      <c r="C2459" s="124" t="s">
        <v>451</v>
      </c>
      <c r="D2459" s="14">
        <v>181355.13</v>
      </c>
      <c r="E2459" s="82">
        <v>0.92627840279999996</v>
      </c>
      <c r="F2459" s="14">
        <v>167985.34</v>
      </c>
      <c r="G2459" s="12">
        <v>0</v>
      </c>
      <c r="H2459" s="10"/>
      <c r="I2459" s="10"/>
    </row>
    <row r="2460" spans="1:9">
      <c r="A2460" s="10" t="s">
        <v>3510</v>
      </c>
      <c r="B2460" s="124" t="s">
        <v>573</v>
      </c>
      <c r="C2460" s="124" t="s">
        <v>451</v>
      </c>
      <c r="D2460" s="14">
        <v>181355.13</v>
      </c>
      <c r="E2460" s="82">
        <v>0.95076841720000005</v>
      </c>
      <c r="F2460" s="14">
        <v>172426.73</v>
      </c>
      <c r="G2460" s="12">
        <v>0</v>
      </c>
      <c r="H2460" s="10"/>
      <c r="I2460" s="10"/>
    </row>
    <row r="2461" spans="1:9">
      <c r="A2461" s="10" t="s">
        <v>3511</v>
      </c>
      <c r="B2461" s="124" t="s">
        <v>762</v>
      </c>
      <c r="C2461" s="124" t="s">
        <v>451</v>
      </c>
      <c r="D2461" s="14">
        <v>1447208.21</v>
      </c>
      <c r="E2461" s="82">
        <v>0.94473925739999998</v>
      </c>
      <c r="F2461" s="14">
        <v>1367234.41</v>
      </c>
      <c r="G2461" s="12">
        <v>0</v>
      </c>
      <c r="H2461" s="10"/>
      <c r="I2461" s="10"/>
    </row>
    <row r="2462" spans="1:9">
      <c r="A2462" s="10" t="s">
        <v>3512</v>
      </c>
      <c r="B2462" s="124" t="s">
        <v>1885</v>
      </c>
      <c r="C2462" s="124" t="s">
        <v>451</v>
      </c>
      <c r="D2462" s="12">
        <v>25000000</v>
      </c>
      <c r="E2462" s="82">
        <v>0.8869341664</v>
      </c>
      <c r="F2462" s="14">
        <v>22173354.16</v>
      </c>
      <c r="G2462" s="14">
        <v>0.03</v>
      </c>
      <c r="H2462" s="10"/>
      <c r="I2462" s="10"/>
    </row>
    <row r="2463" spans="1:9">
      <c r="A2463" s="10" t="s">
        <v>3513</v>
      </c>
      <c r="B2463" s="124" t="s">
        <v>1448</v>
      </c>
      <c r="C2463" s="124" t="s">
        <v>451</v>
      </c>
      <c r="D2463" s="12">
        <v>20000000</v>
      </c>
      <c r="E2463" s="82">
        <v>0.90359966589999996</v>
      </c>
      <c r="F2463" s="14">
        <v>18071993.32</v>
      </c>
      <c r="G2463" s="14">
        <v>0.02</v>
      </c>
      <c r="H2463" s="10"/>
      <c r="I2463" s="10"/>
    </row>
    <row r="2464" spans="1:9">
      <c r="A2464" s="10" t="s">
        <v>3514</v>
      </c>
      <c r="B2464" s="124" t="s">
        <v>824</v>
      </c>
      <c r="C2464" s="124" t="s">
        <v>451</v>
      </c>
      <c r="D2464" s="12">
        <v>25000000</v>
      </c>
      <c r="E2464" s="82">
        <v>0.88764602619999999</v>
      </c>
      <c r="F2464" s="14">
        <v>22191150.66</v>
      </c>
      <c r="G2464" s="14">
        <v>0.03</v>
      </c>
      <c r="H2464" s="10"/>
      <c r="I2464" s="10"/>
    </row>
    <row r="2465" spans="1:9">
      <c r="A2465" s="10" t="s">
        <v>3515</v>
      </c>
      <c r="B2465" s="124" t="s">
        <v>1553</v>
      </c>
      <c r="C2465" s="124" t="s">
        <v>451</v>
      </c>
      <c r="D2465" s="12">
        <v>25000000</v>
      </c>
      <c r="E2465" s="82">
        <v>0.87848104660000004</v>
      </c>
      <c r="F2465" s="14">
        <v>21962026.170000002</v>
      </c>
      <c r="G2465" s="14">
        <v>0.03</v>
      </c>
      <c r="H2465" s="10"/>
      <c r="I2465" s="10"/>
    </row>
    <row r="2466" spans="1:9">
      <c r="A2466" s="10" t="s">
        <v>3516</v>
      </c>
      <c r="B2466" s="124" t="s">
        <v>1925</v>
      </c>
      <c r="C2466" s="124" t="s">
        <v>451</v>
      </c>
      <c r="D2466" s="12">
        <v>25000000</v>
      </c>
      <c r="E2466" s="82">
        <v>0.87500611910000003</v>
      </c>
      <c r="F2466" s="14">
        <v>21875152.98</v>
      </c>
      <c r="G2466" s="14">
        <v>0.03</v>
      </c>
      <c r="H2466" s="10"/>
      <c r="I2466" s="10"/>
    </row>
    <row r="2467" spans="1:9">
      <c r="A2467" s="10" t="s">
        <v>3517</v>
      </c>
      <c r="B2467" s="124" t="s">
        <v>1624</v>
      </c>
      <c r="C2467" s="124" t="s">
        <v>451</v>
      </c>
      <c r="D2467" s="14">
        <v>16368524.48</v>
      </c>
      <c r="E2467" s="82">
        <v>0.93599354570000004</v>
      </c>
      <c r="F2467" s="14">
        <v>15320833.27</v>
      </c>
      <c r="G2467" s="14">
        <v>0.02</v>
      </c>
      <c r="H2467" s="10"/>
      <c r="I2467" s="10"/>
    </row>
    <row r="2468" spans="1:9">
      <c r="A2468" s="10" t="s">
        <v>3518</v>
      </c>
      <c r="B2468" s="124" t="s">
        <v>636</v>
      </c>
      <c r="C2468" s="124" t="s">
        <v>451</v>
      </c>
      <c r="D2468" s="14">
        <v>21158775.73</v>
      </c>
      <c r="E2468" s="82">
        <v>0.94295775839999996</v>
      </c>
      <c r="F2468" s="14">
        <v>19951831.73</v>
      </c>
      <c r="G2468" s="14">
        <v>0.02</v>
      </c>
      <c r="H2468" s="10"/>
      <c r="I2468" s="10"/>
    </row>
    <row r="2469" spans="1:9">
      <c r="A2469" s="10" t="s">
        <v>3519</v>
      </c>
      <c r="B2469" s="124" t="s">
        <v>283</v>
      </c>
      <c r="C2469" s="124" t="s">
        <v>451</v>
      </c>
      <c r="D2469" s="14">
        <v>4466336.49</v>
      </c>
      <c r="E2469" s="82">
        <v>0.92686646780000004</v>
      </c>
      <c r="F2469" s="14">
        <v>4139697.53</v>
      </c>
      <c r="G2469" s="14">
        <v>0.01</v>
      </c>
      <c r="H2469" s="10"/>
      <c r="I2469" s="10"/>
    </row>
    <row r="2470" spans="1:9">
      <c r="A2470" s="10" t="s">
        <v>3520</v>
      </c>
      <c r="B2470" s="124" t="s">
        <v>587</v>
      </c>
      <c r="C2470" s="124" t="s">
        <v>451</v>
      </c>
      <c r="D2470" s="153">
        <v>6600211.2000000002</v>
      </c>
      <c r="E2470" s="157">
        <v>0.95399914100000005</v>
      </c>
      <c r="F2470" s="14">
        <v>6296595.8200000003</v>
      </c>
      <c r="G2470" s="14">
        <v>0.01</v>
      </c>
      <c r="H2470" s="10"/>
      <c r="I2470" s="10"/>
    </row>
    <row r="2471" spans="1:9">
      <c r="A2471" s="10" t="s">
        <v>3521</v>
      </c>
      <c r="B2471" s="124" t="s">
        <v>746</v>
      </c>
      <c r="C2471" s="124" t="s">
        <v>451</v>
      </c>
      <c r="D2471" s="12">
        <v>2700000</v>
      </c>
      <c r="E2471" s="157">
        <v>0.98782151100000004</v>
      </c>
      <c r="F2471" s="14">
        <v>2667118.08</v>
      </c>
      <c r="G2471" s="12">
        <v>0</v>
      </c>
      <c r="H2471" s="10"/>
      <c r="I2471" s="10"/>
    </row>
    <row r="2472" spans="1:9">
      <c r="A2472" s="10" t="s">
        <v>3522</v>
      </c>
      <c r="B2472" s="124" t="s">
        <v>267</v>
      </c>
      <c r="C2472" s="124" t="s">
        <v>451</v>
      </c>
      <c r="D2472" s="12">
        <v>135000</v>
      </c>
      <c r="E2472" s="82">
        <v>0.96663133339999996</v>
      </c>
      <c r="F2472" s="14">
        <v>130495.23</v>
      </c>
      <c r="G2472" s="12">
        <v>0</v>
      </c>
      <c r="H2472" s="10"/>
      <c r="I2472" s="10"/>
    </row>
    <row r="2473" spans="1:9">
      <c r="A2473" s="10" t="s">
        <v>3523</v>
      </c>
      <c r="B2473" s="124" t="s">
        <v>718</v>
      </c>
      <c r="C2473" s="124" t="s">
        <v>451</v>
      </c>
      <c r="D2473" s="12">
        <v>135000</v>
      </c>
      <c r="E2473" s="82">
        <v>0.97907740750000005</v>
      </c>
      <c r="F2473" s="14">
        <v>132175.45000000001</v>
      </c>
      <c r="G2473" s="12">
        <v>0</v>
      </c>
      <c r="H2473" s="10"/>
      <c r="I2473" s="10"/>
    </row>
    <row r="2474" spans="1:9">
      <c r="A2474" s="10" t="s">
        <v>3524</v>
      </c>
      <c r="B2474" s="124" t="s">
        <v>561</v>
      </c>
      <c r="C2474" s="124" t="s">
        <v>451</v>
      </c>
      <c r="D2474" s="12">
        <v>490000</v>
      </c>
      <c r="E2474" s="82">
        <v>0.99590728569999998</v>
      </c>
      <c r="F2474" s="14">
        <v>487994.57</v>
      </c>
      <c r="G2474" s="12">
        <v>0</v>
      </c>
      <c r="H2474" s="10"/>
      <c r="I2474" s="10"/>
    </row>
    <row r="2475" spans="1:9">
      <c r="A2475" s="10" t="s">
        <v>3525</v>
      </c>
      <c r="B2475" s="124" t="s">
        <v>645</v>
      </c>
      <c r="C2475" s="124" t="s">
        <v>451</v>
      </c>
      <c r="D2475" s="12">
        <v>490000</v>
      </c>
      <c r="E2475" s="82">
        <v>0.97281461270000003</v>
      </c>
      <c r="F2475" s="14">
        <v>476679.16</v>
      </c>
      <c r="G2475" s="12">
        <v>0</v>
      </c>
      <c r="H2475" s="10"/>
      <c r="I2475" s="10"/>
    </row>
    <row r="2476" spans="1:9">
      <c r="A2476" s="10" t="s">
        <v>3526</v>
      </c>
      <c r="B2476" s="124" t="s">
        <v>267</v>
      </c>
      <c r="C2476" s="124" t="s">
        <v>451</v>
      </c>
      <c r="D2476" s="12">
        <v>3392865</v>
      </c>
      <c r="E2476" s="82">
        <v>0.96663142469999996</v>
      </c>
      <c r="F2476" s="14">
        <v>3279649.93</v>
      </c>
      <c r="G2476" s="12">
        <v>0</v>
      </c>
      <c r="H2476" s="10"/>
      <c r="I2476" s="10"/>
    </row>
    <row r="2477" spans="1:9">
      <c r="A2477" s="10" t="s">
        <v>3527</v>
      </c>
      <c r="B2477" s="124" t="s">
        <v>461</v>
      </c>
      <c r="C2477" s="124" t="s">
        <v>451</v>
      </c>
      <c r="D2477" s="12">
        <v>3392865</v>
      </c>
      <c r="E2477" s="82">
        <v>0.97829009119999999</v>
      </c>
      <c r="F2477" s="14">
        <v>3319206.21</v>
      </c>
      <c r="G2477" s="12">
        <v>0</v>
      </c>
      <c r="H2477" s="10"/>
      <c r="I2477" s="10"/>
    </row>
    <row r="2478" spans="1:9">
      <c r="A2478" s="10" t="s">
        <v>3528</v>
      </c>
      <c r="B2478" s="124" t="s">
        <v>510</v>
      </c>
      <c r="C2478" s="124" t="s">
        <v>451</v>
      </c>
      <c r="D2478" s="14">
        <v>5392373.7199999997</v>
      </c>
      <c r="E2478" s="82">
        <v>0.98303259880000005</v>
      </c>
      <c r="F2478" s="14">
        <v>5300879.1500000004</v>
      </c>
      <c r="G2478" s="14">
        <v>0.01</v>
      </c>
      <c r="H2478" s="10"/>
      <c r="I2478" s="10"/>
    </row>
    <row r="2479" spans="1:9">
      <c r="A2479" s="10" t="s">
        <v>3529</v>
      </c>
      <c r="B2479" s="124" t="s">
        <v>559</v>
      </c>
      <c r="C2479" s="124" t="s">
        <v>451</v>
      </c>
      <c r="D2479" s="14">
        <v>912617.71</v>
      </c>
      <c r="E2479" s="82">
        <v>0.97750405230000004</v>
      </c>
      <c r="F2479" s="14">
        <v>892087.51</v>
      </c>
      <c r="G2479" s="12">
        <v>0</v>
      </c>
      <c r="H2479" s="10"/>
      <c r="I2479" s="10"/>
    </row>
    <row r="2480" spans="1:9">
      <c r="A2480" s="10" t="s">
        <v>3530</v>
      </c>
      <c r="B2480" s="124" t="s">
        <v>473</v>
      </c>
      <c r="C2480" s="124" t="s">
        <v>451</v>
      </c>
      <c r="D2480" s="14">
        <v>671045.38</v>
      </c>
      <c r="E2480" s="82">
        <v>0.99672317239999997</v>
      </c>
      <c r="F2480" s="14">
        <v>668846.48</v>
      </c>
      <c r="G2480" s="12">
        <v>0</v>
      </c>
      <c r="H2480" s="10"/>
      <c r="I2480" s="10"/>
    </row>
    <row r="2481" spans="1:9">
      <c r="A2481" s="10" t="s">
        <v>3531</v>
      </c>
      <c r="B2481" s="124" t="s">
        <v>925</v>
      </c>
      <c r="C2481" s="124" t="s">
        <v>451</v>
      </c>
      <c r="D2481" s="14">
        <v>671045.38</v>
      </c>
      <c r="E2481" s="82">
        <v>0.96356921490000003</v>
      </c>
      <c r="F2481" s="14">
        <v>646598.67000000004</v>
      </c>
      <c r="G2481" s="12">
        <v>0</v>
      </c>
      <c r="H2481" s="10"/>
      <c r="I2481" s="10"/>
    </row>
    <row r="2482" spans="1:9">
      <c r="A2482" s="10" t="s">
        <v>3532</v>
      </c>
      <c r="B2482" s="124" t="s">
        <v>513</v>
      </c>
      <c r="C2482" s="124" t="s">
        <v>451</v>
      </c>
      <c r="D2482" s="14">
        <v>671045.38</v>
      </c>
      <c r="E2482" s="82">
        <v>0.98542134349999999</v>
      </c>
      <c r="F2482" s="14">
        <v>661262.43999999994</v>
      </c>
      <c r="G2482" s="12">
        <v>0</v>
      </c>
      <c r="H2482" s="10"/>
      <c r="I2482" s="10"/>
    </row>
    <row r="2483" spans="1:9">
      <c r="A2483" s="10" t="s">
        <v>3533</v>
      </c>
      <c r="B2483" s="124" t="s">
        <v>498</v>
      </c>
      <c r="C2483" s="124" t="s">
        <v>451</v>
      </c>
      <c r="D2483" s="14">
        <v>671045.38</v>
      </c>
      <c r="E2483" s="82">
        <v>0.97437267250000004</v>
      </c>
      <c r="F2483" s="14">
        <v>653848.28</v>
      </c>
      <c r="G2483" s="12">
        <v>0</v>
      </c>
      <c r="H2483" s="10"/>
      <c r="I2483" s="10"/>
    </row>
    <row r="2484" spans="1:9">
      <c r="A2484" s="10" t="s">
        <v>3534</v>
      </c>
      <c r="B2484" s="124" t="s">
        <v>473</v>
      </c>
      <c r="C2484" s="124" t="s">
        <v>451</v>
      </c>
      <c r="D2484" s="14">
        <v>131098.48000000001</v>
      </c>
      <c r="E2484" s="82">
        <v>0.99672315050000004</v>
      </c>
      <c r="F2484" s="14">
        <v>130668.89</v>
      </c>
      <c r="G2484" s="12">
        <v>0</v>
      </c>
      <c r="H2484" s="10"/>
      <c r="I2484" s="10"/>
    </row>
    <row r="2485" spans="1:9">
      <c r="A2485" s="10" t="s">
        <v>3535</v>
      </c>
      <c r="B2485" s="124" t="s">
        <v>505</v>
      </c>
      <c r="C2485" s="124" t="s">
        <v>451</v>
      </c>
      <c r="D2485" s="14">
        <v>1879533.11</v>
      </c>
      <c r="E2485" s="82">
        <v>0.99427961129999998</v>
      </c>
      <c r="F2485" s="14">
        <v>1868781.45</v>
      </c>
      <c r="G2485" s="12">
        <v>0</v>
      </c>
      <c r="H2485" s="10"/>
      <c r="I2485" s="10"/>
    </row>
    <row r="2486" spans="1:9">
      <c r="A2486" s="10" t="s">
        <v>3536</v>
      </c>
      <c r="B2486" s="124" t="s">
        <v>513</v>
      </c>
      <c r="C2486" s="124" t="s">
        <v>451</v>
      </c>
      <c r="D2486" s="12">
        <v>2006000</v>
      </c>
      <c r="E2486" s="82">
        <v>0.98542134589999997</v>
      </c>
      <c r="F2486" s="14">
        <v>1976755.22</v>
      </c>
      <c r="G2486" s="12">
        <v>0</v>
      </c>
      <c r="H2486" s="10"/>
      <c r="I2486" s="10"/>
    </row>
    <row r="2487" spans="1:9">
      <c r="A2487" s="10" t="s">
        <v>3537</v>
      </c>
      <c r="B2487" s="124" t="s">
        <v>552</v>
      </c>
      <c r="C2487" s="124" t="s">
        <v>451</v>
      </c>
      <c r="D2487" s="12">
        <v>2006000</v>
      </c>
      <c r="E2487" s="82">
        <v>0.96740008470000005</v>
      </c>
      <c r="F2487" s="14">
        <v>1940604.57</v>
      </c>
      <c r="G2487" s="12">
        <v>0</v>
      </c>
      <c r="H2487" s="10"/>
      <c r="I2487" s="10"/>
    </row>
    <row r="2488" spans="1:9">
      <c r="A2488" s="10" t="s">
        <v>3538</v>
      </c>
      <c r="B2488" s="124" t="s">
        <v>746</v>
      </c>
      <c r="C2488" s="124" t="s">
        <v>451</v>
      </c>
      <c r="D2488" s="12">
        <v>2006000</v>
      </c>
      <c r="E2488" s="82">
        <v>0.98782151539999996</v>
      </c>
      <c r="F2488" s="14">
        <v>1981569.96</v>
      </c>
      <c r="G2488" s="12">
        <v>0</v>
      </c>
      <c r="H2488" s="10"/>
      <c r="I2488" s="10"/>
    </row>
    <row r="2489" spans="1:9">
      <c r="A2489" s="10" t="s">
        <v>3539</v>
      </c>
      <c r="B2489" s="124" t="s">
        <v>630</v>
      </c>
      <c r="C2489" s="124" t="s">
        <v>451</v>
      </c>
      <c r="D2489" s="12">
        <v>2006000</v>
      </c>
      <c r="E2489" s="82">
        <v>0.92125196310000002</v>
      </c>
      <c r="F2489" s="14">
        <v>1848031.44</v>
      </c>
      <c r="G2489" s="12">
        <v>0</v>
      </c>
      <c r="H2489" s="10"/>
      <c r="I2489" s="10"/>
    </row>
    <row r="2490" spans="1:9">
      <c r="A2490" s="10" t="s">
        <v>3540</v>
      </c>
      <c r="B2490" s="124" t="s">
        <v>1698</v>
      </c>
      <c r="C2490" s="124" t="s">
        <v>451</v>
      </c>
      <c r="D2490" s="12">
        <v>2006000</v>
      </c>
      <c r="E2490" s="21">
        <v>0.94486159000000003</v>
      </c>
      <c r="F2490" s="14">
        <v>1895392.35</v>
      </c>
      <c r="G2490" s="12">
        <v>0</v>
      </c>
      <c r="H2490" s="10"/>
      <c r="I2490" s="10"/>
    </row>
    <row r="2491" spans="1:9">
      <c r="A2491" s="10" t="s">
        <v>3541</v>
      </c>
      <c r="B2491" s="124" t="s">
        <v>431</v>
      </c>
      <c r="C2491" s="124" t="s">
        <v>451</v>
      </c>
      <c r="D2491" s="14">
        <v>2012911.53</v>
      </c>
      <c r="E2491" s="82">
        <v>0.91777744039999998</v>
      </c>
      <c r="F2491" s="14">
        <v>1847404.79</v>
      </c>
      <c r="G2491" s="12">
        <v>0</v>
      </c>
      <c r="H2491" s="10"/>
      <c r="I2491" s="10"/>
    </row>
    <row r="2492" spans="1:9">
      <c r="A2492" s="10" t="s">
        <v>3542</v>
      </c>
      <c r="B2492" s="124" t="s">
        <v>752</v>
      </c>
      <c r="C2492" s="124" t="s">
        <v>451</v>
      </c>
      <c r="D2492" s="12">
        <v>2006000</v>
      </c>
      <c r="E2492" s="82">
        <v>0.96280686930000003</v>
      </c>
      <c r="F2492" s="14">
        <v>1931390.58</v>
      </c>
      <c r="G2492" s="12">
        <v>0</v>
      </c>
      <c r="H2492" s="10"/>
      <c r="I2492" s="10"/>
    </row>
    <row r="2493" spans="1:9">
      <c r="A2493" s="10" t="s">
        <v>3543</v>
      </c>
      <c r="B2493" s="124" t="s">
        <v>1624</v>
      </c>
      <c r="C2493" s="124" t="s">
        <v>451</v>
      </c>
      <c r="D2493" s="12">
        <v>2006000</v>
      </c>
      <c r="E2493" s="82">
        <v>0.93975293589999997</v>
      </c>
      <c r="F2493" s="14">
        <v>1885144.39</v>
      </c>
      <c r="G2493" s="12">
        <v>0</v>
      </c>
      <c r="H2493" s="10"/>
      <c r="I2493" s="10"/>
    </row>
    <row r="2494" spans="1:9">
      <c r="A2494" s="10" t="s">
        <v>3544</v>
      </c>
      <c r="B2494" s="124" t="s">
        <v>618</v>
      </c>
      <c r="C2494" s="124" t="s">
        <v>451</v>
      </c>
      <c r="D2494" s="14">
        <v>2134101769.0799999</v>
      </c>
      <c r="E2494" s="82">
        <v>0.94193554589999995</v>
      </c>
      <c r="F2494" s="14">
        <v>2010186314.8599999</v>
      </c>
      <c r="G2494" s="14">
        <v>2.46</v>
      </c>
      <c r="H2494" s="10"/>
      <c r="I2494" s="10"/>
    </row>
    <row r="2495" spans="1:9">
      <c r="A2495" s="10" t="s">
        <v>3545</v>
      </c>
      <c r="B2495" s="124" t="s">
        <v>510</v>
      </c>
      <c r="C2495" s="124" t="s">
        <v>451</v>
      </c>
      <c r="D2495" s="14">
        <v>8060110.0800000001</v>
      </c>
      <c r="E2495" s="82">
        <v>0.98303260039999996</v>
      </c>
      <c r="F2495" s="14">
        <v>7923350.9699999997</v>
      </c>
      <c r="G2495" s="14">
        <v>0.01</v>
      </c>
      <c r="H2495" s="10"/>
      <c r="I2495" s="10"/>
    </row>
    <row r="2496" spans="1:9">
      <c r="A2496" s="10" t="s">
        <v>3546</v>
      </c>
      <c r="B2496" s="124" t="s">
        <v>561</v>
      </c>
      <c r="C2496" s="124" t="s">
        <v>451</v>
      </c>
      <c r="D2496" s="153">
        <v>9751523.1999999993</v>
      </c>
      <c r="E2496" s="82">
        <v>0.99590728149999996</v>
      </c>
      <c r="F2496" s="14">
        <v>9711612.9600000009</v>
      </c>
      <c r="G2496" s="14">
        <v>0.01</v>
      </c>
      <c r="H2496" s="10"/>
      <c r="I2496" s="10"/>
    </row>
    <row r="2497" spans="1:9">
      <c r="A2497" s="10" t="s">
        <v>3547</v>
      </c>
      <c r="B2497" s="124" t="s">
        <v>670</v>
      </c>
      <c r="C2497" s="124" t="s">
        <v>451</v>
      </c>
      <c r="D2497" s="12">
        <v>9000000</v>
      </c>
      <c r="E2497" s="82">
        <v>0.94208140080000002</v>
      </c>
      <c r="F2497" s="14">
        <v>8478732.6099999994</v>
      </c>
      <c r="G2497" s="14">
        <v>0.01</v>
      </c>
      <c r="H2497" s="10"/>
      <c r="I2497" s="10"/>
    </row>
    <row r="2498" spans="1:9">
      <c r="A2498" s="10" t="s">
        <v>3548</v>
      </c>
      <c r="B2498" s="124" t="s">
        <v>627</v>
      </c>
      <c r="C2498" s="124" t="s">
        <v>451</v>
      </c>
      <c r="D2498" s="12">
        <v>162700000</v>
      </c>
      <c r="E2498" s="82">
        <v>0.94120691680000002</v>
      </c>
      <c r="F2498" s="14">
        <v>153134365.36000001</v>
      </c>
      <c r="G2498" s="14">
        <v>0.19</v>
      </c>
      <c r="H2498" s="10"/>
      <c r="I2498" s="10"/>
    </row>
    <row r="2499" spans="1:9">
      <c r="A2499" s="10" t="s">
        <v>3549</v>
      </c>
      <c r="B2499" s="124" t="s">
        <v>663</v>
      </c>
      <c r="C2499" s="124" t="s">
        <v>451</v>
      </c>
      <c r="D2499" s="14">
        <v>4082482.01</v>
      </c>
      <c r="E2499" s="82">
        <v>0.93019701759999995</v>
      </c>
      <c r="F2499" s="14">
        <v>3797512.59</v>
      </c>
      <c r="G2499" s="12">
        <v>0</v>
      </c>
      <c r="H2499" s="10"/>
      <c r="I2499" s="10"/>
    </row>
    <row r="2500" spans="1:9">
      <c r="A2500" s="10" t="s">
        <v>3550</v>
      </c>
      <c r="B2500" s="124" t="s">
        <v>283</v>
      </c>
      <c r="C2500" s="124" t="s">
        <v>451</v>
      </c>
      <c r="D2500" s="14">
        <v>2320040.0499999998</v>
      </c>
      <c r="E2500" s="82">
        <v>0.92475301909999996</v>
      </c>
      <c r="F2500" s="14">
        <v>2145464.04</v>
      </c>
      <c r="G2500" s="12">
        <v>0</v>
      </c>
      <c r="H2500" s="10"/>
      <c r="I2500" s="10"/>
    </row>
    <row r="2501" spans="1:9">
      <c r="A2501" s="10" t="s">
        <v>3551</v>
      </c>
      <c r="B2501" s="124" t="s">
        <v>1113</v>
      </c>
      <c r="C2501" s="124" t="s">
        <v>451</v>
      </c>
      <c r="D2501" s="12">
        <v>4725000</v>
      </c>
      <c r="E2501" s="82">
        <v>0.92013726959999997</v>
      </c>
      <c r="F2501" s="153">
        <v>4347648.5999999996</v>
      </c>
      <c r="G2501" s="14">
        <v>0.01</v>
      </c>
      <c r="H2501" s="10"/>
      <c r="I2501" s="10"/>
    </row>
    <row r="2502" spans="1:9">
      <c r="A2502" s="10" t="s">
        <v>3552</v>
      </c>
      <c r="B2502" s="124" t="s">
        <v>255</v>
      </c>
      <c r="C2502" s="124" t="s">
        <v>451</v>
      </c>
      <c r="D2502" s="12">
        <v>4725000</v>
      </c>
      <c r="E2502" s="82">
        <v>0.93570575150000002</v>
      </c>
      <c r="F2502" s="14">
        <v>4421209.68</v>
      </c>
      <c r="G2502" s="14">
        <v>0.01</v>
      </c>
      <c r="H2502" s="10"/>
      <c r="I2502" s="10"/>
    </row>
    <row r="2503" spans="1:9">
      <c r="A2503" s="10" t="s">
        <v>3553</v>
      </c>
      <c r="B2503" s="124" t="s">
        <v>636</v>
      </c>
      <c r="C2503" s="124" t="s">
        <v>451</v>
      </c>
      <c r="D2503" s="12">
        <v>4725000</v>
      </c>
      <c r="E2503" s="82">
        <v>0.94127986239999994</v>
      </c>
      <c r="F2503" s="14">
        <v>4447547.3499999996</v>
      </c>
      <c r="G2503" s="14">
        <v>0.01</v>
      </c>
      <c r="H2503" s="10"/>
      <c r="I2503" s="10"/>
    </row>
    <row r="2504" spans="1:9">
      <c r="A2504" s="10" t="s">
        <v>3554</v>
      </c>
      <c r="B2504" s="124" t="s">
        <v>267</v>
      </c>
      <c r="C2504" s="124" t="s">
        <v>451</v>
      </c>
      <c r="D2504" s="14">
        <v>4725060.4800000004</v>
      </c>
      <c r="E2504" s="82">
        <v>0.96341664130000004</v>
      </c>
      <c r="F2504" s="153">
        <v>4552201.9000000004</v>
      </c>
      <c r="G2504" s="14">
        <v>0.01</v>
      </c>
      <c r="H2504" s="10"/>
      <c r="I2504" s="10"/>
    </row>
    <row r="2505" spans="1:9">
      <c r="A2505" s="10" t="s">
        <v>3555</v>
      </c>
      <c r="B2505" s="124" t="s">
        <v>752</v>
      </c>
      <c r="C2505" s="124" t="s">
        <v>451</v>
      </c>
      <c r="D2505" s="12">
        <v>4725000</v>
      </c>
      <c r="E2505" s="82">
        <v>0.95923915550000005</v>
      </c>
      <c r="F2505" s="14">
        <v>4532405.01</v>
      </c>
      <c r="G2505" s="14">
        <v>0.01</v>
      </c>
      <c r="H2505" s="10"/>
      <c r="I2505" s="10"/>
    </row>
    <row r="2506" spans="1:9">
      <c r="A2506" s="10" t="s">
        <v>3556</v>
      </c>
      <c r="B2506" s="124" t="s">
        <v>573</v>
      </c>
      <c r="C2506" s="124" t="s">
        <v>451</v>
      </c>
      <c r="D2506" s="12">
        <v>4725000</v>
      </c>
      <c r="E2506" s="82">
        <v>0.95345071059999997</v>
      </c>
      <c r="F2506" s="14">
        <v>4505054.6100000003</v>
      </c>
      <c r="G2506" s="14">
        <v>0.01</v>
      </c>
      <c r="H2506" s="10"/>
      <c r="I2506" s="10"/>
    </row>
    <row r="2507" spans="1:9">
      <c r="A2507" s="10" t="s">
        <v>3557</v>
      </c>
      <c r="B2507" s="124" t="s">
        <v>556</v>
      </c>
      <c r="C2507" s="124" t="s">
        <v>451</v>
      </c>
      <c r="D2507" s="153">
        <v>1094039.6000000001</v>
      </c>
      <c r="E2507" s="82">
        <v>0.96257812819999999</v>
      </c>
      <c r="F2507" s="14">
        <v>1053098.5900000001</v>
      </c>
      <c r="G2507" s="12">
        <v>0</v>
      </c>
      <c r="H2507" s="10"/>
      <c r="I2507" s="10"/>
    </row>
    <row r="2508" spans="1:9">
      <c r="A2508" s="10" t="s">
        <v>3558</v>
      </c>
      <c r="B2508" s="124" t="s">
        <v>663</v>
      </c>
      <c r="C2508" s="124" t="s">
        <v>451</v>
      </c>
      <c r="D2508" s="153">
        <v>6368218.4000000004</v>
      </c>
      <c r="E2508" s="82">
        <v>0.93019701560000001</v>
      </c>
      <c r="F2508" s="14">
        <v>5923697.75</v>
      </c>
      <c r="G2508" s="14">
        <v>0.01</v>
      </c>
      <c r="H2508" s="10"/>
      <c r="I2508" s="10"/>
    </row>
    <row r="2509" spans="1:9">
      <c r="A2509" s="10" t="s">
        <v>3559</v>
      </c>
      <c r="B2509" s="124" t="s">
        <v>663</v>
      </c>
      <c r="C2509" s="124" t="s">
        <v>451</v>
      </c>
      <c r="D2509" s="153">
        <v>6368218.4000000004</v>
      </c>
      <c r="E2509" s="82">
        <v>0.93019701560000001</v>
      </c>
      <c r="F2509" s="14">
        <v>5923697.75</v>
      </c>
      <c r="G2509" s="14">
        <v>0.01</v>
      </c>
      <c r="H2509" s="10"/>
      <c r="I2509" s="10"/>
    </row>
    <row r="2510" spans="1:9">
      <c r="A2510" s="10" t="s">
        <v>3560</v>
      </c>
      <c r="B2510" s="124" t="s">
        <v>556</v>
      </c>
      <c r="C2510" s="124" t="s">
        <v>451</v>
      </c>
      <c r="D2510" s="14">
        <v>1680593.48</v>
      </c>
      <c r="E2510" s="82">
        <v>0.96257813029999995</v>
      </c>
      <c r="F2510" s="14">
        <v>1617702.53</v>
      </c>
      <c r="G2510" s="12">
        <v>0</v>
      </c>
      <c r="H2510" s="10"/>
      <c r="I2510" s="10"/>
    </row>
    <row r="2511" spans="1:9">
      <c r="A2511" s="10" t="s">
        <v>3561</v>
      </c>
      <c r="B2511" s="124" t="s">
        <v>255</v>
      </c>
      <c r="C2511" s="124" t="s">
        <v>451</v>
      </c>
      <c r="D2511" s="12">
        <v>3271000</v>
      </c>
      <c r="E2511" s="157">
        <v>0.93570575700000003</v>
      </c>
      <c r="F2511" s="14">
        <v>3060693.53</v>
      </c>
      <c r="G2511" s="12">
        <v>0</v>
      </c>
      <c r="H2511" s="10"/>
      <c r="I2511" s="10"/>
    </row>
    <row r="2512" spans="1:9">
      <c r="A2512" s="10" t="s">
        <v>3562</v>
      </c>
      <c r="B2512" s="124" t="s">
        <v>1461</v>
      </c>
      <c r="C2512" s="124" t="s">
        <v>451</v>
      </c>
      <c r="D2512" s="12">
        <v>5814000</v>
      </c>
      <c r="E2512" s="82">
        <v>0.93176438719999999</v>
      </c>
      <c r="F2512" s="14">
        <v>5417278.1500000004</v>
      </c>
      <c r="G2512" s="14">
        <v>0.01</v>
      </c>
      <c r="H2512" s="10"/>
      <c r="I2512" s="10"/>
    </row>
    <row r="2513" spans="1:9">
      <c r="A2513" s="10" t="s">
        <v>3563</v>
      </c>
      <c r="B2513" s="124" t="s">
        <v>655</v>
      </c>
      <c r="C2513" s="124" t="s">
        <v>451</v>
      </c>
      <c r="D2513" s="12">
        <v>5816000</v>
      </c>
      <c r="E2513" s="82">
        <v>0.93098004160000003</v>
      </c>
      <c r="F2513" s="14">
        <v>5414579.9199999999</v>
      </c>
      <c r="G2513" s="14">
        <v>0.01</v>
      </c>
      <c r="H2513" s="10"/>
      <c r="I2513" s="10"/>
    </row>
    <row r="2514" spans="1:9">
      <c r="A2514" s="10" t="s">
        <v>3564</v>
      </c>
      <c r="B2514" s="124" t="s">
        <v>661</v>
      </c>
      <c r="C2514" s="124" t="s">
        <v>451</v>
      </c>
      <c r="D2514" s="12">
        <v>5383000</v>
      </c>
      <c r="E2514" s="82">
        <v>0.95427338839999998</v>
      </c>
      <c r="F2514" s="14">
        <v>5136853.6500000004</v>
      </c>
      <c r="G2514" s="14">
        <v>0.01</v>
      </c>
      <c r="H2514" s="10"/>
      <c r="I2514" s="10"/>
    </row>
    <row r="2515" spans="1:9">
      <c r="A2515" s="10" t="s">
        <v>3565</v>
      </c>
      <c r="B2515" s="124" t="s">
        <v>663</v>
      </c>
      <c r="C2515" s="124" t="s">
        <v>451</v>
      </c>
      <c r="D2515" s="14">
        <v>5820883.9699999997</v>
      </c>
      <c r="E2515" s="82">
        <v>0.93019701560000001</v>
      </c>
      <c r="F2515" s="153">
        <v>5414568.9000000004</v>
      </c>
      <c r="G2515" s="14">
        <v>0.01</v>
      </c>
      <c r="H2515" s="10"/>
      <c r="I2515" s="10"/>
    </row>
    <row r="2516" spans="1:9">
      <c r="A2516" s="10" t="s">
        <v>3566</v>
      </c>
      <c r="B2516" s="124" t="s">
        <v>429</v>
      </c>
      <c r="C2516" s="124" t="s">
        <v>451</v>
      </c>
      <c r="D2516" s="14">
        <v>3273081.48</v>
      </c>
      <c r="E2516" s="82">
        <v>0.93491475769999999</v>
      </c>
      <c r="F2516" s="14">
        <v>3060052.18</v>
      </c>
      <c r="G2516" s="12">
        <v>0</v>
      </c>
      <c r="H2516" s="10"/>
      <c r="I2516" s="10"/>
    </row>
    <row r="2517" spans="1:9">
      <c r="A2517" s="10" t="s">
        <v>3567</v>
      </c>
      <c r="B2517" s="124" t="s">
        <v>587</v>
      </c>
      <c r="C2517" s="124" t="s">
        <v>451</v>
      </c>
      <c r="D2517" s="14">
        <v>5385316.5800000001</v>
      </c>
      <c r="E2517" s="82">
        <v>0.95262971129999996</v>
      </c>
      <c r="F2517" s="14">
        <v>5130212.58</v>
      </c>
      <c r="G2517" s="14">
        <v>0.01</v>
      </c>
      <c r="H2517" s="10"/>
      <c r="I2517" s="10"/>
    </row>
    <row r="2518" spans="1:9">
      <c r="A2518" s="10" t="s">
        <v>3568</v>
      </c>
      <c r="B2518" s="124" t="s">
        <v>573</v>
      </c>
      <c r="C2518" s="124" t="s">
        <v>451</v>
      </c>
      <c r="D2518" s="12">
        <v>5384000</v>
      </c>
      <c r="E2518" s="82">
        <v>0.95345071329999997</v>
      </c>
      <c r="F2518" s="14">
        <v>5133378.6399999997</v>
      </c>
      <c r="G2518" s="14">
        <v>0.01</v>
      </c>
      <c r="H2518" s="10"/>
      <c r="I2518" s="10"/>
    </row>
    <row r="2519" spans="1:9">
      <c r="A2519" s="10" t="s">
        <v>3569</v>
      </c>
      <c r="B2519" s="124" t="s">
        <v>752</v>
      </c>
      <c r="C2519" s="124" t="s">
        <v>451</v>
      </c>
      <c r="D2519" s="14">
        <v>1508292.23</v>
      </c>
      <c r="E2519" s="157">
        <v>0.95923915199999998</v>
      </c>
      <c r="F2519" s="14">
        <v>1446812.96</v>
      </c>
      <c r="G2519" s="12">
        <v>0</v>
      </c>
      <c r="H2519" s="10"/>
      <c r="I2519" s="10"/>
    </row>
    <row r="2520" spans="1:9">
      <c r="A2520" s="10" t="s">
        <v>3570</v>
      </c>
      <c r="B2520" s="124" t="s">
        <v>670</v>
      </c>
      <c r="C2520" s="124" t="s">
        <v>451</v>
      </c>
      <c r="D2520" s="14">
        <v>10215016.380000001</v>
      </c>
      <c r="E2520" s="82">
        <v>0.94208140080000002</v>
      </c>
      <c r="F2520" s="14">
        <v>9623376.9399999995</v>
      </c>
      <c r="G2520" s="14">
        <v>0.01</v>
      </c>
      <c r="H2520" s="10"/>
      <c r="I2520" s="10"/>
    </row>
    <row r="2521" spans="1:9">
      <c r="A2521" s="10" t="s">
        <v>3607</v>
      </c>
      <c r="B2521" s="124" t="s">
        <v>429</v>
      </c>
      <c r="C2521" s="124" t="s">
        <v>466</v>
      </c>
      <c r="D2521" s="12">
        <v>100000000</v>
      </c>
      <c r="E2521" s="82">
        <v>0.94047949860000002</v>
      </c>
      <c r="F2521" s="14">
        <v>94047949.859999999</v>
      </c>
      <c r="G2521" s="14">
        <v>0.12</v>
      </c>
      <c r="H2521" s="10"/>
      <c r="I2521" s="10"/>
    </row>
    <row r="2522" spans="1:9">
      <c r="A2522" s="10" t="s">
        <v>3608</v>
      </c>
      <c r="B2522" s="124" t="s">
        <v>618</v>
      </c>
      <c r="C2522" s="124" t="s">
        <v>466</v>
      </c>
      <c r="D2522" s="12">
        <v>150000000</v>
      </c>
      <c r="E2522" s="82">
        <v>0.94193561329999997</v>
      </c>
      <c r="F2522" s="12">
        <v>141290342</v>
      </c>
      <c r="G2522" s="14">
        <v>0.17</v>
      </c>
      <c r="H2522" s="10"/>
      <c r="I2522" s="10"/>
    </row>
    <row r="2523" spans="1:9">
      <c r="A2523" s="10" t="s">
        <v>3609</v>
      </c>
      <c r="B2523" s="124" t="s">
        <v>255</v>
      </c>
      <c r="C2523" s="124" t="s">
        <v>466</v>
      </c>
      <c r="D2523" s="12">
        <v>150000000</v>
      </c>
      <c r="E2523" s="82">
        <v>0.94120687030000005</v>
      </c>
      <c r="F2523" s="14">
        <v>141181030.55000001</v>
      </c>
      <c r="G2523" s="14">
        <v>0.17</v>
      </c>
      <c r="H2523" s="10"/>
      <c r="I2523" s="10"/>
    </row>
    <row r="2524" spans="1:9">
      <c r="A2524" s="10" t="s">
        <v>3610</v>
      </c>
      <c r="B2524" s="124" t="s">
        <v>741</v>
      </c>
      <c r="C2524" s="124" t="s">
        <v>466</v>
      </c>
      <c r="D2524" s="12">
        <v>7692308</v>
      </c>
      <c r="E2524" s="82">
        <v>0.92398049760000001</v>
      </c>
      <c r="F2524" s="14">
        <v>7107542.5700000003</v>
      </c>
      <c r="G2524" s="14">
        <v>0.01</v>
      </c>
      <c r="H2524" s="10"/>
      <c r="I2524" s="10"/>
    </row>
    <row r="2525" spans="1:9">
      <c r="A2525" s="10" t="s">
        <v>3611</v>
      </c>
      <c r="B2525" s="124" t="s">
        <v>1004</v>
      </c>
      <c r="C2525" s="124" t="s">
        <v>466</v>
      </c>
      <c r="D2525" s="12">
        <v>7692308</v>
      </c>
      <c r="E2525" s="82">
        <v>0.92090325750000002</v>
      </c>
      <c r="F2525" s="14">
        <v>7083871.4900000002</v>
      </c>
      <c r="G2525" s="14">
        <v>0.01</v>
      </c>
      <c r="H2525" s="10"/>
      <c r="I2525" s="10"/>
    </row>
    <row r="2526" spans="1:9">
      <c r="A2526" s="10" t="s">
        <v>3612</v>
      </c>
      <c r="B2526" s="124" t="s">
        <v>283</v>
      </c>
      <c r="C2526" s="124" t="s">
        <v>466</v>
      </c>
      <c r="D2526" s="12">
        <v>7692308</v>
      </c>
      <c r="E2526" s="82">
        <v>0.92475308869999995</v>
      </c>
      <c r="F2526" s="14">
        <v>7113485.5800000001</v>
      </c>
      <c r="G2526" s="14">
        <v>0.01</v>
      </c>
      <c r="H2526" s="10"/>
      <c r="I2526" s="10"/>
    </row>
    <row r="2527" spans="1:9">
      <c r="A2527" s="10" t="s">
        <v>3613</v>
      </c>
      <c r="B2527" s="124" t="s">
        <v>1813</v>
      </c>
      <c r="C2527" s="124" t="s">
        <v>466</v>
      </c>
      <c r="D2527" s="12">
        <v>7692308</v>
      </c>
      <c r="E2527" s="82">
        <v>0.9232094569</v>
      </c>
      <c r="F2527" s="14">
        <v>7101611.4900000002</v>
      </c>
      <c r="G2527" s="14">
        <v>0.01</v>
      </c>
      <c r="H2527" s="10"/>
      <c r="I2527" s="10"/>
    </row>
    <row r="2528" spans="1:9">
      <c r="A2528" s="10" t="s">
        <v>3614</v>
      </c>
      <c r="B2528" s="124" t="s">
        <v>1113</v>
      </c>
      <c r="C2528" s="124" t="s">
        <v>466</v>
      </c>
      <c r="D2528" s="12">
        <v>7692308</v>
      </c>
      <c r="E2528" s="82">
        <v>0.92013734089999999</v>
      </c>
      <c r="F2528" s="14">
        <v>7077979.8300000001</v>
      </c>
      <c r="G2528" s="14">
        <v>0.01</v>
      </c>
      <c r="H2528" s="10"/>
      <c r="I2528" s="10"/>
    </row>
    <row r="2529" spans="1:9">
      <c r="A2529" s="10" t="s">
        <v>3615</v>
      </c>
      <c r="B2529" s="124" t="s">
        <v>1113</v>
      </c>
      <c r="C2529" s="124" t="s">
        <v>466</v>
      </c>
      <c r="D2529" s="12">
        <v>22000000</v>
      </c>
      <c r="E2529" s="82">
        <v>0.92013734089999999</v>
      </c>
      <c r="F2529" s="153">
        <v>20243021.5</v>
      </c>
      <c r="G2529" s="14">
        <v>0.02</v>
      </c>
      <c r="H2529" s="10"/>
      <c r="I2529" s="10"/>
    </row>
    <row r="2530" spans="1:9">
      <c r="A2530" s="10" t="s">
        <v>3616</v>
      </c>
      <c r="B2530" s="124" t="s">
        <v>716</v>
      </c>
      <c r="C2530" s="124" t="s">
        <v>466</v>
      </c>
      <c r="D2530" s="14">
        <v>18.52</v>
      </c>
      <c r="E2530" s="82">
        <v>0.98164146860000001</v>
      </c>
      <c r="F2530" s="14">
        <v>18.18</v>
      </c>
      <c r="G2530" s="12">
        <v>0</v>
      </c>
      <c r="H2530" s="10"/>
      <c r="I2530" s="10"/>
    </row>
    <row r="2531" spans="1:9">
      <c r="A2531" s="10" t="s">
        <v>3617</v>
      </c>
      <c r="B2531" s="124" t="s">
        <v>716</v>
      </c>
      <c r="C2531" s="124" t="s">
        <v>466</v>
      </c>
      <c r="D2531" s="14">
        <v>9164094.7200000007</v>
      </c>
      <c r="E2531" s="82">
        <v>0.9822389788</v>
      </c>
      <c r="F2531" s="14">
        <v>9001331.0399999991</v>
      </c>
      <c r="G2531" s="14">
        <v>0.01</v>
      </c>
      <c r="H2531" s="10"/>
      <c r="I2531" s="10"/>
    </row>
    <row r="2532" spans="1:9">
      <c r="A2532" s="10" t="s">
        <v>3618</v>
      </c>
      <c r="B2532" s="124" t="s">
        <v>645</v>
      </c>
      <c r="C2532" s="124" t="s">
        <v>466</v>
      </c>
      <c r="D2532" s="12">
        <v>10625155</v>
      </c>
      <c r="E2532" s="82">
        <v>0.97281467970000002</v>
      </c>
      <c r="F2532" s="14">
        <v>10336306.76</v>
      </c>
      <c r="G2532" s="14">
        <v>0.01</v>
      </c>
      <c r="H2532" s="10"/>
      <c r="I2532" s="10"/>
    </row>
    <row r="2533" spans="1:9">
      <c r="A2533" s="10" t="s">
        <v>3619</v>
      </c>
      <c r="B2533" s="124" t="s">
        <v>670</v>
      </c>
      <c r="C2533" s="124" t="s">
        <v>466</v>
      </c>
      <c r="D2533" s="153">
        <v>10625155.1</v>
      </c>
      <c r="E2533" s="82">
        <v>0.94706809160000005</v>
      </c>
      <c r="F2533" s="14">
        <v>10062745.359999999</v>
      </c>
      <c r="G2533" s="14">
        <v>0.01</v>
      </c>
      <c r="H2533" s="10"/>
      <c r="I2533" s="10"/>
    </row>
    <row r="2534" spans="1:9">
      <c r="A2534" s="10" t="s">
        <v>3620</v>
      </c>
      <c r="B2534" s="124" t="s">
        <v>559</v>
      </c>
      <c r="C2534" s="124" t="s">
        <v>466</v>
      </c>
      <c r="D2534" s="12">
        <v>10000000</v>
      </c>
      <c r="E2534" s="82">
        <v>0.97750411169999996</v>
      </c>
      <c r="F2534" s="14">
        <v>9775041.1199999992</v>
      </c>
      <c r="G2534" s="14">
        <v>0.01</v>
      </c>
      <c r="H2534" s="10"/>
      <c r="I2534" s="10"/>
    </row>
    <row r="2535" spans="1:9">
      <c r="A2535" s="10" t="s">
        <v>3621</v>
      </c>
      <c r="B2535" s="124" t="s">
        <v>610</v>
      </c>
      <c r="C2535" s="124" t="s">
        <v>466</v>
      </c>
      <c r="D2535" s="12">
        <v>10000000</v>
      </c>
      <c r="E2535" s="82">
        <v>0.97671932459999999</v>
      </c>
      <c r="F2535" s="14">
        <v>9767193.25</v>
      </c>
      <c r="G2535" s="14">
        <v>0.01</v>
      </c>
      <c r="H2535" s="10"/>
      <c r="I2535" s="10"/>
    </row>
    <row r="2536" spans="1:9">
      <c r="A2536" s="10" t="s">
        <v>3622</v>
      </c>
      <c r="B2536" s="124" t="s">
        <v>498</v>
      </c>
      <c r="C2536" s="124" t="s">
        <v>466</v>
      </c>
      <c r="D2536" s="12">
        <v>10000000</v>
      </c>
      <c r="E2536" s="82">
        <v>0.97437273830000004</v>
      </c>
      <c r="F2536" s="14">
        <v>9743727.3800000008</v>
      </c>
      <c r="G2536" s="14">
        <v>0.01</v>
      </c>
      <c r="H2536" s="10"/>
      <c r="I2536" s="10"/>
    </row>
    <row r="2537" spans="1:9">
      <c r="A2537" s="10" t="s">
        <v>3623</v>
      </c>
      <c r="B2537" s="124" t="s">
        <v>1007</v>
      </c>
      <c r="C2537" s="124" t="s">
        <v>466</v>
      </c>
      <c r="D2537" s="12">
        <v>11000000</v>
      </c>
      <c r="E2537" s="82">
        <v>0.89296658210000002</v>
      </c>
      <c r="F2537" s="153">
        <v>9822632.4000000004</v>
      </c>
      <c r="G2537" s="14">
        <v>0.01</v>
      </c>
      <c r="H2537" s="10"/>
      <c r="I2537" s="10"/>
    </row>
    <row r="2538" spans="1:9">
      <c r="A2538" s="10" t="s">
        <v>3624</v>
      </c>
      <c r="B2538" s="124" t="s">
        <v>661</v>
      </c>
      <c r="C2538" s="124" t="s">
        <v>466</v>
      </c>
      <c r="D2538" s="12">
        <v>269000000</v>
      </c>
      <c r="E2538" s="82">
        <v>0.94770749669999998</v>
      </c>
      <c r="F2538" s="14">
        <v>254933316.61000001</v>
      </c>
      <c r="G2538" s="14">
        <v>0.31</v>
      </c>
      <c r="H2538" s="10"/>
      <c r="I2538" s="10"/>
    </row>
    <row r="2539" spans="1:9">
      <c r="A2539" s="10" t="s">
        <v>3625</v>
      </c>
      <c r="B2539" s="124" t="s">
        <v>1781</v>
      </c>
      <c r="C2539" s="124" t="s">
        <v>466</v>
      </c>
      <c r="D2539" s="12">
        <v>37700000</v>
      </c>
      <c r="E2539" s="82">
        <v>0.94047949710000001</v>
      </c>
      <c r="F2539" s="14">
        <v>35456077.039999999</v>
      </c>
      <c r="G2539" s="14">
        <v>0.04</v>
      </c>
      <c r="H2539" s="10"/>
      <c r="I2539" s="10"/>
    </row>
    <row r="2540" spans="1:9">
      <c r="A2540" s="10" t="s">
        <v>3626</v>
      </c>
      <c r="B2540" s="124" t="s">
        <v>283</v>
      </c>
      <c r="C2540" s="124" t="s">
        <v>466</v>
      </c>
      <c r="D2540" s="12">
        <v>38400000</v>
      </c>
      <c r="E2540" s="82">
        <v>0.92475308869999995</v>
      </c>
      <c r="F2540" s="14">
        <v>35510518.609999999</v>
      </c>
      <c r="G2540" s="14">
        <v>0.04</v>
      </c>
      <c r="H2540" s="10"/>
      <c r="I2540" s="10"/>
    </row>
    <row r="2541" spans="1:9">
      <c r="A2541" s="10" t="s">
        <v>3627</v>
      </c>
      <c r="B2541" s="124" t="s">
        <v>657</v>
      </c>
      <c r="C2541" s="124" t="s">
        <v>466</v>
      </c>
      <c r="D2541" s="12">
        <v>37250000</v>
      </c>
      <c r="E2541" s="82">
        <v>0.94692058830000003</v>
      </c>
      <c r="F2541" s="14">
        <v>35272791.909999996</v>
      </c>
      <c r="G2541" s="14">
        <v>0.04</v>
      </c>
      <c r="H2541" s="10"/>
      <c r="I2541" s="10"/>
    </row>
    <row r="2542" spans="1:9">
      <c r="A2542" s="10" t="s">
        <v>3628</v>
      </c>
      <c r="B2542" s="124" t="s">
        <v>655</v>
      </c>
      <c r="C2542" s="124" t="s">
        <v>466</v>
      </c>
      <c r="D2542" s="12">
        <v>38000000</v>
      </c>
      <c r="E2542" s="82">
        <v>0.93098011560000005</v>
      </c>
      <c r="F2542" s="14">
        <v>35377244.390000001</v>
      </c>
      <c r="G2542" s="14">
        <v>0.04</v>
      </c>
      <c r="H2542" s="10"/>
      <c r="I2542" s="10"/>
    </row>
    <row r="2543" spans="1:9">
      <c r="A2543" s="10" t="s">
        <v>3629</v>
      </c>
      <c r="B2543" s="124" t="s">
        <v>925</v>
      </c>
      <c r="C2543" s="124" t="s">
        <v>466</v>
      </c>
      <c r="D2543" s="12">
        <v>75000000</v>
      </c>
      <c r="E2543" s="82">
        <v>0.96123471729999999</v>
      </c>
      <c r="F2543" s="153">
        <v>72092603.799999997</v>
      </c>
      <c r="G2543" s="14">
        <v>0.09</v>
      </c>
      <c r="H2543" s="10"/>
      <c r="I2543" s="10"/>
    </row>
    <row r="2544" spans="1:9">
      <c r="A2544" s="10" t="s">
        <v>3630</v>
      </c>
      <c r="B2544" s="124" t="s">
        <v>419</v>
      </c>
      <c r="C2544" s="124" t="s">
        <v>466</v>
      </c>
      <c r="D2544" s="12">
        <v>75000000</v>
      </c>
      <c r="E2544" s="82">
        <v>0.95961744449999997</v>
      </c>
      <c r="F2544" s="14">
        <v>71971308.340000004</v>
      </c>
      <c r="G2544" s="14">
        <v>0.09</v>
      </c>
      <c r="H2544" s="10"/>
      <c r="I2544" s="10"/>
    </row>
    <row r="2545" spans="1:9">
      <c r="A2545" s="10" t="s">
        <v>3631</v>
      </c>
      <c r="B2545" s="124" t="s">
        <v>459</v>
      </c>
      <c r="C2545" s="124" t="s">
        <v>466</v>
      </c>
      <c r="D2545" s="12">
        <v>75000000</v>
      </c>
      <c r="E2545" s="82">
        <v>0.98276804340000001</v>
      </c>
      <c r="F2545" s="14">
        <v>73707603.260000005</v>
      </c>
      <c r="G2545" s="14">
        <v>0.09</v>
      </c>
      <c r="H2545" s="10"/>
      <c r="I2545" s="10"/>
    </row>
    <row r="2546" spans="1:9">
      <c r="A2546" s="10" t="s">
        <v>3632</v>
      </c>
      <c r="B2546" s="124" t="s">
        <v>573</v>
      </c>
      <c r="C2546" s="124" t="s">
        <v>466</v>
      </c>
      <c r="D2546" s="12">
        <v>75000000</v>
      </c>
      <c r="E2546" s="82">
        <v>0.95479760479999998</v>
      </c>
      <c r="F2546" s="14">
        <v>71609820.359999999</v>
      </c>
      <c r="G2546" s="14">
        <v>0.09</v>
      </c>
      <c r="H2546" s="10"/>
      <c r="I2546" s="10"/>
    </row>
    <row r="2547" spans="1:9">
      <c r="A2547" s="10" t="s">
        <v>3633</v>
      </c>
      <c r="B2547" s="124" t="s">
        <v>461</v>
      </c>
      <c r="C2547" s="124" t="s">
        <v>466</v>
      </c>
      <c r="D2547" s="12">
        <v>75000000</v>
      </c>
      <c r="E2547" s="82">
        <v>0.97687630329999997</v>
      </c>
      <c r="F2547" s="14">
        <v>73265722.75</v>
      </c>
      <c r="G2547" s="14">
        <v>0.09</v>
      </c>
      <c r="H2547" s="10"/>
      <c r="I2547" s="10"/>
    </row>
    <row r="2548" spans="1:9">
      <c r="A2548" s="10" t="s">
        <v>3634</v>
      </c>
      <c r="B2548" s="124" t="s">
        <v>587</v>
      </c>
      <c r="C2548" s="124" t="s">
        <v>466</v>
      </c>
      <c r="D2548" s="12">
        <v>75000000</v>
      </c>
      <c r="E2548" s="82">
        <v>0.95399895859999995</v>
      </c>
      <c r="F2548" s="153">
        <v>71549921.900000006</v>
      </c>
      <c r="G2548" s="14">
        <v>0.09</v>
      </c>
      <c r="H2548" s="10"/>
      <c r="I2548" s="10"/>
    </row>
    <row r="2549" spans="1:9">
      <c r="A2549" s="10" t="s">
        <v>3635</v>
      </c>
      <c r="B2549" s="124" t="s">
        <v>461</v>
      </c>
      <c r="C2549" s="124" t="s">
        <v>466</v>
      </c>
      <c r="D2549" s="12">
        <v>75000000</v>
      </c>
      <c r="E2549" s="82">
        <v>0.97687630329999997</v>
      </c>
      <c r="F2549" s="14">
        <v>73265722.75</v>
      </c>
      <c r="G2549" s="14">
        <v>0.09</v>
      </c>
      <c r="H2549" s="10"/>
      <c r="I2549" s="10"/>
    </row>
    <row r="2550" spans="1:9">
      <c r="A2550" s="10" t="s">
        <v>3636</v>
      </c>
      <c r="B2550" s="124" t="s">
        <v>746</v>
      </c>
      <c r="C2550" s="124" t="s">
        <v>466</v>
      </c>
      <c r="D2550" s="12">
        <v>75000000</v>
      </c>
      <c r="E2550" s="82">
        <v>0.98702021740000001</v>
      </c>
      <c r="F2550" s="14">
        <v>74026516.310000002</v>
      </c>
      <c r="G2550" s="14">
        <v>0.09</v>
      </c>
      <c r="H2550" s="10"/>
      <c r="I2550" s="10"/>
    </row>
    <row r="2551" spans="1:9">
      <c r="A2551" s="10" t="s">
        <v>3637</v>
      </c>
      <c r="B2551" s="124" t="s">
        <v>645</v>
      </c>
      <c r="C2551" s="124" t="s">
        <v>466</v>
      </c>
      <c r="D2551" s="12">
        <v>75000000</v>
      </c>
      <c r="E2551" s="82">
        <v>0.97105478339999995</v>
      </c>
      <c r="F2551" s="14">
        <v>72829108.760000005</v>
      </c>
      <c r="G2551" s="14">
        <v>0.09</v>
      </c>
      <c r="H2551" s="10"/>
      <c r="I2551" s="10"/>
    </row>
    <row r="2552" spans="1:9">
      <c r="A2552" s="10" t="s">
        <v>3638</v>
      </c>
      <c r="B2552" s="124" t="s">
        <v>456</v>
      </c>
      <c r="C2552" s="124" t="s">
        <v>466</v>
      </c>
      <c r="D2552" s="12">
        <v>75000000</v>
      </c>
      <c r="E2552" s="82">
        <v>0.98787490239999998</v>
      </c>
      <c r="F2552" s="14">
        <v>74090617.680000007</v>
      </c>
      <c r="G2552" s="14">
        <v>0.09</v>
      </c>
      <c r="H2552" s="10"/>
      <c r="I2552" s="10"/>
    </row>
    <row r="2553" spans="1:9">
      <c r="A2553" s="10" t="s">
        <v>3639</v>
      </c>
      <c r="B2553" s="124" t="s">
        <v>587</v>
      </c>
      <c r="C2553" s="124" t="s">
        <v>466</v>
      </c>
      <c r="D2553" s="12">
        <v>10000000</v>
      </c>
      <c r="E2553" s="82">
        <v>0.95674967509999997</v>
      </c>
      <c r="F2553" s="14">
        <v>9567496.75</v>
      </c>
      <c r="G2553" s="14">
        <v>0.01</v>
      </c>
      <c r="H2553" s="10"/>
      <c r="I2553" s="10"/>
    </row>
    <row r="2554" spans="1:9">
      <c r="A2554" s="10" t="s">
        <v>3640</v>
      </c>
      <c r="B2554" s="124" t="s">
        <v>1448</v>
      </c>
      <c r="C2554" s="124" t="s">
        <v>466</v>
      </c>
      <c r="D2554" s="12">
        <v>10000000</v>
      </c>
      <c r="E2554" s="82">
        <v>0.91158858890000005</v>
      </c>
      <c r="F2554" s="14">
        <v>9115885.8900000006</v>
      </c>
      <c r="G2554" s="14">
        <v>0.01</v>
      </c>
      <c r="H2554" s="10"/>
      <c r="I2554" s="10"/>
    </row>
    <row r="2555" spans="1:9">
      <c r="A2555" s="10" t="s">
        <v>3641</v>
      </c>
      <c r="B2555" s="124" t="s">
        <v>657</v>
      </c>
      <c r="C2555" s="124" t="s">
        <v>466</v>
      </c>
      <c r="D2555" s="12">
        <v>10000000</v>
      </c>
      <c r="E2555" s="82">
        <v>0.95151201470000002</v>
      </c>
      <c r="F2555" s="14">
        <v>9515120.1500000004</v>
      </c>
      <c r="G2555" s="14">
        <v>0.01</v>
      </c>
      <c r="H2555" s="10"/>
      <c r="I2555" s="10"/>
    </row>
    <row r="2556" spans="1:9">
      <c r="A2556" s="10" t="s">
        <v>3642</v>
      </c>
      <c r="B2556" s="124" t="s">
        <v>1446</v>
      </c>
      <c r="C2556" s="124" t="s">
        <v>466</v>
      </c>
      <c r="D2556" s="12">
        <v>10000000</v>
      </c>
      <c r="E2556" s="82">
        <v>0.91022448789999999</v>
      </c>
      <c r="F2556" s="14">
        <v>9102244.8800000008</v>
      </c>
      <c r="G2556" s="14">
        <v>0.01</v>
      </c>
      <c r="H2556" s="10"/>
      <c r="I2556" s="10"/>
    </row>
    <row r="2557" spans="1:9">
      <c r="A2557" s="10" t="s">
        <v>3643</v>
      </c>
      <c r="B2557" s="124" t="s">
        <v>587</v>
      </c>
      <c r="C2557" s="124" t="s">
        <v>466</v>
      </c>
      <c r="D2557" s="12">
        <v>62500000</v>
      </c>
      <c r="E2557" s="82">
        <v>0.95399895859999995</v>
      </c>
      <c r="F2557" s="14">
        <v>59624934.909999996</v>
      </c>
      <c r="G2557" s="14">
        <v>7.0000000000000007E-2</v>
      </c>
      <c r="H2557" s="10"/>
      <c r="I2557" s="10"/>
    </row>
    <row r="2558" spans="1:9">
      <c r="A2558" s="10" t="s">
        <v>3644</v>
      </c>
      <c r="B2558" s="124" t="s">
        <v>614</v>
      </c>
      <c r="C2558" s="124" t="s">
        <v>466</v>
      </c>
      <c r="D2558" s="12">
        <v>62500000</v>
      </c>
      <c r="E2558" s="82">
        <v>0.95800534869999998</v>
      </c>
      <c r="F2558" s="14">
        <v>59875334.289999999</v>
      </c>
      <c r="G2558" s="14">
        <v>7.0000000000000007E-2</v>
      </c>
      <c r="H2558" s="10"/>
      <c r="I2558" s="10"/>
    </row>
    <row r="2559" spans="1:9">
      <c r="A2559" s="10" t="s">
        <v>3645</v>
      </c>
      <c r="B2559" s="124" t="s">
        <v>459</v>
      </c>
      <c r="C2559" s="124" t="s">
        <v>466</v>
      </c>
      <c r="D2559" s="12">
        <v>62500000</v>
      </c>
      <c r="E2559" s="82">
        <v>0.98276804340000001</v>
      </c>
      <c r="F2559" s="14">
        <v>61423002.710000001</v>
      </c>
      <c r="G2559" s="14">
        <v>0.08</v>
      </c>
      <c r="H2559" s="10"/>
      <c r="I2559" s="10"/>
    </row>
    <row r="2560" spans="1:9">
      <c r="A2560" s="10" t="s">
        <v>3646</v>
      </c>
      <c r="B2560" s="124" t="s">
        <v>670</v>
      </c>
      <c r="C2560" s="124" t="s">
        <v>466</v>
      </c>
      <c r="D2560" s="12">
        <v>62500000</v>
      </c>
      <c r="E2560" s="82">
        <v>0.94373783460000005</v>
      </c>
      <c r="F2560" s="14">
        <v>58983614.659999996</v>
      </c>
      <c r="G2560" s="14">
        <v>7.0000000000000007E-2</v>
      </c>
      <c r="H2560" s="10"/>
      <c r="I2560" s="10"/>
    </row>
    <row r="2561" spans="1:9">
      <c r="A2561" s="10" t="s">
        <v>3647</v>
      </c>
      <c r="B2561" s="124" t="s">
        <v>556</v>
      </c>
      <c r="C2561" s="124" t="s">
        <v>466</v>
      </c>
      <c r="D2561" s="12">
        <v>50000000</v>
      </c>
      <c r="E2561" s="82">
        <v>0.96367100279999995</v>
      </c>
      <c r="F2561" s="14">
        <v>48183550.140000001</v>
      </c>
      <c r="G2561" s="14">
        <v>0.06</v>
      </c>
      <c r="H2561" s="10"/>
      <c r="I2561" s="10"/>
    </row>
    <row r="2562" spans="1:9">
      <c r="A2562" s="10" t="s">
        <v>3648</v>
      </c>
      <c r="B2562" s="124" t="s">
        <v>614</v>
      </c>
      <c r="C2562" s="124" t="s">
        <v>466</v>
      </c>
      <c r="D2562" s="12">
        <v>75000000</v>
      </c>
      <c r="E2562" s="82">
        <v>0.95800534869999998</v>
      </c>
      <c r="F2562" s="14">
        <v>71850401.150000006</v>
      </c>
      <c r="G2562" s="14">
        <v>0.09</v>
      </c>
      <c r="H2562" s="10"/>
      <c r="I2562" s="10"/>
    </row>
    <row r="2563" spans="1:9">
      <c r="A2563" s="10" t="s">
        <v>3649</v>
      </c>
      <c r="B2563" s="124" t="s">
        <v>587</v>
      </c>
      <c r="C2563" s="124" t="s">
        <v>466</v>
      </c>
      <c r="D2563" s="12">
        <v>75000000</v>
      </c>
      <c r="E2563" s="82">
        <v>0.95399895859999995</v>
      </c>
      <c r="F2563" s="153">
        <v>71549921.900000006</v>
      </c>
      <c r="G2563" s="14">
        <v>0.09</v>
      </c>
      <c r="H2563" s="10"/>
      <c r="I2563" s="10"/>
    </row>
    <row r="2564" spans="1:9">
      <c r="A2564" s="10" t="s">
        <v>3650</v>
      </c>
      <c r="B2564" s="124" t="s">
        <v>645</v>
      </c>
      <c r="C2564" s="124" t="s">
        <v>466</v>
      </c>
      <c r="D2564" s="12">
        <v>75000000</v>
      </c>
      <c r="E2564" s="82">
        <v>0.97105478339999995</v>
      </c>
      <c r="F2564" s="14">
        <v>72829108.760000005</v>
      </c>
      <c r="G2564" s="14">
        <v>0.09</v>
      </c>
      <c r="H2564" s="10"/>
      <c r="I2564" s="10"/>
    </row>
    <row r="2565" spans="1:9">
      <c r="A2565" s="10" t="s">
        <v>3651</v>
      </c>
      <c r="B2565" s="124" t="s">
        <v>682</v>
      </c>
      <c r="C2565" s="124" t="s">
        <v>466</v>
      </c>
      <c r="D2565" s="12">
        <v>75000000</v>
      </c>
      <c r="E2565" s="82">
        <v>0.97022872550000006</v>
      </c>
      <c r="F2565" s="14">
        <v>72767154.409999996</v>
      </c>
      <c r="G2565" s="14">
        <v>0.09</v>
      </c>
      <c r="H2565" s="10"/>
      <c r="I2565" s="10"/>
    </row>
    <row r="2566" spans="1:9">
      <c r="A2566" s="10" t="s">
        <v>3652</v>
      </c>
      <c r="B2566" s="124" t="s">
        <v>716</v>
      </c>
      <c r="C2566" s="124" t="s">
        <v>466</v>
      </c>
      <c r="D2566" s="12">
        <v>75000000</v>
      </c>
      <c r="E2566" s="82">
        <v>0.98107731629999995</v>
      </c>
      <c r="F2566" s="14">
        <v>73580798.719999999</v>
      </c>
      <c r="G2566" s="14">
        <v>0.09</v>
      </c>
      <c r="H2566" s="10"/>
      <c r="I2566" s="10"/>
    </row>
    <row r="2567" spans="1:9">
      <c r="A2567" s="10" t="s">
        <v>3653</v>
      </c>
      <c r="B2567" s="124" t="s">
        <v>645</v>
      </c>
      <c r="C2567" s="124" t="s">
        <v>466</v>
      </c>
      <c r="D2567" s="12">
        <v>75000000</v>
      </c>
      <c r="E2567" s="82">
        <v>0.97105478339999995</v>
      </c>
      <c r="F2567" s="14">
        <v>72829108.760000005</v>
      </c>
      <c r="G2567" s="14">
        <v>0.09</v>
      </c>
      <c r="H2567" s="10"/>
      <c r="I2567" s="10"/>
    </row>
    <row r="2568" spans="1:9">
      <c r="A2568" s="10" t="s">
        <v>3654</v>
      </c>
      <c r="B2568" s="124" t="s">
        <v>419</v>
      </c>
      <c r="C2568" s="124" t="s">
        <v>466</v>
      </c>
      <c r="D2568" s="12">
        <v>75000000</v>
      </c>
      <c r="E2568" s="82">
        <v>0.95961744449999997</v>
      </c>
      <c r="F2568" s="14">
        <v>71971308.340000004</v>
      </c>
      <c r="G2568" s="14">
        <v>0.09</v>
      </c>
      <c r="H2568" s="10"/>
      <c r="I2568" s="10"/>
    </row>
    <row r="2569" spans="1:9">
      <c r="A2569" s="10" t="s">
        <v>3655</v>
      </c>
      <c r="B2569" s="124" t="s">
        <v>498</v>
      </c>
      <c r="C2569" s="124" t="s">
        <v>466</v>
      </c>
      <c r="D2569" s="12">
        <v>75000000</v>
      </c>
      <c r="E2569" s="82">
        <v>0.97271087639999998</v>
      </c>
      <c r="F2569" s="14">
        <v>72953315.730000004</v>
      </c>
      <c r="G2569" s="14">
        <v>0.09</v>
      </c>
      <c r="H2569" s="10"/>
      <c r="I2569" s="10"/>
    </row>
    <row r="2570" spans="1:9">
      <c r="A2570" s="10" t="s">
        <v>3656</v>
      </c>
      <c r="B2570" s="124" t="s">
        <v>556</v>
      </c>
      <c r="C2570" s="124" t="s">
        <v>466</v>
      </c>
      <c r="D2570" s="12">
        <v>50000000</v>
      </c>
      <c r="E2570" s="82">
        <v>0.96367100279999995</v>
      </c>
      <c r="F2570" s="14">
        <v>48183550.140000001</v>
      </c>
      <c r="G2570" s="14">
        <v>0.06</v>
      </c>
      <c r="H2570" s="10"/>
      <c r="I2570" s="10"/>
    </row>
    <row r="2571" spans="1:9">
      <c r="A2571" s="10" t="s">
        <v>3657</v>
      </c>
      <c r="B2571" s="124" t="s">
        <v>459</v>
      </c>
      <c r="C2571" s="124" t="s">
        <v>466</v>
      </c>
      <c r="D2571" s="12">
        <v>75000000</v>
      </c>
      <c r="E2571" s="82">
        <v>0.98276804340000001</v>
      </c>
      <c r="F2571" s="14">
        <v>73707603.260000005</v>
      </c>
      <c r="G2571" s="14">
        <v>0.09</v>
      </c>
      <c r="H2571" s="10"/>
      <c r="I2571" s="10"/>
    </row>
    <row r="2572" spans="1:9">
      <c r="A2572" s="10" t="s">
        <v>3658</v>
      </c>
      <c r="B2572" s="124" t="s">
        <v>661</v>
      </c>
      <c r="C2572" s="124" t="s">
        <v>466</v>
      </c>
      <c r="D2572" s="12">
        <v>75000000</v>
      </c>
      <c r="E2572" s="82">
        <v>0.95559758930000005</v>
      </c>
      <c r="F2572" s="153">
        <v>71669819.200000003</v>
      </c>
      <c r="G2572" s="14">
        <v>0.09</v>
      </c>
      <c r="H2572" s="10"/>
      <c r="I2572" s="10"/>
    </row>
    <row r="2573" spans="1:9">
      <c r="A2573" s="10" t="s">
        <v>3659</v>
      </c>
      <c r="B2573" s="124" t="s">
        <v>461</v>
      </c>
      <c r="C2573" s="124" t="s">
        <v>466</v>
      </c>
      <c r="D2573" s="12">
        <v>75000000</v>
      </c>
      <c r="E2573" s="82">
        <v>0.97687630329999997</v>
      </c>
      <c r="F2573" s="14">
        <v>73265722.75</v>
      </c>
      <c r="G2573" s="14">
        <v>0.09</v>
      </c>
      <c r="H2573" s="10"/>
      <c r="I2573" s="10"/>
    </row>
    <row r="2574" spans="1:9">
      <c r="A2574" s="10" t="s">
        <v>3660</v>
      </c>
      <c r="B2574" s="124" t="s">
        <v>810</v>
      </c>
      <c r="C2574" s="124" t="s">
        <v>466</v>
      </c>
      <c r="D2574" s="12">
        <v>75000000</v>
      </c>
      <c r="E2574" s="82">
        <v>0.97188199980000001</v>
      </c>
      <c r="F2574" s="14">
        <v>72891149.989999995</v>
      </c>
      <c r="G2574" s="14">
        <v>0.09</v>
      </c>
      <c r="H2574" s="10"/>
      <c r="I2574" s="10"/>
    </row>
    <row r="2575" spans="1:9">
      <c r="A2575" s="10" t="s">
        <v>3661</v>
      </c>
      <c r="B2575" s="124" t="s">
        <v>513</v>
      </c>
      <c r="C2575" s="124" t="s">
        <v>467</v>
      </c>
      <c r="D2575" s="14">
        <v>1638560052.79</v>
      </c>
      <c r="E2575" s="82">
        <v>0.98494261819999995</v>
      </c>
      <c r="F2575" s="14">
        <v>1613887628.47</v>
      </c>
      <c r="G2575" s="14">
        <v>1.98</v>
      </c>
      <c r="H2575" s="10"/>
      <c r="I2575" s="10"/>
    </row>
    <row r="2576" spans="1:9">
      <c r="A2576" s="10" t="s">
        <v>3662</v>
      </c>
      <c r="B2576" s="124" t="s">
        <v>255</v>
      </c>
      <c r="C2576" s="124" t="s">
        <v>467</v>
      </c>
      <c r="D2576" s="12">
        <v>13000000</v>
      </c>
      <c r="E2576" s="82">
        <v>0.93570563849999999</v>
      </c>
      <c r="F2576" s="153">
        <v>12164173.300000001</v>
      </c>
      <c r="G2576" s="14">
        <v>0.01</v>
      </c>
      <c r="H2576" s="10"/>
      <c r="I2576" s="10"/>
    </row>
    <row r="2577" spans="1:9">
      <c r="A2577" s="10" t="s">
        <v>3663</v>
      </c>
      <c r="B2577" s="124" t="s">
        <v>931</v>
      </c>
      <c r="C2577" s="124" t="s">
        <v>467</v>
      </c>
      <c r="D2577" s="14">
        <v>2643916.21</v>
      </c>
      <c r="E2577" s="82">
        <v>0.9286350538</v>
      </c>
      <c r="F2577" s="14">
        <v>2455233.27</v>
      </c>
      <c r="G2577" s="12">
        <v>0</v>
      </c>
      <c r="H2577" s="10"/>
      <c r="I2577" s="10"/>
    </row>
    <row r="2578" spans="1:9">
      <c r="A2578" s="10" t="s">
        <v>3664</v>
      </c>
      <c r="B2578" s="124" t="s">
        <v>1448</v>
      </c>
      <c r="C2578" s="124" t="s">
        <v>467</v>
      </c>
      <c r="D2578" s="14">
        <v>2643916.21</v>
      </c>
      <c r="E2578" s="157">
        <v>0.903599555</v>
      </c>
      <c r="F2578" s="14">
        <v>2389041.5099999998</v>
      </c>
      <c r="G2578" s="12">
        <v>0</v>
      </c>
      <c r="H2578" s="10"/>
      <c r="I2578" s="10"/>
    </row>
    <row r="2579" spans="1:9">
      <c r="A2579" s="10" t="s">
        <v>3665</v>
      </c>
      <c r="B2579" s="124" t="s">
        <v>1007</v>
      </c>
      <c r="C2579" s="124" t="s">
        <v>467</v>
      </c>
      <c r="D2579" s="14">
        <v>11321347.039999999</v>
      </c>
      <c r="E2579" s="82">
        <v>0.89846156610000005</v>
      </c>
      <c r="F2579" s="14">
        <v>10171795.189999999</v>
      </c>
      <c r="G2579" s="14">
        <v>0.01</v>
      </c>
      <c r="H2579" s="10"/>
      <c r="I2579" s="10"/>
    </row>
    <row r="2580" spans="1:9">
      <c r="A2580" s="10" t="s">
        <v>3666</v>
      </c>
      <c r="B2580" s="124" t="s">
        <v>632</v>
      </c>
      <c r="C2580" s="124" t="s">
        <v>467</v>
      </c>
      <c r="D2580" s="14">
        <v>11321347.060000001</v>
      </c>
      <c r="E2580" s="82">
        <v>0.90954403939999995</v>
      </c>
      <c r="F2580" s="14">
        <v>10297263.74</v>
      </c>
      <c r="G2580" s="14">
        <v>0.01</v>
      </c>
      <c r="H2580" s="10"/>
      <c r="I2580" s="10"/>
    </row>
    <row r="2581" spans="1:9">
      <c r="A2581" s="10" t="s">
        <v>3667</v>
      </c>
      <c r="B2581" s="124" t="s">
        <v>1448</v>
      </c>
      <c r="C2581" s="124" t="s">
        <v>467</v>
      </c>
      <c r="D2581" s="14">
        <v>11321347.039999999</v>
      </c>
      <c r="E2581" s="82">
        <v>0.90359955240000001</v>
      </c>
      <c r="F2581" s="14">
        <v>10229964.119999999</v>
      </c>
      <c r="G2581" s="14">
        <v>0.01</v>
      </c>
      <c r="H2581" s="10"/>
      <c r="I2581" s="10"/>
    </row>
    <row r="2582" spans="1:9">
      <c r="A2582" s="10" t="s">
        <v>3668</v>
      </c>
      <c r="B2582" s="124" t="s">
        <v>3669</v>
      </c>
      <c r="C2582" s="124" t="s">
        <v>467</v>
      </c>
      <c r="D2582" s="14">
        <v>11321347.039999999</v>
      </c>
      <c r="E2582" s="82">
        <v>0.90286214269999998</v>
      </c>
      <c r="F2582" s="14">
        <v>10221615.65</v>
      </c>
      <c r="G2582" s="14">
        <v>0.01</v>
      </c>
      <c r="H2582" s="10"/>
      <c r="I2582" s="10"/>
    </row>
    <row r="2583" spans="1:9">
      <c r="A2583" s="10" t="s">
        <v>3670</v>
      </c>
      <c r="B2583" s="124" t="s">
        <v>2103</v>
      </c>
      <c r="C2583" s="124" t="s">
        <v>467</v>
      </c>
      <c r="D2583" s="14">
        <v>11321347.039999999</v>
      </c>
      <c r="E2583" s="157">
        <v>0.89773251499999995</v>
      </c>
      <c r="F2583" s="14">
        <v>10163541.35</v>
      </c>
      <c r="G2583" s="14">
        <v>0.01</v>
      </c>
      <c r="H2583" s="10"/>
      <c r="I2583" s="10"/>
    </row>
    <row r="2584" spans="1:9">
      <c r="A2584" s="10" t="s">
        <v>3671</v>
      </c>
      <c r="B2584" s="124" t="s">
        <v>1719</v>
      </c>
      <c r="C2584" s="124" t="s">
        <v>467</v>
      </c>
      <c r="D2584" s="14">
        <v>11321347.039999999</v>
      </c>
      <c r="E2584" s="82">
        <v>0.89700439430000001</v>
      </c>
      <c r="F2584" s="14">
        <v>10155298.039999999</v>
      </c>
      <c r="G2584" s="14">
        <v>0.01</v>
      </c>
      <c r="H2584" s="10"/>
      <c r="I2584" s="10"/>
    </row>
    <row r="2585" spans="1:9">
      <c r="A2585" s="10" t="s">
        <v>3672</v>
      </c>
      <c r="B2585" s="124" t="s">
        <v>2301</v>
      </c>
      <c r="C2585" s="124" t="s">
        <v>467</v>
      </c>
      <c r="D2585" s="14">
        <v>11321347.039999999</v>
      </c>
      <c r="E2585" s="82">
        <v>0.89482735170000005</v>
      </c>
      <c r="F2585" s="14">
        <v>10130650.99</v>
      </c>
      <c r="G2585" s="14">
        <v>0.01</v>
      </c>
      <c r="H2585" s="10"/>
      <c r="I2585" s="10"/>
    </row>
    <row r="2586" spans="1:9">
      <c r="A2586" s="10" t="s">
        <v>3673</v>
      </c>
      <c r="B2586" s="124" t="s">
        <v>1108</v>
      </c>
      <c r="C2586" s="124" t="s">
        <v>467</v>
      </c>
      <c r="D2586" s="14">
        <v>11321347.039999999</v>
      </c>
      <c r="E2586" s="82">
        <v>0.90879689730000002</v>
      </c>
      <c r="F2586" s="14">
        <v>10288805.060000001</v>
      </c>
      <c r="G2586" s="14">
        <v>0.01</v>
      </c>
      <c r="H2586" s="10"/>
      <c r="I2586" s="10"/>
    </row>
    <row r="2587" spans="1:9">
      <c r="A2587" s="10" t="s">
        <v>3674</v>
      </c>
      <c r="B2587" s="124" t="s">
        <v>822</v>
      </c>
      <c r="C2587" s="124" t="s">
        <v>467</v>
      </c>
      <c r="D2587" s="14">
        <v>11321347.039999999</v>
      </c>
      <c r="E2587" s="82">
        <v>0.90805072689999999</v>
      </c>
      <c r="F2587" s="14">
        <v>10280357.41</v>
      </c>
      <c r="G2587" s="14">
        <v>0.01</v>
      </c>
      <c r="H2587" s="10"/>
      <c r="I2587" s="10"/>
    </row>
    <row r="2588" spans="1:9">
      <c r="A2588" s="10" t="s">
        <v>3675</v>
      </c>
      <c r="B2588" s="124" t="s">
        <v>2099</v>
      </c>
      <c r="C2588" s="124" t="s">
        <v>467</v>
      </c>
      <c r="D2588" s="14">
        <v>11321347.039999999</v>
      </c>
      <c r="E2588" s="157">
        <v>0.90730577700000004</v>
      </c>
      <c r="F2588" s="14">
        <v>10271923.57</v>
      </c>
      <c r="G2588" s="14">
        <v>0.01</v>
      </c>
      <c r="H2588" s="10"/>
      <c r="I2588" s="10"/>
    </row>
    <row r="2589" spans="1:9">
      <c r="A2589" s="10" t="s">
        <v>3676</v>
      </c>
      <c r="B2589" s="124" t="s">
        <v>2147</v>
      </c>
      <c r="C2589" s="124" t="s">
        <v>467</v>
      </c>
      <c r="D2589" s="14">
        <v>11321347.039999999</v>
      </c>
      <c r="E2589" s="82">
        <v>0.90507850590000005</v>
      </c>
      <c r="F2589" s="14">
        <v>10246707.859999999</v>
      </c>
      <c r="G2589" s="14">
        <v>0.01</v>
      </c>
      <c r="H2589" s="10"/>
      <c r="I2589" s="10"/>
    </row>
    <row r="2590" spans="1:9">
      <c r="A2590" s="10" t="s">
        <v>3677</v>
      </c>
      <c r="B2590" s="124" t="s">
        <v>2230</v>
      </c>
      <c r="C2590" s="124" t="s">
        <v>467</v>
      </c>
      <c r="D2590" s="14">
        <v>11321347.039999999</v>
      </c>
      <c r="E2590" s="82">
        <v>0.90433842509999995</v>
      </c>
      <c r="F2590" s="14">
        <v>10238329.15</v>
      </c>
      <c r="G2590" s="14">
        <v>0.01</v>
      </c>
      <c r="H2590" s="10"/>
      <c r="I2590" s="10"/>
    </row>
    <row r="2591" spans="1:9">
      <c r="A2591" s="10" t="s">
        <v>3678</v>
      </c>
      <c r="B2591" s="124" t="s">
        <v>1446</v>
      </c>
      <c r="C2591" s="124" t="s">
        <v>467</v>
      </c>
      <c r="D2591" s="14">
        <v>11321347.039999999</v>
      </c>
      <c r="E2591" s="82">
        <v>0.90212567919999997</v>
      </c>
      <c r="F2591" s="14">
        <v>10213277.890000001</v>
      </c>
      <c r="G2591" s="14">
        <v>0.01</v>
      </c>
      <c r="H2591" s="10"/>
      <c r="I2591" s="10"/>
    </row>
    <row r="2592" spans="1:9">
      <c r="A2592" s="10" t="s">
        <v>3679</v>
      </c>
      <c r="B2592" s="124" t="s">
        <v>2565</v>
      </c>
      <c r="C2592" s="124" t="s">
        <v>467</v>
      </c>
      <c r="D2592" s="14">
        <v>11321347.039999999</v>
      </c>
      <c r="E2592" s="82">
        <v>0.89992373459999997</v>
      </c>
      <c r="F2592" s="14">
        <v>10188348.91</v>
      </c>
      <c r="G2592" s="14">
        <v>0.01</v>
      </c>
      <c r="H2592" s="10"/>
      <c r="I2592" s="10"/>
    </row>
    <row r="2593" spans="1:9">
      <c r="A2593" s="10" t="s">
        <v>3680</v>
      </c>
      <c r="B2593" s="124" t="s">
        <v>2152</v>
      </c>
      <c r="C2593" s="124" t="s">
        <v>467</v>
      </c>
      <c r="D2593" s="14">
        <v>11321347.039999999</v>
      </c>
      <c r="E2593" s="82">
        <v>0.89919205790000001</v>
      </c>
      <c r="F2593" s="14">
        <v>10180065.34</v>
      </c>
      <c r="G2593" s="14">
        <v>0.01</v>
      </c>
      <c r="H2593" s="10"/>
      <c r="I2593" s="10"/>
    </row>
    <row r="2594" spans="1:9">
      <c r="A2594" s="10" t="s">
        <v>3681</v>
      </c>
      <c r="B2594" s="124" t="s">
        <v>255</v>
      </c>
      <c r="C2594" s="124" t="s">
        <v>467</v>
      </c>
      <c r="D2594" s="12">
        <v>5850000</v>
      </c>
      <c r="E2594" s="82">
        <v>0.93570563849999999</v>
      </c>
      <c r="F2594" s="14">
        <v>5473877.9900000002</v>
      </c>
      <c r="G2594" s="14">
        <v>0.01</v>
      </c>
      <c r="H2594" s="10"/>
      <c r="I2594" s="10"/>
    </row>
    <row r="2595" spans="1:9">
      <c r="A2595" s="10" t="s">
        <v>3682</v>
      </c>
      <c r="B2595" s="124" t="s">
        <v>663</v>
      </c>
      <c r="C2595" s="124" t="s">
        <v>467</v>
      </c>
      <c r="D2595" s="12">
        <v>5850000</v>
      </c>
      <c r="E2595" s="82">
        <v>0.93019716320000001</v>
      </c>
      <c r="F2595" s="153">
        <v>5441653.4000000004</v>
      </c>
      <c r="G2595" s="14">
        <v>0.01</v>
      </c>
      <c r="H2595" s="10"/>
      <c r="I2595" s="10"/>
    </row>
    <row r="2596" spans="1:9">
      <c r="A2596" s="10" t="s">
        <v>3683</v>
      </c>
      <c r="B2596" s="124" t="s">
        <v>1004</v>
      </c>
      <c r="C2596" s="124" t="s">
        <v>467</v>
      </c>
      <c r="D2596" s="14">
        <v>5805595.3099999996</v>
      </c>
      <c r="E2596" s="82">
        <v>0.92090332819999998</v>
      </c>
      <c r="F2596" s="14">
        <v>5346392.04</v>
      </c>
      <c r="G2596" s="14">
        <v>0.01</v>
      </c>
      <c r="H2596" s="10"/>
      <c r="I2596" s="10"/>
    </row>
    <row r="2597" spans="1:9">
      <c r="A2597" s="10" t="s">
        <v>3684</v>
      </c>
      <c r="B2597" s="124" t="s">
        <v>1497</v>
      </c>
      <c r="C2597" s="124" t="s">
        <v>467</v>
      </c>
      <c r="D2597" s="12">
        <v>5850000</v>
      </c>
      <c r="E2597" s="82">
        <v>0.93729137770000004</v>
      </c>
      <c r="F2597" s="14">
        <v>5483154.5599999996</v>
      </c>
      <c r="G2597" s="14">
        <v>0.01</v>
      </c>
      <c r="H2597" s="10"/>
      <c r="I2597" s="10"/>
    </row>
    <row r="2598" spans="1:9">
      <c r="A2598" s="10" t="s">
        <v>3685</v>
      </c>
      <c r="B2598" s="124" t="s">
        <v>1461</v>
      </c>
      <c r="C2598" s="124" t="s">
        <v>467</v>
      </c>
      <c r="D2598" s="12">
        <v>5850000</v>
      </c>
      <c r="E2598" s="82">
        <v>0.93176426769999998</v>
      </c>
      <c r="F2598" s="14">
        <v>5450820.9699999997</v>
      </c>
      <c r="G2598" s="14">
        <v>0.01</v>
      </c>
      <c r="H2598" s="10"/>
      <c r="I2598" s="10"/>
    </row>
    <row r="2599" spans="1:9">
      <c r="A2599" s="10" t="s">
        <v>3686</v>
      </c>
      <c r="B2599" s="124" t="s">
        <v>1722</v>
      </c>
      <c r="C2599" s="124" t="s">
        <v>467</v>
      </c>
      <c r="D2599" s="12">
        <v>5850000</v>
      </c>
      <c r="E2599" s="82">
        <v>0.92630196450000002</v>
      </c>
      <c r="F2599" s="14">
        <v>5418866.4900000002</v>
      </c>
      <c r="G2599" s="14">
        <v>0.01</v>
      </c>
      <c r="H2599" s="10"/>
      <c r="I2599" s="10"/>
    </row>
    <row r="2600" spans="1:9">
      <c r="A2600" s="10" t="s">
        <v>3687</v>
      </c>
      <c r="B2600" s="124" t="s">
        <v>283</v>
      </c>
      <c r="C2600" s="124" t="s">
        <v>467</v>
      </c>
      <c r="D2600" s="12">
        <v>5850000</v>
      </c>
      <c r="E2600" s="82">
        <v>0.92475316249999995</v>
      </c>
      <c r="F2600" s="12">
        <v>5409806</v>
      </c>
      <c r="G2600" s="14">
        <v>0.01</v>
      </c>
      <c r="H2600" s="10"/>
      <c r="I2600" s="10"/>
    </row>
    <row r="2601" spans="1:9">
      <c r="A2601" s="10" t="s">
        <v>3688</v>
      </c>
      <c r="B2601" s="124" t="s">
        <v>655</v>
      </c>
      <c r="C2601" s="124" t="s">
        <v>467</v>
      </c>
      <c r="D2601" s="12">
        <v>3000000</v>
      </c>
      <c r="E2601" s="82">
        <v>0.93098018959999995</v>
      </c>
      <c r="F2601" s="14">
        <v>2792940.57</v>
      </c>
      <c r="G2601" s="12">
        <v>0</v>
      </c>
      <c r="H2601" s="10"/>
      <c r="I2601" s="10"/>
    </row>
    <row r="2602" spans="1:9">
      <c r="A2602" s="10" t="s">
        <v>3689</v>
      </c>
      <c r="B2602" s="124" t="s">
        <v>655</v>
      </c>
      <c r="C2602" s="124" t="s">
        <v>467</v>
      </c>
      <c r="D2602" s="14">
        <v>1249867.6100000001</v>
      </c>
      <c r="E2602" s="82">
        <v>0.93098018569999996</v>
      </c>
      <c r="F2602" s="14">
        <v>1163601.98</v>
      </c>
      <c r="G2602" s="12">
        <v>0</v>
      </c>
      <c r="H2602" s="10"/>
      <c r="I2602" s="10"/>
    </row>
    <row r="2603" spans="1:9">
      <c r="A2603" s="10" t="s">
        <v>3690</v>
      </c>
      <c r="B2603" s="124" t="s">
        <v>255</v>
      </c>
      <c r="C2603" s="124" t="s">
        <v>467</v>
      </c>
      <c r="D2603" s="12">
        <v>3000000</v>
      </c>
      <c r="E2603" s="82">
        <v>0.93570564030000003</v>
      </c>
      <c r="F2603" s="14">
        <v>2807116.92</v>
      </c>
      <c r="G2603" s="12">
        <v>0</v>
      </c>
      <c r="H2603" s="10"/>
      <c r="I2603" s="10"/>
    </row>
    <row r="2604" spans="1:9">
      <c r="A2604" s="10" t="s">
        <v>3691</v>
      </c>
      <c r="B2604" s="124" t="s">
        <v>1781</v>
      </c>
      <c r="C2604" s="124" t="s">
        <v>467</v>
      </c>
      <c r="D2604" s="12">
        <v>1490000</v>
      </c>
      <c r="E2604" s="82">
        <v>0.94047930879999997</v>
      </c>
      <c r="F2604" s="14">
        <v>1401314.17</v>
      </c>
      <c r="G2604" s="12">
        <v>0</v>
      </c>
      <c r="H2604" s="10"/>
      <c r="I2604" s="10"/>
    </row>
    <row r="2605" spans="1:9">
      <c r="A2605" s="10" t="s">
        <v>3692</v>
      </c>
      <c r="B2605" s="124" t="s">
        <v>1497</v>
      </c>
      <c r="C2605" s="124" t="s">
        <v>467</v>
      </c>
      <c r="D2605" s="14">
        <v>1489016.95</v>
      </c>
      <c r="E2605" s="82">
        <v>0.93729138489999997</v>
      </c>
      <c r="F2605" s="14">
        <v>1395642.76</v>
      </c>
      <c r="G2605" s="12">
        <v>0</v>
      </c>
      <c r="H2605" s="10"/>
      <c r="I2605" s="10"/>
    </row>
    <row r="2606" spans="1:9">
      <c r="A2606" s="10" t="s">
        <v>3693</v>
      </c>
      <c r="B2606" s="124" t="s">
        <v>632</v>
      </c>
      <c r="C2606" s="124" t="s">
        <v>467</v>
      </c>
      <c r="D2606" s="14">
        <v>11276671.109999999</v>
      </c>
      <c r="E2606" s="82">
        <v>0.90954403939999995</v>
      </c>
      <c r="F2606" s="14">
        <v>10256628.99</v>
      </c>
      <c r="G2606" s="14">
        <v>0.01</v>
      </c>
      <c r="H2606" s="10"/>
      <c r="I2606" s="10"/>
    </row>
    <row r="2607" spans="1:9">
      <c r="A2607" s="10" t="s">
        <v>3694</v>
      </c>
      <c r="B2607" s="124" t="s">
        <v>1813</v>
      </c>
      <c r="C2607" s="124" t="s">
        <v>467</v>
      </c>
      <c r="D2607" s="14">
        <v>3077616.76</v>
      </c>
      <c r="E2607" s="82">
        <v>0.92320926569999995</v>
      </c>
      <c r="F2607" s="14">
        <v>2841284.31</v>
      </c>
      <c r="G2607" s="12">
        <v>0</v>
      </c>
      <c r="H2607" s="10"/>
      <c r="I2607" s="10"/>
    </row>
    <row r="2608" spans="1:9">
      <c r="A2608" s="10" t="s">
        <v>3695</v>
      </c>
      <c r="B2608" s="124" t="s">
        <v>655</v>
      </c>
      <c r="C2608" s="124" t="s">
        <v>467</v>
      </c>
      <c r="D2608" s="12">
        <v>4000000</v>
      </c>
      <c r="E2608" s="82">
        <v>0.93098018569999996</v>
      </c>
      <c r="F2608" s="14">
        <v>3723920.74</v>
      </c>
      <c r="G2608" s="12">
        <v>0</v>
      </c>
      <c r="H2608" s="10"/>
      <c r="I2608" s="10"/>
    </row>
    <row r="2609" spans="1:9">
      <c r="A2609" s="10" t="s">
        <v>3696</v>
      </c>
      <c r="B2609" s="124" t="s">
        <v>974</v>
      </c>
      <c r="C2609" s="124" t="s">
        <v>467</v>
      </c>
      <c r="D2609" s="12">
        <v>4000000</v>
      </c>
      <c r="E2609" s="82">
        <v>0.92552704649999995</v>
      </c>
      <c r="F2609" s="14">
        <v>3702108.19</v>
      </c>
      <c r="G2609" s="12">
        <v>0</v>
      </c>
      <c r="H2609" s="10"/>
      <c r="I2609" s="10"/>
    </row>
    <row r="2610" spans="1:9">
      <c r="A2610" s="10" t="s">
        <v>3697</v>
      </c>
      <c r="B2610" s="124" t="s">
        <v>1497</v>
      </c>
      <c r="C2610" s="124" t="s">
        <v>467</v>
      </c>
      <c r="D2610" s="14">
        <v>3379667.13</v>
      </c>
      <c r="E2610" s="82">
        <v>0.93729138310000004</v>
      </c>
      <c r="F2610" s="14">
        <v>3167732.88</v>
      </c>
      <c r="G2610" s="12">
        <v>0</v>
      </c>
      <c r="H2610" s="10"/>
      <c r="I2610" s="10"/>
    </row>
    <row r="2611" spans="1:9">
      <c r="A2611" s="10" t="s">
        <v>3698</v>
      </c>
      <c r="B2611" s="124" t="s">
        <v>655</v>
      </c>
      <c r="C2611" s="124" t="s">
        <v>467</v>
      </c>
      <c r="D2611" s="12">
        <v>2631589</v>
      </c>
      <c r="E2611" s="82">
        <v>0.93098018770000002</v>
      </c>
      <c r="F2611" s="14">
        <v>2449957.2200000002</v>
      </c>
      <c r="G2611" s="12">
        <v>0</v>
      </c>
      <c r="H2611" s="10"/>
      <c r="I2611" s="10"/>
    </row>
    <row r="2612" spans="1:9">
      <c r="A2612" s="10" t="s">
        <v>3699</v>
      </c>
      <c r="B2612" s="124" t="s">
        <v>655</v>
      </c>
      <c r="C2612" s="124" t="s">
        <v>467</v>
      </c>
      <c r="D2612" s="153">
        <v>6956487.5</v>
      </c>
      <c r="E2612" s="82">
        <v>0.93098018959999995</v>
      </c>
      <c r="F2612" s="14">
        <v>6476352.0499999998</v>
      </c>
      <c r="G2612" s="14">
        <v>0.01</v>
      </c>
      <c r="H2612" s="10"/>
      <c r="I2612" s="10"/>
    </row>
    <row r="2613" spans="1:9">
      <c r="A2613" s="10" t="s">
        <v>3700</v>
      </c>
      <c r="B2613" s="124" t="s">
        <v>974</v>
      </c>
      <c r="C2613" s="124" t="s">
        <v>467</v>
      </c>
      <c r="D2613" s="12">
        <v>6956450</v>
      </c>
      <c r="E2613" s="82">
        <v>0.92552704649999995</v>
      </c>
      <c r="F2613" s="14">
        <v>6438382.6200000001</v>
      </c>
      <c r="G2613" s="14">
        <v>0.01</v>
      </c>
      <c r="H2613" s="10"/>
      <c r="I2613" s="10"/>
    </row>
    <row r="2614" spans="1:9">
      <c r="A2614" s="10" t="s">
        <v>3701</v>
      </c>
      <c r="B2614" s="124" t="s">
        <v>746</v>
      </c>
      <c r="C2614" s="124" t="s">
        <v>467</v>
      </c>
      <c r="D2614" s="12">
        <v>8000000</v>
      </c>
      <c r="E2614" s="82">
        <v>0.98782143119999999</v>
      </c>
      <c r="F2614" s="14">
        <v>7902571.4500000002</v>
      </c>
      <c r="G2614" s="14">
        <v>0.01</v>
      </c>
      <c r="H2614" s="10"/>
      <c r="I2614" s="10"/>
    </row>
    <row r="2615" spans="1:9">
      <c r="A2615" s="10" t="s">
        <v>3702</v>
      </c>
      <c r="B2615" s="124" t="s">
        <v>559</v>
      </c>
      <c r="C2615" s="124" t="s">
        <v>467</v>
      </c>
      <c r="D2615" s="12">
        <v>9000000</v>
      </c>
      <c r="E2615" s="82">
        <v>0.97750417909999998</v>
      </c>
      <c r="F2615" s="14">
        <v>8797537.6099999994</v>
      </c>
      <c r="G2615" s="14">
        <v>0.01</v>
      </c>
      <c r="H2615" s="10"/>
      <c r="I2615" s="10"/>
    </row>
    <row r="2616" spans="1:9">
      <c r="A2616" s="10" t="s">
        <v>3703</v>
      </c>
      <c r="B2616" s="124" t="s">
        <v>498</v>
      </c>
      <c r="C2616" s="124" t="s">
        <v>467</v>
      </c>
      <c r="D2616" s="12">
        <v>9000000</v>
      </c>
      <c r="E2616" s="82">
        <v>0.97437280479999999</v>
      </c>
      <c r="F2616" s="14">
        <v>8769355.2400000002</v>
      </c>
      <c r="G2616" s="14">
        <v>0.01</v>
      </c>
      <c r="H2616" s="10"/>
      <c r="I2616" s="10"/>
    </row>
    <row r="2617" spans="1:9">
      <c r="A2617" s="10" t="s">
        <v>3704</v>
      </c>
      <c r="B2617" s="124" t="s">
        <v>810</v>
      </c>
      <c r="C2617" s="124" t="s">
        <v>467</v>
      </c>
      <c r="D2617" s="12">
        <v>9000000</v>
      </c>
      <c r="E2617" s="82">
        <v>0.97359303350000004</v>
      </c>
      <c r="F2617" s="153">
        <v>8762337.3000000007</v>
      </c>
      <c r="G2617" s="14">
        <v>0.01</v>
      </c>
      <c r="H2617" s="10"/>
      <c r="I2617" s="10"/>
    </row>
    <row r="2618" spans="1:9">
      <c r="A2618" s="10" t="s">
        <v>3705</v>
      </c>
      <c r="B2618" s="124" t="s">
        <v>283</v>
      </c>
      <c r="C2618" s="124" t="s">
        <v>467</v>
      </c>
      <c r="D2618" s="12">
        <v>5000000</v>
      </c>
      <c r="E2618" s="82">
        <v>0.92898973929999995</v>
      </c>
      <c r="F2618" s="153">
        <v>4644948.7</v>
      </c>
      <c r="G2618" s="14">
        <v>0.01</v>
      </c>
      <c r="H2618" s="10"/>
      <c r="I2618" s="10"/>
    </row>
    <row r="2619" spans="1:9">
      <c r="A2619" s="10" t="s">
        <v>3706</v>
      </c>
      <c r="B2619" s="124" t="s">
        <v>2354</v>
      </c>
      <c r="C2619" s="124" t="s">
        <v>467</v>
      </c>
      <c r="D2619" s="12">
        <v>5000000</v>
      </c>
      <c r="E2619" s="82">
        <v>0.9334084332</v>
      </c>
      <c r="F2619" s="14">
        <v>4667042.17</v>
      </c>
      <c r="G2619" s="14">
        <v>0.01</v>
      </c>
      <c r="H2619" s="10"/>
      <c r="I2619" s="10"/>
    </row>
    <row r="2620" spans="1:9">
      <c r="A2620" s="10" t="s">
        <v>3707</v>
      </c>
      <c r="B2620" s="124" t="s">
        <v>283</v>
      </c>
      <c r="C2620" s="124" t="s">
        <v>467</v>
      </c>
      <c r="D2620" s="12">
        <v>5000000</v>
      </c>
      <c r="E2620" s="82">
        <v>0.92898973929999995</v>
      </c>
      <c r="F2620" s="153">
        <v>4644948.7</v>
      </c>
      <c r="G2620" s="14">
        <v>0.01</v>
      </c>
      <c r="H2620" s="10"/>
      <c r="I2620" s="10"/>
    </row>
    <row r="2621" spans="1:9">
      <c r="A2621" s="10" t="s">
        <v>3708</v>
      </c>
      <c r="B2621" s="124" t="s">
        <v>974</v>
      </c>
      <c r="C2621" s="124" t="s">
        <v>467</v>
      </c>
      <c r="D2621" s="12">
        <v>5000000</v>
      </c>
      <c r="E2621" s="82">
        <v>0.92972336529999999</v>
      </c>
      <c r="F2621" s="14">
        <v>4648616.83</v>
      </c>
      <c r="G2621" s="14">
        <v>0.01</v>
      </c>
      <c r="H2621" s="10"/>
      <c r="I2621" s="10"/>
    </row>
    <row r="2622" spans="1:9">
      <c r="A2622" s="10" t="s">
        <v>3709</v>
      </c>
      <c r="B2622" s="124" t="s">
        <v>283</v>
      </c>
      <c r="C2622" s="124" t="s">
        <v>467</v>
      </c>
      <c r="D2622" s="12">
        <v>5000000</v>
      </c>
      <c r="E2622" s="82">
        <v>0.92898973929999995</v>
      </c>
      <c r="F2622" s="153">
        <v>4644948.7</v>
      </c>
      <c r="G2622" s="14">
        <v>0.01</v>
      </c>
      <c r="H2622" s="10"/>
      <c r="I2622" s="10"/>
    </row>
    <row r="2623" spans="1:9">
      <c r="A2623" s="10" t="s">
        <v>3710</v>
      </c>
      <c r="B2623" s="124" t="s">
        <v>741</v>
      </c>
      <c r="C2623" s="124" t="s">
        <v>467</v>
      </c>
      <c r="D2623" s="12">
        <v>5000000</v>
      </c>
      <c r="E2623" s="82">
        <v>0.92825727059999996</v>
      </c>
      <c r="F2623" s="14">
        <v>4641286.3499999996</v>
      </c>
      <c r="G2623" s="14">
        <v>0.01</v>
      </c>
      <c r="H2623" s="10"/>
      <c r="I2623" s="10"/>
    </row>
    <row r="2624" spans="1:9">
      <c r="A2624" s="10" t="s">
        <v>3711</v>
      </c>
      <c r="B2624" s="124" t="s">
        <v>283</v>
      </c>
      <c r="C2624" s="124" t="s">
        <v>467</v>
      </c>
      <c r="D2624" s="12">
        <v>15000000</v>
      </c>
      <c r="E2624" s="82">
        <v>0.92898973929999995</v>
      </c>
      <c r="F2624" s="14">
        <v>13934846.09</v>
      </c>
      <c r="G2624" s="14">
        <v>0.02</v>
      </c>
      <c r="H2624" s="10"/>
      <c r="I2624" s="10"/>
    </row>
    <row r="2625" spans="1:9">
      <c r="A2625" s="10" t="s">
        <v>3712</v>
      </c>
      <c r="B2625" s="124" t="s">
        <v>1813</v>
      </c>
      <c r="C2625" s="124" t="s">
        <v>467</v>
      </c>
      <c r="D2625" s="12">
        <v>20000000</v>
      </c>
      <c r="E2625" s="82">
        <v>0.92752595680000005</v>
      </c>
      <c r="F2625" s="14">
        <v>18550519.140000001</v>
      </c>
      <c r="G2625" s="14">
        <v>0.02</v>
      </c>
      <c r="H2625" s="10"/>
      <c r="I2625" s="10"/>
    </row>
    <row r="2626" spans="1:9">
      <c r="A2626" s="10" t="s">
        <v>3713</v>
      </c>
      <c r="B2626" s="124" t="s">
        <v>645</v>
      </c>
      <c r="C2626" s="124" t="s">
        <v>467</v>
      </c>
      <c r="D2626" s="12">
        <v>698373</v>
      </c>
      <c r="E2626" s="82">
        <v>0.97369686359999996</v>
      </c>
      <c r="F2626" s="153">
        <v>680003.6</v>
      </c>
      <c r="G2626" s="12">
        <v>0</v>
      </c>
      <c r="H2626" s="10"/>
      <c r="I2626" s="10"/>
    </row>
    <row r="2627" spans="1:9">
      <c r="A2627" s="10" t="s">
        <v>3714</v>
      </c>
      <c r="B2627" s="124" t="s">
        <v>1722</v>
      </c>
      <c r="C2627" s="124" t="s">
        <v>467</v>
      </c>
      <c r="D2627" s="12">
        <v>5000000</v>
      </c>
      <c r="E2627" s="82">
        <v>0.93045789889999997</v>
      </c>
      <c r="F2627" s="14">
        <v>4652289.49</v>
      </c>
      <c r="G2627" s="14">
        <v>0.01</v>
      </c>
      <c r="H2627" s="10"/>
      <c r="I2627" s="10"/>
    </row>
    <row r="2628" spans="1:9">
      <c r="A2628" s="10" t="s">
        <v>3715</v>
      </c>
      <c r="B2628" s="124" t="s">
        <v>974</v>
      </c>
      <c r="C2628" s="124" t="s">
        <v>467</v>
      </c>
      <c r="D2628" s="12">
        <v>5000000</v>
      </c>
      <c r="E2628" s="82">
        <v>0.92972336529999999</v>
      </c>
      <c r="F2628" s="14">
        <v>4648616.83</v>
      </c>
      <c r="G2628" s="14">
        <v>0.01</v>
      </c>
      <c r="H2628" s="10"/>
      <c r="I2628" s="10"/>
    </row>
    <row r="2629" spans="1:9">
      <c r="A2629" s="10" t="s">
        <v>3716</v>
      </c>
      <c r="B2629" s="124" t="s">
        <v>992</v>
      </c>
      <c r="C2629" s="124" t="s">
        <v>467</v>
      </c>
      <c r="D2629" s="14">
        <v>8621773.1799999997</v>
      </c>
      <c r="E2629" s="82">
        <v>0.92844624440000001</v>
      </c>
      <c r="F2629" s="14">
        <v>8004852.9299999997</v>
      </c>
      <c r="G2629" s="14">
        <v>0.01</v>
      </c>
      <c r="H2629" s="10"/>
      <c r="I2629" s="10"/>
    </row>
    <row r="2630" spans="1:9">
      <c r="A2630" s="10" t="s">
        <v>3717</v>
      </c>
      <c r="B2630" s="124" t="s">
        <v>974</v>
      </c>
      <c r="C2630" s="124" t="s">
        <v>467</v>
      </c>
      <c r="D2630" s="12">
        <v>5000000</v>
      </c>
      <c r="E2630" s="82">
        <v>0.92972336529999999</v>
      </c>
      <c r="F2630" s="14">
        <v>4648616.83</v>
      </c>
      <c r="G2630" s="14">
        <v>0.01</v>
      </c>
      <c r="H2630" s="10"/>
      <c r="I2630" s="10"/>
    </row>
    <row r="2631" spans="1:9">
      <c r="A2631" s="10" t="s">
        <v>3718</v>
      </c>
      <c r="B2631" s="124" t="s">
        <v>2354</v>
      </c>
      <c r="C2631" s="124" t="s">
        <v>467</v>
      </c>
      <c r="D2631" s="12">
        <v>5000000</v>
      </c>
      <c r="E2631" s="82">
        <v>0.9334084332</v>
      </c>
      <c r="F2631" s="14">
        <v>4667042.17</v>
      </c>
      <c r="G2631" s="14">
        <v>0.01</v>
      </c>
      <c r="H2631" s="10"/>
      <c r="I2631" s="10"/>
    </row>
    <row r="2632" spans="1:9">
      <c r="A2632" s="10" t="s">
        <v>3719</v>
      </c>
      <c r="B2632" s="124" t="s">
        <v>931</v>
      </c>
      <c r="C2632" s="124" t="s">
        <v>467</v>
      </c>
      <c r="D2632" s="12">
        <v>5000000</v>
      </c>
      <c r="E2632" s="82">
        <v>0.93266898460000003</v>
      </c>
      <c r="F2632" s="14">
        <v>4663344.92</v>
      </c>
      <c r="G2632" s="14">
        <v>0.01</v>
      </c>
      <c r="H2632" s="10"/>
      <c r="I2632" s="10"/>
    </row>
    <row r="2633" spans="1:9">
      <c r="A2633" s="10" t="s">
        <v>3720</v>
      </c>
      <c r="B2633" s="124" t="s">
        <v>283</v>
      </c>
      <c r="C2633" s="124" t="s">
        <v>467</v>
      </c>
      <c r="D2633" s="12">
        <v>5000000</v>
      </c>
      <c r="E2633" s="82">
        <v>0.92898973929999995</v>
      </c>
      <c r="F2633" s="153">
        <v>4644948.7</v>
      </c>
      <c r="G2633" s="14">
        <v>0.01</v>
      </c>
      <c r="H2633" s="10"/>
      <c r="I2633" s="10"/>
    </row>
    <row r="2634" spans="1:9">
      <c r="A2634" s="10" t="s">
        <v>3721</v>
      </c>
      <c r="B2634" s="124" t="s">
        <v>741</v>
      </c>
      <c r="C2634" s="124" t="s">
        <v>467</v>
      </c>
      <c r="D2634" s="12">
        <v>5000000</v>
      </c>
      <c r="E2634" s="82">
        <v>0.92825727059999996</v>
      </c>
      <c r="F2634" s="14">
        <v>4641286.3499999996</v>
      </c>
      <c r="G2634" s="14">
        <v>0.01</v>
      </c>
      <c r="H2634" s="10"/>
      <c r="I2634" s="10"/>
    </row>
    <row r="2635" spans="1:9">
      <c r="A2635" s="10" t="s">
        <v>3722</v>
      </c>
      <c r="B2635" s="124" t="s">
        <v>645</v>
      </c>
      <c r="C2635" s="124" t="s">
        <v>467</v>
      </c>
      <c r="D2635" s="12">
        <v>8650000</v>
      </c>
      <c r="E2635" s="82">
        <v>0.9736968574</v>
      </c>
      <c r="F2635" s="14">
        <v>8422477.8200000003</v>
      </c>
      <c r="G2635" s="14">
        <v>0.01</v>
      </c>
      <c r="H2635" s="10"/>
      <c r="I2635" s="10"/>
    </row>
    <row r="2636" spans="1:9">
      <c r="A2636" s="10" t="s">
        <v>3723</v>
      </c>
      <c r="B2636" s="124" t="s">
        <v>636</v>
      </c>
      <c r="C2636" s="124" t="s">
        <v>467</v>
      </c>
      <c r="D2636" s="12">
        <v>8650000</v>
      </c>
      <c r="E2636" s="82">
        <v>0.94802743270000001</v>
      </c>
      <c r="F2636" s="14">
        <v>8200437.29</v>
      </c>
      <c r="G2636" s="14">
        <v>0.01</v>
      </c>
      <c r="H2636" s="10"/>
      <c r="I2636" s="10"/>
    </row>
    <row r="2637" spans="1:9">
      <c r="A2637" s="10" t="s">
        <v>3724</v>
      </c>
      <c r="B2637" s="124" t="s">
        <v>667</v>
      </c>
      <c r="C2637" s="124" t="s">
        <v>467</v>
      </c>
      <c r="D2637" s="12">
        <v>486000</v>
      </c>
      <c r="E2637" s="82">
        <v>0.96252757219999996</v>
      </c>
      <c r="F2637" s="153">
        <v>467788.4</v>
      </c>
      <c r="G2637" s="12">
        <v>0</v>
      </c>
      <c r="H2637" s="10"/>
      <c r="I2637" s="10"/>
    </row>
    <row r="2638" spans="1:9">
      <c r="A2638" s="10" t="s">
        <v>3725</v>
      </c>
      <c r="B2638" s="124" t="s">
        <v>925</v>
      </c>
      <c r="C2638" s="124" t="s">
        <v>467</v>
      </c>
      <c r="D2638" s="12">
        <v>781000</v>
      </c>
      <c r="E2638" s="157">
        <v>0.96474088300000005</v>
      </c>
      <c r="F2638" s="14">
        <v>753462.63</v>
      </c>
      <c r="G2638" s="12">
        <v>0</v>
      </c>
      <c r="H2638" s="10"/>
      <c r="I2638" s="10"/>
    </row>
    <row r="2639" spans="1:9">
      <c r="A2639" s="10" t="s">
        <v>3726</v>
      </c>
      <c r="B2639" s="124" t="s">
        <v>657</v>
      </c>
      <c r="C2639" s="124" t="s">
        <v>467</v>
      </c>
      <c r="D2639" s="14">
        <v>2409020.25</v>
      </c>
      <c r="E2639" s="82">
        <v>0.95305246669999999</v>
      </c>
      <c r="F2639" s="14">
        <v>2295922.69</v>
      </c>
      <c r="G2639" s="12">
        <v>0</v>
      </c>
      <c r="H2639" s="10"/>
      <c r="I2639" s="10"/>
    </row>
    <row r="2640" spans="1:9">
      <c r="A2640" s="10" t="s">
        <v>3727</v>
      </c>
      <c r="B2640" s="124" t="s">
        <v>718</v>
      </c>
      <c r="C2640" s="124" t="s">
        <v>467</v>
      </c>
      <c r="D2640" s="14">
        <v>209488.44</v>
      </c>
      <c r="E2640" s="82">
        <v>0.9797606016</v>
      </c>
      <c r="F2640" s="14">
        <v>205248.52</v>
      </c>
      <c r="G2640" s="12">
        <v>0</v>
      </c>
      <c r="H2640" s="10"/>
      <c r="I2640" s="10"/>
    </row>
    <row r="2641" spans="1:9">
      <c r="A2641" s="10" t="s">
        <v>3728</v>
      </c>
      <c r="B2641" s="124" t="s">
        <v>627</v>
      </c>
      <c r="C2641" s="124" t="s">
        <v>467</v>
      </c>
      <c r="D2641" s="12">
        <v>1187961</v>
      </c>
      <c r="E2641" s="82">
        <v>0.95449811910000004</v>
      </c>
      <c r="F2641" s="14">
        <v>1133906.54</v>
      </c>
      <c r="G2641" s="12">
        <v>0</v>
      </c>
      <c r="H2641" s="10"/>
      <c r="I2641" s="10"/>
    </row>
    <row r="2642" spans="1:9">
      <c r="A2642" s="10" t="s">
        <v>3729</v>
      </c>
      <c r="B2642" s="124" t="s">
        <v>657</v>
      </c>
      <c r="C2642" s="124" t="s">
        <v>467</v>
      </c>
      <c r="D2642" s="14">
        <v>1187964.1299999999</v>
      </c>
      <c r="E2642" s="82">
        <v>0.95305246359999995</v>
      </c>
      <c r="F2642" s="14">
        <v>1132192.1399999999</v>
      </c>
      <c r="G2642" s="12">
        <v>0</v>
      </c>
      <c r="H2642" s="10"/>
      <c r="I2642" s="10"/>
    </row>
    <row r="2643" spans="1:9">
      <c r="A2643" s="10" t="s">
        <v>3730</v>
      </c>
      <c r="B2643" s="124" t="s">
        <v>762</v>
      </c>
      <c r="C2643" s="124" t="s">
        <v>467</v>
      </c>
      <c r="D2643" s="12">
        <v>1187961</v>
      </c>
      <c r="E2643" s="82">
        <v>0.9537747446</v>
      </c>
      <c r="F2643" s="153">
        <v>1133047.2</v>
      </c>
      <c r="G2643" s="12">
        <v>0</v>
      </c>
      <c r="H2643" s="10"/>
      <c r="I2643" s="10"/>
    </row>
    <row r="2644" spans="1:9">
      <c r="A2644" s="10" t="s">
        <v>3731</v>
      </c>
      <c r="B2644" s="124" t="s">
        <v>718</v>
      </c>
      <c r="C2644" s="124" t="s">
        <v>467</v>
      </c>
      <c r="D2644" s="12">
        <v>476000</v>
      </c>
      <c r="E2644" s="82">
        <v>0.97976060909999996</v>
      </c>
      <c r="F2644" s="14">
        <v>466366.05</v>
      </c>
      <c r="G2644" s="12">
        <v>0</v>
      </c>
      <c r="H2644" s="10"/>
      <c r="I2644" s="10"/>
    </row>
    <row r="2645" spans="1:9">
      <c r="A2645" s="10" t="s">
        <v>3732</v>
      </c>
      <c r="B2645" s="124" t="s">
        <v>587</v>
      </c>
      <c r="C2645" s="124" t="s">
        <v>467</v>
      </c>
      <c r="D2645" s="14">
        <v>474646.69</v>
      </c>
      <c r="E2645" s="82">
        <v>0.95813106859999997</v>
      </c>
      <c r="F2645" s="14">
        <v>454773.74</v>
      </c>
      <c r="G2645" s="12">
        <v>0</v>
      </c>
      <c r="H2645" s="10"/>
      <c r="I2645" s="10"/>
    </row>
    <row r="2646" spans="1:9">
      <c r="A2646" s="10" t="s">
        <v>3733</v>
      </c>
      <c r="B2646" s="124" t="s">
        <v>925</v>
      </c>
      <c r="C2646" s="124" t="s">
        <v>467</v>
      </c>
      <c r="D2646" s="14">
        <v>1341680.96</v>
      </c>
      <c r="E2646" s="82">
        <v>0.96474088769999999</v>
      </c>
      <c r="F2646" s="14">
        <v>1294374.48</v>
      </c>
      <c r="G2646" s="12">
        <v>0</v>
      </c>
      <c r="H2646" s="10"/>
      <c r="I2646" s="10"/>
    </row>
    <row r="2647" spans="1:9">
      <c r="A2647" s="10" t="s">
        <v>3734</v>
      </c>
      <c r="B2647" s="124" t="s">
        <v>752</v>
      </c>
      <c r="C2647" s="124" t="s">
        <v>467</v>
      </c>
      <c r="D2647" s="12">
        <v>2500000</v>
      </c>
      <c r="E2647" s="82">
        <v>0.9640019084</v>
      </c>
      <c r="F2647" s="14">
        <v>2410004.77</v>
      </c>
      <c r="G2647" s="12">
        <v>0</v>
      </c>
      <c r="H2647" s="10"/>
      <c r="I2647" s="10"/>
    </row>
    <row r="2648" spans="1:9">
      <c r="A2648" s="10" t="s">
        <v>3735</v>
      </c>
      <c r="B2648" s="124" t="s">
        <v>573</v>
      </c>
      <c r="C2648" s="124" t="s">
        <v>467</v>
      </c>
      <c r="D2648" s="12">
        <v>2500000</v>
      </c>
      <c r="E2648" s="82">
        <v>0.95886106039999996</v>
      </c>
      <c r="F2648" s="14">
        <v>2397152.65</v>
      </c>
      <c r="G2648" s="12">
        <v>0</v>
      </c>
      <c r="H2648" s="10"/>
      <c r="I2648" s="10"/>
    </row>
    <row r="2649" spans="1:9">
      <c r="A2649" s="10" t="s">
        <v>3736</v>
      </c>
      <c r="B2649" s="124" t="s">
        <v>419</v>
      </c>
      <c r="C2649" s="124" t="s">
        <v>467</v>
      </c>
      <c r="D2649" s="12">
        <v>993500</v>
      </c>
      <c r="E2649" s="82">
        <v>0.9632640562</v>
      </c>
      <c r="F2649" s="14">
        <v>957002.84</v>
      </c>
      <c r="G2649" s="12">
        <v>0</v>
      </c>
      <c r="H2649" s="10"/>
      <c r="I2649" s="10"/>
    </row>
    <row r="2650" spans="1:9">
      <c r="A2650" s="10" t="s">
        <v>3737</v>
      </c>
      <c r="B2650" s="124" t="s">
        <v>255</v>
      </c>
      <c r="C2650" s="124" t="s">
        <v>467</v>
      </c>
      <c r="D2650" s="14">
        <v>993860.85</v>
      </c>
      <c r="E2650" s="82">
        <v>0.94305510729999997</v>
      </c>
      <c r="F2650" s="14">
        <v>937265.55</v>
      </c>
      <c r="G2650" s="12">
        <v>0</v>
      </c>
      <c r="H2650" s="10"/>
      <c r="I2650" s="10"/>
    </row>
    <row r="2651" spans="1:9">
      <c r="A2651" s="10" t="s">
        <v>3738</v>
      </c>
      <c r="B2651" s="124" t="s">
        <v>267</v>
      </c>
      <c r="C2651" s="124" t="s">
        <v>467</v>
      </c>
      <c r="D2651" s="12">
        <v>476000</v>
      </c>
      <c r="E2651" s="82">
        <v>0.96770791970000003</v>
      </c>
      <c r="F2651" s="14">
        <v>460628.97</v>
      </c>
      <c r="G2651" s="12">
        <v>0</v>
      </c>
      <c r="H2651" s="10"/>
      <c r="I2651" s="10"/>
    </row>
    <row r="2652" spans="1:9">
      <c r="A2652" s="10" t="s">
        <v>3739</v>
      </c>
      <c r="B2652" s="124" t="s">
        <v>657</v>
      </c>
      <c r="C2652" s="124" t="s">
        <v>467</v>
      </c>
      <c r="D2652" s="12">
        <v>2500000</v>
      </c>
      <c r="E2652" s="82">
        <v>0.9530524682</v>
      </c>
      <c r="F2652" s="14">
        <v>2382631.17</v>
      </c>
      <c r="G2652" s="12">
        <v>0</v>
      </c>
      <c r="H2652" s="10"/>
      <c r="I2652" s="10"/>
    </row>
    <row r="2653" spans="1:9">
      <c r="A2653" s="10" t="s">
        <v>3740</v>
      </c>
      <c r="B2653" s="124" t="s">
        <v>463</v>
      </c>
      <c r="C2653" s="124" t="s">
        <v>467</v>
      </c>
      <c r="D2653" s="12">
        <v>476000</v>
      </c>
      <c r="E2653" s="82">
        <v>0.98977697470000003</v>
      </c>
      <c r="F2653" s="14">
        <v>471133.84</v>
      </c>
      <c r="G2653" s="12">
        <v>0</v>
      </c>
      <c r="H2653" s="10"/>
      <c r="I2653" s="10"/>
    </row>
    <row r="2654" spans="1:9">
      <c r="A2654" s="10" t="s">
        <v>3741</v>
      </c>
      <c r="B2654" s="124" t="s">
        <v>578</v>
      </c>
      <c r="C2654" s="124" t="s">
        <v>467</v>
      </c>
      <c r="D2654" s="12">
        <v>2289494</v>
      </c>
      <c r="E2654" s="82">
        <v>0.99525559789999996</v>
      </c>
      <c r="F2654" s="14">
        <v>2278631.7200000002</v>
      </c>
      <c r="G2654" s="12">
        <v>0</v>
      </c>
      <c r="H2654" s="10"/>
      <c r="I2654" s="10"/>
    </row>
    <row r="2655" spans="1:9">
      <c r="A2655" s="10" t="s">
        <v>3742</v>
      </c>
      <c r="B2655" s="124" t="s">
        <v>513</v>
      </c>
      <c r="C2655" s="124" t="s">
        <v>467</v>
      </c>
      <c r="D2655" s="14">
        <v>19275533.640000001</v>
      </c>
      <c r="E2655" s="82">
        <v>0.98542125920000001</v>
      </c>
      <c r="F2655" s="14">
        <v>18994520.629999999</v>
      </c>
      <c r="G2655" s="14">
        <v>0.02</v>
      </c>
      <c r="H2655" s="10"/>
      <c r="I2655" s="10"/>
    </row>
    <row r="2656" spans="1:9">
      <c r="A2656" s="10" t="s">
        <v>3743</v>
      </c>
      <c r="B2656" s="124" t="s">
        <v>513</v>
      </c>
      <c r="C2656" s="124" t="s">
        <v>467</v>
      </c>
      <c r="D2656" s="14">
        <v>20775704.66</v>
      </c>
      <c r="E2656" s="82">
        <v>0.98542125869999997</v>
      </c>
      <c r="F2656" s="14">
        <v>20472821.039999999</v>
      </c>
      <c r="G2656" s="14">
        <v>0.03</v>
      </c>
      <c r="H2656" s="10"/>
      <c r="I2656" s="10"/>
    </row>
    <row r="2657" spans="1:9">
      <c r="A2657" s="10" t="s">
        <v>3744</v>
      </c>
      <c r="B2657" s="124" t="s">
        <v>283</v>
      </c>
      <c r="C2657" s="124" t="s">
        <v>467</v>
      </c>
      <c r="D2657" s="12">
        <v>705770</v>
      </c>
      <c r="E2657" s="82">
        <v>0.9205550535</v>
      </c>
      <c r="F2657" s="14">
        <v>649700.14</v>
      </c>
      <c r="G2657" s="12">
        <v>0</v>
      </c>
      <c r="H2657" s="10"/>
      <c r="I2657" s="10"/>
    </row>
    <row r="2658" spans="1:9">
      <c r="A2658" s="10" t="s">
        <v>3745</v>
      </c>
      <c r="B2658" s="124" t="s">
        <v>573</v>
      </c>
      <c r="C2658" s="124" t="s">
        <v>467</v>
      </c>
      <c r="D2658" s="12">
        <v>240000</v>
      </c>
      <c r="E2658" s="82">
        <v>0.95076858310000001</v>
      </c>
      <c r="F2658" s="14">
        <v>228184.46</v>
      </c>
      <c r="G2658" s="12">
        <v>0</v>
      </c>
      <c r="H2658" s="10"/>
      <c r="I2658" s="10"/>
    </row>
    <row r="2659" spans="1:9">
      <c r="A2659" s="10" t="s">
        <v>3746</v>
      </c>
      <c r="B2659" s="124" t="s">
        <v>974</v>
      </c>
      <c r="C2659" s="124" t="s">
        <v>467</v>
      </c>
      <c r="D2659" s="12">
        <v>240000</v>
      </c>
      <c r="E2659" s="157">
        <v>0.92136841700000005</v>
      </c>
      <c r="F2659" s="14">
        <v>221128.42</v>
      </c>
      <c r="G2659" s="12">
        <v>0</v>
      </c>
      <c r="H2659" s="10"/>
      <c r="I2659" s="10"/>
    </row>
    <row r="2660" spans="1:9">
      <c r="A2660" s="10" t="s">
        <v>3747</v>
      </c>
      <c r="B2660" s="124" t="s">
        <v>498</v>
      </c>
      <c r="C2660" s="124" t="s">
        <v>467</v>
      </c>
      <c r="D2660" s="14">
        <v>24325173.129999999</v>
      </c>
      <c r="E2660" s="82">
        <v>0.97022876520000001</v>
      </c>
      <c r="F2660" s="14">
        <v>23600982.690000001</v>
      </c>
      <c r="G2660" s="14">
        <v>0.03</v>
      </c>
      <c r="H2660" s="10"/>
      <c r="I2660" s="10"/>
    </row>
    <row r="2661" spans="1:9">
      <c r="A2661" s="10" t="s">
        <v>3748</v>
      </c>
      <c r="B2661" s="124" t="s">
        <v>657</v>
      </c>
      <c r="C2661" s="124" t="s">
        <v>467</v>
      </c>
      <c r="D2661" s="14">
        <v>24325173.129999999</v>
      </c>
      <c r="E2661" s="82">
        <v>0.94388425389999997</v>
      </c>
      <c r="F2661" s="14">
        <v>22960147.890000001</v>
      </c>
      <c r="G2661" s="14">
        <v>0.03</v>
      </c>
      <c r="H2661" s="10"/>
      <c r="I2661" s="10"/>
    </row>
    <row r="2662" spans="1:9">
      <c r="A2662" s="10" t="s">
        <v>3749</v>
      </c>
      <c r="B2662" s="124" t="s">
        <v>995</v>
      </c>
      <c r="C2662" s="124" t="s">
        <v>467</v>
      </c>
      <c r="D2662" s="14">
        <v>7345493.4699999997</v>
      </c>
      <c r="E2662" s="82">
        <v>0.90773448059999995</v>
      </c>
      <c r="F2662" s="153">
        <v>6667757.7000000002</v>
      </c>
      <c r="G2662" s="14">
        <v>0.01</v>
      </c>
      <c r="H2662" s="10"/>
      <c r="I2662" s="10"/>
    </row>
    <row r="2663" spans="1:9">
      <c r="A2663" s="10" t="s">
        <v>3750</v>
      </c>
      <c r="B2663" s="124" t="s">
        <v>283</v>
      </c>
      <c r="C2663" s="124" t="s">
        <v>467</v>
      </c>
      <c r="D2663" s="14">
        <v>7345493.4699999997</v>
      </c>
      <c r="E2663" s="82">
        <v>0.92055504929999998</v>
      </c>
      <c r="F2663" s="153">
        <v>6761931.0999999996</v>
      </c>
      <c r="G2663" s="14">
        <v>0.01</v>
      </c>
      <c r="H2663" s="10"/>
      <c r="I2663" s="10"/>
    </row>
    <row r="2664" spans="1:9">
      <c r="A2664" s="10" t="s">
        <v>3751</v>
      </c>
      <c r="B2664" s="124" t="s">
        <v>636</v>
      </c>
      <c r="C2664" s="124" t="s">
        <v>467</v>
      </c>
      <c r="D2664" s="12">
        <v>719400</v>
      </c>
      <c r="E2664" s="82">
        <v>0.93794181239999996</v>
      </c>
      <c r="F2664" s="14">
        <v>674755.34</v>
      </c>
      <c r="G2664" s="12">
        <v>0</v>
      </c>
      <c r="H2664" s="10"/>
      <c r="I2664" s="10"/>
    </row>
    <row r="2665" spans="1:9">
      <c r="A2665" s="10" t="s">
        <v>3752</v>
      </c>
      <c r="B2665" s="124" t="s">
        <v>630</v>
      </c>
      <c r="C2665" s="124" t="s">
        <v>467</v>
      </c>
      <c r="D2665" s="12">
        <v>719400</v>
      </c>
      <c r="E2665" s="82">
        <v>0.90931763889999995</v>
      </c>
      <c r="F2665" s="14">
        <v>654163.11</v>
      </c>
      <c r="G2665" s="12">
        <v>0</v>
      </c>
      <c r="H2665" s="10"/>
      <c r="I2665" s="10"/>
    </row>
    <row r="2666" spans="1:9">
      <c r="A2666" s="10" t="s">
        <v>3753</v>
      </c>
      <c r="B2666" s="124" t="s">
        <v>1722</v>
      </c>
      <c r="C2666" s="124" t="s">
        <v>467</v>
      </c>
      <c r="D2666" s="14">
        <v>1518463.43</v>
      </c>
      <c r="E2666" s="82">
        <v>0.92218299240000001</v>
      </c>
      <c r="F2666" s="14">
        <v>1400301.15</v>
      </c>
      <c r="G2666" s="12">
        <v>0</v>
      </c>
      <c r="H2666" s="10"/>
      <c r="I2666" s="10"/>
    </row>
    <row r="2667" spans="1:9">
      <c r="A2667" s="10" t="s">
        <v>3754</v>
      </c>
      <c r="B2667" s="124" t="s">
        <v>614</v>
      </c>
      <c r="C2667" s="124" t="s">
        <v>467</v>
      </c>
      <c r="D2667" s="153">
        <v>391319.8</v>
      </c>
      <c r="E2667" s="82">
        <v>0.95424854560000005</v>
      </c>
      <c r="F2667" s="14">
        <v>373416.35</v>
      </c>
      <c r="G2667" s="12">
        <v>0</v>
      </c>
      <c r="H2667" s="10"/>
      <c r="I2667" s="10"/>
    </row>
    <row r="2668" spans="1:9">
      <c r="A2668" s="10" t="s">
        <v>3755</v>
      </c>
      <c r="B2668" s="124" t="s">
        <v>663</v>
      </c>
      <c r="C2668" s="124" t="s">
        <v>467</v>
      </c>
      <c r="D2668" s="153">
        <v>391319.8</v>
      </c>
      <c r="E2668" s="82">
        <v>0.92627855690000005</v>
      </c>
      <c r="F2668" s="14">
        <v>362471.14</v>
      </c>
      <c r="G2668" s="12">
        <v>0</v>
      </c>
      <c r="H2668" s="10"/>
      <c r="I2668" s="10"/>
    </row>
    <row r="2669" spans="1:9">
      <c r="A2669" s="10" t="s">
        <v>3756</v>
      </c>
      <c r="B2669" s="124" t="s">
        <v>1108</v>
      </c>
      <c r="C2669" s="124" t="s">
        <v>467</v>
      </c>
      <c r="D2669" s="14">
        <v>139858.32999999999</v>
      </c>
      <c r="E2669" s="82">
        <v>0.9038011547</v>
      </c>
      <c r="F2669" s="14">
        <v>126404.12</v>
      </c>
      <c r="G2669" s="12">
        <v>0</v>
      </c>
      <c r="H2669" s="10"/>
      <c r="I2669" s="10"/>
    </row>
    <row r="2670" spans="1:9">
      <c r="A2670" s="10" t="s">
        <v>3757</v>
      </c>
      <c r="B2670" s="124" t="s">
        <v>645</v>
      </c>
      <c r="C2670" s="124" t="s">
        <v>467</v>
      </c>
      <c r="D2670" s="12">
        <v>5632305</v>
      </c>
      <c r="E2670" s="82">
        <v>0.97105460330000004</v>
      </c>
      <c r="F2670" s="153">
        <v>5469275.7000000002</v>
      </c>
      <c r="G2670" s="14">
        <v>0.01</v>
      </c>
      <c r="H2670" s="10"/>
      <c r="I2670" s="10"/>
    </row>
    <row r="2671" spans="1:9">
      <c r="A2671" s="10" t="s">
        <v>3758</v>
      </c>
      <c r="B2671" s="124" t="s">
        <v>925</v>
      </c>
      <c r="C2671" s="124" t="s">
        <v>467</v>
      </c>
      <c r="D2671" s="14">
        <v>13393171.84</v>
      </c>
      <c r="E2671" s="82">
        <v>0.96007174829999997</v>
      </c>
      <c r="F2671" s="153">
        <v>12858405.9</v>
      </c>
      <c r="G2671" s="14">
        <v>0.02</v>
      </c>
      <c r="H2671" s="10"/>
      <c r="I2671" s="10"/>
    </row>
    <row r="2672" spans="1:9">
      <c r="A2672" s="10" t="s">
        <v>3759</v>
      </c>
      <c r="B2672" s="124" t="s">
        <v>661</v>
      </c>
      <c r="C2672" s="124" t="s">
        <v>467</v>
      </c>
      <c r="D2672" s="14">
        <v>28666627.02</v>
      </c>
      <c r="E2672" s="82">
        <v>0.95427353910000001</v>
      </c>
      <c r="F2672" s="14">
        <v>27355803.620000001</v>
      </c>
      <c r="G2672" s="14">
        <v>0.03</v>
      </c>
      <c r="H2672" s="10"/>
      <c r="I2672" s="10"/>
    </row>
    <row r="2673" spans="1:9">
      <c r="A2673" s="10" t="s">
        <v>3760</v>
      </c>
      <c r="B2673" s="124" t="s">
        <v>657</v>
      </c>
      <c r="C2673" s="124" t="s">
        <v>467</v>
      </c>
      <c r="D2673" s="14">
        <v>6438423.1600000001</v>
      </c>
      <c r="E2673" s="157">
        <v>0.946920663</v>
      </c>
      <c r="F2673" s="14">
        <v>6096675.9299999997</v>
      </c>
      <c r="G2673" s="14">
        <v>0.01</v>
      </c>
      <c r="H2673" s="10"/>
      <c r="I2673" s="10"/>
    </row>
    <row r="2674" spans="1:9">
      <c r="A2674" s="10" t="s">
        <v>3761</v>
      </c>
      <c r="B2674" s="124" t="s">
        <v>419</v>
      </c>
      <c r="C2674" s="124" t="s">
        <v>467</v>
      </c>
      <c r="D2674" s="12">
        <v>8000000</v>
      </c>
      <c r="E2674" s="82">
        <v>0.95840778579999997</v>
      </c>
      <c r="F2674" s="14">
        <v>7667262.29</v>
      </c>
      <c r="G2674" s="14">
        <v>0.01</v>
      </c>
      <c r="H2674" s="10"/>
      <c r="I2674" s="10"/>
    </row>
    <row r="2675" spans="1:9">
      <c r="A2675" s="10" t="s">
        <v>3762</v>
      </c>
      <c r="B2675" s="124" t="s">
        <v>556</v>
      </c>
      <c r="C2675" s="124" t="s">
        <v>467</v>
      </c>
      <c r="D2675" s="14">
        <v>6406139.1799999997</v>
      </c>
      <c r="E2675" s="157">
        <v>0.96257828099999998</v>
      </c>
      <c r="F2675" s="14">
        <v>6166410.4400000004</v>
      </c>
      <c r="G2675" s="14">
        <v>0.01</v>
      </c>
      <c r="H2675" s="10"/>
      <c r="I2675" s="10"/>
    </row>
    <row r="2676" spans="1:9">
      <c r="A2676" s="10" t="s">
        <v>3763</v>
      </c>
      <c r="B2676" s="124" t="s">
        <v>556</v>
      </c>
      <c r="C2676" s="124" t="s">
        <v>467</v>
      </c>
      <c r="D2676" s="14">
        <v>12100501.08</v>
      </c>
      <c r="E2676" s="157">
        <v>0.96257828099999998</v>
      </c>
      <c r="F2676" s="14">
        <v>11647679.529999999</v>
      </c>
      <c r="G2676" s="14">
        <v>0.01</v>
      </c>
      <c r="H2676" s="10"/>
      <c r="I2676" s="10"/>
    </row>
    <row r="2677" spans="1:9">
      <c r="A2677" s="10" t="s">
        <v>3764</v>
      </c>
      <c r="B2677" s="124" t="s">
        <v>995</v>
      </c>
      <c r="C2677" s="124" t="s">
        <v>467</v>
      </c>
      <c r="D2677" s="12">
        <v>40000000</v>
      </c>
      <c r="E2677" s="82">
        <v>0.91985894710000005</v>
      </c>
      <c r="F2677" s="14">
        <v>36794357.880000003</v>
      </c>
      <c r="G2677" s="14">
        <v>0.05</v>
      </c>
      <c r="H2677" s="10"/>
      <c r="I2677" s="10"/>
    </row>
    <row r="2678" spans="1:9">
      <c r="A2678" s="10" t="s">
        <v>3765</v>
      </c>
      <c r="B2678" s="124" t="s">
        <v>1448</v>
      </c>
      <c r="C2678" s="124" t="s">
        <v>467</v>
      </c>
      <c r="D2678" s="12">
        <v>40000000</v>
      </c>
      <c r="E2678" s="157">
        <v>0.91158841700000004</v>
      </c>
      <c r="F2678" s="14">
        <v>36463536.68</v>
      </c>
      <c r="G2678" s="14">
        <v>0.04</v>
      </c>
      <c r="H2678" s="10"/>
      <c r="I2678" s="10"/>
    </row>
    <row r="2679" spans="1:9">
      <c r="A2679" s="10" t="s">
        <v>3766</v>
      </c>
      <c r="B2679" s="124" t="s">
        <v>992</v>
      </c>
      <c r="C2679" s="124" t="s">
        <v>467</v>
      </c>
      <c r="D2679" s="12">
        <v>40000000</v>
      </c>
      <c r="E2679" s="82">
        <v>0.92616106210000004</v>
      </c>
      <c r="F2679" s="14">
        <v>37046442.479999997</v>
      </c>
      <c r="G2679" s="14">
        <v>0.05</v>
      </c>
      <c r="H2679" s="10"/>
      <c r="I2679" s="10"/>
    </row>
    <row r="2680" spans="1:9">
      <c r="A2680" s="10" t="s">
        <v>3767</v>
      </c>
      <c r="B2680" s="124" t="s">
        <v>1108</v>
      </c>
      <c r="C2680" s="124" t="s">
        <v>467</v>
      </c>
      <c r="D2680" s="12">
        <v>40000000</v>
      </c>
      <c r="E2680" s="82">
        <v>0.91639490209999996</v>
      </c>
      <c r="F2680" s="14">
        <v>36655796.079999998</v>
      </c>
      <c r="G2680" s="14">
        <v>0.04</v>
      </c>
      <c r="H2680" s="10"/>
      <c r="I2680" s="10"/>
    </row>
    <row r="2681" spans="1:9">
      <c r="A2681" s="10" t="s">
        <v>3768</v>
      </c>
      <c r="B2681" s="124" t="s">
        <v>627</v>
      </c>
      <c r="C2681" s="124" t="s">
        <v>467</v>
      </c>
      <c r="D2681" s="12">
        <v>325000000</v>
      </c>
      <c r="E2681" s="82">
        <v>0.94120708870000003</v>
      </c>
      <c r="F2681" s="14">
        <v>305892303.82999998</v>
      </c>
      <c r="G2681" s="14">
        <v>0.37</v>
      </c>
      <c r="H2681" s="10"/>
      <c r="I2681" s="10"/>
    </row>
    <row r="2682" spans="1:9">
      <c r="A2682" s="10" t="s">
        <v>3769</v>
      </c>
      <c r="B2682" s="124" t="s">
        <v>657</v>
      </c>
      <c r="C2682" s="124" t="s">
        <v>467</v>
      </c>
      <c r="D2682" s="12">
        <v>283000000</v>
      </c>
      <c r="E2682" s="82">
        <v>0.93936597610000006</v>
      </c>
      <c r="F2682" s="14">
        <v>265840571.24000001</v>
      </c>
      <c r="G2682" s="14">
        <v>0.33</v>
      </c>
      <c r="H2682" s="10"/>
      <c r="I2682" s="10"/>
    </row>
    <row r="2683" spans="1:9">
      <c r="A2683" s="10" t="s">
        <v>3816</v>
      </c>
      <c r="B2683" s="124" t="s">
        <v>974</v>
      </c>
      <c r="C2683" s="124" t="s">
        <v>468</v>
      </c>
      <c r="D2683" s="14">
        <v>5368571.43</v>
      </c>
      <c r="E2683" s="82">
        <v>0.9255270068</v>
      </c>
      <c r="F2683" s="14">
        <v>4968757.8499999996</v>
      </c>
      <c r="G2683" s="14">
        <v>0.01</v>
      </c>
      <c r="H2683" s="10"/>
      <c r="I2683" s="10"/>
    </row>
    <row r="2684" spans="1:9">
      <c r="A2684" s="10" t="s">
        <v>3817</v>
      </c>
      <c r="B2684" s="124" t="s">
        <v>1448</v>
      </c>
      <c r="C2684" s="124" t="s">
        <v>468</v>
      </c>
      <c r="D2684" s="14">
        <v>5368571.43</v>
      </c>
      <c r="E2684" s="82">
        <v>0.90359976890000004</v>
      </c>
      <c r="F2684" s="153">
        <v>4851039.9000000004</v>
      </c>
      <c r="G2684" s="14">
        <v>0.01</v>
      </c>
      <c r="H2684" s="10"/>
      <c r="I2684" s="10"/>
    </row>
    <row r="2685" spans="1:9">
      <c r="A2685" s="10" t="s">
        <v>3818</v>
      </c>
      <c r="B2685" s="124" t="s">
        <v>559</v>
      </c>
      <c r="C2685" s="124" t="s">
        <v>468</v>
      </c>
      <c r="D2685" s="14">
        <v>4684709.18</v>
      </c>
      <c r="E2685" s="82">
        <v>0.97531010669999996</v>
      </c>
      <c r="F2685" s="14">
        <v>4569044.21</v>
      </c>
      <c r="G2685" s="14">
        <v>0.01</v>
      </c>
      <c r="H2685" s="10"/>
      <c r="I2685" s="10"/>
    </row>
    <row r="2686" spans="1:9">
      <c r="A2686" s="10" t="s">
        <v>3819</v>
      </c>
      <c r="B2686" s="124" t="s">
        <v>627</v>
      </c>
      <c r="C2686" s="124" t="s">
        <v>468</v>
      </c>
      <c r="D2686" s="14">
        <v>5368571.43</v>
      </c>
      <c r="E2686" s="82">
        <v>0.94854490560000004</v>
      </c>
      <c r="F2686" s="14">
        <v>5092331.08</v>
      </c>
      <c r="G2686" s="14">
        <v>0.01</v>
      </c>
      <c r="H2686" s="10"/>
      <c r="I2686" s="10"/>
    </row>
    <row r="2687" spans="1:9">
      <c r="A2687" s="10" t="s">
        <v>3834</v>
      </c>
      <c r="B2687" s="124" t="s">
        <v>1446</v>
      </c>
      <c r="C2687" s="124" t="s">
        <v>468</v>
      </c>
      <c r="D2687" s="14">
        <v>565911.67000000004</v>
      </c>
      <c r="E2687" s="82">
        <v>0.90212562569999999</v>
      </c>
      <c r="F2687" s="14">
        <v>510523.42</v>
      </c>
      <c r="G2687" s="12">
        <v>0</v>
      </c>
      <c r="H2687" s="10"/>
      <c r="I2687" s="10"/>
    </row>
    <row r="2688" spans="1:9">
      <c r="A2688" s="10" t="s">
        <v>3809</v>
      </c>
      <c r="B2688" s="124" t="s">
        <v>2230</v>
      </c>
      <c r="C2688" s="124" t="s">
        <v>468</v>
      </c>
      <c r="D2688" s="12">
        <v>240000</v>
      </c>
      <c r="E2688" s="82">
        <v>0.90433833330000002</v>
      </c>
      <c r="F2688" s="153">
        <v>217041.2</v>
      </c>
      <c r="G2688" s="12">
        <v>0</v>
      </c>
      <c r="H2688" s="10"/>
      <c r="I2688" s="10"/>
    </row>
    <row r="2689" spans="1:9">
      <c r="A2689" s="10" t="s">
        <v>3810</v>
      </c>
      <c r="B2689" s="124" t="s">
        <v>1696</v>
      </c>
      <c r="C2689" s="124" t="s">
        <v>468</v>
      </c>
      <c r="D2689" s="14">
        <v>7345493.4699999997</v>
      </c>
      <c r="E2689" s="82">
        <v>0.89338163589999997</v>
      </c>
      <c r="F2689" s="14">
        <v>6562328.9699999997</v>
      </c>
      <c r="G2689" s="14">
        <v>0.01</v>
      </c>
      <c r="H2689" s="10"/>
      <c r="I2689" s="10"/>
    </row>
    <row r="2690" spans="1:9">
      <c r="A2690" s="10" t="s">
        <v>3811</v>
      </c>
      <c r="B2690" s="124" t="s">
        <v>1448</v>
      </c>
      <c r="C2690" s="124" t="s">
        <v>468</v>
      </c>
      <c r="D2690" s="14">
        <v>7345493.4699999997</v>
      </c>
      <c r="E2690" s="82">
        <v>0.90359976620000004</v>
      </c>
      <c r="F2690" s="14">
        <v>6637386.1799999997</v>
      </c>
      <c r="G2690" s="14">
        <v>0.01</v>
      </c>
      <c r="H2690" s="10"/>
      <c r="I2690" s="10"/>
    </row>
    <row r="2691" spans="1:9">
      <c r="A2691" s="10" t="s">
        <v>3812</v>
      </c>
      <c r="B2691" s="124" t="s">
        <v>2301</v>
      </c>
      <c r="C2691" s="124" t="s">
        <v>468</v>
      </c>
      <c r="D2691" s="12">
        <v>719400</v>
      </c>
      <c r="E2691" s="82">
        <v>0.89482731469999999</v>
      </c>
      <c r="F2691" s="14">
        <v>643738.77</v>
      </c>
      <c r="G2691" s="12">
        <v>0</v>
      </c>
      <c r="H2691" s="10"/>
      <c r="I2691" s="10"/>
    </row>
    <row r="2692" spans="1:9">
      <c r="A2692" s="10" t="s">
        <v>3813</v>
      </c>
      <c r="B2692" s="124" t="s">
        <v>1448</v>
      </c>
      <c r="C2692" s="124" t="s">
        <v>468</v>
      </c>
      <c r="D2692" s="14">
        <v>1518463.43</v>
      </c>
      <c r="E2692" s="82">
        <v>0.90359976620000004</v>
      </c>
      <c r="F2692" s="153">
        <v>1372083.2</v>
      </c>
      <c r="G2692" s="12">
        <v>0</v>
      </c>
      <c r="H2692" s="10"/>
      <c r="I2692" s="10"/>
    </row>
    <row r="2693" spans="1:9">
      <c r="A2693" s="10" t="s">
        <v>3814</v>
      </c>
      <c r="B2693" s="124" t="s">
        <v>822</v>
      </c>
      <c r="C2693" s="124" t="s">
        <v>468</v>
      </c>
      <c r="D2693" s="153">
        <v>391319.8</v>
      </c>
      <c r="E2693" s="82">
        <v>0.90805067880000001</v>
      </c>
      <c r="F2693" s="14">
        <v>355338.21</v>
      </c>
      <c r="G2693" s="12">
        <v>0</v>
      </c>
      <c r="H2693" s="10"/>
      <c r="I2693" s="10"/>
    </row>
    <row r="2694" spans="1:9">
      <c r="A2694" s="10" t="s">
        <v>3826</v>
      </c>
      <c r="B2694" s="124" t="s">
        <v>682</v>
      </c>
      <c r="C2694" s="124" t="s">
        <v>468</v>
      </c>
      <c r="D2694" s="12">
        <v>10000000</v>
      </c>
      <c r="E2694" s="82">
        <v>0.97203743580000002</v>
      </c>
      <c r="F2694" s="14">
        <v>9720374.3599999994</v>
      </c>
      <c r="G2694" s="14">
        <v>0.01</v>
      </c>
      <c r="H2694" s="10"/>
      <c r="I2694" s="10"/>
    </row>
    <row r="2695" spans="1:9">
      <c r="A2695" s="10" t="s">
        <v>3827</v>
      </c>
      <c r="B2695" s="124" t="s">
        <v>498</v>
      </c>
      <c r="C2695" s="124" t="s">
        <v>468</v>
      </c>
      <c r="D2695" s="12">
        <v>10000000</v>
      </c>
      <c r="E2695" s="82">
        <v>0.97437277069999995</v>
      </c>
      <c r="F2695" s="14">
        <v>9743727.7100000009</v>
      </c>
      <c r="G2695" s="14">
        <v>0.01</v>
      </c>
      <c r="H2695" s="10"/>
      <c r="I2695" s="10"/>
    </row>
    <row r="2696" spans="1:9">
      <c r="A2696" s="10" t="s">
        <v>3828</v>
      </c>
      <c r="B2696" s="124" t="s">
        <v>810</v>
      </c>
      <c r="C2696" s="124" t="s">
        <v>468</v>
      </c>
      <c r="D2696" s="12">
        <v>10000000</v>
      </c>
      <c r="E2696" s="82">
        <v>0.9735929941</v>
      </c>
      <c r="F2696" s="14">
        <v>9735929.9399999995</v>
      </c>
      <c r="G2696" s="14">
        <v>0.01</v>
      </c>
      <c r="H2696" s="10"/>
      <c r="I2696" s="10"/>
    </row>
    <row r="2697" spans="1:9">
      <c r="A2697" s="10" t="s">
        <v>3852</v>
      </c>
      <c r="B2697" s="124" t="s">
        <v>718</v>
      </c>
      <c r="C2697" s="124" t="s">
        <v>468</v>
      </c>
      <c r="D2697" s="12">
        <v>185000000</v>
      </c>
      <c r="E2697" s="82">
        <v>0.97703304739999997</v>
      </c>
      <c r="F2697" s="14">
        <v>180751113.77000001</v>
      </c>
      <c r="G2697" s="14">
        <v>0.22</v>
      </c>
      <c r="H2697" s="10"/>
      <c r="I2697" s="10"/>
    </row>
    <row r="2698" spans="1:9">
      <c r="A2698" s="10" t="s">
        <v>3849</v>
      </c>
      <c r="B2698" s="124" t="s">
        <v>931</v>
      </c>
      <c r="C2698" s="124" t="s">
        <v>468</v>
      </c>
      <c r="D2698" s="14">
        <v>357707.35</v>
      </c>
      <c r="E2698" s="82">
        <v>0.92863529280000001</v>
      </c>
      <c r="F2698" s="14">
        <v>332179.67</v>
      </c>
      <c r="G2698" s="12">
        <v>0</v>
      </c>
      <c r="H2698" s="10"/>
      <c r="I2698" s="10"/>
    </row>
    <row r="2699" spans="1:9">
      <c r="A2699" s="10" t="s">
        <v>3850</v>
      </c>
      <c r="B2699" s="124" t="s">
        <v>587</v>
      </c>
      <c r="C2699" s="124" t="s">
        <v>468</v>
      </c>
      <c r="D2699" s="14">
        <v>357707.35</v>
      </c>
      <c r="E2699" s="82">
        <v>0.95262954440000003</v>
      </c>
      <c r="F2699" s="14">
        <v>340762.59</v>
      </c>
      <c r="G2699" s="12">
        <v>0</v>
      </c>
      <c r="H2699" s="10"/>
      <c r="I2699" s="10"/>
    </row>
    <row r="2700" spans="1:9">
      <c r="A2700" s="10" t="s">
        <v>3802</v>
      </c>
      <c r="B2700" s="124" t="s">
        <v>1722</v>
      </c>
      <c r="C2700" s="124" t="s">
        <v>468</v>
      </c>
      <c r="D2700" s="12">
        <v>10000000</v>
      </c>
      <c r="E2700" s="82">
        <v>0.92837523489999996</v>
      </c>
      <c r="F2700" s="14">
        <v>9283752.3499999996</v>
      </c>
      <c r="G2700" s="14">
        <v>0.01</v>
      </c>
      <c r="H2700" s="10"/>
      <c r="I2700" s="10"/>
    </row>
    <row r="2701" spans="1:9">
      <c r="A2701" s="10" t="s">
        <v>3803</v>
      </c>
      <c r="B2701" s="124" t="s">
        <v>616</v>
      </c>
      <c r="C2701" s="124" t="s">
        <v>468</v>
      </c>
      <c r="D2701" s="12">
        <v>10000000</v>
      </c>
      <c r="E2701" s="82">
        <v>0.91570507349999997</v>
      </c>
      <c r="F2701" s="14">
        <v>9157050.7400000002</v>
      </c>
      <c r="G2701" s="14">
        <v>0.01</v>
      </c>
      <c r="H2701" s="10"/>
      <c r="I2701" s="10"/>
    </row>
    <row r="2702" spans="1:9">
      <c r="A2702" s="10" t="s">
        <v>3804</v>
      </c>
      <c r="B2702" s="124" t="s">
        <v>616</v>
      </c>
      <c r="C2702" s="124" t="s">
        <v>468</v>
      </c>
      <c r="D2702" s="12">
        <v>10000000</v>
      </c>
      <c r="E2702" s="82">
        <v>0.91570507349999997</v>
      </c>
      <c r="F2702" s="14">
        <v>9157050.7400000002</v>
      </c>
      <c r="G2702" s="14">
        <v>0.01</v>
      </c>
      <c r="H2702" s="10"/>
      <c r="I2702" s="10"/>
    </row>
    <row r="2703" spans="1:9">
      <c r="A2703" s="10" t="s">
        <v>3805</v>
      </c>
      <c r="B2703" s="124" t="s">
        <v>618</v>
      </c>
      <c r="C2703" s="124" t="s">
        <v>468</v>
      </c>
      <c r="D2703" s="12">
        <v>10000000</v>
      </c>
      <c r="E2703" s="157">
        <v>0.93830351199999995</v>
      </c>
      <c r="F2703" s="14">
        <v>9383035.1199999992</v>
      </c>
      <c r="G2703" s="14">
        <v>0.01</v>
      </c>
      <c r="H2703" s="10"/>
      <c r="I2703" s="10"/>
    </row>
    <row r="2704" spans="1:9">
      <c r="A2704" s="10" t="s">
        <v>3806</v>
      </c>
      <c r="B2704" s="124" t="s">
        <v>655</v>
      </c>
      <c r="C2704" s="124" t="s">
        <v>468</v>
      </c>
      <c r="D2704" s="12">
        <v>10000000</v>
      </c>
      <c r="E2704" s="82">
        <v>0.93293138480000004</v>
      </c>
      <c r="F2704" s="14">
        <v>9329313.8499999996</v>
      </c>
      <c r="G2704" s="14">
        <v>0.01</v>
      </c>
      <c r="H2704" s="10"/>
      <c r="I2704" s="10"/>
    </row>
    <row r="2705" spans="1:9">
      <c r="A2705" s="10" t="s">
        <v>3807</v>
      </c>
      <c r="B2705" s="124" t="s">
        <v>1004</v>
      </c>
      <c r="C2705" s="124" t="s">
        <v>468</v>
      </c>
      <c r="D2705" s="12">
        <v>10000000</v>
      </c>
      <c r="E2705" s="157">
        <v>0.923115872</v>
      </c>
      <c r="F2705" s="14">
        <v>9231158.7200000007</v>
      </c>
      <c r="G2705" s="14">
        <v>0.01</v>
      </c>
      <c r="H2705" s="10"/>
      <c r="I2705" s="10"/>
    </row>
    <row r="2706" spans="1:9">
      <c r="A2706" s="10" t="s">
        <v>3808</v>
      </c>
      <c r="B2706" s="124" t="s">
        <v>636</v>
      </c>
      <c r="C2706" s="124" t="s">
        <v>468</v>
      </c>
      <c r="D2706" s="12">
        <v>10000000</v>
      </c>
      <c r="E2706" s="82">
        <v>0.94295760210000001</v>
      </c>
      <c r="F2706" s="14">
        <v>9429576.0199999996</v>
      </c>
      <c r="G2706" s="14">
        <v>0.01</v>
      </c>
      <c r="H2706" s="10"/>
      <c r="I2706" s="10"/>
    </row>
    <row r="2707" spans="1:9">
      <c r="A2707" s="10" t="s">
        <v>3825</v>
      </c>
      <c r="B2707" s="124" t="s">
        <v>1813</v>
      </c>
      <c r="C2707" s="124" t="s">
        <v>468</v>
      </c>
      <c r="D2707" s="12">
        <v>475000000</v>
      </c>
      <c r="E2707" s="82">
        <v>0.92536279830000001</v>
      </c>
      <c r="F2707" s="14">
        <v>439547329.19</v>
      </c>
      <c r="G2707" s="14">
        <v>0.54</v>
      </c>
      <c r="H2707" s="10"/>
      <c r="I2707" s="10"/>
    </row>
    <row r="2708" spans="1:9">
      <c r="A2708" s="10" t="s">
        <v>3822</v>
      </c>
      <c r="B2708" s="124" t="s">
        <v>3821</v>
      </c>
      <c r="C2708" s="124" t="s">
        <v>468</v>
      </c>
      <c r="D2708" s="14">
        <v>65324321.270000003</v>
      </c>
      <c r="E2708" s="82">
        <v>0.7596254456</v>
      </c>
      <c r="F2708" s="14">
        <v>49622016.649999999</v>
      </c>
      <c r="G2708" s="14">
        <v>0.06</v>
      </c>
      <c r="H2708" s="10"/>
      <c r="I2708" s="10"/>
    </row>
    <row r="2709" spans="1:9">
      <c r="A2709" s="10" t="s">
        <v>3836</v>
      </c>
      <c r="B2709" s="124" t="s">
        <v>3835</v>
      </c>
      <c r="C2709" s="124" t="s">
        <v>468</v>
      </c>
      <c r="D2709" s="12">
        <v>15000000</v>
      </c>
      <c r="E2709" s="82">
        <v>0.82909338079999995</v>
      </c>
      <c r="F2709" s="14">
        <v>12436400.710000001</v>
      </c>
      <c r="G2709" s="14">
        <v>0.02</v>
      </c>
      <c r="H2709" s="10"/>
      <c r="I2709" s="10"/>
    </row>
    <row r="2710" spans="1:9">
      <c r="A2710" s="10" t="s">
        <v>3837</v>
      </c>
      <c r="B2710" s="124" t="s">
        <v>931</v>
      </c>
      <c r="C2710" s="124" t="s">
        <v>468</v>
      </c>
      <c r="D2710" s="14">
        <v>4945300.8499999996</v>
      </c>
      <c r="E2710" s="82">
        <v>0.92463610230000004</v>
      </c>
      <c r="F2710" s="153">
        <v>4572603.7</v>
      </c>
      <c r="G2710" s="14">
        <v>0.01</v>
      </c>
      <c r="H2710" s="10"/>
      <c r="I2710" s="10"/>
    </row>
    <row r="2711" spans="1:9">
      <c r="A2711" s="10" t="s">
        <v>3824</v>
      </c>
      <c r="B2711" s="124" t="s">
        <v>1461</v>
      </c>
      <c r="C2711" s="124" t="s">
        <v>468</v>
      </c>
      <c r="D2711" s="14">
        <v>2440210.56</v>
      </c>
      <c r="E2711" s="82">
        <v>0.92792707129999996</v>
      </c>
      <c r="F2711" s="14">
        <v>2264337.44</v>
      </c>
      <c r="G2711" s="12">
        <v>0</v>
      </c>
      <c r="H2711" s="10"/>
      <c r="I2711" s="10"/>
    </row>
    <row r="2712" spans="1:9">
      <c r="A2712" s="10" t="s">
        <v>3838</v>
      </c>
      <c r="B2712" s="124" t="s">
        <v>931</v>
      </c>
      <c r="C2712" s="124" t="s">
        <v>468</v>
      </c>
      <c r="D2712" s="14">
        <v>3081473.68</v>
      </c>
      <c r="E2712" s="82">
        <v>0.92463610230000004</v>
      </c>
      <c r="F2712" s="14">
        <v>2849241.81</v>
      </c>
      <c r="G2712" s="12">
        <v>0</v>
      </c>
      <c r="H2712" s="10"/>
      <c r="I2712" s="10"/>
    </row>
    <row r="2713" spans="1:9">
      <c r="A2713" s="10" t="s">
        <v>3839</v>
      </c>
      <c r="B2713" s="124" t="s">
        <v>752</v>
      </c>
      <c r="C2713" s="124" t="s">
        <v>468</v>
      </c>
      <c r="D2713" s="14">
        <v>4150625.28</v>
      </c>
      <c r="E2713" s="82">
        <v>0.95687517509999998</v>
      </c>
      <c r="F2713" s="14">
        <v>3971630.29</v>
      </c>
      <c r="G2713" s="12">
        <v>0</v>
      </c>
      <c r="H2713" s="10"/>
      <c r="I2713" s="10"/>
    </row>
    <row r="2714" spans="1:9">
      <c r="A2714" s="10" t="s">
        <v>3840</v>
      </c>
      <c r="B2714" s="124" t="s">
        <v>429</v>
      </c>
      <c r="C2714" s="124" t="s">
        <v>468</v>
      </c>
      <c r="D2714" s="14">
        <v>3081473.68</v>
      </c>
      <c r="E2714" s="82">
        <v>0.93124125349999998</v>
      </c>
      <c r="F2714" s="14">
        <v>2869595.41</v>
      </c>
      <c r="G2714" s="12">
        <v>0</v>
      </c>
      <c r="H2714" s="10"/>
      <c r="I2714" s="10"/>
    </row>
    <row r="2715" spans="1:9">
      <c r="A2715" s="10" t="s">
        <v>3841</v>
      </c>
      <c r="B2715" s="124" t="s">
        <v>1624</v>
      </c>
      <c r="C2715" s="124" t="s">
        <v>468</v>
      </c>
      <c r="D2715" s="14">
        <v>3081473.68</v>
      </c>
      <c r="E2715" s="157">
        <v>0.93041063700000004</v>
      </c>
      <c r="F2715" s="14">
        <v>2867035.89</v>
      </c>
      <c r="G2715" s="12">
        <v>0</v>
      </c>
      <c r="H2715" s="10"/>
      <c r="I2715" s="10"/>
    </row>
    <row r="2716" spans="1:9">
      <c r="A2716" s="10" t="s">
        <v>3842</v>
      </c>
      <c r="B2716" s="124" t="s">
        <v>1461</v>
      </c>
      <c r="C2716" s="124" t="s">
        <v>468</v>
      </c>
      <c r="D2716" s="14">
        <v>3081473.68</v>
      </c>
      <c r="E2716" s="82">
        <v>0.92792706940000003</v>
      </c>
      <c r="F2716" s="14">
        <v>2859382.84</v>
      </c>
      <c r="G2716" s="12">
        <v>0</v>
      </c>
      <c r="H2716" s="10"/>
      <c r="I2716" s="10"/>
    </row>
    <row r="2717" spans="1:9">
      <c r="A2717" s="10" t="s">
        <v>3843</v>
      </c>
      <c r="B2717" s="124" t="s">
        <v>655</v>
      </c>
      <c r="C2717" s="124" t="s">
        <v>468</v>
      </c>
      <c r="D2717" s="14">
        <v>3081473.68</v>
      </c>
      <c r="E2717" s="82">
        <v>0.92710206080000002</v>
      </c>
      <c r="F2717" s="153">
        <v>2856840.6</v>
      </c>
      <c r="G2717" s="12">
        <v>0</v>
      </c>
      <c r="H2717" s="10"/>
      <c r="I2717" s="10"/>
    </row>
    <row r="2718" spans="1:9">
      <c r="A2718" s="10" t="s">
        <v>3844</v>
      </c>
      <c r="B2718" s="124" t="s">
        <v>2354</v>
      </c>
      <c r="C2718" s="124" t="s">
        <v>468</v>
      </c>
      <c r="D2718" s="14">
        <v>3081473.68</v>
      </c>
      <c r="E2718" s="82">
        <v>0.9254564368</v>
      </c>
      <c r="F2718" s="14">
        <v>2851769.65</v>
      </c>
      <c r="G2718" s="12">
        <v>0</v>
      </c>
      <c r="H2718" s="10"/>
      <c r="I2718" s="10"/>
    </row>
    <row r="2719" spans="1:9">
      <c r="A2719" s="10" t="s">
        <v>3845</v>
      </c>
      <c r="B2719" s="124" t="s">
        <v>429</v>
      </c>
      <c r="C2719" s="124" t="s">
        <v>468</v>
      </c>
      <c r="D2719" s="14">
        <v>2440210.56</v>
      </c>
      <c r="E2719" s="82">
        <v>0.93124125349999998</v>
      </c>
      <c r="F2719" s="14">
        <v>2272424.7400000002</v>
      </c>
      <c r="G2719" s="12">
        <v>0</v>
      </c>
      <c r="H2719" s="10"/>
      <c r="I2719" s="10"/>
    </row>
    <row r="2720" spans="1:9">
      <c r="A2720" s="10" t="s">
        <v>3846</v>
      </c>
      <c r="B2720" s="124" t="s">
        <v>1624</v>
      </c>
      <c r="C2720" s="124" t="s">
        <v>468</v>
      </c>
      <c r="D2720" s="14">
        <v>2440210.56</v>
      </c>
      <c r="E2720" s="157">
        <v>0.93041063700000004</v>
      </c>
      <c r="F2720" s="14">
        <v>2270397.86</v>
      </c>
      <c r="G2720" s="12">
        <v>0</v>
      </c>
      <c r="H2720" s="10"/>
      <c r="I2720" s="10"/>
    </row>
    <row r="2721" spans="1:9">
      <c r="A2721" s="10" t="s">
        <v>3847</v>
      </c>
      <c r="B2721" s="124" t="s">
        <v>931</v>
      </c>
      <c r="C2721" s="124" t="s">
        <v>468</v>
      </c>
      <c r="D2721" s="14">
        <v>1785645.28</v>
      </c>
      <c r="E2721" s="82">
        <v>0.92463610029999999</v>
      </c>
      <c r="F2721" s="14">
        <v>1651072.09</v>
      </c>
      <c r="G2721" s="12">
        <v>0</v>
      </c>
      <c r="H2721" s="10"/>
      <c r="I2721" s="10"/>
    </row>
    <row r="2722" spans="1:9">
      <c r="A2722" s="10" t="s">
        <v>3848</v>
      </c>
      <c r="B2722" s="124" t="s">
        <v>1722</v>
      </c>
      <c r="C2722" s="124" t="s">
        <v>468</v>
      </c>
      <c r="D2722" s="14">
        <v>1785645.28</v>
      </c>
      <c r="E2722" s="82">
        <v>0.92218294320000005</v>
      </c>
      <c r="F2722" s="14">
        <v>1646691.62</v>
      </c>
      <c r="G2722" s="12">
        <v>0</v>
      </c>
      <c r="H2722" s="10"/>
      <c r="I2722" s="10"/>
    </row>
    <row r="2723" spans="1:9">
      <c r="A2723" s="10" t="s">
        <v>3830</v>
      </c>
      <c r="B2723" s="124" t="s">
        <v>459</v>
      </c>
      <c r="C2723" s="124" t="s">
        <v>468</v>
      </c>
      <c r="D2723" s="12">
        <v>25000000</v>
      </c>
      <c r="E2723" s="82">
        <v>0.98382766929999999</v>
      </c>
      <c r="F2723" s="14">
        <v>24595691.73</v>
      </c>
      <c r="G2723" s="14">
        <v>0.03</v>
      </c>
      <c r="H2723" s="10"/>
      <c r="I2723" s="10"/>
    </row>
    <row r="2724" spans="1:9">
      <c r="A2724" s="10" t="s">
        <v>3831</v>
      </c>
      <c r="B2724" s="124" t="s">
        <v>657</v>
      </c>
      <c r="C2724" s="124" t="s">
        <v>468</v>
      </c>
      <c r="D2724" s="12">
        <v>38000000</v>
      </c>
      <c r="E2724" s="82">
        <v>0.95151204089999997</v>
      </c>
      <c r="F2724" s="14">
        <v>36157457.549999997</v>
      </c>
      <c r="G2724" s="14">
        <v>0.04</v>
      </c>
      <c r="H2724" s="10"/>
      <c r="I2724" s="10"/>
    </row>
    <row r="2725" spans="1:9">
      <c r="A2725" s="10" t="s">
        <v>3832</v>
      </c>
      <c r="B2725" s="124" t="s">
        <v>610</v>
      </c>
      <c r="C2725" s="124" t="s">
        <v>468</v>
      </c>
      <c r="D2725" s="12">
        <v>25000000</v>
      </c>
      <c r="E2725" s="82">
        <v>0.9767193542</v>
      </c>
      <c r="F2725" s="14">
        <v>24417983.859999999</v>
      </c>
      <c r="G2725" s="14">
        <v>0.03</v>
      </c>
      <c r="H2725" s="10"/>
      <c r="I2725" s="10"/>
    </row>
    <row r="2726" spans="1:9">
      <c r="A2726" s="10" t="s">
        <v>3833</v>
      </c>
      <c r="B2726" s="124" t="s">
        <v>657</v>
      </c>
      <c r="C2726" s="124" t="s">
        <v>468</v>
      </c>
      <c r="D2726" s="12">
        <v>63000000</v>
      </c>
      <c r="E2726" s="82">
        <v>0.95151204089999997</v>
      </c>
      <c r="F2726" s="14">
        <v>59945258.579999998</v>
      </c>
      <c r="G2726" s="14">
        <v>7.0000000000000007E-2</v>
      </c>
      <c r="H2726" s="10"/>
      <c r="I2726" s="10"/>
    </row>
    <row r="2727" spans="1:9">
      <c r="A2727" s="10" t="s">
        <v>3856</v>
      </c>
      <c r="B2727" s="124" t="s">
        <v>657</v>
      </c>
      <c r="C2727" s="124" t="s">
        <v>474</v>
      </c>
      <c r="D2727" s="12">
        <v>615971020</v>
      </c>
      <c r="E2727" s="82">
        <v>0.94540005380000003</v>
      </c>
      <c r="F2727" s="14">
        <v>582339035.45000005</v>
      </c>
      <c r="G2727" s="14">
        <v>0.71</v>
      </c>
      <c r="H2727" s="10"/>
      <c r="I2727" s="10"/>
    </row>
    <row r="2728" spans="1:9">
      <c r="A2728" s="10" t="s">
        <v>3857</v>
      </c>
      <c r="B2728" s="124" t="s">
        <v>1885</v>
      </c>
      <c r="C2728" s="124" t="s">
        <v>474</v>
      </c>
      <c r="D2728" s="12">
        <v>100000000</v>
      </c>
      <c r="E2728" s="82">
        <v>0.89676643209999995</v>
      </c>
      <c r="F2728" s="14">
        <v>89676643.209999993</v>
      </c>
      <c r="G2728" s="14">
        <v>0.11</v>
      </c>
      <c r="H2728" s="10"/>
      <c r="I2728" s="10"/>
    </row>
    <row r="2729" spans="1:9">
      <c r="A2729" s="10" t="s">
        <v>3858</v>
      </c>
      <c r="B2729" s="124" t="s">
        <v>1446</v>
      </c>
      <c r="C2729" s="124" t="s">
        <v>474</v>
      </c>
      <c r="D2729" s="12">
        <v>300000000</v>
      </c>
      <c r="E2729" s="157">
        <v>0.910769677</v>
      </c>
      <c r="F2729" s="153">
        <v>273230903.10000002</v>
      </c>
      <c r="G2729" s="14">
        <v>0.33</v>
      </c>
      <c r="H2729" s="10"/>
      <c r="I2729" s="10"/>
    </row>
    <row r="2730" spans="1:9">
      <c r="A2730" s="10" t="s">
        <v>3859</v>
      </c>
      <c r="B2730" s="124" t="s">
        <v>283</v>
      </c>
      <c r="C2730" s="124" t="s">
        <v>474</v>
      </c>
      <c r="D2730" s="12">
        <v>100000000</v>
      </c>
      <c r="E2730" s="82">
        <v>0.93155040280000001</v>
      </c>
      <c r="F2730" s="14">
        <v>93155040.280000001</v>
      </c>
      <c r="G2730" s="14">
        <v>0.11</v>
      </c>
      <c r="H2730" s="10"/>
      <c r="I2730" s="10"/>
    </row>
    <row r="2731" spans="1:9">
      <c r="A2731" s="10" t="s">
        <v>3860</v>
      </c>
      <c r="B2731" s="124" t="s">
        <v>267</v>
      </c>
      <c r="C2731" s="124" t="s">
        <v>474</v>
      </c>
      <c r="D2731" s="14">
        <v>19375412.52</v>
      </c>
      <c r="E2731" s="82">
        <v>0.96986790229999997</v>
      </c>
      <c r="F2731" s="153">
        <v>18791590.699999999</v>
      </c>
      <c r="G2731" s="14">
        <v>0.02</v>
      </c>
      <c r="H2731" s="10"/>
      <c r="I2731" s="10"/>
    </row>
    <row r="2732" spans="1:9">
      <c r="A2732" s="10" t="s">
        <v>3861</v>
      </c>
      <c r="B2732" s="124" t="s">
        <v>559</v>
      </c>
      <c r="C2732" s="124" t="s">
        <v>474</v>
      </c>
      <c r="D2732" s="14">
        <v>19375412.52</v>
      </c>
      <c r="E2732" s="82">
        <v>0.97970815570000003</v>
      </c>
      <c r="F2732" s="14">
        <v>18982249.670000002</v>
      </c>
      <c r="G2732" s="14">
        <v>0.02</v>
      </c>
      <c r="H2732" s="10"/>
      <c r="I2732" s="10"/>
    </row>
    <row r="2733" spans="1:9">
      <c r="A2733" s="10" t="s">
        <v>3862</v>
      </c>
      <c r="B2733" s="124" t="s">
        <v>682</v>
      </c>
      <c r="C2733" s="124" t="s">
        <v>474</v>
      </c>
      <c r="D2733" s="12">
        <v>9000000</v>
      </c>
      <c r="E2733" s="82">
        <v>0.97203751559999996</v>
      </c>
      <c r="F2733" s="14">
        <v>8748337.6400000006</v>
      </c>
      <c r="G2733" s="14">
        <v>0.01</v>
      </c>
      <c r="H2733" s="10"/>
      <c r="I2733" s="10"/>
    </row>
    <row r="2734" spans="1:9">
      <c r="A2734" s="10" t="s">
        <v>3863</v>
      </c>
      <c r="B2734" s="124" t="s">
        <v>810</v>
      </c>
      <c r="C2734" s="124" t="s">
        <v>474</v>
      </c>
      <c r="D2734" s="12">
        <v>8000000</v>
      </c>
      <c r="E2734" s="82">
        <v>0.97359306779999999</v>
      </c>
      <c r="F2734" s="14">
        <v>7788744.54</v>
      </c>
      <c r="G2734" s="14">
        <v>0.01</v>
      </c>
      <c r="H2734" s="10"/>
      <c r="I2734" s="10"/>
    </row>
    <row r="2735" spans="1:9">
      <c r="A2735" s="10" t="s">
        <v>3864</v>
      </c>
      <c r="B2735" s="124" t="s">
        <v>645</v>
      </c>
      <c r="C2735" s="124" t="s">
        <v>474</v>
      </c>
      <c r="D2735" s="12">
        <v>8000000</v>
      </c>
      <c r="E2735" s="82">
        <v>0.97281453510000004</v>
      </c>
      <c r="F2735" s="14">
        <v>7782516.2800000003</v>
      </c>
      <c r="G2735" s="14">
        <v>0.01</v>
      </c>
      <c r="H2735" s="10"/>
      <c r="I2735" s="10"/>
    </row>
    <row r="2736" spans="1:9">
      <c r="A2736" s="10" t="s">
        <v>3865</v>
      </c>
      <c r="B2736" s="124" t="s">
        <v>463</v>
      </c>
      <c r="C2736" s="124" t="s">
        <v>474</v>
      </c>
      <c r="D2736" s="14">
        <v>1043946.75</v>
      </c>
      <c r="E2736" s="82">
        <v>0.98977704550000001</v>
      </c>
      <c r="F2736" s="14">
        <v>1033274.53</v>
      </c>
      <c r="G2736" s="12">
        <v>0</v>
      </c>
      <c r="H2736" s="10"/>
      <c r="I2736" s="10"/>
    </row>
    <row r="2737" spans="1:9">
      <c r="A2737" s="10" t="s">
        <v>3866</v>
      </c>
      <c r="B2737" s="124" t="s">
        <v>762</v>
      </c>
      <c r="C2737" s="124" t="s">
        <v>474</v>
      </c>
      <c r="D2737" s="14">
        <v>3388903.56</v>
      </c>
      <c r="E2737" s="82">
        <v>0.95377478410000005</v>
      </c>
      <c r="F2737" s="14">
        <v>3232250.76</v>
      </c>
      <c r="G2737" s="12">
        <v>0</v>
      </c>
      <c r="H2737" s="10"/>
      <c r="I2737" s="10"/>
    </row>
    <row r="2738" spans="1:9">
      <c r="A2738" s="10" t="s">
        <v>3867</v>
      </c>
      <c r="B2738" s="124" t="s">
        <v>559</v>
      </c>
      <c r="C2738" s="124" t="s">
        <v>474</v>
      </c>
      <c r="D2738" s="14">
        <v>3388903.56</v>
      </c>
      <c r="E2738" s="157">
        <v>0.97823776399999995</v>
      </c>
      <c r="F2738" s="14">
        <v>3315153.44</v>
      </c>
      <c r="G2738" s="12">
        <v>0</v>
      </c>
      <c r="H2738" s="10"/>
      <c r="I2738" s="10"/>
    </row>
    <row r="2739" spans="1:9">
      <c r="A2739" s="10" t="s">
        <v>3868</v>
      </c>
      <c r="B2739" s="124" t="s">
        <v>746</v>
      </c>
      <c r="C2739" s="124" t="s">
        <v>474</v>
      </c>
      <c r="D2739" s="14">
        <v>3388903.56</v>
      </c>
      <c r="E2739" s="82">
        <v>0.98822263619999995</v>
      </c>
      <c r="F2739" s="14">
        <v>3348991.21</v>
      </c>
      <c r="G2739" s="12">
        <v>0</v>
      </c>
      <c r="H2739" s="10"/>
      <c r="I2739" s="10"/>
    </row>
    <row r="2740" spans="1:9">
      <c r="A2740" s="10" t="s">
        <v>3869</v>
      </c>
      <c r="B2740" s="124" t="s">
        <v>746</v>
      </c>
      <c r="C2740" s="124" t="s">
        <v>474</v>
      </c>
      <c r="D2740" s="12">
        <v>100000000</v>
      </c>
      <c r="E2740" s="82">
        <v>0.98902595680000005</v>
      </c>
      <c r="F2740" s="14">
        <v>98902595.680000007</v>
      </c>
      <c r="G2740" s="14">
        <v>0.12</v>
      </c>
      <c r="H2740" s="10"/>
      <c r="I2740" s="10"/>
    </row>
    <row r="2741" spans="1:9">
      <c r="A2741" s="10" t="s">
        <v>3870</v>
      </c>
      <c r="B2741" s="124" t="s">
        <v>616</v>
      </c>
      <c r="C2741" s="124" t="s">
        <v>474</v>
      </c>
      <c r="D2741" s="12">
        <v>22000000</v>
      </c>
      <c r="E2741" s="82">
        <v>0.91329932150000004</v>
      </c>
      <c r="F2741" s="14">
        <v>20092585.07</v>
      </c>
      <c r="G2741" s="14">
        <v>0.02</v>
      </c>
      <c r="H2741" s="10"/>
      <c r="I2741" s="10"/>
    </row>
    <row r="2742" spans="1:9">
      <c r="A2742" s="10" t="s">
        <v>3871</v>
      </c>
      <c r="B2742" s="124" t="s">
        <v>657</v>
      </c>
      <c r="C2742" s="124" t="s">
        <v>474</v>
      </c>
      <c r="D2742" s="14">
        <v>361280.85</v>
      </c>
      <c r="E2742" s="82">
        <v>0.94540006740000004</v>
      </c>
      <c r="F2742" s="14">
        <v>341554.94</v>
      </c>
      <c r="G2742" s="12">
        <v>0</v>
      </c>
      <c r="H2742" s="10"/>
      <c r="I2742" s="10"/>
    </row>
    <row r="2743" spans="1:9">
      <c r="A2743" s="10" t="s">
        <v>3872</v>
      </c>
      <c r="B2743" s="124" t="s">
        <v>1781</v>
      </c>
      <c r="C2743" s="124" t="s">
        <v>474</v>
      </c>
      <c r="D2743" s="153">
        <v>242300.7</v>
      </c>
      <c r="E2743" s="82">
        <v>0.93878610289999997</v>
      </c>
      <c r="F2743" s="14">
        <v>227468.53</v>
      </c>
      <c r="G2743" s="12">
        <v>0</v>
      </c>
      <c r="H2743" s="10"/>
      <c r="I2743" s="10"/>
    </row>
    <row r="2744" spans="1:9">
      <c r="A2744" s="10" t="s">
        <v>3873</v>
      </c>
      <c r="B2744" s="124" t="s">
        <v>283</v>
      </c>
      <c r="C2744" s="124" t="s">
        <v>474</v>
      </c>
      <c r="D2744" s="14">
        <v>361280.85</v>
      </c>
      <c r="E2744" s="82">
        <v>0.92264937349999998</v>
      </c>
      <c r="F2744" s="14">
        <v>333335.55</v>
      </c>
      <c r="G2744" s="12">
        <v>0</v>
      </c>
      <c r="H2744" s="10"/>
      <c r="I2744" s="10"/>
    </row>
    <row r="2745" spans="1:9">
      <c r="A2745" s="10" t="s">
        <v>3874</v>
      </c>
      <c r="B2745" s="124" t="s">
        <v>746</v>
      </c>
      <c r="C2745" s="124" t="s">
        <v>474</v>
      </c>
      <c r="D2745" s="12">
        <v>700000</v>
      </c>
      <c r="E2745" s="82">
        <v>0.98622004289999998</v>
      </c>
      <c r="F2745" s="14">
        <v>690354.03</v>
      </c>
      <c r="G2745" s="12">
        <v>0</v>
      </c>
      <c r="H2745" s="10"/>
      <c r="I2745" s="10"/>
    </row>
    <row r="2746" spans="1:9">
      <c r="A2746" s="10" t="s">
        <v>3875</v>
      </c>
      <c r="B2746" s="124" t="s">
        <v>746</v>
      </c>
      <c r="C2746" s="124" t="s">
        <v>474</v>
      </c>
      <c r="D2746" s="12">
        <v>300000</v>
      </c>
      <c r="E2746" s="82">
        <v>0.98622003329999997</v>
      </c>
      <c r="F2746" s="14">
        <v>295866.01</v>
      </c>
      <c r="G2746" s="12">
        <v>0</v>
      </c>
      <c r="H2746" s="10"/>
      <c r="I2746" s="10"/>
    </row>
    <row r="2747" spans="1:9">
      <c r="A2747" s="10" t="s">
        <v>3876</v>
      </c>
      <c r="B2747" s="124" t="s">
        <v>283</v>
      </c>
      <c r="C2747" s="124" t="s">
        <v>474</v>
      </c>
      <c r="D2747" s="12">
        <v>2950000</v>
      </c>
      <c r="E2747" s="157">
        <v>0.93326534500000002</v>
      </c>
      <c r="F2747" s="14">
        <v>2753132.77</v>
      </c>
      <c r="G2747" s="12">
        <v>0</v>
      </c>
      <c r="H2747" s="10"/>
      <c r="I2747" s="10"/>
    </row>
    <row r="2748" spans="1:9">
      <c r="A2748" s="10" t="s">
        <v>3877</v>
      </c>
      <c r="B2748" s="124" t="s">
        <v>655</v>
      </c>
      <c r="C2748" s="124" t="s">
        <v>474</v>
      </c>
      <c r="D2748" s="12">
        <v>50000000</v>
      </c>
      <c r="E2748" s="82">
        <v>0.9368585706</v>
      </c>
      <c r="F2748" s="14">
        <v>46842928.530000001</v>
      </c>
      <c r="G2748" s="14">
        <v>0.06</v>
      </c>
      <c r="H2748" s="10"/>
      <c r="I2748" s="10"/>
    </row>
    <row r="2749" spans="1:9">
      <c r="A2749" s="10" t="s">
        <v>3878</v>
      </c>
      <c r="B2749" s="124" t="s">
        <v>618</v>
      </c>
      <c r="C2749" s="124" t="s">
        <v>474</v>
      </c>
      <c r="D2749" s="12">
        <v>50000000</v>
      </c>
      <c r="E2749" s="82">
        <v>0.94193571909999996</v>
      </c>
      <c r="F2749" s="14">
        <v>47096785.960000001</v>
      </c>
      <c r="G2749" s="14">
        <v>0.06</v>
      </c>
      <c r="H2749" s="10"/>
      <c r="I2749" s="10"/>
    </row>
    <row r="2750" spans="1:9">
      <c r="A2750" s="10" t="s">
        <v>3879</v>
      </c>
      <c r="B2750" s="124" t="s">
        <v>810</v>
      </c>
      <c r="C2750" s="124" t="s">
        <v>474</v>
      </c>
      <c r="D2750" s="12">
        <v>70000000</v>
      </c>
      <c r="E2750" s="82">
        <v>0.97102887859999998</v>
      </c>
      <c r="F2750" s="153">
        <v>67972021.5</v>
      </c>
      <c r="G2750" s="14">
        <v>0.08</v>
      </c>
      <c r="H2750" s="10"/>
      <c r="I2750" s="10"/>
    </row>
    <row r="2751" spans="1:9">
      <c r="A2751" s="10" t="s">
        <v>3880</v>
      </c>
      <c r="B2751" s="124" t="s">
        <v>810</v>
      </c>
      <c r="C2751" s="124" t="s">
        <v>474</v>
      </c>
      <c r="D2751" s="12">
        <v>5700000</v>
      </c>
      <c r="E2751" s="82">
        <v>0.97102888030000001</v>
      </c>
      <c r="F2751" s="14">
        <v>5534864.6200000001</v>
      </c>
      <c r="G2751" s="14">
        <v>0.01</v>
      </c>
      <c r="H2751" s="10"/>
      <c r="I2751" s="10"/>
    </row>
    <row r="2752" spans="1:9">
      <c r="A2752" s="10" t="s">
        <v>3881</v>
      </c>
      <c r="B2752" s="124" t="s">
        <v>3882</v>
      </c>
      <c r="C2752" s="124" t="s">
        <v>474</v>
      </c>
      <c r="D2752" s="12">
        <v>6600000</v>
      </c>
      <c r="E2752" s="82">
        <v>0.75650821479999997</v>
      </c>
      <c r="F2752" s="14">
        <v>4992954.22</v>
      </c>
      <c r="G2752" s="14">
        <v>0.01</v>
      </c>
      <c r="H2752" s="10"/>
      <c r="I2752" s="10"/>
    </row>
    <row r="2753" spans="1:9">
      <c r="A2753" s="10" t="s">
        <v>3883</v>
      </c>
      <c r="B2753" s="124" t="s">
        <v>3884</v>
      </c>
      <c r="C2753" s="124" t="s">
        <v>474</v>
      </c>
      <c r="D2753" s="12">
        <v>6600000</v>
      </c>
      <c r="E2753" s="82">
        <v>0.77235602989999996</v>
      </c>
      <c r="F2753" s="153">
        <v>5097549.8</v>
      </c>
      <c r="G2753" s="14">
        <v>0.01</v>
      </c>
      <c r="H2753" s="10"/>
      <c r="I2753" s="10"/>
    </row>
    <row r="2754" spans="1:9">
      <c r="A2754" s="10" t="s">
        <v>3885</v>
      </c>
      <c r="B2754" s="124" t="s">
        <v>513</v>
      </c>
      <c r="C2754" s="124" t="s">
        <v>474</v>
      </c>
      <c r="D2754" s="12">
        <v>60000000</v>
      </c>
      <c r="E2754" s="82">
        <v>0.98686001590000005</v>
      </c>
      <c r="F2754" s="14">
        <v>59211600.950000003</v>
      </c>
      <c r="G2754" s="14">
        <v>7.0000000000000007E-2</v>
      </c>
      <c r="H2754" s="10"/>
      <c r="I2754" s="10"/>
    </row>
    <row r="2755" spans="1:9">
      <c r="A2755" s="10" t="s">
        <v>3886</v>
      </c>
      <c r="B2755" s="124" t="s">
        <v>419</v>
      </c>
      <c r="C2755" s="124" t="s">
        <v>474</v>
      </c>
      <c r="D2755" s="12">
        <v>11000000</v>
      </c>
      <c r="E2755" s="82">
        <v>0.97437271910000001</v>
      </c>
      <c r="F2755" s="14">
        <v>10718099.91</v>
      </c>
      <c r="G2755" s="14">
        <v>0.01</v>
      </c>
      <c r="H2755" s="10"/>
      <c r="I2755" s="10"/>
    </row>
    <row r="2756" spans="1:9">
      <c r="A2756" s="10" t="s">
        <v>3887</v>
      </c>
      <c r="B2756" s="124" t="s">
        <v>614</v>
      </c>
      <c r="C2756" s="124" t="s">
        <v>474</v>
      </c>
      <c r="D2756" s="12">
        <v>11000000</v>
      </c>
      <c r="E2756" s="82">
        <v>0.9733334709</v>
      </c>
      <c r="F2756" s="14">
        <v>10706668.18</v>
      </c>
      <c r="G2756" s="14">
        <v>0.01</v>
      </c>
      <c r="H2756" s="10"/>
      <c r="I2756" s="10"/>
    </row>
    <row r="2757" spans="1:9">
      <c r="A2757" s="10" t="s">
        <v>3888</v>
      </c>
      <c r="B2757" s="124" t="s">
        <v>573</v>
      </c>
      <c r="C2757" s="124" t="s">
        <v>474</v>
      </c>
      <c r="D2757" s="12">
        <v>11000000</v>
      </c>
      <c r="E2757" s="82">
        <v>0.97126142920000003</v>
      </c>
      <c r="F2757" s="14">
        <v>10683875.720000001</v>
      </c>
      <c r="G2757" s="14">
        <v>0.01</v>
      </c>
      <c r="H2757" s="10"/>
      <c r="I2757" s="10"/>
    </row>
    <row r="2758" spans="1:9">
      <c r="A2758" s="10" t="s">
        <v>3889</v>
      </c>
      <c r="B2758" s="124" t="s">
        <v>255</v>
      </c>
      <c r="C2758" s="124" t="s">
        <v>474</v>
      </c>
      <c r="D2758" s="12">
        <v>1139000</v>
      </c>
      <c r="E2758" s="82">
        <v>0.96002115860000004</v>
      </c>
      <c r="F2758" s="153">
        <v>1093464.1000000001</v>
      </c>
      <c r="G2758" s="12">
        <v>0</v>
      </c>
      <c r="H2758" s="10"/>
      <c r="I2758" s="10"/>
    </row>
    <row r="2759" spans="1:9">
      <c r="A2759" s="10" t="s">
        <v>3895</v>
      </c>
      <c r="B2759" s="124" t="s">
        <v>1007</v>
      </c>
      <c r="C2759" s="124" t="s">
        <v>469</v>
      </c>
      <c r="D2759" s="12">
        <v>100000000</v>
      </c>
      <c r="E2759" s="82">
        <v>0.90683241640000001</v>
      </c>
      <c r="F2759" s="14">
        <v>90683241.640000001</v>
      </c>
      <c r="G2759" s="14">
        <v>0.11</v>
      </c>
      <c r="H2759" s="10"/>
      <c r="I2759" s="10"/>
    </row>
    <row r="2760" spans="1:9">
      <c r="A2760" s="10" t="s">
        <v>3896</v>
      </c>
      <c r="B2760" s="124" t="s">
        <v>1007</v>
      </c>
      <c r="C2760" s="124" t="s">
        <v>469</v>
      </c>
      <c r="D2760" s="12">
        <v>100000000</v>
      </c>
      <c r="E2760" s="82">
        <v>0.90683241640000001</v>
      </c>
      <c r="F2760" s="14">
        <v>90683241.640000001</v>
      </c>
      <c r="G2760" s="14">
        <v>0.11</v>
      </c>
      <c r="H2760" s="10"/>
      <c r="I2760" s="10"/>
    </row>
    <row r="2761" spans="1:9">
      <c r="A2761" s="10" t="s">
        <v>3897</v>
      </c>
      <c r="B2761" s="124" t="s">
        <v>992</v>
      </c>
      <c r="C2761" s="124" t="s">
        <v>469</v>
      </c>
      <c r="D2761" s="12">
        <v>100000000</v>
      </c>
      <c r="E2761" s="82">
        <v>0.92616091160000003</v>
      </c>
      <c r="F2761" s="14">
        <v>92616091.159999996</v>
      </c>
      <c r="G2761" s="14">
        <v>0.11</v>
      </c>
      <c r="H2761" s="10"/>
      <c r="I2761" s="10"/>
    </row>
    <row r="2762" spans="1:9">
      <c r="A2762" s="10" t="s">
        <v>3898</v>
      </c>
      <c r="B2762" s="124" t="s">
        <v>992</v>
      </c>
      <c r="C2762" s="124" t="s">
        <v>469</v>
      </c>
      <c r="D2762" s="12">
        <v>100000000</v>
      </c>
      <c r="E2762" s="82">
        <v>0.92616091160000003</v>
      </c>
      <c r="F2762" s="14">
        <v>92616091.159999996</v>
      </c>
      <c r="G2762" s="14">
        <v>0.11</v>
      </c>
      <c r="H2762" s="10"/>
      <c r="I2762" s="10"/>
    </row>
    <row r="2763" spans="1:9">
      <c r="A2763" s="10" t="s">
        <v>3899</v>
      </c>
      <c r="B2763" s="124" t="s">
        <v>1007</v>
      </c>
      <c r="C2763" s="124" t="s">
        <v>469</v>
      </c>
      <c r="D2763" s="12">
        <v>100000000</v>
      </c>
      <c r="E2763" s="82">
        <v>0.90683241640000001</v>
      </c>
      <c r="F2763" s="14">
        <v>90683241.640000001</v>
      </c>
      <c r="G2763" s="14">
        <v>0.11</v>
      </c>
      <c r="H2763" s="10"/>
      <c r="I2763" s="10"/>
    </row>
    <row r="2764" spans="1:9">
      <c r="A2764" s="10" t="s">
        <v>3900</v>
      </c>
      <c r="B2764" s="124" t="s">
        <v>636</v>
      </c>
      <c r="C2764" s="124" t="s">
        <v>469</v>
      </c>
      <c r="D2764" s="14">
        <v>11916548.66</v>
      </c>
      <c r="E2764" s="82">
        <v>0.9480275346</v>
      </c>
      <c r="F2764" s="14">
        <v>11297216.25</v>
      </c>
      <c r="G2764" s="14">
        <v>0.01</v>
      </c>
      <c r="H2764" s="10"/>
      <c r="I2764" s="10"/>
    </row>
    <row r="2765" spans="1:9">
      <c r="A2765" s="10" t="s">
        <v>3901</v>
      </c>
      <c r="B2765" s="124" t="s">
        <v>1781</v>
      </c>
      <c r="C2765" s="124" t="s">
        <v>469</v>
      </c>
      <c r="D2765" s="14">
        <v>11916548.66</v>
      </c>
      <c r="E2765" s="82">
        <v>0.94731392260000002</v>
      </c>
      <c r="F2765" s="14">
        <v>11288712.449999999</v>
      </c>
      <c r="G2765" s="14">
        <v>0.01</v>
      </c>
      <c r="H2765" s="10"/>
      <c r="I2765" s="10"/>
    </row>
    <row r="2766" spans="1:9">
      <c r="A2766" s="10" t="s">
        <v>3902</v>
      </c>
      <c r="B2766" s="124" t="s">
        <v>1698</v>
      </c>
      <c r="C2766" s="124" t="s">
        <v>469</v>
      </c>
      <c r="D2766" s="14">
        <v>11916548.66</v>
      </c>
      <c r="E2766" s="157">
        <v>0.94660138199999999</v>
      </c>
      <c r="F2766" s="14">
        <v>11280221.43</v>
      </c>
      <c r="G2766" s="14">
        <v>0.01</v>
      </c>
      <c r="H2766" s="10"/>
      <c r="I2766" s="10"/>
    </row>
    <row r="2767" spans="1:9">
      <c r="A2767" s="10" t="s">
        <v>3903</v>
      </c>
      <c r="B2767" s="124" t="s">
        <v>1497</v>
      </c>
      <c r="C2767" s="124" t="s">
        <v>469</v>
      </c>
      <c r="D2767" s="14">
        <v>11916548.66</v>
      </c>
      <c r="E2767" s="82">
        <v>0.94447043610000003</v>
      </c>
      <c r="F2767" s="14">
        <v>11254827.91</v>
      </c>
      <c r="G2767" s="14">
        <v>0.01</v>
      </c>
      <c r="H2767" s="10"/>
      <c r="I2767" s="10"/>
    </row>
    <row r="2768" spans="1:9">
      <c r="A2768" s="10" t="s">
        <v>3904</v>
      </c>
      <c r="B2768" s="124" t="s">
        <v>618</v>
      </c>
      <c r="C2768" s="124" t="s">
        <v>469</v>
      </c>
      <c r="D2768" s="14">
        <v>11916548.66</v>
      </c>
      <c r="E2768" s="157">
        <v>0.94376216599999996</v>
      </c>
      <c r="F2768" s="14">
        <v>11246387.77</v>
      </c>
      <c r="G2768" s="14">
        <v>0.01</v>
      </c>
      <c r="H2768" s="10"/>
      <c r="I2768" s="10"/>
    </row>
    <row r="2769" spans="1:9">
      <c r="A2769" s="10" t="s">
        <v>3905</v>
      </c>
      <c r="B2769" s="124" t="s">
        <v>255</v>
      </c>
      <c r="C2769" s="124" t="s">
        <v>469</v>
      </c>
      <c r="D2769" s="14">
        <v>11916548.66</v>
      </c>
      <c r="E2769" s="157">
        <v>0.943055211</v>
      </c>
      <c r="F2769" s="14">
        <v>11237963.310000001</v>
      </c>
      <c r="G2769" s="14">
        <v>0.01</v>
      </c>
      <c r="H2769" s="10"/>
      <c r="I2769" s="10"/>
    </row>
    <row r="2770" spans="1:9">
      <c r="A2770" s="10" t="s">
        <v>3906</v>
      </c>
      <c r="B2770" s="124" t="s">
        <v>429</v>
      </c>
      <c r="C2770" s="124" t="s">
        <v>469</v>
      </c>
      <c r="D2770" s="14">
        <v>11916548.66</v>
      </c>
      <c r="E2770" s="82">
        <v>0.94234906070000002</v>
      </c>
      <c r="F2770" s="14">
        <v>11229548.439999999</v>
      </c>
      <c r="G2770" s="14">
        <v>0.01</v>
      </c>
      <c r="H2770" s="10"/>
      <c r="I2770" s="10"/>
    </row>
    <row r="2771" spans="1:9">
      <c r="A2771" s="10" t="s">
        <v>3907</v>
      </c>
      <c r="B2771" s="124" t="s">
        <v>1113</v>
      </c>
      <c r="C2771" s="124" t="s">
        <v>469</v>
      </c>
      <c r="D2771" s="153">
        <v>5046812.3</v>
      </c>
      <c r="E2771" s="82">
        <v>0.92913155970000005</v>
      </c>
      <c r="F2771" s="14">
        <v>4689152.58</v>
      </c>
      <c r="G2771" s="14">
        <v>0.01</v>
      </c>
      <c r="H2771" s="10"/>
      <c r="I2771" s="10"/>
    </row>
    <row r="2772" spans="1:9">
      <c r="A2772" s="10" t="s">
        <v>3908</v>
      </c>
      <c r="B2772" s="124" t="s">
        <v>431</v>
      </c>
      <c r="C2772" s="124" t="s">
        <v>469</v>
      </c>
      <c r="D2772" s="12">
        <v>20000000</v>
      </c>
      <c r="E2772" s="82">
        <v>0.92029974849999996</v>
      </c>
      <c r="F2772" s="14">
        <v>18405994.969999999</v>
      </c>
      <c r="G2772" s="14">
        <v>0.02</v>
      </c>
      <c r="H2772" s="10"/>
      <c r="I2772" s="10"/>
    </row>
    <row r="2773" spans="1:9">
      <c r="A2773" s="10" t="s">
        <v>3909</v>
      </c>
      <c r="B2773" s="124" t="s">
        <v>995</v>
      </c>
      <c r="C2773" s="124" t="s">
        <v>469</v>
      </c>
      <c r="D2773" s="12">
        <v>20000000</v>
      </c>
      <c r="E2773" s="82">
        <v>0.92232290510000003</v>
      </c>
      <c r="F2773" s="153">
        <v>18446458.100000001</v>
      </c>
      <c r="G2773" s="14">
        <v>0.02</v>
      </c>
      <c r="H2773" s="10"/>
      <c r="I2773" s="10"/>
    </row>
    <row r="2774" spans="1:9">
      <c r="A2774" s="10" t="s">
        <v>3910</v>
      </c>
      <c r="B2774" s="124" t="s">
        <v>995</v>
      </c>
      <c r="C2774" s="124" t="s">
        <v>469</v>
      </c>
      <c r="D2774" s="14">
        <v>15191494.890000001</v>
      </c>
      <c r="E2774" s="82">
        <v>0.92232290510000003</v>
      </c>
      <c r="F2774" s="153">
        <v>14011463.699999999</v>
      </c>
      <c r="G2774" s="14">
        <v>0.02</v>
      </c>
      <c r="H2774" s="10"/>
      <c r="I2774" s="10"/>
    </row>
    <row r="2775" spans="1:9">
      <c r="A2775" s="10" t="s">
        <v>3911</v>
      </c>
      <c r="B2775" s="124" t="s">
        <v>616</v>
      </c>
      <c r="C2775" s="124" t="s">
        <v>469</v>
      </c>
      <c r="D2775" s="14">
        <v>4537348.54</v>
      </c>
      <c r="E2775" s="82">
        <v>0.92299935020000001</v>
      </c>
      <c r="F2775" s="14">
        <v>4187969.75</v>
      </c>
      <c r="G2775" s="14">
        <v>0.01</v>
      </c>
      <c r="H2775" s="10"/>
      <c r="I2775" s="10"/>
    </row>
    <row r="2776" spans="1:9">
      <c r="A2776" s="10" t="s">
        <v>3912</v>
      </c>
      <c r="B2776" s="124" t="s">
        <v>616</v>
      </c>
      <c r="C2776" s="124" t="s">
        <v>469</v>
      </c>
      <c r="D2776" s="14">
        <v>5297622.96</v>
      </c>
      <c r="E2776" s="82">
        <v>0.92299935020000001</v>
      </c>
      <c r="F2776" s="14">
        <v>4889702.55</v>
      </c>
      <c r="G2776" s="14">
        <v>0.01</v>
      </c>
      <c r="H2776" s="10"/>
      <c r="I2776" s="10"/>
    </row>
    <row r="2777" spans="1:9">
      <c r="A2777" s="10" t="s">
        <v>3913</v>
      </c>
      <c r="B2777" s="124" t="s">
        <v>630</v>
      </c>
      <c r="C2777" s="124" t="s">
        <v>469</v>
      </c>
      <c r="D2777" s="12">
        <v>4000000</v>
      </c>
      <c r="E2777" s="82">
        <v>0.9236765414</v>
      </c>
      <c r="F2777" s="14">
        <v>3694706.17</v>
      </c>
      <c r="G2777" s="12">
        <v>0</v>
      </c>
      <c r="H2777" s="10"/>
      <c r="I2777" s="10"/>
    </row>
    <row r="2778" spans="1:9">
      <c r="A2778" s="10" t="s">
        <v>3914</v>
      </c>
      <c r="B2778" s="124" t="s">
        <v>630</v>
      </c>
      <c r="C2778" s="124" t="s">
        <v>469</v>
      </c>
      <c r="D2778" s="12">
        <v>5000000</v>
      </c>
      <c r="E2778" s="82">
        <v>0.9236765414</v>
      </c>
      <c r="F2778" s="14">
        <v>4618382.71</v>
      </c>
      <c r="G2778" s="14">
        <v>0.01</v>
      </c>
      <c r="H2778" s="10"/>
      <c r="I2778" s="10"/>
    </row>
    <row r="2779" spans="1:9">
      <c r="A2779" s="10" t="s">
        <v>3915</v>
      </c>
      <c r="B2779" s="124" t="s">
        <v>1525</v>
      </c>
      <c r="C2779" s="124" t="s">
        <v>469</v>
      </c>
      <c r="D2779" s="12">
        <v>5000000</v>
      </c>
      <c r="E2779" s="82">
        <v>0.92707845560000002</v>
      </c>
      <c r="F2779" s="14">
        <v>4635392.28</v>
      </c>
      <c r="G2779" s="14">
        <v>0.01</v>
      </c>
      <c r="H2779" s="10"/>
      <c r="I2779" s="10"/>
    </row>
    <row r="2780" spans="1:9">
      <c r="A2780" s="10" t="s">
        <v>3916</v>
      </c>
      <c r="B2780" s="124" t="s">
        <v>627</v>
      </c>
      <c r="C2780" s="124" t="s">
        <v>469</v>
      </c>
      <c r="D2780" s="14">
        <v>3889452.32</v>
      </c>
      <c r="E2780" s="82">
        <v>0.95449798129999996</v>
      </c>
      <c r="F2780" s="14">
        <v>3712474.39</v>
      </c>
      <c r="G2780" s="12">
        <v>0</v>
      </c>
      <c r="H2780" s="10"/>
      <c r="I2780" s="10"/>
    </row>
    <row r="2781" spans="1:9">
      <c r="A2781" s="10" t="s">
        <v>3917</v>
      </c>
      <c r="B2781" s="124" t="s">
        <v>587</v>
      </c>
      <c r="C2781" s="124" t="s">
        <v>469</v>
      </c>
      <c r="D2781" s="14">
        <v>1956389.88</v>
      </c>
      <c r="E2781" s="82">
        <v>0.95813115709999996</v>
      </c>
      <c r="F2781" s="153">
        <v>1874478.1</v>
      </c>
      <c r="G2781" s="12">
        <v>0</v>
      </c>
      <c r="H2781" s="10"/>
      <c r="I2781" s="10"/>
    </row>
    <row r="2782" spans="1:9">
      <c r="A2782" s="10" t="s">
        <v>3918</v>
      </c>
      <c r="B2782" s="124" t="s">
        <v>461</v>
      </c>
      <c r="C2782" s="124" t="s">
        <v>469</v>
      </c>
      <c r="D2782" s="12">
        <v>1753089</v>
      </c>
      <c r="E2782" s="82">
        <v>0.97899855619999998</v>
      </c>
      <c r="F2782" s="153">
        <v>1716271.6</v>
      </c>
      <c r="G2782" s="12">
        <v>0</v>
      </c>
      <c r="H2782" s="10"/>
      <c r="I2782" s="10"/>
    </row>
    <row r="2783" spans="1:9">
      <c r="A2783" s="10" t="s">
        <v>3919</v>
      </c>
      <c r="B2783" s="124" t="s">
        <v>632</v>
      </c>
      <c r="C2783" s="124" t="s">
        <v>469</v>
      </c>
      <c r="D2783" s="12">
        <v>20000000</v>
      </c>
      <c r="E2783" s="82">
        <v>0.91962725280000002</v>
      </c>
      <c r="F2783" s="14">
        <v>18392545.059999999</v>
      </c>
      <c r="G2783" s="14">
        <v>0.02</v>
      </c>
      <c r="H2783" s="10"/>
      <c r="I2783" s="10"/>
    </row>
    <row r="2784" spans="1:9">
      <c r="A2784" s="10" t="s">
        <v>3920</v>
      </c>
      <c r="B2784" s="124" t="s">
        <v>974</v>
      </c>
      <c r="C2784" s="124" t="s">
        <v>469</v>
      </c>
      <c r="D2784" s="153">
        <v>4130886.2</v>
      </c>
      <c r="E2784" s="82">
        <v>0.93395776269999997</v>
      </c>
      <c r="F2784" s="14">
        <v>3858073.23</v>
      </c>
      <c r="G2784" s="12">
        <v>0</v>
      </c>
      <c r="H2784" s="10"/>
      <c r="I2784" s="10"/>
    </row>
    <row r="2785" spans="1:9">
      <c r="A2785" s="10" t="s">
        <v>3921</v>
      </c>
      <c r="B2785" s="124" t="s">
        <v>1722</v>
      </c>
      <c r="C2785" s="124" t="s">
        <v>469</v>
      </c>
      <c r="D2785" s="12">
        <v>4000000</v>
      </c>
      <c r="E2785" s="157">
        <v>0.93465138800000003</v>
      </c>
      <c r="F2785" s="14">
        <v>3738605.55</v>
      </c>
      <c r="G2785" s="12">
        <v>0</v>
      </c>
      <c r="H2785" s="10"/>
      <c r="I2785" s="10"/>
    </row>
    <row r="2786" spans="1:9">
      <c r="A2786" s="10" t="s">
        <v>3922</v>
      </c>
      <c r="B2786" s="124" t="s">
        <v>931</v>
      </c>
      <c r="C2786" s="124" t="s">
        <v>469</v>
      </c>
      <c r="D2786" s="14">
        <v>3321697.25</v>
      </c>
      <c r="E2786" s="82">
        <v>0.93673820460000001</v>
      </c>
      <c r="F2786" s="14">
        <v>3111560.72</v>
      </c>
      <c r="G2786" s="12">
        <v>0</v>
      </c>
      <c r="H2786" s="10"/>
      <c r="I2786" s="10"/>
    </row>
    <row r="2787" spans="1:9">
      <c r="A2787" s="10" t="s">
        <v>3923</v>
      </c>
      <c r="B2787" s="124" t="s">
        <v>1461</v>
      </c>
      <c r="C2787" s="124" t="s">
        <v>469</v>
      </c>
      <c r="D2787" s="12">
        <v>4000000</v>
      </c>
      <c r="E2787" s="82">
        <v>0.93953525829999995</v>
      </c>
      <c r="F2787" s="14">
        <v>3758141.03</v>
      </c>
      <c r="G2787" s="12">
        <v>0</v>
      </c>
      <c r="H2787" s="10"/>
      <c r="I2787" s="10"/>
    </row>
    <row r="2788" spans="1:9">
      <c r="A2788" s="10" t="s">
        <v>3924</v>
      </c>
      <c r="B2788" s="124" t="s">
        <v>1624</v>
      </c>
      <c r="C2788" s="124" t="s">
        <v>469</v>
      </c>
      <c r="D2788" s="14">
        <v>3472830.99</v>
      </c>
      <c r="E2788" s="82">
        <v>0.94164396709999998</v>
      </c>
      <c r="F2788" s="14">
        <v>3270170.35</v>
      </c>
      <c r="G2788" s="12">
        <v>0</v>
      </c>
      <c r="H2788" s="10"/>
      <c r="I2788" s="10"/>
    </row>
    <row r="2789" spans="1:9">
      <c r="A2789" s="10" t="s">
        <v>3925</v>
      </c>
      <c r="B2789" s="124" t="s">
        <v>1698</v>
      </c>
      <c r="C2789" s="124" t="s">
        <v>469</v>
      </c>
      <c r="D2789" s="14">
        <v>4742693.1900000004</v>
      </c>
      <c r="E2789" s="157">
        <v>0.94660138199999999</v>
      </c>
      <c r="F2789" s="14">
        <v>4489439.93</v>
      </c>
      <c r="G2789" s="14">
        <v>0.01</v>
      </c>
      <c r="H2789" s="10"/>
      <c r="I2789" s="10"/>
    </row>
    <row r="2790" spans="1:9">
      <c r="A2790" s="10" t="s">
        <v>3926</v>
      </c>
      <c r="B2790" s="124" t="s">
        <v>513</v>
      </c>
      <c r="C2790" s="124" t="s">
        <v>469</v>
      </c>
      <c r="D2790" s="12">
        <v>4000000</v>
      </c>
      <c r="E2790" s="82">
        <v>0.98590048740000003</v>
      </c>
      <c r="F2790" s="14">
        <v>3943601.95</v>
      </c>
      <c r="G2790" s="12">
        <v>0</v>
      </c>
      <c r="H2790" s="10"/>
      <c r="I2790" s="10"/>
    </row>
    <row r="2791" spans="1:9">
      <c r="A2791" s="10" t="s">
        <v>3927</v>
      </c>
      <c r="B2791" s="124" t="s">
        <v>1624</v>
      </c>
      <c r="C2791" s="124" t="s">
        <v>469</v>
      </c>
      <c r="D2791" s="14">
        <v>11916548.66</v>
      </c>
      <c r="E2791" s="157">
        <v>0.94164396900000003</v>
      </c>
      <c r="F2791" s="14">
        <v>11221146.18</v>
      </c>
      <c r="G2791" s="14">
        <v>0.01</v>
      </c>
      <c r="H2791" s="10"/>
      <c r="I2791" s="10"/>
    </row>
    <row r="2792" spans="1:9">
      <c r="A2792" s="10" t="s">
        <v>3928</v>
      </c>
      <c r="B2792" s="124" t="s">
        <v>415</v>
      </c>
      <c r="C2792" s="124" t="s">
        <v>469</v>
      </c>
      <c r="D2792" s="12">
        <v>4000000</v>
      </c>
      <c r="E2792" s="82">
        <v>0.98512874490000002</v>
      </c>
      <c r="F2792" s="14">
        <v>3940514.98</v>
      </c>
      <c r="G2792" s="12">
        <v>0</v>
      </c>
      <c r="H2792" s="10"/>
      <c r="I2792" s="10"/>
    </row>
    <row r="2793" spans="1:9">
      <c r="A2793" s="10" t="s">
        <v>3929</v>
      </c>
      <c r="B2793" s="124" t="s">
        <v>1461</v>
      </c>
      <c r="C2793" s="124" t="s">
        <v>469</v>
      </c>
      <c r="D2793" s="14">
        <v>11916548.66</v>
      </c>
      <c r="E2793" s="82">
        <v>0.93953525829999995</v>
      </c>
      <c r="F2793" s="14">
        <v>11196017.619999999</v>
      </c>
      <c r="G2793" s="14">
        <v>0.01</v>
      </c>
      <c r="H2793" s="10"/>
      <c r="I2793" s="10"/>
    </row>
    <row r="2794" spans="1:9">
      <c r="A2794" s="10" t="s">
        <v>3930</v>
      </c>
      <c r="B2794" s="124" t="s">
        <v>670</v>
      </c>
      <c r="C2794" s="124" t="s">
        <v>469</v>
      </c>
      <c r="D2794" s="14">
        <v>3156141.19</v>
      </c>
      <c r="E2794" s="82">
        <v>0.94874197069999999</v>
      </c>
      <c r="F2794" s="14">
        <v>2994363.61</v>
      </c>
      <c r="G2794" s="12">
        <v>0</v>
      </c>
      <c r="H2794" s="10"/>
      <c r="I2794" s="10"/>
    </row>
    <row r="2795" spans="1:9">
      <c r="A2795" s="10" t="s">
        <v>3931</v>
      </c>
      <c r="B2795" s="124" t="s">
        <v>743</v>
      </c>
      <c r="C2795" s="124" t="s">
        <v>469</v>
      </c>
      <c r="D2795" s="14">
        <v>3969642.37</v>
      </c>
      <c r="E2795" s="82">
        <v>0.94945773460000005</v>
      </c>
      <c r="F2795" s="14">
        <v>3769007.65</v>
      </c>
      <c r="G2795" s="12">
        <v>0</v>
      </c>
      <c r="H2795" s="10"/>
      <c r="I2795" s="10"/>
    </row>
    <row r="2796" spans="1:9">
      <c r="A2796" s="10" t="s">
        <v>3932</v>
      </c>
      <c r="B2796" s="124" t="s">
        <v>762</v>
      </c>
      <c r="C2796" s="124" t="s">
        <v>469</v>
      </c>
      <c r="D2796" s="12">
        <v>4000000</v>
      </c>
      <c r="E2796" s="82">
        <v>0.95377459710000001</v>
      </c>
      <c r="F2796" s="14">
        <v>3815098.39</v>
      </c>
      <c r="G2796" s="12">
        <v>0</v>
      </c>
      <c r="H2796" s="10"/>
      <c r="I2796" s="10"/>
    </row>
    <row r="2797" spans="1:9">
      <c r="A2797" s="10" t="s">
        <v>3933</v>
      </c>
      <c r="B2797" s="124" t="s">
        <v>822</v>
      </c>
      <c r="C2797" s="124" t="s">
        <v>469</v>
      </c>
      <c r="D2797" s="14">
        <v>6934251.4900000002</v>
      </c>
      <c r="E2797" s="82">
        <v>0.91828520709999994</v>
      </c>
      <c r="F2797" s="14">
        <v>6367620.5700000003</v>
      </c>
      <c r="G2797" s="14">
        <v>0.01</v>
      </c>
      <c r="H2797" s="10"/>
      <c r="I2797" s="10"/>
    </row>
    <row r="2798" spans="1:9">
      <c r="A2798" s="10" t="s">
        <v>3934</v>
      </c>
      <c r="B2798" s="124" t="s">
        <v>655</v>
      </c>
      <c r="C2798" s="124" t="s">
        <v>469</v>
      </c>
      <c r="D2798" s="14">
        <v>11916548.66</v>
      </c>
      <c r="E2798" s="82">
        <v>0.93883436750000004</v>
      </c>
      <c r="F2798" s="14">
        <v>11187665.42</v>
      </c>
      <c r="G2798" s="14">
        <v>0.01</v>
      </c>
      <c r="H2798" s="10"/>
      <c r="I2798" s="10"/>
    </row>
    <row r="2799" spans="1:9">
      <c r="A2799" s="10" t="s">
        <v>3935</v>
      </c>
      <c r="B2799" s="124" t="s">
        <v>925</v>
      </c>
      <c r="C2799" s="124" t="s">
        <v>469</v>
      </c>
      <c r="D2799" s="14">
        <v>1700854.14</v>
      </c>
      <c r="E2799" s="82">
        <v>0.96474073869999999</v>
      </c>
      <c r="F2799" s="14">
        <v>1640883.28</v>
      </c>
      <c r="G2799" s="12">
        <v>0</v>
      </c>
      <c r="H2799" s="10"/>
      <c r="I2799" s="10"/>
    </row>
    <row r="2800" spans="1:9">
      <c r="A2800" s="10" t="s">
        <v>3936</v>
      </c>
      <c r="B2800" s="124" t="s">
        <v>752</v>
      </c>
      <c r="C2800" s="124" t="s">
        <v>469</v>
      </c>
      <c r="D2800" s="153">
        <v>3305601.4</v>
      </c>
      <c r="E2800" s="82">
        <v>0.96400202089999998</v>
      </c>
      <c r="F2800" s="14">
        <v>3186606.43</v>
      </c>
      <c r="G2800" s="12">
        <v>0</v>
      </c>
      <c r="H2800" s="10"/>
      <c r="I2800" s="10"/>
    </row>
    <row r="2801" spans="1:9">
      <c r="A2801" s="10" t="s">
        <v>3937</v>
      </c>
      <c r="B2801" s="124" t="s">
        <v>419</v>
      </c>
      <c r="C2801" s="124" t="s">
        <v>469</v>
      </c>
      <c r="D2801" s="12">
        <v>4000000</v>
      </c>
      <c r="E2801" s="82">
        <v>0.96326416479999999</v>
      </c>
      <c r="F2801" s="14">
        <v>3853056.66</v>
      </c>
      <c r="G2801" s="12">
        <v>0</v>
      </c>
      <c r="H2801" s="10"/>
      <c r="I2801" s="10"/>
    </row>
    <row r="2802" spans="1:9">
      <c r="A2802" s="10" t="s">
        <v>3938</v>
      </c>
      <c r="B2802" s="124" t="s">
        <v>459</v>
      </c>
      <c r="C2802" s="124" t="s">
        <v>469</v>
      </c>
      <c r="D2802" s="14">
        <v>4490893.1100000003</v>
      </c>
      <c r="E2802" s="82">
        <v>0.98435821150000002</v>
      </c>
      <c r="F2802" s="14">
        <v>4420647.51</v>
      </c>
      <c r="G2802" s="14">
        <v>0.01</v>
      </c>
      <c r="H2802" s="10"/>
      <c r="I2802" s="10"/>
    </row>
    <row r="2803" spans="1:9">
      <c r="A2803" s="10" t="s">
        <v>3939</v>
      </c>
      <c r="B2803" s="124" t="s">
        <v>573</v>
      </c>
      <c r="C2803" s="124" t="s">
        <v>469</v>
      </c>
      <c r="D2803" s="14">
        <v>574138.31000000006</v>
      </c>
      <c r="E2803" s="82">
        <v>0.95886116649999997</v>
      </c>
      <c r="F2803" s="14">
        <v>550518.93000000005</v>
      </c>
      <c r="G2803" s="12">
        <v>0</v>
      </c>
      <c r="H2803" s="10"/>
      <c r="I2803" s="10"/>
    </row>
    <row r="2804" spans="1:9">
      <c r="A2804" s="10" t="s">
        <v>3940</v>
      </c>
      <c r="B2804" s="124" t="s">
        <v>1553</v>
      </c>
      <c r="C2804" s="124" t="s">
        <v>469</v>
      </c>
      <c r="D2804" s="12">
        <v>16500000</v>
      </c>
      <c r="E2804" s="157">
        <v>0.88172790199999995</v>
      </c>
      <c r="F2804" s="14">
        <v>14548510.380000001</v>
      </c>
      <c r="G2804" s="14">
        <v>0.02</v>
      </c>
      <c r="H2804" s="10"/>
      <c r="I2804" s="10"/>
    </row>
    <row r="2805" spans="1:9">
      <c r="A2805" s="10" t="s">
        <v>3941</v>
      </c>
      <c r="B2805" s="124" t="s">
        <v>1007</v>
      </c>
      <c r="C2805" s="124" t="s">
        <v>469</v>
      </c>
      <c r="D2805" s="12">
        <v>16500000</v>
      </c>
      <c r="E2805" s="82">
        <v>0.90123469030000003</v>
      </c>
      <c r="F2805" s="14">
        <v>14870372.390000001</v>
      </c>
      <c r="G2805" s="14">
        <v>0.02</v>
      </c>
      <c r="H2805" s="10"/>
      <c r="I2805" s="10"/>
    </row>
    <row r="2806" spans="1:9">
      <c r="A2806" s="10" t="s">
        <v>3942</v>
      </c>
      <c r="B2806" s="124" t="s">
        <v>3943</v>
      </c>
      <c r="C2806" s="124" t="s">
        <v>469</v>
      </c>
      <c r="D2806" s="12">
        <v>17000000</v>
      </c>
      <c r="E2806" s="82">
        <v>0.86239506269999999</v>
      </c>
      <c r="F2806" s="14">
        <v>14660716.07</v>
      </c>
      <c r="G2806" s="14">
        <v>0.02</v>
      </c>
      <c r="H2806" s="10"/>
      <c r="I2806" s="10"/>
    </row>
    <row r="2807" spans="1:9">
      <c r="A2807" s="10" t="s">
        <v>3944</v>
      </c>
      <c r="B2807" s="124" t="s">
        <v>657</v>
      </c>
      <c r="C2807" s="124" t="s">
        <v>469</v>
      </c>
      <c r="D2807" s="12">
        <v>20000000</v>
      </c>
      <c r="E2807" s="82">
        <v>0.95614834380000002</v>
      </c>
      <c r="F2807" s="14">
        <v>19122966.879999999</v>
      </c>
      <c r="G2807" s="14">
        <v>0.02</v>
      </c>
      <c r="H2807" s="10"/>
      <c r="I2807" s="10"/>
    </row>
    <row r="2808" spans="1:9">
      <c r="A2808" s="10" t="s">
        <v>3945</v>
      </c>
      <c r="B2808" s="124" t="s">
        <v>810</v>
      </c>
      <c r="C2808" s="124" t="s">
        <v>469</v>
      </c>
      <c r="D2808" s="12">
        <v>10000000</v>
      </c>
      <c r="E2808" s="82">
        <v>0.97617090689999997</v>
      </c>
      <c r="F2808" s="14">
        <v>9761709.0700000003</v>
      </c>
      <c r="G2808" s="14">
        <v>0.01</v>
      </c>
      <c r="H2808" s="10"/>
      <c r="I2808" s="10"/>
    </row>
    <row r="2809" spans="1:9">
      <c r="A2809" s="10" t="s">
        <v>3946</v>
      </c>
      <c r="B2809" s="124" t="s">
        <v>810</v>
      </c>
      <c r="C2809" s="124" t="s">
        <v>469</v>
      </c>
      <c r="D2809" s="12">
        <v>20000000</v>
      </c>
      <c r="E2809" s="82">
        <v>0.97617090689999997</v>
      </c>
      <c r="F2809" s="14">
        <v>19523418.140000001</v>
      </c>
      <c r="G2809" s="14">
        <v>0.02</v>
      </c>
      <c r="H2809" s="10"/>
      <c r="I2809" s="10"/>
    </row>
    <row r="2810" spans="1:9">
      <c r="A2810" s="10" t="s">
        <v>3947</v>
      </c>
      <c r="B2810" s="124" t="s">
        <v>1813</v>
      </c>
      <c r="C2810" s="124" t="s">
        <v>469</v>
      </c>
      <c r="D2810" s="12">
        <v>10000000</v>
      </c>
      <c r="E2810" s="82">
        <v>0.93628167289999997</v>
      </c>
      <c r="F2810" s="14">
        <v>9362816.7300000004</v>
      </c>
      <c r="G2810" s="14">
        <v>0.01</v>
      </c>
      <c r="H2810" s="10"/>
      <c r="I2810" s="10"/>
    </row>
    <row r="2811" spans="1:9">
      <c r="A2811" s="10" t="s">
        <v>3948</v>
      </c>
      <c r="B2811" s="124" t="s">
        <v>1813</v>
      </c>
      <c r="C2811" s="124" t="s">
        <v>469</v>
      </c>
      <c r="D2811" s="12">
        <v>20000000</v>
      </c>
      <c r="E2811" s="82">
        <v>0.93628167289999997</v>
      </c>
      <c r="F2811" s="14">
        <v>18725633.460000001</v>
      </c>
      <c r="G2811" s="14">
        <v>0.02</v>
      </c>
      <c r="H2811" s="10"/>
      <c r="I2811" s="10"/>
    </row>
    <row r="2812" spans="1:9">
      <c r="A2812" s="10" t="s">
        <v>3949</v>
      </c>
      <c r="B2812" s="124" t="s">
        <v>1813</v>
      </c>
      <c r="C2812" s="124" t="s">
        <v>469</v>
      </c>
      <c r="D2812" s="12">
        <v>20000000</v>
      </c>
      <c r="E2812" s="82">
        <v>0.93628167289999997</v>
      </c>
      <c r="F2812" s="14">
        <v>18725633.460000001</v>
      </c>
      <c r="G2812" s="14">
        <v>0.02</v>
      </c>
      <c r="H2812" s="10"/>
      <c r="I2812" s="10"/>
    </row>
    <row r="2813" spans="1:9">
      <c r="A2813" s="10" t="s">
        <v>3950</v>
      </c>
      <c r="B2813" s="124" t="s">
        <v>657</v>
      </c>
      <c r="C2813" s="124" t="s">
        <v>469</v>
      </c>
      <c r="D2813" s="12">
        <v>10000000</v>
      </c>
      <c r="E2813" s="82">
        <v>0.95614834380000002</v>
      </c>
      <c r="F2813" s="14">
        <v>9561483.4399999995</v>
      </c>
      <c r="G2813" s="14">
        <v>0.01</v>
      </c>
      <c r="H2813" s="10"/>
      <c r="I2813" s="10"/>
    </row>
    <row r="2814" spans="1:9">
      <c r="A2814" s="10" t="s">
        <v>3951</v>
      </c>
      <c r="B2814" s="124" t="s">
        <v>810</v>
      </c>
      <c r="C2814" s="124" t="s">
        <v>469</v>
      </c>
      <c r="D2814" s="12">
        <v>20000000</v>
      </c>
      <c r="E2814" s="82">
        <v>0.97617090689999997</v>
      </c>
      <c r="F2814" s="14">
        <v>19523418.140000001</v>
      </c>
      <c r="G2814" s="14">
        <v>0.02</v>
      </c>
      <c r="H2814" s="10"/>
      <c r="I2814" s="10"/>
    </row>
    <row r="2815" spans="1:9">
      <c r="A2815" s="10" t="s">
        <v>3952</v>
      </c>
      <c r="B2815" s="124" t="s">
        <v>657</v>
      </c>
      <c r="C2815" s="124" t="s">
        <v>469</v>
      </c>
      <c r="D2815" s="12">
        <v>20000000</v>
      </c>
      <c r="E2815" s="82">
        <v>0.95614834380000002</v>
      </c>
      <c r="F2815" s="14">
        <v>19122966.879999999</v>
      </c>
      <c r="G2815" s="14">
        <v>0.02</v>
      </c>
      <c r="H2815" s="10"/>
      <c r="I2815" s="10"/>
    </row>
    <row r="2816" spans="1:9">
      <c r="A2816" s="10" t="s">
        <v>3953</v>
      </c>
      <c r="B2816" s="124" t="s">
        <v>283</v>
      </c>
      <c r="C2816" s="124" t="s">
        <v>469</v>
      </c>
      <c r="D2816" s="12">
        <v>30000000</v>
      </c>
      <c r="E2816" s="82">
        <v>0.93326516680000005</v>
      </c>
      <c r="F2816" s="12">
        <v>27997955</v>
      </c>
      <c r="G2816" s="14">
        <v>0.03</v>
      </c>
      <c r="H2816" s="10"/>
      <c r="I2816" s="10"/>
    </row>
    <row r="2817" spans="1:9">
      <c r="A2817" s="10" t="s">
        <v>3954</v>
      </c>
      <c r="B2817" s="124" t="s">
        <v>587</v>
      </c>
      <c r="C2817" s="124" t="s">
        <v>469</v>
      </c>
      <c r="D2817" s="12">
        <v>15000000</v>
      </c>
      <c r="E2817" s="82">
        <v>0.95674984890000003</v>
      </c>
      <c r="F2817" s="14">
        <v>14351247.73</v>
      </c>
      <c r="G2817" s="14">
        <v>0.02</v>
      </c>
      <c r="H2817" s="10"/>
      <c r="I2817" s="10"/>
    </row>
    <row r="2818" spans="1:9">
      <c r="A2818" s="10" t="s">
        <v>3955</v>
      </c>
      <c r="B2818" s="124" t="s">
        <v>931</v>
      </c>
      <c r="C2818" s="124" t="s">
        <v>469</v>
      </c>
      <c r="D2818" s="12">
        <v>15000000</v>
      </c>
      <c r="E2818" s="82">
        <v>0.93469921759999997</v>
      </c>
      <c r="F2818" s="14">
        <v>14020488.26</v>
      </c>
      <c r="G2818" s="14">
        <v>0.02</v>
      </c>
      <c r="H2818" s="10"/>
      <c r="I2818" s="10"/>
    </row>
    <row r="2819" spans="1:9">
      <c r="A2819" s="10" t="s">
        <v>3956</v>
      </c>
      <c r="B2819" s="124" t="s">
        <v>2147</v>
      </c>
      <c r="C2819" s="124" t="s">
        <v>469</v>
      </c>
      <c r="D2819" s="12">
        <v>15000000</v>
      </c>
      <c r="E2819" s="82">
        <v>0.9129567113</v>
      </c>
      <c r="F2819" s="14">
        <v>13694350.67</v>
      </c>
      <c r="G2819" s="14">
        <v>0.02</v>
      </c>
      <c r="H2819" s="10"/>
      <c r="I2819" s="10"/>
    </row>
    <row r="2820" spans="1:9">
      <c r="A2820" s="10" t="s">
        <v>3957</v>
      </c>
      <c r="B2820" s="124" t="s">
        <v>925</v>
      </c>
      <c r="C2820" s="124" t="s">
        <v>469</v>
      </c>
      <c r="D2820" s="12">
        <v>15000000</v>
      </c>
      <c r="E2820" s="82">
        <v>0.96356919860000001</v>
      </c>
      <c r="F2820" s="14">
        <v>14453537.98</v>
      </c>
      <c r="G2820" s="14">
        <v>0.02</v>
      </c>
      <c r="H2820" s="10"/>
      <c r="I2820" s="10"/>
    </row>
    <row r="2821" spans="1:9">
      <c r="A2821" s="10" t="s">
        <v>3958</v>
      </c>
      <c r="B2821" s="124" t="s">
        <v>995</v>
      </c>
      <c r="C2821" s="124" t="s">
        <v>469</v>
      </c>
      <c r="D2821" s="12">
        <v>15000000</v>
      </c>
      <c r="E2821" s="157">
        <v>0.91985904299999999</v>
      </c>
      <c r="F2821" s="14">
        <v>13797885.65</v>
      </c>
      <c r="G2821" s="14">
        <v>0.02</v>
      </c>
      <c r="H2821" s="10"/>
      <c r="I2821" s="10"/>
    </row>
    <row r="2822" spans="1:9">
      <c r="A2822" s="10" t="s">
        <v>3959</v>
      </c>
      <c r="B2822" s="124" t="s">
        <v>255</v>
      </c>
      <c r="C2822" s="124" t="s">
        <v>469</v>
      </c>
      <c r="D2822" s="12">
        <v>15000000</v>
      </c>
      <c r="E2822" s="82">
        <v>0.94120704560000001</v>
      </c>
      <c r="F2822" s="14">
        <v>14118105.68</v>
      </c>
      <c r="G2822" s="14">
        <v>0.02</v>
      </c>
      <c r="H2822" s="10"/>
      <c r="I2822" s="10"/>
    </row>
    <row r="2823" spans="1:9">
      <c r="A2823" s="10" t="s">
        <v>3960</v>
      </c>
      <c r="B2823" s="124" t="s">
        <v>1007</v>
      </c>
      <c r="C2823" s="124" t="s">
        <v>469</v>
      </c>
      <c r="D2823" s="12">
        <v>15000000</v>
      </c>
      <c r="E2823" s="82">
        <v>0.90683241640000001</v>
      </c>
      <c r="F2823" s="14">
        <v>13602486.25</v>
      </c>
      <c r="G2823" s="14">
        <v>0.02</v>
      </c>
      <c r="H2823" s="10"/>
      <c r="I2823" s="10"/>
    </row>
    <row r="2824" spans="1:9">
      <c r="A2824" s="10" t="s">
        <v>3961</v>
      </c>
      <c r="B2824" s="124" t="s">
        <v>992</v>
      </c>
      <c r="C2824" s="124" t="s">
        <v>469</v>
      </c>
      <c r="D2824" s="12">
        <v>15000000</v>
      </c>
      <c r="E2824" s="82">
        <v>0.92616091160000003</v>
      </c>
      <c r="F2824" s="14">
        <v>13892413.67</v>
      </c>
      <c r="G2824" s="14">
        <v>0.02</v>
      </c>
      <c r="H2824" s="10"/>
      <c r="I2824" s="10"/>
    </row>
    <row r="2825" spans="1:9">
      <c r="A2825" s="10" t="s">
        <v>3962</v>
      </c>
      <c r="B2825" s="124" t="s">
        <v>670</v>
      </c>
      <c r="C2825" s="124" t="s">
        <v>469</v>
      </c>
      <c r="D2825" s="12">
        <v>15000000</v>
      </c>
      <c r="E2825" s="82">
        <v>0.9470680064</v>
      </c>
      <c r="F2825" s="153">
        <v>14206020.1</v>
      </c>
      <c r="G2825" s="14">
        <v>0.02</v>
      </c>
      <c r="H2825" s="10"/>
      <c r="I2825" s="10"/>
    </row>
    <row r="2826" spans="1:9">
      <c r="A2826" s="10" t="s">
        <v>3963</v>
      </c>
      <c r="B2826" s="124" t="s">
        <v>2565</v>
      </c>
      <c r="C2826" s="124" t="s">
        <v>469</v>
      </c>
      <c r="D2826" s="12">
        <v>15000000</v>
      </c>
      <c r="E2826" s="82">
        <v>0.9081861215</v>
      </c>
      <c r="F2826" s="14">
        <v>13622791.82</v>
      </c>
      <c r="G2826" s="14">
        <v>0.02</v>
      </c>
      <c r="H2826" s="10"/>
      <c r="I2826" s="10"/>
    </row>
    <row r="2827" spans="1:9">
      <c r="A2827" s="10" t="s">
        <v>3964</v>
      </c>
      <c r="B2827" s="124" t="s">
        <v>1698</v>
      </c>
      <c r="C2827" s="124" t="s">
        <v>469</v>
      </c>
      <c r="D2827" s="12">
        <v>6000000</v>
      </c>
      <c r="E2827" s="82">
        <v>0.94140108690000002</v>
      </c>
      <c r="F2827" s="14">
        <v>5648406.5199999996</v>
      </c>
      <c r="G2827" s="14">
        <v>0.01</v>
      </c>
      <c r="H2827" s="10"/>
      <c r="I2827" s="10"/>
    </row>
    <row r="2828" spans="1:9">
      <c r="A2828" s="10" t="s">
        <v>3965</v>
      </c>
      <c r="B2828" s="124" t="s">
        <v>283</v>
      </c>
      <c r="C2828" s="124" t="s">
        <v>469</v>
      </c>
      <c r="D2828" s="14">
        <v>215553.52</v>
      </c>
      <c r="E2828" s="82">
        <v>0.92264914050000002</v>
      </c>
      <c r="F2828" s="14">
        <v>198880.27</v>
      </c>
      <c r="G2828" s="12">
        <v>0</v>
      </c>
      <c r="H2828" s="10"/>
      <c r="I2828" s="10"/>
    </row>
    <row r="2829" spans="1:9">
      <c r="A2829" s="10" t="s">
        <v>3966</v>
      </c>
      <c r="B2829" s="124" t="s">
        <v>657</v>
      </c>
      <c r="C2829" s="124" t="s">
        <v>469</v>
      </c>
      <c r="D2829" s="14">
        <v>215553.52</v>
      </c>
      <c r="E2829" s="82">
        <v>0.94540010230000004</v>
      </c>
      <c r="F2829" s="14">
        <v>203784.32000000001</v>
      </c>
      <c r="G2829" s="12">
        <v>0</v>
      </c>
      <c r="H2829" s="10"/>
      <c r="I2829" s="10"/>
    </row>
    <row r="2830" spans="1:9">
      <c r="A2830" s="10" t="s">
        <v>3967</v>
      </c>
      <c r="B2830" s="124" t="s">
        <v>634</v>
      </c>
      <c r="C2830" s="124" t="s">
        <v>469</v>
      </c>
      <c r="D2830" s="12">
        <v>10000000</v>
      </c>
      <c r="E2830" s="82">
        <v>0.97126154740000004</v>
      </c>
      <c r="F2830" s="14">
        <v>9712615.4700000007</v>
      </c>
      <c r="G2830" s="14">
        <v>0.01</v>
      </c>
      <c r="H2830" s="10"/>
      <c r="I2830" s="10"/>
    </row>
    <row r="2831" spans="1:9">
      <c r="A2831" s="10" t="s">
        <v>3968</v>
      </c>
      <c r="B2831" s="124" t="s">
        <v>552</v>
      </c>
      <c r="C2831" s="124" t="s">
        <v>469</v>
      </c>
      <c r="D2831" s="12">
        <v>10000000</v>
      </c>
      <c r="E2831" s="82">
        <v>0.96740008160000002</v>
      </c>
      <c r="F2831" s="14">
        <v>9674000.8200000003</v>
      </c>
      <c r="G2831" s="14">
        <v>0.01</v>
      </c>
      <c r="H2831" s="10"/>
      <c r="I2831" s="10"/>
    </row>
    <row r="2832" spans="1:9">
      <c r="A2832" s="10" t="s">
        <v>3969</v>
      </c>
      <c r="B2832" s="124" t="s">
        <v>682</v>
      </c>
      <c r="C2832" s="124" t="s">
        <v>469</v>
      </c>
      <c r="D2832" s="12">
        <v>10000000</v>
      </c>
      <c r="E2832" s="82">
        <v>0.97203732170000001</v>
      </c>
      <c r="F2832" s="14">
        <v>9720373.2200000007</v>
      </c>
      <c r="G2832" s="14">
        <v>0.01</v>
      </c>
      <c r="H2832" s="10"/>
      <c r="I2832" s="10"/>
    </row>
    <row r="2833" spans="1:9">
      <c r="A2833" s="10" t="s">
        <v>3970</v>
      </c>
      <c r="B2833" s="124" t="s">
        <v>267</v>
      </c>
      <c r="C2833" s="124" t="s">
        <v>469</v>
      </c>
      <c r="D2833" s="12">
        <v>10000000</v>
      </c>
      <c r="E2833" s="82">
        <v>0.96663141610000003</v>
      </c>
      <c r="F2833" s="14">
        <v>9666314.1600000001</v>
      </c>
      <c r="G2833" s="14">
        <v>0.01</v>
      </c>
      <c r="H2833" s="10"/>
      <c r="I2833" s="10"/>
    </row>
    <row r="2834" spans="1:9">
      <c r="A2834" s="10" t="s">
        <v>3971</v>
      </c>
      <c r="B2834" s="124" t="s">
        <v>283</v>
      </c>
      <c r="C2834" s="124" t="s">
        <v>469</v>
      </c>
      <c r="D2834" s="14">
        <v>19131395.420000002</v>
      </c>
      <c r="E2834" s="82">
        <v>0.92264915940000003</v>
      </c>
      <c r="F2834" s="153">
        <v>17651565.899999999</v>
      </c>
      <c r="G2834" s="14">
        <v>0.02</v>
      </c>
      <c r="H2834" s="10"/>
      <c r="I2834" s="10"/>
    </row>
    <row r="2835" spans="1:9">
      <c r="A2835" s="10" t="s">
        <v>3972</v>
      </c>
      <c r="B2835" s="124" t="s">
        <v>1553</v>
      </c>
      <c r="C2835" s="124" t="s">
        <v>469</v>
      </c>
      <c r="D2835" s="14">
        <v>19131395.420000002</v>
      </c>
      <c r="E2835" s="82">
        <v>0.87525799010000005</v>
      </c>
      <c r="F2835" s="153">
        <v>16744906.699999999</v>
      </c>
      <c r="G2835" s="14">
        <v>0.02</v>
      </c>
      <c r="H2835" s="10"/>
      <c r="I2835" s="10"/>
    </row>
    <row r="2836" spans="1:9">
      <c r="A2836" s="10" t="s">
        <v>3973</v>
      </c>
      <c r="B2836" s="124" t="s">
        <v>657</v>
      </c>
      <c r="C2836" s="124" t="s">
        <v>469</v>
      </c>
      <c r="D2836" s="14">
        <v>19131395.420000002</v>
      </c>
      <c r="E2836" s="82">
        <v>0.94540013879999996</v>
      </c>
      <c r="F2836" s="14">
        <v>18086823.890000001</v>
      </c>
      <c r="G2836" s="14">
        <v>0.02</v>
      </c>
      <c r="H2836" s="10"/>
      <c r="I2836" s="10"/>
    </row>
    <row r="2837" spans="1:9">
      <c r="A2837" s="10" t="s">
        <v>3974</v>
      </c>
      <c r="B2837" s="124" t="s">
        <v>3975</v>
      </c>
      <c r="C2837" s="124" t="s">
        <v>469</v>
      </c>
      <c r="D2837" s="153">
        <v>19131395.399999999</v>
      </c>
      <c r="E2837" s="157">
        <v>0.84627876499999999</v>
      </c>
      <c r="F2837" s="14">
        <v>16190493.67</v>
      </c>
      <c r="G2837" s="14">
        <v>0.02</v>
      </c>
      <c r="H2837" s="10"/>
      <c r="I2837" s="10"/>
    </row>
    <row r="2838" spans="1:9">
      <c r="A2838" s="10" t="s">
        <v>3976</v>
      </c>
      <c r="B2838" s="124" t="s">
        <v>1446</v>
      </c>
      <c r="C2838" s="124" t="s">
        <v>469</v>
      </c>
      <c r="D2838" s="14">
        <v>19131395.420000002</v>
      </c>
      <c r="E2838" s="82">
        <v>0.89945809239999996</v>
      </c>
      <c r="F2838" s="14">
        <v>17207888.43</v>
      </c>
      <c r="G2838" s="14">
        <v>0.02</v>
      </c>
      <c r="H2838" s="10"/>
      <c r="I2838" s="10"/>
    </row>
    <row r="2839" spans="1:9">
      <c r="A2839" s="10" t="s">
        <v>3977</v>
      </c>
      <c r="B2839" s="124" t="s">
        <v>498</v>
      </c>
      <c r="C2839" s="124" t="s">
        <v>469</v>
      </c>
      <c r="D2839" s="14">
        <v>815564.82</v>
      </c>
      <c r="E2839" s="82">
        <v>0.97520599259999996</v>
      </c>
      <c r="F2839" s="153">
        <v>795343.7</v>
      </c>
      <c r="G2839" s="12">
        <v>0</v>
      </c>
      <c r="H2839" s="10"/>
      <c r="I2839" s="10"/>
    </row>
    <row r="2840" spans="1:9">
      <c r="A2840" s="10" t="s">
        <v>3978</v>
      </c>
      <c r="B2840" s="124" t="s">
        <v>587</v>
      </c>
      <c r="C2840" s="124" t="s">
        <v>469</v>
      </c>
      <c r="D2840" s="12">
        <v>3726452</v>
      </c>
      <c r="E2840" s="82">
        <v>0.95813116119999997</v>
      </c>
      <c r="F2840" s="14">
        <v>3570429.78</v>
      </c>
      <c r="G2840" s="12">
        <v>0</v>
      </c>
      <c r="H2840" s="10"/>
      <c r="I2840" s="10"/>
    </row>
    <row r="2841" spans="1:9">
      <c r="A2841" s="10" t="s">
        <v>3979</v>
      </c>
      <c r="B2841" s="124" t="s">
        <v>645</v>
      </c>
      <c r="C2841" s="124" t="s">
        <v>469</v>
      </c>
      <c r="D2841" s="153">
        <v>642421.1</v>
      </c>
      <c r="E2841" s="82">
        <v>0.97369695629999997</v>
      </c>
      <c r="F2841" s="14">
        <v>625523.47</v>
      </c>
      <c r="G2841" s="12">
        <v>0</v>
      </c>
      <c r="H2841" s="10"/>
      <c r="I2841" s="10"/>
    </row>
    <row r="2842" spans="1:9">
      <c r="A2842" s="10" t="s">
        <v>3980</v>
      </c>
      <c r="B2842" s="124" t="s">
        <v>670</v>
      </c>
      <c r="C2842" s="124" t="s">
        <v>469</v>
      </c>
      <c r="D2842" s="153">
        <v>642421.1</v>
      </c>
      <c r="E2842" s="82">
        <v>0.94874197069999999</v>
      </c>
      <c r="F2842" s="14">
        <v>609491.86</v>
      </c>
      <c r="G2842" s="12">
        <v>0</v>
      </c>
      <c r="H2842" s="10"/>
      <c r="I2842" s="10"/>
    </row>
    <row r="2843" spans="1:9">
      <c r="A2843" s="10" t="s">
        <v>3981</v>
      </c>
      <c r="B2843" s="124" t="s">
        <v>661</v>
      </c>
      <c r="C2843" s="124" t="s">
        <v>469</v>
      </c>
      <c r="D2843" s="12">
        <v>1100000</v>
      </c>
      <c r="E2843" s="157">
        <v>0.95959202700000001</v>
      </c>
      <c r="F2843" s="14">
        <v>1055551.23</v>
      </c>
      <c r="G2843" s="12">
        <v>0</v>
      </c>
      <c r="H2843" s="10"/>
      <c r="I2843" s="10"/>
    </row>
    <row r="2844" spans="1:9">
      <c r="A2844" s="10" t="s">
        <v>3982</v>
      </c>
      <c r="B2844" s="124" t="s">
        <v>552</v>
      </c>
      <c r="C2844" s="124" t="s">
        <v>469</v>
      </c>
      <c r="D2844" s="14">
        <v>4212174.99</v>
      </c>
      <c r="E2844" s="82">
        <v>0.96845246210000002</v>
      </c>
      <c r="F2844" s="14">
        <v>4079291.24</v>
      </c>
      <c r="G2844" s="12">
        <v>0</v>
      </c>
      <c r="H2844" s="10"/>
      <c r="I2844" s="10"/>
    </row>
    <row r="2845" spans="1:9">
      <c r="A2845" s="10" t="s">
        <v>3983</v>
      </c>
      <c r="B2845" s="124" t="s">
        <v>573</v>
      </c>
      <c r="C2845" s="124" t="s">
        <v>469</v>
      </c>
      <c r="D2845" s="153">
        <v>1474432.5</v>
      </c>
      <c r="E2845" s="82">
        <v>0.95886116919999997</v>
      </c>
      <c r="F2845" s="14">
        <v>1413776.07</v>
      </c>
      <c r="G2845" s="12">
        <v>0</v>
      </c>
      <c r="H2845" s="10"/>
      <c r="I2845" s="10"/>
    </row>
    <row r="2846" spans="1:9">
      <c r="A2846" s="10" t="s">
        <v>3984</v>
      </c>
      <c r="B2846" s="124" t="s">
        <v>573</v>
      </c>
      <c r="C2846" s="124" t="s">
        <v>469</v>
      </c>
      <c r="D2846" s="14">
        <v>4212174.99</v>
      </c>
      <c r="E2846" s="82">
        <v>0.95886117059999998</v>
      </c>
      <c r="F2846" s="14">
        <v>4038891.04</v>
      </c>
      <c r="G2846" s="12">
        <v>0</v>
      </c>
      <c r="H2846" s="10"/>
      <c r="I2846" s="10"/>
    </row>
    <row r="2847" spans="1:9">
      <c r="A2847" s="10" t="s">
        <v>3985</v>
      </c>
      <c r="B2847" s="124" t="s">
        <v>419</v>
      </c>
      <c r="C2847" s="124" t="s">
        <v>469</v>
      </c>
      <c r="D2847" s="14">
        <v>4796238.45</v>
      </c>
      <c r="E2847" s="82">
        <v>0.9632641636</v>
      </c>
      <c r="F2847" s="14">
        <v>4620044.62</v>
      </c>
      <c r="G2847" s="14">
        <v>0.01</v>
      </c>
      <c r="H2847" s="10"/>
      <c r="I2847" s="10"/>
    </row>
    <row r="2848" spans="1:9">
      <c r="A2848" s="10" t="s">
        <v>3986</v>
      </c>
      <c r="B2848" s="124" t="s">
        <v>667</v>
      </c>
      <c r="C2848" s="124" t="s">
        <v>469</v>
      </c>
      <c r="D2848" s="14">
        <v>588927.54</v>
      </c>
      <c r="E2848" s="82">
        <v>0.96252742790000001</v>
      </c>
      <c r="F2848" s="14">
        <v>566858.91</v>
      </c>
      <c r="G2848" s="12">
        <v>0</v>
      </c>
      <c r="H2848" s="10"/>
      <c r="I2848" s="10"/>
    </row>
    <row r="2849" spans="1:9">
      <c r="A2849" s="10" t="s">
        <v>3987</v>
      </c>
      <c r="B2849" s="124" t="s">
        <v>587</v>
      </c>
      <c r="C2849" s="124" t="s">
        <v>469</v>
      </c>
      <c r="D2849" s="12">
        <v>1691517</v>
      </c>
      <c r="E2849" s="82">
        <v>0.95813116259999997</v>
      </c>
      <c r="F2849" s="14">
        <v>1620695.15</v>
      </c>
      <c r="G2849" s="12">
        <v>0</v>
      </c>
      <c r="H2849" s="10"/>
      <c r="I2849" s="10"/>
    </row>
    <row r="2850" spans="1:9">
      <c r="A2850" s="10" t="s">
        <v>3988</v>
      </c>
      <c r="B2850" s="124" t="s">
        <v>419</v>
      </c>
      <c r="C2850" s="124" t="s">
        <v>469</v>
      </c>
      <c r="D2850" s="14">
        <v>72308420.969999999</v>
      </c>
      <c r="E2850" s="82">
        <v>0.96448593049999998</v>
      </c>
      <c r="F2850" s="14">
        <v>69740454.680000007</v>
      </c>
      <c r="G2850" s="14">
        <v>0.09</v>
      </c>
      <c r="H2850" s="10"/>
      <c r="I2850" s="10"/>
    </row>
    <row r="2851" spans="1:9">
      <c r="A2851" s="10" t="s">
        <v>3989</v>
      </c>
      <c r="B2851" s="124" t="s">
        <v>463</v>
      </c>
      <c r="C2851" s="124" t="s">
        <v>469</v>
      </c>
      <c r="D2851" s="12">
        <v>10000000</v>
      </c>
      <c r="E2851" s="82">
        <v>0.98873122079999998</v>
      </c>
      <c r="F2851" s="14">
        <v>9887312.2100000009</v>
      </c>
      <c r="G2851" s="14">
        <v>0.01</v>
      </c>
      <c r="H2851" s="10"/>
      <c r="I2851" s="10"/>
    </row>
    <row r="2852" spans="1:9">
      <c r="A2852" s="10" t="s">
        <v>3990</v>
      </c>
      <c r="B2852" s="124" t="s">
        <v>616</v>
      </c>
      <c r="C2852" s="124" t="s">
        <v>469</v>
      </c>
      <c r="D2852" s="12">
        <v>10000000</v>
      </c>
      <c r="E2852" s="82">
        <v>0.91570522310000002</v>
      </c>
      <c r="F2852" s="14">
        <v>9157052.2300000004</v>
      </c>
      <c r="G2852" s="14">
        <v>0.01</v>
      </c>
      <c r="H2852" s="10"/>
      <c r="I2852" s="10"/>
    </row>
    <row r="2853" spans="1:9">
      <c r="A2853" s="10" t="s">
        <v>3991</v>
      </c>
      <c r="B2853" s="124" t="s">
        <v>746</v>
      </c>
      <c r="C2853" s="124" t="s">
        <v>469</v>
      </c>
      <c r="D2853" s="12">
        <v>10000000</v>
      </c>
      <c r="E2853" s="157">
        <v>0.98702019100000005</v>
      </c>
      <c r="F2853" s="14">
        <v>9870201.9100000001</v>
      </c>
      <c r="G2853" s="14">
        <v>0.01</v>
      </c>
      <c r="H2853" s="10"/>
      <c r="I2853" s="10"/>
    </row>
    <row r="2854" spans="1:9">
      <c r="A2854" s="10" t="s">
        <v>3992</v>
      </c>
      <c r="B2854" s="124" t="s">
        <v>995</v>
      </c>
      <c r="C2854" s="124" t="s">
        <v>469</v>
      </c>
      <c r="D2854" s="12">
        <v>10000000</v>
      </c>
      <c r="E2854" s="82">
        <v>0.91497060249999995</v>
      </c>
      <c r="F2854" s="14">
        <v>9149706.0299999993</v>
      </c>
      <c r="G2854" s="14">
        <v>0.01</v>
      </c>
      <c r="H2854" s="10"/>
      <c r="I2854" s="10"/>
    </row>
    <row r="2855" spans="1:9">
      <c r="A2855" s="10" t="s">
        <v>3993</v>
      </c>
      <c r="B2855" s="124" t="s">
        <v>3994</v>
      </c>
      <c r="C2855" s="124" t="s">
        <v>469</v>
      </c>
      <c r="D2855" s="14">
        <v>29918092.050000001</v>
      </c>
      <c r="E2855" s="82">
        <v>0.84235305380000003</v>
      </c>
      <c r="F2855" s="153">
        <v>25201596.199999999</v>
      </c>
      <c r="G2855" s="14">
        <v>0.03</v>
      </c>
      <c r="H2855" s="10"/>
      <c r="I2855" s="10"/>
    </row>
    <row r="2856" spans="1:9">
      <c r="A2856" s="10" t="s">
        <v>3995</v>
      </c>
      <c r="B2856" s="124" t="s">
        <v>1572</v>
      </c>
      <c r="C2856" s="124" t="s">
        <v>469</v>
      </c>
      <c r="D2856" s="14">
        <v>29918092.050000001</v>
      </c>
      <c r="E2856" s="82">
        <v>0.84043292520000001</v>
      </c>
      <c r="F2856" s="14">
        <v>25144149.620000001</v>
      </c>
      <c r="G2856" s="14">
        <v>0.03</v>
      </c>
      <c r="H2856" s="10"/>
      <c r="I2856" s="10"/>
    </row>
    <row r="2857" spans="1:9">
      <c r="A2857" s="10" t="s">
        <v>3996</v>
      </c>
      <c r="B2857" s="124" t="s">
        <v>3997</v>
      </c>
      <c r="C2857" s="124" t="s">
        <v>469</v>
      </c>
      <c r="D2857" s="153">
        <v>33537555.399999999</v>
      </c>
      <c r="E2857" s="82">
        <v>0.85538199520000002</v>
      </c>
      <c r="F2857" s="14">
        <v>28687421.050000001</v>
      </c>
      <c r="G2857" s="14">
        <v>0.04</v>
      </c>
      <c r="H2857" s="10"/>
      <c r="I2857" s="10"/>
    </row>
    <row r="2858" spans="1:9">
      <c r="A2858" s="10" t="s">
        <v>3998</v>
      </c>
      <c r="B2858" s="124" t="s">
        <v>3999</v>
      </c>
      <c r="C2858" s="124" t="s">
        <v>469</v>
      </c>
      <c r="D2858" s="14">
        <v>9933029.1600000001</v>
      </c>
      <c r="E2858" s="82">
        <v>0.7997197251</v>
      </c>
      <c r="F2858" s="14">
        <v>7943639.3499999996</v>
      </c>
      <c r="G2858" s="14">
        <v>0.01</v>
      </c>
      <c r="H2858" s="10"/>
      <c r="I2858" s="10"/>
    </row>
    <row r="2859" spans="1:9">
      <c r="A2859" s="10" t="s">
        <v>4000</v>
      </c>
      <c r="B2859" s="124" t="s">
        <v>657</v>
      </c>
      <c r="C2859" s="124" t="s">
        <v>469</v>
      </c>
      <c r="D2859" s="12">
        <v>7360000</v>
      </c>
      <c r="E2859" s="82">
        <v>0.94844631680000002</v>
      </c>
      <c r="F2859" s="14">
        <v>6980564.8899999997</v>
      </c>
      <c r="G2859" s="14">
        <v>0.01</v>
      </c>
      <c r="H2859" s="10"/>
      <c r="I2859" s="10"/>
    </row>
    <row r="2860" spans="1:9">
      <c r="A2860" s="10" t="s">
        <v>4001</v>
      </c>
      <c r="B2860" s="124" t="s">
        <v>2354</v>
      </c>
      <c r="C2860" s="124" t="s">
        <v>469</v>
      </c>
      <c r="D2860" s="12">
        <v>7360000</v>
      </c>
      <c r="E2860" s="82">
        <v>0.93140776940000003</v>
      </c>
      <c r="F2860" s="14">
        <v>6855161.1799999997</v>
      </c>
      <c r="G2860" s="14">
        <v>0.01</v>
      </c>
      <c r="H2860" s="10"/>
      <c r="I2860" s="10"/>
    </row>
    <row r="2861" spans="1:9">
      <c r="A2861" s="10" t="s">
        <v>4002</v>
      </c>
      <c r="B2861" s="124" t="s">
        <v>267</v>
      </c>
      <c r="C2861" s="124" t="s">
        <v>469</v>
      </c>
      <c r="D2861" s="12">
        <v>7360000</v>
      </c>
      <c r="E2861" s="157">
        <v>0.96448584800000003</v>
      </c>
      <c r="F2861" s="14">
        <v>7098615.8399999999</v>
      </c>
      <c r="G2861" s="14">
        <v>0.01</v>
      </c>
      <c r="H2861" s="10"/>
      <c r="I2861" s="10"/>
    </row>
    <row r="2862" spans="1:9">
      <c r="A2862" s="10" t="s">
        <v>4003</v>
      </c>
      <c r="B2862" s="124" t="s">
        <v>657</v>
      </c>
      <c r="C2862" s="124" t="s">
        <v>469</v>
      </c>
      <c r="D2862" s="12">
        <v>5476834</v>
      </c>
      <c r="E2862" s="82">
        <v>0.94844631830000004</v>
      </c>
      <c r="F2862" s="14">
        <v>5194483.04</v>
      </c>
      <c r="G2862" s="14">
        <v>0.01</v>
      </c>
      <c r="H2862" s="10"/>
      <c r="I2862" s="10"/>
    </row>
    <row r="2863" spans="1:9">
      <c r="A2863" s="10" t="s">
        <v>4004</v>
      </c>
      <c r="B2863" s="124" t="s">
        <v>419</v>
      </c>
      <c r="C2863" s="124" t="s">
        <v>469</v>
      </c>
      <c r="D2863" s="12">
        <v>5286601</v>
      </c>
      <c r="E2863" s="82">
        <v>0.95961736819999999</v>
      </c>
      <c r="F2863" s="14">
        <v>5073114.1399999997</v>
      </c>
      <c r="G2863" s="14">
        <v>0.01</v>
      </c>
      <c r="H2863" s="10"/>
      <c r="I2863" s="10"/>
    </row>
    <row r="2864" spans="1:9">
      <c r="A2864" s="10" t="s">
        <v>4005</v>
      </c>
      <c r="B2864" s="124" t="s">
        <v>657</v>
      </c>
      <c r="C2864" s="124" t="s">
        <v>469</v>
      </c>
      <c r="D2864" s="12">
        <v>267500000</v>
      </c>
      <c r="E2864" s="157">
        <v>0.93936610799999998</v>
      </c>
      <c r="F2864" s="14">
        <v>251280433.88999999</v>
      </c>
      <c r="G2864" s="14">
        <v>0.31</v>
      </c>
      <c r="H2864" s="10"/>
      <c r="I2864" s="10"/>
    </row>
    <row r="2865" spans="1:9">
      <c r="A2865" s="10" t="s">
        <v>4006</v>
      </c>
      <c r="B2865" s="124" t="s">
        <v>657</v>
      </c>
      <c r="C2865" s="124" t="s">
        <v>469</v>
      </c>
      <c r="D2865" s="14">
        <v>12701545.390000001</v>
      </c>
      <c r="E2865" s="82">
        <v>0.94540013879999996</v>
      </c>
      <c r="F2865" s="14">
        <v>12008042.77</v>
      </c>
      <c r="G2865" s="14">
        <v>0.01</v>
      </c>
      <c r="H2865" s="10"/>
      <c r="I2865" s="10"/>
    </row>
    <row r="2866" spans="1:9">
      <c r="A2866" s="10" t="s">
        <v>4007</v>
      </c>
      <c r="B2866" s="124" t="s">
        <v>3975</v>
      </c>
      <c r="C2866" s="124" t="s">
        <v>469</v>
      </c>
      <c r="D2866" s="14">
        <v>12701545.390000001</v>
      </c>
      <c r="E2866" s="157">
        <v>0.84627876499999999</v>
      </c>
      <c r="F2866" s="14">
        <v>10749048.15</v>
      </c>
      <c r="G2866" s="14">
        <v>0.01</v>
      </c>
      <c r="H2866" s="10"/>
      <c r="I2866" s="10"/>
    </row>
    <row r="2867" spans="1:9">
      <c r="A2867" s="10" t="s">
        <v>4008</v>
      </c>
      <c r="B2867" s="124" t="s">
        <v>1446</v>
      </c>
      <c r="C2867" s="124" t="s">
        <v>469</v>
      </c>
      <c r="D2867" s="14">
        <v>12701545.390000001</v>
      </c>
      <c r="E2867" s="82">
        <v>0.89945809239999996</v>
      </c>
      <c r="F2867" s="14">
        <v>11424507.789999999</v>
      </c>
      <c r="G2867" s="14">
        <v>0.01</v>
      </c>
      <c r="H2867" s="10"/>
      <c r="I2867" s="10"/>
    </row>
    <row r="2868" spans="1:9">
      <c r="A2868" s="10" t="s">
        <v>4009</v>
      </c>
      <c r="B2868" s="124" t="s">
        <v>283</v>
      </c>
      <c r="C2868" s="124" t="s">
        <v>469</v>
      </c>
      <c r="D2868" s="14">
        <v>12701545.390000001</v>
      </c>
      <c r="E2868" s="82">
        <v>0.92264915940000003</v>
      </c>
      <c r="F2868" s="14">
        <v>11719070.18</v>
      </c>
      <c r="G2868" s="14">
        <v>0.01</v>
      </c>
      <c r="H2868" s="10"/>
      <c r="I2868" s="10"/>
    </row>
    <row r="2869" spans="1:9">
      <c r="A2869" s="10" t="s">
        <v>4010</v>
      </c>
      <c r="B2869" s="124" t="s">
        <v>1553</v>
      </c>
      <c r="C2869" s="124" t="s">
        <v>469</v>
      </c>
      <c r="D2869" s="14">
        <v>12701545.390000001</v>
      </c>
      <c r="E2869" s="82">
        <v>0.87525799010000005</v>
      </c>
      <c r="F2869" s="14">
        <v>11117129.09</v>
      </c>
      <c r="G2869" s="14">
        <v>0.01</v>
      </c>
      <c r="H2869" s="10"/>
      <c r="I2869" s="10"/>
    </row>
    <row r="2870" spans="1:9">
      <c r="A2870" s="10" t="s">
        <v>4011</v>
      </c>
      <c r="B2870" s="124" t="s">
        <v>425</v>
      </c>
      <c r="C2870" s="124" t="s">
        <v>469</v>
      </c>
      <c r="D2870" s="12">
        <v>2000000</v>
      </c>
      <c r="E2870" s="82">
        <v>0.85272422110000001</v>
      </c>
      <c r="F2870" s="14">
        <v>1705448.44</v>
      </c>
      <c r="G2870" s="12">
        <v>0</v>
      </c>
      <c r="H2870" s="10"/>
      <c r="I2870" s="10"/>
    </row>
    <row r="2871" spans="1:9">
      <c r="A2871" s="10" t="s">
        <v>4012</v>
      </c>
      <c r="B2871" s="124" t="s">
        <v>4013</v>
      </c>
      <c r="C2871" s="124" t="s">
        <v>469</v>
      </c>
      <c r="D2871" s="12">
        <v>2000000</v>
      </c>
      <c r="E2871" s="82">
        <v>0.8756358138</v>
      </c>
      <c r="F2871" s="14">
        <v>1751271.63</v>
      </c>
      <c r="G2871" s="12">
        <v>0</v>
      </c>
      <c r="H2871" s="10"/>
      <c r="I2871" s="10"/>
    </row>
    <row r="2872" spans="1:9">
      <c r="A2872" s="10" t="s">
        <v>4014</v>
      </c>
      <c r="B2872" s="124" t="s">
        <v>655</v>
      </c>
      <c r="C2872" s="124" t="s">
        <v>469</v>
      </c>
      <c r="D2872" s="14">
        <v>18040295.57</v>
      </c>
      <c r="E2872" s="82">
        <v>0.94081870469999995</v>
      </c>
      <c r="F2872" s="14">
        <v>16972647.510000002</v>
      </c>
      <c r="G2872" s="14">
        <v>0.02</v>
      </c>
      <c r="H2872" s="10"/>
      <c r="I2872" s="10"/>
    </row>
    <row r="2873" spans="1:9">
      <c r="A2873" s="10" t="s">
        <v>4015</v>
      </c>
      <c r="B2873" s="124" t="s">
        <v>663</v>
      </c>
      <c r="C2873" s="124" t="s">
        <v>469</v>
      </c>
      <c r="D2873" s="153">
        <v>18040295.600000001</v>
      </c>
      <c r="E2873" s="82">
        <v>0.94014036069999996</v>
      </c>
      <c r="F2873" s="14">
        <v>16960410.010000002</v>
      </c>
      <c r="G2873" s="14">
        <v>0.02</v>
      </c>
      <c r="H2873" s="10"/>
      <c r="I2873" s="10"/>
    </row>
    <row r="2874" spans="1:9">
      <c r="A2874" s="10" t="s">
        <v>4016</v>
      </c>
      <c r="B2874" s="124" t="s">
        <v>2354</v>
      </c>
      <c r="C2874" s="124" t="s">
        <v>469</v>
      </c>
      <c r="D2874" s="153">
        <v>18040295.600000001</v>
      </c>
      <c r="E2874" s="82">
        <v>0.93946275059999995</v>
      </c>
      <c r="F2874" s="14">
        <v>16948185.73</v>
      </c>
      <c r="G2874" s="14">
        <v>0.02</v>
      </c>
      <c r="H2874" s="10"/>
      <c r="I2874" s="10"/>
    </row>
    <row r="2875" spans="1:9">
      <c r="A2875" s="10" t="s">
        <v>4017</v>
      </c>
      <c r="B2875" s="124" t="s">
        <v>931</v>
      </c>
      <c r="C2875" s="124" t="s">
        <v>469</v>
      </c>
      <c r="D2875" s="153">
        <v>18040295.600000001</v>
      </c>
      <c r="E2875" s="157">
        <v>0.93878611499999998</v>
      </c>
      <c r="F2875" s="14">
        <v>16935979.02</v>
      </c>
      <c r="G2875" s="14">
        <v>0.02</v>
      </c>
      <c r="H2875" s="10"/>
      <c r="I2875" s="10"/>
    </row>
    <row r="2876" spans="1:9">
      <c r="A2876" s="10" t="s">
        <v>4018</v>
      </c>
      <c r="B2876" s="124" t="s">
        <v>1722</v>
      </c>
      <c r="C2876" s="124" t="s">
        <v>469</v>
      </c>
      <c r="D2876" s="153">
        <v>18040295.600000001</v>
      </c>
      <c r="E2876" s="82">
        <v>0.93676228959999996</v>
      </c>
      <c r="F2876" s="14">
        <v>16899468.609999999</v>
      </c>
      <c r="G2876" s="14">
        <v>0.02</v>
      </c>
      <c r="H2876" s="10"/>
      <c r="I2876" s="10"/>
    </row>
    <row r="2877" spans="1:9">
      <c r="A2877" s="10" t="s">
        <v>4019</v>
      </c>
      <c r="B2877" s="124" t="s">
        <v>974</v>
      </c>
      <c r="C2877" s="124" t="s">
        <v>469</v>
      </c>
      <c r="D2877" s="153">
        <v>18040295.600000001</v>
      </c>
      <c r="E2877" s="82">
        <v>0.93608953760000002</v>
      </c>
      <c r="F2877" s="14">
        <v>16887331.969999999</v>
      </c>
      <c r="G2877" s="14">
        <v>0.02</v>
      </c>
      <c r="H2877" s="10"/>
      <c r="I2877" s="10"/>
    </row>
    <row r="2878" spans="1:9">
      <c r="A2878" s="10" t="s">
        <v>4020</v>
      </c>
      <c r="B2878" s="124" t="s">
        <v>283</v>
      </c>
      <c r="C2878" s="124" t="s">
        <v>469</v>
      </c>
      <c r="D2878" s="153">
        <v>18040295.600000001</v>
      </c>
      <c r="E2878" s="82">
        <v>0.93541775179999997</v>
      </c>
      <c r="F2878" s="14">
        <v>16875212.75</v>
      </c>
      <c r="G2878" s="14">
        <v>0.02</v>
      </c>
      <c r="H2878" s="10"/>
      <c r="I2878" s="10"/>
    </row>
    <row r="2879" spans="1:9">
      <c r="A2879" s="10" t="s">
        <v>4021</v>
      </c>
      <c r="B2879" s="124" t="s">
        <v>573</v>
      </c>
      <c r="C2879" s="124" t="s">
        <v>469</v>
      </c>
      <c r="D2879" s="12">
        <v>20000000</v>
      </c>
      <c r="E2879" s="82">
        <v>0.96158935329999995</v>
      </c>
      <c r="F2879" s="14">
        <v>19231787.07</v>
      </c>
      <c r="G2879" s="14">
        <v>0.02</v>
      </c>
      <c r="H2879" s="10"/>
      <c r="I2879" s="10"/>
    </row>
    <row r="2880" spans="1:9">
      <c r="A2880" s="10" t="s">
        <v>4022</v>
      </c>
      <c r="B2880" s="124" t="s">
        <v>661</v>
      </c>
      <c r="C2880" s="124" t="s">
        <v>469</v>
      </c>
      <c r="D2880" s="12">
        <v>20000000</v>
      </c>
      <c r="E2880" s="82">
        <v>0.96227365180000002</v>
      </c>
      <c r="F2880" s="14">
        <v>19245473.039999999</v>
      </c>
      <c r="G2880" s="14">
        <v>0.02</v>
      </c>
      <c r="H2880" s="10"/>
      <c r="I2880" s="10"/>
    </row>
    <row r="2881" spans="1:9">
      <c r="A2881" s="10" t="s">
        <v>4023</v>
      </c>
      <c r="B2881" s="124" t="s">
        <v>614</v>
      </c>
      <c r="C2881" s="124" t="s">
        <v>469</v>
      </c>
      <c r="D2881" s="12">
        <v>20000000</v>
      </c>
      <c r="E2881" s="82">
        <v>0.9643328994</v>
      </c>
      <c r="F2881" s="14">
        <v>19286657.989999998</v>
      </c>
      <c r="G2881" s="14">
        <v>0.02</v>
      </c>
      <c r="H2881" s="10"/>
      <c r="I2881" s="10"/>
    </row>
    <row r="2882" spans="1:9">
      <c r="A2882" s="10" t="s">
        <v>4024</v>
      </c>
      <c r="B2882" s="124" t="s">
        <v>3855</v>
      </c>
      <c r="C2882" s="124" t="s">
        <v>469</v>
      </c>
      <c r="D2882" s="12">
        <v>50000000</v>
      </c>
      <c r="E2882" s="82">
        <v>0.88240984440000003</v>
      </c>
      <c r="F2882" s="14">
        <v>44120492.219999999</v>
      </c>
      <c r="G2882" s="14">
        <v>0.05</v>
      </c>
      <c r="H2882" s="10"/>
      <c r="I2882" s="10"/>
    </row>
    <row r="2883" spans="1:9">
      <c r="A2883" s="10" t="s">
        <v>4025</v>
      </c>
      <c r="B2883" s="124" t="s">
        <v>1553</v>
      </c>
      <c r="C2883" s="124" t="s">
        <v>469</v>
      </c>
      <c r="D2883" s="12">
        <v>50000000</v>
      </c>
      <c r="E2883" s="157">
        <v>0.88172790199999995</v>
      </c>
      <c r="F2883" s="153">
        <v>44086395.100000001</v>
      </c>
      <c r="G2883" s="14">
        <v>0.05</v>
      </c>
      <c r="H2883" s="10"/>
      <c r="I2883" s="10"/>
    </row>
    <row r="2884" spans="1:9">
      <c r="A2884" s="10" t="s">
        <v>4026</v>
      </c>
      <c r="B2884" s="124" t="s">
        <v>2399</v>
      </c>
      <c r="C2884" s="124" t="s">
        <v>469</v>
      </c>
      <c r="D2884" s="12">
        <v>6000000</v>
      </c>
      <c r="E2884" s="82">
        <v>0.84163447889999998</v>
      </c>
      <c r="F2884" s="14">
        <v>5049806.87</v>
      </c>
      <c r="G2884" s="14">
        <v>0.01</v>
      </c>
      <c r="H2884" s="10"/>
      <c r="I2884" s="10"/>
    </row>
    <row r="2885" spans="1:9">
      <c r="A2885" s="10" t="s">
        <v>4027</v>
      </c>
      <c r="B2885" s="124" t="s">
        <v>1108</v>
      </c>
      <c r="C2885" s="124" t="s">
        <v>469</v>
      </c>
      <c r="D2885" s="12">
        <v>2500000</v>
      </c>
      <c r="E2885" s="82">
        <v>0.91131537090000003</v>
      </c>
      <c r="F2885" s="14">
        <v>2278288.4300000002</v>
      </c>
      <c r="G2885" s="12">
        <v>0</v>
      </c>
      <c r="H2885" s="10"/>
      <c r="I2885" s="10"/>
    </row>
    <row r="2886" spans="1:9">
      <c r="A2886" s="10" t="s">
        <v>4028</v>
      </c>
      <c r="B2886" s="124" t="s">
        <v>1448</v>
      </c>
      <c r="C2886" s="124" t="s">
        <v>469</v>
      </c>
      <c r="D2886" s="12">
        <v>4500000</v>
      </c>
      <c r="E2886" s="158">
        <v>0.90624700000000002</v>
      </c>
      <c r="F2886" s="153">
        <v>4078111.5</v>
      </c>
      <c r="G2886" s="12">
        <v>0</v>
      </c>
      <c r="H2886" s="10"/>
      <c r="I2886" s="10"/>
    </row>
    <row r="2887" spans="1:9">
      <c r="A2887" s="10" t="s">
        <v>4029</v>
      </c>
      <c r="B2887" s="124" t="s">
        <v>3997</v>
      </c>
      <c r="C2887" s="124" t="s">
        <v>469</v>
      </c>
      <c r="D2887" s="12">
        <v>19000000</v>
      </c>
      <c r="E2887" s="82">
        <v>0.85538199520000002</v>
      </c>
      <c r="F2887" s="14">
        <v>16252257.91</v>
      </c>
      <c r="G2887" s="14">
        <v>0.02</v>
      </c>
      <c r="H2887" s="10"/>
      <c r="I2887" s="10"/>
    </row>
    <row r="2888" spans="1:9">
      <c r="A2888" s="10" t="s">
        <v>4030</v>
      </c>
      <c r="B2888" s="124" t="s">
        <v>995</v>
      </c>
      <c r="C2888" s="124" t="s">
        <v>469</v>
      </c>
      <c r="D2888" s="12">
        <v>3000000</v>
      </c>
      <c r="E2888" s="82">
        <v>0.91497060249999995</v>
      </c>
      <c r="F2888" s="14">
        <v>2744911.81</v>
      </c>
      <c r="G2888" s="12">
        <v>0</v>
      </c>
      <c r="H2888" s="10"/>
      <c r="I2888" s="10"/>
    </row>
    <row r="2889" spans="1:9">
      <c r="A2889" s="10" t="s">
        <v>4031</v>
      </c>
      <c r="B2889" s="124" t="s">
        <v>636</v>
      </c>
      <c r="C2889" s="124" t="s">
        <v>469</v>
      </c>
      <c r="D2889" s="12">
        <v>580000000</v>
      </c>
      <c r="E2889" s="82">
        <v>0.93960792530000004</v>
      </c>
      <c r="F2889" s="14">
        <v>544972596.66999996</v>
      </c>
      <c r="G2889" s="14">
        <v>0.67</v>
      </c>
      <c r="H2889" s="10"/>
      <c r="I2889" s="10"/>
    </row>
    <row r="2890" spans="1:9">
      <c r="A2890" s="10" t="s">
        <v>4032</v>
      </c>
      <c r="B2890" s="124" t="s">
        <v>810</v>
      </c>
      <c r="C2890" s="124" t="s">
        <v>469</v>
      </c>
      <c r="D2890" s="12">
        <v>450000</v>
      </c>
      <c r="E2890" s="82">
        <v>0.97445088889999998</v>
      </c>
      <c r="F2890" s="153">
        <v>438502.9</v>
      </c>
      <c r="G2890" s="12">
        <v>0</v>
      </c>
      <c r="H2890" s="10"/>
      <c r="I2890" s="10"/>
    </row>
    <row r="2891" spans="1:9">
      <c r="A2891" s="10" t="s">
        <v>4033</v>
      </c>
      <c r="B2891" s="124" t="s">
        <v>610</v>
      </c>
      <c r="C2891" s="124" t="s">
        <v>469</v>
      </c>
      <c r="D2891" s="12">
        <v>450000</v>
      </c>
      <c r="E2891" s="82">
        <v>0.97747804429999996</v>
      </c>
      <c r="F2891" s="14">
        <v>439865.12</v>
      </c>
      <c r="G2891" s="12">
        <v>0</v>
      </c>
      <c r="H2891" s="10"/>
      <c r="I2891" s="10"/>
    </row>
    <row r="2892" spans="1:9">
      <c r="A2892" s="10" t="s">
        <v>4034</v>
      </c>
      <c r="B2892" s="124" t="s">
        <v>461</v>
      </c>
      <c r="C2892" s="124" t="s">
        <v>469</v>
      </c>
      <c r="D2892" s="12">
        <v>450000</v>
      </c>
      <c r="E2892" s="82">
        <v>0.97899857749999997</v>
      </c>
      <c r="F2892" s="14">
        <v>440549.36</v>
      </c>
      <c r="G2892" s="12">
        <v>0</v>
      </c>
      <c r="H2892" s="10"/>
      <c r="I2892" s="10"/>
    </row>
    <row r="2893" spans="1:9">
      <c r="A2893" s="10" t="s">
        <v>4035</v>
      </c>
      <c r="B2893" s="124" t="s">
        <v>510</v>
      </c>
      <c r="C2893" s="124" t="s">
        <v>469</v>
      </c>
      <c r="D2893" s="14">
        <v>339500.68</v>
      </c>
      <c r="E2893" s="82">
        <v>0.98358913449999996</v>
      </c>
      <c r="F2893" s="14">
        <v>333929.18</v>
      </c>
      <c r="G2893" s="12">
        <v>0</v>
      </c>
      <c r="H2893" s="10"/>
      <c r="I2893" s="10"/>
    </row>
    <row r="2894" spans="1:9">
      <c r="A2894" s="10" t="s">
        <v>4036</v>
      </c>
      <c r="B2894" s="124" t="s">
        <v>614</v>
      </c>
      <c r="C2894" s="124" t="s">
        <v>469</v>
      </c>
      <c r="D2894" s="12">
        <v>450000</v>
      </c>
      <c r="E2894" s="157">
        <v>0.96179184399999995</v>
      </c>
      <c r="F2894" s="14">
        <v>432806.33</v>
      </c>
      <c r="G2894" s="12">
        <v>0</v>
      </c>
      <c r="H2894" s="10"/>
      <c r="I2894" s="10"/>
    </row>
    <row r="2895" spans="1:9">
      <c r="A2895" s="10" t="s">
        <v>4037</v>
      </c>
      <c r="B2895" s="124" t="s">
        <v>419</v>
      </c>
      <c r="C2895" s="124" t="s">
        <v>469</v>
      </c>
      <c r="D2895" s="12">
        <v>450000</v>
      </c>
      <c r="E2895" s="82">
        <v>0.96326415509999996</v>
      </c>
      <c r="F2895" s="14">
        <v>433468.87</v>
      </c>
      <c r="G2895" s="12">
        <v>0</v>
      </c>
      <c r="H2895" s="10"/>
      <c r="I2895" s="10"/>
    </row>
    <row r="2896" spans="1:9">
      <c r="A2896" s="10" t="s">
        <v>4038</v>
      </c>
      <c r="B2896" s="124" t="s">
        <v>925</v>
      </c>
      <c r="C2896" s="124" t="s">
        <v>469</v>
      </c>
      <c r="D2896" s="12">
        <v>450000</v>
      </c>
      <c r="E2896" s="82">
        <v>0.96474073289999995</v>
      </c>
      <c r="F2896" s="14">
        <v>434133.33</v>
      </c>
      <c r="G2896" s="12">
        <v>0</v>
      </c>
      <c r="H2896" s="10"/>
      <c r="I2896" s="10"/>
    </row>
    <row r="2897" spans="1:9">
      <c r="A2897" s="10" t="s">
        <v>4039</v>
      </c>
      <c r="B2897" s="124" t="s">
        <v>556</v>
      </c>
      <c r="C2897" s="124" t="s">
        <v>469</v>
      </c>
      <c r="D2897" s="12">
        <v>450000</v>
      </c>
      <c r="E2897" s="157">
        <v>0.96696451100000003</v>
      </c>
      <c r="F2897" s="14">
        <v>435134.03</v>
      </c>
      <c r="G2897" s="12">
        <v>0</v>
      </c>
      <c r="H2897" s="10"/>
      <c r="I2897" s="10"/>
    </row>
    <row r="2898" spans="1:9">
      <c r="A2898" s="10" t="s">
        <v>4040</v>
      </c>
      <c r="B2898" s="124" t="s">
        <v>552</v>
      </c>
      <c r="C2898" s="124" t="s">
        <v>469</v>
      </c>
      <c r="D2898" s="12">
        <v>450000</v>
      </c>
      <c r="E2898" s="82">
        <v>0.96845246630000004</v>
      </c>
      <c r="F2898" s="14">
        <v>435803.61</v>
      </c>
      <c r="G2898" s="12">
        <v>0</v>
      </c>
      <c r="H2898" s="10"/>
      <c r="I2898" s="10"/>
    </row>
    <row r="2899" spans="1:9">
      <c r="A2899" s="10" t="s">
        <v>4041</v>
      </c>
      <c r="B2899" s="124" t="s">
        <v>682</v>
      </c>
      <c r="C2899" s="124" t="s">
        <v>469</v>
      </c>
      <c r="D2899" s="12">
        <v>450000</v>
      </c>
      <c r="E2899" s="82">
        <v>0.97294420010000005</v>
      </c>
      <c r="F2899" s="14">
        <v>437824.89</v>
      </c>
      <c r="G2899" s="12">
        <v>0</v>
      </c>
      <c r="H2899" s="10"/>
      <c r="I2899" s="10"/>
    </row>
    <row r="2900" spans="1:9">
      <c r="A2900" s="10" t="s">
        <v>4042</v>
      </c>
      <c r="B2900" s="124" t="s">
        <v>741</v>
      </c>
      <c r="C2900" s="124" t="s">
        <v>469</v>
      </c>
      <c r="D2900" s="12">
        <v>5500000</v>
      </c>
      <c r="E2900" s="82">
        <v>0.93041060310000001</v>
      </c>
      <c r="F2900" s="14">
        <v>5117258.32</v>
      </c>
      <c r="G2900" s="14">
        <v>0.01</v>
      </c>
      <c r="H2900" s="10"/>
      <c r="I2900" s="10"/>
    </row>
    <row r="2901" spans="1:9">
      <c r="A2901" s="10" t="s">
        <v>4043</v>
      </c>
      <c r="B2901" s="124" t="s">
        <v>2849</v>
      </c>
      <c r="C2901" s="124" t="s">
        <v>469</v>
      </c>
      <c r="D2901" s="12">
        <v>4412500</v>
      </c>
      <c r="E2901" s="157">
        <v>0.89636557100000003</v>
      </c>
      <c r="F2901" s="14">
        <v>3955213.08</v>
      </c>
      <c r="G2901" s="12">
        <v>0</v>
      </c>
      <c r="H2901" s="10"/>
      <c r="I2901" s="10"/>
    </row>
    <row r="2902" spans="1:9">
      <c r="A2902" s="10" t="s">
        <v>4058</v>
      </c>
      <c r="B2902" s="124" t="s">
        <v>1553</v>
      </c>
      <c r="C2902" s="124" t="s">
        <v>471</v>
      </c>
      <c r="D2902" s="12">
        <v>15000000</v>
      </c>
      <c r="E2902" s="82">
        <v>0.88499868609999999</v>
      </c>
      <c r="F2902" s="14">
        <v>13274980.289999999</v>
      </c>
      <c r="G2902" s="14">
        <v>0.02</v>
      </c>
      <c r="H2902" s="10"/>
      <c r="I2902" s="10"/>
    </row>
    <row r="2903" spans="1:9">
      <c r="A2903" s="10" t="s">
        <v>4059</v>
      </c>
      <c r="B2903" s="124" t="s">
        <v>283</v>
      </c>
      <c r="C2903" s="124" t="s">
        <v>471</v>
      </c>
      <c r="D2903" s="12">
        <v>3000000</v>
      </c>
      <c r="E2903" s="82">
        <v>0.93436181250000006</v>
      </c>
      <c r="F2903" s="14">
        <v>2803085.44</v>
      </c>
      <c r="G2903" s="12">
        <v>0</v>
      </c>
      <c r="H2903" s="10"/>
      <c r="I2903" s="10"/>
    </row>
    <row r="2904" spans="1:9">
      <c r="A2904" s="10" t="s">
        <v>4060</v>
      </c>
      <c r="B2904" s="124" t="s">
        <v>1813</v>
      </c>
      <c r="C2904" s="124" t="s">
        <v>471</v>
      </c>
      <c r="D2904" s="12">
        <v>3000000</v>
      </c>
      <c r="E2904" s="82">
        <v>0.93300102250000005</v>
      </c>
      <c r="F2904" s="14">
        <v>2799003.07</v>
      </c>
      <c r="G2904" s="12">
        <v>0</v>
      </c>
      <c r="H2904" s="10"/>
      <c r="I2904" s="10"/>
    </row>
    <row r="2905" spans="1:9">
      <c r="A2905" s="10" t="s">
        <v>4061</v>
      </c>
      <c r="B2905" s="124" t="s">
        <v>2296</v>
      </c>
      <c r="C2905" s="124" t="s">
        <v>471</v>
      </c>
      <c r="D2905" s="12">
        <v>2500000</v>
      </c>
      <c r="E2905" s="82">
        <v>0.89416965719999997</v>
      </c>
      <c r="F2905" s="14">
        <v>2235424.14</v>
      </c>
      <c r="G2905" s="12">
        <v>0</v>
      </c>
      <c r="H2905" s="10"/>
      <c r="I2905" s="10"/>
    </row>
    <row r="2906" spans="1:9">
      <c r="A2906" s="10" t="s">
        <v>4062</v>
      </c>
      <c r="B2906" s="124" t="s">
        <v>824</v>
      </c>
      <c r="C2906" s="124" t="s">
        <v>471</v>
      </c>
      <c r="D2906" s="12">
        <v>2500000</v>
      </c>
      <c r="E2906" s="157">
        <v>0.89680605099999999</v>
      </c>
      <c r="F2906" s="14">
        <v>2242015.13</v>
      </c>
      <c r="G2906" s="12">
        <v>0</v>
      </c>
      <c r="H2906" s="10"/>
      <c r="I2906" s="10"/>
    </row>
    <row r="2907" spans="1:9">
      <c r="A2907" s="10" t="s">
        <v>4063</v>
      </c>
      <c r="B2907" s="124" t="s">
        <v>2199</v>
      </c>
      <c r="C2907" s="124" t="s">
        <v>471</v>
      </c>
      <c r="D2907" s="12">
        <v>2500000</v>
      </c>
      <c r="E2907" s="82">
        <v>0.88959313129999995</v>
      </c>
      <c r="F2907" s="14">
        <v>2223982.83</v>
      </c>
      <c r="G2907" s="12">
        <v>0</v>
      </c>
      <c r="H2907" s="10"/>
      <c r="I2907" s="10"/>
    </row>
    <row r="2908" spans="1:9">
      <c r="A2908" s="10" t="s">
        <v>4064</v>
      </c>
      <c r="B2908" s="124" t="s">
        <v>1885</v>
      </c>
      <c r="C2908" s="124" t="s">
        <v>471</v>
      </c>
      <c r="D2908" s="12">
        <v>2500000</v>
      </c>
      <c r="E2908" s="82">
        <v>0.89614543739999997</v>
      </c>
      <c r="F2908" s="14">
        <v>2240363.59</v>
      </c>
      <c r="G2908" s="12">
        <v>0</v>
      </c>
      <c r="H2908" s="10"/>
      <c r="I2908" s="10"/>
    </row>
    <row r="2909" spans="1:9">
      <c r="A2909" s="10" t="s">
        <v>4065</v>
      </c>
      <c r="B2909" s="124" t="s">
        <v>267</v>
      </c>
      <c r="C2909" s="124" t="s">
        <v>471</v>
      </c>
      <c r="D2909" s="12">
        <v>11474356</v>
      </c>
      <c r="E2909" s="82">
        <v>0.97095138660000002</v>
      </c>
      <c r="F2909" s="14">
        <v>11141041.869999999</v>
      </c>
      <c r="G2909" s="14">
        <v>0.01</v>
      </c>
      <c r="H2909" s="10"/>
      <c r="I2909" s="10"/>
    </row>
    <row r="2910" spans="1:9">
      <c r="A2910" s="10" t="s">
        <v>4066</v>
      </c>
      <c r="B2910" s="124" t="s">
        <v>556</v>
      </c>
      <c r="C2910" s="124" t="s">
        <v>471</v>
      </c>
      <c r="D2910" s="153">
        <v>1483266.4</v>
      </c>
      <c r="E2910" s="82">
        <v>0.97028024049999995</v>
      </c>
      <c r="F2910" s="14">
        <v>1439184.08</v>
      </c>
      <c r="G2910" s="12">
        <v>0</v>
      </c>
      <c r="H2910" s="10"/>
      <c r="I2910" s="10"/>
    </row>
    <row r="2911" spans="1:9">
      <c r="A2911" s="10" t="s">
        <v>4067</v>
      </c>
      <c r="B2911" s="124" t="s">
        <v>1007</v>
      </c>
      <c r="C2911" s="124" t="s">
        <v>471</v>
      </c>
      <c r="D2911" s="12">
        <v>25000000</v>
      </c>
      <c r="E2911" s="157">
        <v>0.90683248400000005</v>
      </c>
      <c r="F2911" s="153">
        <v>22670812.100000001</v>
      </c>
      <c r="G2911" s="14">
        <v>0.03</v>
      </c>
      <c r="H2911" s="10"/>
      <c r="I2911" s="10"/>
    </row>
    <row r="2912" spans="1:9">
      <c r="A2912" s="10" t="s">
        <v>4068</v>
      </c>
      <c r="B2912" s="124" t="s">
        <v>2333</v>
      </c>
      <c r="C2912" s="124" t="s">
        <v>471</v>
      </c>
      <c r="D2912" s="12">
        <v>20000000</v>
      </c>
      <c r="E2912" s="82">
        <v>0.90279498059999996</v>
      </c>
      <c r="F2912" s="14">
        <v>18055899.609999999</v>
      </c>
      <c r="G2912" s="14">
        <v>0.02</v>
      </c>
      <c r="H2912" s="10"/>
      <c r="I2912" s="10"/>
    </row>
    <row r="2913" spans="1:9">
      <c r="A2913" s="10" t="s">
        <v>4069</v>
      </c>
      <c r="B2913" s="124" t="s">
        <v>1925</v>
      </c>
      <c r="C2913" s="124" t="s">
        <v>471</v>
      </c>
      <c r="D2913" s="12">
        <v>9200000</v>
      </c>
      <c r="E2913" s="82">
        <v>0.89535412759999999</v>
      </c>
      <c r="F2913" s="14">
        <v>8237257.9699999997</v>
      </c>
      <c r="G2913" s="14">
        <v>0.01</v>
      </c>
      <c r="H2913" s="10"/>
      <c r="I2913" s="10"/>
    </row>
    <row r="2914" spans="1:9">
      <c r="A2914" s="10" t="s">
        <v>4070</v>
      </c>
      <c r="B2914" s="124" t="s">
        <v>670</v>
      </c>
      <c r="C2914" s="124" t="s">
        <v>471</v>
      </c>
      <c r="D2914" s="12">
        <v>2092000</v>
      </c>
      <c r="E2914" s="82">
        <v>0.95210776730000002</v>
      </c>
      <c r="F2914" s="14">
        <v>1991809.45</v>
      </c>
      <c r="G2914" s="12">
        <v>0</v>
      </c>
      <c r="H2914" s="10"/>
      <c r="I2914" s="10"/>
    </row>
    <row r="2915" spans="1:9">
      <c r="A2915" s="10" t="s">
        <v>4071</v>
      </c>
      <c r="B2915" s="124" t="s">
        <v>992</v>
      </c>
      <c r="C2915" s="124" t="s">
        <v>471</v>
      </c>
      <c r="D2915" s="12">
        <v>8000000</v>
      </c>
      <c r="E2915" s="82">
        <v>0.93305053530000004</v>
      </c>
      <c r="F2915" s="14">
        <v>7464404.2800000003</v>
      </c>
      <c r="G2915" s="14">
        <v>0.01</v>
      </c>
      <c r="H2915" s="10"/>
      <c r="I2915" s="10"/>
    </row>
    <row r="2916" spans="1:9">
      <c r="A2916" s="10" t="s">
        <v>4072</v>
      </c>
      <c r="B2916" s="124" t="s">
        <v>1113</v>
      </c>
      <c r="C2916" s="124" t="s">
        <v>471</v>
      </c>
      <c r="D2916" s="14">
        <v>8228053.0700000003</v>
      </c>
      <c r="E2916" s="82">
        <v>0.93369503639999996</v>
      </c>
      <c r="F2916" s="14">
        <v>7682492.3099999996</v>
      </c>
      <c r="G2916" s="14">
        <v>0.01</v>
      </c>
      <c r="H2916" s="10"/>
      <c r="I2916" s="10"/>
    </row>
    <row r="2917" spans="1:9">
      <c r="A2917" s="10" t="s">
        <v>4073</v>
      </c>
      <c r="B2917" s="124" t="s">
        <v>283</v>
      </c>
      <c r="C2917" s="124" t="s">
        <v>471</v>
      </c>
      <c r="D2917" s="12">
        <v>23900405</v>
      </c>
      <c r="E2917" s="82">
        <v>0.93758035250000005</v>
      </c>
      <c r="F2917" s="14">
        <v>22408550.140000001</v>
      </c>
      <c r="G2917" s="14">
        <v>0.03</v>
      </c>
      <c r="H2917" s="10"/>
      <c r="I2917" s="10"/>
    </row>
    <row r="2918" spans="1:9">
      <c r="A2918" s="10" t="s">
        <v>4074</v>
      </c>
      <c r="B2918" s="124" t="s">
        <v>1448</v>
      </c>
      <c r="C2918" s="124" t="s">
        <v>471</v>
      </c>
      <c r="D2918" s="12">
        <v>19550000</v>
      </c>
      <c r="E2918" s="82">
        <v>0.91971995360000003</v>
      </c>
      <c r="F2918" s="14">
        <v>17980525.09</v>
      </c>
      <c r="G2918" s="14">
        <v>0.02</v>
      </c>
      <c r="H2918" s="10"/>
      <c r="I2918" s="10"/>
    </row>
    <row r="2919" spans="1:9">
      <c r="A2919" s="10" t="s">
        <v>4075</v>
      </c>
      <c r="B2919" s="124" t="s">
        <v>1722</v>
      </c>
      <c r="C2919" s="124" t="s">
        <v>471</v>
      </c>
      <c r="D2919" s="12">
        <v>2092000</v>
      </c>
      <c r="E2919" s="82">
        <v>0.93888281149999997</v>
      </c>
      <c r="F2919" s="14">
        <v>1964142.84</v>
      </c>
      <c r="G2919" s="12">
        <v>0</v>
      </c>
      <c r="H2919" s="10"/>
      <c r="I2919" s="10"/>
    </row>
    <row r="2920" spans="1:9">
      <c r="A2920" s="10" t="s">
        <v>4076</v>
      </c>
      <c r="B2920" s="124" t="s">
        <v>931</v>
      </c>
      <c r="C2920" s="124" t="s">
        <v>471</v>
      </c>
      <c r="D2920" s="12">
        <v>23900405</v>
      </c>
      <c r="E2920" s="82">
        <v>0.9408430632</v>
      </c>
      <c r="F2920" s="14">
        <v>22486530.25</v>
      </c>
      <c r="G2920" s="14">
        <v>0.03</v>
      </c>
      <c r="H2920" s="10"/>
      <c r="I2920" s="10"/>
    </row>
    <row r="2921" spans="1:9">
      <c r="A2921" s="10" t="s">
        <v>4077</v>
      </c>
      <c r="B2921" s="124" t="s">
        <v>931</v>
      </c>
      <c r="C2921" s="124" t="s">
        <v>471</v>
      </c>
      <c r="D2921" s="153">
        <v>29962188.5</v>
      </c>
      <c r="E2921" s="82">
        <v>0.9408430632</v>
      </c>
      <c r="F2921" s="14">
        <v>28189717.210000001</v>
      </c>
      <c r="G2921" s="14">
        <v>0.03</v>
      </c>
      <c r="H2921" s="10"/>
      <c r="I2921" s="10"/>
    </row>
    <row r="2922" spans="1:9">
      <c r="A2922" s="10" t="s">
        <v>4078</v>
      </c>
      <c r="B2922" s="124" t="s">
        <v>616</v>
      </c>
      <c r="C2922" s="124" t="s">
        <v>471</v>
      </c>
      <c r="D2922" s="12">
        <v>2092000</v>
      </c>
      <c r="E2922" s="82">
        <v>0.92792683480000004</v>
      </c>
      <c r="F2922" s="14">
        <v>1941222.94</v>
      </c>
      <c r="G2922" s="12">
        <v>0</v>
      </c>
      <c r="H2922" s="10"/>
      <c r="I2922" s="10"/>
    </row>
    <row r="2923" spans="1:9">
      <c r="A2923" s="10" t="s">
        <v>4079</v>
      </c>
      <c r="B2923" s="124" t="s">
        <v>616</v>
      </c>
      <c r="C2923" s="124" t="s">
        <v>471</v>
      </c>
      <c r="D2923" s="14">
        <v>8228053.0700000003</v>
      </c>
      <c r="E2923" s="82">
        <v>0.92792683730000003</v>
      </c>
      <c r="F2923" s="14">
        <v>7635031.2599999998</v>
      </c>
      <c r="G2923" s="14">
        <v>0.01</v>
      </c>
      <c r="H2923" s="10"/>
      <c r="I2923" s="10"/>
    </row>
    <row r="2924" spans="1:9">
      <c r="A2924" s="10" t="s">
        <v>4080</v>
      </c>
      <c r="B2924" s="124" t="s">
        <v>1007</v>
      </c>
      <c r="C2924" s="124" t="s">
        <v>471</v>
      </c>
      <c r="D2924" s="12">
        <v>23900405</v>
      </c>
      <c r="E2924" s="82">
        <v>0.91536067089999995</v>
      </c>
      <c r="F2924" s="14">
        <v>21877490.760000002</v>
      </c>
      <c r="G2924" s="14">
        <v>0.03</v>
      </c>
      <c r="H2924" s="10"/>
      <c r="I2924" s="10"/>
    </row>
    <row r="2925" spans="1:9">
      <c r="A2925" s="10" t="s">
        <v>4081</v>
      </c>
      <c r="B2925" s="124" t="s">
        <v>1108</v>
      </c>
      <c r="C2925" s="124" t="s">
        <v>471</v>
      </c>
      <c r="D2925" s="12">
        <v>23900405</v>
      </c>
      <c r="E2925" s="82">
        <v>0.92412095439999997</v>
      </c>
      <c r="F2925" s="14">
        <v>22086865.079999998</v>
      </c>
      <c r="G2925" s="14">
        <v>0.03</v>
      </c>
      <c r="H2925" s="10"/>
      <c r="I2925" s="10"/>
    </row>
    <row r="2926" spans="1:9">
      <c r="A2926" s="10" t="s">
        <v>4082</v>
      </c>
      <c r="B2926" s="124" t="s">
        <v>1553</v>
      </c>
      <c r="C2926" s="124" t="s">
        <v>471</v>
      </c>
      <c r="D2926" s="153">
        <v>23900411.600000001</v>
      </c>
      <c r="E2926" s="82">
        <v>0.89832887910000003</v>
      </c>
      <c r="F2926" s="14">
        <v>21470429.960000001</v>
      </c>
      <c r="G2926" s="14">
        <v>0.03</v>
      </c>
      <c r="H2926" s="10"/>
      <c r="I2926" s="10"/>
    </row>
    <row r="2927" spans="1:9">
      <c r="A2927" s="10" t="s">
        <v>4083</v>
      </c>
      <c r="B2927" s="124" t="s">
        <v>423</v>
      </c>
      <c r="C2927" s="124" t="s">
        <v>471</v>
      </c>
      <c r="D2927" s="12">
        <v>23900405</v>
      </c>
      <c r="E2927" s="82">
        <v>0.90676491670000003</v>
      </c>
      <c r="F2927" s="14">
        <v>21672048.75</v>
      </c>
      <c r="G2927" s="14">
        <v>0.03</v>
      </c>
      <c r="H2927" s="10"/>
      <c r="I2927" s="10"/>
    </row>
    <row r="2928" spans="1:9">
      <c r="A2928" s="10" t="s">
        <v>4084</v>
      </c>
      <c r="B2928" s="124" t="s">
        <v>1007</v>
      </c>
      <c r="C2928" s="124" t="s">
        <v>471</v>
      </c>
      <c r="D2928" s="12">
        <v>30000000</v>
      </c>
      <c r="E2928" s="82">
        <v>0.90965750219999997</v>
      </c>
      <c r="F2928" s="14">
        <v>27289725.07</v>
      </c>
      <c r="G2928" s="14">
        <v>0.03</v>
      </c>
      <c r="H2928" s="10"/>
      <c r="I2928" s="10"/>
    </row>
    <row r="2929" spans="1:9">
      <c r="A2929" s="10" t="s">
        <v>4085</v>
      </c>
      <c r="B2929" s="124" t="s">
        <v>645</v>
      </c>
      <c r="C2929" s="124" t="s">
        <v>471</v>
      </c>
      <c r="D2929" s="12">
        <v>15200000</v>
      </c>
      <c r="E2929" s="82">
        <v>0.97369703490000004</v>
      </c>
      <c r="F2929" s="14">
        <v>14800194.93</v>
      </c>
      <c r="G2929" s="14">
        <v>0.02</v>
      </c>
      <c r="H2929" s="10"/>
      <c r="I2929" s="10"/>
    </row>
    <row r="2930" spans="1:9">
      <c r="A2930" s="10" t="s">
        <v>4086</v>
      </c>
      <c r="B2930" s="124" t="s">
        <v>2152</v>
      </c>
      <c r="C2930" s="124" t="s">
        <v>471</v>
      </c>
      <c r="D2930" s="12">
        <v>13318880</v>
      </c>
      <c r="E2930" s="157">
        <v>0.91031524900000005</v>
      </c>
      <c r="F2930" s="14">
        <v>12124379.560000001</v>
      </c>
      <c r="G2930" s="14">
        <v>0.01</v>
      </c>
      <c r="H2930" s="10"/>
      <c r="I2930" s="10"/>
    </row>
    <row r="2931" spans="1:9">
      <c r="A2931" s="10" t="s">
        <v>4087</v>
      </c>
      <c r="B2931" s="124" t="s">
        <v>1448</v>
      </c>
      <c r="C2931" s="124" t="s">
        <v>471</v>
      </c>
      <c r="D2931" s="12">
        <v>30000000</v>
      </c>
      <c r="E2931" s="82">
        <v>0.91971995360000003</v>
      </c>
      <c r="F2931" s="14">
        <v>27591598.609999999</v>
      </c>
      <c r="G2931" s="14">
        <v>0.03</v>
      </c>
      <c r="H2931" s="10"/>
      <c r="I2931" s="10"/>
    </row>
    <row r="2932" spans="1:9">
      <c r="A2932" s="10" t="s">
        <v>4088</v>
      </c>
      <c r="B2932" s="124" t="s">
        <v>645</v>
      </c>
      <c r="C2932" s="124" t="s">
        <v>471</v>
      </c>
      <c r="D2932" s="12">
        <v>10000000</v>
      </c>
      <c r="E2932" s="82">
        <v>0.97546652860000005</v>
      </c>
      <c r="F2932" s="14">
        <v>9754665.2899999991</v>
      </c>
      <c r="G2932" s="14">
        <v>0.01</v>
      </c>
      <c r="H2932" s="10"/>
      <c r="I2932" s="10"/>
    </row>
    <row r="2933" spans="1:9">
      <c r="A2933" s="10" t="s">
        <v>4089</v>
      </c>
      <c r="B2933" s="124" t="s">
        <v>2333</v>
      </c>
      <c r="C2933" s="124" t="s">
        <v>471</v>
      </c>
      <c r="D2933" s="12">
        <v>25000000</v>
      </c>
      <c r="E2933" s="82">
        <v>0.91165674139999997</v>
      </c>
      <c r="F2933" s="14">
        <v>22791418.539999999</v>
      </c>
      <c r="G2933" s="14">
        <v>0.03</v>
      </c>
      <c r="H2933" s="10"/>
      <c r="I2933" s="10"/>
    </row>
    <row r="2934" spans="1:9">
      <c r="A2934" s="10" t="s">
        <v>4090</v>
      </c>
      <c r="B2934" s="124" t="s">
        <v>826</v>
      </c>
      <c r="C2934" s="124" t="s">
        <v>471</v>
      </c>
      <c r="D2934" s="12">
        <v>85000000</v>
      </c>
      <c r="E2934" s="82">
        <v>0.87977266129999998</v>
      </c>
      <c r="F2934" s="14">
        <v>74780676.209999993</v>
      </c>
      <c r="G2934" s="14">
        <v>0.09</v>
      </c>
      <c r="H2934" s="10"/>
      <c r="I2934" s="10"/>
    </row>
    <row r="2935" spans="1:9">
      <c r="A2935" s="10" t="s">
        <v>4091</v>
      </c>
      <c r="B2935" s="124" t="s">
        <v>4092</v>
      </c>
      <c r="C2935" s="124" t="s">
        <v>471</v>
      </c>
      <c r="D2935" s="12">
        <v>85000000</v>
      </c>
      <c r="E2935" s="82">
        <v>0.86229319130000004</v>
      </c>
      <c r="F2935" s="14">
        <v>73294921.260000005</v>
      </c>
      <c r="G2935" s="14">
        <v>0.09</v>
      </c>
      <c r="H2935" s="10"/>
      <c r="I2935" s="10"/>
    </row>
    <row r="2936" spans="1:9">
      <c r="A2936" s="10" t="s">
        <v>4093</v>
      </c>
      <c r="B2936" s="124" t="s">
        <v>423</v>
      </c>
      <c r="C2936" s="124" t="s">
        <v>471</v>
      </c>
      <c r="D2936" s="12">
        <v>85000000</v>
      </c>
      <c r="E2936" s="82">
        <v>0.90054547780000005</v>
      </c>
      <c r="F2936" s="14">
        <v>76546365.609999999</v>
      </c>
      <c r="G2936" s="14">
        <v>0.09</v>
      </c>
      <c r="H2936" s="10"/>
      <c r="I2936" s="10"/>
    </row>
    <row r="2937" spans="1:9">
      <c r="A2937" s="10" t="s">
        <v>4094</v>
      </c>
      <c r="B2937" s="124" t="s">
        <v>4095</v>
      </c>
      <c r="C2937" s="124" t="s">
        <v>471</v>
      </c>
      <c r="D2937" s="12">
        <v>85000000</v>
      </c>
      <c r="E2937" s="157">
        <v>0.84492711499999995</v>
      </c>
      <c r="F2937" s="14">
        <v>71818804.780000001</v>
      </c>
      <c r="G2937" s="14">
        <v>0.09</v>
      </c>
      <c r="H2937" s="10"/>
      <c r="I2937" s="10"/>
    </row>
    <row r="2938" spans="1:9">
      <c r="A2938" s="10" t="s">
        <v>4096</v>
      </c>
      <c r="B2938" s="124" t="s">
        <v>995</v>
      </c>
      <c r="C2938" s="124" t="s">
        <v>471</v>
      </c>
      <c r="D2938" s="12">
        <v>30000000</v>
      </c>
      <c r="E2938" s="82">
        <v>0.92232297429999999</v>
      </c>
      <c r="F2938" s="14">
        <v>27669689.23</v>
      </c>
      <c r="G2938" s="14">
        <v>0.03</v>
      </c>
      <c r="H2938" s="10"/>
      <c r="I2938" s="10"/>
    </row>
    <row r="2939" spans="1:9">
      <c r="A2939" s="10" t="s">
        <v>4097</v>
      </c>
      <c r="B2939" s="124" t="s">
        <v>636</v>
      </c>
      <c r="C2939" s="124" t="s">
        <v>471</v>
      </c>
      <c r="D2939" s="14">
        <v>4701505.6900000004</v>
      </c>
      <c r="E2939" s="157">
        <v>0.95143760700000002</v>
      </c>
      <c r="F2939" s="14">
        <v>4473189.32</v>
      </c>
      <c r="G2939" s="14">
        <v>0.01</v>
      </c>
      <c r="H2939" s="10"/>
      <c r="I2939" s="10"/>
    </row>
    <row r="2940" spans="1:9">
      <c r="A2940" s="10" t="s">
        <v>4098</v>
      </c>
      <c r="B2940" s="124" t="s">
        <v>670</v>
      </c>
      <c r="C2940" s="124" t="s">
        <v>471</v>
      </c>
      <c r="D2940" s="14">
        <v>4701505.6900000004</v>
      </c>
      <c r="E2940" s="82">
        <v>0.95210777069999997</v>
      </c>
      <c r="F2940" s="153">
        <v>4476340.0999999996</v>
      </c>
      <c r="G2940" s="14">
        <v>0.01</v>
      </c>
      <c r="H2940" s="10"/>
      <c r="I2940" s="10"/>
    </row>
    <row r="2941" spans="1:9">
      <c r="A2941" s="10" t="s">
        <v>4099</v>
      </c>
      <c r="B2941" s="124" t="s">
        <v>657</v>
      </c>
      <c r="C2941" s="124" t="s">
        <v>471</v>
      </c>
      <c r="D2941" s="14">
        <v>4701505.6900000004</v>
      </c>
      <c r="E2941" s="82">
        <v>0.95614816680000003</v>
      </c>
      <c r="F2941" s="14">
        <v>4495336.05</v>
      </c>
      <c r="G2941" s="14">
        <v>0.01</v>
      </c>
      <c r="H2941" s="10"/>
      <c r="I2941" s="10"/>
    </row>
    <row r="2942" spans="1:9">
      <c r="A2942" s="10" t="s">
        <v>4100</v>
      </c>
      <c r="B2942" s="124" t="s">
        <v>587</v>
      </c>
      <c r="C2942" s="124" t="s">
        <v>471</v>
      </c>
      <c r="D2942" s="14">
        <v>10186597.130000001</v>
      </c>
      <c r="E2942" s="157">
        <v>0.96090585299999998</v>
      </c>
      <c r="F2942" s="153">
        <v>9788360.8000000007</v>
      </c>
      <c r="G2942" s="14">
        <v>0.01</v>
      </c>
      <c r="H2942" s="10"/>
      <c r="I2942" s="10"/>
    </row>
    <row r="2943" spans="1:9">
      <c r="A2943" s="10" t="s">
        <v>4101</v>
      </c>
      <c r="B2943" s="124" t="s">
        <v>4102</v>
      </c>
      <c r="C2943" s="124" t="s">
        <v>471</v>
      </c>
      <c r="D2943" s="12">
        <v>391000000</v>
      </c>
      <c r="E2943" s="82">
        <v>0.8673955968</v>
      </c>
      <c r="F2943" s="14">
        <v>339151678.35000002</v>
      </c>
      <c r="G2943" s="14">
        <v>0.42</v>
      </c>
      <c r="H2943" s="10"/>
      <c r="I2943" s="10"/>
    </row>
    <row r="2944" spans="1:9">
      <c r="A2944" s="10" t="s">
        <v>4103</v>
      </c>
      <c r="B2944" s="124" t="s">
        <v>670</v>
      </c>
      <c r="C2944" s="124" t="s">
        <v>471</v>
      </c>
      <c r="D2944" s="14">
        <v>93959909.590000004</v>
      </c>
      <c r="E2944" s="82">
        <v>0.95060707470000005</v>
      </c>
      <c r="F2944" s="14">
        <v>89318954.790000007</v>
      </c>
      <c r="G2944" s="14">
        <v>0.11</v>
      </c>
      <c r="H2944" s="10"/>
      <c r="I2944" s="10"/>
    </row>
    <row r="2945" spans="1:9">
      <c r="A2945" s="10" t="s">
        <v>4104</v>
      </c>
      <c r="B2945" s="124" t="s">
        <v>670</v>
      </c>
      <c r="C2945" s="124" t="s">
        <v>471</v>
      </c>
      <c r="D2945" s="14">
        <v>129816471.03</v>
      </c>
      <c r="E2945" s="82">
        <v>0.95060707470000005</v>
      </c>
      <c r="F2945" s="14">
        <v>123404455.77</v>
      </c>
      <c r="G2945" s="14">
        <v>0.15</v>
      </c>
      <c r="H2945" s="10"/>
      <c r="I2945" s="10"/>
    </row>
    <row r="2946" spans="1:9">
      <c r="A2946" s="10" t="s">
        <v>4105</v>
      </c>
      <c r="B2946" s="124" t="s">
        <v>1108</v>
      </c>
      <c r="C2946" s="124" t="s">
        <v>471</v>
      </c>
      <c r="D2946" s="12">
        <v>50000000</v>
      </c>
      <c r="E2946" s="82">
        <v>0.91639482549999995</v>
      </c>
      <c r="F2946" s="14">
        <v>45819741.280000001</v>
      </c>
      <c r="G2946" s="14">
        <v>0.06</v>
      </c>
      <c r="H2946" s="10"/>
      <c r="I2946" s="10"/>
    </row>
    <row r="2947" spans="1:9">
      <c r="A2947" s="10" t="s">
        <v>4106</v>
      </c>
      <c r="B2947" s="124" t="s">
        <v>1553</v>
      </c>
      <c r="C2947" s="124" t="s">
        <v>471</v>
      </c>
      <c r="D2947" s="12">
        <v>5000000</v>
      </c>
      <c r="E2947" s="82">
        <v>0.89161396339999999</v>
      </c>
      <c r="F2947" s="14">
        <v>4458069.82</v>
      </c>
      <c r="G2947" s="14">
        <v>0.01</v>
      </c>
      <c r="H2947" s="10"/>
      <c r="I2947" s="10"/>
    </row>
    <row r="2948" spans="1:9">
      <c r="A2948" s="10" t="s">
        <v>4107</v>
      </c>
      <c r="B2948" s="124" t="s">
        <v>1525</v>
      </c>
      <c r="C2948" s="124" t="s">
        <v>471</v>
      </c>
      <c r="D2948" s="12">
        <v>100000000</v>
      </c>
      <c r="E2948" s="82">
        <v>0.92013737480000002</v>
      </c>
      <c r="F2948" s="14">
        <v>92013737.480000004</v>
      </c>
      <c r="G2948" s="14">
        <v>0.11</v>
      </c>
      <c r="H2948" s="10"/>
      <c r="I2948" s="10"/>
    </row>
    <row r="2949" spans="1:9">
      <c r="A2949" s="10" t="s">
        <v>4108</v>
      </c>
      <c r="B2949" s="124" t="s">
        <v>1004</v>
      </c>
      <c r="C2949" s="124" t="s">
        <v>471</v>
      </c>
      <c r="D2949" s="12">
        <v>100000000</v>
      </c>
      <c r="E2949" s="82">
        <v>0.91651001649999997</v>
      </c>
      <c r="F2949" s="14">
        <v>91651001.650000006</v>
      </c>
      <c r="G2949" s="14">
        <v>0.11</v>
      </c>
      <c r="H2949" s="10"/>
      <c r="I2949" s="10"/>
    </row>
    <row r="2950" spans="1:9">
      <c r="A2950" s="10" t="s">
        <v>4109</v>
      </c>
      <c r="B2950" s="124" t="s">
        <v>4110</v>
      </c>
      <c r="C2950" s="124" t="s">
        <v>471</v>
      </c>
      <c r="D2950" s="12">
        <v>3582000</v>
      </c>
      <c r="E2950" s="82">
        <v>0.89067847710000003</v>
      </c>
      <c r="F2950" s="153">
        <v>3190410.3</v>
      </c>
      <c r="G2950" s="12">
        <v>0</v>
      </c>
      <c r="H2950" s="10"/>
      <c r="I2950" s="10"/>
    </row>
    <row r="2951" spans="1:9">
      <c r="A2951" s="10" t="s">
        <v>4111</v>
      </c>
      <c r="B2951" s="124" t="s">
        <v>4112</v>
      </c>
      <c r="C2951" s="124" t="s">
        <v>471</v>
      </c>
      <c r="D2951" s="12">
        <v>7700000</v>
      </c>
      <c r="E2951" s="82">
        <v>0.86451927890000002</v>
      </c>
      <c r="F2951" s="14">
        <v>6656798.4500000002</v>
      </c>
      <c r="G2951" s="14">
        <v>0.01</v>
      </c>
      <c r="H2951" s="10"/>
      <c r="I2951" s="10"/>
    </row>
    <row r="2952" spans="1:9">
      <c r="A2952" s="10" t="s">
        <v>4113</v>
      </c>
      <c r="B2952" s="124" t="s">
        <v>4110</v>
      </c>
      <c r="C2952" s="124" t="s">
        <v>471</v>
      </c>
      <c r="D2952" s="12">
        <v>4462500</v>
      </c>
      <c r="E2952" s="82">
        <v>0.89067848189999999</v>
      </c>
      <c r="F2952" s="14">
        <v>3974652.73</v>
      </c>
      <c r="G2952" s="12">
        <v>0</v>
      </c>
      <c r="H2952" s="10"/>
      <c r="I2952" s="10"/>
    </row>
    <row r="2953" spans="1:9">
      <c r="A2953" s="10" t="s">
        <v>4114</v>
      </c>
      <c r="B2953" s="124" t="s">
        <v>2275</v>
      </c>
      <c r="C2953" s="124" t="s">
        <v>471</v>
      </c>
      <c r="D2953" s="12">
        <v>2583333</v>
      </c>
      <c r="E2953" s="82">
        <v>0.87320580250000002</v>
      </c>
      <c r="F2953" s="14">
        <v>2255781.37</v>
      </c>
      <c r="G2953" s="12">
        <v>0</v>
      </c>
      <c r="H2953" s="10"/>
      <c r="I2953" s="10"/>
    </row>
    <row r="2954" spans="1:9">
      <c r="A2954" s="10" t="s">
        <v>4115</v>
      </c>
      <c r="B2954" s="124" t="s">
        <v>4116</v>
      </c>
      <c r="C2954" s="124" t="s">
        <v>471</v>
      </c>
      <c r="D2954" s="12">
        <v>2583333</v>
      </c>
      <c r="E2954" s="82">
        <v>0.88463415059999995</v>
      </c>
      <c r="F2954" s="14">
        <v>2285304.59</v>
      </c>
      <c r="G2954" s="12">
        <v>0</v>
      </c>
      <c r="H2954" s="10"/>
      <c r="I2954" s="10"/>
    </row>
    <row r="2955" spans="1:9">
      <c r="A2955" s="10" t="s">
        <v>4117</v>
      </c>
      <c r="B2955" s="124" t="s">
        <v>3835</v>
      </c>
      <c r="C2955" s="124" t="s">
        <v>471</v>
      </c>
      <c r="D2955" s="12">
        <v>5468750</v>
      </c>
      <c r="E2955" s="82">
        <v>0.88894309410000005</v>
      </c>
      <c r="F2955" s="14">
        <v>4861407.55</v>
      </c>
      <c r="G2955" s="14">
        <v>0.01</v>
      </c>
      <c r="H2955" s="10"/>
      <c r="I2955" s="10"/>
    </row>
    <row r="2956" spans="1:9">
      <c r="A2956" s="10" t="s">
        <v>4118</v>
      </c>
      <c r="B2956" s="124" t="s">
        <v>634</v>
      </c>
      <c r="C2956" s="124" t="s">
        <v>471</v>
      </c>
      <c r="D2956" s="12">
        <v>10500000</v>
      </c>
      <c r="E2956" s="82">
        <v>0.97126134740000003</v>
      </c>
      <c r="F2956" s="14">
        <v>10198244.15</v>
      </c>
      <c r="G2956" s="14">
        <v>0.01</v>
      </c>
      <c r="H2956" s="10"/>
      <c r="I2956" s="10"/>
    </row>
    <row r="2957" spans="1:9">
      <c r="A2957" s="10" t="s">
        <v>4119</v>
      </c>
      <c r="B2957" s="124" t="s">
        <v>552</v>
      </c>
      <c r="C2957" s="124" t="s">
        <v>471</v>
      </c>
      <c r="D2957" s="12">
        <v>10500000</v>
      </c>
      <c r="E2957" s="82">
        <v>0.96740016139999996</v>
      </c>
      <c r="F2957" s="14">
        <v>10157701.689999999</v>
      </c>
      <c r="G2957" s="14">
        <v>0.01</v>
      </c>
      <c r="H2957" s="10"/>
      <c r="I2957" s="10"/>
    </row>
    <row r="2958" spans="1:9">
      <c r="A2958" s="10" t="s">
        <v>4120</v>
      </c>
      <c r="B2958" s="124" t="s">
        <v>636</v>
      </c>
      <c r="C2958" s="124" t="s">
        <v>471</v>
      </c>
      <c r="D2958" s="12">
        <v>50000000</v>
      </c>
      <c r="E2958" s="157">
        <v>0.94633137099999998</v>
      </c>
      <c r="F2958" s="14">
        <v>47316568.549999997</v>
      </c>
      <c r="G2958" s="14">
        <v>0.06</v>
      </c>
      <c r="H2958" s="10"/>
      <c r="I2958" s="10"/>
    </row>
    <row r="2959" spans="1:9">
      <c r="A2959" s="10" t="s">
        <v>4121</v>
      </c>
      <c r="B2959" s="124" t="s">
        <v>636</v>
      </c>
      <c r="C2959" s="124" t="s">
        <v>471</v>
      </c>
      <c r="D2959" s="12">
        <v>50000000</v>
      </c>
      <c r="E2959" s="157">
        <v>0.94633137099999998</v>
      </c>
      <c r="F2959" s="14">
        <v>47316568.549999997</v>
      </c>
      <c r="G2959" s="14">
        <v>0.06</v>
      </c>
      <c r="H2959" s="10"/>
      <c r="I2959" s="10"/>
    </row>
    <row r="2960" spans="1:9">
      <c r="A2960" s="10" t="s">
        <v>4122</v>
      </c>
      <c r="B2960" s="124" t="s">
        <v>1781</v>
      </c>
      <c r="C2960" s="124" t="s">
        <v>471</v>
      </c>
      <c r="D2960" s="12">
        <v>50000000</v>
      </c>
      <c r="E2960" s="82">
        <v>0.94559607609999996</v>
      </c>
      <c r="F2960" s="14">
        <v>47279803.810000002</v>
      </c>
      <c r="G2960" s="14">
        <v>0.06</v>
      </c>
      <c r="H2960" s="10"/>
      <c r="I2960" s="10"/>
    </row>
    <row r="2961" spans="1:9">
      <c r="A2961" s="10" t="s">
        <v>4123</v>
      </c>
      <c r="B2961" s="124" t="s">
        <v>1698</v>
      </c>
      <c r="C2961" s="124" t="s">
        <v>471</v>
      </c>
      <c r="D2961" s="12">
        <v>50000000</v>
      </c>
      <c r="E2961" s="82">
        <v>0.94486165420000001</v>
      </c>
      <c r="F2961" s="14">
        <v>47243082.710000001</v>
      </c>
      <c r="G2961" s="14">
        <v>0.06</v>
      </c>
      <c r="H2961" s="10"/>
      <c r="I2961" s="10"/>
    </row>
    <row r="2962" spans="1:9">
      <c r="A2962" s="10" t="s">
        <v>4124</v>
      </c>
      <c r="B2962" s="124" t="s">
        <v>1497</v>
      </c>
      <c r="C2962" s="124" t="s">
        <v>471</v>
      </c>
      <c r="D2962" s="12">
        <v>50000000</v>
      </c>
      <c r="E2962" s="157">
        <v>0.942665482</v>
      </c>
      <c r="F2962" s="153">
        <v>47133274.100000001</v>
      </c>
      <c r="G2962" s="14">
        <v>0.06</v>
      </c>
      <c r="H2962" s="10"/>
      <c r="I2962" s="10"/>
    </row>
    <row r="2963" spans="1:9">
      <c r="A2963" s="10" t="s">
        <v>4125</v>
      </c>
      <c r="B2963" s="124" t="s">
        <v>429</v>
      </c>
      <c r="C2963" s="124" t="s">
        <v>471</v>
      </c>
      <c r="D2963" s="12">
        <v>150000000</v>
      </c>
      <c r="E2963" s="82">
        <v>0.94047949860000002</v>
      </c>
      <c r="F2963" s="14">
        <v>141071924.78999999</v>
      </c>
      <c r="G2963" s="14">
        <v>0.17</v>
      </c>
      <c r="H2963" s="10"/>
      <c r="I2963" s="10"/>
    </row>
    <row r="2964" spans="1:9">
      <c r="A2964" s="10" t="s">
        <v>4126</v>
      </c>
      <c r="B2964" s="124" t="s">
        <v>1007</v>
      </c>
      <c r="C2964" s="124" t="s">
        <v>471</v>
      </c>
      <c r="D2964" s="12">
        <v>113000000</v>
      </c>
      <c r="E2964" s="157">
        <v>0.90683248400000005</v>
      </c>
      <c r="F2964" s="14">
        <v>102472070.69</v>
      </c>
      <c r="G2964" s="14">
        <v>0.13</v>
      </c>
      <c r="H2964" s="10"/>
      <c r="I2964" s="10"/>
    </row>
    <row r="2965" spans="1:9">
      <c r="A2965" s="10" t="s">
        <v>4127</v>
      </c>
      <c r="B2965" s="124" t="s">
        <v>1007</v>
      </c>
      <c r="C2965" s="124" t="s">
        <v>471</v>
      </c>
      <c r="D2965" s="12">
        <v>113000000</v>
      </c>
      <c r="E2965" s="157">
        <v>0.90683248400000005</v>
      </c>
      <c r="F2965" s="14">
        <v>102472070.69</v>
      </c>
      <c r="G2965" s="14">
        <v>0.13</v>
      </c>
      <c r="H2965" s="10"/>
      <c r="I2965" s="10"/>
    </row>
    <row r="2966" spans="1:9">
      <c r="A2966" s="10" t="s">
        <v>4128</v>
      </c>
      <c r="B2966" s="124" t="s">
        <v>1007</v>
      </c>
      <c r="C2966" s="124" t="s">
        <v>471</v>
      </c>
      <c r="D2966" s="12">
        <v>113000000</v>
      </c>
      <c r="E2966" s="157">
        <v>0.90683248400000005</v>
      </c>
      <c r="F2966" s="14">
        <v>102472070.69</v>
      </c>
      <c r="G2966" s="14">
        <v>0.13</v>
      </c>
      <c r="H2966" s="10"/>
      <c r="I2966" s="10"/>
    </row>
    <row r="2967" spans="1:9">
      <c r="A2967" s="10" t="s">
        <v>4129</v>
      </c>
      <c r="B2967" s="124" t="s">
        <v>992</v>
      </c>
      <c r="C2967" s="124" t="s">
        <v>471</v>
      </c>
      <c r="D2967" s="12">
        <v>113000000</v>
      </c>
      <c r="E2967" s="82">
        <v>0.92616098229999999</v>
      </c>
      <c r="F2967" s="12">
        <v>104656191</v>
      </c>
      <c r="G2967" s="14">
        <v>0.13</v>
      </c>
      <c r="H2967" s="10"/>
      <c r="I2967" s="10"/>
    </row>
    <row r="2968" spans="1:9">
      <c r="A2968" s="10" t="s">
        <v>4130</v>
      </c>
      <c r="B2968" s="124" t="s">
        <v>587</v>
      </c>
      <c r="C2968" s="124" t="s">
        <v>471</v>
      </c>
      <c r="D2968" s="12">
        <v>50000000</v>
      </c>
      <c r="E2968" s="82">
        <v>0.95674992889999999</v>
      </c>
      <c r="F2968" s="14">
        <v>47837496.450000003</v>
      </c>
      <c r="G2968" s="14">
        <v>0.06</v>
      </c>
      <c r="H2968" s="10"/>
      <c r="I2968" s="10"/>
    </row>
    <row r="2969" spans="1:9">
      <c r="A2969" s="10" t="s">
        <v>4131</v>
      </c>
      <c r="B2969" s="124" t="s">
        <v>587</v>
      </c>
      <c r="C2969" s="124" t="s">
        <v>471</v>
      </c>
      <c r="D2969" s="12">
        <v>250000000</v>
      </c>
      <c r="E2969" s="82">
        <v>0.95674992749999999</v>
      </c>
      <c r="F2969" s="14">
        <v>239187481.88</v>
      </c>
      <c r="G2969" s="14">
        <v>0.28999999999999998</v>
      </c>
      <c r="H2969" s="10"/>
      <c r="I2969" s="10"/>
    </row>
    <row r="2970" spans="1:9">
      <c r="A2970" s="10" t="s">
        <v>4132</v>
      </c>
      <c r="B2970" s="124" t="s">
        <v>587</v>
      </c>
      <c r="C2970" s="124" t="s">
        <v>471</v>
      </c>
      <c r="D2970" s="12">
        <v>50000000</v>
      </c>
      <c r="E2970" s="82">
        <v>0.95674992889999999</v>
      </c>
      <c r="F2970" s="14">
        <v>47837496.450000003</v>
      </c>
      <c r="G2970" s="14">
        <v>0.06</v>
      </c>
      <c r="H2970" s="10"/>
      <c r="I2970" s="10"/>
    </row>
    <row r="2971" spans="1:9">
      <c r="A2971" s="10" t="s">
        <v>4133</v>
      </c>
      <c r="B2971" s="124" t="s">
        <v>556</v>
      </c>
      <c r="C2971" s="124" t="s">
        <v>471</v>
      </c>
      <c r="D2971" s="12">
        <v>6362720</v>
      </c>
      <c r="E2971" s="82">
        <v>0.96257819469999994</v>
      </c>
      <c r="F2971" s="14">
        <v>6124615.5300000003</v>
      </c>
      <c r="G2971" s="14">
        <v>0.01</v>
      </c>
      <c r="H2971" s="10"/>
      <c r="I2971" s="10"/>
    </row>
    <row r="2972" spans="1:9">
      <c r="A2972" s="10" t="s">
        <v>4134</v>
      </c>
      <c r="B2972" s="124" t="s">
        <v>587</v>
      </c>
      <c r="C2972" s="124" t="s">
        <v>471</v>
      </c>
      <c r="D2972" s="12">
        <v>4173925</v>
      </c>
      <c r="E2972" s="82">
        <v>0.95262979739999998</v>
      </c>
      <c r="F2972" s="14">
        <v>3976205.33</v>
      </c>
      <c r="G2972" s="12">
        <v>0</v>
      </c>
      <c r="H2972" s="10"/>
      <c r="I2972" s="10"/>
    </row>
    <row r="2973" spans="1:9">
      <c r="A2973" s="10" t="s">
        <v>4135</v>
      </c>
      <c r="B2973" s="124" t="s">
        <v>657</v>
      </c>
      <c r="C2973" s="124" t="s">
        <v>471</v>
      </c>
      <c r="D2973" s="12">
        <v>2481010</v>
      </c>
      <c r="E2973" s="157">
        <v>0.94692056400000002</v>
      </c>
      <c r="F2973" s="14">
        <v>2349319.39</v>
      </c>
      <c r="G2973" s="12">
        <v>0</v>
      </c>
      <c r="H2973" s="10"/>
      <c r="I2973" s="10"/>
    </row>
    <row r="2974" spans="1:9">
      <c r="A2974" s="10" t="s">
        <v>4136</v>
      </c>
      <c r="B2974" s="124" t="s">
        <v>573</v>
      </c>
      <c r="C2974" s="124" t="s">
        <v>471</v>
      </c>
      <c r="D2974" s="14">
        <v>234304.66</v>
      </c>
      <c r="E2974" s="82">
        <v>0.95345077649999999</v>
      </c>
      <c r="F2974" s="14">
        <v>223397.96</v>
      </c>
      <c r="G2974" s="12">
        <v>0</v>
      </c>
      <c r="H2974" s="10"/>
      <c r="I2974" s="10"/>
    </row>
    <row r="2975" spans="1:9">
      <c r="A2975" s="10" t="s">
        <v>4137</v>
      </c>
      <c r="B2975" s="124" t="s">
        <v>552</v>
      </c>
      <c r="C2975" s="124" t="s">
        <v>471</v>
      </c>
      <c r="D2975" s="12">
        <v>80000000</v>
      </c>
      <c r="E2975" s="82">
        <v>0.9653022497</v>
      </c>
      <c r="F2975" s="14">
        <v>77224179.980000004</v>
      </c>
      <c r="G2975" s="14">
        <v>0.09</v>
      </c>
      <c r="H2975" s="10"/>
      <c r="I2975" s="10"/>
    </row>
    <row r="2976" spans="1:9">
      <c r="A2976" s="10" t="s">
        <v>4138</v>
      </c>
      <c r="B2976" s="124" t="s">
        <v>556</v>
      </c>
      <c r="C2976" s="124" t="s">
        <v>471</v>
      </c>
      <c r="D2976" s="12">
        <v>85000000</v>
      </c>
      <c r="E2976" s="82">
        <v>0.96367099180000004</v>
      </c>
      <c r="F2976" s="153">
        <v>81912034.299999997</v>
      </c>
      <c r="G2976" s="153">
        <v>0.1</v>
      </c>
      <c r="H2976" s="10"/>
      <c r="I2976" s="10"/>
    </row>
    <row r="2977" spans="1:9">
      <c r="A2977" s="10" t="s">
        <v>4139</v>
      </c>
      <c r="B2977" s="124" t="s">
        <v>645</v>
      </c>
      <c r="C2977" s="124" t="s">
        <v>471</v>
      </c>
      <c r="D2977" s="12">
        <v>80000000</v>
      </c>
      <c r="E2977" s="82">
        <v>0.97105479829999997</v>
      </c>
      <c r="F2977" s="14">
        <v>77684383.859999999</v>
      </c>
      <c r="G2977" s="153">
        <v>0.1</v>
      </c>
      <c r="H2977" s="10"/>
      <c r="I2977" s="10"/>
    </row>
    <row r="2978" spans="1:9">
      <c r="A2978" s="10" t="s">
        <v>4140</v>
      </c>
      <c r="B2978" s="124" t="s">
        <v>283</v>
      </c>
      <c r="C2978" s="124" t="s">
        <v>471</v>
      </c>
      <c r="D2978" s="12">
        <v>110000000</v>
      </c>
      <c r="E2978" s="82">
        <v>0.93112253879999995</v>
      </c>
      <c r="F2978" s="14">
        <v>102423479.27</v>
      </c>
      <c r="G2978" s="14">
        <v>0.13</v>
      </c>
      <c r="H2978" s="10"/>
      <c r="I2978" s="10"/>
    </row>
    <row r="2979" spans="1:9">
      <c r="A2979" s="10" t="s">
        <v>4141</v>
      </c>
      <c r="B2979" s="124" t="s">
        <v>992</v>
      </c>
      <c r="C2979" s="124" t="s">
        <v>471</v>
      </c>
      <c r="D2979" s="12">
        <v>110000000</v>
      </c>
      <c r="E2979" s="82">
        <v>0.92616098229999999</v>
      </c>
      <c r="F2979" s="14">
        <v>101877708.05</v>
      </c>
      <c r="G2979" s="14">
        <v>0.12</v>
      </c>
      <c r="H2979" s="10"/>
      <c r="I2979" s="10"/>
    </row>
    <row r="2980" spans="1:9">
      <c r="A2980" s="10" t="s">
        <v>4142</v>
      </c>
      <c r="B2980" s="124" t="s">
        <v>1004</v>
      </c>
      <c r="C2980" s="124" t="s">
        <v>471</v>
      </c>
      <c r="D2980" s="14">
        <v>25254118.149999999</v>
      </c>
      <c r="E2980" s="82">
        <v>0.92757331310000002</v>
      </c>
      <c r="F2980" s="14">
        <v>23425046.039999999</v>
      </c>
      <c r="G2980" s="14">
        <v>0.03</v>
      </c>
      <c r="H2980" s="10"/>
      <c r="I2980" s="10"/>
    </row>
    <row r="2981" spans="1:9">
      <c r="A2981" s="10" t="s">
        <v>4143</v>
      </c>
      <c r="B2981" s="124" t="s">
        <v>645</v>
      </c>
      <c r="C2981" s="124" t="s">
        <v>471</v>
      </c>
      <c r="D2981" s="14">
        <v>25254118.149999999</v>
      </c>
      <c r="E2981" s="82">
        <v>0.97281469379999996</v>
      </c>
      <c r="F2981" s="14">
        <v>24567577.219999999</v>
      </c>
      <c r="G2981" s="14">
        <v>0.03</v>
      </c>
      <c r="H2981" s="10"/>
      <c r="I2981" s="10"/>
    </row>
    <row r="2982" spans="1:9">
      <c r="A2982" s="10" t="s">
        <v>4144</v>
      </c>
      <c r="B2982" s="124" t="s">
        <v>657</v>
      </c>
      <c r="C2982" s="124" t="s">
        <v>471</v>
      </c>
      <c r="D2982" s="14">
        <v>25254118.149999999</v>
      </c>
      <c r="E2982" s="82">
        <v>0.95151199470000003</v>
      </c>
      <c r="F2982" s="14">
        <v>24029596.34</v>
      </c>
      <c r="G2982" s="14">
        <v>0.03</v>
      </c>
      <c r="H2982" s="10"/>
      <c r="I2982" s="10"/>
    </row>
    <row r="2983" spans="1:9">
      <c r="A2983" s="10" t="s">
        <v>4145</v>
      </c>
      <c r="B2983" s="124" t="s">
        <v>1004</v>
      </c>
      <c r="C2983" s="124" t="s">
        <v>471</v>
      </c>
      <c r="D2983" s="12">
        <v>17500000</v>
      </c>
      <c r="E2983" s="82">
        <v>0.92757331310000002</v>
      </c>
      <c r="F2983" s="14">
        <v>16232532.98</v>
      </c>
      <c r="G2983" s="14">
        <v>0.02</v>
      </c>
      <c r="H2983" s="10"/>
      <c r="I2983" s="10"/>
    </row>
    <row r="2984" spans="1:9">
      <c r="A2984" s="10" t="s">
        <v>4146</v>
      </c>
      <c r="B2984" s="124" t="s">
        <v>657</v>
      </c>
      <c r="C2984" s="124" t="s">
        <v>471</v>
      </c>
      <c r="D2984" s="12">
        <v>17500000</v>
      </c>
      <c r="E2984" s="82">
        <v>0.95151199470000003</v>
      </c>
      <c r="F2984" s="14">
        <v>16651459.91</v>
      </c>
      <c r="G2984" s="14">
        <v>0.02</v>
      </c>
      <c r="H2984" s="10"/>
      <c r="I2984" s="10"/>
    </row>
    <row r="2985" spans="1:9">
      <c r="A2985" s="10" t="s">
        <v>4147</v>
      </c>
      <c r="B2985" s="124" t="s">
        <v>746</v>
      </c>
      <c r="C2985" s="124" t="s">
        <v>471</v>
      </c>
      <c r="D2985" s="12">
        <v>13514592</v>
      </c>
      <c r="E2985" s="82">
        <v>0.98662009910000004</v>
      </c>
      <c r="F2985" s="153">
        <v>13333768.1</v>
      </c>
      <c r="G2985" s="14">
        <v>0.02</v>
      </c>
      <c r="H2985" s="10"/>
      <c r="I2985" s="10"/>
    </row>
    <row r="2986" spans="1:9">
      <c r="A2986" s="10" t="s">
        <v>4148</v>
      </c>
      <c r="B2986" s="124" t="s">
        <v>2103</v>
      </c>
      <c r="C2986" s="124" t="s">
        <v>471</v>
      </c>
      <c r="D2986" s="12">
        <v>10000000</v>
      </c>
      <c r="E2986" s="82">
        <v>0.89773243160000005</v>
      </c>
      <c r="F2986" s="14">
        <v>8977324.3200000003</v>
      </c>
      <c r="G2986" s="14">
        <v>0.01</v>
      </c>
      <c r="H2986" s="10"/>
      <c r="I2986" s="10"/>
    </row>
    <row r="2987" spans="1:9">
      <c r="A2987" s="10" t="s">
        <v>4149</v>
      </c>
      <c r="B2987" s="124" t="s">
        <v>1696</v>
      </c>
      <c r="C2987" s="124" t="s">
        <v>471</v>
      </c>
      <c r="D2987" s="12">
        <v>10000000</v>
      </c>
      <c r="E2987" s="82">
        <v>0.89338185240000001</v>
      </c>
      <c r="F2987" s="14">
        <v>8933818.5199999996</v>
      </c>
      <c r="G2987" s="14">
        <v>0.01</v>
      </c>
      <c r="H2987" s="10"/>
      <c r="I2987" s="10"/>
    </row>
    <row r="2988" spans="1:9">
      <c r="A2988" s="10" t="s">
        <v>4150</v>
      </c>
      <c r="B2988" s="124" t="s">
        <v>423</v>
      </c>
      <c r="C2988" s="124" t="s">
        <v>471</v>
      </c>
      <c r="D2988" s="12">
        <v>10000000</v>
      </c>
      <c r="E2988" s="82">
        <v>0.8883590857</v>
      </c>
      <c r="F2988" s="14">
        <v>8883590.8599999994</v>
      </c>
      <c r="G2988" s="14">
        <v>0.01</v>
      </c>
      <c r="H2988" s="10"/>
      <c r="I2988" s="10"/>
    </row>
    <row r="2989" spans="1:9">
      <c r="A2989" s="10" t="s">
        <v>4151</v>
      </c>
      <c r="B2989" s="124" t="s">
        <v>1887</v>
      </c>
      <c r="C2989" s="124" t="s">
        <v>471</v>
      </c>
      <c r="D2989" s="12">
        <v>10000000</v>
      </c>
      <c r="E2989" s="82">
        <v>0.88409841219999996</v>
      </c>
      <c r="F2989" s="14">
        <v>8840984.1199999992</v>
      </c>
      <c r="G2989" s="14">
        <v>0.01</v>
      </c>
      <c r="H2989" s="10"/>
      <c r="I2989" s="10"/>
    </row>
    <row r="2990" spans="1:9">
      <c r="A2990" s="10" t="s">
        <v>4152</v>
      </c>
      <c r="B2990" s="124" t="s">
        <v>2484</v>
      </c>
      <c r="C2990" s="124" t="s">
        <v>471</v>
      </c>
      <c r="D2990" s="12">
        <v>10000000</v>
      </c>
      <c r="E2990" s="82">
        <v>0.87778386119999996</v>
      </c>
      <c r="F2990" s="14">
        <v>8777838.6099999994</v>
      </c>
      <c r="G2990" s="14">
        <v>0.01</v>
      </c>
      <c r="H2990" s="10"/>
      <c r="I2990" s="10"/>
    </row>
    <row r="2991" spans="1:9">
      <c r="A2991" s="10" t="s">
        <v>4153</v>
      </c>
      <c r="B2991" s="124" t="s">
        <v>283</v>
      </c>
      <c r="C2991" s="124" t="s">
        <v>471</v>
      </c>
      <c r="D2991" s="12">
        <v>150000000</v>
      </c>
      <c r="E2991" s="82">
        <v>0.93112253879999995</v>
      </c>
      <c r="F2991" s="14">
        <v>139668380.81999999</v>
      </c>
      <c r="G2991" s="14">
        <v>0.17</v>
      </c>
      <c r="H2991" s="10"/>
      <c r="I2991" s="10"/>
    </row>
    <row r="2992" spans="1:9">
      <c r="A2992" s="10" t="s">
        <v>4154</v>
      </c>
      <c r="B2992" s="124" t="s">
        <v>992</v>
      </c>
      <c r="C2992" s="124" t="s">
        <v>471</v>
      </c>
      <c r="D2992" s="12">
        <v>150000000</v>
      </c>
      <c r="E2992" s="82">
        <v>0.92616098229999999</v>
      </c>
      <c r="F2992" s="14">
        <v>138924147.34999999</v>
      </c>
      <c r="G2992" s="14">
        <v>0.17</v>
      </c>
      <c r="H2992" s="10"/>
      <c r="I2992" s="10"/>
    </row>
    <row r="2993" spans="1:9">
      <c r="A2993" s="10" t="s">
        <v>4155</v>
      </c>
      <c r="B2993" s="124" t="s">
        <v>283</v>
      </c>
      <c r="C2993" s="124" t="s">
        <v>471</v>
      </c>
      <c r="D2993" s="12">
        <v>35345018</v>
      </c>
      <c r="E2993" s="82">
        <v>0.93112253879999995</v>
      </c>
      <c r="F2993" s="14">
        <v>32910542.890000001</v>
      </c>
      <c r="G2993" s="14">
        <v>0.04</v>
      </c>
      <c r="H2993" s="10"/>
      <c r="I2993" s="10"/>
    </row>
    <row r="2994" spans="1:9">
      <c r="A2994" s="10" t="s">
        <v>4156</v>
      </c>
      <c r="B2994" s="124" t="s">
        <v>992</v>
      </c>
      <c r="C2994" s="124" t="s">
        <v>471</v>
      </c>
      <c r="D2994" s="12">
        <v>100000000</v>
      </c>
      <c r="E2994" s="82">
        <v>0.92616098229999999</v>
      </c>
      <c r="F2994" s="14">
        <v>92616098.230000004</v>
      </c>
      <c r="G2994" s="14">
        <v>0.11</v>
      </c>
      <c r="H2994" s="10"/>
      <c r="I2994" s="10"/>
    </row>
    <row r="2995" spans="1:9">
      <c r="A2995" s="10" t="s">
        <v>4157</v>
      </c>
      <c r="B2995" s="124" t="s">
        <v>974</v>
      </c>
      <c r="C2995" s="124" t="s">
        <v>471</v>
      </c>
      <c r="D2995" s="12">
        <v>20000000</v>
      </c>
      <c r="E2995" s="82">
        <v>0.93183574940000002</v>
      </c>
      <c r="F2995" s="14">
        <v>18636714.989999998</v>
      </c>
      <c r="G2995" s="14">
        <v>0.02</v>
      </c>
      <c r="H2995" s="10"/>
      <c r="I2995" s="10"/>
    </row>
    <row r="2996" spans="1:9">
      <c r="A2996" s="10" t="s">
        <v>4158</v>
      </c>
      <c r="B2996" s="124" t="s">
        <v>1113</v>
      </c>
      <c r="C2996" s="124" t="s">
        <v>471</v>
      </c>
      <c r="D2996" s="12">
        <v>20000000</v>
      </c>
      <c r="E2996" s="82">
        <v>0.92686661039999996</v>
      </c>
      <c r="F2996" s="14">
        <v>18537332.210000001</v>
      </c>
      <c r="G2996" s="14">
        <v>0.02</v>
      </c>
      <c r="H2996" s="10"/>
      <c r="I2996" s="10"/>
    </row>
    <row r="2997" spans="1:9">
      <c r="A2997" s="10"/>
      <c r="B2997" s="10"/>
      <c r="C2997" s="10" t="s">
        <v>28</v>
      </c>
      <c r="D2997" s="10" t="s">
        <v>28</v>
      </c>
      <c r="E2997" s="10" t="s">
        <v>28</v>
      </c>
      <c r="F2997" s="14">
        <v>63111940820.860001</v>
      </c>
      <c r="G2997" s="14">
        <v>77.239999999999995</v>
      </c>
      <c r="H2997" s="10"/>
      <c r="I2997" s="10"/>
    </row>
    <row r="2998" spans="1:9">
      <c r="A2998" s="10" t="s">
        <v>28</v>
      </c>
      <c r="B2998" s="10"/>
      <c r="C2998" s="10"/>
      <c r="D2998" s="10"/>
      <c r="E2998" s="10"/>
      <c r="F2998" s="10"/>
      <c r="G2998" s="10"/>
      <c r="H2998" s="10"/>
      <c r="I2998" s="10"/>
    </row>
    <row r="2999" spans="1:9">
      <c r="A2999" s="10" t="s">
        <v>120</v>
      </c>
      <c r="B2999" s="10"/>
      <c r="C2999" s="10"/>
      <c r="D2999" s="10"/>
      <c r="E2999" s="10"/>
      <c r="F2999" s="10"/>
      <c r="G2999" s="10"/>
      <c r="H2999" s="10"/>
      <c r="I2999" s="10"/>
    </row>
    <row r="3000" spans="1:9">
      <c r="A3000" s="11" t="s">
        <v>9</v>
      </c>
      <c r="B3000" s="11" t="s">
        <v>97</v>
      </c>
      <c r="C3000" s="11" t="s">
        <v>16</v>
      </c>
      <c r="D3000" s="11" t="s">
        <v>99</v>
      </c>
      <c r="E3000" s="11" t="s">
        <v>32</v>
      </c>
      <c r="F3000" s="11" t="s">
        <v>100</v>
      </c>
      <c r="G3000" s="11" t="s">
        <v>4</v>
      </c>
      <c r="H3000" s="11"/>
      <c r="I3000" s="11"/>
    </row>
    <row r="3001" spans="1:9">
      <c r="A3001" s="10" t="s">
        <v>276</v>
      </c>
      <c r="B3001" s="124" t="s">
        <v>277</v>
      </c>
      <c r="C3001" s="124" t="s">
        <v>139</v>
      </c>
      <c r="D3001" s="12">
        <v>20856</v>
      </c>
      <c r="E3001" s="82">
        <v>1368.9451906423999</v>
      </c>
      <c r="F3001" s="14">
        <v>28550721.050000001</v>
      </c>
      <c r="G3001" s="14">
        <v>0.03</v>
      </c>
      <c r="H3001" s="10"/>
      <c r="I3001" s="10"/>
    </row>
    <row r="3002" spans="1:9">
      <c r="A3002" s="10" t="s">
        <v>278</v>
      </c>
      <c r="B3002" s="124" t="s">
        <v>279</v>
      </c>
      <c r="C3002" s="124" t="s">
        <v>139</v>
      </c>
      <c r="D3002" s="12">
        <v>20856</v>
      </c>
      <c r="E3002" s="82">
        <v>1432.8188226948</v>
      </c>
      <c r="F3002" s="153">
        <v>29882869.300000001</v>
      </c>
      <c r="G3002" s="14">
        <v>0.04</v>
      </c>
      <c r="H3002" s="10"/>
      <c r="I3002" s="10"/>
    </row>
    <row r="3003" spans="1:9">
      <c r="A3003" s="10" t="s">
        <v>280</v>
      </c>
      <c r="B3003" s="124" t="s">
        <v>281</v>
      </c>
      <c r="C3003" s="124" t="s">
        <v>139</v>
      </c>
      <c r="D3003" s="12">
        <v>20856</v>
      </c>
      <c r="E3003" s="82">
        <v>1310.8295544278999</v>
      </c>
      <c r="F3003" s="14">
        <v>27338661.039999999</v>
      </c>
      <c r="G3003" s="14">
        <v>0.03</v>
      </c>
      <c r="H3003" s="10"/>
      <c r="I3003" s="10"/>
    </row>
    <row r="3004" spans="1:9">
      <c r="A3004" s="10" t="s">
        <v>282</v>
      </c>
      <c r="B3004" s="124" t="s">
        <v>283</v>
      </c>
      <c r="C3004" s="124" t="s">
        <v>139</v>
      </c>
      <c r="D3004" s="12">
        <v>13904</v>
      </c>
      <c r="E3004" s="82">
        <v>1502.5460085051</v>
      </c>
      <c r="F3004" s="14">
        <v>20891399.73</v>
      </c>
      <c r="G3004" s="14">
        <v>0.03</v>
      </c>
      <c r="H3004" s="10"/>
      <c r="I3004" s="10"/>
    </row>
    <row r="3005" spans="1:9">
      <c r="A3005" s="10" t="s">
        <v>414</v>
      </c>
      <c r="B3005" s="124" t="s">
        <v>415</v>
      </c>
      <c r="C3005" s="124" t="s">
        <v>294</v>
      </c>
      <c r="D3005" s="12">
        <v>18230</v>
      </c>
      <c r="E3005" s="82">
        <v>1533.2100020277001</v>
      </c>
      <c r="F3005" s="14">
        <v>27950418.329999998</v>
      </c>
      <c r="G3005" s="14">
        <v>0.03</v>
      </c>
      <c r="H3005" s="10"/>
      <c r="I3005" s="10"/>
    </row>
    <row r="3006" spans="1:9">
      <c r="A3006" s="10" t="s">
        <v>418</v>
      </c>
      <c r="B3006" s="124" t="s">
        <v>419</v>
      </c>
      <c r="C3006" s="124" t="s">
        <v>294</v>
      </c>
      <c r="D3006" s="12">
        <v>18230</v>
      </c>
      <c r="E3006" s="82">
        <v>1523.5653762772999</v>
      </c>
      <c r="F3006" s="14">
        <v>27774596.809999999</v>
      </c>
      <c r="G3006" s="14">
        <v>0.03</v>
      </c>
      <c r="H3006" s="10"/>
      <c r="I3006" s="10"/>
    </row>
    <row r="3007" spans="1:9">
      <c r="A3007" s="10" t="s">
        <v>420</v>
      </c>
      <c r="B3007" s="124" t="s">
        <v>421</v>
      </c>
      <c r="C3007" s="124" t="s">
        <v>294</v>
      </c>
      <c r="D3007" s="12">
        <v>18230</v>
      </c>
      <c r="E3007" s="82">
        <v>1466.0202362566999</v>
      </c>
      <c r="F3007" s="14">
        <v>26725548.91</v>
      </c>
      <c r="G3007" s="14">
        <v>0.03</v>
      </c>
      <c r="H3007" s="10"/>
      <c r="I3007" s="10"/>
    </row>
    <row r="3008" spans="1:9">
      <c r="A3008" s="10" t="s">
        <v>422</v>
      </c>
      <c r="B3008" s="124" t="s">
        <v>423</v>
      </c>
      <c r="C3008" s="124" t="s">
        <v>294</v>
      </c>
      <c r="D3008" s="12">
        <v>18230</v>
      </c>
      <c r="E3008" s="157">
        <v>1494.0783266410001</v>
      </c>
      <c r="F3008" s="153">
        <v>27237047.899999999</v>
      </c>
      <c r="G3008" s="14">
        <v>0.03</v>
      </c>
      <c r="H3008" s="10"/>
      <c r="I3008" s="10"/>
    </row>
    <row r="3009" spans="1:9">
      <c r="A3009" s="10" t="s">
        <v>424</v>
      </c>
      <c r="B3009" s="124" t="s">
        <v>425</v>
      </c>
      <c r="C3009" s="124" t="s">
        <v>294</v>
      </c>
      <c r="D3009" s="12">
        <v>18230</v>
      </c>
      <c r="E3009" s="82">
        <v>1475.8692432885</v>
      </c>
      <c r="F3009" s="14">
        <v>26905096.25</v>
      </c>
      <c r="G3009" s="14">
        <v>0.03</v>
      </c>
      <c r="H3009" s="10"/>
      <c r="I3009" s="10"/>
    </row>
    <row r="3010" spans="1:9">
      <c r="A3010" s="10" t="s">
        <v>426</v>
      </c>
      <c r="B3010" s="124" t="s">
        <v>427</v>
      </c>
      <c r="C3010" s="124" t="s">
        <v>294</v>
      </c>
      <c r="D3010" s="12">
        <v>18230</v>
      </c>
      <c r="E3010" s="82">
        <v>1485.2317921956001</v>
      </c>
      <c r="F3010" s="14">
        <v>27075775.539999999</v>
      </c>
      <c r="G3010" s="14">
        <v>0.03</v>
      </c>
      <c r="H3010" s="10"/>
      <c r="I3010" s="10"/>
    </row>
    <row r="3011" spans="1:9">
      <c r="A3011" s="10" t="s">
        <v>428</v>
      </c>
      <c r="B3011" s="124" t="s">
        <v>429</v>
      </c>
      <c r="C3011" s="124" t="s">
        <v>294</v>
      </c>
      <c r="D3011" s="12">
        <v>18230</v>
      </c>
      <c r="E3011" s="82">
        <v>1514.0415206683999</v>
      </c>
      <c r="F3011" s="153">
        <v>27600976.899999999</v>
      </c>
      <c r="G3011" s="14">
        <v>0.03</v>
      </c>
      <c r="H3011" s="10"/>
      <c r="I3011" s="10"/>
    </row>
    <row r="3012" spans="1:9">
      <c r="A3012" s="10" t="s">
        <v>430</v>
      </c>
      <c r="B3012" s="124" t="s">
        <v>431</v>
      </c>
      <c r="C3012" s="124" t="s">
        <v>294</v>
      </c>
      <c r="D3012" s="12">
        <v>18230</v>
      </c>
      <c r="E3012" s="82">
        <v>1503.6689042086</v>
      </c>
      <c r="F3012" s="14">
        <v>27411884.09</v>
      </c>
      <c r="G3012" s="14">
        <v>0.03</v>
      </c>
      <c r="H3012" s="10"/>
      <c r="I3012" s="10"/>
    </row>
    <row r="3013" spans="1:9">
      <c r="A3013" s="10" t="s">
        <v>579</v>
      </c>
      <c r="B3013" s="124" t="s">
        <v>578</v>
      </c>
      <c r="C3013" s="124" t="s">
        <v>300</v>
      </c>
      <c r="D3013" s="12">
        <v>500000</v>
      </c>
      <c r="E3013" s="82">
        <v>1537.5710118036</v>
      </c>
      <c r="F3013" s="153">
        <v>768785505.89999998</v>
      </c>
      <c r="G3013" s="14">
        <v>0.94</v>
      </c>
      <c r="H3013" s="10"/>
      <c r="I3013" s="10"/>
    </row>
    <row r="3014" spans="1:9">
      <c r="A3014" s="10" t="s">
        <v>640</v>
      </c>
      <c r="B3014" s="124" t="s">
        <v>578</v>
      </c>
      <c r="C3014" s="124" t="s">
        <v>317</v>
      </c>
      <c r="D3014" s="12">
        <v>100000</v>
      </c>
      <c r="E3014" s="82">
        <v>1537.3185802859</v>
      </c>
      <c r="F3014" s="14">
        <v>153731858.00999999</v>
      </c>
      <c r="G3014" s="14">
        <v>0.19</v>
      </c>
      <c r="H3014" s="10"/>
      <c r="I3014" s="10"/>
    </row>
    <row r="3015" spans="1:9">
      <c r="A3015" s="10" t="s">
        <v>787</v>
      </c>
      <c r="B3015" s="124" t="s">
        <v>682</v>
      </c>
      <c r="C3015" s="124" t="s">
        <v>407</v>
      </c>
      <c r="D3015" s="12">
        <v>50000</v>
      </c>
      <c r="E3015" s="82">
        <v>1527.8724071521999</v>
      </c>
      <c r="F3015" s="14">
        <v>76393620.359999999</v>
      </c>
      <c r="G3015" s="14">
        <v>0.09</v>
      </c>
      <c r="H3015" s="10"/>
      <c r="I3015" s="10"/>
    </row>
    <row r="3016" spans="1:9">
      <c r="A3016" s="10" t="s">
        <v>788</v>
      </c>
      <c r="B3016" s="124" t="s">
        <v>578</v>
      </c>
      <c r="C3016" s="124" t="s">
        <v>407</v>
      </c>
      <c r="D3016" s="12">
        <v>50000</v>
      </c>
      <c r="E3016" s="82">
        <v>1537.5712273467</v>
      </c>
      <c r="F3016" s="14">
        <v>76878561.370000005</v>
      </c>
      <c r="G3016" s="14">
        <v>0.09</v>
      </c>
      <c r="H3016" s="10"/>
      <c r="I3016" s="10"/>
    </row>
    <row r="3017" spans="1:9">
      <c r="A3017" s="10" t="s">
        <v>875</v>
      </c>
      <c r="B3017" s="124" t="s">
        <v>682</v>
      </c>
      <c r="C3017" s="124" t="s">
        <v>378</v>
      </c>
      <c r="D3017" s="12">
        <v>100000</v>
      </c>
      <c r="E3017" s="82">
        <v>1526.4198015987999</v>
      </c>
      <c r="F3017" s="14">
        <v>152641980.11000001</v>
      </c>
      <c r="G3017" s="14">
        <v>0.19</v>
      </c>
      <c r="H3017" s="10"/>
      <c r="I3017" s="10"/>
    </row>
    <row r="3018" spans="1:9">
      <c r="A3018" s="10" t="s">
        <v>876</v>
      </c>
      <c r="B3018" s="124" t="s">
        <v>636</v>
      </c>
      <c r="C3018" s="124" t="s">
        <v>378</v>
      </c>
      <c r="D3018" s="12">
        <v>20000</v>
      </c>
      <c r="E3018" s="157">
        <v>1516.655393664</v>
      </c>
      <c r="F3018" s="14">
        <v>30333107.890000001</v>
      </c>
      <c r="G3018" s="14">
        <v>0.04</v>
      </c>
      <c r="H3018" s="10"/>
      <c r="I3018" s="10"/>
    </row>
    <row r="3019" spans="1:9">
      <c r="A3019" s="10" t="s">
        <v>958</v>
      </c>
      <c r="B3019" s="124" t="s">
        <v>959</v>
      </c>
      <c r="C3019" s="124" t="s">
        <v>372</v>
      </c>
      <c r="D3019" s="12">
        <v>20100</v>
      </c>
      <c r="E3019" s="82">
        <v>1457.1903261827999</v>
      </c>
      <c r="F3019" s="14">
        <v>29289525.550000001</v>
      </c>
      <c r="G3019" s="14">
        <v>0.04</v>
      </c>
      <c r="H3019" s="10"/>
      <c r="I3019" s="10"/>
    </row>
    <row r="3020" spans="1:9">
      <c r="A3020" s="10" t="s">
        <v>960</v>
      </c>
      <c r="B3020" s="124" t="s">
        <v>961</v>
      </c>
      <c r="C3020" s="124" t="s">
        <v>372</v>
      </c>
      <c r="D3020" s="12">
        <v>20100</v>
      </c>
      <c r="E3020" s="82">
        <v>1438.0993754949</v>
      </c>
      <c r="F3020" s="14">
        <v>28905797.379999999</v>
      </c>
      <c r="G3020" s="14">
        <v>0.04</v>
      </c>
      <c r="H3020" s="10"/>
      <c r="I3020" s="10"/>
    </row>
    <row r="3021" spans="1:9">
      <c r="A3021" s="10" t="s">
        <v>962</v>
      </c>
      <c r="B3021" s="124" t="s">
        <v>963</v>
      </c>
      <c r="C3021" s="124" t="s">
        <v>372</v>
      </c>
      <c r="D3021" s="12">
        <v>20100</v>
      </c>
      <c r="E3021" s="82">
        <v>1446.3917326625999</v>
      </c>
      <c r="F3021" s="14">
        <v>29072473.719999999</v>
      </c>
      <c r="G3021" s="14">
        <v>0.04</v>
      </c>
      <c r="H3021" s="10"/>
      <c r="I3021" s="10"/>
    </row>
    <row r="3022" spans="1:9">
      <c r="A3022" s="10" t="s">
        <v>982</v>
      </c>
      <c r="B3022" s="124" t="s">
        <v>578</v>
      </c>
      <c r="C3022" s="124" t="s">
        <v>389</v>
      </c>
      <c r="D3022" s="12">
        <v>188100</v>
      </c>
      <c r="E3022" s="82">
        <v>1537.5709238929001</v>
      </c>
      <c r="F3022" s="14">
        <v>289217090.77999997</v>
      </c>
      <c r="G3022" s="14">
        <v>0.35</v>
      </c>
      <c r="H3022" s="10"/>
      <c r="I3022" s="10"/>
    </row>
    <row r="3023" spans="1:9">
      <c r="A3023" s="10" t="s">
        <v>1309</v>
      </c>
      <c r="B3023" s="124" t="s">
        <v>636</v>
      </c>
      <c r="C3023" s="124" t="s">
        <v>162</v>
      </c>
      <c r="D3023" s="12">
        <v>125000</v>
      </c>
      <c r="E3023" s="82">
        <v>1513.8372308388</v>
      </c>
      <c r="F3023" s="14">
        <v>189229653.84999999</v>
      </c>
      <c r="G3023" s="14">
        <v>0.23</v>
      </c>
      <c r="H3023" s="10"/>
      <c r="I3023" s="10"/>
    </row>
    <row r="3024" spans="1:9">
      <c r="A3024" s="10" t="s">
        <v>1483</v>
      </c>
      <c r="B3024" s="124" t="s">
        <v>636</v>
      </c>
      <c r="C3024" s="124" t="s">
        <v>486</v>
      </c>
      <c r="D3024" s="12">
        <v>415000</v>
      </c>
      <c r="E3024" s="157">
        <v>1516.6562749269999</v>
      </c>
      <c r="F3024" s="14">
        <v>629412354.27999997</v>
      </c>
      <c r="G3024" s="14">
        <v>0.77</v>
      </c>
      <c r="H3024" s="10"/>
      <c r="I3024" s="10"/>
    </row>
    <row r="3025" spans="1:9">
      <c r="A3025" s="10" t="s">
        <v>1633</v>
      </c>
      <c r="B3025" s="124" t="s">
        <v>682</v>
      </c>
      <c r="C3025" s="124" t="s">
        <v>447</v>
      </c>
      <c r="D3025" s="12">
        <v>150000</v>
      </c>
      <c r="E3025" s="82">
        <v>1527.8723038455</v>
      </c>
      <c r="F3025" s="14">
        <v>229180845.68000001</v>
      </c>
      <c r="G3025" s="14">
        <v>0.28000000000000003</v>
      </c>
      <c r="H3025" s="10"/>
      <c r="I3025" s="10"/>
    </row>
    <row r="3026" spans="1:9">
      <c r="A3026" s="10" t="s">
        <v>1741</v>
      </c>
      <c r="B3026" s="124" t="s">
        <v>578</v>
      </c>
      <c r="C3026" s="124" t="s">
        <v>398</v>
      </c>
      <c r="D3026" s="12">
        <v>100000</v>
      </c>
      <c r="E3026" s="82">
        <v>1537.0663947951</v>
      </c>
      <c r="F3026" s="14">
        <v>153706639.47999999</v>
      </c>
      <c r="G3026" s="14">
        <v>0.19</v>
      </c>
      <c r="H3026" s="10"/>
      <c r="I3026" s="10"/>
    </row>
    <row r="3027" spans="1:9">
      <c r="A3027" s="10" t="s">
        <v>2077</v>
      </c>
      <c r="B3027" s="124" t="s">
        <v>682</v>
      </c>
      <c r="C3027" s="124" t="s">
        <v>408</v>
      </c>
      <c r="D3027" s="12">
        <v>450000</v>
      </c>
      <c r="E3027" s="82">
        <v>1527.8723387942</v>
      </c>
      <c r="F3027" s="14">
        <v>687542552.42999995</v>
      </c>
      <c r="G3027" s="14">
        <v>0.84</v>
      </c>
      <c r="H3027" s="10"/>
      <c r="I3027" s="10"/>
    </row>
    <row r="3028" spans="1:9">
      <c r="A3028" s="10" t="s">
        <v>2559</v>
      </c>
      <c r="B3028" s="124" t="s">
        <v>636</v>
      </c>
      <c r="C3028" s="124" t="s">
        <v>464</v>
      </c>
      <c r="D3028" s="12">
        <v>263100</v>
      </c>
      <c r="E3028" s="82">
        <v>1511.0283328225</v>
      </c>
      <c r="F3028" s="14">
        <v>397551554.43000001</v>
      </c>
      <c r="G3028" s="14">
        <v>0.49</v>
      </c>
      <c r="H3028" s="10"/>
      <c r="I3028" s="10"/>
    </row>
    <row r="3029" spans="1:9">
      <c r="A3029" s="10" t="s">
        <v>2666</v>
      </c>
      <c r="B3029" s="124" t="s">
        <v>992</v>
      </c>
      <c r="C3029" s="124" t="s">
        <v>603</v>
      </c>
      <c r="D3029" s="12">
        <v>70000</v>
      </c>
      <c r="E3029" s="82">
        <v>1503.6296667567001</v>
      </c>
      <c r="F3029" s="14">
        <v>105254076.73</v>
      </c>
      <c r="G3029" s="14">
        <v>0.13</v>
      </c>
      <c r="H3029" s="10"/>
      <c r="I3029" s="10"/>
    </row>
    <row r="3030" spans="1:9">
      <c r="A3030" s="10" t="s">
        <v>2817</v>
      </c>
      <c r="B3030" s="124" t="s">
        <v>2818</v>
      </c>
      <c r="C3030" s="124" t="s">
        <v>412</v>
      </c>
      <c r="D3030" s="12">
        <v>1300000</v>
      </c>
      <c r="E3030" s="82">
        <v>1471.3853459689001</v>
      </c>
      <c r="F3030" s="14">
        <v>1912800946.1700001</v>
      </c>
      <c r="G3030" s="14">
        <v>2.34</v>
      </c>
      <c r="H3030" s="10"/>
      <c r="I3030" s="10"/>
    </row>
    <row r="3031" spans="1:9">
      <c r="A3031" s="10" t="s">
        <v>3301</v>
      </c>
      <c r="B3031" s="124" t="s">
        <v>3302</v>
      </c>
      <c r="C3031" s="124" t="s">
        <v>417</v>
      </c>
      <c r="D3031" s="12">
        <v>500000</v>
      </c>
      <c r="E3031" s="82">
        <v>1461.3982896354</v>
      </c>
      <c r="F3031" s="14">
        <v>730699146.13</v>
      </c>
      <c r="G3031" s="14">
        <v>0.89</v>
      </c>
      <c r="H3031" s="10"/>
      <c r="I3031" s="10"/>
    </row>
    <row r="3032" spans="1:9">
      <c r="A3032" s="10" t="s">
        <v>3438</v>
      </c>
      <c r="B3032" s="124" t="s">
        <v>636</v>
      </c>
      <c r="C3032" s="124" t="s">
        <v>450</v>
      </c>
      <c r="D3032" s="12">
        <v>100000</v>
      </c>
      <c r="E3032" s="82">
        <v>1513.8368621062</v>
      </c>
      <c r="F3032" s="14">
        <v>151383686.13</v>
      </c>
      <c r="G3032" s="14">
        <v>0.19</v>
      </c>
      <c r="H3032" s="10"/>
      <c r="I3032" s="10"/>
    </row>
    <row r="3033" spans="1:9">
      <c r="A3033" s="10" t="s">
        <v>3829</v>
      </c>
      <c r="B3033" s="124" t="s">
        <v>992</v>
      </c>
      <c r="C3033" s="124" t="s">
        <v>468</v>
      </c>
      <c r="D3033" s="12">
        <v>50000</v>
      </c>
      <c r="E3033" s="82">
        <v>1507.5426988418999</v>
      </c>
      <c r="F3033" s="14">
        <v>75377134.859999999</v>
      </c>
      <c r="G3033" s="14">
        <v>0.09</v>
      </c>
      <c r="H3033" s="10"/>
      <c r="I3033" s="10"/>
    </row>
    <row r="3034" spans="1:9">
      <c r="A3034" s="10"/>
      <c r="B3034" s="10"/>
      <c r="C3034" s="10" t="s">
        <v>28</v>
      </c>
      <c r="D3034" s="10" t="s">
        <v>28</v>
      </c>
      <c r="E3034" s="10" t="s">
        <v>28</v>
      </c>
      <c r="F3034" s="14">
        <v>7222733107.0900002</v>
      </c>
      <c r="G3034" s="14">
        <v>8.84</v>
      </c>
      <c r="H3034" s="10"/>
      <c r="I3034" s="10"/>
    </row>
    <row r="3035" spans="1:9">
      <c r="A3035" s="10" t="s">
        <v>28</v>
      </c>
      <c r="B3035" s="10"/>
      <c r="C3035" s="10"/>
      <c r="D3035" s="10"/>
      <c r="E3035" s="10"/>
      <c r="F3035" s="10"/>
      <c r="G3035" s="10"/>
      <c r="H3035" s="10"/>
      <c r="I3035" s="10"/>
    </row>
    <row r="3036" spans="1:9">
      <c r="A3036" s="10" t="s">
        <v>842</v>
      </c>
      <c r="B3036" s="10"/>
      <c r="C3036" s="10"/>
      <c r="D3036" s="10"/>
      <c r="E3036" s="10"/>
      <c r="F3036" s="10"/>
      <c r="G3036" s="10"/>
      <c r="H3036" s="10"/>
      <c r="I3036" s="10"/>
    </row>
    <row r="3037" spans="1:9">
      <c r="A3037" s="11" t="s">
        <v>9</v>
      </c>
      <c r="B3037" s="11" t="s">
        <v>97</v>
      </c>
      <c r="C3037" s="11" t="s">
        <v>16</v>
      </c>
      <c r="D3037" s="11" t="s">
        <v>99</v>
      </c>
      <c r="E3037" s="11" t="s">
        <v>32</v>
      </c>
      <c r="F3037" s="11" t="s">
        <v>100</v>
      </c>
      <c r="G3037" s="11" t="s">
        <v>4</v>
      </c>
      <c r="H3037" s="11"/>
      <c r="I3037" s="11"/>
    </row>
    <row r="3038" spans="1:9">
      <c r="A3038" s="10" t="s">
        <v>3303</v>
      </c>
      <c r="B3038" s="124" t="s">
        <v>513</v>
      </c>
      <c r="C3038" s="124" t="s">
        <v>417</v>
      </c>
      <c r="D3038" s="153">
        <v>136308.70000000001</v>
      </c>
      <c r="E3038" s="82">
        <v>1544.0102607447</v>
      </c>
      <c r="F3038" s="14">
        <v>210462031.47</v>
      </c>
      <c r="G3038" s="14">
        <v>0.26</v>
      </c>
      <c r="H3038" s="10"/>
      <c r="I3038" s="10"/>
    </row>
    <row r="3039" spans="1:9">
      <c r="A3039" s="10" t="s">
        <v>4159</v>
      </c>
      <c r="B3039" s="124" t="s">
        <v>995</v>
      </c>
      <c r="C3039" s="124" t="s">
        <v>471</v>
      </c>
      <c r="D3039" s="153">
        <v>5817.6</v>
      </c>
      <c r="E3039" s="82">
        <v>1501.1461350372999</v>
      </c>
      <c r="F3039" s="14">
        <v>8733067.7599999998</v>
      </c>
      <c r="G3039" s="14">
        <v>0.01</v>
      </c>
      <c r="H3039" s="10"/>
      <c r="I3039" s="10"/>
    </row>
    <row r="3040" spans="1:9">
      <c r="A3040" s="10" t="s">
        <v>4160</v>
      </c>
      <c r="B3040" s="124" t="s">
        <v>995</v>
      </c>
      <c r="C3040" s="124" t="s">
        <v>471</v>
      </c>
      <c r="D3040" s="14">
        <v>3067.99</v>
      </c>
      <c r="E3040" s="82">
        <v>1501.1490547335</v>
      </c>
      <c r="F3040" s="14">
        <v>4605510.29</v>
      </c>
      <c r="G3040" s="14">
        <v>0.01</v>
      </c>
      <c r="H3040" s="10"/>
      <c r="I3040" s="10"/>
    </row>
    <row r="3041" spans="1:9">
      <c r="A3041" s="10"/>
      <c r="B3041" s="10"/>
      <c r="C3041" s="10" t="s">
        <v>28</v>
      </c>
      <c r="D3041" s="10" t="s">
        <v>28</v>
      </c>
      <c r="E3041" s="10" t="s">
        <v>28</v>
      </c>
      <c r="F3041" s="14">
        <v>223800609.52000001</v>
      </c>
      <c r="G3041" s="14">
        <v>0.27</v>
      </c>
      <c r="H3041" s="10"/>
      <c r="I3041" s="10"/>
    </row>
    <row r="3042" spans="1:9">
      <c r="A3042" s="10" t="s">
        <v>28</v>
      </c>
      <c r="B3042" s="10"/>
      <c r="C3042" s="10"/>
      <c r="D3042" s="10"/>
      <c r="E3042" s="10"/>
      <c r="F3042" s="10"/>
      <c r="G3042" s="10"/>
      <c r="H3042" s="10"/>
      <c r="I3042" s="10"/>
    </row>
    <row r="3043" spans="1:9">
      <c r="A3043" s="10" t="s">
        <v>7</v>
      </c>
      <c r="B3043" s="10"/>
      <c r="C3043" s="10"/>
      <c r="D3043" s="10"/>
      <c r="E3043" s="10"/>
      <c r="F3043" s="10"/>
      <c r="G3043" s="10"/>
      <c r="H3043" s="10"/>
      <c r="I3043" s="10"/>
    </row>
    <row r="3044" spans="1:9">
      <c r="A3044" s="11" t="s">
        <v>8</v>
      </c>
      <c r="B3044" s="11" t="s">
        <v>2</v>
      </c>
      <c r="C3044" s="11" t="s">
        <v>4</v>
      </c>
      <c r="D3044" s="11"/>
      <c r="E3044" s="11"/>
      <c r="F3044" s="11"/>
      <c r="G3044" s="11"/>
      <c r="H3044" s="11"/>
      <c r="I3044" s="11"/>
    </row>
    <row r="3045" spans="1:9">
      <c r="A3045" s="10" t="s">
        <v>87</v>
      </c>
      <c r="B3045" s="14">
        <v>22697814.710000001</v>
      </c>
      <c r="C3045" s="14">
        <v>0.03</v>
      </c>
      <c r="D3045" s="10"/>
      <c r="E3045" s="10"/>
      <c r="F3045" s="10"/>
      <c r="G3045" s="10"/>
      <c r="H3045" s="10"/>
      <c r="I3045" s="10"/>
    </row>
    <row r="3046" spans="1:9">
      <c r="A3046" s="10" t="s">
        <v>28</v>
      </c>
      <c r="B3046" s="14">
        <v>22697814.710000001</v>
      </c>
      <c r="C3046" s="14">
        <v>0.03</v>
      </c>
      <c r="D3046" s="10"/>
      <c r="E3046" s="10"/>
      <c r="F3046" s="10"/>
      <c r="G3046" s="10"/>
      <c r="H3046" s="10"/>
      <c r="I3046" s="10"/>
    </row>
    <row r="3047" spans="1:9">
      <c r="A3047" s="10" t="s">
        <v>28</v>
      </c>
      <c r="B3047" s="10"/>
      <c r="C3047" s="10"/>
      <c r="D3047" s="10"/>
      <c r="E3047" s="10"/>
      <c r="F3047" s="10"/>
      <c r="G3047" s="10"/>
      <c r="H3047" s="10"/>
      <c r="I3047" s="10"/>
    </row>
    <row r="3048" spans="1:9">
      <c r="A3048" s="10" t="s">
        <v>4161</v>
      </c>
      <c r="B3048" s="10"/>
      <c r="C3048" s="10"/>
      <c r="D3048" s="10"/>
      <c r="E3048" s="10"/>
      <c r="F3048" s="10"/>
      <c r="G3048" s="10"/>
      <c r="H3048" s="10"/>
      <c r="I3048" s="10"/>
    </row>
    <row r="3049" spans="1:9">
      <c r="A3049" s="10" t="s">
        <v>28</v>
      </c>
      <c r="B3049" s="10"/>
      <c r="C3049" s="10"/>
      <c r="D3049" s="10"/>
      <c r="E3049" s="10"/>
      <c r="F3049" s="10"/>
      <c r="G3049" s="10"/>
      <c r="H3049" s="10"/>
      <c r="I3049" s="10"/>
    </row>
    <row r="3050" spans="1:9">
      <c r="A3050" s="10" t="s">
        <v>121</v>
      </c>
      <c r="B3050" s="10"/>
      <c r="C3050" s="10"/>
      <c r="D3050" s="10"/>
      <c r="E3050" s="10"/>
      <c r="F3050" s="10"/>
      <c r="G3050" s="10"/>
      <c r="H3050" s="10"/>
      <c r="I3050" s="10"/>
    </row>
    <row r="3051" spans="1:9">
      <c r="A3051" s="10" t="s">
        <v>357</v>
      </c>
      <c r="B3051" s="10"/>
      <c r="C3051" s="10"/>
      <c r="D3051" s="10"/>
      <c r="E3051" s="10"/>
      <c r="F3051" s="10"/>
      <c r="G3051" s="10"/>
      <c r="H3051" s="10"/>
      <c r="I3051" s="10"/>
    </row>
    <row r="3052" spans="1:9">
      <c r="A3052" s="11" t="s">
        <v>8</v>
      </c>
      <c r="B3052" s="11" t="s">
        <v>122</v>
      </c>
      <c r="C3052" s="11" t="s">
        <v>123</v>
      </c>
      <c r="D3052" s="11"/>
      <c r="E3052" s="11"/>
      <c r="F3052" s="11"/>
      <c r="G3052" s="11"/>
      <c r="H3052" s="11"/>
      <c r="I3052" s="11"/>
    </row>
    <row r="3053" spans="1:9">
      <c r="A3053" s="10" t="s">
        <v>496</v>
      </c>
      <c r="B3053" s="12">
        <v>500000000</v>
      </c>
      <c r="C3053" s="12">
        <v>637261975</v>
      </c>
      <c r="D3053" s="10"/>
      <c r="E3053" s="10"/>
      <c r="F3053" s="10"/>
      <c r="G3053" s="10"/>
      <c r="H3053" s="10"/>
      <c r="I3053" s="10"/>
    </row>
    <row r="3054" spans="1:9">
      <c r="A3054" s="10" t="s">
        <v>712</v>
      </c>
      <c r="B3054" s="12">
        <v>600000000</v>
      </c>
      <c r="C3054" s="12">
        <v>661501302</v>
      </c>
      <c r="D3054" s="10"/>
      <c r="E3054" s="10"/>
      <c r="F3054" s="10"/>
      <c r="G3054" s="10"/>
      <c r="H3054" s="10"/>
      <c r="I3054" s="10"/>
    </row>
    <row r="3055" spans="1:9">
      <c r="A3055" s="10" t="s">
        <v>28</v>
      </c>
      <c r="B3055" s="10"/>
      <c r="C3055" s="10"/>
      <c r="D3055" s="10"/>
      <c r="E3055" s="10"/>
      <c r="F3055" s="10"/>
      <c r="G3055" s="10"/>
      <c r="H3055" s="10"/>
      <c r="I3055" s="10"/>
    </row>
    <row r="3056" spans="1:9">
      <c r="A3056" s="10" t="s">
        <v>12</v>
      </c>
      <c r="B3056" s="10"/>
      <c r="C3056" s="10"/>
      <c r="D3056" s="10"/>
      <c r="E3056" s="10"/>
      <c r="F3056" s="10"/>
      <c r="G3056" s="10"/>
      <c r="H3056" s="10"/>
      <c r="I3056" s="10"/>
    </row>
    <row r="3057" spans="1:9">
      <c r="A3057" s="10" t="s">
        <v>20</v>
      </c>
      <c r="B3057" s="10"/>
      <c r="C3057" s="10"/>
      <c r="D3057" s="10"/>
      <c r="E3057" s="10"/>
      <c r="F3057" s="10"/>
      <c r="G3057" s="10"/>
      <c r="H3057" s="10"/>
      <c r="I3057" s="10"/>
    </row>
    <row r="3058" spans="1:9">
      <c r="A3058" s="11" t="s">
        <v>9</v>
      </c>
      <c r="B3058" s="11" t="s">
        <v>30</v>
      </c>
      <c r="C3058" s="11" t="s">
        <v>25</v>
      </c>
      <c r="D3058" s="11" t="s">
        <v>21</v>
      </c>
      <c r="E3058" s="11"/>
      <c r="F3058" s="11"/>
      <c r="G3058" s="11"/>
      <c r="H3058" s="11"/>
      <c r="I3058" s="11"/>
    </row>
    <row r="3059" spans="1:9">
      <c r="A3059" s="10" t="s">
        <v>31</v>
      </c>
      <c r="B3059" s="124" t="s">
        <v>471</v>
      </c>
      <c r="C3059" s="155">
        <v>1549.203</v>
      </c>
      <c r="D3059" s="10" t="s">
        <v>28</v>
      </c>
      <c r="E3059" s="10"/>
      <c r="F3059" s="10"/>
      <c r="G3059" s="10"/>
      <c r="H3059" s="10"/>
      <c r="I3059" s="10"/>
    </row>
    <row r="3060" spans="1:9">
      <c r="A3060" s="10" t="s">
        <v>13</v>
      </c>
      <c r="B3060" s="124" t="s">
        <v>469</v>
      </c>
      <c r="C3060" s="155">
        <v>1547.6859999999999</v>
      </c>
      <c r="D3060" s="153">
        <v>0.1</v>
      </c>
      <c r="E3060" s="10"/>
      <c r="F3060" s="10"/>
      <c r="G3060" s="10"/>
      <c r="H3060" s="10"/>
      <c r="I3060" s="10"/>
    </row>
    <row r="3061" spans="1:9">
      <c r="A3061" s="10" t="s">
        <v>0</v>
      </c>
      <c r="B3061" s="124" t="s">
        <v>464</v>
      </c>
      <c r="C3061" s="155">
        <v>1517.9760000000001</v>
      </c>
      <c r="D3061" s="14">
        <v>2.06</v>
      </c>
      <c r="E3061" s="10"/>
      <c r="F3061" s="10"/>
      <c r="G3061" s="10"/>
      <c r="H3061" s="10"/>
      <c r="I3061" s="10"/>
    </row>
    <row r="3062" spans="1:9">
      <c r="A3062" s="10" t="s">
        <v>40</v>
      </c>
      <c r="B3062" s="124" t="s">
        <v>139</v>
      </c>
      <c r="C3062" s="155">
        <v>1231.2270000000001</v>
      </c>
      <c r="D3062" s="14">
        <v>25.83</v>
      </c>
      <c r="E3062" s="10"/>
      <c r="F3062" s="10"/>
      <c r="G3062" s="10"/>
      <c r="H3062" s="10"/>
      <c r="I3062" s="10"/>
    </row>
    <row r="3063" spans="1:9">
      <c r="A3063" s="10" t="s">
        <v>5</v>
      </c>
      <c r="B3063" s="124" t="s">
        <v>88</v>
      </c>
      <c r="C3063" s="12">
        <v>1000</v>
      </c>
      <c r="D3063" s="14">
        <v>54.92</v>
      </c>
      <c r="E3063" s="10"/>
      <c r="F3063" s="10"/>
      <c r="G3063" s="10"/>
      <c r="H3063" s="10"/>
      <c r="I3063" s="10"/>
    </row>
    <row r="3064" spans="1:9">
      <c r="A3064" s="10" t="s">
        <v>28</v>
      </c>
      <c r="B3064" s="10"/>
      <c r="C3064" s="10"/>
      <c r="D3064" s="10"/>
      <c r="E3064" s="10"/>
      <c r="F3064" s="10"/>
      <c r="G3064" s="10"/>
      <c r="H3064" s="10"/>
      <c r="I3064" s="10"/>
    </row>
    <row r="3065" spans="1:9">
      <c r="A3065" s="10" t="s">
        <v>23</v>
      </c>
      <c r="B3065" s="10"/>
      <c r="C3065" s="10"/>
      <c r="D3065" s="10"/>
      <c r="E3065" s="10"/>
      <c r="F3065" s="10"/>
      <c r="G3065" s="10"/>
      <c r="H3065" s="10"/>
      <c r="I3065" s="10"/>
    </row>
    <row r="3066" spans="1:9">
      <c r="A3066" s="11" t="s">
        <v>9</v>
      </c>
      <c r="B3066" s="11" t="s">
        <v>30</v>
      </c>
      <c r="C3066" s="11" t="s">
        <v>25</v>
      </c>
      <c r="D3066" s="11" t="s">
        <v>21</v>
      </c>
      <c r="E3066" s="11"/>
      <c r="F3066" s="11"/>
      <c r="G3066" s="11"/>
      <c r="H3066" s="11"/>
      <c r="I3066" s="11"/>
    </row>
    <row r="3067" spans="1:9">
      <c r="A3067" s="10" t="s">
        <v>31</v>
      </c>
      <c r="B3067" s="124" t="s">
        <v>471</v>
      </c>
      <c r="C3067" s="155">
        <v>1856.3610000000001</v>
      </c>
      <c r="D3067" s="10" t="s">
        <v>28</v>
      </c>
      <c r="E3067" s="10"/>
      <c r="F3067" s="10"/>
      <c r="G3067" s="10"/>
      <c r="H3067" s="10"/>
      <c r="I3067" s="10"/>
    </row>
    <row r="3068" spans="1:9">
      <c r="A3068" s="10" t="s">
        <v>13</v>
      </c>
      <c r="B3068" s="124" t="s">
        <v>469</v>
      </c>
      <c r="C3068" s="155">
        <v>1854.5429999999999</v>
      </c>
      <c r="D3068" s="153">
        <v>0.1</v>
      </c>
      <c r="E3068" s="10"/>
      <c r="F3068" s="10"/>
      <c r="G3068" s="10"/>
      <c r="H3068" s="10"/>
      <c r="I3068" s="10"/>
    </row>
    <row r="3069" spans="1:9">
      <c r="A3069" s="10" t="s">
        <v>0</v>
      </c>
      <c r="B3069" s="124" t="s">
        <v>464</v>
      </c>
      <c r="C3069" s="155">
        <v>1818.942</v>
      </c>
      <c r="D3069" s="14">
        <v>2.06</v>
      </c>
      <c r="E3069" s="10"/>
      <c r="F3069" s="10"/>
      <c r="G3069" s="10"/>
      <c r="H3069" s="10"/>
      <c r="I3069" s="10"/>
    </row>
    <row r="3070" spans="1:9">
      <c r="A3070" s="10" t="s">
        <v>40</v>
      </c>
      <c r="B3070" s="124" t="s">
        <v>139</v>
      </c>
      <c r="C3070" s="155">
        <v>1475.3389999999999</v>
      </c>
      <c r="D3070" s="14">
        <v>25.83</v>
      </c>
      <c r="E3070" s="10"/>
      <c r="F3070" s="10"/>
      <c r="G3070" s="10"/>
      <c r="H3070" s="10"/>
      <c r="I3070" s="10"/>
    </row>
    <row r="3071" spans="1:9">
      <c r="A3071" s="10" t="s">
        <v>5</v>
      </c>
      <c r="B3071" s="124" t="s">
        <v>88</v>
      </c>
      <c r="C3071" s="12">
        <v>1000</v>
      </c>
      <c r="D3071" s="14">
        <v>85.64</v>
      </c>
      <c r="E3071" s="10"/>
      <c r="F3071" s="10"/>
      <c r="G3071" s="10"/>
      <c r="H3071" s="10"/>
      <c r="I3071" s="10"/>
    </row>
    <row r="3072" spans="1:9">
      <c r="A3072" s="10" t="s">
        <v>28</v>
      </c>
      <c r="B3072" s="10"/>
      <c r="C3072" s="10"/>
      <c r="D3072" s="10"/>
      <c r="E3072" s="10"/>
      <c r="F3072" s="10"/>
      <c r="G3072" s="10"/>
      <c r="H3072" s="10"/>
      <c r="I3072" s="10"/>
    </row>
    <row r="3073" spans="1:9">
      <c r="A3073" s="10" t="s">
        <v>22</v>
      </c>
      <c r="B3073" s="10"/>
      <c r="C3073" s="10"/>
      <c r="D3073" s="10"/>
      <c r="E3073" s="10"/>
      <c r="F3073" s="10"/>
      <c r="G3073" s="10"/>
      <c r="H3073" s="10"/>
      <c r="I3073" s="10"/>
    </row>
    <row r="3074" spans="1:9">
      <c r="A3074" s="11" t="s">
        <v>9</v>
      </c>
      <c r="B3074" s="11" t="s">
        <v>30</v>
      </c>
      <c r="C3074" s="11" t="s">
        <v>25</v>
      </c>
      <c r="D3074" s="11" t="s">
        <v>21</v>
      </c>
      <c r="E3074" s="11"/>
      <c r="F3074" s="11"/>
      <c r="G3074" s="11"/>
      <c r="H3074" s="11"/>
      <c r="I3074" s="11"/>
    </row>
    <row r="3075" spans="1:9">
      <c r="A3075" s="10" t="s">
        <v>31</v>
      </c>
      <c r="B3075" s="124" t="s">
        <v>471</v>
      </c>
      <c r="C3075" s="155">
        <v>1870.1489999999999</v>
      </c>
      <c r="D3075" s="10" t="s">
        <v>28</v>
      </c>
      <c r="E3075" s="10"/>
      <c r="F3075" s="10"/>
      <c r="G3075" s="10"/>
      <c r="H3075" s="10"/>
      <c r="I3075" s="10"/>
    </row>
    <row r="3076" spans="1:9">
      <c r="A3076" s="10" t="s">
        <v>13</v>
      </c>
      <c r="B3076" s="124" t="s">
        <v>469</v>
      </c>
      <c r="C3076" s="155">
        <v>1868.318</v>
      </c>
      <c r="D3076" s="153">
        <v>0.1</v>
      </c>
      <c r="E3076" s="10"/>
      <c r="F3076" s="10"/>
      <c r="G3076" s="10"/>
      <c r="H3076" s="10"/>
      <c r="I3076" s="10"/>
    </row>
    <row r="3077" spans="1:9">
      <c r="A3077" s="10" t="s">
        <v>0</v>
      </c>
      <c r="B3077" s="124" t="s">
        <v>464</v>
      </c>
      <c r="C3077" s="155">
        <v>1832.453</v>
      </c>
      <c r="D3077" s="14">
        <v>2.06</v>
      </c>
      <c r="E3077" s="10"/>
      <c r="F3077" s="10"/>
      <c r="G3077" s="10"/>
      <c r="H3077" s="10"/>
      <c r="I3077" s="10"/>
    </row>
    <row r="3078" spans="1:9">
      <c r="A3078" s="10" t="s">
        <v>40</v>
      </c>
      <c r="B3078" s="124" t="s">
        <v>139</v>
      </c>
      <c r="C3078" s="153">
        <v>1486.3</v>
      </c>
      <c r="D3078" s="14">
        <v>25.83</v>
      </c>
      <c r="E3078" s="10"/>
      <c r="F3078" s="10"/>
      <c r="G3078" s="10"/>
      <c r="H3078" s="10"/>
      <c r="I3078" s="10"/>
    </row>
    <row r="3079" spans="1:9">
      <c r="A3079" s="10" t="s">
        <v>5</v>
      </c>
      <c r="B3079" s="124" t="s">
        <v>88</v>
      </c>
      <c r="C3079" s="12">
        <v>1000</v>
      </c>
      <c r="D3079" s="14">
        <v>87.01</v>
      </c>
      <c r="E3079" s="10"/>
      <c r="F3079" s="10"/>
      <c r="G3079" s="10"/>
      <c r="H3079" s="10"/>
      <c r="I3079" s="10"/>
    </row>
    <row r="3080" spans="1:9">
      <c r="A3080" s="10" t="s">
        <v>28</v>
      </c>
      <c r="B3080" s="10"/>
      <c r="C3080" s="10"/>
      <c r="D3080" s="10"/>
      <c r="E3080" s="10"/>
      <c r="F3080" s="10"/>
      <c r="G3080" s="10"/>
      <c r="H3080" s="10"/>
      <c r="I3080" s="10"/>
    </row>
    <row r="3081" spans="1:9">
      <c r="A3081" s="10" t="s">
        <v>221</v>
      </c>
      <c r="B3081" s="10"/>
      <c r="C3081" s="10"/>
      <c r="D3081" s="10"/>
      <c r="E3081" s="10"/>
      <c r="F3081" s="10"/>
      <c r="G3081" s="10"/>
      <c r="H3081" s="10"/>
      <c r="I3081" s="10"/>
    </row>
    <row r="3082" spans="1:9">
      <c r="A3082" s="11" t="s">
        <v>9</v>
      </c>
      <c r="B3082" s="11" t="s">
        <v>30</v>
      </c>
      <c r="C3082" s="11" t="s">
        <v>25</v>
      </c>
      <c r="D3082" s="11" t="s">
        <v>21</v>
      </c>
      <c r="E3082" s="11"/>
      <c r="F3082" s="11"/>
      <c r="G3082" s="11"/>
      <c r="H3082" s="11"/>
      <c r="I3082" s="11"/>
    </row>
    <row r="3083" spans="1:9">
      <c r="A3083" s="10" t="s">
        <v>31</v>
      </c>
      <c r="B3083" s="124" t="s">
        <v>471</v>
      </c>
      <c r="C3083" s="155">
        <v>1102.4880000000001</v>
      </c>
      <c r="D3083" s="10" t="s">
        <v>28</v>
      </c>
      <c r="E3083" s="10"/>
      <c r="F3083" s="10"/>
      <c r="G3083" s="10"/>
      <c r="H3083" s="10"/>
      <c r="I3083" s="10"/>
    </row>
    <row r="3084" spans="1:9">
      <c r="A3084" s="10" t="s">
        <v>13</v>
      </c>
      <c r="B3084" s="124" t="s">
        <v>469</v>
      </c>
      <c r="C3084" s="155">
        <v>1102.4880000000001</v>
      </c>
      <c r="D3084" s="12">
        <v>0</v>
      </c>
      <c r="E3084" s="10"/>
      <c r="F3084" s="10"/>
      <c r="G3084" s="10"/>
      <c r="H3084" s="10"/>
      <c r="I3084" s="10"/>
    </row>
    <row r="3085" spans="1:9">
      <c r="A3085" s="10" t="s">
        <v>0</v>
      </c>
      <c r="B3085" s="124" t="s">
        <v>464</v>
      </c>
      <c r="C3085" s="155">
        <v>1102.4880000000001</v>
      </c>
      <c r="D3085" s="12">
        <v>0</v>
      </c>
      <c r="E3085" s="10"/>
      <c r="F3085" s="10"/>
      <c r="G3085" s="10"/>
      <c r="H3085" s="10"/>
      <c r="I3085" s="10"/>
    </row>
    <row r="3086" spans="1:9">
      <c r="A3086" s="10" t="s">
        <v>40</v>
      </c>
      <c r="B3086" s="124" t="s">
        <v>139</v>
      </c>
      <c r="C3086" s="14">
        <v>1047.33</v>
      </c>
      <c r="D3086" s="14">
        <v>5.27</v>
      </c>
      <c r="E3086" s="10"/>
      <c r="F3086" s="10"/>
      <c r="G3086" s="10"/>
      <c r="H3086" s="10"/>
      <c r="I3086" s="10"/>
    </row>
    <row r="3087" spans="1:9">
      <c r="A3087" s="10" t="s">
        <v>5</v>
      </c>
      <c r="B3087" s="124" t="s">
        <v>130</v>
      </c>
      <c r="C3087" s="12">
        <v>1000</v>
      </c>
      <c r="D3087" s="14">
        <v>10.25</v>
      </c>
      <c r="E3087" s="10"/>
      <c r="F3087" s="10"/>
      <c r="G3087" s="10"/>
      <c r="H3087" s="10"/>
      <c r="I3087" s="10"/>
    </row>
    <row r="3088" spans="1:9">
      <c r="A3088" s="10" t="s">
        <v>28</v>
      </c>
      <c r="B3088" s="10"/>
      <c r="C3088" s="10"/>
      <c r="D3088" s="10"/>
      <c r="E3088" s="10"/>
      <c r="F3088" s="10"/>
      <c r="G3088" s="10"/>
      <c r="H3088" s="10"/>
      <c r="I3088" s="10"/>
    </row>
    <row r="3089" spans="1:9">
      <c r="A3089" s="10" t="s">
        <v>12</v>
      </c>
      <c r="B3089" s="10"/>
      <c r="C3089" s="10"/>
      <c r="D3089" s="10"/>
      <c r="E3089" s="10"/>
      <c r="F3089" s="10"/>
      <c r="G3089" s="10"/>
      <c r="H3089" s="10"/>
      <c r="I3089" s="10"/>
    </row>
    <row r="3090" spans="1:9">
      <c r="A3090" s="10"/>
      <c r="B3090" s="10"/>
      <c r="C3090" s="10"/>
      <c r="D3090" s="10"/>
      <c r="E3090" s="10"/>
      <c r="F3090" s="10"/>
      <c r="G3090" s="10"/>
      <c r="H3090" s="10"/>
      <c r="I3090" s="10"/>
    </row>
    <row r="3091" spans="1:9">
      <c r="A3091" s="10" t="s">
        <v>532</v>
      </c>
      <c r="B3091" s="14">
        <v>87070684.170000002</v>
      </c>
      <c r="C3091" s="12">
        <v>1</v>
      </c>
      <c r="D3091" s="10"/>
      <c r="E3091" s="10"/>
      <c r="F3091" s="10"/>
      <c r="G3091" s="10"/>
      <c r="H3091" s="10"/>
      <c r="I3091" s="10"/>
    </row>
    <row r="3092" spans="1:9">
      <c r="A3092" s="10" t="s">
        <v>533</v>
      </c>
      <c r="B3092" s="12">
        <v>34000000</v>
      </c>
      <c r="C3092" s="12">
        <v>1</v>
      </c>
      <c r="D3092" s="10"/>
      <c r="E3092" s="10"/>
      <c r="F3092" s="10"/>
      <c r="G3092" s="10"/>
      <c r="H3092" s="10"/>
      <c r="I3092" s="10"/>
    </row>
    <row r="3093" spans="1:9">
      <c r="A3093" s="10" t="s">
        <v>534</v>
      </c>
      <c r="B3093" s="185">
        <v>4484929064.5103102</v>
      </c>
      <c r="C3093" s="10" t="s">
        <v>28</v>
      </c>
      <c r="D3093" s="10"/>
      <c r="E3093" s="10"/>
      <c r="F3093" s="10"/>
      <c r="G3093" s="10"/>
      <c r="H3093" s="10"/>
      <c r="I3093" s="10"/>
    </row>
    <row r="3094" spans="1:9">
      <c r="A3094" s="10" t="s">
        <v>535</v>
      </c>
      <c r="B3094" s="12">
        <v>280000000</v>
      </c>
      <c r="C3094" s="12">
        <v>1</v>
      </c>
      <c r="D3094" s="10"/>
      <c r="E3094" s="10"/>
      <c r="F3094" s="10"/>
      <c r="G3094" s="10"/>
      <c r="H3094" s="10"/>
      <c r="I3094" s="10"/>
    </row>
    <row r="3095" spans="1:9">
      <c r="A3095" s="10" t="s">
        <v>80</v>
      </c>
      <c r="B3095" s="12">
        <v>50000000</v>
      </c>
      <c r="C3095" s="12">
        <v>1</v>
      </c>
      <c r="D3095" s="10"/>
      <c r="E3095" s="10"/>
      <c r="F3095" s="10"/>
      <c r="G3095" s="10"/>
      <c r="H3095" s="10"/>
      <c r="I3095" s="10"/>
    </row>
    <row r="3096" spans="1:9">
      <c r="A3096" s="10" t="s">
        <v>536</v>
      </c>
      <c r="B3096" s="158">
        <v>6139428031.7081327</v>
      </c>
      <c r="C3096" s="10" t="s">
        <v>28</v>
      </c>
      <c r="D3096" s="10"/>
      <c r="E3096" s="10"/>
      <c r="F3096" s="10"/>
      <c r="G3096" s="10"/>
      <c r="H3096" s="10"/>
      <c r="I3096" s="10"/>
    </row>
    <row r="3097" spans="1:9">
      <c r="A3097" s="10" t="s">
        <v>537</v>
      </c>
      <c r="B3097" s="12">
        <v>350000000</v>
      </c>
      <c r="C3097" s="12">
        <v>1</v>
      </c>
      <c r="D3097" s="10"/>
      <c r="E3097" s="10"/>
      <c r="F3097" s="10"/>
      <c r="G3097" s="10"/>
      <c r="H3097" s="10"/>
      <c r="I3097" s="10"/>
    </row>
    <row r="3098" spans="1:9">
      <c r="A3098" s="10" t="s">
        <v>538</v>
      </c>
      <c r="B3098" s="12">
        <v>0</v>
      </c>
      <c r="C3098" s="12">
        <v>0</v>
      </c>
      <c r="D3098" s="10"/>
      <c r="E3098" s="10"/>
      <c r="F3098" s="10"/>
      <c r="G3098" s="10"/>
      <c r="H3098" s="10"/>
      <c r="I3098" s="10"/>
    </row>
    <row r="3099" spans="1:9">
      <c r="A3099" s="10" t="s">
        <v>539</v>
      </c>
      <c r="B3099" s="158">
        <v>33881427862.427376</v>
      </c>
      <c r="C3099" s="10" t="s">
        <v>28</v>
      </c>
      <c r="D3099" s="10"/>
      <c r="E3099" s="10"/>
      <c r="F3099" s="10"/>
      <c r="G3099" s="10"/>
      <c r="H3099" s="10"/>
      <c r="I3099" s="10"/>
    </row>
    <row r="3100" spans="1:9">
      <c r="A3100" s="10" t="s">
        <v>540</v>
      </c>
      <c r="B3100" s="12">
        <v>0</v>
      </c>
      <c r="C3100" s="12">
        <v>0</v>
      </c>
      <c r="D3100" s="10"/>
      <c r="E3100" s="10"/>
      <c r="F3100" s="10"/>
      <c r="G3100" s="10"/>
      <c r="H3100" s="10"/>
      <c r="I3100" s="10"/>
    </row>
    <row r="3101" spans="1:9">
      <c r="A3101" s="10" t="s">
        <v>541</v>
      </c>
      <c r="B3101" s="12">
        <v>0</v>
      </c>
      <c r="C3101" s="12">
        <v>0</v>
      </c>
      <c r="D3101" s="10"/>
      <c r="E3101" s="10"/>
      <c r="F3101" s="10"/>
      <c r="G3101" s="10"/>
      <c r="H3101" s="10"/>
      <c r="I3101" s="10"/>
    </row>
    <row r="3102" spans="1:9">
      <c r="A3102" s="10" t="s">
        <v>542</v>
      </c>
      <c r="B3102" s="12">
        <v>0</v>
      </c>
      <c r="C3102" s="10" t="s">
        <v>28</v>
      </c>
      <c r="D3102" s="10"/>
      <c r="E3102" s="10"/>
      <c r="F3102" s="10"/>
      <c r="G3102" s="10"/>
      <c r="H3102" s="10"/>
      <c r="I3102" s="10"/>
    </row>
    <row r="3103" spans="1:9">
      <c r="A3103" s="10" t="s">
        <v>28</v>
      </c>
      <c r="B3103" s="10"/>
      <c r="C3103" s="10"/>
      <c r="D3103" s="10"/>
      <c r="E3103" s="10"/>
      <c r="F3103" s="10"/>
      <c r="G3103" s="10"/>
      <c r="H3103" s="10"/>
      <c r="I3103" s="10"/>
    </row>
    <row r="3104" spans="1:9">
      <c r="A3104" s="10" t="s">
        <v>12</v>
      </c>
      <c r="B3104" s="10"/>
      <c r="C3104" s="10"/>
      <c r="D3104" s="10"/>
      <c r="E3104" s="10"/>
      <c r="F3104" s="10"/>
      <c r="G3104" s="10"/>
      <c r="H3104" s="10"/>
      <c r="I3104" s="10"/>
    </row>
    <row r="3105" spans="1:9">
      <c r="A3105" s="10"/>
      <c r="B3105" s="10"/>
      <c r="C3105" s="10"/>
      <c r="D3105" s="10"/>
      <c r="E3105" s="10"/>
      <c r="F3105" s="10"/>
      <c r="G3105" s="10"/>
      <c r="H3105" s="10"/>
      <c r="I3105" s="10"/>
    </row>
    <row r="3106" spans="1:9">
      <c r="A3106" s="10" t="s">
        <v>543</v>
      </c>
      <c r="B3106" s="10" t="s">
        <v>28</v>
      </c>
      <c r="C3106" s="12">
        <v>6</v>
      </c>
      <c r="D3106" s="10"/>
      <c r="E3106" s="10"/>
      <c r="F3106" s="10"/>
      <c r="G3106" s="10"/>
      <c r="H3106" s="10"/>
      <c r="I3106" s="10"/>
    </row>
    <row r="3107" spans="1:9">
      <c r="A3107" s="10" t="s">
        <v>28</v>
      </c>
      <c r="B3107" s="10"/>
      <c r="C3107" s="10"/>
      <c r="D3107" s="10"/>
      <c r="E3107" s="10"/>
      <c r="F3107" s="10"/>
      <c r="G3107" s="10"/>
      <c r="H3107" s="10"/>
      <c r="I3107" s="10"/>
    </row>
    <row r="3108" spans="1:9">
      <c r="A3108" s="10" t="s">
        <v>3770</v>
      </c>
      <c r="B3108" s="10"/>
      <c r="C3108" s="10"/>
      <c r="D3108" s="10"/>
      <c r="E3108" s="10"/>
      <c r="F3108" s="10"/>
      <c r="G3108" s="10"/>
      <c r="H3108" s="10"/>
      <c r="I3108" s="10"/>
    </row>
    <row r="3109" spans="1:9">
      <c r="A3109" s="10" t="s">
        <v>12</v>
      </c>
      <c r="B3109" s="10"/>
      <c r="C3109" s="10"/>
      <c r="D3109" s="10"/>
      <c r="E3109" s="10"/>
      <c r="F3109" s="10"/>
      <c r="G3109" s="10"/>
      <c r="H3109" s="10"/>
      <c r="I3109" s="10"/>
    </row>
    <row r="3110" spans="1:9">
      <c r="A3110" s="10" t="s">
        <v>544</v>
      </c>
      <c r="B3110" s="10"/>
      <c r="C3110" s="10"/>
      <c r="D3110" s="10"/>
      <c r="E3110" s="10"/>
      <c r="F3110" s="10"/>
      <c r="G3110" s="10"/>
      <c r="H3110" s="10"/>
      <c r="I3110" s="10"/>
    </row>
    <row r="3111" spans="1:9">
      <c r="A3111" s="10" t="s">
        <v>545</v>
      </c>
      <c r="B3111" s="10"/>
      <c r="C3111" s="10"/>
      <c r="D3111" s="10"/>
      <c r="E3111" s="10"/>
      <c r="F3111" s="10"/>
      <c r="G3111" s="10"/>
      <c r="H3111" s="10"/>
      <c r="I3111" s="10"/>
    </row>
    <row r="3112" spans="1:9">
      <c r="A3112" s="10" t="s">
        <v>546</v>
      </c>
      <c r="B3112" s="10"/>
      <c r="C3112" s="10"/>
      <c r="D3112" s="10"/>
      <c r="E3112" s="10"/>
      <c r="F3112" s="10"/>
      <c r="G3112" s="10"/>
      <c r="H3112" s="10"/>
      <c r="I3112" s="10"/>
    </row>
    <row r="3113" spans="1:9">
      <c r="A3113" s="10" t="s">
        <v>547</v>
      </c>
      <c r="B3113" s="10"/>
      <c r="C3113" s="10"/>
      <c r="D3113" s="10"/>
      <c r="E3113" s="10"/>
      <c r="F3113" s="10"/>
      <c r="G3113" s="10"/>
      <c r="H3113" s="10"/>
      <c r="I3113" s="10"/>
    </row>
    <row r="3114" spans="1:9">
      <c r="A3114" s="10" t="s">
        <v>548</v>
      </c>
      <c r="B3114" s="10"/>
      <c r="C3114" s="10"/>
      <c r="D3114" s="10"/>
      <c r="E3114" s="10"/>
      <c r="F3114" s="10"/>
      <c r="G3114" s="10"/>
      <c r="H3114" s="10"/>
      <c r="I3114" s="10"/>
    </row>
    <row r="3115" spans="1:9">
      <c r="A3115" s="10" t="s">
        <v>549</v>
      </c>
      <c r="B3115" s="10"/>
      <c r="C3115" s="10"/>
      <c r="D3115" s="10"/>
      <c r="E3115" s="10"/>
      <c r="F3115" s="10"/>
      <c r="G3115" s="10"/>
      <c r="H3115" s="10"/>
      <c r="I3115" s="10"/>
    </row>
  </sheetData>
  <mergeCells count="1">
    <mergeCell ref="K4:L4"/>
  </mergeCells>
  <conditionalFormatting sqref="F15">
    <cfRule type="duplicateValues" dxfId="19" priority="1"/>
  </conditionalFormatting>
  <conditionalFormatting sqref="N67:N70">
    <cfRule type="expression" dxfId="18" priority="2">
      <formula>N67&lt;0</formula>
    </cfRule>
    <cfRule type="expression" dxfId="17" priority="3">
      <formula>AND(N67&gt;=0,N67&lt;=500000)</formula>
    </cfRule>
    <cfRule type="expression" dxfId="16" priority="4">
      <formula>N67&gt;500000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workbookViewId="0">
      <selection activeCell="E31" sqref="E31"/>
    </sheetView>
  </sheetViews>
  <sheetFormatPr baseColWidth="10" defaultColWidth="11.42578125" defaultRowHeight="15"/>
  <cols>
    <col min="1" max="1" width="20.5703125" style="58" customWidth="1"/>
    <col min="2" max="2" width="41.42578125" style="58" bestFit="1" customWidth="1"/>
    <col min="3" max="3" width="24.5703125" style="58" bestFit="1" customWidth="1"/>
    <col min="4" max="4" width="20.42578125" style="58" bestFit="1" customWidth="1"/>
    <col min="5" max="5" width="24.140625" style="58" bestFit="1" customWidth="1"/>
    <col min="6" max="6" width="24.140625" style="58" customWidth="1"/>
    <col min="7" max="7" width="20.7109375" style="58" bestFit="1" customWidth="1"/>
    <col min="8" max="8" width="26.7109375" style="58" bestFit="1" customWidth="1"/>
    <col min="9" max="9" width="20.85546875" style="58" bestFit="1" customWidth="1"/>
    <col min="10" max="10" width="19" style="58" bestFit="1" customWidth="1"/>
    <col min="11" max="11" width="20.140625" style="58" bestFit="1" customWidth="1"/>
    <col min="12" max="12" width="19.140625" style="58" bestFit="1" customWidth="1"/>
    <col min="13" max="13" width="18.28515625" style="58" bestFit="1" customWidth="1"/>
    <col min="14" max="16384" width="11.42578125" style="58"/>
  </cols>
  <sheetData>
    <row r="1" spans="1:42" customFormat="1">
      <c r="A1" s="81" t="s">
        <v>34</v>
      </c>
      <c r="B1" s="114">
        <v>0.75</v>
      </c>
      <c r="C1" s="58" t="s">
        <v>35</v>
      </c>
      <c r="D1" s="113">
        <f>+B1*(VLOOKUP($E$1,'GESTION MOMENTUM'!$A$8:$B$32,2,0))</f>
        <v>61281290002.387505</v>
      </c>
      <c r="E1" s="57" t="s">
        <v>29</v>
      </c>
      <c r="F1" s="57"/>
      <c r="G1" s="58" t="s">
        <v>44</v>
      </c>
      <c r="H1" s="9" t="s">
        <v>46</v>
      </c>
      <c r="I1" t="s">
        <v>45</v>
      </c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</row>
    <row r="2" spans="1:42" customFormat="1">
      <c r="A2" s="81" t="s">
        <v>36</v>
      </c>
      <c r="B2" s="114">
        <v>0.05</v>
      </c>
      <c r="C2" s="58" t="s">
        <v>37</v>
      </c>
      <c r="D2" s="113">
        <f>+B2*(VLOOKUP($E$1,'GESTION MOMENTUM'!$A$8:$B$32,2,0))</f>
        <v>4085419333.4925003</v>
      </c>
      <c r="E2" s="58"/>
      <c r="F2" s="58"/>
      <c r="G2" s="73">
        <f>VLOOKUP(E1,'GESTION MOMENTUM'!A8:B32,2,0)</f>
        <v>81708386669.850006</v>
      </c>
      <c r="H2" s="16">
        <v>-2E-3</v>
      </c>
      <c r="I2" s="17">
        <f>+G2*(1+H2)</f>
        <v>81544969896.5103</v>
      </c>
      <c r="K2" s="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</row>
    <row r="3" spans="1:42" customFormat="1">
      <c r="A3" s="81" t="s">
        <v>36</v>
      </c>
      <c r="B3" s="114">
        <v>0.2</v>
      </c>
      <c r="C3" s="58" t="s">
        <v>77</v>
      </c>
      <c r="D3" s="113">
        <f>+B3*(VLOOKUP($E$1,'GESTION MOMENTUM'!$A$8:$B$32,2,0))</f>
        <v>16341677333.970001</v>
      </c>
      <c r="E3" s="58"/>
      <c r="F3" s="58"/>
      <c r="G3" s="58" t="s">
        <v>37</v>
      </c>
      <c r="H3" s="18">
        <v>0.05</v>
      </c>
      <c r="I3" s="19">
        <f>+I2*H3</f>
        <v>4077248494.8255153</v>
      </c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58"/>
      <c r="AI3" s="58"/>
      <c r="AJ3" s="58"/>
      <c r="AK3" s="58"/>
      <c r="AL3" s="58"/>
      <c r="AM3" s="58"/>
      <c r="AN3" s="58"/>
      <c r="AO3" s="58"/>
      <c r="AP3" s="58"/>
    </row>
    <row r="4" spans="1:42" customFormat="1">
      <c r="A4" s="81" t="s">
        <v>36</v>
      </c>
      <c r="B4" s="114">
        <v>0.2</v>
      </c>
      <c r="C4" s="58" t="s">
        <v>38</v>
      </c>
      <c r="D4" s="113">
        <f>+B4*(VLOOKUP($E$1,'GESTION MOMENTUM'!$A$8:$B$32,2,0))</f>
        <v>16341677333.970001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</row>
    <row r="5" spans="1:42" customFormat="1">
      <c r="A5" s="81" t="s">
        <v>36</v>
      </c>
      <c r="B5" s="114">
        <v>0.25</v>
      </c>
      <c r="C5" s="58" t="s">
        <v>43</v>
      </c>
      <c r="D5" s="113">
        <f>+B5*(VLOOKUP($E$1,'GESTION MOMENTUM'!$A$8:$B$32,2,0))</f>
        <v>20427096667.462502</v>
      </c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</row>
    <row r="6" spans="1:42" customFormat="1">
      <c r="A6" s="58"/>
      <c r="B6" s="112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</row>
    <row r="7" spans="1:42" customFormat="1">
      <c r="A7" s="58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</row>
    <row r="8" spans="1:42" customFormat="1">
      <c r="A8" s="58"/>
      <c r="B8" s="104" t="s">
        <v>328</v>
      </c>
      <c r="C8" s="105"/>
      <c r="D8" s="105"/>
      <c r="E8" s="105"/>
      <c r="F8" s="106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8"/>
    </row>
    <row r="9" spans="1:42" customFormat="1">
      <c r="A9" s="69"/>
      <c r="B9" s="107" t="s">
        <v>323</v>
      </c>
      <c r="C9" s="107" t="s">
        <v>324</v>
      </c>
      <c r="D9" s="107" t="s">
        <v>32</v>
      </c>
      <c r="E9" s="107" t="s">
        <v>325</v>
      </c>
      <c r="F9" s="107" t="s">
        <v>118</v>
      </c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</row>
    <row r="10" spans="1:42" customFormat="1">
      <c r="A10" s="58"/>
      <c r="B10" s="116" t="s">
        <v>712</v>
      </c>
      <c r="C10" s="101">
        <v>600000000</v>
      </c>
      <c r="D10" s="117">
        <f>+VLOOKUP(B10,'GESTION MOMENTUM'!A:D,4,0)</f>
        <v>1.1025</v>
      </c>
      <c r="E10" s="118">
        <v>0.8</v>
      </c>
      <c r="F10" s="119">
        <f>C10*D10*E10</f>
        <v>529200000</v>
      </c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</row>
    <row r="11" spans="1:42" customFormat="1">
      <c r="A11" s="58"/>
      <c r="B11" s="116" t="s">
        <v>496</v>
      </c>
      <c r="C11" s="101">
        <v>500000000</v>
      </c>
      <c r="D11" s="117">
        <f>+VLOOKUP(B11,'GESTION MOMENTUM'!A:D,4,0)</f>
        <v>1.2745</v>
      </c>
      <c r="E11" s="118">
        <v>0.8</v>
      </c>
      <c r="F11" s="119">
        <f>C11*D11*E11</f>
        <v>509800000</v>
      </c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8"/>
    </row>
    <row r="12" spans="1:42" customFormat="1" ht="15.75" thickBot="1">
      <c r="A12" s="58"/>
      <c r="B12" s="116"/>
      <c r="C12" s="101"/>
      <c r="D12" s="117"/>
      <c r="E12" s="120"/>
      <c r="F12" s="121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8"/>
    </row>
    <row r="13" spans="1:42" customFormat="1" ht="15.75" thickBot="1">
      <c r="A13" s="58"/>
      <c r="B13" s="58"/>
      <c r="C13" s="58"/>
      <c r="D13" s="58"/>
      <c r="E13" s="122" t="s">
        <v>329</v>
      </c>
      <c r="F13" s="123">
        <f>SUM(F10:F12)</f>
        <v>1039000000</v>
      </c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</row>
    <row r="14" spans="1:42" customFormat="1">
      <c r="A14" s="22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8"/>
    </row>
    <row r="15" spans="1:42" customFormat="1">
      <c r="A15" s="58"/>
      <c r="B15" s="98" t="s">
        <v>319</v>
      </c>
      <c r="C15" s="98" t="s">
        <v>327</v>
      </c>
      <c r="D15" s="98" t="s">
        <v>320</v>
      </c>
      <c r="E15" s="98" t="s">
        <v>321</v>
      </c>
      <c r="F15" s="98" t="s">
        <v>326</v>
      </c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</row>
    <row r="16" spans="1:42" customFormat="1" ht="15.75" customHeight="1">
      <c r="A16" s="10" t="s">
        <v>624</v>
      </c>
      <c r="B16" s="99" t="s">
        <v>790</v>
      </c>
      <c r="C16" s="100">
        <v>155000</v>
      </c>
      <c r="D16" s="109">
        <v>0</v>
      </c>
      <c r="E16" s="101">
        <f>_xlfn.IFNA(-VLOOKUP(A16,'GESTION MOMENTUM'!A:C,3,0)/1000,0)</f>
        <v>1357</v>
      </c>
      <c r="F16" s="110">
        <f t="shared" ref="F16:F22" si="0">+C16*(E16+D16)</f>
        <v>210335000</v>
      </c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</row>
    <row r="17" spans="1:42" customFormat="1">
      <c r="A17" s="10" t="s">
        <v>783</v>
      </c>
      <c r="B17" s="99" t="s">
        <v>791</v>
      </c>
      <c r="C17" s="100">
        <v>160000</v>
      </c>
      <c r="D17" s="109">
        <v>0</v>
      </c>
      <c r="E17" s="101">
        <f>_xlfn.IFNA(-VLOOKUP(A17,'GESTION MOMENTUM'!A:C,3,0)/1000,0)</f>
        <v>750</v>
      </c>
      <c r="F17" s="110">
        <f t="shared" si="0"/>
        <v>120000000</v>
      </c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8"/>
    </row>
    <row r="18" spans="1:42" customFormat="1">
      <c r="A18" s="10" t="s">
        <v>877</v>
      </c>
      <c r="B18" s="99" t="s">
        <v>881</v>
      </c>
      <c r="C18" s="100">
        <v>165000</v>
      </c>
      <c r="D18" s="109"/>
      <c r="E18" s="101">
        <f>_xlfn.IFNA(-VLOOKUP(A18,'GESTION MOMENTUM'!A:C,3,0)/1000,0)</f>
        <v>923</v>
      </c>
      <c r="F18" s="110">
        <f t="shared" si="0"/>
        <v>152295000</v>
      </c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</row>
    <row r="19" spans="1:42" customFormat="1">
      <c r="A19" s="10"/>
      <c r="B19" s="99" t="s">
        <v>2829</v>
      </c>
      <c r="C19" s="100"/>
      <c r="D19" s="109"/>
      <c r="E19" s="101"/>
      <c r="F19" s="110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</row>
    <row r="20" spans="1:42" customFormat="1">
      <c r="A20" s="10"/>
      <c r="B20" s="99" t="s">
        <v>2830</v>
      </c>
      <c r="C20" s="100"/>
      <c r="D20" s="109"/>
      <c r="E20" s="101"/>
      <c r="F20" s="110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</row>
    <row r="21" spans="1:42" customFormat="1">
      <c r="A21" s="10"/>
      <c r="B21" s="99" t="s">
        <v>2831</v>
      </c>
      <c r="C21" s="100"/>
      <c r="D21" s="109"/>
      <c r="E21" s="101"/>
      <c r="F21" s="110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8"/>
    </row>
    <row r="22" spans="1:42" customFormat="1">
      <c r="A22" s="10" t="s">
        <v>2761</v>
      </c>
      <c r="B22" s="99" t="s">
        <v>2832</v>
      </c>
      <c r="C22" s="100">
        <v>180000</v>
      </c>
      <c r="D22" s="109">
        <v>0</v>
      </c>
      <c r="E22" s="101">
        <f>_xlfn.IFNA(-VLOOKUP(A22,'GESTION MOMENTUM'!A:C,3,0)/1000,0)</f>
        <v>1800</v>
      </c>
      <c r="F22" s="110">
        <f t="shared" si="0"/>
        <v>324000000</v>
      </c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</row>
    <row r="23" spans="1:42" customFormat="1" ht="15.75" thickBot="1">
      <c r="A23" s="75"/>
      <c r="B23" s="58"/>
      <c r="C23" s="58"/>
      <c r="D23" s="58"/>
      <c r="E23" s="58"/>
      <c r="F23" s="111">
        <f>+SUM(F16:F22)</f>
        <v>806630000</v>
      </c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</row>
    <row r="24" spans="1:42" customFormat="1" ht="15.75" thickBot="1">
      <c r="A24" s="75"/>
      <c r="B24" s="102" t="s">
        <v>322</v>
      </c>
      <c r="C24" s="103">
        <f>F13-F23</f>
        <v>232370000</v>
      </c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</row>
    <row r="25" spans="1:42" customFormat="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</row>
    <row r="27" spans="1:42">
      <c r="A27" s="108"/>
    </row>
  </sheetData>
  <conditionalFormatting sqref="C24">
    <cfRule type="cellIs" dxfId="15" priority="1" operator="lessThan">
      <formula>0</formula>
    </cfRule>
    <cfRule type="cellIs" dxfId="14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10"/>
  <sheetViews>
    <sheetView topLeftCell="A81" zoomScale="90" zoomScaleNormal="90" workbookViewId="0">
      <selection activeCell="K114" sqref="K114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5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58"/>
    <col min="11" max="11" width="25.5703125" style="58" bestFit="1" customWidth="1"/>
    <col min="12" max="13" width="17.5703125" style="58" bestFit="1" customWidth="1"/>
    <col min="14" max="14" width="11.42578125" style="58"/>
    <col min="15" max="15" width="17.5703125" style="58" bestFit="1" customWidth="1"/>
    <col min="16" max="20" width="11.42578125" style="58"/>
    <col min="21" max="21" width="51" style="58" bestFit="1" customWidth="1"/>
    <col min="22" max="22" width="16" style="87" bestFit="1" customWidth="1"/>
  </cols>
  <sheetData>
    <row r="1" spans="1:22">
      <c r="A1" s="26" t="s">
        <v>48</v>
      </c>
      <c r="B1" s="26" t="s">
        <v>49</v>
      </c>
      <c r="C1" s="26" t="s">
        <v>50</v>
      </c>
      <c r="D1" s="26" t="s">
        <v>51</v>
      </c>
      <c r="E1" s="35" t="s">
        <v>52</v>
      </c>
      <c r="F1" s="41" t="s">
        <v>79</v>
      </c>
      <c r="G1" s="26" t="s">
        <v>41</v>
      </c>
      <c r="H1" s="26" t="s">
        <v>42</v>
      </c>
      <c r="I1" s="25" t="s">
        <v>53</v>
      </c>
    </row>
    <row r="2" spans="1:22">
      <c r="A2" s="53" t="s">
        <v>101</v>
      </c>
      <c r="B2" s="53" t="s">
        <v>109</v>
      </c>
      <c r="C2" s="54">
        <v>45723</v>
      </c>
      <c r="D2" s="53" t="s">
        <v>118</v>
      </c>
      <c r="E2" s="55">
        <v>3406250</v>
      </c>
      <c r="F2" s="55"/>
      <c r="G2" s="53" t="s">
        <v>129</v>
      </c>
      <c r="H2" s="53" t="s">
        <v>111</v>
      </c>
      <c r="I2" s="56">
        <f ca="1">+TODAY()-C2</f>
        <v>602</v>
      </c>
      <c r="U2" s="91" t="s">
        <v>303</v>
      </c>
      <c r="V2" s="92"/>
    </row>
    <row r="3" spans="1:22">
      <c r="A3" s="53" t="s">
        <v>101</v>
      </c>
      <c r="B3" s="53" t="s">
        <v>110</v>
      </c>
      <c r="C3" s="54">
        <v>45728</v>
      </c>
      <c r="D3" s="53" t="s">
        <v>118</v>
      </c>
      <c r="E3" s="55">
        <v>3406250</v>
      </c>
      <c r="F3" s="55"/>
      <c r="G3" s="53" t="s">
        <v>129</v>
      </c>
      <c r="H3" s="53" t="s">
        <v>111</v>
      </c>
      <c r="I3" s="56">
        <f t="shared" ref="I3" ca="1" si="0">+TODAY()-C3</f>
        <v>597</v>
      </c>
      <c r="U3" s="58" t="str" cm="1">
        <f t="array" ref="U3:U20">+_xlfn.UNIQUE(H2:H78)</f>
        <v>UKUMARI SOCIEDAD ANONIMA.</v>
      </c>
      <c r="V3" s="87">
        <f>+SUMIF(H:H,U3,E:E)</f>
        <v>6812500</v>
      </c>
    </row>
    <row r="4" spans="1:22">
      <c r="A4" s="20" t="s">
        <v>101</v>
      </c>
      <c r="B4" s="20" t="s">
        <v>113</v>
      </c>
      <c r="C4" s="38">
        <v>45799</v>
      </c>
      <c r="D4" s="20" t="s">
        <v>118</v>
      </c>
      <c r="E4" s="28">
        <v>129185000</v>
      </c>
      <c r="F4" s="20"/>
      <c r="G4" s="20" t="s">
        <v>119</v>
      </c>
      <c r="H4" s="20" t="s">
        <v>103</v>
      </c>
      <c r="I4" s="27">
        <f t="shared" ref="I4:I6" ca="1" si="1">+TODAY()-C4</f>
        <v>526</v>
      </c>
      <c r="U4" s="58" t="str">
        <v>NIRO CONSTRUYE S. A.</v>
      </c>
      <c r="V4" s="87">
        <f>+SUMIF(H:H,U4,E:E)</f>
        <v>258370000</v>
      </c>
    </row>
    <row r="5" spans="1:22">
      <c r="A5" s="53" t="s">
        <v>101</v>
      </c>
      <c r="B5" s="53" t="s">
        <v>114</v>
      </c>
      <c r="C5" s="54">
        <v>45811</v>
      </c>
      <c r="D5" s="53" t="s">
        <v>118</v>
      </c>
      <c r="E5" s="55">
        <v>129185000</v>
      </c>
      <c r="F5" s="53"/>
      <c r="G5" s="53" t="s">
        <v>129</v>
      </c>
      <c r="H5" s="53" t="s">
        <v>103</v>
      </c>
      <c r="I5" s="56">
        <f t="shared" ca="1" si="1"/>
        <v>514</v>
      </c>
      <c r="U5" s="58" t="str">
        <v>MERCOL RAUL ALBERTO Y MERCOL MAURICIO EDUARDO.</v>
      </c>
      <c r="V5" s="87">
        <f>+SUMIF(H:H,U5,E:E)</f>
        <v>62500000</v>
      </c>
    </row>
    <row r="6" spans="1:22">
      <c r="A6" s="20" t="s">
        <v>101</v>
      </c>
      <c r="B6" s="20" t="s">
        <v>140</v>
      </c>
      <c r="C6" s="38">
        <v>45943</v>
      </c>
      <c r="D6" s="20" t="s">
        <v>118</v>
      </c>
      <c r="E6" s="61">
        <v>12500000</v>
      </c>
      <c r="F6" s="20"/>
      <c r="G6" s="20" t="s">
        <v>119</v>
      </c>
      <c r="H6" s="20" t="s">
        <v>115</v>
      </c>
      <c r="I6" s="27">
        <f t="shared" ca="1" si="1"/>
        <v>382</v>
      </c>
      <c r="U6" s="58" t="str">
        <v>AKAI ENERGY LED SRL</v>
      </c>
      <c r="V6" s="87">
        <f>+SUMIF(H:H,U6,E:E)</f>
        <v>44963000</v>
      </c>
    </row>
    <row r="7" spans="1:22">
      <c r="A7" s="53" t="s">
        <v>101</v>
      </c>
      <c r="B7" s="53" t="s">
        <v>169</v>
      </c>
      <c r="C7" s="54">
        <v>45966</v>
      </c>
      <c r="D7" s="53" t="s">
        <v>118</v>
      </c>
      <c r="E7" s="126">
        <v>4400000</v>
      </c>
      <c r="F7" s="53"/>
      <c r="G7" s="53" t="s">
        <v>129</v>
      </c>
      <c r="H7" s="53" t="s">
        <v>136</v>
      </c>
      <c r="I7" s="56">
        <f t="shared" ref="I7:I38" ca="1" si="2">+TODAY()-C7</f>
        <v>359</v>
      </c>
      <c r="J7" s="64"/>
      <c r="L7" s="68"/>
      <c r="M7" s="67"/>
      <c r="N7" s="65"/>
      <c r="U7" s="58" t="str">
        <v>FRIGORIFICO GENERAL PICO S A</v>
      </c>
      <c r="V7" s="87">
        <f>+SUMIF(H:H,U7,E:E)</f>
        <v>70000000</v>
      </c>
    </row>
    <row r="8" spans="1:22">
      <c r="A8" s="53" t="s">
        <v>101</v>
      </c>
      <c r="B8" s="53" t="s">
        <v>170</v>
      </c>
      <c r="C8" s="54">
        <v>45968</v>
      </c>
      <c r="D8" s="53" t="s">
        <v>118</v>
      </c>
      <c r="E8" s="126">
        <v>4400000</v>
      </c>
      <c r="F8" s="53"/>
      <c r="G8" s="53" t="s">
        <v>129</v>
      </c>
      <c r="H8" s="53" t="s">
        <v>136</v>
      </c>
      <c r="I8" s="56">
        <f t="shared" ca="1" si="2"/>
        <v>357</v>
      </c>
      <c r="J8" s="64"/>
      <c r="K8" s="88" t="s">
        <v>29</v>
      </c>
      <c r="L8" s="89">
        <f>+VLOOKUP(K8,'GESTION MOMENTUM'!A:B,2,0)</f>
        <v>81708386669.850006</v>
      </c>
      <c r="M8" s="65"/>
      <c r="U8" s="58" t="str">
        <v>MIANI CLARA A Y MIANI ADA CLELIA</v>
      </c>
      <c r="V8" s="87">
        <f>+SUMIF(H:H,U8,E:E)</f>
        <v>3125000</v>
      </c>
    </row>
    <row r="9" spans="1:22">
      <c r="A9" s="20" t="s">
        <v>101</v>
      </c>
      <c r="B9" s="20" t="s">
        <v>137</v>
      </c>
      <c r="C9" s="38">
        <v>45971</v>
      </c>
      <c r="D9" s="20" t="s">
        <v>118</v>
      </c>
      <c r="E9" s="61">
        <v>25000000</v>
      </c>
      <c r="F9" s="20"/>
      <c r="G9" s="20" t="s">
        <v>119</v>
      </c>
      <c r="H9" s="20" t="s">
        <v>115</v>
      </c>
      <c r="I9" s="27">
        <f t="shared" ca="1" si="2"/>
        <v>354</v>
      </c>
      <c r="K9" s="76"/>
      <c r="U9" s="58" t="str">
        <v>PORT PLA S.R.L.</v>
      </c>
      <c r="V9" s="87">
        <f>+SUMIF(H:H,U9,E:E)</f>
        <v>150000000</v>
      </c>
    </row>
    <row r="10" spans="1:22">
      <c r="A10" s="53" t="s">
        <v>101</v>
      </c>
      <c r="B10" s="53" t="s">
        <v>171</v>
      </c>
      <c r="C10" s="54">
        <v>45971</v>
      </c>
      <c r="D10" s="53" t="s">
        <v>118</v>
      </c>
      <c r="E10" s="126">
        <v>4400000</v>
      </c>
      <c r="F10" s="53"/>
      <c r="G10" s="53" t="s">
        <v>129</v>
      </c>
      <c r="H10" s="53" t="s">
        <v>136</v>
      </c>
      <c r="I10" s="56">
        <f t="shared" ca="1" si="2"/>
        <v>354</v>
      </c>
      <c r="L10" s="78" t="s">
        <v>118</v>
      </c>
      <c r="M10" s="78" t="s">
        <v>301</v>
      </c>
      <c r="U10" s="58" t="str">
        <v>MASTER DESIGN HOME SRL</v>
      </c>
      <c r="V10" s="87">
        <f>+SUMIF(H:H,U10,E:E)</f>
        <v>24000000</v>
      </c>
    </row>
    <row r="11" spans="1:22">
      <c r="A11" s="53" t="s">
        <v>101</v>
      </c>
      <c r="B11" s="53" t="s">
        <v>172</v>
      </c>
      <c r="C11" s="54">
        <v>45972</v>
      </c>
      <c r="D11" s="53" t="s">
        <v>118</v>
      </c>
      <c r="E11" s="126">
        <v>4400000</v>
      </c>
      <c r="F11" s="53"/>
      <c r="G11" s="53" t="s">
        <v>129</v>
      </c>
      <c r="H11" s="53" t="s">
        <v>136</v>
      </c>
      <c r="I11" s="56">
        <f t="shared" ca="1" si="2"/>
        <v>353</v>
      </c>
      <c r="K11" s="79" t="s">
        <v>128</v>
      </c>
      <c r="L11" s="76">
        <f>+VLOOKUP(K11,'GESTION MOMENTUM'!A:B,2,0)</f>
        <v>-440189367.58999997</v>
      </c>
      <c r="M11" s="90">
        <f>+L11/L8</f>
        <v>-5.3873217368570038E-3</v>
      </c>
      <c r="U11" s="58" t="str">
        <v>GROCAL S.A.</v>
      </c>
      <c r="V11" s="87">
        <f>+SUMIF(H:H,U11,E:E)</f>
        <v>15000000</v>
      </c>
    </row>
    <row r="12" spans="1:22">
      <c r="A12" s="53" t="s">
        <v>101</v>
      </c>
      <c r="B12" s="53" t="s">
        <v>142</v>
      </c>
      <c r="C12" s="54">
        <v>45974</v>
      </c>
      <c r="D12" s="53" t="s">
        <v>118</v>
      </c>
      <c r="E12" s="126">
        <v>963000</v>
      </c>
      <c r="F12" s="53"/>
      <c r="G12" s="53" t="s">
        <v>129</v>
      </c>
      <c r="H12" s="53" t="s">
        <v>136</v>
      </c>
      <c r="I12" s="56">
        <f t="shared" ca="1" si="2"/>
        <v>351</v>
      </c>
      <c r="K12" s="23" t="s">
        <v>129</v>
      </c>
      <c r="L12" s="93">
        <f>+SUMIF(G:G,K12,E:E)</f>
        <v>391310500</v>
      </c>
      <c r="U12" s="58" t="str">
        <v>Paccioli Group Sociedad Anonima</v>
      </c>
      <c r="V12" s="87">
        <f>+SUMIF(H:H,U12,E:E)</f>
        <v>13958000</v>
      </c>
    </row>
    <row r="13" spans="1:22">
      <c r="A13" s="53" t="s">
        <v>101</v>
      </c>
      <c r="B13" s="53" t="s">
        <v>173</v>
      </c>
      <c r="C13" s="54">
        <v>45975</v>
      </c>
      <c r="D13" s="53" t="s">
        <v>118</v>
      </c>
      <c r="E13" s="126">
        <v>4400000</v>
      </c>
      <c r="F13" s="53"/>
      <c r="G13" s="53" t="s">
        <v>129</v>
      </c>
      <c r="H13" s="53" t="s">
        <v>136</v>
      </c>
      <c r="I13" s="56">
        <f t="shared" ca="1" si="2"/>
        <v>350</v>
      </c>
      <c r="K13" s="58" t="s">
        <v>302</v>
      </c>
      <c r="L13" s="80">
        <f>+L11+L12</f>
        <v>-48878867.589999974</v>
      </c>
      <c r="U13" s="58" t="str">
        <v>FINEX CABA S. A.</v>
      </c>
      <c r="V13" s="87">
        <f>+SUMIF(H:H,U13,E:E)</f>
        <v>55300000</v>
      </c>
    </row>
    <row r="14" spans="1:22">
      <c r="A14" s="20" t="s">
        <v>101</v>
      </c>
      <c r="B14" s="20" t="s">
        <v>138</v>
      </c>
      <c r="C14" s="38">
        <v>45975</v>
      </c>
      <c r="D14" s="20" t="s">
        <v>118</v>
      </c>
      <c r="E14" s="61">
        <v>25000000</v>
      </c>
      <c r="F14" s="20"/>
      <c r="G14" s="20" t="s">
        <v>119</v>
      </c>
      <c r="H14" s="20" t="s">
        <v>115</v>
      </c>
      <c r="I14" s="27">
        <f t="shared" ca="1" si="2"/>
        <v>350</v>
      </c>
      <c r="U14" s="58" t="str">
        <v>TRADICION VALORES S.A.</v>
      </c>
      <c r="V14" s="87">
        <f>+SUMIF(H:H,U14,E:E)</f>
        <v>25000000</v>
      </c>
    </row>
    <row r="15" spans="1:22">
      <c r="A15" s="53" t="s">
        <v>101</v>
      </c>
      <c r="B15" s="53" t="s">
        <v>174</v>
      </c>
      <c r="C15" s="54">
        <v>45979</v>
      </c>
      <c r="D15" s="53" t="s">
        <v>118</v>
      </c>
      <c r="E15" s="126">
        <v>4400000</v>
      </c>
      <c r="F15" s="53"/>
      <c r="G15" s="53" t="s">
        <v>129</v>
      </c>
      <c r="H15" s="53" t="s">
        <v>136</v>
      </c>
      <c r="I15" s="56">
        <f t="shared" ca="1" si="2"/>
        <v>346</v>
      </c>
      <c r="K15" s="58" t="s">
        <v>119</v>
      </c>
      <c r="L15" s="76">
        <f>+SUMIF(G:G,K15,E:E)+E2</f>
        <v>2332411780</v>
      </c>
      <c r="M15" s="90">
        <f>+SUMIF(G:G,K15,E:E)/$L$8</f>
        <v>2.850387365265886E-2</v>
      </c>
      <c r="U15" s="58" t="str">
        <v>Maradona Wines</v>
      </c>
      <c r="V15" s="87">
        <f>+SUMIF(H:H,U15,E:E)</f>
        <v>119500000</v>
      </c>
    </row>
    <row r="16" spans="1:22">
      <c r="A16" s="53" t="s">
        <v>101</v>
      </c>
      <c r="B16" s="53" t="s">
        <v>175</v>
      </c>
      <c r="C16" s="54">
        <v>45979</v>
      </c>
      <c r="D16" s="53" t="s">
        <v>118</v>
      </c>
      <c r="E16" s="126">
        <v>4400000</v>
      </c>
      <c r="F16" s="53"/>
      <c r="G16" s="53" t="s">
        <v>129</v>
      </c>
      <c r="H16" s="53" t="s">
        <v>136</v>
      </c>
      <c r="I16" s="56">
        <f t="shared" ca="1" si="2"/>
        <v>346</v>
      </c>
      <c r="U16" s="58" t="str">
        <v>LOPEZ LUCIA SOLEDAD</v>
      </c>
      <c r="V16" s="87">
        <f>+SUMIF(H:H,U16,E:E)</f>
        <v>995000</v>
      </c>
    </row>
    <row r="17" spans="1:22">
      <c r="A17" s="53" t="s">
        <v>101</v>
      </c>
      <c r="B17" s="53" t="s">
        <v>177</v>
      </c>
      <c r="C17" s="54">
        <v>45980</v>
      </c>
      <c r="D17" s="53" t="s">
        <v>118</v>
      </c>
      <c r="E17" s="126">
        <v>4400000</v>
      </c>
      <c r="F17" s="53"/>
      <c r="G17" s="53" t="s">
        <v>129</v>
      </c>
      <c r="H17" s="53" t="s">
        <v>136</v>
      </c>
      <c r="I17" s="56">
        <f t="shared" ca="1" si="2"/>
        <v>345</v>
      </c>
      <c r="U17" s="58" t="str">
        <v>RABU INVERSIONES SRL</v>
      </c>
      <c r="V17" s="87">
        <f>+SUMIF(H:H,U17,E:E)</f>
        <v>7194300</v>
      </c>
    </row>
    <row r="18" spans="1:22">
      <c r="A18" s="53" t="s">
        <v>101</v>
      </c>
      <c r="B18" s="53" t="s">
        <v>176</v>
      </c>
      <c r="C18" s="54">
        <v>45980</v>
      </c>
      <c r="D18" s="53" t="s">
        <v>118</v>
      </c>
      <c r="E18" s="126">
        <v>4400000</v>
      </c>
      <c r="F18" s="53"/>
      <c r="G18" s="53" t="s">
        <v>129</v>
      </c>
      <c r="H18" s="53" t="s">
        <v>136</v>
      </c>
      <c r="I18" s="56">
        <f t="shared" ca="1" si="2"/>
        <v>345</v>
      </c>
      <c r="U18" s="58" t="str">
        <v>GROUP DIEZ S.A.</v>
      </c>
      <c r="V18" s="87">
        <f>+SUMIF(H:H,U18,E:E)</f>
        <v>425000000</v>
      </c>
    </row>
    <row r="19" spans="1:22">
      <c r="A19" s="53" t="s">
        <v>101</v>
      </c>
      <c r="B19" s="53" t="s">
        <v>168</v>
      </c>
      <c r="C19" s="54">
        <v>45981</v>
      </c>
      <c r="D19" s="53" t="s">
        <v>118</v>
      </c>
      <c r="E19" s="126">
        <v>4400000</v>
      </c>
      <c r="F19" s="53"/>
      <c r="G19" s="53" t="s">
        <v>129</v>
      </c>
      <c r="H19" s="53" t="s">
        <v>136</v>
      </c>
      <c r="I19" s="56">
        <f t="shared" ca="1" si="2"/>
        <v>344</v>
      </c>
      <c r="U19" s="58" t="str">
        <v>INVLAC CONSTRUCCIONES S.R.L</v>
      </c>
      <c r="V19" s="87">
        <f>+SUMIF(H:H,U19,E:E)</f>
        <v>4000000</v>
      </c>
    </row>
    <row r="20" spans="1:22">
      <c r="A20" s="53" t="s">
        <v>101</v>
      </c>
      <c r="B20" s="53" t="s">
        <v>145</v>
      </c>
      <c r="C20" s="54">
        <v>45981</v>
      </c>
      <c r="D20" s="53" t="s">
        <v>118</v>
      </c>
      <c r="E20" s="126">
        <v>20000000</v>
      </c>
      <c r="F20" s="53"/>
      <c r="G20" s="53" t="s">
        <v>129</v>
      </c>
      <c r="H20" s="53" t="s">
        <v>112</v>
      </c>
      <c r="I20" s="56">
        <f t="shared" ca="1" si="2"/>
        <v>344</v>
      </c>
      <c r="K20" s="94" t="s">
        <v>304</v>
      </c>
      <c r="L20" s="94" t="s">
        <v>118</v>
      </c>
      <c r="M20" s="94" t="s">
        <v>301</v>
      </c>
      <c r="O20" s="97" t="s">
        <v>305</v>
      </c>
      <c r="P20" s="96"/>
      <c r="U20" s="58" t="str">
        <v>I-LED ARGENTINA S.A.</v>
      </c>
      <c r="V20" s="87">
        <f>+SUMIF(H:H,U20,E:E)</f>
        <v>93100000</v>
      </c>
    </row>
    <row r="21" spans="1:22">
      <c r="A21" s="53" t="s">
        <v>101</v>
      </c>
      <c r="B21" s="53" t="s">
        <v>146</v>
      </c>
      <c r="C21" s="54">
        <v>45986</v>
      </c>
      <c r="D21" s="53" t="s">
        <v>118</v>
      </c>
      <c r="E21" s="126">
        <v>20000000</v>
      </c>
      <c r="F21" s="53"/>
      <c r="G21" s="53" t="s">
        <v>129</v>
      </c>
      <c r="H21" s="53" t="s">
        <v>112</v>
      </c>
      <c r="I21" s="56">
        <f t="shared" ca="1" si="2"/>
        <v>339</v>
      </c>
      <c r="K21" s="58" t="str" cm="1">
        <f t="array" ref="K21:L52">+_xlfn._xlws.SORT(U3:V34,2,-1)</f>
        <v>GROUP DIEZ S.A.</v>
      </c>
      <c r="L21" s="76">
        <v>425000000</v>
      </c>
      <c r="M21" s="90">
        <f>+L21/$L$8</f>
        <v>5.2014244476182138E-3</v>
      </c>
      <c r="O21" s="95">
        <f>+SUMIF('Reporte de Cheques'!A:A,'Cheques pendientes'!K21,'Reporte de Cheques'!I:I)</f>
        <v>0</v>
      </c>
      <c r="P21" s="96"/>
      <c r="V21" s="87">
        <f>+SUMIF(H:H,U21,E:E)</f>
        <v>0</v>
      </c>
    </row>
    <row r="22" spans="1:22">
      <c r="A22" s="53" t="s">
        <v>101</v>
      </c>
      <c r="B22" s="53" t="s">
        <v>147</v>
      </c>
      <c r="C22" s="54">
        <v>45987</v>
      </c>
      <c r="D22" s="53" t="s">
        <v>118</v>
      </c>
      <c r="E22" s="126">
        <v>10000000</v>
      </c>
      <c r="F22" s="53"/>
      <c r="G22" s="53" t="s">
        <v>129</v>
      </c>
      <c r="H22" s="53" t="s">
        <v>112</v>
      </c>
      <c r="I22" s="56">
        <f t="shared" ca="1" si="2"/>
        <v>338</v>
      </c>
      <c r="K22" s="58" t="str">
        <v>NIRO CONSTRUYE S. A.</v>
      </c>
      <c r="L22" s="76">
        <v>258370000</v>
      </c>
      <c r="M22" s="90">
        <f t="shared" ref="M22:M52" si="3">+L22/$L$8</f>
        <v>3.1620989047791009E-3</v>
      </c>
      <c r="O22" s="95">
        <f>+SUMIF('Reporte de Cheques'!A:A,'Cheques pendientes'!K22,'Reporte de Cheques'!I:I)</f>
        <v>0</v>
      </c>
      <c r="P22" s="96"/>
      <c r="V22" s="87">
        <f>+SUMIF(H:H,U22,E:E)</f>
        <v>0</v>
      </c>
    </row>
    <row r="23" spans="1:22">
      <c r="A23" s="53" t="s">
        <v>101</v>
      </c>
      <c r="B23" s="53" t="s">
        <v>148</v>
      </c>
      <c r="C23" s="54">
        <v>45988</v>
      </c>
      <c r="D23" s="53" t="s">
        <v>118</v>
      </c>
      <c r="E23" s="126">
        <v>10000000</v>
      </c>
      <c r="F23" s="53"/>
      <c r="G23" s="53" t="s">
        <v>129</v>
      </c>
      <c r="H23" s="53" t="s">
        <v>112</v>
      </c>
      <c r="I23" s="56">
        <f t="shared" ca="1" si="2"/>
        <v>337</v>
      </c>
      <c r="K23" s="58" t="str">
        <v>PORT PLA S.R.L.</v>
      </c>
      <c r="L23" s="76">
        <v>150000000</v>
      </c>
      <c r="M23" s="90">
        <f t="shared" si="3"/>
        <v>1.8357968638652519E-3</v>
      </c>
      <c r="O23" s="95">
        <f>+SUMIF('Reporte de Cheques'!A:A,'Cheques pendientes'!K23,'Reporte de Cheques'!I:I)</f>
        <v>0</v>
      </c>
      <c r="P23" s="96"/>
      <c r="V23" s="87">
        <f>+SUMIF(H:H,U23,E:E)</f>
        <v>0</v>
      </c>
    </row>
    <row r="24" spans="1:22">
      <c r="A24" s="53" t="s">
        <v>101</v>
      </c>
      <c r="B24" s="53" t="s">
        <v>149</v>
      </c>
      <c r="C24" s="54">
        <v>45988</v>
      </c>
      <c r="D24" s="53" t="s">
        <v>118</v>
      </c>
      <c r="E24" s="126">
        <v>10000000</v>
      </c>
      <c r="F24" s="53"/>
      <c r="G24" s="53" t="s">
        <v>129</v>
      </c>
      <c r="H24" s="53" t="s">
        <v>112</v>
      </c>
      <c r="I24" s="56">
        <f t="shared" ca="1" si="2"/>
        <v>337</v>
      </c>
      <c r="K24" s="58" t="str">
        <v>Maradona Wines</v>
      </c>
      <c r="L24" s="76">
        <v>119500000</v>
      </c>
      <c r="M24" s="90">
        <f t="shared" si="3"/>
        <v>1.4625181682126507E-3</v>
      </c>
      <c r="O24" s="95">
        <f>+SUMIF('Reporte de Cheques'!A:A,'Cheques pendientes'!K24,'Reporte de Cheques'!I:I)</f>
        <v>0</v>
      </c>
      <c r="P24" s="96"/>
      <c r="V24" s="87">
        <f>+SUMIF(H:H,U24,E:E)</f>
        <v>0</v>
      </c>
    </row>
    <row r="25" spans="1:22">
      <c r="A25" s="20" t="s">
        <v>101</v>
      </c>
      <c r="B25" s="20" t="s">
        <v>144</v>
      </c>
      <c r="C25" s="38">
        <v>45992</v>
      </c>
      <c r="D25" s="20" t="s">
        <v>118</v>
      </c>
      <c r="E25" s="61">
        <v>3125000</v>
      </c>
      <c r="F25" s="20"/>
      <c r="G25" s="20" t="s">
        <v>119</v>
      </c>
      <c r="H25" s="20" t="s">
        <v>126</v>
      </c>
      <c r="I25" s="27">
        <f t="shared" ca="1" si="2"/>
        <v>333</v>
      </c>
      <c r="K25" s="58" t="str">
        <v>I-LED ARGENTINA S.A.</v>
      </c>
      <c r="L25" s="76">
        <v>93100000</v>
      </c>
      <c r="M25" s="90">
        <f t="shared" si="3"/>
        <v>1.1394179201723665E-3</v>
      </c>
      <c r="O25" s="95">
        <f>+SUMIF('Reporte de Cheques'!A:A,'Cheques pendientes'!K25,'Reporte de Cheques'!I:I)</f>
        <v>0</v>
      </c>
      <c r="P25" s="96"/>
      <c r="V25" s="87">
        <f>+SUMIF(H:H,U25,E:E)</f>
        <v>0</v>
      </c>
    </row>
    <row r="26" spans="1:22">
      <c r="A26" s="20" t="s">
        <v>101</v>
      </c>
      <c r="B26" s="20" t="s">
        <v>201</v>
      </c>
      <c r="C26" s="38">
        <v>45994</v>
      </c>
      <c r="D26" s="20" t="s">
        <v>118</v>
      </c>
      <c r="E26" s="61">
        <v>25000000</v>
      </c>
      <c r="F26" s="20"/>
      <c r="G26" s="20" t="s">
        <v>119</v>
      </c>
      <c r="H26" s="20" t="s">
        <v>205</v>
      </c>
      <c r="I26" s="27">
        <f t="shared" ca="1" si="2"/>
        <v>331</v>
      </c>
      <c r="K26" s="58" t="str">
        <v>FRIGORIFICO GENERAL PICO S A</v>
      </c>
      <c r="L26" s="76">
        <v>70000000</v>
      </c>
      <c r="M26" s="90">
        <f t="shared" si="3"/>
        <v>8.5670520313711762E-4</v>
      </c>
      <c r="O26" s="95">
        <f>+SUMIF('Reporte de Cheques'!A:A,'Cheques pendientes'!K26,'Reporte de Cheques'!I:I)</f>
        <v>0</v>
      </c>
      <c r="P26" s="96"/>
      <c r="V26" s="87">
        <f>+SUMIF(H:H,U26,E:E)</f>
        <v>0</v>
      </c>
    </row>
    <row r="27" spans="1:22">
      <c r="A27" s="53" t="s">
        <v>101</v>
      </c>
      <c r="B27" s="53" t="s">
        <v>182</v>
      </c>
      <c r="C27" s="54">
        <v>46010</v>
      </c>
      <c r="D27" s="53" t="s">
        <v>118</v>
      </c>
      <c r="E27" s="126">
        <v>6000000</v>
      </c>
      <c r="F27" s="53"/>
      <c r="G27" s="53" t="s">
        <v>129</v>
      </c>
      <c r="H27" s="53" t="s">
        <v>131</v>
      </c>
      <c r="I27" s="56">
        <f t="shared" ca="1" si="2"/>
        <v>315</v>
      </c>
      <c r="K27" s="58" t="str">
        <v>MERCOL RAUL ALBERTO Y MERCOL MAURICIO EDUARDO.</v>
      </c>
      <c r="L27" s="76">
        <v>62500000</v>
      </c>
      <c r="M27" s="90">
        <f t="shared" si="3"/>
        <v>7.6491535994385501E-4</v>
      </c>
      <c r="O27" s="95">
        <f>+SUMIF('Reporte de Cheques'!A:A,'Cheques pendientes'!K27,'Reporte de Cheques'!I:I)</f>
        <v>0</v>
      </c>
      <c r="P27" s="96"/>
      <c r="V27" s="87">
        <f>+SUMIF(H:H,U27,E:E)</f>
        <v>0</v>
      </c>
    </row>
    <row r="28" spans="1:22">
      <c r="A28" s="20" t="s">
        <v>101</v>
      </c>
      <c r="B28" s="20" t="s">
        <v>202</v>
      </c>
      <c r="C28" s="38">
        <v>46024</v>
      </c>
      <c r="D28" s="20" t="s">
        <v>118</v>
      </c>
      <c r="E28" s="61">
        <v>25000000</v>
      </c>
      <c r="F28" s="20"/>
      <c r="G28" s="20" t="s">
        <v>119</v>
      </c>
      <c r="H28" s="20" t="s">
        <v>205</v>
      </c>
      <c r="I28" s="27">
        <f t="shared" ca="1" si="2"/>
        <v>301</v>
      </c>
      <c r="K28" s="58" t="str">
        <v>FINEX CABA S. A.</v>
      </c>
      <c r="L28" s="76">
        <v>55300000</v>
      </c>
      <c r="M28" s="90">
        <f t="shared" si="3"/>
        <v>6.7679711047832292E-4</v>
      </c>
      <c r="O28" s="95">
        <f>+SUMIF('Reporte de Cheques'!A:A,'Cheques pendientes'!K28,'Reporte de Cheques'!I:I)</f>
        <v>0</v>
      </c>
      <c r="P28" s="96"/>
      <c r="V28" s="87">
        <f>+SUMIF(H:H,U28,E:E)</f>
        <v>0</v>
      </c>
    </row>
    <row r="29" spans="1:22">
      <c r="A29" s="20" t="s">
        <v>101</v>
      </c>
      <c r="B29" s="20" t="s">
        <v>207</v>
      </c>
      <c r="C29" s="38">
        <v>46028</v>
      </c>
      <c r="D29" s="20" t="s">
        <v>118</v>
      </c>
      <c r="E29" s="61">
        <v>10000000</v>
      </c>
      <c r="F29" s="20"/>
      <c r="G29" s="20" t="s">
        <v>119</v>
      </c>
      <c r="H29" s="20" t="s">
        <v>205</v>
      </c>
      <c r="I29" s="27">
        <f t="shared" ca="1" si="2"/>
        <v>297</v>
      </c>
      <c r="K29" s="58" t="str">
        <v>AKAI ENERGY LED SRL</v>
      </c>
      <c r="L29" s="76">
        <v>44963000</v>
      </c>
      <c r="M29" s="90">
        <f t="shared" si="3"/>
        <v>5.5028622926648881E-4</v>
      </c>
      <c r="O29" s="95">
        <f>+SUMIF('Reporte de Cheques'!A:A,'Cheques pendientes'!K29,'Reporte de Cheques'!I:I)</f>
        <v>0</v>
      </c>
      <c r="P29" s="96"/>
      <c r="V29" s="87">
        <f>+SUMIF(H:H,U29,E:E)</f>
        <v>0</v>
      </c>
    </row>
    <row r="30" spans="1:22">
      <c r="A30" s="53" t="s">
        <v>101</v>
      </c>
      <c r="B30" s="53" t="s">
        <v>183</v>
      </c>
      <c r="C30" s="54">
        <v>46028</v>
      </c>
      <c r="D30" s="53" t="s">
        <v>118</v>
      </c>
      <c r="E30" s="126">
        <v>6000000</v>
      </c>
      <c r="F30" s="53"/>
      <c r="G30" s="53" t="s">
        <v>129</v>
      </c>
      <c r="H30" s="53" t="s">
        <v>131</v>
      </c>
      <c r="I30" s="56">
        <f t="shared" ca="1" si="2"/>
        <v>297</v>
      </c>
      <c r="K30" s="58" t="str">
        <v>TRADICION VALORES S.A.</v>
      </c>
      <c r="L30" s="76">
        <v>25000000</v>
      </c>
      <c r="M30" s="90">
        <f t="shared" si="3"/>
        <v>3.0596614397754198E-4</v>
      </c>
      <c r="O30" s="95">
        <f>+SUMIF('Reporte de Cheques'!A:A,'Cheques pendientes'!K30,'Reporte de Cheques'!I:I)</f>
        <v>0</v>
      </c>
      <c r="P30" s="96"/>
      <c r="V30" s="87">
        <f>+SUMIF(H:H,U30,E:E)</f>
        <v>0</v>
      </c>
    </row>
    <row r="31" spans="1:22">
      <c r="A31" s="20" t="s">
        <v>101</v>
      </c>
      <c r="B31" s="20" t="s">
        <v>209</v>
      </c>
      <c r="C31" s="38">
        <v>46029</v>
      </c>
      <c r="D31" s="20" t="s">
        <v>118</v>
      </c>
      <c r="E31" s="61">
        <v>10000000</v>
      </c>
      <c r="F31" s="20"/>
      <c r="G31" s="20" t="s">
        <v>119</v>
      </c>
      <c r="H31" s="20" t="s">
        <v>205</v>
      </c>
      <c r="I31" s="27">
        <f t="shared" ca="1" si="2"/>
        <v>296</v>
      </c>
      <c r="K31" s="58" t="str">
        <v>MASTER DESIGN HOME SRL</v>
      </c>
      <c r="L31" s="76">
        <v>24000000</v>
      </c>
      <c r="M31" s="90">
        <f t="shared" si="3"/>
        <v>2.9372749821844033E-4</v>
      </c>
      <c r="O31" s="95">
        <f>+SUMIF('Reporte de Cheques'!A:A,'Cheques pendientes'!K31,'Reporte de Cheques'!I:I)</f>
        <v>0</v>
      </c>
      <c r="P31" s="96"/>
      <c r="V31" s="87">
        <f>+SUMIF(H:H,U31,E:E)</f>
        <v>0</v>
      </c>
    </row>
    <row r="32" spans="1:22">
      <c r="A32" s="20" t="s">
        <v>101</v>
      </c>
      <c r="B32" s="20" t="s">
        <v>210</v>
      </c>
      <c r="C32" s="38">
        <v>46035</v>
      </c>
      <c r="D32" s="20" t="s">
        <v>118</v>
      </c>
      <c r="E32" s="61">
        <v>10000000</v>
      </c>
      <c r="F32" s="20"/>
      <c r="G32" s="20" t="s">
        <v>119</v>
      </c>
      <c r="H32" s="20" t="s">
        <v>205</v>
      </c>
      <c r="I32" s="27">
        <f t="shared" ca="1" si="2"/>
        <v>290</v>
      </c>
      <c r="K32" s="58" t="str">
        <v>GROCAL S.A.</v>
      </c>
      <c r="L32" s="76">
        <v>15000000</v>
      </c>
      <c r="M32" s="90">
        <f t="shared" si="3"/>
        <v>1.8357968638652518E-4</v>
      </c>
      <c r="O32" s="95">
        <f>+SUMIF('Reporte de Cheques'!A:A,'Cheques pendientes'!K32,'Reporte de Cheques'!I:I)</f>
        <v>0</v>
      </c>
      <c r="P32" s="96"/>
      <c r="V32" s="87">
        <f>+SUMIF(H:H,U32,E:E)</f>
        <v>0</v>
      </c>
    </row>
    <row r="33" spans="1:22">
      <c r="A33" s="20" t="s">
        <v>101</v>
      </c>
      <c r="B33" s="20" t="s">
        <v>211</v>
      </c>
      <c r="C33" s="38">
        <v>46036</v>
      </c>
      <c r="D33" s="20" t="s">
        <v>118</v>
      </c>
      <c r="E33" s="61">
        <v>10000000</v>
      </c>
      <c r="F33" s="20"/>
      <c r="G33" s="20" t="s">
        <v>119</v>
      </c>
      <c r="H33" s="20" t="s">
        <v>205</v>
      </c>
      <c r="I33" s="27">
        <f t="shared" ca="1" si="2"/>
        <v>289</v>
      </c>
      <c r="K33" s="58" t="str">
        <v>Paccioli Group Sociedad Anonima</v>
      </c>
      <c r="L33" s="76">
        <v>13958000</v>
      </c>
      <c r="M33" s="90">
        <f t="shared" si="3"/>
        <v>1.7082701750554126E-4</v>
      </c>
      <c r="O33" s="95">
        <f>+SUMIF('Reporte de Cheques'!A:A,'Cheques pendientes'!K33,'Reporte de Cheques'!I:I)</f>
        <v>0</v>
      </c>
      <c r="P33" s="96"/>
      <c r="V33" s="87">
        <f>+SUMIF(H:H,U33,E:E)</f>
        <v>0</v>
      </c>
    </row>
    <row r="34" spans="1:22">
      <c r="A34" s="20" t="s">
        <v>101</v>
      </c>
      <c r="B34" s="20" t="s">
        <v>218</v>
      </c>
      <c r="C34" s="38">
        <v>46036</v>
      </c>
      <c r="D34" s="20" t="s">
        <v>118</v>
      </c>
      <c r="E34" s="61">
        <v>5000000</v>
      </c>
      <c r="F34" s="20"/>
      <c r="G34" s="20" t="s">
        <v>119</v>
      </c>
      <c r="H34" s="20" t="s">
        <v>189</v>
      </c>
      <c r="I34" s="27">
        <f t="shared" ca="1" si="2"/>
        <v>289</v>
      </c>
      <c r="K34" s="58" t="str">
        <v>RABU INVERSIONES SRL</v>
      </c>
      <c r="L34" s="76">
        <v>7194300</v>
      </c>
      <c r="M34" s="90">
        <f t="shared" si="3"/>
        <v>8.8048489184705216E-5</v>
      </c>
      <c r="O34" s="95">
        <f>+SUMIF('Reporte de Cheques'!A:A,'Cheques pendientes'!K34,'Reporte de Cheques'!I:I)</f>
        <v>0</v>
      </c>
      <c r="P34" s="96"/>
      <c r="V34" s="87">
        <f>+SUMIF(H:H,U34,E:E)</f>
        <v>0</v>
      </c>
    </row>
    <row r="35" spans="1:22">
      <c r="A35" s="20" t="s">
        <v>101</v>
      </c>
      <c r="B35" s="20" t="s">
        <v>219</v>
      </c>
      <c r="C35" s="38">
        <v>46038</v>
      </c>
      <c r="D35" s="20" t="s">
        <v>118</v>
      </c>
      <c r="E35" s="61">
        <v>5000000</v>
      </c>
      <c r="F35" s="20"/>
      <c r="G35" s="20" t="s">
        <v>119</v>
      </c>
      <c r="H35" s="20" t="s">
        <v>189</v>
      </c>
      <c r="I35" s="27">
        <f t="shared" ca="1" si="2"/>
        <v>287</v>
      </c>
      <c r="K35" s="58" t="str">
        <v>UKUMARI SOCIEDAD ANONIMA.</v>
      </c>
      <c r="L35" s="76">
        <v>6812500</v>
      </c>
      <c r="M35" s="90">
        <f t="shared" si="3"/>
        <v>8.3375774233880194E-5</v>
      </c>
      <c r="O35" s="95">
        <f>+SUMIF('Reporte de Cheques'!A:A,'Cheques pendientes'!K35,'Reporte de Cheques'!I:I)</f>
        <v>0</v>
      </c>
      <c r="P35" s="96"/>
    </row>
    <row r="36" spans="1:22">
      <c r="A36" s="20" t="s">
        <v>101</v>
      </c>
      <c r="B36" s="20" t="s">
        <v>212</v>
      </c>
      <c r="C36" s="38">
        <v>46042</v>
      </c>
      <c r="D36" s="20" t="s">
        <v>118</v>
      </c>
      <c r="E36" s="61">
        <v>10000000</v>
      </c>
      <c r="F36" s="20"/>
      <c r="G36" s="20" t="s">
        <v>119</v>
      </c>
      <c r="H36" s="20" t="s">
        <v>205</v>
      </c>
      <c r="I36" s="27">
        <f t="shared" ca="1" si="2"/>
        <v>283</v>
      </c>
      <c r="K36" s="58" t="str">
        <v>INVLAC CONSTRUCCIONES S.R.L</v>
      </c>
      <c r="L36" s="76">
        <v>4000000</v>
      </c>
      <c r="M36" s="90">
        <f t="shared" si="3"/>
        <v>4.8954583036406717E-5</v>
      </c>
      <c r="O36" s="95">
        <f>+SUMIF('Reporte de Cheques'!A:A,'Cheques pendientes'!K36,'Reporte de Cheques'!I:I)</f>
        <v>0</v>
      </c>
      <c r="P36" s="96"/>
    </row>
    <row r="37" spans="1:22">
      <c r="A37" s="53" t="s">
        <v>101</v>
      </c>
      <c r="B37" s="53" t="s">
        <v>185</v>
      </c>
      <c r="C37" s="54">
        <v>46042</v>
      </c>
      <c r="D37" s="53" t="s">
        <v>118</v>
      </c>
      <c r="E37" s="126">
        <v>4000000</v>
      </c>
      <c r="F37" s="53"/>
      <c r="G37" s="53" t="s">
        <v>129</v>
      </c>
      <c r="H37" s="53" t="s">
        <v>131</v>
      </c>
      <c r="I37" s="56">
        <f t="shared" ca="1" si="2"/>
        <v>283</v>
      </c>
      <c r="K37" s="58" t="str">
        <v>MIANI CLARA A Y MIANI ADA CLELIA</v>
      </c>
      <c r="L37" s="76">
        <v>3125000</v>
      </c>
      <c r="M37" s="90">
        <f t="shared" si="3"/>
        <v>3.8245767997192748E-5</v>
      </c>
      <c r="O37" s="95">
        <f>+SUMIF('Reporte de Cheques'!A:A,'Cheques pendientes'!K37,'Reporte de Cheques'!I:I)</f>
        <v>0</v>
      </c>
      <c r="P37" s="96"/>
    </row>
    <row r="38" spans="1:22">
      <c r="A38" s="20" t="s">
        <v>101</v>
      </c>
      <c r="B38" s="20" t="s">
        <v>213</v>
      </c>
      <c r="C38" s="38">
        <v>46043</v>
      </c>
      <c r="D38" s="20" t="s">
        <v>118</v>
      </c>
      <c r="E38" s="61">
        <v>10000000</v>
      </c>
      <c r="F38" s="20"/>
      <c r="G38" s="20" t="s">
        <v>119</v>
      </c>
      <c r="H38" s="20" t="s">
        <v>205</v>
      </c>
      <c r="I38" s="27">
        <f t="shared" ca="1" si="2"/>
        <v>282</v>
      </c>
      <c r="K38" s="58" t="str">
        <v>LOPEZ LUCIA SOLEDAD</v>
      </c>
      <c r="L38" s="76">
        <v>995000</v>
      </c>
      <c r="M38" s="90">
        <f t="shared" si="3"/>
        <v>1.2177452530306171E-5</v>
      </c>
      <c r="O38" s="95">
        <f>+SUMIF('Reporte de Cheques'!A:A,'Cheques pendientes'!K38,'Reporte de Cheques'!I:I)</f>
        <v>0</v>
      </c>
      <c r="P38" s="96"/>
    </row>
    <row r="39" spans="1:22">
      <c r="A39" s="20" t="s">
        <v>101</v>
      </c>
      <c r="B39" s="20" t="s">
        <v>241</v>
      </c>
      <c r="C39" s="38">
        <v>46044</v>
      </c>
      <c r="D39" s="20" t="s">
        <v>118</v>
      </c>
      <c r="E39" s="61">
        <v>1395800</v>
      </c>
      <c r="F39" s="20"/>
      <c r="G39" s="20" t="s">
        <v>119</v>
      </c>
      <c r="H39" s="20" t="s">
        <v>251</v>
      </c>
      <c r="I39" s="27">
        <f t="shared" ref="I39:I77" ca="1" si="4">+TODAY()-C39</f>
        <v>281</v>
      </c>
      <c r="K39" s="58">
        <v>0</v>
      </c>
      <c r="L39" s="76">
        <v>0</v>
      </c>
      <c r="M39" s="90">
        <f t="shared" si="3"/>
        <v>0</v>
      </c>
      <c r="O39" s="95">
        <f>+SUMIF('Reporte de Cheques'!A:A,'Cheques pendientes'!K39,'Reporte de Cheques'!I:I)</f>
        <v>0</v>
      </c>
      <c r="P39" s="96"/>
    </row>
    <row r="40" spans="1:22">
      <c r="A40" s="20" t="s">
        <v>101</v>
      </c>
      <c r="B40" s="20" t="s">
        <v>242</v>
      </c>
      <c r="C40" s="38">
        <v>46044</v>
      </c>
      <c r="D40" s="20" t="s">
        <v>118</v>
      </c>
      <c r="E40" s="61">
        <v>1395800</v>
      </c>
      <c r="F40" s="20"/>
      <c r="G40" s="20" t="s">
        <v>119</v>
      </c>
      <c r="H40" s="20" t="s">
        <v>251</v>
      </c>
      <c r="I40" s="27">
        <f t="shared" ca="1" si="4"/>
        <v>281</v>
      </c>
      <c r="K40" s="58">
        <v>0</v>
      </c>
      <c r="L40" s="76">
        <v>0</v>
      </c>
      <c r="M40" s="90">
        <f t="shared" si="3"/>
        <v>0</v>
      </c>
      <c r="O40" s="95">
        <f>+SUMIF('Reporte de Cheques'!A:A,'Cheques pendientes'!K40,'Reporte de Cheques'!I:I)</f>
        <v>0</v>
      </c>
      <c r="P40" s="96"/>
    </row>
    <row r="41" spans="1:22">
      <c r="A41" s="20" t="s">
        <v>101</v>
      </c>
      <c r="B41" s="20" t="s">
        <v>243</v>
      </c>
      <c r="C41" s="38">
        <v>46044</v>
      </c>
      <c r="D41" s="20" t="s">
        <v>118</v>
      </c>
      <c r="E41" s="61">
        <v>1395800</v>
      </c>
      <c r="F41" s="20"/>
      <c r="G41" s="20" t="s">
        <v>119</v>
      </c>
      <c r="H41" s="20" t="s">
        <v>251</v>
      </c>
      <c r="I41" s="27">
        <f t="shared" ca="1" si="4"/>
        <v>281</v>
      </c>
      <c r="K41" s="58">
        <v>0</v>
      </c>
      <c r="L41" s="76">
        <v>0</v>
      </c>
      <c r="M41" s="90">
        <f t="shared" si="3"/>
        <v>0</v>
      </c>
      <c r="O41" s="95">
        <f>+SUMIF('Reporte de Cheques'!A:A,'Cheques pendientes'!K41,'Reporte de Cheques'!I:I)</f>
        <v>0</v>
      </c>
      <c r="P41" s="96"/>
    </row>
    <row r="42" spans="1:22">
      <c r="A42" s="20" t="s">
        <v>101</v>
      </c>
      <c r="B42" s="20" t="s">
        <v>244</v>
      </c>
      <c r="C42" s="38">
        <v>46044</v>
      </c>
      <c r="D42" s="20" t="s">
        <v>118</v>
      </c>
      <c r="E42" s="61">
        <v>1395800</v>
      </c>
      <c r="F42" s="20"/>
      <c r="G42" s="20" t="s">
        <v>119</v>
      </c>
      <c r="H42" s="20" t="s">
        <v>251</v>
      </c>
      <c r="I42" s="27">
        <f t="shared" ca="1" si="4"/>
        <v>281</v>
      </c>
      <c r="K42" s="58">
        <v>0</v>
      </c>
      <c r="L42" s="76">
        <v>0</v>
      </c>
      <c r="M42" s="90">
        <f t="shared" si="3"/>
        <v>0</v>
      </c>
      <c r="O42" s="95">
        <f>+SUMIF('Reporte de Cheques'!A:A,'Cheques pendientes'!K42,'Reporte de Cheques'!I:I)</f>
        <v>0</v>
      </c>
      <c r="P42" s="96"/>
    </row>
    <row r="43" spans="1:22">
      <c r="A43" s="20" t="s">
        <v>101</v>
      </c>
      <c r="B43" s="20" t="s">
        <v>245</v>
      </c>
      <c r="C43" s="38">
        <v>46045</v>
      </c>
      <c r="D43" s="20" t="s">
        <v>118</v>
      </c>
      <c r="E43" s="61">
        <v>1395800</v>
      </c>
      <c r="F43" s="20"/>
      <c r="G43" s="20" t="s">
        <v>119</v>
      </c>
      <c r="H43" s="20" t="s">
        <v>251</v>
      </c>
      <c r="I43" s="27">
        <f t="shared" ca="1" si="4"/>
        <v>280</v>
      </c>
      <c r="K43" s="58">
        <v>0</v>
      </c>
      <c r="L43" s="76">
        <v>0</v>
      </c>
      <c r="M43" s="90">
        <f t="shared" si="3"/>
        <v>0</v>
      </c>
      <c r="O43" s="95">
        <f>+SUMIF('Reporte de Cheques'!A:A,'Cheques pendientes'!K43,'Reporte de Cheques'!I:I)</f>
        <v>0</v>
      </c>
      <c r="P43" s="96"/>
    </row>
    <row r="44" spans="1:22">
      <c r="A44" s="53" t="s">
        <v>101</v>
      </c>
      <c r="B44" s="53" t="s">
        <v>186</v>
      </c>
      <c r="C44" s="54">
        <v>46045</v>
      </c>
      <c r="D44" s="53" t="s">
        <v>118</v>
      </c>
      <c r="E44" s="126">
        <v>4000000</v>
      </c>
      <c r="F44" s="53"/>
      <c r="G44" s="53" t="s">
        <v>129</v>
      </c>
      <c r="H44" s="53" t="s">
        <v>131</v>
      </c>
      <c r="I44" s="56">
        <f t="shared" ca="1" si="4"/>
        <v>280</v>
      </c>
      <c r="K44" s="58">
        <v>0</v>
      </c>
      <c r="L44" s="76">
        <v>0</v>
      </c>
      <c r="M44" s="90">
        <f t="shared" si="3"/>
        <v>0</v>
      </c>
      <c r="O44" s="95">
        <f>+SUMIF('Reporte de Cheques'!A:A,'Cheques pendientes'!K44,'Reporte de Cheques'!I:I)</f>
        <v>0</v>
      </c>
      <c r="P44" s="96"/>
    </row>
    <row r="45" spans="1:22">
      <c r="A45" s="20" t="s">
        <v>101</v>
      </c>
      <c r="B45" s="20" t="s">
        <v>224</v>
      </c>
      <c r="C45" s="38">
        <v>46045</v>
      </c>
      <c r="D45" s="20" t="s">
        <v>118</v>
      </c>
      <c r="E45" s="61">
        <v>15900000</v>
      </c>
      <c r="F45" s="20"/>
      <c r="G45" s="20" t="s">
        <v>119</v>
      </c>
      <c r="H45" s="20" t="s">
        <v>225</v>
      </c>
      <c r="I45" s="27">
        <f t="shared" ca="1" si="4"/>
        <v>280</v>
      </c>
      <c r="K45" s="58">
        <v>0</v>
      </c>
      <c r="L45" s="76">
        <v>0</v>
      </c>
      <c r="M45" s="90">
        <f t="shared" si="3"/>
        <v>0</v>
      </c>
      <c r="O45" s="95">
        <f>+SUMIF('Reporte de Cheques'!A:A,'Cheques pendientes'!K45,'Reporte de Cheques'!I:I)</f>
        <v>0</v>
      </c>
      <c r="P45" s="96"/>
    </row>
    <row r="46" spans="1:22">
      <c r="A46" s="20" t="s">
        <v>101</v>
      </c>
      <c r="B46" s="20" t="s">
        <v>188</v>
      </c>
      <c r="C46" s="38">
        <v>46045</v>
      </c>
      <c r="D46" s="20" t="s">
        <v>118</v>
      </c>
      <c r="E46" s="61">
        <v>5000000</v>
      </c>
      <c r="F46" s="20"/>
      <c r="G46" s="20" t="s">
        <v>119</v>
      </c>
      <c r="H46" s="20" t="s">
        <v>189</v>
      </c>
      <c r="I46" s="27">
        <f t="shared" ca="1" si="4"/>
        <v>280</v>
      </c>
      <c r="K46" s="58">
        <v>0</v>
      </c>
      <c r="L46" s="76">
        <v>0</v>
      </c>
      <c r="M46" s="90">
        <f t="shared" si="3"/>
        <v>0</v>
      </c>
      <c r="O46" s="95">
        <f>+SUMIF('Reporte de Cheques'!A:A,'Cheques pendientes'!K46,'Reporte de Cheques'!I:I)</f>
        <v>0</v>
      </c>
      <c r="P46" s="96"/>
    </row>
    <row r="47" spans="1:22">
      <c r="A47" s="20" t="s">
        <v>101</v>
      </c>
      <c r="B47" s="20" t="s">
        <v>246</v>
      </c>
      <c r="C47" s="38">
        <v>46048</v>
      </c>
      <c r="D47" s="20" t="s">
        <v>118</v>
      </c>
      <c r="E47" s="61">
        <v>1395800</v>
      </c>
      <c r="F47" s="20"/>
      <c r="G47" s="20" t="s">
        <v>119</v>
      </c>
      <c r="H47" s="20" t="s">
        <v>251</v>
      </c>
      <c r="I47" s="27">
        <f t="shared" ca="1" si="4"/>
        <v>277</v>
      </c>
      <c r="K47" s="58">
        <v>0</v>
      </c>
      <c r="L47" s="76">
        <v>0</v>
      </c>
      <c r="M47" s="90">
        <f t="shared" si="3"/>
        <v>0</v>
      </c>
      <c r="O47" s="95">
        <f>+SUMIF('Reporte de Cheques'!A:A,'Cheques pendientes'!K47,'Reporte de Cheques'!I:I)</f>
        <v>0</v>
      </c>
      <c r="P47" s="96"/>
    </row>
    <row r="48" spans="1:22">
      <c r="A48" s="20" t="s">
        <v>101</v>
      </c>
      <c r="B48" s="20" t="s">
        <v>214</v>
      </c>
      <c r="C48" s="38">
        <v>46049</v>
      </c>
      <c r="D48" s="20" t="s">
        <v>118</v>
      </c>
      <c r="E48" s="61">
        <v>10000000</v>
      </c>
      <c r="F48" s="20"/>
      <c r="G48" s="20" t="s">
        <v>119</v>
      </c>
      <c r="H48" s="20" t="s">
        <v>205</v>
      </c>
      <c r="I48" s="27">
        <f t="shared" ca="1" si="4"/>
        <v>276</v>
      </c>
      <c r="K48" s="58">
        <v>0</v>
      </c>
      <c r="L48" s="76">
        <v>0</v>
      </c>
      <c r="M48" s="90">
        <f t="shared" si="3"/>
        <v>0</v>
      </c>
      <c r="O48" s="95">
        <f>+SUMIF('Reporte de Cheques'!A:A,'Cheques pendientes'!K48,'Reporte de Cheques'!I:I)</f>
        <v>0</v>
      </c>
      <c r="P48" s="96"/>
    </row>
    <row r="49" spans="1:16">
      <c r="A49" s="20" t="s">
        <v>101</v>
      </c>
      <c r="B49" s="20" t="s">
        <v>247</v>
      </c>
      <c r="C49" s="38">
        <v>46049</v>
      </c>
      <c r="D49" s="20" t="s">
        <v>118</v>
      </c>
      <c r="E49" s="61">
        <v>1395800</v>
      </c>
      <c r="F49" s="20"/>
      <c r="G49" s="20" t="s">
        <v>119</v>
      </c>
      <c r="H49" s="20" t="s">
        <v>251</v>
      </c>
      <c r="I49" s="27">
        <f t="shared" ca="1" si="4"/>
        <v>276</v>
      </c>
      <c r="K49" s="58">
        <v>0</v>
      </c>
      <c r="L49" s="76">
        <v>0</v>
      </c>
      <c r="M49" s="90">
        <f t="shared" si="3"/>
        <v>0</v>
      </c>
      <c r="O49" s="95">
        <f>+SUMIF('Reporte de Cheques'!A:A,'Cheques pendientes'!K49,'Reporte de Cheques'!I:I)</f>
        <v>0</v>
      </c>
      <c r="P49" s="96"/>
    </row>
    <row r="50" spans="1:16">
      <c r="A50" s="20" t="s">
        <v>101</v>
      </c>
      <c r="B50" s="20" t="s">
        <v>248</v>
      </c>
      <c r="C50" s="38">
        <v>46049</v>
      </c>
      <c r="D50" s="20" t="s">
        <v>118</v>
      </c>
      <c r="E50" s="61">
        <v>1395800</v>
      </c>
      <c r="F50" s="20"/>
      <c r="G50" s="20" t="s">
        <v>119</v>
      </c>
      <c r="H50" s="20" t="s">
        <v>251</v>
      </c>
      <c r="I50" s="27">
        <f t="shared" ca="1" si="4"/>
        <v>276</v>
      </c>
      <c r="K50" s="58">
        <v>0</v>
      </c>
      <c r="L50" s="76">
        <v>0</v>
      </c>
      <c r="M50" s="90">
        <f t="shared" si="3"/>
        <v>0</v>
      </c>
      <c r="O50" s="95">
        <f>+SUMIF('Reporte de Cheques'!A:A,'Cheques pendientes'!K50,'Reporte de Cheques'!I:I)</f>
        <v>0</v>
      </c>
      <c r="P50" s="96"/>
    </row>
    <row r="51" spans="1:16">
      <c r="A51" s="20" t="s">
        <v>101</v>
      </c>
      <c r="B51" s="20" t="s">
        <v>249</v>
      </c>
      <c r="C51" s="38">
        <v>46049</v>
      </c>
      <c r="D51" s="20" t="s">
        <v>118</v>
      </c>
      <c r="E51" s="61">
        <v>1395800</v>
      </c>
      <c r="F51" s="20"/>
      <c r="G51" s="20" t="s">
        <v>119</v>
      </c>
      <c r="H51" s="20" t="s">
        <v>251</v>
      </c>
      <c r="I51" s="27">
        <f t="shared" ca="1" si="4"/>
        <v>276</v>
      </c>
      <c r="K51" s="58">
        <v>0</v>
      </c>
      <c r="L51" s="76">
        <v>0</v>
      </c>
      <c r="M51" s="90">
        <f t="shared" si="3"/>
        <v>0</v>
      </c>
      <c r="O51" s="95">
        <f>+SUMIF('Reporte de Cheques'!A:A,'Cheques pendientes'!K51,'Reporte de Cheques'!I:I)</f>
        <v>0</v>
      </c>
      <c r="P51" s="96"/>
    </row>
    <row r="52" spans="1:16">
      <c r="A52" s="20" t="s">
        <v>101</v>
      </c>
      <c r="B52" s="20" t="s">
        <v>250</v>
      </c>
      <c r="C52" s="38">
        <v>46049</v>
      </c>
      <c r="D52" s="20" t="s">
        <v>118</v>
      </c>
      <c r="E52" s="61">
        <v>1395800</v>
      </c>
      <c r="F52" s="20"/>
      <c r="G52" s="20" t="s">
        <v>119</v>
      </c>
      <c r="H52" s="20" t="s">
        <v>251</v>
      </c>
      <c r="I52" s="27">
        <f t="shared" ca="1" si="4"/>
        <v>276</v>
      </c>
      <c r="K52" s="58">
        <v>0</v>
      </c>
      <c r="L52" s="76">
        <v>0</v>
      </c>
      <c r="M52" s="90">
        <f t="shared" si="3"/>
        <v>0</v>
      </c>
      <c r="O52" s="95">
        <f>+SUMIF('Reporte de Cheques'!A:A,'Cheques pendientes'!K52,'Reporte de Cheques'!I:I)</f>
        <v>0</v>
      </c>
      <c r="P52" s="96"/>
    </row>
    <row r="53" spans="1:16">
      <c r="A53" s="20" t="s">
        <v>101</v>
      </c>
      <c r="B53" s="20" t="s">
        <v>191</v>
      </c>
      <c r="C53" s="38">
        <v>46050</v>
      </c>
      <c r="D53" s="20" t="s">
        <v>118</v>
      </c>
      <c r="E53" s="61">
        <v>6250000</v>
      </c>
      <c r="F53" s="20"/>
      <c r="G53" s="20" t="s">
        <v>119</v>
      </c>
      <c r="H53" s="20" t="s">
        <v>190</v>
      </c>
      <c r="I53" s="27">
        <f t="shared" ca="1" si="4"/>
        <v>275</v>
      </c>
      <c r="O53" s="96"/>
      <c r="P53" s="96"/>
    </row>
    <row r="54" spans="1:16">
      <c r="A54" s="53" t="s">
        <v>101</v>
      </c>
      <c r="B54" s="53" t="s">
        <v>187</v>
      </c>
      <c r="C54" s="54">
        <v>46050</v>
      </c>
      <c r="D54" s="53" t="s">
        <v>118</v>
      </c>
      <c r="E54" s="126">
        <v>4000000</v>
      </c>
      <c r="F54" s="53"/>
      <c r="G54" s="53" t="s">
        <v>129</v>
      </c>
      <c r="H54" s="53" t="s">
        <v>131</v>
      </c>
      <c r="I54" s="56">
        <f t="shared" ca="1" si="4"/>
        <v>275</v>
      </c>
    </row>
    <row r="55" spans="1:16">
      <c r="A55" s="53" t="s">
        <v>101</v>
      </c>
      <c r="B55" s="53" t="s">
        <v>260</v>
      </c>
      <c r="C55" s="54">
        <v>46050</v>
      </c>
      <c r="D55" s="53" t="s">
        <v>118</v>
      </c>
      <c r="E55" s="126">
        <v>22000000</v>
      </c>
      <c r="F55" s="53"/>
      <c r="G55" s="53" t="s">
        <v>129</v>
      </c>
      <c r="H55" s="53" t="s">
        <v>134</v>
      </c>
      <c r="I55" s="56">
        <f t="shared" ca="1" si="4"/>
        <v>275</v>
      </c>
    </row>
    <row r="56" spans="1:16" ht="15.75" customHeight="1">
      <c r="A56" s="20" t="s">
        <v>101</v>
      </c>
      <c r="B56" s="20" t="s">
        <v>215</v>
      </c>
      <c r="C56" s="38">
        <v>46051</v>
      </c>
      <c r="D56" s="20" t="s">
        <v>118</v>
      </c>
      <c r="E56" s="61">
        <v>10000000</v>
      </c>
      <c r="F56" s="20"/>
      <c r="G56" s="20" t="s">
        <v>119</v>
      </c>
      <c r="H56" s="20" t="s">
        <v>205</v>
      </c>
      <c r="I56" s="27">
        <f t="shared" ca="1" si="4"/>
        <v>274</v>
      </c>
    </row>
    <row r="57" spans="1:16">
      <c r="A57" s="20" t="s">
        <v>101</v>
      </c>
      <c r="B57" s="20" t="s">
        <v>192</v>
      </c>
      <c r="C57" s="38">
        <v>46052</v>
      </c>
      <c r="D57" s="20" t="s">
        <v>118</v>
      </c>
      <c r="E57" s="61">
        <v>6250000</v>
      </c>
      <c r="F57" s="20"/>
      <c r="G57" s="20" t="s">
        <v>119</v>
      </c>
      <c r="H57" s="20" t="s">
        <v>190</v>
      </c>
      <c r="I57" s="27">
        <f t="shared" ca="1" si="4"/>
        <v>273</v>
      </c>
    </row>
    <row r="58" spans="1:16">
      <c r="A58" s="20" t="s">
        <v>101</v>
      </c>
      <c r="B58" s="20" t="s">
        <v>193</v>
      </c>
      <c r="C58" s="38">
        <v>46056</v>
      </c>
      <c r="D58" s="20" t="s">
        <v>118</v>
      </c>
      <c r="E58" s="61">
        <v>6250000</v>
      </c>
      <c r="F58" s="20"/>
      <c r="G58" s="20" t="s">
        <v>119</v>
      </c>
      <c r="H58" s="20" t="s">
        <v>190</v>
      </c>
      <c r="I58" s="27">
        <f t="shared" ca="1" si="4"/>
        <v>269</v>
      </c>
    </row>
    <row r="59" spans="1:16">
      <c r="A59" s="20" t="s">
        <v>101</v>
      </c>
      <c r="B59" s="20" t="s">
        <v>200</v>
      </c>
      <c r="C59" s="38">
        <v>46056</v>
      </c>
      <c r="D59" s="20" t="s">
        <v>118</v>
      </c>
      <c r="E59" s="61">
        <v>995000</v>
      </c>
      <c r="F59" s="20"/>
      <c r="G59" s="20" t="s">
        <v>119</v>
      </c>
      <c r="H59" s="20" t="s">
        <v>204</v>
      </c>
      <c r="I59" s="27">
        <f t="shared" ca="1" si="4"/>
        <v>269</v>
      </c>
    </row>
    <row r="60" spans="1:16">
      <c r="A60" s="20" t="s">
        <v>101</v>
      </c>
      <c r="B60" s="20" t="s">
        <v>199</v>
      </c>
      <c r="C60" s="38">
        <v>46056</v>
      </c>
      <c r="D60" s="20" t="s">
        <v>118</v>
      </c>
      <c r="E60" s="61">
        <v>2398100</v>
      </c>
      <c r="F60" s="20"/>
      <c r="G60" s="20" t="s">
        <v>119</v>
      </c>
      <c r="H60" s="20" t="s">
        <v>203</v>
      </c>
      <c r="I60" s="27">
        <f t="shared" ca="1" si="4"/>
        <v>269</v>
      </c>
    </row>
    <row r="61" spans="1:16">
      <c r="A61" s="20" t="s">
        <v>101</v>
      </c>
      <c r="B61" s="20" t="s">
        <v>216</v>
      </c>
      <c r="C61" s="38">
        <v>46056</v>
      </c>
      <c r="D61" s="20" t="s">
        <v>118</v>
      </c>
      <c r="E61" s="61">
        <v>10000000</v>
      </c>
      <c r="F61" s="20"/>
      <c r="G61" s="20" t="s">
        <v>119</v>
      </c>
      <c r="H61" s="20" t="s">
        <v>205</v>
      </c>
      <c r="I61" s="27">
        <f t="shared" ca="1" si="4"/>
        <v>269</v>
      </c>
    </row>
    <row r="62" spans="1:16">
      <c r="A62" s="20" t="s">
        <v>101</v>
      </c>
      <c r="B62" s="20" t="s">
        <v>194</v>
      </c>
      <c r="C62" s="38">
        <v>46057</v>
      </c>
      <c r="D62" s="20" t="s">
        <v>118</v>
      </c>
      <c r="E62" s="61">
        <v>6250000</v>
      </c>
      <c r="F62" s="20"/>
      <c r="G62" s="20" t="s">
        <v>119</v>
      </c>
      <c r="H62" s="20" t="s">
        <v>190</v>
      </c>
      <c r="I62" s="27">
        <f t="shared" ca="1" si="4"/>
        <v>268</v>
      </c>
    </row>
    <row r="63" spans="1:16">
      <c r="A63" s="20" t="s">
        <v>101</v>
      </c>
      <c r="B63" s="20" t="s">
        <v>197</v>
      </c>
      <c r="C63" s="38">
        <v>46057</v>
      </c>
      <c r="D63" s="20" t="s">
        <v>118</v>
      </c>
      <c r="E63" s="61">
        <v>2398100</v>
      </c>
      <c r="F63" s="20"/>
      <c r="G63" s="20" t="s">
        <v>119</v>
      </c>
      <c r="H63" s="20" t="s">
        <v>203</v>
      </c>
      <c r="I63" s="27">
        <f t="shared" ca="1" si="4"/>
        <v>268</v>
      </c>
    </row>
    <row r="64" spans="1:16">
      <c r="A64" s="20" t="s">
        <v>101</v>
      </c>
      <c r="B64" s="20" t="s">
        <v>208</v>
      </c>
      <c r="C64" s="38">
        <v>46057</v>
      </c>
      <c r="D64" s="20" t="s">
        <v>118</v>
      </c>
      <c r="E64" s="61">
        <v>10000000</v>
      </c>
      <c r="F64" s="20"/>
      <c r="G64" s="20" t="s">
        <v>119</v>
      </c>
      <c r="H64" s="20" t="s">
        <v>205</v>
      </c>
      <c r="I64" s="27">
        <f t="shared" ca="1" si="4"/>
        <v>268</v>
      </c>
    </row>
    <row r="65" spans="1:9">
      <c r="A65" s="20" t="s">
        <v>101</v>
      </c>
      <c r="B65" s="20" t="s">
        <v>198</v>
      </c>
      <c r="C65" s="38">
        <v>46058</v>
      </c>
      <c r="D65" s="20" t="s">
        <v>118</v>
      </c>
      <c r="E65" s="61">
        <v>2398100</v>
      </c>
      <c r="F65" s="20"/>
      <c r="G65" s="20" t="s">
        <v>119</v>
      </c>
      <c r="H65" s="20" t="s">
        <v>203</v>
      </c>
      <c r="I65" s="27">
        <f t="shared" ca="1" si="4"/>
        <v>267</v>
      </c>
    </row>
    <row r="66" spans="1:9">
      <c r="A66" s="53" t="s">
        <v>101</v>
      </c>
      <c r="B66" s="53" t="s">
        <v>262</v>
      </c>
      <c r="C66" s="54">
        <v>46065</v>
      </c>
      <c r="D66" s="53" t="s">
        <v>118</v>
      </c>
      <c r="E66" s="126">
        <v>25000000</v>
      </c>
      <c r="F66" s="53"/>
      <c r="G66" s="53" t="s">
        <v>129</v>
      </c>
      <c r="H66" s="53" t="s">
        <v>134</v>
      </c>
      <c r="I66" s="56">
        <f t="shared" ca="1" si="4"/>
        <v>260</v>
      </c>
    </row>
    <row r="67" spans="1:9">
      <c r="A67" s="20" t="s">
        <v>101</v>
      </c>
      <c r="B67" s="20" t="s">
        <v>222</v>
      </c>
      <c r="C67" s="38">
        <v>46065</v>
      </c>
      <c r="D67" s="20" t="s">
        <v>118</v>
      </c>
      <c r="E67" s="61">
        <v>23700000</v>
      </c>
      <c r="F67" s="20"/>
      <c r="G67" s="20" t="s">
        <v>119</v>
      </c>
      <c r="H67" s="20" t="s">
        <v>225</v>
      </c>
      <c r="I67" s="27">
        <f t="shared" ca="1" si="4"/>
        <v>260</v>
      </c>
    </row>
    <row r="68" spans="1:9">
      <c r="A68" s="20" t="s">
        <v>101</v>
      </c>
      <c r="B68" s="20" t="s">
        <v>223</v>
      </c>
      <c r="C68" s="38">
        <v>46076</v>
      </c>
      <c r="D68" s="20" t="s">
        <v>118</v>
      </c>
      <c r="E68" s="61">
        <v>15700000</v>
      </c>
      <c r="F68" s="20"/>
      <c r="G68" s="20" t="s">
        <v>119</v>
      </c>
      <c r="H68" s="20" t="s">
        <v>225</v>
      </c>
      <c r="I68" s="27">
        <f t="shared" ca="1" si="4"/>
        <v>249</v>
      </c>
    </row>
    <row r="69" spans="1:9">
      <c r="A69" s="53" t="s">
        <v>101</v>
      </c>
      <c r="B69" s="53" t="s">
        <v>264</v>
      </c>
      <c r="C69" s="54">
        <v>46078</v>
      </c>
      <c r="D69" s="53" t="s">
        <v>118</v>
      </c>
      <c r="E69" s="126">
        <v>26000000</v>
      </c>
      <c r="F69" s="53"/>
      <c r="G69" s="53" t="s">
        <v>129</v>
      </c>
      <c r="H69" s="53" t="s">
        <v>134</v>
      </c>
      <c r="I69" s="56">
        <f t="shared" ca="1" si="4"/>
        <v>247</v>
      </c>
    </row>
    <row r="70" spans="1:9">
      <c r="A70" s="53" t="s">
        <v>101</v>
      </c>
      <c r="B70" s="53" t="s">
        <v>261</v>
      </c>
      <c r="C70" s="54">
        <v>46085</v>
      </c>
      <c r="D70" s="53" t="s">
        <v>118</v>
      </c>
      <c r="E70" s="126">
        <v>27000000</v>
      </c>
      <c r="F70" s="53"/>
      <c r="G70" s="53" t="s">
        <v>129</v>
      </c>
      <c r="H70" s="53" t="s">
        <v>134</v>
      </c>
      <c r="I70" s="56">
        <f t="shared" ca="1" si="4"/>
        <v>240</v>
      </c>
    </row>
    <row r="71" spans="1:9">
      <c r="A71" s="20" t="s">
        <v>101</v>
      </c>
      <c r="B71" s="20" t="s">
        <v>263</v>
      </c>
      <c r="C71" s="38">
        <v>46094</v>
      </c>
      <c r="D71" s="20" t="s">
        <v>118</v>
      </c>
      <c r="E71" s="61">
        <v>19500000</v>
      </c>
      <c r="F71" s="20"/>
      <c r="G71" s="20" t="s">
        <v>119</v>
      </c>
      <c r="H71" s="20" t="s">
        <v>134</v>
      </c>
      <c r="I71" s="27">
        <f t="shared" ca="1" si="4"/>
        <v>231</v>
      </c>
    </row>
    <row r="72" spans="1:9">
      <c r="A72" s="20" t="s">
        <v>101</v>
      </c>
      <c r="B72" s="20" t="s">
        <v>273</v>
      </c>
      <c r="C72" s="38">
        <v>46099</v>
      </c>
      <c r="D72" s="20" t="s">
        <v>118</v>
      </c>
      <c r="E72" s="61">
        <v>125000000</v>
      </c>
      <c r="F72" s="20"/>
      <c r="G72" s="20" t="s">
        <v>119</v>
      </c>
      <c r="H72" s="20" t="s">
        <v>133</v>
      </c>
      <c r="I72" s="27">
        <f t="shared" ca="1" si="4"/>
        <v>226</v>
      </c>
    </row>
    <row r="73" spans="1:9">
      <c r="A73" s="20" t="s">
        <v>101</v>
      </c>
      <c r="B73" s="20" t="s">
        <v>292</v>
      </c>
      <c r="C73" s="38">
        <v>46099</v>
      </c>
      <c r="D73" s="20" t="s">
        <v>118</v>
      </c>
      <c r="E73" s="61">
        <v>4000000</v>
      </c>
      <c r="F73" s="20"/>
      <c r="G73" s="125" t="s">
        <v>119</v>
      </c>
      <c r="H73" s="20" t="s">
        <v>167</v>
      </c>
      <c r="I73" s="27">
        <f t="shared" ca="1" si="4"/>
        <v>226</v>
      </c>
    </row>
    <row r="74" spans="1:9">
      <c r="A74" s="20" t="s">
        <v>101</v>
      </c>
      <c r="B74" s="20" t="s">
        <v>380</v>
      </c>
      <c r="C74" s="38">
        <v>46113</v>
      </c>
      <c r="D74" s="20" t="s">
        <v>118</v>
      </c>
      <c r="E74" s="61">
        <v>150000000</v>
      </c>
      <c r="F74" s="20"/>
      <c r="G74" s="20" t="s">
        <v>119</v>
      </c>
      <c r="H74" s="20" t="s">
        <v>133</v>
      </c>
      <c r="I74" s="27">
        <f t="shared" ca="1" si="4"/>
        <v>212</v>
      </c>
    </row>
    <row r="75" spans="1:9">
      <c r="A75" s="20" t="s">
        <v>101</v>
      </c>
      <c r="B75" s="20" t="s">
        <v>272</v>
      </c>
      <c r="C75" s="38">
        <v>46127</v>
      </c>
      <c r="D75" s="20" t="s">
        <v>118</v>
      </c>
      <c r="E75" s="61">
        <v>150000000</v>
      </c>
      <c r="F75" s="20"/>
      <c r="G75" s="20" t="s">
        <v>119</v>
      </c>
      <c r="H75" s="20" t="s">
        <v>133</v>
      </c>
      <c r="I75" s="27">
        <f t="shared" ca="1" si="4"/>
        <v>198</v>
      </c>
    </row>
    <row r="76" spans="1:9">
      <c r="A76" s="53" t="s">
        <v>101</v>
      </c>
      <c r="B76" s="53" t="s">
        <v>383</v>
      </c>
      <c r="C76" s="54">
        <v>46161</v>
      </c>
      <c r="D76" s="53" t="s">
        <v>118</v>
      </c>
      <c r="E76" s="126">
        <v>5450000</v>
      </c>
      <c r="F76" s="53"/>
      <c r="G76" s="53" t="s">
        <v>129</v>
      </c>
      <c r="H76" s="53" t="s">
        <v>259</v>
      </c>
      <c r="I76" s="56">
        <f t="shared" ca="1" si="4"/>
        <v>164</v>
      </c>
    </row>
    <row r="77" spans="1:9">
      <c r="A77" s="53" t="s">
        <v>101</v>
      </c>
      <c r="B77" s="53" t="s">
        <v>388</v>
      </c>
      <c r="C77" s="54">
        <v>46176</v>
      </c>
      <c r="D77" s="53" t="s">
        <v>118</v>
      </c>
      <c r="E77" s="126">
        <v>5450000</v>
      </c>
      <c r="F77" s="53"/>
      <c r="G77" s="53" t="s">
        <v>129</v>
      </c>
      <c r="H77" s="53" t="s">
        <v>259</v>
      </c>
      <c r="I77" s="56">
        <f t="shared" ca="1" si="4"/>
        <v>149</v>
      </c>
    </row>
    <row r="78" spans="1:9">
      <c r="A78" s="53" t="s">
        <v>101</v>
      </c>
      <c r="B78" s="53" t="s">
        <v>381</v>
      </c>
      <c r="C78" s="54">
        <v>46191</v>
      </c>
      <c r="D78" s="53" t="s">
        <v>118</v>
      </c>
      <c r="E78" s="126">
        <v>5450000</v>
      </c>
      <c r="F78" s="53"/>
      <c r="G78" s="53" t="s">
        <v>129</v>
      </c>
      <c r="H78" s="53" t="s">
        <v>259</v>
      </c>
      <c r="I78" s="56">
        <f t="shared" ref="I78:I81" ca="1" si="5">+TODAY()-C78</f>
        <v>134</v>
      </c>
    </row>
    <row r="79" spans="1:9">
      <c r="A79" s="20" t="s">
        <v>101</v>
      </c>
      <c r="B79" s="20" t="s">
        <v>2875</v>
      </c>
      <c r="C79" s="38">
        <v>46202</v>
      </c>
      <c r="D79" s="20" t="s">
        <v>118</v>
      </c>
      <c r="E79" s="61">
        <v>2000000</v>
      </c>
      <c r="F79" s="20"/>
      <c r="G79" s="20" t="s">
        <v>119</v>
      </c>
      <c r="H79" s="20" t="s">
        <v>503</v>
      </c>
      <c r="I79" s="27">
        <f t="shared" ca="1" si="5"/>
        <v>123</v>
      </c>
    </row>
    <row r="80" spans="1:9">
      <c r="A80" s="20" t="s">
        <v>101</v>
      </c>
      <c r="B80" s="20" t="s">
        <v>502</v>
      </c>
      <c r="C80" s="38">
        <v>46203</v>
      </c>
      <c r="D80" s="20" t="s">
        <v>118</v>
      </c>
      <c r="E80" s="61">
        <v>2000000</v>
      </c>
      <c r="F80" s="20"/>
      <c r="G80" s="20" t="s">
        <v>119</v>
      </c>
      <c r="H80" s="20" t="s">
        <v>503</v>
      </c>
      <c r="I80" s="27">
        <f t="shared" ca="1" si="5"/>
        <v>122</v>
      </c>
    </row>
    <row r="81" spans="1:9">
      <c r="A81" s="20" t="s">
        <v>101</v>
      </c>
      <c r="B81" s="20" t="s">
        <v>386</v>
      </c>
      <c r="C81" s="38">
        <v>46204</v>
      </c>
      <c r="D81" s="20" t="s">
        <v>118</v>
      </c>
      <c r="E81" s="61">
        <v>5450000</v>
      </c>
      <c r="F81" s="20"/>
      <c r="G81" s="20" t="s">
        <v>119</v>
      </c>
      <c r="H81" s="20" t="s">
        <v>259</v>
      </c>
      <c r="I81" s="27">
        <f t="shared" ca="1" si="5"/>
        <v>121</v>
      </c>
    </row>
    <row r="82" spans="1:9">
      <c r="A82" s="20" t="s">
        <v>101</v>
      </c>
      <c r="B82" s="20" t="s">
        <v>499</v>
      </c>
      <c r="C82" s="38">
        <v>46206</v>
      </c>
      <c r="D82" s="20" t="s">
        <v>118</v>
      </c>
      <c r="E82" s="61">
        <v>2000000</v>
      </c>
      <c r="F82" s="20"/>
      <c r="G82" s="20" t="s">
        <v>119</v>
      </c>
      <c r="H82" s="20" t="s">
        <v>503</v>
      </c>
      <c r="I82" s="27">
        <f t="shared" ref="I82:I87" ca="1" si="6">+TODAY()-C82</f>
        <v>119</v>
      </c>
    </row>
    <row r="83" spans="1:9">
      <c r="A83" s="20" t="s">
        <v>101</v>
      </c>
      <c r="B83" s="20" t="s">
        <v>500</v>
      </c>
      <c r="C83" s="38">
        <v>46209</v>
      </c>
      <c r="D83" s="20" t="s">
        <v>118</v>
      </c>
      <c r="E83" s="61">
        <v>2000000</v>
      </c>
      <c r="F83" s="20"/>
      <c r="G83" s="20" t="s">
        <v>119</v>
      </c>
      <c r="H83" s="20" t="s">
        <v>503</v>
      </c>
      <c r="I83" s="27">
        <f t="shared" ca="1" si="6"/>
        <v>116</v>
      </c>
    </row>
    <row r="84" spans="1:9">
      <c r="A84" s="20" t="s">
        <v>101</v>
      </c>
      <c r="B84" s="20" t="s">
        <v>501</v>
      </c>
      <c r="C84" s="38">
        <v>46210</v>
      </c>
      <c r="D84" s="20" t="s">
        <v>118</v>
      </c>
      <c r="E84" s="61">
        <v>2000000</v>
      </c>
      <c r="F84" s="20"/>
      <c r="G84" s="20" t="s">
        <v>119</v>
      </c>
      <c r="H84" s="20" t="s">
        <v>503</v>
      </c>
      <c r="I84" s="27">
        <f t="shared" ca="1" si="6"/>
        <v>115</v>
      </c>
    </row>
    <row r="85" spans="1:9">
      <c r="A85" s="20" t="s">
        <v>101</v>
      </c>
      <c r="B85" s="20" t="s">
        <v>711</v>
      </c>
      <c r="C85" s="38">
        <v>46216</v>
      </c>
      <c r="D85" s="20" t="s">
        <v>118</v>
      </c>
      <c r="E85" s="61">
        <v>2000000</v>
      </c>
      <c r="F85" s="20"/>
      <c r="G85" s="20" t="s">
        <v>119</v>
      </c>
      <c r="H85" s="20" t="s">
        <v>503</v>
      </c>
      <c r="I85" s="27">
        <f t="shared" ca="1" si="6"/>
        <v>109</v>
      </c>
    </row>
    <row r="86" spans="1:9">
      <c r="A86" s="20" t="s">
        <v>101</v>
      </c>
      <c r="B86" s="20" t="s">
        <v>382</v>
      </c>
      <c r="C86" s="38">
        <v>46219</v>
      </c>
      <c r="D86" s="20" t="s">
        <v>118</v>
      </c>
      <c r="E86" s="61">
        <v>5450000</v>
      </c>
      <c r="F86" s="20"/>
      <c r="G86" s="20" t="s">
        <v>119</v>
      </c>
      <c r="H86" s="20" t="s">
        <v>259</v>
      </c>
      <c r="I86" s="27">
        <f t="shared" ca="1" si="6"/>
        <v>106</v>
      </c>
    </row>
    <row r="87" spans="1:9">
      <c r="A87" s="20" t="s">
        <v>101</v>
      </c>
      <c r="B87" s="20" t="s">
        <v>592</v>
      </c>
      <c r="C87" s="38">
        <v>46223</v>
      </c>
      <c r="D87" s="20" t="s">
        <v>118</v>
      </c>
      <c r="E87" s="61">
        <v>10000000</v>
      </c>
      <c r="F87" s="20"/>
      <c r="G87" s="20" t="s">
        <v>119</v>
      </c>
      <c r="H87" s="20" t="s">
        <v>594</v>
      </c>
      <c r="I87" s="27">
        <f t="shared" ca="1" si="6"/>
        <v>102</v>
      </c>
    </row>
    <row r="88" spans="1:9">
      <c r="A88" s="20" t="s">
        <v>101</v>
      </c>
      <c r="B88" s="20" t="s">
        <v>387</v>
      </c>
      <c r="C88" s="38">
        <v>46234</v>
      </c>
      <c r="D88" s="20" t="s">
        <v>118</v>
      </c>
      <c r="E88" s="61">
        <v>5450000</v>
      </c>
      <c r="F88" s="20"/>
      <c r="G88" s="20" t="s">
        <v>119</v>
      </c>
      <c r="H88" s="20" t="s">
        <v>259</v>
      </c>
      <c r="I88" s="27">
        <f t="shared" ref="I88" ca="1" si="7">+TODAY()-C88</f>
        <v>91</v>
      </c>
    </row>
    <row r="89" spans="1:9">
      <c r="A89" s="20" t="s">
        <v>101</v>
      </c>
      <c r="B89" s="20" t="s">
        <v>593</v>
      </c>
      <c r="C89" s="38">
        <v>46237</v>
      </c>
      <c r="D89" s="20" t="s">
        <v>118</v>
      </c>
      <c r="E89" s="61">
        <v>10000000</v>
      </c>
      <c r="F89" s="20"/>
      <c r="G89" s="20" t="s">
        <v>119</v>
      </c>
      <c r="H89" s="20" t="s">
        <v>594</v>
      </c>
      <c r="I89" s="27">
        <f t="shared" ref="I89" ca="1" si="8">+TODAY()-C89</f>
        <v>88</v>
      </c>
    </row>
    <row r="90" spans="1:9">
      <c r="A90" s="20" t="s">
        <v>101</v>
      </c>
      <c r="B90" s="20" t="s">
        <v>591</v>
      </c>
      <c r="C90" s="38">
        <v>46244</v>
      </c>
      <c r="D90" s="20" t="s">
        <v>118</v>
      </c>
      <c r="E90" s="61">
        <v>18000000</v>
      </c>
      <c r="F90" s="20"/>
      <c r="G90" s="20" t="s">
        <v>119</v>
      </c>
      <c r="H90" s="20" t="s">
        <v>594</v>
      </c>
      <c r="I90" s="27">
        <f t="shared" ref="I90:I98" ca="1" si="9">+TODAY()-C90</f>
        <v>81</v>
      </c>
    </row>
    <row r="91" spans="1:9">
      <c r="A91" s="20" t="s">
        <v>101</v>
      </c>
      <c r="B91" s="20" t="s">
        <v>385</v>
      </c>
      <c r="C91" s="38">
        <v>46252</v>
      </c>
      <c r="D91" s="20" t="s">
        <v>118</v>
      </c>
      <c r="E91" s="61">
        <v>5450000</v>
      </c>
      <c r="F91" s="20"/>
      <c r="G91" s="20" t="s">
        <v>119</v>
      </c>
      <c r="H91" s="20" t="s">
        <v>259</v>
      </c>
      <c r="I91" s="27">
        <f t="shared" ca="1" si="9"/>
        <v>73</v>
      </c>
    </row>
    <row r="92" spans="1:9">
      <c r="A92" s="20" t="s">
        <v>101</v>
      </c>
      <c r="B92" s="20" t="s">
        <v>956</v>
      </c>
      <c r="C92" s="38">
        <v>46261</v>
      </c>
      <c r="D92" s="20" t="s">
        <v>118</v>
      </c>
      <c r="E92" s="61">
        <v>5000000</v>
      </c>
      <c r="F92" s="20"/>
      <c r="G92" s="20" t="s">
        <v>119</v>
      </c>
      <c r="H92" s="20" t="s">
        <v>432</v>
      </c>
      <c r="I92" s="27">
        <f t="shared" ca="1" si="9"/>
        <v>64</v>
      </c>
    </row>
    <row r="93" spans="1:9">
      <c r="A93" s="20" t="s">
        <v>101</v>
      </c>
      <c r="B93" s="20" t="s">
        <v>1313</v>
      </c>
      <c r="C93" s="38">
        <v>46265</v>
      </c>
      <c r="D93" s="20" t="s">
        <v>118</v>
      </c>
      <c r="E93" s="61">
        <v>5000000</v>
      </c>
      <c r="F93" s="20"/>
      <c r="G93" s="20" t="s">
        <v>119</v>
      </c>
      <c r="H93" s="20" t="s">
        <v>432</v>
      </c>
      <c r="I93" s="27">
        <f t="shared" ca="1" si="9"/>
        <v>60</v>
      </c>
    </row>
    <row r="94" spans="1:9">
      <c r="A94" s="20" t="s">
        <v>101</v>
      </c>
      <c r="B94" s="20" t="s">
        <v>1314</v>
      </c>
      <c r="C94" s="38">
        <v>46265</v>
      </c>
      <c r="D94" s="20" t="s">
        <v>118</v>
      </c>
      <c r="E94" s="61">
        <v>5600000</v>
      </c>
      <c r="F94" s="20"/>
      <c r="G94" s="20" t="s">
        <v>119</v>
      </c>
      <c r="H94" s="20" t="s">
        <v>432</v>
      </c>
      <c r="I94" s="27">
        <f t="shared" ca="1" si="9"/>
        <v>60</v>
      </c>
    </row>
    <row r="95" spans="1:9">
      <c r="A95" s="20" t="s">
        <v>101</v>
      </c>
      <c r="B95" s="20" t="s">
        <v>384</v>
      </c>
      <c r="C95" s="38">
        <v>46266</v>
      </c>
      <c r="D95" s="20" t="s">
        <v>118</v>
      </c>
      <c r="E95" s="61">
        <v>5450000</v>
      </c>
      <c r="F95" s="20"/>
      <c r="G95" s="20" t="s">
        <v>119</v>
      </c>
      <c r="H95" s="20" t="s">
        <v>259</v>
      </c>
      <c r="I95" s="27">
        <f t="shared" ca="1" si="9"/>
        <v>59</v>
      </c>
    </row>
    <row r="96" spans="1:9">
      <c r="A96" s="20" t="s">
        <v>101</v>
      </c>
      <c r="B96" s="20" t="s">
        <v>957</v>
      </c>
      <c r="C96" s="38">
        <v>46274</v>
      </c>
      <c r="D96" s="20" t="s">
        <v>118</v>
      </c>
      <c r="E96" s="61">
        <v>5000000</v>
      </c>
      <c r="F96" s="20"/>
      <c r="G96" s="20" t="s">
        <v>119</v>
      </c>
      <c r="H96" s="20" t="s">
        <v>432</v>
      </c>
      <c r="I96" s="27">
        <f t="shared" ca="1" si="9"/>
        <v>51</v>
      </c>
    </row>
    <row r="97" spans="1:9">
      <c r="A97" s="20" t="s">
        <v>101</v>
      </c>
      <c r="B97" s="20" t="s">
        <v>955</v>
      </c>
      <c r="C97" s="38">
        <v>46281</v>
      </c>
      <c r="D97" s="20" t="s">
        <v>118</v>
      </c>
      <c r="E97" s="61">
        <v>5000000</v>
      </c>
      <c r="F97" s="20"/>
      <c r="G97" s="20" t="s">
        <v>119</v>
      </c>
      <c r="H97" s="20" t="s">
        <v>432</v>
      </c>
      <c r="I97" s="27">
        <f t="shared" ca="1" si="9"/>
        <v>44</v>
      </c>
    </row>
    <row r="98" spans="1:9">
      <c r="A98" s="20" t="s">
        <v>101</v>
      </c>
      <c r="B98" s="20" t="s">
        <v>521</v>
      </c>
      <c r="C98" s="38">
        <v>46282</v>
      </c>
      <c r="D98" s="20" t="s">
        <v>118</v>
      </c>
      <c r="E98" s="61">
        <v>10000000</v>
      </c>
      <c r="F98" s="20"/>
      <c r="G98" s="20" t="s">
        <v>119</v>
      </c>
      <c r="H98" s="20" t="s">
        <v>290</v>
      </c>
      <c r="I98" s="27">
        <f t="shared" ca="1" si="9"/>
        <v>43</v>
      </c>
    </row>
    <row r="99" spans="1:9">
      <c r="A99" s="20" t="s">
        <v>101</v>
      </c>
      <c r="B99" s="20" t="s">
        <v>489</v>
      </c>
      <c r="C99" s="38">
        <v>46282</v>
      </c>
      <c r="D99" s="20" t="s">
        <v>118</v>
      </c>
      <c r="E99" s="61">
        <v>16500000</v>
      </c>
      <c r="F99" s="20"/>
      <c r="G99" s="20" t="s">
        <v>119</v>
      </c>
      <c r="H99" s="20" t="s">
        <v>259</v>
      </c>
      <c r="I99" s="27">
        <f t="shared" ref="I99:I106" ca="1" si="10">+TODAY()-C99</f>
        <v>43</v>
      </c>
    </row>
    <row r="100" spans="1:9">
      <c r="A100" s="20" t="s">
        <v>101</v>
      </c>
      <c r="B100" s="20" t="s">
        <v>490</v>
      </c>
      <c r="C100" s="38">
        <v>46297</v>
      </c>
      <c r="D100" s="20" t="s">
        <v>118</v>
      </c>
      <c r="E100" s="61">
        <v>16500000</v>
      </c>
      <c r="F100" s="20"/>
      <c r="G100" s="20" t="s">
        <v>119</v>
      </c>
      <c r="H100" s="20" t="s">
        <v>259</v>
      </c>
      <c r="I100" s="27">
        <f t="shared" ca="1" si="10"/>
        <v>28</v>
      </c>
    </row>
    <row r="101" spans="1:9">
      <c r="A101" s="20" t="s">
        <v>101</v>
      </c>
      <c r="B101" s="20" t="s">
        <v>416</v>
      </c>
      <c r="C101" s="38">
        <v>46311</v>
      </c>
      <c r="D101" s="20" t="s">
        <v>3326</v>
      </c>
      <c r="E101" s="61">
        <v>18230</v>
      </c>
      <c r="F101" s="20"/>
      <c r="G101" s="20" t="s">
        <v>119</v>
      </c>
      <c r="H101" s="20" t="s">
        <v>432</v>
      </c>
      <c r="I101" s="27">
        <f t="shared" ca="1" si="10"/>
        <v>14</v>
      </c>
    </row>
    <row r="102" spans="1:9">
      <c r="A102" s="20" t="s">
        <v>101</v>
      </c>
      <c r="B102" s="20" t="s">
        <v>491</v>
      </c>
      <c r="C102" s="38">
        <v>46314</v>
      </c>
      <c r="D102" s="20" t="s">
        <v>118</v>
      </c>
      <c r="E102" s="61">
        <v>16500000</v>
      </c>
      <c r="F102" s="20"/>
      <c r="G102" s="20" t="s">
        <v>119</v>
      </c>
      <c r="H102" s="20" t="s">
        <v>259</v>
      </c>
      <c r="I102" s="27">
        <f t="shared" ca="1" si="10"/>
        <v>11</v>
      </c>
    </row>
    <row r="103" spans="1:9">
      <c r="A103" s="20" t="s">
        <v>101</v>
      </c>
      <c r="B103" s="20" t="s">
        <v>2894</v>
      </c>
      <c r="C103" s="38">
        <v>46323</v>
      </c>
      <c r="D103" s="20" t="s">
        <v>118</v>
      </c>
      <c r="E103" s="61">
        <v>12880000</v>
      </c>
      <c r="F103" s="20"/>
      <c r="G103" s="20" t="s">
        <v>119</v>
      </c>
      <c r="H103" s="20" t="s">
        <v>2904</v>
      </c>
      <c r="I103" s="27">
        <f t="shared" ca="1" si="10"/>
        <v>2</v>
      </c>
    </row>
    <row r="104" spans="1:9">
      <c r="A104" s="20" t="s">
        <v>101</v>
      </c>
      <c r="B104" s="20" t="s">
        <v>493</v>
      </c>
      <c r="C104" s="38">
        <v>46323</v>
      </c>
      <c r="D104" s="20" t="s">
        <v>118</v>
      </c>
      <c r="E104" s="61">
        <v>30000000</v>
      </c>
      <c r="F104" s="20"/>
      <c r="G104" s="20" t="s">
        <v>119</v>
      </c>
      <c r="H104" s="20" t="s">
        <v>150</v>
      </c>
      <c r="I104" s="27">
        <f t="shared" ca="1" si="10"/>
        <v>2</v>
      </c>
    </row>
    <row r="105" spans="1:9">
      <c r="A105" s="20" t="s">
        <v>101</v>
      </c>
      <c r="B105" s="20" t="s">
        <v>874</v>
      </c>
      <c r="C105" s="38">
        <v>46324</v>
      </c>
      <c r="D105" s="20" t="s">
        <v>118</v>
      </c>
      <c r="E105" s="61">
        <v>362000000</v>
      </c>
      <c r="F105" s="20"/>
      <c r="G105" s="20" t="s">
        <v>119</v>
      </c>
      <c r="H105" s="20" t="s">
        <v>563</v>
      </c>
      <c r="I105" s="27">
        <f t="shared" ca="1" si="10"/>
        <v>1</v>
      </c>
    </row>
    <row r="106" spans="1:9">
      <c r="A106" s="20" t="s">
        <v>101</v>
      </c>
      <c r="B106" s="20" t="s">
        <v>872</v>
      </c>
      <c r="C106" s="38">
        <v>46324</v>
      </c>
      <c r="D106" s="20" t="s">
        <v>118</v>
      </c>
      <c r="E106" s="61">
        <v>851000000</v>
      </c>
      <c r="F106" s="20"/>
      <c r="G106" s="20" t="s">
        <v>119</v>
      </c>
      <c r="H106" s="20" t="s">
        <v>550</v>
      </c>
      <c r="I106" s="27">
        <f t="shared" ca="1" si="10"/>
        <v>1</v>
      </c>
    </row>
    <row r="107" spans="1:9">
      <c r="A107" s="20"/>
      <c r="B107" s="20"/>
      <c r="C107" s="38"/>
      <c r="D107" s="20"/>
      <c r="E107" s="61"/>
      <c r="F107" s="20"/>
      <c r="G107" s="20"/>
      <c r="H107" s="20"/>
      <c r="I107" s="27"/>
    </row>
    <row r="108" spans="1:9">
      <c r="A108" s="20"/>
      <c r="B108" s="20"/>
      <c r="C108" s="38"/>
      <c r="D108" s="20"/>
      <c r="E108" s="61"/>
      <c r="F108" s="20"/>
      <c r="G108" s="20"/>
      <c r="H108" s="20"/>
      <c r="I108" s="27"/>
    </row>
    <row r="109" spans="1:9">
      <c r="A109" s="20"/>
      <c r="B109" s="20"/>
      <c r="C109" s="38"/>
      <c r="D109" s="20"/>
      <c r="E109" s="61"/>
      <c r="F109" s="20"/>
      <c r="G109" s="20"/>
      <c r="H109" s="20"/>
      <c r="I109" s="27"/>
    </row>
    <row r="110" spans="1:9">
      <c r="A110" s="20"/>
      <c r="B110" s="20"/>
      <c r="C110" s="38"/>
      <c r="D110" s="20"/>
      <c r="E110" s="61"/>
      <c r="F110" s="20"/>
      <c r="G110" s="20"/>
      <c r="H110" s="20"/>
      <c r="I110" s="27"/>
    </row>
  </sheetData>
  <autoFilter ref="A1:V100" xr:uid="{122951D1-6112-462C-9B14-022B97B05780}"/>
  <phoneticPr fontId="2" type="noConversion"/>
  <conditionalFormatting sqref="B1:B57">
    <cfRule type="duplicateValues" dxfId="13" priority="1105"/>
  </conditionalFormatting>
  <conditionalFormatting sqref="B75:B76">
    <cfRule type="expression" dxfId="12" priority="2589" stopIfTrue="1">
      <formula>AND(COUNTIF($B$5:$B$910, B75)+COUNTIF($B$912:$B$921, B75)+COUNTIF($B$923:$B$932, B75)+COUNTIF($B$948:$B$65477, B75)&gt;1,NOT(ISBLANK(B75)))</formula>
    </cfRule>
  </conditionalFormatting>
  <conditionalFormatting sqref="B17:B18 B38:B39">
    <cfRule type="expression" dxfId="11" priority="2595" stopIfTrue="1">
      <formula>AND(COUNTIF($B$5:$B$972, B17)+COUNTIF($B$974:$B$983, B17)+COUNTIF($B$985:$B$994, B17)+COUNTIF($B$1010:$B$65535, B17)&gt;1,NOT(ISBLANK(B17)))</formula>
    </cfRule>
  </conditionalFormatting>
  <conditionalFormatting sqref="B27 B59">
    <cfRule type="expression" dxfId="10" priority="2597" stopIfTrue="1">
      <formula>AND(COUNTIF($B$5:$B$933, B27)+COUNTIF($B$935:$B$944, B27)+COUNTIF($B$946:$B$955, B27)+COUNTIF($B$971:$B$65498, B27)&gt;1,NOT(ISBLANK(B27)))</formula>
    </cfRule>
  </conditionalFormatting>
  <conditionalFormatting sqref="B38:B45 B71:B76">
    <cfRule type="expression" dxfId="9" priority="2599" stopIfTrue="1">
      <formula>AND(COUNTIF($B$5:$B$942, B38)+COUNTIF($B$944:$B$953, B38)+COUNTIF($B$955:$B$964, B38)+COUNTIF($B$980:$B$65509, B38)&gt;1,NOT(ISBLANK(B38)))</formula>
    </cfRule>
  </conditionalFormatting>
  <conditionalFormatting sqref="B40:B70 B72:B74 B19:B26 B28:B37 B77:B96">
    <cfRule type="expression" dxfId="8" priority="2601" stopIfTrue="1">
      <formula>AND(COUNTIF($B$5:$B$961, B19)+COUNTIF($B$963:$B$972, B19)+COUNTIF($B$974:$B$983, B19)+COUNTIF($B$999:$B$65524, B19)&gt;1,NOT(ISBLANK(B19)))</formula>
    </cfRule>
  </conditionalFormatting>
  <conditionalFormatting sqref="B65">
    <cfRule type="expression" dxfId="7" priority="2606" stopIfTrue="1">
      <formula>AND(COUNTIF($B$5:$B$915, B65)+COUNTIF($B$917:$B$926, B65)+COUNTIF($B$928:$B$937, B65)+COUNTIF($B$953:$B$65482, B65)&gt;1,NOT(ISBLANK(B65)))</formula>
    </cfRule>
  </conditionalFormatting>
  <conditionalFormatting sqref="B71">
    <cfRule type="expression" dxfId="6" priority="2607" stopIfTrue="1">
      <formula>AND(COUNTIF($B$5:$B$909, B71)+COUNTIF($B$911:$B$920, B71)+COUNTIF($B$922:$B$931, B71)+COUNTIF($B$947:$B$65476, B71)&gt;1,NOT(ISBLANK(B71)))</formula>
    </cfRule>
  </conditionalFormatting>
  <conditionalFormatting sqref="B97:B100">
    <cfRule type="duplicateValues" dxfId="5" priority="2608"/>
    <cfRule type="expression" dxfId="4" priority="2609" stopIfTrue="1">
      <formula>AND(COUNTIF($B$5:$B$928, B97)+COUNTIF($B$930:$B$939, B97)+COUNTIF($B$941:$B$950, B97)+COUNTIF($B$966:$B$65505, B97)&gt;1,NOT(ISBLANK(B97)))</formula>
    </cfRule>
  </conditionalFormatting>
  <conditionalFormatting sqref="B101:B110">
    <cfRule type="duplicateValues" dxfId="3" priority="2610"/>
    <cfRule type="expression" dxfId="2" priority="2611" stopIfTrue="1">
      <formula>AND(COUNTIF($B$5:$B$947, B101)+COUNTIF($B$949:$B$958, B101)+COUNTIF($B$960:$B$969, B101)+COUNTIF($B$985:$B$65501, B101)&gt;1,NOT(ISBLANK(B101)))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545"/>
  <sheetViews>
    <sheetView zoomScale="90" zoomScaleNormal="90" workbookViewId="0">
      <selection activeCell="A35" sqref="A35"/>
    </sheetView>
  </sheetViews>
  <sheetFormatPr baseColWidth="10" defaultRowHeight="15"/>
  <cols>
    <col min="1" max="1" width="87.28515625" bestFit="1" customWidth="1"/>
    <col min="2" max="2" width="8.5703125" style="180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33" t="s">
        <v>105</v>
      </c>
      <c r="B4" s="177"/>
    </row>
    <row r="5" spans="1:2">
      <c r="A5" s="133" t="s">
        <v>65</v>
      </c>
      <c r="B5" s="183" t="s">
        <v>76</v>
      </c>
    </row>
    <row r="6" spans="1:2">
      <c r="A6" s="134" t="s">
        <v>583</v>
      </c>
      <c r="B6" s="177">
        <v>4.2441665951527291E-2</v>
      </c>
    </row>
    <row r="7" spans="1:2">
      <c r="A7" s="135" t="s">
        <v>164</v>
      </c>
      <c r="B7" s="178">
        <v>4.0831459347992101E-2</v>
      </c>
    </row>
    <row r="8" spans="1:2">
      <c r="A8" s="135" t="s">
        <v>574</v>
      </c>
      <c r="B8" s="178">
        <v>3.6845088244667035E-2</v>
      </c>
    </row>
    <row r="9" spans="1:2">
      <c r="A9" s="135" t="s">
        <v>2825</v>
      </c>
      <c r="B9" s="178">
        <v>3.2352861193812296E-2</v>
      </c>
    </row>
    <row r="10" spans="1:2">
      <c r="A10" s="135" t="s">
        <v>1421</v>
      </c>
      <c r="B10" s="178">
        <v>2.961711181152174E-2</v>
      </c>
    </row>
    <row r="11" spans="1:2">
      <c r="A11" s="135" t="s">
        <v>695</v>
      </c>
      <c r="B11" s="178">
        <v>2.8205319706066236E-2</v>
      </c>
    </row>
    <row r="12" spans="1:2">
      <c r="A12" s="135" t="s">
        <v>3590</v>
      </c>
      <c r="B12" s="178">
        <v>2.460195821736557E-2</v>
      </c>
    </row>
    <row r="13" spans="1:2">
      <c r="A13" s="135" t="s">
        <v>359</v>
      </c>
      <c r="B13" s="178">
        <v>2.2141538335226588E-2</v>
      </c>
    </row>
    <row r="14" spans="1:2">
      <c r="A14" s="135" t="s">
        <v>2486</v>
      </c>
      <c r="B14" s="178">
        <v>2.1048405730603043E-2</v>
      </c>
    </row>
    <row r="15" spans="1:2">
      <c r="A15" s="135" t="s">
        <v>1764</v>
      </c>
      <c r="B15" s="178">
        <v>1.9335710340771806E-2</v>
      </c>
    </row>
    <row r="16" spans="1:2">
      <c r="A16" s="135" t="s">
        <v>2487</v>
      </c>
      <c r="B16" s="178">
        <v>1.702367888060705E-2</v>
      </c>
    </row>
    <row r="17" spans="1:11">
      <c r="A17" s="135" t="s">
        <v>433</v>
      </c>
      <c r="B17" s="178">
        <v>1.4744776338786222E-2</v>
      </c>
    </row>
    <row r="18" spans="1:11">
      <c r="A18" s="135" t="s">
        <v>443</v>
      </c>
      <c r="B18" s="178">
        <v>1.4551251202206393E-2</v>
      </c>
    </row>
    <row r="19" spans="1:11">
      <c r="A19" s="135" t="s">
        <v>306</v>
      </c>
      <c r="B19" s="178">
        <v>1.3089183441369289E-2</v>
      </c>
    </row>
    <row r="20" spans="1:11">
      <c r="A20" s="135" t="s">
        <v>484</v>
      </c>
      <c r="B20" s="178">
        <v>1.2602193979188627E-2</v>
      </c>
    </row>
    <row r="21" spans="1:11">
      <c r="A21" s="135" t="s">
        <v>2079</v>
      </c>
      <c r="B21" s="178">
        <v>1.2519632587085053E-2</v>
      </c>
    </row>
    <row r="22" spans="1:11">
      <c r="A22" s="135" t="s">
        <v>401</v>
      </c>
      <c r="B22" s="178">
        <v>1.1149719227612211E-2</v>
      </c>
    </row>
    <row r="23" spans="1:11">
      <c r="A23" s="135" t="s">
        <v>453</v>
      </c>
      <c r="B23" s="178">
        <v>1.0900165387534695E-2</v>
      </c>
    </row>
    <row r="24" spans="1:11">
      <c r="A24" s="135" t="s">
        <v>986</v>
      </c>
      <c r="B24" s="178">
        <v>1.0653699065523331E-2</v>
      </c>
    </row>
    <row r="25" spans="1:11">
      <c r="A25" s="135" t="s">
        <v>550</v>
      </c>
      <c r="B25" s="178">
        <v>1.041508754099553E-2</v>
      </c>
    </row>
    <row r="26" spans="1:11">
      <c r="A26" s="135" t="s">
        <v>379</v>
      </c>
      <c r="B26" s="178">
        <v>1.0388297234526197E-2</v>
      </c>
      <c r="I26" s="8"/>
    </row>
    <row r="27" spans="1:11">
      <c r="A27" s="135" t="s">
        <v>2016</v>
      </c>
      <c r="B27" s="178">
        <v>9.7565246942289598E-3</v>
      </c>
    </row>
    <row r="28" spans="1:11">
      <c r="A28" s="135" t="s">
        <v>135</v>
      </c>
      <c r="B28" s="178">
        <v>9.5320308427701544E-3</v>
      </c>
      <c r="K28" s="15"/>
    </row>
    <row r="29" spans="1:11">
      <c r="A29" s="135" t="s">
        <v>289</v>
      </c>
      <c r="B29" s="178">
        <v>9.4088934714418749E-3</v>
      </c>
    </row>
    <row r="30" spans="1:11">
      <c r="A30" s="135" t="s">
        <v>271</v>
      </c>
      <c r="B30" s="178">
        <v>9.2827153561933443E-3</v>
      </c>
    </row>
    <row r="31" spans="1:11">
      <c r="A31" s="135" t="s">
        <v>3894</v>
      </c>
      <c r="B31" s="178">
        <v>9.2096219876492812E-3</v>
      </c>
    </row>
    <row r="32" spans="1:11">
      <c r="A32" s="135" t="s">
        <v>2741</v>
      </c>
      <c r="B32" s="178">
        <v>9.1927107047771409E-3</v>
      </c>
    </row>
    <row r="33" spans="1:2">
      <c r="A33" s="135" t="s">
        <v>650</v>
      </c>
      <c r="B33" s="178">
        <v>9.131450864581973E-3</v>
      </c>
    </row>
    <row r="34" spans="1:2">
      <c r="A34" s="135" t="s">
        <v>454</v>
      </c>
      <c r="B34" s="178">
        <v>8.3178370377833283E-3</v>
      </c>
    </row>
    <row r="35" spans="1:2">
      <c r="A35" s="135" t="s">
        <v>651</v>
      </c>
      <c r="B35" s="178">
        <v>8.2180556384400423E-3</v>
      </c>
    </row>
    <row r="36" spans="1:2">
      <c r="A36" s="135" t="s">
        <v>217</v>
      </c>
      <c r="B36" s="178">
        <v>7.752640465164661E-3</v>
      </c>
    </row>
    <row r="37" spans="1:2">
      <c r="A37" s="135" t="s">
        <v>1484</v>
      </c>
      <c r="B37" s="178">
        <v>7.7031548404351254E-3</v>
      </c>
    </row>
    <row r="38" spans="1:2">
      <c r="A38" s="135" t="s">
        <v>884</v>
      </c>
      <c r="B38" s="178">
        <v>7.5109995006969908E-3</v>
      </c>
    </row>
    <row r="39" spans="1:2">
      <c r="A39" s="135" t="s">
        <v>2320</v>
      </c>
      <c r="B39" s="178">
        <v>7.3824456298141631E-3</v>
      </c>
    </row>
    <row r="40" spans="1:2">
      <c r="A40" s="135" t="s">
        <v>983</v>
      </c>
      <c r="B40" s="178">
        <v>7.2161097975462253E-3</v>
      </c>
    </row>
    <row r="41" spans="1:2">
      <c r="A41" s="135" t="s">
        <v>495</v>
      </c>
      <c r="B41" s="178">
        <v>7.1588174105490961E-3</v>
      </c>
    </row>
    <row r="42" spans="1:2">
      <c r="A42" s="135" t="s">
        <v>124</v>
      </c>
      <c r="B42" s="178">
        <v>6.8904995426589243E-3</v>
      </c>
    </row>
    <row r="43" spans="1:2">
      <c r="A43" s="135" t="s">
        <v>621</v>
      </c>
      <c r="B43" s="178">
        <v>6.4038781844297128E-3</v>
      </c>
    </row>
    <row r="44" spans="1:2">
      <c r="A44" s="135" t="s">
        <v>348</v>
      </c>
      <c r="B44" s="178">
        <v>6.2268889923846786E-3</v>
      </c>
    </row>
    <row r="45" spans="1:2">
      <c r="A45" s="135" t="s">
        <v>4045</v>
      </c>
      <c r="B45" s="178">
        <v>5.596511274756754E-3</v>
      </c>
    </row>
    <row r="46" spans="1:2">
      <c r="A46" s="135" t="s">
        <v>376</v>
      </c>
      <c r="B46" s="178">
        <v>5.5795744659859273E-3</v>
      </c>
    </row>
    <row r="47" spans="1:2">
      <c r="A47" s="135" t="s">
        <v>506</v>
      </c>
      <c r="B47" s="178">
        <v>5.2887057326938321E-3</v>
      </c>
    </row>
    <row r="48" spans="1:2">
      <c r="A48" s="135" t="s">
        <v>1896</v>
      </c>
      <c r="B48" s="178">
        <v>5.267340239858271E-3</v>
      </c>
    </row>
    <row r="49" spans="1:2">
      <c r="A49" s="135" t="s">
        <v>984</v>
      </c>
      <c r="B49" s="178">
        <v>5.2612151793791995E-3</v>
      </c>
    </row>
    <row r="50" spans="1:2">
      <c r="A50" s="135" t="s">
        <v>132</v>
      </c>
      <c r="B50" s="178">
        <v>5.2188969399557328E-3</v>
      </c>
    </row>
    <row r="51" spans="1:2">
      <c r="A51" s="135" t="s">
        <v>361</v>
      </c>
      <c r="B51" s="178">
        <v>5.17091159365533E-3</v>
      </c>
    </row>
    <row r="52" spans="1:2">
      <c r="A52" s="135" t="s">
        <v>4170</v>
      </c>
      <c r="B52" s="178">
        <v>5.0432081682754929E-3</v>
      </c>
    </row>
    <row r="53" spans="1:2">
      <c r="A53" s="135" t="s">
        <v>150</v>
      </c>
      <c r="B53" s="178">
        <v>5.0278210983400653E-3</v>
      </c>
    </row>
    <row r="54" spans="1:2">
      <c r="A54" s="135" t="s">
        <v>363</v>
      </c>
      <c r="B54" s="178">
        <v>4.8895749550690931E-3</v>
      </c>
    </row>
    <row r="55" spans="1:2">
      <c r="A55" s="135" t="s">
        <v>334</v>
      </c>
      <c r="B55" s="178">
        <v>4.8135997577483667E-3</v>
      </c>
    </row>
    <row r="56" spans="1:2">
      <c r="A56" s="135" t="s">
        <v>2674</v>
      </c>
      <c r="B56" s="178">
        <v>4.8122362387200204E-3</v>
      </c>
    </row>
    <row r="57" spans="1:2">
      <c r="A57" s="135" t="s">
        <v>364</v>
      </c>
      <c r="B57" s="178">
        <v>4.7033303784690351E-3</v>
      </c>
    </row>
    <row r="58" spans="1:2">
      <c r="A58" s="135" t="s">
        <v>265</v>
      </c>
      <c r="B58" s="178">
        <v>4.6328214670242601E-3</v>
      </c>
    </row>
    <row r="59" spans="1:2">
      <c r="A59" s="135" t="s">
        <v>220</v>
      </c>
      <c r="B59" s="178">
        <v>4.571511249258713E-3</v>
      </c>
    </row>
    <row r="60" spans="1:2">
      <c r="A60" s="135" t="s">
        <v>563</v>
      </c>
      <c r="B60" s="178">
        <v>4.4303897647948081E-3</v>
      </c>
    </row>
    <row r="61" spans="1:2">
      <c r="A61" s="135" t="s">
        <v>1893</v>
      </c>
      <c r="B61" s="178">
        <v>4.1759210032952954E-3</v>
      </c>
    </row>
    <row r="62" spans="1:2">
      <c r="A62" s="135" t="s">
        <v>4177</v>
      </c>
      <c r="B62" s="178">
        <v>4.0982632068485405E-3</v>
      </c>
    </row>
    <row r="63" spans="1:2">
      <c r="A63" s="135" t="s">
        <v>375</v>
      </c>
      <c r="B63" s="178">
        <v>3.9660550367906907E-3</v>
      </c>
    </row>
    <row r="64" spans="1:2">
      <c r="A64" s="135" t="s">
        <v>141</v>
      </c>
      <c r="B64" s="178">
        <v>3.9557974969693923E-3</v>
      </c>
    </row>
    <row r="65" spans="1:2">
      <c r="A65" s="135" t="s">
        <v>677</v>
      </c>
      <c r="B65" s="178">
        <v>3.7793082986418351E-3</v>
      </c>
    </row>
    <row r="66" spans="1:2">
      <c r="A66" s="135" t="s">
        <v>432</v>
      </c>
      <c r="B66" s="178">
        <v>3.7444031616511372E-3</v>
      </c>
    </row>
    <row r="67" spans="1:2">
      <c r="A67" s="135" t="s">
        <v>519</v>
      </c>
      <c r="B67" s="178">
        <v>3.6662447996973764E-3</v>
      </c>
    </row>
    <row r="68" spans="1:2">
      <c r="A68" s="135" t="s">
        <v>1221</v>
      </c>
      <c r="B68" s="178">
        <v>3.65556934622741E-3</v>
      </c>
    </row>
    <row r="69" spans="1:2">
      <c r="A69" s="135" t="s">
        <v>143</v>
      </c>
      <c r="B69" s="178">
        <v>3.6308115563303488E-3</v>
      </c>
    </row>
    <row r="70" spans="1:2">
      <c r="A70" s="135" t="s">
        <v>767</v>
      </c>
      <c r="B70" s="178">
        <v>3.5809421729527963E-3</v>
      </c>
    </row>
    <row r="71" spans="1:2">
      <c r="A71" s="135" t="s">
        <v>1090</v>
      </c>
      <c r="B71" s="178">
        <v>3.5055110159908616E-3</v>
      </c>
    </row>
    <row r="72" spans="1:2">
      <c r="A72" s="135" t="s">
        <v>1091</v>
      </c>
      <c r="B72" s="178">
        <v>3.4931512930644914E-3</v>
      </c>
    </row>
    <row r="73" spans="1:2">
      <c r="A73" s="135" t="s">
        <v>4176</v>
      </c>
      <c r="B73" s="178">
        <v>3.4095952634051853E-3</v>
      </c>
    </row>
    <row r="74" spans="1:2">
      <c r="A74" s="135" t="s">
        <v>362</v>
      </c>
      <c r="B74" s="178">
        <v>3.3483509213743014E-3</v>
      </c>
    </row>
    <row r="75" spans="1:2">
      <c r="A75" s="135" t="s">
        <v>400</v>
      </c>
      <c r="B75" s="178">
        <v>3.333623429264315E-3</v>
      </c>
    </row>
    <row r="76" spans="1:2">
      <c r="A76" s="135" t="s">
        <v>438</v>
      </c>
      <c r="B76" s="178">
        <v>3.2995544079134479E-3</v>
      </c>
    </row>
    <row r="77" spans="1:2">
      <c r="A77" s="135" t="s">
        <v>318</v>
      </c>
      <c r="B77" s="178">
        <v>3.1507467841730748E-3</v>
      </c>
    </row>
    <row r="78" spans="1:2">
      <c r="A78" s="135" t="s">
        <v>622</v>
      </c>
      <c r="B78" s="178">
        <v>3.1323472202938532E-3</v>
      </c>
    </row>
    <row r="79" spans="1:2">
      <c r="A79" s="135" t="s">
        <v>967</v>
      </c>
      <c r="B79" s="178">
        <v>3.1046752149814006E-3</v>
      </c>
    </row>
    <row r="80" spans="1:2">
      <c r="A80" s="135" t="s">
        <v>522</v>
      </c>
      <c r="B80" s="178">
        <v>3.0633756544646198E-3</v>
      </c>
    </row>
    <row r="81" spans="1:2">
      <c r="A81" s="135" t="s">
        <v>377</v>
      </c>
      <c r="B81" s="178">
        <v>3.0243628477024439E-3</v>
      </c>
    </row>
    <row r="82" spans="1:2">
      <c r="A82" s="135" t="s">
        <v>2436</v>
      </c>
      <c r="B82" s="178">
        <v>2.9440063099270782E-3</v>
      </c>
    </row>
    <row r="83" spans="1:2">
      <c r="A83" s="135" t="s">
        <v>1092</v>
      </c>
      <c r="B83" s="178">
        <v>2.715884647883813E-3</v>
      </c>
    </row>
    <row r="84" spans="1:2">
      <c r="A84" s="135" t="s">
        <v>1177</v>
      </c>
      <c r="B84" s="178">
        <v>2.5757702489022398E-3</v>
      </c>
    </row>
    <row r="85" spans="1:2">
      <c r="A85" s="135" t="s">
        <v>1601</v>
      </c>
      <c r="B85" s="178">
        <v>2.521547782022536E-3</v>
      </c>
    </row>
    <row r="86" spans="1:2">
      <c r="A86" s="135" t="s">
        <v>1310</v>
      </c>
      <c r="B86" s="178">
        <v>2.5055438736932265E-3</v>
      </c>
    </row>
    <row r="87" spans="1:2">
      <c r="A87" s="135" t="s">
        <v>1537</v>
      </c>
      <c r="B87" s="178">
        <v>2.4071721961018257E-3</v>
      </c>
    </row>
    <row r="88" spans="1:2">
      <c r="A88" s="135" t="s">
        <v>2903</v>
      </c>
      <c r="B88" s="178">
        <v>2.3902687886758456E-3</v>
      </c>
    </row>
    <row r="89" spans="1:2">
      <c r="A89" s="135" t="s">
        <v>1393</v>
      </c>
      <c r="B89" s="178">
        <v>2.322480723144945E-3</v>
      </c>
    </row>
    <row r="90" spans="1:2">
      <c r="A90" s="135" t="s">
        <v>127</v>
      </c>
      <c r="B90" s="178">
        <v>2.2470800991564489E-3</v>
      </c>
    </row>
    <row r="91" spans="1:2">
      <c r="A91" s="135" t="s">
        <v>526</v>
      </c>
      <c r="B91" s="178">
        <v>2.212148851994116E-3</v>
      </c>
    </row>
    <row r="92" spans="1:2">
      <c r="A92" s="135" t="s">
        <v>178</v>
      </c>
      <c r="B92" s="178">
        <v>2.1871345103420346E-3</v>
      </c>
    </row>
    <row r="93" spans="1:2">
      <c r="A93" s="135" t="s">
        <v>1000</v>
      </c>
      <c r="B93" s="178">
        <v>2.0605085114490987E-3</v>
      </c>
    </row>
    <row r="94" spans="1:2">
      <c r="A94" s="135" t="s">
        <v>2758</v>
      </c>
      <c r="B94" s="178">
        <v>1.9116669902091794E-3</v>
      </c>
    </row>
    <row r="95" spans="1:2">
      <c r="A95" s="135" t="s">
        <v>2015</v>
      </c>
      <c r="B95" s="178">
        <v>1.8858493928244251E-3</v>
      </c>
    </row>
    <row r="96" spans="1:2">
      <c r="A96" s="135" t="s">
        <v>3306</v>
      </c>
      <c r="B96" s="178">
        <v>1.8392605992482984E-3</v>
      </c>
    </row>
    <row r="97" spans="1:2">
      <c r="A97" s="135" t="s">
        <v>3309</v>
      </c>
      <c r="B97" s="178">
        <v>1.8061077362387101E-3</v>
      </c>
    </row>
    <row r="98" spans="1:2">
      <c r="A98" s="135" t="s">
        <v>582</v>
      </c>
      <c r="B98" s="178">
        <v>1.7286774142380615E-3</v>
      </c>
    </row>
    <row r="99" spans="1:2">
      <c r="A99" s="135" t="s">
        <v>4044</v>
      </c>
      <c r="B99" s="178">
        <v>1.7104649045967583E-3</v>
      </c>
    </row>
    <row r="100" spans="1:2">
      <c r="A100" s="135" t="s">
        <v>1089</v>
      </c>
      <c r="B100" s="178">
        <v>1.6668510665901514E-3</v>
      </c>
    </row>
    <row r="101" spans="1:2">
      <c r="A101" s="135" t="s">
        <v>494</v>
      </c>
      <c r="B101" s="178">
        <v>1.6240303366430867E-3</v>
      </c>
    </row>
    <row r="102" spans="1:2">
      <c r="A102" s="135" t="s">
        <v>623</v>
      </c>
      <c r="B102" s="178">
        <v>1.6174691665863804E-3</v>
      </c>
    </row>
    <row r="103" spans="1:2">
      <c r="A103" s="135" t="s">
        <v>2536</v>
      </c>
      <c r="B103" s="178">
        <v>1.5486163692262789E-3</v>
      </c>
    </row>
    <row r="104" spans="1:2">
      <c r="A104" s="135" t="s">
        <v>2759</v>
      </c>
      <c r="B104" s="178">
        <v>1.5119066630106892E-3</v>
      </c>
    </row>
    <row r="105" spans="1:2">
      <c r="A105" s="135" t="s">
        <v>295</v>
      </c>
      <c r="B105" s="178">
        <v>1.5087217084349548E-3</v>
      </c>
    </row>
    <row r="106" spans="1:2">
      <c r="A106" s="135" t="s">
        <v>696</v>
      </c>
      <c r="B106" s="178">
        <v>1.4337219514973818E-3</v>
      </c>
    </row>
    <row r="107" spans="1:2">
      <c r="A107" s="135" t="s">
        <v>589</v>
      </c>
      <c r="B107" s="178">
        <v>1.3114532775316723E-3</v>
      </c>
    </row>
    <row r="108" spans="1:2">
      <c r="A108" s="135" t="s">
        <v>284</v>
      </c>
      <c r="B108" s="178">
        <v>1.3054186414300892E-3</v>
      </c>
    </row>
    <row r="109" spans="1:2">
      <c r="A109" s="135" t="s">
        <v>2874</v>
      </c>
      <c r="B109" s="178">
        <v>1.276789605839754E-3</v>
      </c>
    </row>
    <row r="110" spans="1:2">
      <c r="A110" s="135" t="s">
        <v>1035</v>
      </c>
      <c r="B110" s="178">
        <v>1.2727833058338233E-3</v>
      </c>
    </row>
    <row r="111" spans="1:2">
      <c r="A111" s="135" t="s">
        <v>2675</v>
      </c>
      <c r="B111" s="178">
        <v>1.2644273649344061E-3</v>
      </c>
    </row>
    <row r="112" spans="1:2">
      <c r="A112" s="135" t="s">
        <v>1895</v>
      </c>
      <c r="B112" s="178">
        <v>1.2464995876314612E-3</v>
      </c>
    </row>
    <row r="113" spans="1:2">
      <c r="A113" s="135" t="s">
        <v>781</v>
      </c>
      <c r="B113" s="178">
        <v>1.216823927777872E-3</v>
      </c>
    </row>
    <row r="114" spans="1:2">
      <c r="A114" s="135" t="s">
        <v>1397</v>
      </c>
      <c r="B114" s="178">
        <v>1.1895153315499727E-3</v>
      </c>
    </row>
    <row r="115" spans="1:2">
      <c r="A115" s="135" t="s">
        <v>3063</v>
      </c>
      <c r="B115" s="178">
        <v>1.17927817127682E-3</v>
      </c>
    </row>
    <row r="116" spans="1:2">
      <c r="A116" s="135" t="s">
        <v>946</v>
      </c>
      <c r="B116" s="178">
        <v>1.1700040652653789E-3</v>
      </c>
    </row>
    <row r="117" spans="1:2">
      <c r="A117" s="135" t="s">
        <v>2018</v>
      </c>
      <c r="B117" s="178">
        <v>1.1559353724805762E-3</v>
      </c>
    </row>
    <row r="118" spans="1:2">
      <c r="A118" s="135" t="s">
        <v>4174</v>
      </c>
      <c r="B118" s="178">
        <v>1.1334956178271341E-3</v>
      </c>
    </row>
    <row r="119" spans="1:2">
      <c r="A119" s="135" t="s">
        <v>1126</v>
      </c>
      <c r="B119" s="178">
        <v>1.1268093454349566E-3</v>
      </c>
    </row>
    <row r="120" spans="1:2">
      <c r="A120" s="135" t="s">
        <v>1894</v>
      </c>
      <c r="B120" s="178">
        <v>1.117093415255014E-3</v>
      </c>
    </row>
    <row r="121" spans="1:2">
      <c r="A121" s="135" t="s">
        <v>768</v>
      </c>
      <c r="B121" s="178">
        <v>1.1040151008548311E-3</v>
      </c>
    </row>
    <row r="122" spans="1:2">
      <c r="A122" s="135" t="s">
        <v>179</v>
      </c>
      <c r="B122" s="178">
        <v>1.0901646389117662E-3</v>
      </c>
    </row>
    <row r="123" spans="1:2">
      <c r="A123" s="135" t="s">
        <v>4046</v>
      </c>
      <c r="B123" s="178">
        <v>1.051075441460037E-3</v>
      </c>
    </row>
    <row r="124" spans="1:2">
      <c r="A124" s="135" t="s">
        <v>2315</v>
      </c>
      <c r="B124" s="178">
        <v>1.0430430690592468E-3</v>
      </c>
    </row>
    <row r="125" spans="1:2">
      <c r="A125" s="135" t="s">
        <v>481</v>
      </c>
      <c r="B125" s="178">
        <v>1.0300409405960738E-3</v>
      </c>
    </row>
    <row r="126" spans="1:2">
      <c r="A126" s="135" t="s">
        <v>1744</v>
      </c>
      <c r="B126" s="178">
        <v>9.6727254607712463E-4</v>
      </c>
    </row>
    <row r="127" spans="1:2">
      <c r="A127" s="135" t="s">
        <v>4052</v>
      </c>
      <c r="B127" s="178">
        <v>9.6725893254190093E-4</v>
      </c>
    </row>
    <row r="128" spans="1:2">
      <c r="A128" s="135" t="s">
        <v>1826</v>
      </c>
      <c r="B128" s="178">
        <v>9.5532693547605062E-4</v>
      </c>
    </row>
    <row r="129" spans="1:2">
      <c r="A129" s="135" t="s">
        <v>1241</v>
      </c>
      <c r="B129" s="178">
        <v>9.3468745513954478E-4</v>
      </c>
    </row>
    <row r="130" spans="1:2">
      <c r="A130" s="135" t="s">
        <v>2314</v>
      </c>
      <c r="B130" s="178">
        <v>9.3056596487734291E-4</v>
      </c>
    </row>
    <row r="131" spans="1:2">
      <c r="A131" s="135" t="s">
        <v>4171</v>
      </c>
      <c r="B131" s="178">
        <v>8.8145443246862975E-4</v>
      </c>
    </row>
    <row r="132" spans="1:2">
      <c r="A132" s="135" t="s">
        <v>444</v>
      </c>
      <c r="B132" s="178">
        <v>8.785554642028985E-4</v>
      </c>
    </row>
    <row r="133" spans="1:2">
      <c r="A133" s="135" t="s">
        <v>2319</v>
      </c>
      <c r="B133" s="178">
        <v>8.7780970929959574E-4</v>
      </c>
    </row>
    <row r="134" spans="1:2">
      <c r="A134" s="135" t="s">
        <v>964</v>
      </c>
      <c r="B134" s="178">
        <v>8.6100404275830933E-4</v>
      </c>
    </row>
    <row r="135" spans="1:2">
      <c r="A135" s="135" t="s">
        <v>286</v>
      </c>
      <c r="B135" s="178">
        <v>8.476677664663423E-4</v>
      </c>
    </row>
    <row r="136" spans="1:2">
      <c r="A136" s="135" t="s">
        <v>3305</v>
      </c>
      <c r="B136" s="178">
        <v>8.4594080567625639E-4</v>
      </c>
    </row>
    <row r="137" spans="1:2">
      <c r="A137" s="135" t="s">
        <v>2870</v>
      </c>
      <c r="B137" s="178">
        <v>8.3863735551255119E-4</v>
      </c>
    </row>
    <row r="138" spans="1:2">
      <c r="A138" s="135" t="s">
        <v>1395</v>
      </c>
      <c r="B138" s="178">
        <v>8.3823030121426493E-4</v>
      </c>
    </row>
    <row r="139" spans="1:2">
      <c r="A139" s="135" t="s">
        <v>2365</v>
      </c>
      <c r="B139" s="178">
        <v>8.3131614070975377E-4</v>
      </c>
    </row>
    <row r="140" spans="1:2">
      <c r="A140" s="135" t="s">
        <v>1425</v>
      </c>
      <c r="B140" s="178">
        <v>8.2981371647886028E-4</v>
      </c>
    </row>
    <row r="141" spans="1:2">
      <c r="A141" s="135" t="s">
        <v>945</v>
      </c>
      <c r="B141" s="178">
        <v>8.27196751578256E-4</v>
      </c>
    </row>
    <row r="142" spans="1:2">
      <c r="A142" s="135" t="s">
        <v>565</v>
      </c>
      <c r="B142" s="178">
        <v>8.0995292781151041E-4</v>
      </c>
    </row>
    <row r="143" spans="1:2">
      <c r="A143" s="135" t="s">
        <v>3166</v>
      </c>
      <c r="B143" s="178">
        <v>7.8503481777432763E-4</v>
      </c>
    </row>
    <row r="144" spans="1:2">
      <c r="A144" s="135" t="s">
        <v>789</v>
      </c>
      <c r="B144" s="178">
        <v>7.7310279402822979E-4</v>
      </c>
    </row>
    <row r="145" spans="1:2">
      <c r="A145" s="135" t="s">
        <v>2321</v>
      </c>
      <c r="B145" s="178">
        <v>7.6368446353163749E-4</v>
      </c>
    </row>
    <row r="146" spans="1:2">
      <c r="A146" s="135" t="s">
        <v>910</v>
      </c>
      <c r="B146" s="178">
        <v>7.2193008458660689E-4</v>
      </c>
    </row>
    <row r="147" spans="1:2">
      <c r="A147" s="135" t="s">
        <v>1516</v>
      </c>
      <c r="B147" s="178">
        <v>7.111442889551141E-4</v>
      </c>
    </row>
    <row r="148" spans="1:2">
      <c r="A148" s="135" t="s">
        <v>206</v>
      </c>
      <c r="B148" s="178">
        <v>7.0547406416078496E-4</v>
      </c>
    </row>
    <row r="149" spans="1:2">
      <c r="A149" s="135" t="s">
        <v>641</v>
      </c>
      <c r="B149" s="178">
        <v>7.0112474343027146E-4</v>
      </c>
    </row>
    <row r="150" spans="1:2">
      <c r="A150" s="135" t="s">
        <v>4054</v>
      </c>
      <c r="B150" s="178">
        <v>6.978206314412433E-4</v>
      </c>
    </row>
    <row r="151" spans="1:2">
      <c r="A151" s="135" t="s">
        <v>3169</v>
      </c>
      <c r="B151" s="178">
        <v>6.9386793168589285E-4</v>
      </c>
    </row>
    <row r="152" spans="1:2">
      <c r="A152" s="135" t="s">
        <v>3411</v>
      </c>
      <c r="B152" s="178">
        <v>6.9101163211234961E-4</v>
      </c>
    </row>
    <row r="153" spans="1:2">
      <c r="A153" s="135" t="s">
        <v>1831</v>
      </c>
      <c r="B153" s="178">
        <v>6.7898917737989708E-4</v>
      </c>
    </row>
    <row r="154" spans="1:2">
      <c r="A154" s="135" t="s">
        <v>524</v>
      </c>
      <c r="B154" s="178">
        <v>6.6147576488550944E-4</v>
      </c>
    </row>
    <row r="155" spans="1:2">
      <c r="A155" s="135" t="s">
        <v>947</v>
      </c>
      <c r="B155" s="178">
        <v>6.5542008467731647E-4</v>
      </c>
    </row>
    <row r="156" spans="1:2">
      <c r="A156" s="135" t="s">
        <v>2216</v>
      </c>
      <c r="B156" s="178">
        <v>6.174625116985267E-4</v>
      </c>
    </row>
    <row r="157" spans="1:2">
      <c r="A157" s="135" t="s">
        <v>360</v>
      </c>
      <c r="B157" s="178">
        <v>6.0785220164341755E-4</v>
      </c>
    </row>
    <row r="158" spans="1:2">
      <c r="A158" s="135" t="s">
        <v>3820</v>
      </c>
      <c r="B158" s="178">
        <v>6.0730628363159537E-4</v>
      </c>
    </row>
    <row r="159" spans="1:2">
      <c r="A159" s="135" t="s">
        <v>1424</v>
      </c>
      <c r="B159" s="178">
        <v>6.0686943080100132E-4</v>
      </c>
    </row>
    <row r="160" spans="1:2">
      <c r="A160" s="135" t="s">
        <v>184</v>
      </c>
      <c r="B160" s="178">
        <v>6.0569907003514274E-4</v>
      </c>
    </row>
    <row r="161" spans="1:2">
      <c r="A161" s="135" t="s">
        <v>2485</v>
      </c>
      <c r="B161" s="178">
        <v>6.0016217525066967E-4</v>
      </c>
    </row>
    <row r="162" spans="1:2">
      <c r="A162" s="135" t="s">
        <v>1636</v>
      </c>
      <c r="B162" s="178">
        <v>5.9716713924550641E-4</v>
      </c>
    </row>
    <row r="163" spans="1:2">
      <c r="A163" s="135" t="s">
        <v>2313</v>
      </c>
      <c r="B163" s="178">
        <v>5.9421973176611157E-4</v>
      </c>
    </row>
    <row r="164" spans="1:2">
      <c r="A164" s="135" t="s">
        <v>1608</v>
      </c>
      <c r="B164" s="178">
        <v>5.9247512199213609E-4</v>
      </c>
    </row>
    <row r="165" spans="1:2">
      <c r="A165" s="135" t="s">
        <v>1396</v>
      </c>
      <c r="B165" s="178">
        <v>5.8549101995245423E-4</v>
      </c>
    </row>
    <row r="166" spans="1:2">
      <c r="A166" s="135" t="s">
        <v>1536</v>
      </c>
      <c r="B166" s="178">
        <v>5.796889986505831E-4</v>
      </c>
    </row>
    <row r="167" spans="1:2">
      <c r="A167" s="135" t="s">
        <v>2902</v>
      </c>
      <c r="B167" s="178">
        <v>5.7735938209886822E-4</v>
      </c>
    </row>
    <row r="168" spans="1:2">
      <c r="A168" s="135" t="s">
        <v>2677</v>
      </c>
      <c r="B168" s="178">
        <v>5.759964497911974E-4</v>
      </c>
    </row>
    <row r="169" spans="1:2">
      <c r="A169" s="135" t="s">
        <v>4165</v>
      </c>
      <c r="B169" s="178">
        <v>5.6077158229960822E-4</v>
      </c>
    </row>
    <row r="170" spans="1:2">
      <c r="A170" s="135" t="s">
        <v>2438</v>
      </c>
      <c r="B170" s="178">
        <v>5.5297716992706522E-4</v>
      </c>
    </row>
    <row r="171" spans="1:2">
      <c r="A171" s="135" t="s">
        <v>1239</v>
      </c>
      <c r="B171" s="178">
        <v>5.4896671245317037E-4</v>
      </c>
    </row>
    <row r="172" spans="1:2">
      <c r="A172" s="135" t="s">
        <v>1093</v>
      </c>
      <c r="B172" s="178">
        <v>5.4730907220936918E-4</v>
      </c>
    </row>
    <row r="173" spans="1:2">
      <c r="A173" s="135" t="s">
        <v>4173</v>
      </c>
      <c r="B173" s="178">
        <v>5.4356178404864255E-4</v>
      </c>
    </row>
    <row r="174" spans="1:2">
      <c r="A174" s="135" t="s">
        <v>1535</v>
      </c>
      <c r="B174" s="178">
        <v>5.4005393948480221E-4</v>
      </c>
    </row>
    <row r="175" spans="1:2">
      <c r="A175" s="135" t="s">
        <v>3595</v>
      </c>
      <c r="B175" s="178">
        <v>5.3919441694541147E-4</v>
      </c>
    </row>
    <row r="176" spans="1:2">
      <c r="A176" s="135" t="s">
        <v>1178</v>
      </c>
      <c r="B176" s="178">
        <v>5.2623069910479395E-4</v>
      </c>
    </row>
    <row r="177" spans="1:2">
      <c r="A177" s="135" t="s">
        <v>367</v>
      </c>
      <c r="B177" s="178">
        <v>5.180839416282371E-4</v>
      </c>
    </row>
    <row r="178" spans="1:2">
      <c r="A178" s="135" t="s">
        <v>2820</v>
      </c>
      <c r="B178" s="178">
        <v>5.1481562192589084E-4</v>
      </c>
    </row>
    <row r="179" spans="1:2">
      <c r="A179" s="135" t="s">
        <v>2211</v>
      </c>
      <c r="B179" s="178">
        <v>5.1390388932369164E-4</v>
      </c>
    </row>
    <row r="180" spans="1:2">
      <c r="A180" s="135" t="s">
        <v>3054</v>
      </c>
      <c r="B180" s="178">
        <v>5.1286415774334272E-4</v>
      </c>
    </row>
    <row r="181" spans="1:2">
      <c r="A181" s="135" t="s">
        <v>994</v>
      </c>
      <c r="B181" s="178">
        <v>4.9099069881407124E-4</v>
      </c>
    </row>
    <row r="182" spans="1:2">
      <c r="A182" s="135" t="s">
        <v>965</v>
      </c>
      <c r="B182" s="178">
        <v>4.831915324619697E-4</v>
      </c>
    </row>
    <row r="183" spans="1:2">
      <c r="A183" s="135" t="s">
        <v>2753</v>
      </c>
      <c r="B183" s="178">
        <v>4.803436506289795E-4</v>
      </c>
    </row>
    <row r="184" spans="1:2">
      <c r="A184" s="135" t="s">
        <v>985</v>
      </c>
      <c r="B184" s="178">
        <v>4.7703830229195682E-4</v>
      </c>
    </row>
    <row r="185" spans="1:2">
      <c r="A185" s="135" t="s">
        <v>1129</v>
      </c>
      <c r="B185" s="178">
        <v>4.7071314950087001E-4</v>
      </c>
    </row>
    <row r="186" spans="1:2">
      <c r="A186" s="135" t="s">
        <v>520</v>
      </c>
      <c r="B186" s="178">
        <v>4.6816559754832602E-4</v>
      </c>
    </row>
    <row r="187" spans="1:2">
      <c r="A187" s="135" t="s">
        <v>3442</v>
      </c>
      <c r="B187" s="178">
        <v>4.6724973281215914E-4</v>
      </c>
    </row>
    <row r="188" spans="1:2">
      <c r="A188" s="135" t="s">
        <v>1754</v>
      </c>
      <c r="B188" s="178">
        <v>4.669084441007239E-4</v>
      </c>
    </row>
    <row r="189" spans="1:2">
      <c r="A189" s="135" t="s">
        <v>1515</v>
      </c>
      <c r="B189" s="178">
        <v>4.6610681476168606E-4</v>
      </c>
    </row>
    <row r="190" spans="1:2">
      <c r="A190" s="135" t="s">
        <v>3773</v>
      </c>
      <c r="B190" s="178">
        <v>4.6536926011820132E-4</v>
      </c>
    </row>
    <row r="191" spans="1:2">
      <c r="A191" s="135" t="s">
        <v>3572</v>
      </c>
      <c r="B191" s="178">
        <v>4.6222449235968168E-4</v>
      </c>
    </row>
    <row r="192" spans="1:2">
      <c r="A192" s="135" t="s">
        <v>3308</v>
      </c>
      <c r="B192" s="178">
        <v>4.5917100140032509E-4</v>
      </c>
    </row>
    <row r="193" spans="1:2">
      <c r="A193" s="135" t="s">
        <v>1003</v>
      </c>
      <c r="B193" s="178">
        <v>4.5810768325709632E-4</v>
      </c>
    </row>
    <row r="194" spans="1:2">
      <c r="A194" s="135" t="s">
        <v>1175</v>
      </c>
      <c r="B194" s="178">
        <v>4.5713772064701281E-4</v>
      </c>
    </row>
    <row r="195" spans="1:2">
      <c r="A195" s="135" t="s">
        <v>4175</v>
      </c>
      <c r="B195" s="178">
        <v>4.5495999511292566E-4</v>
      </c>
    </row>
    <row r="196" spans="1:2">
      <c r="A196" s="135" t="s">
        <v>434</v>
      </c>
      <c r="B196" s="178">
        <v>4.5467986034423313E-4</v>
      </c>
    </row>
    <row r="197" spans="1:2">
      <c r="A197" s="135" t="s">
        <v>1824</v>
      </c>
      <c r="B197" s="178">
        <v>4.5155307592940544E-4</v>
      </c>
    </row>
    <row r="198" spans="1:2">
      <c r="A198" s="135" t="s">
        <v>2819</v>
      </c>
      <c r="B198" s="178">
        <v>4.4473417284359053E-4</v>
      </c>
    </row>
    <row r="199" spans="1:2">
      <c r="A199" s="135" t="s">
        <v>3602</v>
      </c>
      <c r="B199" s="178">
        <v>4.3168965191446427E-4</v>
      </c>
    </row>
    <row r="200" spans="1:2">
      <c r="A200" s="135" t="s">
        <v>2900</v>
      </c>
      <c r="B200" s="178">
        <v>4.3156191068219427E-4</v>
      </c>
    </row>
    <row r="201" spans="1:2">
      <c r="A201" s="135" t="s">
        <v>1761</v>
      </c>
      <c r="B201" s="178">
        <v>4.2373148793030206E-4</v>
      </c>
    </row>
    <row r="202" spans="1:2">
      <c r="A202" s="135" t="s">
        <v>575</v>
      </c>
      <c r="B202" s="178">
        <v>4.0621278148730486E-4</v>
      </c>
    </row>
    <row r="203" spans="1:2">
      <c r="A203" s="135" t="s">
        <v>2742</v>
      </c>
      <c r="B203" s="178">
        <v>4.0356051225482522E-4</v>
      </c>
    </row>
    <row r="204" spans="1:2">
      <c r="A204" s="135" t="s">
        <v>3785</v>
      </c>
      <c r="B204" s="178">
        <v>3.9757687740500864E-4</v>
      </c>
    </row>
    <row r="205" spans="1:2">
      <c r="A205" s="135" t="s">
        <v>3800</v>
      </c>
      <c r="B205" s="178">
        <v>3.9408535295290163E-4</v>
      </c>
    </row>
    <row r="206" spans="1:2">
      <c r="A206" s="135" t="s">
        <v>2538</v>
      </c>
      <c r="B206" s="178">
        <v>3.8826568168804889E-4</v>
      </c>
    </row>
    <row r="207" spans="1:2">
      <c r="A207" s="135" t="s">
        <v>3108</v>
      </c>
      <c r="B207" s="178">
        <v>3.8264870393698349E-4</v>
      </c>
    </row>
    <row r="208" spans="1:2">
      <c r="A208" s="135" t="s">
        <v>482</v>
      </c>
      <c r="B208" s="178">
        <v>3.7940473583526345E-4</v>
      </c>
    </row>
    <row r="209" spans="1:2">
      <c r="A209" s="135" t="s">
        <v>3603</v>
      </c>
      <c r="B209" s="178">
        <v>3.6851376348507302E-4</v>
      </c>
    </row>
    <row r="210" spans="1:2">
      <c r="A210" s="135" t="s">
        <v>2537</v>
      </c>
      <c r="B210" s="178">
        <v>3.6074255240284151E-4</v>
      </c>
    </row>
    <row r="211" spans="1:2">
      <c r="A211" s="135" t="s">
        <v>298</v>
      </c>
      <c r="B211" s="178">
        <v>3.5830906878991182E-4</v>
      </c>
    </row>
    <row r="212" spans="1:2">
      <c r="A212" s="135" t="s">
        <v>2541</v>
      </c>
      <c r="B212" s="178">
        <v>3.5212301518390532E-4</v>
      </c>
    </row>
    <row r="213" spans="1:2">
      <c r="A213" s="135" t="s">
        <v>2899</v>
      </c>
      <c r="B213" s="178">
        <v>3.5048240195601664E-4</v>
      </c>
    </row>
    <row r="214" spans="1:2">
      <c r="A214" s="135" t="s">
        <v>2743</v>
      </c>
      <c r="B214" s="178">
        <v>3.4589407393633808E-4</v>
      </c>
    </row>
    <row r="215" spans="1:2">
      <c r="A215" s="135" t="s">
        <v>3439</v>
      </c>
      <c r="B215" s="178">
        <v>3.4589106775778026E-4</v>
      </c>
    </row>
    <row r="216" spans="1:2">
      <c r="A216" s="135" t="s">
        <v>2444</v>
      </c>
      <c r="B216" s="178">
        <v>3.4472181299833893E-4</v>
      </c>
    </row>
    <row r="217" spans="1:2">
      <c r="A217" s="135" t="s">
        <v>1128</v>
      </c>
      <c r="B217" s="178">
        <v>3.394699292261882E-4</v>
      </c>
    </row>
    <row r="218" spans="1:2">
      <c r="A218" s="135" t="s">
        <v>3062</v>
      </c>
      <c r="B218" s="178">
        <v>3.3309334205766129E-4</v>
      </c>
    </row>
    <row r="219" spans="1:2">
      <c r="A219" s="135" t="s">
        <v>944</v>
      </c>
      <c r="B219" s="178">
        <v>3.3177124435872506E-4</v>
      </c>
    </row>
    <row r="220" spans="1:2">
      <c r="A220" s="135" t="s">
        <v>3100</v>
      </c>
      <c r="B220" s="178">
        <v>3.3006831745402166E-4</v>
      </c>
    </row>
    <row r="221" spans="1:2">
      <c r="A221" s="135" t="s">
        <v>3606</v>
      </c>
      <c r="B221" s="178">
        <v>3.2806996004354239E-4</v>
      </c>
    </row>
    <row r="222" spans="1:2">
      <c r="A222" s="135" t="s">
        <v>3793</v>
      </c>
      <c r="B222" s="178">
        <v>3.2590784172007304E-4</v>
      </c>
    </row>
    <row r="223" spans="1:2">
      <c r="A223" s="135" t="s">
        <v>270</v>
      </c>
      <c r="B223" s="178">
        <v>3.2156799712819775E-4</v>
      </c>
    </row>
    <row r="224" spans="1:2">
      <c r="A224" s="135" t="s">
        <v>2439</v>
      </c>
      <c r="B224" s="178">
        <v>3.1936649202778718E-4</v>
      </c>
    </row>
    <row r="225" spans="1:2">
      <c r="A225" s="135" t="s">
        <v>1607</v>
      </c>
      <c r="B225" s="178">
        <v>3.1885859275708337E-4</v>
      </c>
    </row>
    <row r="226" spans="1:2">
      <c r="A226" s="135" t="s">
        <v>3780</v>
      </c>
      <c r="B226" s="178">
        <v>3.0624248280786593E-4</v>
      </c>
    </row>
    <row r="227" spans="1:2">
      <c r="A227" s="135" t="s">
        <v>1371</v>
      </c>
      <c r="B227" s="178">
        <v>3.0354302319313597E-4</v>
      </c>
    </row>
    <row r="228" spans="1:2">
      <c r="A228" s="135" t="s">
        <v>604</v>
      </c>
      <c r="B228" s="178">
        <v>3.024817790108175E-4</v>
      </c>
    </row>
    <row r="229" spans="1:2">
      <c r="A229" s="135" t="s">
        <v>1892</v>
      </c>
      <c r="B229" s="178">
        <v>3.0204310812939595E-4</v>
      </c>
    </row>
    <row r="230" spans="1:2">
      <c r="A230" s="135" t="s">
        <v>3787</v>
      </c>
      <c r="B230" s="178">
        <v>3.0141052887888589E-4</v>
      </c>
    </row>
    <row r="231" spans="1:2">
      <c r="A231" s="135" t="s">
        <v>819</v>
      </c>
      <c r="B231" s="178">
        <v>3.0079899936476273E-4</v>
      </c>
    </row>
    <row r="232" spans="1:2">
      <c r="A232" s="135" t="s">
        <v>1634</v>
      </c>
      <c r="B232" s="178">
        <v>2.9549789641005429E-4</v>
      </c>
    </row>
    <row r="233" spans="1:2">
      <c r="A233" s="135" t="s">
        <v>2676</v>
      </c>
      <c r="B233" s="178">
        <v>2.9329344730340631E-4</v>
      </c>
    </row>
    <row r="234" spans="1:2">
      <c r="A234" s="135" t="s">
        <v>2017</v>
      </c>
      <c r="B234" s="178">
        <v>2.9223992925576919E-4</v>
      </c>
    </row>
    <row r="235" spans="1:2">
      <c r="A235" s="135" t="s">
        <v>948</v>
      </c>
      <c r="B235" s="178">
        <v>2.9051298829228952E-4</v>
      </c>
    </row>
    <row r="236" spans="1:2">
      <c r="A236" s="135" t="s">
        <v>2212</v>
      </c>
      <c r="B236" s="178">
        <v>2.878137473821593E-4</v>
      </c>
    </row>
    <row r="237" spans="1:2">
      <c r="A237" s="135" t="s">
        <v>3775</v>
      </c>
      <c r="B237" s="178">
        <v>2.847350182546776E-4</v>
      </c>
    </row>
    <row r="238" spans="1:2">
      <c r="A238" s="135" t="s">
        <v>3093</v>
      </c>
      <c r="B238" s="178">
        <v>2.795503082479591E-4</v>
      </c>
    </row>
    <row r="239" spans="1:2">
      <c r="A239" s="135" t="s">
        <v>1746</v>
      </c>
      <c r="B239" s="178">
        <v>2.7877228994909262E-4</v>
      </c>
    </row>
    <row r="240" spans="1:2">
      <c r="A240" s="135" t="s">
        <v>1765</v>
      </c>
      <c r="B240" s="178">
        <v>2.5377092187344813E-4</v>
      </c>
    </row>
    <row r="241" spans="1:2">
      <c r="A241" s="135" t="s">
        <v>3307</v>
      </c>
      <c r="B241" s="178">
        <v>2.5239488381196624E-4</v>
      </c>
    </row>
    <row r="242" spans="1:2">
      <c r="A242" s="135" t="s">
        <v>1222</v>
      </c>
      <c r="B242" s="178">
        <v>2.5140589426886681E-4</v>
      </c>
    </row>
    <row r="243" spans="1:2">
      <c r="A243" s="135" t="s">
        <v>2826</v>
      </c>
      <c r="B243" s="178">
        <v>2.4776255272055249E-4</v>
      </c>
    </row>
    <row r="244" spans="1:2">
      <c r="A244" s="135" t="s">
        <v>949</v>
      </c>
      <c r="B244" s="178">
        <v>2.4425487460229441E-4</v>
      </c>
    </row>
    <row r="245" spans="1:2">
      <c r="A245" s="135" t="s">
        <v>873</v>
      </c>
      <c r="B245" s="178">
        <v>2.4192942371843661E-4</v>
      </c>
    </row>
    <row r="246" spans="1:2">
      <c r="A246" s="135" t="s">
        <v>3409</v>
      </c>
      <c r="B246" s="178">
        <v>2.4038222733930841E-4</v>
      </c>
    </row>
    <row r="247" spans="1:2">
      <c r="A247" s="135" t="s">
        <v>606</v>
      </c>
      <c r="B247" s="178">
        <v>2.3923397348405735E-4</v>
      </c>
    </row>
    <row r="248" spans="1:2">
      <c r="A248" s="135" t="s">
        <v>3815</v>
      </c>
      <c r="B248" s="178">
        <v>2.3842317580832198E-4</v>
      </c>
    </row>
    <row r="249" spans="1:2">
      <c r="A249" s="135" t="s">
        <v>525</v>
      </c>
      <c r="B249" s="178">
        <v>2.3747513322472532E-4</v>
      </c>
    </row>
    <row r="250" spans="1:2">
      <c r="A250" s="135" t="s">
        <v>1600</v>
      </c>
      <c r="B250" s="178">
        <v>2.3633702753215124E-4</v>
      </c>
    </row>
    <row r="251" spans="1:2">
      <c r="A251" s="135" t="s">
        <v>2757</v>
      </c>
      <c r="B251" s="178">
        <v>2.3328961061268489E-4</v>
      </c>
    </row>
    <row r="252" spans="1:2">
      <c r="A252" s="135" t="s">
        <v>3055</v>
      </c>
      <c r="B252" s="178">
        <v>2.3197916067769052E-4</v>
      </c>
    </row>
    <row r="253" spans="1:2">
      <c r="A253" s="135" t="s">
        <v>597</v>
      </c>
      <c r="B253" s="178">
        <v>2.303275154121281E-4</v>
      </c>
    </row>
    <row r="254" spans="1:2">
      <c r="A254" s="135" t="s">
        <v>3173</v>
      </c>
      <c r="B254" s="178">
        <v>2.2879965548136698E-4</v>
      </c>
    </row>
    <row r="255" spans="1:2">
      <c r="A255" s="135" t="s">
        <v>1036</v>
      </c>
      <c r="B255" s="178">
        <v>2.2866142144615544E-4</v>
      </c>
    </row>
    <row r="256" spans="1:2">
      <c r="A256" s="135" t="s">
        <v>3404</v>
      </c>
      <c r="B256" s="178">
        <v>2.2781207081241432E-4</v>
      </c>
    </row>
    <row r="257" spans="1:2">
      <c r="A257" s="135" t="s">
        <v>2985</v>
      </c>
      <c r="B257" s="178">
        <v>2.2660978517193367E-4</v>
      </c>
    </row>
    <row r="258" spans="1:2">
      <c r="A258" s="135" t="s">
        <v>3441</v>
      </c>
      <c r="B258" s="178">
        <v>2.2609698322212526E-4</v>
      </c>
    </row>
    <row r="259" spans="1:2">
      <c r="A259" s="135" t="s">
        <v>3591</v>
      </c>
      <c r="B259" s="178">
        <v>2.2398392326540838E-4</v>
      </c>
    </row>
    <row r="260" spans="1:2">
      <c r="A260" s="135" t="s">
        <v>3064</v>
      </c>
      <c r="B260" s="178">
        <v>2.21845981285158E-4</v>
      </c>
    </row>
    <row r="261" spans="1:2">
      <c r="A261" s="135" t="s">
        <v>3577</v>
      </c>
      <c r="B261" s="178">
        <v>2.2097424983991726E-4</v>
      </c>
    </row>
    <row r="262" spans="1:2">
      <c r="A262" s="135" t="s">
        <v>2868</v>
      </c>
      <c r="B262" s="178">
        <v>2.1978932276026257E-4</v>
      </c>
    </row>
    <row r="263" spans="1:2">
      <c r="A263" s="135" t="s">
        <v>2078</v>
      </c>
      <c r="B263" s="178">
        <v>2.1719397045136366E-4</v>
      </c>
    </row>
    <row r="264" spans="1:2">
      <c r="A264" s="135" t="s">
        <v>1488</v>
      </c>
      <c r="B264" s="178">
        <v>2.1297763166362057E-4</v>
      </c>
    </row>
    <row r="265" spans="1:2">
      <c r="A265" s="135" t="s">
        <v>3573</v>
      </c>
      <c r="B265" s="178">
        <v>2.1019965575134184E-4</v>
      </c>
    </row>
    <row r="266" spans="1:2">
      <c r="A266" s="135" t="s">
        <v>3319</v>
      </c>
      <c r="B266" s="178">
        <v>2.0949036454682724E-4</v>
      </c>
    </row>
    <row r="267" spans="1:2">
      <c r="A267" s="135" t="s">
        <v>2437</v>
      </c>
      <c r="B267" s="178">
        <v>2.0862802075481601E-4</v>
      </c>
    </row>
    <row r="268" spans="1:2">
      <c r="A268" s="135" t="s">
        <v>942</v>
      </c>
      <c r="B268" s="178">
        <v>2.0760917601447899E-4</v>
      </c>
    </row>
    <row r="269" spans="1:2">
      <c r="A269" s="135" t="s">
        <v>3575</v>
      </c>
      <c r="B269" s="178">
        <v>2.0713541020441089E-4</v>
      </c>
    </row>
    <row r="270" spans="1:2">
      <c r="A270" s="135" t="s">
        <v>2215</v>
      </c>
      <c r="B270" s="178">
        <v>2.0678972353562218E-4</v>
      </c>
    </row>
    <row r="271" spans="1:2">
      <c r="A271" s="135" t="s">
        <v>596</v>
      </c>
      <c r="B271" s="178">
        <v>2.0311280257016568E-4</v>
      </c>
    </row>
    <row r="272" spans="1:2">
      <c r="A272" s="135" t="s">
        <v>3587</v>
      </c>
      <c r="B272" s="178">
        <v>2.0217973433681464E-4</v>
      </c>
    </row>
    <row r="273" spans="1:2">
      <c r="A273" s="135" t="s">
        <v>1745</v>
      </c>
      <c r="B273" s="178">
        <v>1.988041244240347E-4</v>
      </c>
    </row>
    <row r="274" spans="1:2">
      <c r="A274" s="135" t="s">
        <v>2213</v>
      </c>
      <c r="B274" s="178">
        <v>1.9761474578175808E-4</v>
      </c>
    </row>
    <row r="275" spans="1:2">
      <c r="A275" s="135" t="s">
        <v>3440</v>
      </c>
      <c r="B275" s="178">
        <v>1.9714653484822711E-4</v>
      </c>
    </row>
    <row r="276" spans="1:2">
      <c r="A276" s="135" t="s">
        <v>390</v>
      </c>
      <c r="B276" s="178">
        <v>1.9122096307116674E-4</v>
      </c>
    </row>
    <row r="277" spans="1:2">
      <c r="A277" s="135" t="s">
        <v>3067</v>
      </c>
      <c r="B277" s="178">
        <v>1.9029186909325305E-4</v>
      </c>
    </row>
    <row r="278" spans="1:2">
      <c r="A278" s="135" t="s">
        <v>832</v>
      </c>
      <c r="B278" s="178">
        <v>1.87983986418223E-4</v>
      </c>
    </row>
    <row r="279" spans="1:2">
      <c r="A279" s="135" t="s">
        <v>2873</v>
      </c>
      <c r="B279" s="178">
        <v>1.8769865573247345E-4</v>
      </c>
    </row>
    <row r="280" spans="1:2">
      <c r="A280" s="135" t="s">
        <v>3399</v>
      </c>
      <c r="B280" s="178">
        <v>1.8278475452399259E-4</v>
      </c>
    </row>
    <row r="281" spans="1:2">
      <c r="A281" s="135" t="s">
        <v>3605</v>
      </c>
      <c r="B281" s="178">
        <v>1.7768306549316735E-4</v>
      </c>
    </row>
    <row r="282" spans="1:2">
      <c r="A282" s="135" t="s">
        <v>831</v>
      </c>
      <c r="B282" s="178">
        <v>1.7738594666620903E-4</v>
      </c>
    </row>
    <row r="283" spans="1:2">
      <c r="A283" s="135" t="s">
        <v>2821</v>
      </c>
      <c r="B283" s="178">
        <v>1.7716113485987365E-4</v>
      </c>
    </row>
    <row r="284" spans="1:2">
      <c r="A284" s="135" t="s">
        <v>1240</v>
      </c>
      <c r="B284" s="178">
        <v>1.7700620486411754E-4</v>
      </c>
    </row>
    <row r="285" spans="1:2">
      <c r="A285" s="135" t="s">
        <v>685</v>
      </c>
      <c r="B285" s="178">
        <v>1.7524620303491651E-4</v>
      </c>
    </row>
    <row r="286" spans="1:2">
      <c r="A286" s="135" t="s">
        <v>1422</v>
      </c>
      <c r="B286" s="178">
        <v>1.74382811002896E-4</v>
      </c>
    </row>
    <row r="287" spans="1:2">
      <c r="A287" s="135" t="s">
        <v>2822</v>
      </c>
      <c r="B287" s="178">
        <v>1.7158594682145786E-4</v>
      </c>
    </row>
    <row r="288" spans="1:2">
      <c r="A288" s="135" t="s">
        <v>1742</v>
      </c>
      <c r="B288" s="178">
        <v>1.7154870131797856E-4</v>
      </c>
    </row>
    <row r="289" spans="1:2">
      <c r="A289" s="135" t="s">
        <v>3112</v>
      </c>
      <c r="B289" s="178">
        <v>1.7031673879732898E-4</v>
      </c>
    </row>
    <row r="290" spans="1:2">
      <c r="A290" s="135" t="s">
        <v>3323</v>
      </c>
      <c r="B290" s="178">
        <v>1.6806192558281249E-4</v>
      </c>
    </row>
    <row r="291" spans="1:2">
      <c r="A291" s="135" t="s">
        <v>4172</v>
      </c>
      <c r="B291" s="178">
        <v>1.6318726440991025E-4</v>
      </c>
    </row>
    <row r="292" spans="1:2">
      <c r="A292" s="135" t="s">
        <v>4178</v>
      </c>
      <c r="B292" s="178">
        <v>1.6246778122836687E-4</v>
      </c>
    </row>
    <row r="293" spans="1:2">
      <c r="A293" s="135" t="s">
        <v>2679</v>
      </c>
      <c r="B293" s="178">
        <v>1.6127984564481173E-4</v>
      </c>
    </row>
    <row r="294" spans="1:2">
      <c r="A294" s="135" t="s">
        <v>3783</v>
      </c>
      <c r="B294" s="178">
        <v>1.5805886269891893E-4</v>
      </c>
    </row>
    <row r="295" spans="1:2">
      <c r="A295" s="135" t="s">
        <v>3068</v>
      </c>
      <c r="B295" s="178">
        <v>1.5521542410627164E-4</v>
      </c>
    </row>
    <row r="296" spans="1:2">
      <c r="A296" s="135" t="s">
        <v>4163</v>
      </c>
      <c r="B296" s="178">
        <v>1.5237285617088363E-4</v>
      </c>
    </row>
    <row r="297" spans="1:2">
      <c r="A297" s="135" t="s">
        <v>1602</v>
      </c>
      <c r="B297" s="178">
        <v>1.4800593687970071E-4</v>
      </c>
    </row>
    <row r="298" spans="1:2">
      <c r="A298" s="135" t="s">
        <v>3168</v>
      </c>
      <c r="B298" s="178">
        <v>1.4779245096092371E-4</v>
      </c>
    </row>
    <row r="299" spans="1:2">
      <c r="A299" s="135" t="s">
        <v>1394</v>
      </c>
      <c r="B299" s="178">
        <v>1.4672707219690853E-4</v>
      </c>
    </row>
    <row r="300" spans="1:2">
      <c r="A300" s="135" t="s">
        <v>911</v>
      </c>
      <c r="B300" s="178">
        <v>1.462626710314159E-4</v>
      </c>
    </row>
    <row r="301" spans="1:2">
      <c r="A301" s="135" t="s">
        <v>564</v>
      </c>
      <c r="B301" s="178">
        <v>1.4598217987335884E-4</v>
      </c>
    </row>
    <row r="302" spans="1:2">
      <c r="A302" s="135" t="s">
        <v>3772</v>
      </c>
      <c r="B302" s="178">
        <v>1.4255182368320995E-4</v>
      </c>
    </row>
    <row r="303" spans="1:2">
      <c r="A303" s="135" t="s">
        <v>507</v>
      </c>
      <c r="B303" s="178">
        <v>1.4220320426773796E-4</v>
      </c>
    </row>
    <row r="304" spans="1:2">
      <c r="A304" s="135" t="s">
        <v>2901</v>
      </c>
      <c r="B304" s="178">
        <v>1.3592908785333124E-4</v>
      </c>
    </row>
    <row r="305" spans="1:2">
      <c r="A305" s="135" t="s">
        <v>3604</v>
      </c>
      <c r="B305" s="178">
        <v>1.3548413267208524E-4</v>
      </c>
    </row>
    <row r="306" spans="1:2">
      <c r="A306" s="135" t="s">
        <v>1596</v>
      </c>
      <c r="B306" s="178">
        <v>1.3458644673078316E-4</v>
      </c>
    </row>
    <row r="307" spans="1:2">
      <c r="A307" s="135" t="s">
        <v>652</v>
      </c>
      <c r="B307" s="178">
        <v>1.3237179010402623E-4</v>
      </c>
    </row>
    <row r="308" spans="1:2">
      <c r="A308" s="135" t="s">
        <v>3167</v>
      </c>
      <c r="B308" s="178">
        <v>1.3043786108596245E-4</v>
      </c>
    </row>
    <row r="309" spans="1:2">
      <c r="A309" s="135" t="s">
        <v>2967</v>
      </c>
      <c r="B309" s="178">
        <v>1.2961280514314481E-4</v>
      </c>
    </row>
    <row r="310" spans="1:2">
      <c r="A310" s="135" t="s">
        <v>3059</v>
      </c>
      <c r="B310" s="178">
        <v>1.2948069459195236E-4</v>
      </c>
    </row>
    <row r="311" spans="1:2">
      <c r="A311" s="135" t="s">
        <v>3778</v>
      </c>
      <c r="B311" s="178">
        <v>1.2565800964209453E-4</v>
      </c>
    </row>
    <row r="312" spans="1:2">
      <c r="A312" s="135" t="s">
        <v>3777</v>
      </c>
      <c r="B312" s="178">
        <v>1.2552724889114284E-4</v>
      </c>
    </row>
    <row r="313" spans="1:2">
      <c r="A313" s="135" t="s">
        <v>2539</v>
      </c>
      <c r="B313" s="178">
        <v>1.2380431473789824E-4</v>
      </c>
    </row>
    <row r="314" spans="1:2">
      <c r="A314" s="135" t="s">
        <v>3892</v>
      </c>
      <c r="B314" s="178">
        <v>1.2349410423157143E-4</v>
      </c>
    </row>
    <row r="315" spans="1:2">
      <c r="A315" s="135" t="s">
        <v>1768</v>
      </c>
      <c r="B315" s="178">
        <v>1.2141730897326274E-4</v>
      </c>
    </row>
    <row r="316" spans="1:2">
      <c r="A316" s="135" t="s">
        <v>3891</v>
      </c>
      <c r="B316" s="178">
        <v>1.2111847771498983E-4</v>
      </c>
    </row>
    <row r="317" spans="1:2">
      <c r="A317" s="135" t="s">
        <v>1312</v>
      </c>
      <c r="B317" s="178">
        <v>1.2061752020416061E-4</v>
      </c>
    </row>
    <row r="318" spans="1:2">
      <c r="A318" s="135" t="s">
        <v>4166</v>
      </c>
      <c r="B318" s="178">
        <v>1.2051649960717644E-4</v>
      </c>
    </row>
    <row r="319" spans="1:2">
      <c r="A319" s="135" t="s">
        <v>1762</v>
      </c>
      <c r="B319" s="178">
        <v>1.1881146239278476E-4</v>
      </c>
    </row>
    <row r="320" spans="1:2">
      <c r="A320" s="135" t="s">
        <v>3106</v>
      </c>
      <c r="B320" s="178">
        <v>1.1802962563644145E-4</v>
      </c>
    </row>
    <row r="321" spans="1:2">
      <c r="A321" s="135" t="s">
        <v>4049</v>
      </c>
      <c r="B321" s="178">
        <v>1.1665826163616135E-4</v>
      </c>
    </row>
    <row r="322" spans="1:2">
      <c r="A322" s="135" t="s">
        <v>3403</v>
      </c>
      <c r="B322" s="178">
        <v>1.1590831328327567E-4</v>
      </c>
    </row>
    <row r="323" spans="1:2">
      <c r="A323" s="135" t="s">
        <v>2667</v>
      </c>
      <c r="B323" s="178">
        <v>1.1492745534119157E-4</v>
      </c>
    </row>
    <row r="324" spans="1:2">
      <c r="A324" s="135" t="s">
        <v>3784</v>
      </c>
      <c r="B324" s="178">
        <v>1.1396615756991907E-4</v>
      </c>
    </row>
    <row r="325" spans="1:2">
      <c r="A325" s="135" t="s">
        <v>3578</v>
      </c>
      <c r="B325" s="178">
        <v>1.1254094475216347E-4</v>
      </c>
    </row>
    <row r="326" spans="1:2">
      <c r="A326" s="135" t="s">
        <v>2754</v>
      </c>
      <c r="B326" s="178">
        <v>1.0795930233750377E-4</v>
      </c>
    </row>
    <row r="327" spans="1:2">
      <c r="A327" s="135" t="s">
        <v>2988</v>
      </c>
      <c r="B327" s="178">
        <v>1.056270195968103E-4</v>
      </c>
    </row>
    <row r="328" spans="1:2">
      <c r="A328" s="135" t="s">
        <v>794</v>
      </c>
      <c r="B328" s="178">
        <v>1.051186944212341E-4</v>
      </c>
    </row>
    <row r="329" spans="1:2">
      <c r="A329" s="135" t="s">
        <v>1635</v>
      </c>
      <c r="B329" s="178">
        <v>1.0406496892855135E-4</v>
      </c>
    </row>
    <row r="330" spans="1:2">
      <c r="A330" s="135" t="s">
        <v>2678</v>
      </c>
      <c r="B330" s="178">
        <v>1.0332853044955976E-4</v>
      </c>
    </row>
    <row r="331" spans="1:2">
      <c r="A331" s="135" t="s">
        <v>2750</v>
      </c>
      <c r="B331" s="178">
        <v>1.0072584156207411E-4</v>
      </c>
    </row>
    <row r="332" spans="1:2">
      <c r="A332" s="135" t="s">
        <v>2986</v>
      </c>
      <c r="B332" s="178">
        <v>9.9848086622550086E-5</v>
      </c>
    </row>
    <row r="333" spans="1:2">
      <c r="A333" s="135" t="s">
        <v>3401</v>
      </c>
      <c r="B333" s="178">
        <v>9.9488151599982168E-5</v>
      </c>
    </row>
    <row r="334" spans="1:2">
      <c r="A334" s="135" t="s">
        <v>4053</v>
      </c>
      <c r="B334" s="178">
        <v>9.7219388042710722E-5</v>
      </c>
    </row>
    <row r="335" spans="1:2">
      <c r="A335" s="135" t="s">
        <v>710</v>
      </c>
      <c r="B335" s="178">
        <v>9.709050616865596E-5</v>
      </c>
    </row>
    <row r="336" spans="1:2">
      <c r="A336" s="135" t="s">
        <v>3325</v>
      </c>
      <c r="B336" s="178">
        <v>9.7060709961690859E-5</v>
      </c>
    </row>
    <row r="337" spans="1:2">
      <c r="A337" s="135" t="s">
        <v>3593</v>
      </c>
      <c r="B337" s="178">
        <v>9.6564766379256232E-5</v>
      </c>
    </row>
    <row r="338" spans="1:2">
      <c r="A338" s="135" t="s">
        <v>3599</v>
      </c>
      <c r="B338" s="178">
        <v>9.5770817524750993E-5</v>
      </c>
    </row>
    <row r="339" spans="1:2">
      <c r="A339" s="135" t="s">
        <v>3799</v>
      </c>
      <c r="B339" s="178">
        <v>9.3836907109428737E-5</v>
      </c>
    </row>
    <row r="340" spans="1:2">
      <c r="A340" s="135" t="s">
        <v>1603</v>
      </c>
      <c r="B340" s="178">
        <v>9.2602268119338098E-5</v>
      </c>
    </row>
    <row r="341" spans="1:2">
      <c r="A341" s="135" t="s">
        <v>1485</v>
      </c>
      <c r="B341" s="178">
        <v>8.7323272809555983E-5</v>
      </c>
    </row>
    <row r="342" spans="1:2">
      <c r="A342" s="135" t="s">
        <v>2965</v>
      </c>
      <c r="B342" s="178">
        <v>8.7130257739221486E-5</v>
      </c>
    </row>
    <row r="343" spans="1:2">
      <c r="A343" s="135" t="s">
        <v>1743</v>
      </c>
      <c r="B343" s="178">
        <v>8.6471437485952866E-5</v>
      </c>
    </row>
    <row r="344" spans="1:2">
      <c r="A344" s="135" t="s">
        <v>3322</v>
      </c>
      <c r="B344" s="178">
        <v>8.5943879645725618E-5</v>
      </c>
    </row>
    <row r="345" spans="1:2">
      <c r="A345" s="135" t="s">
        <v>1486</v>
      </c>
      <c r="B345" s="178">
        <v>8.5579316946423278E-5</v>
      </c>
    </row>
    <row r="346" spans="1:2">
      <c r="A346" s="135" t="s">
        <v>943</v>
      </c>
      <c r="B346" s="178">
        <v>8.5171918130258861E-5</v>
      </c>
    </row>
    <row r="347" spans="1:2">
      <c r="A347" s="135" t="s">
        <v>1766</v>
      </c>
      <c r="B347" s="178">
        <v>8.3389899956428902E-5</v>
      </c>
    </row>
    <row r="348" spans="1:2">
      <c r="A348" s="135" t="s">
        <v>1173</v>
      </c>
      <c r="B348" s="178">
        <v>8.1820233790846341E-5</v>
      </c>
    </row>
    <row r="349" spans="1:2">
      <c r="A349" s="135" t="s">
        <v>1176</v>
      </c>
      <c r="B349" s="178">
        <v>7.8252687399582672E-5</v>
      </c>
    </row>
    <row r="350" spans="1:2">
      <c r="A350" s="135" t="s">
        <v>2987</v>
      </c>
      <c r="B350" s="178">
        <v>7.7930213892591702E-5</v>
      </c>
    </row>
    <row r="351" spans="1:2">
      <c r="A351" s="135" t="s">
        <v>3583</v>
      </c>
      <c r="B351" s="178">
        <v>7.7061805729220363E-5</v>
      </c>
    </row>
    <row r="352" spans="1:2">
      <c r="A352" s="135" t="s">
        <v>3801</v>
      </c>
      <c r="B352" s="178">
        <v>7.5468512980386322E-5</v>
      </c>
    </row>
    <row r="353" spans="1:2">
      <c r="A353" s="135" t="s">
        <v>3776</v>
      </c>
      <c r="B353" s="178">
        <v>7.4615057015311786E-5</v>
      </c>
    </row>
    <row r="354" spans="1:2">
      <c r="A354" s="135" t="s">
        <v>3324</v>
      </c>
      <c r="B354" s="178">
        <v>7.452095553670755E-5</v>
      </c>
    </row>
    <row r="355" spans="1:2">
      <c r="A355" s="135" t="s">
        <v>2670</v>
      </c>
      <c r="B355" s="178">
        <v>7.4018498669386378E-5</v>
      </c>
    </row>
    <row r="356" spans="1:2">
      <c r="A356" s="135" t="s">
        <v>1127</v>
      </c>
      <c r="B356" s="178">
        <v>7.3911317505286457E-5</v>
      </c>
    </row>
    <row r="357" spans="1:2">
      <c r="A357" s="135" t="s">
        <v>2222</v>
      </c>
      <c r="B357" s="178">
        <v>7.3234133775988615E-5</v>
      </c>
    </row>
    <row r="358" spans="1:2">
      <c r="A358" s="135" t="s">
        <v>3592</v>
      </c>
      <c r="B358" s="178">
        <v>7.2733985729189893E-5</v>
      </c>
    </row>
    <row r="359" spans="1:2">
      <c r="A359" s="135" t="s">
        <v>1760</v>
      </c>
      <c r="B359" s="178">
        <v>7.2630638076101112E-5</v>
      </c>
    </row>
    <row r="360" spans="1:2">
      <c r="A360" s="135" t="s">
        <v>436</v>
      </c>
      <c r="B360" s="178">
        <v>7.1745238266503653E-5</v>
      </c>
    </row>
    <row r="361" spans="1:2">
      <c r="A361" s="135" t="s">
        <v>1605</v>
      </c>
      <c r="B361" s="178">
        <v>7.1462077859806535E-5</v>
      </c>
    </row>
    <row r="362" spans="1:2">
      <c r="A362" s="135" t="s">
        <v>782</v>
      </c>
      <c r="B362" s="178">
        <v>7.1099591691530154E-5</v>
      </c>
    </row>
    <row r="363" spans="1:2">
      <c r="A363" s="135" t="s">
        <v>3318</v>
      </c>
      <c r="B363" s="178">
        <v>7.0507560787830392E-5</v>
      </c>
    </row>
    <row r="364" spans="1:2">
      <c r="A364" s="135" t="s">
        <v>3781</v>
      </c>
      <c r="B364" s="178">
        <v>6.8537119850714095E-5</v>
      </c>
    </row>
    <row r="365" spans="1:2">
      <c r="A365" s="135" t="s">
        <v>3798</v>
      </c>
      <c r="B365" s="178">
        <v>6.6936527851162869E-5</v>
      </c>
    </row>
    <row r="366" spans="1:2">
      <c r="A366" s="135" t="s">
        <v>1750</v>
      </c>
      <c r="B366" s="178">
        <v>6.590444126327387E-5</v>
      </c>
    </row>
    <row r="367" spans="1:2">
      <c r="A367" s="135" t="s">
        <v>818</v>
      </c>
      <c r="B367" s="178">
        <v>6.5853172719483797E-5</v>
      </c>
    </row>
    <row r="368" spans="1:2">
      <c r="A368" s="135" t="s">
        <v>3598</v>
      </c>
      <c r="B368" s="178">
        <v>6.5748535235518458E-5</v>
      </c>
    </row>
    <row r="369" spans="1:2">
      <c r="A369" s="135" t="s">
        <v>1755</v>
      </c>
      <c r="B369" s="178">
        <v>6.4860009063861843E-5</v>
      </c>
    </row>
    <row r="370" spans="1:2">
      <c r="A370" s="135" t="s">
        <v>885</v>
      </c>
      <c r="B370" s="178">
        <v>6.4399033128157828E-5</v>
      </c>
    </row>
    <row r="371" spans="1:2">
      <c r="A371" s="135" t="s">
        <v>3170</v>
      </c>
      <c r="B371" s="178">
        <v>6.4164693903258344E-5</v>
      </c>
    </row>
    <row r="372" spans="1:2">
      <c r="A372" s="135" t="s">
        <v>3402</v>
      </c>
      <c r="B372" s="178">
        <v>6.2422632827262048E-5</v>
      </c>
    </row>
    <row r="373" spans="1:2">
      <c r="A373" s="135" t="s">
        <v>1174</v>
      </c>
      <c r="B373" s="178">
        <v>6.1553046816622856E-5</v>
      </c>
    </row>
    <row r="374" spans="1:2">
      <c r="A374" s="135" t="s">
        <v>437</v>
      </c>
      <c r="B374" s="178">
        <v>6.1378211520244754E-5</v>
      </c>
    </row>
    <row r="375" spans="1:2">
      <c r="A375" s="135" t="s">
        <v>3066</v>
      </c>
      <c r="B375" s="178">
        <v>6.1267915620799145E-5</v>
      </c>
    </row>
    <row r="376" spans="1:2">
      <c r="A376" s="135" t="s">
        <v>880</v>
      </c>
      <c r="B376" s="178">
        <v>6.0427795985621846E-5</v>
      </c>
    </row>
    <row r="377" spans="1:2">
      <c r="A377" s="135" t="s">
        <v>2669</v>
      </c>
      <c r="B377" s="178">
        <v>6.0218200854718117E-5</v>
      </c>
    </row>
    <row r="378" spans="1:2">
      <c r="A378" s="135" t="s">
        <v>3104</v>
      </c>
      <c r="B378" s="178">
        <v>6.0106378428986983E-5</v>
      </c>
    </row>
    <row r="379" spans="1:2">
      <c r="A379" s="135" t="s">
        <v>4169</v>
      </c>
      <c r="B379" s="178">
        <v>5.9497044895072384E-5</v>
      </c>
    </row>
    <row r="380" spans="1:2">
      <c r="A380" s="135" t="s">
        <v>3600</v>
      </c>
      <c r="B380" s="178">
        <v>5.909660827732096E-5</v>
      </c>
    </row>
    <row r="381" spans="1:2">
      <c r="A381" s="135" t="s">
        <v>2435</v>
      </c>
      <c r="B381" s="178">
        <v>5.8626550654531403E-5</v>
      </c>
    </row>
    <row r="382" spans="1:2">
      <c r="A382" s="135" t="s">
        <v>2872</v>
      </c>
      <c r="B382" s="178">
        <v>5.847923028154891E-5</v>
      </c>
    </row>
    <row r="383" spans="1:2">
      <c r="A383" s="135" t="s">
        <v>1427</v>
      </c>
      <c r="B383" s="178">
        <v>5.7878339822184143E-5</v>
      </c>
    </row>
    <row r="384" spans="1:2">
      <c r="A384" s="135" t="s">
        <v>3581</v>
      </c>
      <c r="B384" s="178">
        <v>5.7783330236064581E-5</v>
      </c>
    </row>
    <row r="385" spans="1:2">
      <c r="A385" s="135" t="s">
        <v>2442</v>
      </c>
      <c r="B385" s="178">
        <v>5.7553944970195473E-5</v>
      </c>
    </row>
    <row r="386" spans="1:2">
      <c r="A386" s="135" t="s">
        <v>966</v>
      </c>
      <c r="B386" s="178">
        <v>5.7486779894201802E-5</v>
      </c>
    </row>
    <row r="387" spans="1:2">
      <c r="A387" s="135" t="s">
        <v>2969</v>
      </c>
      <c r="B387" s="178">
        <v>5.740526378219102E-5</v>
      </c>
    </row>
    <row r="388" spans="1:2">
      <c r="A388" s="135" t="s">
        <v>1758</v>
      </c>
      <c r="B388" s="178">
        <v>5.691217155944534E-5</v>
      </c>
    </row>
    <row r="389" spans="1:2">
      <c r="A389" s="135" t="s">
        <v>2990</v>
      </c>
      <c r="B389" s="178">
        <v>5.6521980523991146E-5</v>
      </c>
    </row>
    <row r="390" spans="1:2">
      <c r="A390" s="135" t="s">
        <v>1599</v>
      </c>
      <c r="B390" s="178">
        <v>5.6459887387572965E-5</v>
      </c>
    </row>
    <row r="391" spans="1:2">
      <c r="A391" s="135" t="s">
        <v>393</v>
      </c>
      <c r="B391" s="178">
        <v>5.5678698912295529E-5</v>
      </c>
    </row>
    <row r="392" spans="1:2">
      <c r="A392" s="135" t="s">
        <v>4168</v>
      </c>
      <c r="B392" s="178">
        <v>5.5576742426070177E-5</v>
      </c>
    </row>
    <row r="393" spans="1:2">
      <c r="A393" s="135" t="s">
        <v>795</v>
      </c>
      <c r="B393" s="178">
        <v>5.1974447949380809E-5</v>
      </c>
    </row>
    <row r="394" spans="1:2">
      <c r="A394" s="135" t="s">
        <v>3582</v>
      </c>
      <c r="B394" s="178">
        <v>5.0664291619498197E-5</v>
      </c>
    </row>
    <row r="395" spans="1:2">
      <c r="A395" s="135" t="s">
        <v>1756</v>
      </c>
      <c r="B395" s="178">
        <v>5.0211680675784066E-5</v>
      </c>
    </row>
    <row r="396" spans="1:2">
      <c r="A396" s="135" t="s">
        <v>2746</v>
      </c>
      <c r="B396" s="178">
        <v>4.9942371845970645E-5</v>
      </c>
    </row>
    <row r="397" spans="1:2">
      <c r="A397" s="135" t="s">
        <v>435</v>
      </c>
      <c r="B397" s="178">
        <v>4.9005984491889747E-5</v>
      </c>
    </row>
    <row r="398" spans="1:2">
      <c r="A398" s="135" t="s">
        <v>4167</v>
      </c>
      <c r="B398" s="178">
        <v>4.8644366777916412E-5</v>
      </c>
    </row>
    <row r="399" spans="1:2">
      <c r="A399" s="135" t="s">
        <v>4055</v>
      </c>
      <c r="B399" s="178">
        <v>4.8406451787885495E-5</v>
      </c>
    </row>
    <row r="400" spans="1:2">
      <c r="A400" s="135" t="s">
        <v>1825</v>
      </c>
      <c r="B400" s="178">
        <v>4.7608191380865761E-5</v>
      </c>
    </row>
    <row r="401" spans="1:2">
      <c r="A401" s="135" t="s">
        <v>1426</v>
      </c>
      <c r="B401" s="178">
        <v>4.5858806576860769E-5</v>
      </c>
    </row>
    <row r="402" spans="1:2">
      <c r="A402" s="135" t="s">
        <v>3400</v>
      </c>
      <c r="B402" s="178">
        <v>4.5707088368911202E-5</v>
      </c>
    </row>
    <row r="403" spans="1:2">
      <c r="A403" s="135" t="s">
        <v>3304</v>
      </c>
      <c r="B403" s="178">
        <v>4.5542730332394542E-5</v>
      </c>
    </row>
    <row r="404" spans="1:2">
      <c r="A404" s="135" t="s">
        <v>3597</v>
      </c>
      <c r="B404" s="178">
        <v>4.5473852335540434E-5</v>
      </c>
    </row>
    <row r="405" spans="1:2">
      <c r="A405" s="135" t="s">
        <v>1606</v>
      </c>
      <c r="B405" s="178">
        <v>4.47100191166546E-5</v>
      </c>
    </row>
    <row r="406" spans="1:2">
      <c r="A406" s="135" t="s">
        <v>3596</v>
      </c>
      <c r="B406" s="178">
        <v>4.425123132842585E-5</v>
      </c>
    </row>
    <row r="407" spans="1:2">
      <c r="A407" s="135" t="s">
        <v>595</v>
      </c>
      <c r="B407" s="178">
        <v>4.2860636499291546E-5</v>
      </c>
    </row>
    <row r="408" spans="1:2">
      <c r="A408" s="135" t="s">
        <v>3580</v>
      </c>
      <c r="B408" s="178">
        <v>4.1806033862867242E-5</v>
      </c>
    </row>
    <row r="409" spans="1:2">
      <c r="A409" s="135" t="s">
        <v>3601</v>
      </c>
      <c r="B409" s="178">
        <v>4.177338617382673E-5</v>
      </c>
    </row>
    <row r="410" spans="1:2">
      <c r="A410" s="135" t="s">
        <v>1487</v>
      </c>
      <c r="B410" s="178">
        <v>4.1610221650044499E-5</v>
      </c>
    </row>
    <row r="411" spans="1:2">
      <c r="A411" s="135" t="s">
        <v>816</v>
      </c>
      <c r="B411" s="178">
        <v>3.9423496794957743E-5</v>
      </c>
    </row>
    <row r="412" spans="1:2">
      <c r="A412" s="135" t="s">
        <v>3771</v>
      </c>
      <c r="B412" s="178">
        <v>3.8768760577778952E-5</v>
      </c>
    </row>
    <row r="413" spans="1:2">
      <c r="A413" s="135" t="s">
        <v>1370</v>
      </c>
      <c r="B413" s="178">
        <v>3.8346969358974764E-5</v>
      </c>
    </row>
    <row r="414" spans="1:2">
      <c r="A414" s="135" t="s">
        <v>3061</v>
      </c>
      <c r="B414" s="178">
        <v>3.819326041290602E-5</v>
      </c>
    </row>
    <row r="415" spans="1:2">
      <c r="A415" s="135" t="s">
        <v>2871</v>
      </c>
      <c r="B415" s="178">
        <v>3.7817415395624189E-5</v>
      </c>
    </row>
    <row r="416" spans="1:2">
      <c r="A416" s="135" t="s">
        <v>394</v>
      </c>
      <c r="B416" s="178">
        <v>3.6511871199395892E-5</v>
      </c>
    </row>
    <row r="417" spans="1:2">
      <c r="A417" s="135" t="s">
        <v>2755</v>
      </c>
      <c r="B417" s="178">
        <v>3.6334182585145518E-5</v>
      </c>
    </row>
    <row r="418" spans="1:2">
      <c r="A418" s="135" t="s">
        <v>1757</v>
      </c>
      <c r="B418" s="178">
        <v>3.6329760028114002E-5</v>
      </c>
    </row>
    <row r="419" spans="1:2">
      <c r="A419" s="135" t="s">
        <v>3779</v>
      </c>
      <c r="B419" s="178">
        <v>3.6101797382427928E-5</v>
      </c>
    </row>
    <row r="420" spans="1:2">
      <c r="A420" s="135" t="s">
        <v>2824</v>
      </c>
      <c r="B420" s="178">
        <v>3.6039318116736056E-5</v>
      </c>
    </row>
    <row r="421" spans="1:2">
      <c r="A421" s="135" t="s">
        <v>2440</v>
      </c>
      <c r="B421" s="178">
        <v>3.541944466109372E-5</v>
      </c>
    </row>
    <row r="422" spans="1:2">
      <c r="A422" s="135" t="s">
        <v>3576</v>
      </c>
      <c r="B422" s="178">
        <v>3.4155512717151573E-5</v>
      </c>
    </row>
    <row r="423" spans="1:2">
      <c r="A423" s="135" t="s">
        <v>3795</v>
      </c>
      <c r="B423" s="178">
        <v>3.3930229967727365E-5</v>
      </c>
    </row>
    <row r="424" spans="1:2">
      <c r="A424" s="135" t="s">
        <v>2828</v>
      </c>
      <c r="B424" s="178">
        <v>3.3594954714885928E-5</v>
      </c>
    </row>
    <row r="425" spans="1:2">
      <c r="A425" s="135" t="s">
        <v>1428</v>
      </c>
      <c r="B425" s="178">
        <v>3.3474518363110165E-5</v>
      </c>
    </row>
    <row r="426" spans="1:2">
      <c r="A426" s="135" t="s">
        <v>3584</v>
      </c>
      <c r="B426" s="178">
        <v>3.2641913378815413E-5</v>
      </c>
    </row>
    <row r="427" spans="1:2">
      <c r="A427" s="135" t="s">
        <v>1604</v>
      </c>
      <c r="B427" s="178">
        <v>3.2503806380746828E-5</v>
      </c>
    </row>
    <row r="428" spans="1:2">
      <c r="A428" s="135" t="s">
        <v>3588</v>
      </c>
      <c r="B428" s="178">
        <v>3.2194441442455531E-5</v>
      </c>
    </row>
    <row r="429" spans="1:2">
      <c r="A429" s="135" t="s">
        <v>3407</v>
      </c>
      <c r="B429" s="178">
        <v>3.2036541861692414E-5</v>
      </c>
    </row>
    <row r="430" spans="1:2">
      <c r="A430" s="135" t="s">
        <v>2443</v>
      </c>
      <c r="B430" s="178">
        <v>3.1898431314416561E-5</v>
      </c>
    </row>
    <row r="431" spans="1:2">
      <c r="A431" s="135" t="s">
        <v>527</v>
      </c>
      <c r="B431" s="178">
        <v>3.1145037293203865E-5</v>
      </c>
    </row>
    <row r="432" spans="1:2">
      <c r="A432" s="135" t="s">
        <v>3110</v>
      </c>
      <c r="B432" s="178">
        <v>3.1040181838957562E-5</v>
      </c>
    </row>
    <row r="433" spans="1:2">
      <c r="A433" s="135" t="s">
        <v>2540</v>
      </c>
      <c r="B433" s="178">
        <v>3.0827655307621604E-5</v>
      </c>
    </row>
    <row r="434" spans="1:2">
      <c r="A434" s="135" t="s">
        <v>2668</v>
      </c>
      <c r="B434" s="178">
        <v>3.0419952361110094E-5</v>
      </c>
    </row>
    <row r="435" spans="1:2">
      <c r="A435" s="135" t="s">
        <v>3774</v>
      </c>
      <c r="B435" s="178">
        <v>2.9984158540533545E-5</v>
      </c>
    </row>
    <row r="436" spans="1:2">
      <c r="A436" s="135" t="s">
        <v>2823</v>
      </c>
      <c r="B436" s="178">
        <v>2.9772026950296235E-5</v>
      </c>
    </row>
    <row r="437" spans="1:2">
      <c r="A437" s="135" t="s">
        <v>1311</v>
      </c>
      <c r="B437" s="178">
        <v>2.9302061362122785E-5</v>
      </c>
    </row>
    <row r="438" spans="1:2">
      <c r="A438" s="135" t="s">
        <v>1517</v>
      </c>
      <c r="B438" s="178">
        <v>2.8763569515774339E-5</v>
      </c>
    </row>
    <row r="439" spans="1:2">
      <c r="A439" s="135" t="s">
        <v>3791</v>
      </c>
      <c r="B439" s="178">
        <v>2.7887366436532568E-5</v>
      </c>
    </row>
    <row r="440" spans="1:2">
      <c r="A440" s="135" t="s">
        <v>2738</v>
      </c>
      <c r="B440" s="178">
        <v>2.7715785763221181E-5</v>
      </c>
    </row>
    <row r="441" spans="1:2">
      <c r="A441" s="135" t="s">
        <v>3823</v>
      </c>
      <c r="B441" s="178">
        <v>2.7712423807231152E-5</v>
      </c>
    </row>
    <row r="442" spans="1:2">
      <c r="A442" s="135" t="s">
        <v>1423</v>
      </c>
      <c r="B442" s="178">
        <v>2.7215538583391812E-5</v>
      </c>
    </row>
    <row r="443" spans="1:2">
      <c r="A443" s="135" t="s">
        <v>1753</v>
      </c>
      <c r="B443" s="178">
        <v>2.6760856616042325E-5</v>
      </c>
    </row>
    <row r="444" spans="1:2">
      <c r="A444" s="135" t="s">
        <v>3571</v>
      </c>
      <c r="B444" s="178">
        <v>2.6658452317768653E-5</v>
      </c>
    </row>
    <row r="445" spans="1:2">
      <c r="A445" s="135" t="s">
        <v>2827</v>
      </c>
      <c r="B445" s="178">
        <v>2.6333650530808478E-5</v>
      </c>
    </row>
    <row r="446" spans="1:2">
      <c r="A446" s="135" t="s">
        <v>2317</v>
      </c>
      <c r="B446" s="178">
        <v>2.6177310031128615E-5</v>
      </c>
    </row>
    <row r="447" spans="1:2">
      <c r="A447" s="135" t="s">
        <v>3594</v>
      </c>
      <c r="B447" s="178">
        <v>2.6080181445882314E-5</v>
      </c>
    </row>
    <row r="448" spans="1:2">
      <c r="A448" s="135" t="s">
        <v>1763</v>
      </c>
      <c r="B448" s="178">
        <v>2.5086630192349175E-5</v>
      </c>
    </row>
    <row r="449" spans="1:2">
      <c r="A449" s="135" t="s">
        <v>2672</v>
      </c>
      <c r="B449" s="178">
        <v>2.4742841615131246E-5</v>
      </c>
    </row>
    <row r="450" spans="1:2">
      <c r="A450" s="135" t="s">
        <v>2966</v>
      </c>
      <c r="B450" s="178">
        <v>2.4492972527855125E-5</v>
      </c>
    </row>
    <row r="451" spans="1:2">
      <c r="A451" s="135" t="s">
        <v>3794</v>
      </c>
      <c r="B451" s="178">
        <v>2.4142652919714307E-5</v>
      </c>
    </row>
    <row r="452" spans="1:2">
      <c r="A452" s="135" t="s">
        <v>2968</v>
      </c>
      <c r="B452" s="178">
        <v>2.2975433936608481E-5</v>
      </c>
    </row>
    <row r="453" spans="1:2">
      <c r="A453" s="135" t="s">
        <v>2218</v>
      </c>
      <c r="B453" s="178">
        <v>2.2670470994423816E-5</v>
      </c>
    </row>
    <row r="454" spans="1:2">
      <c r="A454" s="135" t="s">
        <v>3060</v>
      </c>
      <c r="B454" s="178">
        <v>2.2069827633316926E-5</v>
      </c>
    </row>
    <row r="455" spans="1:2">
      <c r="A455" s="135" t="s">
        <v>3398</v>
      </c>
      <c r="B455" s="178">
        <v>2.17460172990497E-5</v>
      </c>
    </row>
    <row r="456" spans="1:2">
      <c r="A456" s="135" t="s">
        <v>1752</v>
      </c>
      <c r="B456" s="178">
        <v>2.0975084196986092E-5</v>
      </c>
    </row>
    <row r="457" spans="1:2">
      <c r="A457" s="135" t="s">
        <v>4051</v>
      </c>
      <c r="B457" s="178">
        <v>1.9835113824344158E-5</v>
      </c>
    </row>
    <row r="458" spans="1:2">
      <c r="A458" s="135" t="s">
        <v>2441</v>
      </c>
      <c r="B458" s="178">
        <v>1.8536685666306037E-5</v>
      </c>
    </row>
    <row r="459" spans="1:2">
      <c r="A459" s="135" t="s">
        <v>2316</v>
      </c>
      <c r="B459" s="178">
        <v>1.8181472802817819E-5</v>
      </c>
    </row>
    <row r="460" spans="1:2">
      <c r="A460" s="135" t="s">
        <v>2745</v>
      </c>
      <c r="B460" s="178">
        <v>1.8119683429587388E-5</v>
      </c>
    </row>
    <row r="461" spans="1:2">
      <c r="A461" s="135" t="s">
        <v>3174</v>
      </c>
      <c r="B461" s="178">
        <v>1.7975423697136332E-5</v>
      </c>
    </row>
    <row r="462" spans="1:2">
      <c r="A462" s="135" t="s">
        <v>3579</v>
      </c>
      <c r="B462" s="178">
        <v>1.7849275691771253E-5</v>
      </c>
    </row>
    <row r="463" spans="1:2">
      <c r="A463" s="135" t="s">
        <v>1747</v>
      </c>
      <c r="B463" s="178">
        <v>1.7387869078122969E-5</v>
      </c>
    </row>
    <row r="464" spans="1:2">
      <c r="A464" s="135" t="s">
        <v>2869</v>
      </c>
      <c r="B464" s="178">
        <v>1.7030990167787567E-5</v>
      </c>
    </row>
    <row r="465" spans="1:2">
      <c r="A465" s="135" t="s">
        <v>2971</v>
      </c>
      <c r="B465" s="178">
        <v>1.6825418614063595E-5</v>
      </c>
    </row>
    <row r="466" spans="1:2">
      <c r="A466" s="135" t="s">
        <v>3314</v>
      </c>
      <c r="B466" s="178">
        <v>1.6696341655995447E-5</v>
      </c>
    </row>
    <row r="467" spans="1:2">
      <c r="A467" s="135" t="s">
        <v>2312</v>
      </c>
      <c r="B467" s="178">
        <v>1.6570198668475136E-5</v>
      </c>
    </row>
    <row r="468" spans="1:2">
      <c r="A468" s="135" t="s">
        <v>817</v>
      </c>
      <c r="B468" s="178">
        <v>1.655255874118317E-5</v>
      </c>
    </row>
    <row r="469" spans="1:2">
      <c r="A469" s="135" t="s">
        <v>3312</v>
      </c>
      <c r="B469" s="178">
        <v>1.6538649397891493E-5</v>
      </c>
    </row>
    <row r="470" spans="1:2">
      <c r="A470" s="135" t="s">
        <v>3406</v>
      </c>
      <c r="B470" s="178">
        <v>1.6278675839903741E-5</v>
      </c>
    </row>
    <row r="471" spans="1:2">
      <c r="A471" s="135" t="s">
        <v>3321</v>
      </c>
      <c r="B471" s="178">
        <v>1.6153787925506019E-5</v>
      </c>
    </row>
    <row r="472" spans="1:2">
      <c r="A472" s="135" t="s">
        <v>1751</v>
      </c>
      <c r="B472" s="178">
        <v>1.6083290511045069E-5</v>
      </c>
    </row>
    <row r="473" spans="1:2">
      <c r="A473" s="135" t="s">
        <v>3790</v>
      </c>
      <c r="B473" s="178">
        <v>1.5841390740341443E-5</v>
      </c>
    </row>
    <row r="474" spans="1:2">
      <c r="A474" s="135" t="s">
        <v>2214</v>
      </c>
      <c r="B474" s="178">
        <v>1.5775873965158616E-5</v>
      </c>
    </row>
    <row r="475" spans="1:2">
      <c r="A475" s="135" t="s">
        <v>4048</v>
      </c>
      <c r="B475" s="178">
        <v>1.5114915130930061E-5</v>
      </c>
    </row>
    <row r="476" spans="1:2">
      <c r="A476" s="135" t="s">
        <v>1368</v>
      </c>
      <c r="B476" s="178">
        <v>1.5107396808453788E-5</v>
      </c>
    </row>
    <row r="477" spans="1:2">
      <c r="A477" s="135" t="s">
        <v>2318</v>
      </c>
      <c r="B477" s="178">
        <v>1.4652991801657828E-5</v>
      </c>
    </row>
    <row r="478" spans="1:2">
      <c r="A478" s="135" t="s">
        <v>3782</v>
      </c>
      <c r="B478" s="178">
        <v>1.4240912437809317E-5</v>
      </c>
    </row>
    <row r="479" spans="1:2">
      <c r="A479" s="135" t="s">
        <v>3171</v>
      </c>
      <c r="B479" s="178">
        <v>1.3708821403192884E-5</v>
      </c>
    </row>
    <row r="480" spans="1:2">
      <c r="A480" s="135" t="s">
        <v>2671</v>
      </c>
      <c r="B480" s="178">
        <v>1.3534742087963319E-5</v>
      </c>
    </row>
    <row r="481" spans="1:2">
      <c r="A481" s="135" t="s">
        <v>3893</v>
      </c>
      <c r="B481" s="178">
        <v>1.3382519770194936E-5</v>
      </c>
    </row>
    <row r="482" spans="1:2">
      <c r="A482" s="135" t="s">
        <v>3796</v>
      </c>
      <c r="B482" s="178">
        <v>1.3355124785527763E-5</v>
      </c>
    </row>
    <row r="483" spans="1:2">
      <c r="A483" s="135" t="s">
        <v>3057</v>
      </c>
      <c r="B483" s="178">
        <v>1.3166271344297182E-5</v>
      </c>
    </row>
    <row r="484" spans="1:2">
      <c r="A484" s="135" t="s">
        <v>2744</v>
      </c>
      <c r="B484" s="178">
        <v>1.2994885265453367E-5</v>
      </c>
    </row>
    <row r="485" spans="1:2">
      <c r="A485" s="135" t="s">
        <v>3313</v>
      </c>
      <c r="B485" s="178">
        <v>1.2687467373315878E-5</v>
      </c>
    </row>
    <row r="486" spans="1:2">
      <c r="A486" s="135" t="s">
        <v>3053</v>
      </c>
      <c r="B486" s="178">
        <v>1.2683934810603973E-5</v>
      </c>
    </row>
    <row r="487" spans="1:2">
      <c r="A487" s="135" t="s">
        <v>3890</v>
      </c>
      <c r="B487" s="178">
        <v>1.2645880944572282E-5</v>
      </c>
    </row>
    <row r="488" spans="1:2">
      <c r="A488" s="135" t="s">
        <v>3311</v>
      </c>
      <c r="B488" s="178">
        <v>1.2196590712611966E-5</v>
      </c>
    </row>
    <row r="489" spans="1:2">
      <c r="A489" s="135" t="s">
        <v>3586</v>
      </c>
      <c r="B489" s="178">
        <v>1.1806300054581298E-5</v>
      </c>
    </row>
    <row r="490" spans="1:2">
      <c r="A490" s="135" t="s">
        <v>1369</v>
      </c>
      <c r="B490" s="178">
        <v>1.1735263283001746E-5</v>
      </c>
    </row>
    <row r="491" spans="1:2">
      <c r="A491" s="135" t="s">
        <v>1367</v>
      </c>
      <c r="B491" s="178">
        <v>1.145008178634397E-5</v>
      </c>
    </row>
    <row r="492" spans="1:2">
      <c r="A492" s="135" t="s">
        <v>2740</v>
      </c>
      <c r="B492" s="178">
        <v>1.0977311834881276E-5</v>
      </c>
    </row>
    <row r="493" spans="1:2">
      <c r="A493" s="135" t="s">
        <v>3574</v>
      </c>
      <c r="B493" s="178">
        <v>1.0917943021009077E-5</v>
      </c>
    </row>
    <row r="494" spans="1:2">
      <c r="A494" s="135" t="s">
        <v>1759</v>
      </c>
      <c r="B494" s="178">
        <v>1.0228022533069727E-5</v>
      </c>
    </row>
    <row r="495" spans="1:2">
      <c r="A495" s="135" t="s">
        <v>2749</v>
      </c>
      <c r="B495" s="178">
        <v>1.0163920790109568E-5</v>
      </c>
    </row>
    <row r="496" spans="1:2">
      <c r="A496" s="135" t="s">
        <v>2223</v>
      </c>
      <c r="B496" s="178">
        <v>9.8901459560721916E-6</v>
      </c>
    </row>
    <row r="497" spans="1:2">
      <c r="A497" s="135" t="s">
        <v>3405</v>
      </c>
      <c r="B497" s="178">
        <v>9.8282964910910794E-6</v>
      </c>
    </row>
    <row r="498" spans="1:2">
      <c r="A498" s="135" t="s">
        <v>4047</v>
      </c>
      <c r="B498" s="178">
        <v>9.7339298010332385E-6</v>
      </c>
    </row>
    <row r="499" spans="1:2">
      <c r="A499" s="135" t="s">
        <v>3789</v>
      </c>
      <c r="B499" s="178">
        <v>9.2213622212910985E-6</v>
      </c>
    </row>
    <row r="500" spans="1:2">
      <c r="A500" s="135" t="s">
        <v>2970</v>
      </c>
      <c r="B500" s="178">
        <v>8.9151927934074985E-6</v>
      </c>
    </row>
    <row r="501" spans="1:2">
      <c r="A501" s="135" t="s">
        <v>815</v>
      </c>
      <c r="B501" s="178">
        <v>8.8448330637113372E-6</v>
      </c>
    </row>
    <row r="502" spans="1:2">
      <c r="A502" s="135" t="s">
        <v>1749</v>
      </c>
      <c r="B502" s="178">
        <v>8.3640185280047275E-6</v>
      </c>
    </row>
    <row r="503" spans="1:2">
      <c r="A503" s="135" t="s">
        <v>3786</v>
      </c>
      <c r="B503" s="178">
        <v>8.3223231753138747E-6</v>
      </c>
    </row>
    <row r="504" spans="1:2">
      <c r="A504" s="135" t="s">
        <v>3317</v>
      </c>
      <c r="B504" s="178">
        <v>8.2107293674855222E-6</v>
      </c>
    </row>
    <row r="505" spans="1:2">
      <c r="A505" s="135" t="s">
        <v>3792</v>
      </c>
      <c r="B505" s="178">
        <v>8.1552715352521018E-6</v>
      </c>
    </row>
    <row r="506" spans="1:2">
      <c r="A506" s="135" t="s">
        <v>1748</v>
      </c>
      <c r="B506" s="178">
        <v>8.057019197552203E-6</v>
      </c>
    </row>
    <row r="507" spans="1:2">
      <c r="A507" s="135" t="s">
        <v>1609</v>
      </c>
      <c r="B507" s="178">
        <v>7.6558518102625067E-6</v>
      </c>
    </row>
    <row r="508" spans="1:2">
      <c r="A508" s="135" t="s">
        <v>2748</v>
      </c>
      <c r="B508" s="178">
        <v>7.5941276690139686E-6</v>
      </c>
    </row>
    <row r="509" spans="1:2">
      <c r="A509" s="135" t="s">
        <v>3172</v>
      </c>
      <c r="B509" s="178">
        <v>7.5824983854272114E-6</v>
      </c>
    </row>
    <row r="510" spans="1:2">
      <c r="A510" s="135" t="s">
        <v>3410</v>
      </c>
      <c r="B510" s="178">
        <v>7.2092114898819519E-6</v>
      </c>
    </row>
    <row r="511" spans="1:2">
      <c r="A511" s="135" t="s">
        <v>4050</v>
      </c>
      <c r="B511" s="178">
        <v>6.9375853948805014E-6</v>
      </c>
    </row>
    <row r="512" spans="1:2">
      <c r="A512" s="135" t="s">
        <v>2220</v>
      </c>
      <c r="B512" s="178">
        <v>6.8975210865099622E-6</v>
      </c>
    </row>
    <row r="513" spans="1:2">
      <c r="A513" s="135" t="s">
        <v>3316</v>
      </c>
      <c r="B513" s="178">
        <v>6.5029175297137883E-6</v>
      </c>
    </row>
    <row r="514" spans="1:2">
      <c r="A514" s="135" t="s">
        <v>2217</v>
      </c>
      <c r="B514" s="178">
        <v>6.2567911426972549E-6</v>
      </c>
    </row>
    <row r="515" spans="1:2">
      <c r="A515" s="135" t="s">
        <v>3065</v>
      </c>
      <c r="B515" s="178">
        <v>5.8719171868931081E-6</v>
      </c>
    </row>
    <row r="516" spans="1:2">
      <c r="A516" s="135" t="s">
        <v>3788</v>
      </c>
      <c r="B516" s="178">
        <v>5.7250965178169603E-6</v>
      </c>
    </row>
    <row r="517" spans="1:2">
      <c r="A517" s="135" t="s">
        <v>2739</v>
      </c>
      <c r="B517" s="178">
        <v>5.6580059751759711E-6</v>
      </c>
    </row>
    <row r="518" spans="1:2">
      <c r="A518" s="135" t="s">
        <v>1767</v>
      </c>
      <c r="B518" s="178">
        <v>5.3848252050037409E-6</v>
      </c>
    </row>
    <row r="519" spans="1:2">
      <c r="A519" s="135" t="s">
        <v>1828</v>
      </c>
      <c r="B519" s="178">
        <v>5.2931250710838929E-6</v>
      </c>
    </row>
    <row r="520" spans="1:2">
      <c r="A520" s="135" t="s">
        <v>2221</v>
      </c>
      <c r="B520" s="178">
        <v>5.1760489618877499E-6</v>
      </c>
    </row>
    <row r="521" spans="1:2">
      <c r="A521" s="135" t="s">
        <v>3058</v>
      </c>
      <c r="B521" s="178">
        <v>4.6670821141143951E-6</v>
      </c>
    </row>
    <row r="522" spans="1:2">
      <c r="A522" s="135" t="s">
        <v>2989</v>
      </c>
      <c r="B522" s="178">
        <v>4.4198923111678544E-6</v>
      </c>
    </row>
    <row r="523" spans="1:2">
      <c r="A523" s="135" t="s">
        <v>1514</v>
      </c>
      <c r="B523" s="178">
        <v>4.2266557213451087E-6</v>
      </c>
    </row>
    <row r="524" spans="1:2">
      <c r="A524" s="135" t="s">
        <v>2219</v>
      </c>
      <c r="B524" s="178">
        <v>4.1358510891354545E-6</v>
      </c>
    </row>
    <row r="525" spans="1:2">
      <c r="A525" s="135" t="s">
        <v>2751</v>
      </c>
      <c r="B525" s="178">
        <v>3.4659067635770257E-6</v>
      </c>
    </row>
    <row r="526" spans="1:2">
      <c r="A526" s="135" t="s">
        <v>2445</v>
      </c>
      <c r="B526" s="178">
        <v>3.4150356086147434E-6</v>
      </c>
    </row>
    <row r="527" spans="1:2">
      <c r="A527" s="135" t="s">
        <v>3315</v>
      </c>
      <c r="B527" s="178">
        <v>3.3844274898899756E-6</v>
      </c>
    </row>
    <row r="528" spans="1:2">
      <c r="A528" s="135" t="s">
        <v>1830</v>
      </c>
      <c r="B528" s="178">
        <v>3.3656970992608734E-6</v>
      </c>
    </row>
    <row r="529" spans="1:2">
      <c r="A529" s="135" t="s">
        <v>3585</v>
      </c>
      <c r="B529" s="178">
        <v>3.2147334038223547E-6</v>
      </c>
    </row>
    <row r="530" spans="1:2">
      <c r="A530" s="135" t="s">
        <v>3310</v>
      </c>
      <c r="B530" s="178">
        <v>3.0339263826325537E-6</v>
      </c>
    </row>
    <row r="531" spans="1:2">
      <c r="A531" s="135" t="s">
        <v>3056</v>
      </c>
      <c r="B531" s="178">
        <v>2.8825098573009478E-6</v>
      </c>
    </row>
    <row r="532" spans="1:2">
      <c r="A532" s="135" t="s">
        <v>2673</v>
      </c>
      <c r="B532" s="178">
        <v>2.801747278709551E-6</v>
      </c>
    </row>
    <row r="533" spans="1:2">
      <c r="A533" s="135" t="s">
        <v>4164</v>
      </c>
      <c r="B533" s="178">
        <v>2.7340884957459668E-6</v>
      </c>
    </row>
    <row r="534" spans="1:2">
      <c r="A534" s="135" t="s">
        <v>1597</v>
      </c>
      <c r="B534" s="178">
        <v>2.5245306927117991E-6</v>
      </c>
    </row>
    <row r="535" spans="1:2">
      <c r="A535" s="135" t="s">
        <v>3320</v>
      </c>
      <c r="B535" s="178">
        <v>2.3287232529608982E-6</v>
      </c>
    </row>
    <row r="536" spans="1:2">
      <c r="A536" s="135" t="s">
        <v>2756</v>
      </c>
      <c r="B536" s="178">
        <v>2.2333888531828848E-6</v>
      </c>
    </row>
    <row r="537" spans="1:2">
      <c r="A537" s="135" t="s">
        <v>3408</v>
      </c>
      <c r="B537" s="178">
        <v>1.8058222174449754E-6</v>
      </c>
    </row>
    <row r="538" spans="1:2">
      <c r="A538" s="135" t="s">
        <v>2747</v>
      </c>
      <c r="B538" s="178">
        <v>1.7021061811188409E-6</v>
      </c>
    </row>
    <row r="539" spans="1:2">
      <c r="A539" s="135" t="s">
        <v>3589</v>
      </c>
      <c r="B539" s="178">
        <v>1.5992102564450239E-6</v>
      </c>
    </row>
    <row r="540" spans="1:2">
      <c r="A540" s="135" t="s">
        <v>3797</v>
      </c>
      <c r="B540" s="178">
        <v>1.5470152471709799E-6</v>
      </c>
    </row>
    <row r="541" spans="1:2">
      <c r="A541" s="135" t="s">
        <v>1598</v>
      </c>
      <c r="B541" s="178">
        <v>1.5169565212543381E-6</v>
      </c>
    </row>
    <row r="542" spans="1:2">
      <c r="A542" s="135" t="s">
        <v>1827</v>
      </c>
      <c r="B542" s="178">
        <v>1.4504014193653097E-6</v>
      </c>
    </row>
    <row r="543" spans="1:2">
      <c r="A543" s="135" t="s">
        <v>1829</v>
      </c>
      <c r="B543" s="178">
        <v>9.2515766227817959E-7</v>
      </c>
    </row>
    <row r="544" spans="1:2">
      <c r="A544" s="135" t="s">
        <v>2752</v>
      </c>
      <c r="B544" s="178">
        <v>9.076873626164347E-7</v>
      </c>
    </row>
    <row r="545" spans="1:2">
      <c r="A545" s="136" t="s">
        <v>75</v>
      </c>
      <c r="B545" s="179">
        <v>0.89355219551961484</v>
      </c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2985"/>
  <sheetViews>
    <sheetView topLeftCell="A81" zoomScale="90" zoomScaleNormal="90" workbookViewId="0">
      <selection activeCell="G55" sqref="G55:G103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43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5" customWidth="1"/>
    <col min="21" max="22" width="34" customWidth="1"/>
    <col min="23" max="23" width="26" style="8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5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3" ht="15.75">
      <c r="A1" s="36" t="s">
        <v>74</v>
      </c>
      <c r="B1" s="36"/>
      <c r="C1" s="48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45"/>
      <c r="U1" s="36"/>
      <c r="V1" s="37"/>
      <c r="W1" s="39" t="s">
        <v>29</v>
      </c>
    </row>
    <row r="2" spans="1:23">
      <c r="A2" s="11" t="s">
        <v>66</v>
      </c>
      <c r="B2" s="11" t="s">
        <v>73</v>
      </c>
      <c r="C2" s="49" t="s">
        <v>66</v>
      </c>
      <c r="D2" s="11" t="s">
        <v>30</v>
      </c>
      <c r="E2" s="11" t="s">
        <v>32</v>
      </c>
      <c r="F2" s="11" t="s">
        <v>72</v>
      </c>
      <c r="G2" s="11" t="s">
        <v>71</v>
      </c>
      <c r="H2" s="11" t="s">
        <v>71</v>
      </c>
      <c r="I2" s="11" t="s">
        <v>70</v>
      </c>
      <c r="J2" s="11" t="s">
        <v>70</v>
      </c>
      <c r="K2" s="11" t="s">
        <v>16</v>
      </c>
      <c r="L2" s="11" t="s">
        <v>69</v>
      </c>
      <c r="M2" s="11" t="s">
        <v>16</v>
      </c>
      <c r="N2" s="11" t="s">
        <v>16</v>
      </c>
      <c r="O2" s="11" t="s">
        <v>16</v>
      </c>
      <c r="P2" s="11" t="s">
        <v>16</v>
      </c>
      <c r="Q2" s="11" t="s">
        <v>68</v>
      </c>
      <c r="R2" s="11" t="s">
        <v>67</v>
      </c>
      <c r="S2" s="11" t="s">
        <v>67</v>
      </c>
      <c r="T2" s="46" t="s">
        <v>67</v>
      </c>
      <c r="U2" s="11" t="s">
        <v>66</v>
      </c>
      <c r="V2" s="11" t="s">
        <v>66</v>
      </c>
      <c r="W2" s="52">
        <f>+VLOOKUP(W1,'GESTION MOMENTUM'!A:B,2,0)</f>
        <v>81708386669.850006</v>
      </c>
    </row>
    <row r="3" spans="1:23" ht="26.25">
      <c r="A3" s="46" t="s">
        <v>65</v>
      </c>
      <c r="B3" s="46" t="s">
        <v>9</v>
      </c>
      <c r="C3" s="46" t="s">
        <v>64</v>
      </c>
      <c r="D3" s="46" t="s">
        <v>30</v>
      </c>
      <c r="E3" s="46" t="s">
        <v>32</v>
      </c>
      <c r="F3" s="46" t="s">
        <v>72</v>
      </c>
      <c r="G3" s="46" t="s">
        <v>63</v>
      </c>
      <c r="H3" s="46" t="s">
        <v>62</v>
      </c>
      <c r="I3" s="46" t="s">
        <v>63</v>
      </c>
      <c r="J3" s="46" t="s">
        <v>62</v>
      </c>
      <c r="K3" s="46" t="s">
        <v>58</v>
      </c>
      <c r="L3" s="46" t="s">
        <v>61</v>
      </c>
      <c r="M3" s="46" t="s">
        <v>60</v>
      </c>
      <c r="N3" s="46" t="s">
        <v>57</v>
      </c>
      <c r="O3" s="46" t="s">
        <v>56</v>
      </c>
      <c r="P3" s="46" t="s">
        <v>59</v>
      </c>
      <c r="Q3" s="46" t="s">
        <v>68</v>
      </c>
      <c r="R3" s="46" t="s">
        <v>58</v>
      </c>
      <c r="S3" s="46" t="s">
        <v>57</v>
      </c>
      <c r="T3" s="46" t="s">
        <v>56</v>
      </c>
      <c r="U3" s="46" t="s">
        <v>55</v>
      </c>
      <c r="V3" s="46" t="s">
        <v>81</v>
      </c>
      <c r="W3" s="46" t="s">
        <v>104</v>
      </c>
    </row>
    <row r="4" spans="1:23">
      <c r="A4" s="10" t="s">
        <v>2016</v>
      </c>
      <c r="B4" s="10" t="s">
        <v>358</v>
      </c>
      <c r="C4" s="124">
        <v>46324</v>
      </c>
      <c r="D4" s="124" t="s">
        <v>471</v>
      </c>
      <c r="E4" s="21">
        <v>1</v>
      </c>
      <c r="F4" s="10"/>
      <c r="G4" s="14">
        <v>15000000</v>
      </c>
      <c r="H4" s="14">
        <v>15000000</v>
      </c>
      <c r="I4" s="14">
        <v>15000000</v>
      </c>
      <c r="J4" s="14">
        <v>15000000</v>
      </c>
      <c r="K4" s="12">
        <v>69911131</v>
      </c>
      <c r="L4" s="10" t="s">
        <v>101</v>
      </c>
      <c r="M4" s="10" t="s">
        <v>102</v>
      </c>
      <c r="N4" s="124" t="s">
        <v>439</v>
      </c>
      <c r="O4" s="124" t="s">
        <v>439</v>
      </c>
      <c r="P4" s="21">
        <v>25</v>
      </c>
      <c r="Q4" s="10" t="s">
        <v>54</v>
      </c>
      <c r="R4" s="10" t="s">
        <v>28</v>
      </c>
      <c r="S4" s="10"/>
      <c r="T4" s="10"/>
      <c r="U4" s="10" t="s">
        <v>2243</v>
      </c>
      <c r="V4" s="10" t="s">
        <v>2243</v>
      </c>
      <c r="W4" s="50">
        <f>+J4/$W$2</f>
        <v>1.8357968638652518E-4</v>
      </c>
    </row>
    <row r="5" spans="1:23">
      <c r="A5" s="10" t="s">
        <v>379</v>
      </c>
      <c r="B5" s="10" t="s">
        <v>358</v>
      </c>
      <c r="C5" s="124">
        <v>46324</v>
      </c>
      <c r="D5" s="124" t="s">
        <v>471</v>
      </c>
      <c r="E5" s="21">
        <v>1</v>
      </c>
      <c r="F5" s="10"/>
      <c r="G5" s="14">
        <v>3000000</v>
      </c>
      <c r="H5" s="14">
        <v>3000000</v>
      </c>
      <c r="I5" s="14">
        <v>3000000</v>
      </c>
      <c r="J5" s="14">
        <v>3000000</v>
      </c>
      <c r="K5" s="12">
        <v>3792078</v>
      </c>
      <c r="L5" s="10" t="s">
        <v>101</v>
      </c>
      <c r="M5" s="10" t="s">
        <v>102</v>
      </c>
      <c r="N5" s="124" t="s">
        <v>312</v>
      </c>
      <c r="O5" s="124" t="s">
        <v>312</v>
      </c>
      <c r="P5" s="21">
        <v>30</v>
      </c>
      <c r="Q5" s="10" t="s">
        <v>54</v>
      </c>
      <c r="R5" s="10" t="s">
        <v>28</v>
      </c>
      <c r="S5" s="10"/>
      <c r="T5" s="10"/>
      <c r="U5" s="10" t="s">
        <v>1029</v>
      </c>
      <c r="V5" s="10" t="s">
        <v>1029</v>
      </c>
      <c r="W5" s="50">
        <f>+J5/$W$2</f>
        <v>3.6715937277305041E-5</v>
      </c>
    </row>
    <row r="6" spans="1:23">
      <c r="A6" s="10" t="s">
        <v>379</v>
      </c>
      <c r="B6" s="10" t="s">
        <v>358</v>
      </c>
      <c r="C6" s="124">
        <v>46324</v>
      </c>
      <c r="D6" s="124" t="s">
        <v>471</v>
      </c>
      <c r="E6" s="21">
        <v>1</v>
      </c>
      <c r="F6" s="10"/>
      <c r="G6" s="14">
        <v>31628755.989999998</v>
      </c>
      <c r="H6" s="14">
        <v>31628755.989999998</v>
      </c>
      <c r="I6" s="14">
        <v>31628755.989999998</v>
      </c>
      <c r="J6" s="14">
        <v>31628755.989999998</v>
      </c>
      <c r="K6" s="12">
        <v>22295</v>
      </c>
      <c r="L6" s="10" t="s">
        <v>101</v>
      </c>
      <c r="M6" s="10" t="s">
        <v>102</v>
      </c>
      <c r="N6" s="124" t="s">
        <v>398</v>
      </c>
      <c r="O6" s="124" t="s">
        <v>398</v>
      </c>
      <c r="P6" s="21">
        <v>30</v>
      </c>
      <c r="Q6" s="10" t="s">
        <v>54</v>
      </c>
      <c r="R6" s="10" t="s">
        <v>28</v>
      </c>
      <c r="S6" s="10"/>
      <c r="T6" s="10"/>
      <c r="U6" s="10" t="s">
        <v>1684</v>
      </c>
      <c r="V6" s="10" t="s">
        <v>1684</v>
      </c>
      <c r="W6" s="50">
        <f>+J6/$W$2</f>
        <v>3.8709314036267534E-4</v>
      </c>
    </row>
    <row r="7" spans="1:23">
      <c r="A7" s="10" t="s">
        <v>334</v>
      </c>
      <c r="B7" s="10" t="s">
        <v>358</v>
      </c>
      <c r="C7" s="124">
        <v>46324</v>
      </c>
      <c r="D7" s="124" t="s">
        <v>471</v>
      </c>
      <c r="E7" s="21">
        <v>1</v>
      </c>
      <c r="F7" s="10"/>
      <c r="G7" s="14">
        <v>3625698.78</v>
      </c>
      <c r="H7" s="14">
        <v>3625698.78</v>
      </c>
      <c r="I7" s="14">
        <v>3625698.78</v>
      </c>
      <c r="J7" s="14">
        <v>3625698.78</v>
      </c>
      <c r="K7" s="12">
        <v>3346</v>
      </c>
      <c r="L7" s="10" t="s">
        <v>101</v>
      </c>
      <c r="M7" s="10" t="s">
        <v>102</v>
      </c>
      <c r="N7" s="124" t="s">
        <v>331</v>
      </c>
      <c r="O7" s="124" t="s">
        <v>331</v>
      </c>
      <c r="P7" s="21">
        <v>36</v>
      </c>
      <c r="Q7" s="10" t="s">
        <v>54</v>
      </c>
      <c r="R7" s="10" t="s">
        <v>28</v>
      </c>
      <c r="S7" s="10"/>
      <c r="T7" s="10"/>
      <c r="U7" s="10" t="s">
        <v>1238</v>
      </c>
      <c r="V7" s="10" t="s">
        <v>1238</v>
      </c>
      <c r="W7" s="50">
        <f>+J7/$W$2</f>
        <v>4.4373642997627131E-5</v>
      </c>
    </row>
    <row r="8" spans="1:23">
      <c r="A8" s="10" t="s">
        <v>334</v>
      </c>
      <c r="B8" s="10" t="s">
        <v>358</v>
      </c>
      <c r="C8" s="124">
        <v>46324</v>
      </c>
      <c r="D8" s="124" t="s">
        <v>471</v>
      </c>
      <c r="E8" s="21">
        <v>1</v>
      </c>
      <c r="F8" s="10"/>
      <c r="G8" s="14">
        <v>2502550.36</v>
      </c>
      <c r="H8" s="14">
        <v>2502550.36</v>
      </c>
      <c r="I8" s="14">
        <v>2502550.36</v>
      </c>
      <c r="J8" s="14">
        <v>2502550.36</v>
      </c>
      <c r="K8" s="12">
        <v>3140</v>
      </c>
      <c r="L8" s="10" t="s">
        <v>101</v>
      </c>
      <c r="M8" s="10" t="s">
        <v>102</v>
      </c>
      <c r="N8" s="124" t="s">
        <v>407</v>
      </c>
      <c r="O8" s="124" t="s">
        <v>407</v>
      </c>
      <c r="P8" s="21">
        <v>33</v>
      </c>
      <c r="Q8" s="10" t="s">
        <v>54</v>
      </c>
      <c r="R8" s="10" t="s">
        <v>28</v>
      </c>
      <c r="S8" s="10"/>
      <c r="T8" s="10"/>
      <c r="U8" s="10" t="s">
        <v>784</v>
      </c>
      <c r="V8" s="10" t="s">
        <v>784</v>
      </c>
      <c r="W8" s="50">
        <f>+J8/$W$2</f>
        <v>3.0627827350352382E-5</v>
      </c>
    </row>
    <row r="9" spans="1:23">
      <c r="A9" s="10" t="s">
        <v>334</v>
      </c>
      <c r="B9" s="10" t="s">
        <v>358</v>
      </c>
      <c r="C9" s="124">
        <v>46324</v>
      </c>
      <c r="D9" s="124" t="s">
        <v>471</v>
      </c>
      <c r="E9" s="21">
        <v>1</v>
      </c>
      <c r="F9" s="10"/>
      <c r="G9" s="14">
        <v>2502550.36</v>
      </c>
      <c r="H9" s="14">
        <v>2502550.36</v>
      </c>
      <c r="I9" s="14">
        <v>2502550.36</v>
      </c>
      <c r="J9" s="14">
        <v>2502550.36</v>
      </c>
      <c r="K9" s="12">
        <v>3130</v>
      </c>
      <c r="L9" s="10" t="s">
        <v>101</v>
      </c>
      <c r="M9" s="10" t="s">
        <v>102</v>
      </c>
      <c r="N9" s="124" t="s">
        <v>407</v>
      </c>
      <c r="O9" s="124" t="s">
        <v>407</v>
      </c>
      <c r="P9" s="21">
        <v>33</v>
      </c>
      <c r="Q9" s="10" t="s">
        <v>54</v>
      </c>
      <c r="R9" s="10" t="s">
        <v>28</v>
      </c>
      <c r="S9" s="10"/>
      <c r="T9" s="10"/>
      <c r="U9" s="10" t="s">
        <v>785</v>
      </c>
      <c r="V9" s="10" t="s">
        <v>785</v>
      </c>
      <c r="W9" s="50">
        <f>+J9/$W$2</f>
        <v>3.0627827350352382E-5</v>
      </c>
    </row>
    <row r="10" spans="1:23">
      <c r="A10" s="10" t="s">
        <v>334</v>
      </c>
      <c r="B10" s="10" t="s">
        <v>358</v>
      </c>
      <c r="C10" s="124">
        <v>46324</v>
      </c>
      <c r="D10" s="124" t="s">
        <v>471</v>
      </c>
      <c r="E10" s="21">
        <v>1</v>
      </c>
      <c r="F10" s="10"/>
      <c r="G10" s="14">
        <v>1020845.65</v>
      </c>
      <c r="H10" s="14">
        <v>1020845.65</v>
      </c>
      <c r="I10" s="14">
        <v>1020845.65</v>
      </c>
      <c r="J10" s="14">
        <v>1020845.65</v>
      </c>
      <c r="K10" s="12">
        <v>2906</v>
      </c>
      <c r="L10" s="10" t="s">
        <v>101</v>
      </c>
      <c r="M10" s="10" t="s">
        <v>102</v>
      </c>
      <c r="N10" s="124" t="s">
        <v>311</v>
      </c>
      <c r="O10" s="124" t="s">
        <v>311</v>
      </c>
      <c r="P10" s="21">
        <v>34</v>
      </c>
      <c r="Q10" s="10" t="s">
        <v>54</v>
      </c>
      <c r="R10" s="10" t="s">
        <v>28</v>
      </c>
      <c r="S10" s="10"/>
      <c r="T10" s="10"/>
      <c r="U10" s="10" t="s">
        <v>704</v>
      </c>
      <c r="V10" s="10" t="s">
        <v>704</v>
      </c>
      <c r="W10" s="50">
        <f>+J10/$W$2</f>
        <v>1.2493768285069899E-5</v>
      </c>
    </row>
    <row r="11" spans="1:23">
      <c r="A11" s="10" t="s">
        <v>334</v>
      </c>
      <c r="B11" s="10" t="s">
        <v>358</v>
      </c>
      <c r="C11" s="124">
        <v>46324</v>
      </c>
      <c r="D11" s="124" t="s">
        <v>471</v>
      </c>
      <c r="E11" s="21">
        <v>1</v>
      </c>
      <c r="F11" s="10"/>
      <c r="G11" s="14">
        <v>990902.64</v>
      </c>
      <c r="H11" s="14">
        <v>990902.64</v>
      </c>
      <c r="I11" s="14">
        <v>990902.64</v>
      </c>
      <c r="J11" s="14">
        <v>990902.64</v>
      </c>
      <c r="K11" s="12">
        <v>2956</v>
      </c>
      <c r="L11" s="10" t="s">
        <v>101</v>
      </c>
      <c r="M11" s="10" t="s">
        <v>102</v>
      </c>
      <c r="N11" s="124" t="s">
        <v>311</v>
      </c>
      <c r="O11" s="124" t="s">
        <v>311</v>
      </c>
      <c r="P11" s="21">
        <v>34</v>
      </c>
      <c r="Q11" s="10" t="s">
        <v>54</v>
      </c>
      <c r="R11" s="10" t="s">
        <v>28</v>
      </c>
      <c r="S11" s="10"/>
      <c r="T11" s="10"/>
      <c r="U11" s="10" t="s">
        <v>705</v>
      </c>
      <c r="V11" s="10" t="s">
        <v>705</v>
      </c>
      <c r="W11" s="50">
        <f>+J11/$W$2</f>
        <v>1.2127306392718659E-5</v>
      </c>
    </row>
    <row r="12" spans="1:23">
      <c r="A12" s="10" t="s">
        <v>401</v>
      </c>
      <c r="B12" s="10" t="s">
        <v>358</v>
      </c>
      <c r="C12" s="124">
        <v>46324</v>
      </c>
      <c r="D12" s="124" t="s">
        <v>471</v>
      </c>
      <c r="E12" s="21">
        <v>1</v>
      </c>
      <c r="F12" s="10"/>
      <c r="G12" s="14">
        <v>20000000</v>
      </c>
      <c r="H12" s="14">
        <v>20000000</v>
      </c>
      <c r="I12" s="14">
        <v>20000000</v>
      </c>
      <c r="J12" s="14">
        <v>20000000</v>
      </c>
      <c r="K12" s="12">
        <v>22803</v>
      </c>
      <c r="L12" s="10" t="s">
        <v>101</v>
      </c>
      <c r="M12" s="10" t="s">
        <v>102</v>
      </c>
      <c r="N12" s="124" t="s">
        <v>577</v>
      </c>
      <c r="O12" s="124" t="s">
        <v>577</v>
      </c>
      <c r="P12" s="21">
        <v>26</v>
      </c>
      <c r="Q12" s="10" t="s">
        <v>54</v>
      </c>
      <c r="R12" s="10" t="s">
        <v>28</v>
      </c>
      <c r="S12" s="10"/>
      <c r="T12" s="10"/>
      <c r="U12" s="10" t="s">
        <v>2448</v>
      </c>
      <c r="V12" s="10" t="s">
        <v>2448</v>
      </c>
      <c r="W12" s="50">
        <f>+J12/$W$2</f>
        <v>2.447729151820336E-4</v>
      </c>
    </row>
    <row r="13" spans="1:23">
      <c r="A13" s="10" t="s">
        <v>401</v>
      </c>
      <c r="B13" s="10" t="s">
        <v>358</v>
      </c>
      <c r="C13" s="124">
        <v>46324</v>
      </c>
      <c r="D13" s="124" t="s">
        <v>471</v>
      </c>
      <c r="E13" s="21">
        <v>1</v>
      </c>
      <c r="F13" s="10"/>
      <c r="G13" s="14">
        <v>2500000</v>
      </c>
      <c r="H13" s="14">
        <v>2500000</v>
      </c>
      <c r="I13" s="14">
        <v>2500000</v>
      </c>
      <c r="J13" s="14">
        <v>2500000</v>
      </c>
      <c r="K13" s="12">
        <v>90031823</v>
      </c>
      <c r="L13" s="10" t="s">
        <v>101</v>
      </c>
      <c r="M13" s="10" t="s">
        <v>102</v>
      </c>
      <c r="N13" s="124" t="s">
        <v>274</v>
      </c>
      <c r="O13" s="124" t="s">
        <v>274</v>
      </c>
      <c r="P13" s="21">
        <v>28</v>
      </c>
      <c r="Q13" s="10" t="s">
        <v>54</v>
      </c>
      <c r="R13" s="10" t="s">
        <v>28</v>
      </c>
      <c r="S13" s="10"/>
      <c r="T13" s="10"/>
      <c r="U13" s="10" t="s">
        <v>470</v>
      </c>
      <c r="V13" s="10" t="s">
        <v>470</v>
      </c>
      <c r="W13" s="50">
        <f>+J13/$W$2</f>
        <v>3.05966143977542E-5</v>
      </c>
    </row>
    <row r="14" spans="1:23">
      <c r="A14" s="10" t="s">
        <v>2016</v>
      </c>
      <c r="B14" s="10" t="s">
        <v>358</v>
      </c>
      <c r="C14" s="124">
        <v>46324</v>
      </c>
      <c r="D14" s="124" t="s">
        <v>471</v>
      </c>
      <c r="E14" s="21">
        <v>1</v>
      </c>
      <c r="F14" s="10"/>
      <c r="G14" s="14">
        <v>1572269.73</v>
      </c>
      <c r="H14" s="14">
        <v>1572269.73</v>
      </c>
      <c r="I14" s="14">
        <v>1572269.73</v>
      </c>
      <c r="J14" s="14">
        <v>1572269.73</v>
      </c>
      <c r="K14" s="12">
        <v>22513</v>
      </c>
      <c r="L14" s="10" t="s">
        <v>101</v>
      </c>
      <c r="M14" s="10" t="s">
        <v>102</v>
      </c>
      <c r="N14" s="124" t="s">
        <v>477</v>
      </c>
      <c r="O14" s="124" t="s">
        <v>477</v>
      </c>
      <c r="P14" s="21">
        <v>26</v>
      </c>
      <c r="Q14" s="10" t="s">
        <v>54</v>
      </c>
      <c r="R14" s="10" t="s">
        <v>28</v>
      </c>
      <c r="S14" s="10"/>
      <c r="T14" s="10"/>
      <c r="U14" s="10" t="s">
        <v>2381</v>
      </c>
      <c r="V14" s="10" t="s">
        <v>2381</v>
      </c>
      <c r="W14" s="50">
        <f>+J14/$W$2</f>
        <v>1.9242452263228444E-5</v>
      </c>
    </row>
    <row r="15" spans="1:23">
      <c r="A15" s="10" t="s">
        <v>1425</v>
      </c>
      <c r="B15" s="10" t="s">
        <v>358</v>
      </c>
      <c r="C15" s="124">
        <v>46324</v>
      </c>
      <c r="D15" s="124" t="s">
        <v>471</v>
      </c>
      <c r="E15" s="21">
        <v>1</v>
      </c>
      <c r="F15" s="10"/>
      <c r="G15" s="14">
        <v>6535955.1900000004</v>
      </c>
      <c r="H15" s="14">
        <v>6535955.1900000004</v>
      </c>
      <c r="I15" s="14">
        <v>6535955.1900000004</v>
      </c>
      <c r="J15" s="14">
        <v>6535955.1900000004</v>
      </c>
      <c r="K15" s="12">
        <v>30000338</v>
      </c>
      <c r="L15" s="10" t="s">
        <v>101</v>
      </c>
      <c r="M15" s="10" t="s">
        <v>102</v>
      </c>
      <c r="N15" s="124" t="s">
        <v>391</v>
      </c>
      <c r="O15" s="124" t="s">
        <v>391</v>
      </c>
      <c r="P15" s="21">
        <v>32</v>
      </c>
      <c r="Q15" s="10" t="s">
        <v>54</v>
      </c>
      <c r="R15" s="10" t="s">
        <v>28</v>
      </c>
      <c r="S15" s="10"/>
      <c r="T15" s="10"/>
      <c r="U15" s="10" t="s">
        <v>1404</v>
      </c>
      <c r="V15" s="10" t="s">
        <v>1404</v>
      </c>
      <c r="W15" s="50">
        <f>+J15/$W$2</f>
        <v>7.9991240267772123E-5</v>
      </c>
    </row>
    <row r="16" spans="1:23">
      <c r="A16" s="10" t="s">
        <v>1604</v>
      </c>
      <c r="B16" s="10" t="s">
        <v>358</v>
      </c>
      <c r="C16" s="124">
        <v>46324</v>
      </c>
      <c r="D16" s="124" t="s">
        <v>471</v>
      </c>
      <c r="E16" s="21">
        <v>1</v>
      </c>
      <c r="F16" s="10"/>
      <c r="G16" s="14">
        <v>1330000</v>
      </c>
      <c r="H16" s="14">
        <v>1330000</v>
      </c>
      <c r="I16" s="14">
        <v>1330000</v>
      </c>
      <c r="J16" s="14">
        <v>1330000</v>
      </c>
      <c r="K16" s="12">
        <v>69652334</v>
      </c>
      <c r="L16" s="10" t="s">
        <v>101</v>
      </c>
      <c r="M16" s="10" t="s">
        <v>102</v>
      </c>
      <c r="N16" s="124" t="s">
        <v>487</v>
      </c>
      <c r="O16" s="124" t="s">
        <v>487</v>
      </c>
      <c r="P16" s="21">
        <v>30</v>
      </c>
      <c r="Q16" s="10" t="s">
        <v>54</v>
      </c>
      <c r="R16" s="10" t="s">
        <v>28</v>
      </c>
      <c r="S16" s="10"/>
      <c r="T16" s="10"/>
      <c r="U16" s="10" t="s">
        <v>1590</v>
      </c>
      <c r="V16" s="10" t="s">
        <v>1590</v>
      </c>
      <c r="W16" s="50">
        <f>+J16/$W$2</f>
        <v>1.6277398859605233E-5</v>
      </c>
    </row>
    <row r="17" spans="1:29">
      <c r="A17" s="10" t="s">
        <v>2758</v>
      </c>
      <c r="B17" s="10" t="s">
        <v>358</v>
      </c>
      <c r="C17" s="124">
        <v>46324</v>
      </c>
      <c r="D17" s="124" t="s">
        <v>471</v>
      </c>
      <c r="E17" s="21">
        <v>1</v>
      </c>
      <c r="F17" s="10"/>
      <c r="G17" s="14">
        <v>300694.57</v>
      </c>
      <c r="H17" s="14">
        <v>300694.57</v>
      </c>
      <c r="I17" s="14">
        <v>300694.57</v>
      </c>
      <c r="J17" s="14">
        <v>300694.57</v>
      </c>
      <c r="K17" s="12">
        <v>40954177</v>
      </c>
      <c r="L17" s="10" t="s">
        <v>101</v>
      </c>
      <c r="M17" s="10" t="s">
        <v>102</v>
      </c>
      <c r="N17" s="124" t="s">
        <v>417</v>
      </c>
      <c r="O17" s="124" t="s">
        <v>417</v>
      </c>
      <c r="P17" s="21">
        <v>27.99</v>
      </c>
      <c r="Q17" s="10" t="s">
        <v>54</v>
      </c>
      <c r="R17" s="10" t="s">
        <v>28</v>
      </c>
      <c r="S17" s="10"/>
      <c r="T17" s="10"/>
      <c r="U17" s="10" t="s">
        <v>3190</v>
      </c>
      <c r="V17" s="10" t="s">
        <v>3190</v>
      </c>
      <c r="W17" s="50">
        <f>+J17/$W$2</f>
        <v>3.6800943239154033E-6</v>
      </c>
    </row>
    <row r="18" spans="1:29">
      <c r="A18" s="10" t="s">
        <v>334</v>
      </c>
      <c r="B18" s="10" t="s">
        <v>358</v>
      </c>
      <c r="C18" s="124">
        <v>46324</v>
      </c>
      <c r="D18" s="124" t="s">
        <v>471</v>
      </c>
      <c r="E18" s="21">
        <v>1</v>
      </c>
      <c r="F18" s="10"/>
      <c r="G18" s="14">
        <v>2510000.36</v>
      </c>
      <c r="H18" s="14">
        <v>2510000.36</v>
      </c>
      <c r="I18" s="14">
        <v>2510000.36</v>
      </c>
      <c r="J18" s="14">
        <v>2510000.36</v>
      </c>
      <c r="K18" s="12">
        <v>3153</v>
      </c>
      <c r="L18" s="10" t="s">
        <v>101</v>
      </c>
      <c r="M18" s="10" t="s">
        <v>102</v>
      </c>
      <c r="N18" s="124" t="s">
        <v>477</v>
      </c>
      <c r="O18" s="124" t="s">
        <v>477</v>
      </c>
      <c r="P18" s="21">
        <v>35</v>
      </c>
      <c r="Q18" s="10" t="s">
        <v>54</v>
      </c>
      <c r="R18" s="10" t="s">
        <v>28</v>
      </c>
      <c r="S18" s="10"/>
      <c r="T18" s="10"/>
      <c r="U18" s="10" t="s">
        <v>2412</v>
      </c>
      <c r="V18" s="10" t="s">
        <v>2412</v>
      </c>
      <c r="W18" s="50">
        <f>+J18/$W$2</f>
        <v>3.0719005261257686E-5</v>
      </c>
    </row>
    <row r="19" spans="1:29">
      <c r="A19" s="10" t="s">
        <v>947</v>
      </c>
      <c r="B19" s="10" t="s">
        <v>358</v>
      </c>
      <c r="C19" s="124">
        <v>46324</v>
      </c>
      <c r="D19" s="124" t="s">
        <v>471</v>
      </c>
      <c r="E19" s="21">
        <v>1</v>
      </c>
      <c r="F19" s="10"/>
      <c r="G19" s="14">
        <v>5225722</v>
      </c>
      <c r="H19" s="14">
        <v>5225722</v>
      </c>
      <c r="I19" s="14">
        <v>5225722</v>
      </c>
      <c r="J19" s="14">
        <v>5225722</v>
      </c>
      <c r="K19" s="12">
        <v>3176</v>
      </c>
      <c r="L19" s="10" t="s">
        <v>101</v>
      </c>
      <c r="M19" s="10" t="s">
        <v>102</v>
      </c>
      <c r="N19" s="124" t="s">
        <v>485</v>
      </c>
      <c r="O19" s="124" t="s">
        <v>485</v>
      </c>
      <c r="P19" s="21">
        <v>28</v>
      </c>
      <c r="Q19" s="10" t="s">
        <v>54</v>
      </c>
      <c r="R19" s="10" t="s">
        <v>28</v>
      </c>
      <c r="S19" s="10"/>
      <c r="T19" s="10"/>
      <c r="U19" s="10" t="s">
        <v>939</v>
      </c>
      <c r="V19" s="10" t="s">
        <v>939</v>
      </c>
      <c r="W19" s="50">
        <f>+J19/$W$2</f>
        <v>6.3955760393544347E-5</v>
      </c>
    </row>
    <row r="20" spans="1:29">
      <c r="A20" s="10" t="s">
        <v>947</v>
      </c>
      <c r="B20" s="10" t="s">
        <v>358</v>
      </c>
      <c r="C20" s="124">
        <v>46324</v>
      </c>
      <c r="D20" s="124" t="s">
        <v>471</v>
      </c>
      <c r="E20" s="21">
        <v>1</v>
      </c>
      <c r="F20" s="10"/>
      <c r="G20" s="14">
        <v>5444206</v>
      </c>
      <c r="H20" s="14">
        <v>5444206</v>
      </c>
      <c r="I20" s="14">
        <v>5444206</v>
      </c>
      <c r="J20" s="14">
        <v>5444206</v>
      </c>
      <c r="K20" s="12">
        <v>3442</v>
      </c>
      <c r="L20" s="10" t="s">
        <v>101</v>
      </c>
      <c r="M20" s="10" t="s">
        <v>102</v>
      </c>
      <c r="N20" s="124" t="s">
        <v>373</v>
      </c>
      <c r="O20" s="124" t="s">
        <v>373</v>
      </c>
      <c r="P20" s="21">
        <v>32</v>
      </c>
      <c r="Q20" s="10" t="s">
        <v>54</v>
      </c>
      <c r="R20" s="10" t="s">
        <v>28</v>
      </c>
      <c r="S20" s="10"/>
      <c r="T20" s="10"/>
      <c r="U20" s="10" t="s">
        <v>1165</v>
      </c>
      <c r="V20" s="10" t="s">
        <v>1165</v>
      </c>
      <c r="W20" s="50">
        <f>+J20/$W$2</f>
        <v>6.6629708673575919E-5</v>
      </c>
    </row>
    <row r="21" spans="1:29">
      <c r="A21" s="10" t="s">
        <v>994</v>
      </c>
      <c r="B21" s="10" t="s">
        <v>358</v>
      </c>
      <c r="C21" s="124">
        <v>46324</v>
      </c>
      <c r="D21" s="124" t="s">
        <v>471</v>
      </c>
      <c r="E21" s="21">
        <v>1</v>
      </c>
      <c r="F21" s="10"/>
      <c r="G21" s="14">
        <v>7000000</v>
      </c>
      <c r="H21" s="14">
        <v>7000000</v>
      </c>
      <c r="I21" s="14">
        <v>7000000</v>
      </c>
      <c r="J21" s="14">
        <v>7000000</v>
      </c>
      <c r="K21" s="12">
        <v>69017468</v>
      </c>
      <c r="L21" s="10" t="s">
        <v>101</v>
      </c>
      <c r="M21" s="10" t="s">
        <v>102</v>
      </c>
      <c r="N21" s="124" t="s">
        <v>442</v>
      </c>
      <c r="O21" s="124" t="s">
        <v>442</v>
      </c>
      <c r="P21" s="21">
        <v>34</v>
      </c>
      <c r="Q21" s="10" t="s">
        <v>54</v>
      </c>
      <c r="R21" s="10" t="s">
        <v>28</v>
      </c>
      <c r="S21" s="10"/>
      <c r="T21" s="10"/>
      <c r="U21" s="10" t="s">
        <v>993</v>
      </c>
      <c r="V21" s="10" t="s">
        <v>993</v>
      </c>
      <c r="W21" s="50">
        <f>+J21/$W$2</f>
        <v>8.5670520313711765E-5</v>
      </c>
    </row>
    <row r="22" spans="1:29">
      <c r="A22" s="10" t="s">
        <v>1368</v>
      </c>
      <c r="B22" s="10" t="s">
        <v>358</v>
      </c>
      <c r="C22" s="124">
        <v>46324</v>
      </c>
      <c r="D22" s="124" t="s">
        <v>471</v>
      </c>
      <c r="E22" s="21">
        <v>1</v>
      </c>
      <c r="F22" s="10"/>
      <c r="G22" s="14">
        <v>1234401.02</v>
      </c>
      <c r="H22" s="14">
        <v>1234401.02</v>
      </c>
      <c r="I22" s="14">
        <v>1234401.02</v>
      </c>
      <c r="J22" s="14">
        <v>1234401.02</v>
      </c>
      <c r="K22" s="12">
        <v>788</v>
      </c>
      <c r="L22" s="10" t="s">
        <v>101</v>
      </c>
      <c r="M22" s="10" t="s">
        <v>102</v>
      </c>
      <c r="N22" s="124" t="s">
        <v>365</v>
      </c>
      <c r="O22" s="124" t="s">
        <v>365</v>
      </c>
      <c r="P22" s="21">
        <v>31</v>
      </c>
      <c r="Q22" s="10" t="s">
        <v>54</v>
      </c>
      <c r="R22" s="10" t="s">
        <v>28</v>
      </c>
      <c r="S22" s="10"/>
      <c r="T22" s="10"/>
      <c r="U22" s="10" t="s">
        <v>1353</v>
      </c>
      <c r="V22" s="10" t="s">
        <v>1353</v>
      </c>
      <c r="W22" s="50">
        <f>+J22/$W$2</f>
        <v>1.5107396808453788E-5</v>
      </c>
      <c r="AC22" s="47"/>
    </row>
    <row r="23" spans="1:29">
      <c r="A23" s="10" t="s">
        <v>506</v>
      </c>
      <c r="B23" s="10" t="s">
        <v>358</v>
      </c>
      <c r="C23" s="124">
        <v>46324</v>
      </c>
      <c r="D23" s="124" t="s">
        <v>471</v>
      </c>
      <c r="E23" s="21">
        <v>1</v>
      </c>
      <c r="F23" s="10"/>
      <c r="G23" s="14">
        <v>50000000</v>
      </c>
      <c r="H23" s="14">
        <v>50000000</v>
      </c>
      <c r="I23" s="14">
        <v>50000000</v>
      </c>
      <c r="J23" s="14">
        <v>50000000</v>
      </c>
      <c r="K23" s="12">
        <v>68035</v>
      </c>
      <c r="L23" s="10" t="s">
        <v>101</v>
      </c>
      <c r="M23" s="10" t="s">
        <v>102</v>
      </c>
      <c r="N23" s="124" t="s">
        <v>310</v>
      </c>
      <c r="O23" s="124" t="s">
        <v>310</v>
      </c>
      <c r="P23" s="21">
        <v>28</v>
      </c>
      <c r="Q23" s="10" t="s">
        <v>54</v>
      </c>
      <c r="R23" s="10" t="s">
        <v>28</v>
      </c>
      <c r="S23" s="10"/>
      <c r="T23" s="10"/>
      <c r="U23" s="10" t="s">
        <v>998</v>
      </c>
      <c r="V23" s="10" t="s">
        <v>998</v>
      </c>
      <c r="W23" s="50">
        <f>+J23/$W$2</f>
        <v>6.1193228795508397E-4</v>
      </c>
    </row>
    <row r="24" spans="1:29">
      <c r="A24" s="10" t="s">
        <v>944</v>
      </c>
      <c r="B24" s="10" t="s">
        <v>358</v>
      </c>
      <c r="C24" s="124">
        <v>46324</v>
      </c>
      <c r="D24" s="124" t="s">
        <v>471</v>
      </c>
      <c r="E24" s="21">
        <v>1</v>
      </c>
      <c r="F24" s="10"/>
      <c r="G24" s="14">
        <v>13560000</v>
      </c>
      <c r="H24" s="14">
        <v>13560000</v>
      </c>
      <c r="I24" s="14">
        <v>13560000</v>
      </c>
      <c r="J24" s="14">
        <v>13560000</v>
      </c>
      <c r="K24" s="12">
        <v>10881213</v>
      </c>
      <c r="L24" s="10" t="s">
        <v>101</v>
      </c>
      <c r="M24" s="10" t="s">
        <v>102</v>
      </c>
      <c r="N24" s="124" t="s">
        <v>162</v>
      </c>
      <c r="O24" s="124" t="s">
        <v>162</v>
      </c>
      <c r="P24" s="21">
        <v>31</v>
      </c>
      <c r="Q24" s="10" t="s">
        <v>54</v>
      </c>
      <c r="R24" s="10" t="s">
        <v>28</v>
      </c>
      <c r="S24" s="10"/>
      <c r="T24" s="10"/>
      <c r="U24" s="10" t="s">
        <v>1306</v>
      </c>
      <c r="V24" s="10" t="s">
        <v>1306</v>
      </c>
      <c r="W24" s="50">
        <f>+J24/$W$2</f>
        <v>1.6595603649341878E-4</v>
      </c>
    </row>
    <row r="25" spans="1:29">
      <c r="A25" s="10" t="s">
        <v>364</v>
      </c>
      <c r="B25" s="10" t="s">
        <v>358</v>
      </c>
      <c r="C25" s="124">
        <v>46324</v>
      </c>
      <c r="D25" s="124" t="s">
        <v>471</v>
      </c>
      <c r="E25" s="21">
        <v>1</v>
      </c>
      <c r="F25" s="10"/>
      <c r="G25" s="14">
        <v>10655603.279999999</v>
      </c>
      <c r="H25" s="14">
        <v>10655603.279999999</v>
      </c>
      <c r="I25" s="14">
        <v>10655603.279999999</v>
      </c>
      <c r="J25" s="14">
        <v>10655603.279999999</v>
      </c>
      <c r="K25" s="12">
        <v>30832</v>
      </c>
      <c r="L25" s="10" t="s">
        <v>101</v>
      </c>
      <c r="M25" s="10" t="s">
        <v>102</v>
      </c>
      <c r="N25" s="124" t="s">
        <v>371</v>
      </c>
      <c r="O25" s="124" t="s">
        <v>371</v>
      </c>
      <c r="P25" s="21">
        <v>32</v>
      </c>
      <c r="Q25" s="10" t="s">
        <v>54</v>
      </c>
      <c r="R25" s="10" t="s">
        <v>28</v>
      </c>
      <c r="S25" s="10"/>
      <c r="T25" s="10"/>
      <c r="U25" s="10" t="s">
        <v>688</v>
      </c>
      <c r="V25" s="10" t="s">
        <v>688</v>
      </c>
      <c r="W25" s="50">
        <f>+J25/$W$2</f>
        <v>1.3041015389344193E-4</v>
      </c>
    </row>
    <row r="26" spans="1:29">
      <c r="A26" s="10" t="s">
        <v>520</v>
      </c>
      <c r="B26" s="10" t="s">
        <v>358</v>
      </c>
      <c r="C26" s="124">
        <v>46324</v>
      </c>
      <c r="D26" s="124" t="s">
        <v>471</v>
      </c>
      <c r="E26" s="21">
        <v>1</v>
      </c>
      <c r="F26" s="10"/>
      <c r="G26" s="14">
        <v>3750000</v>
      </c>
      <c r="H26" s="14">
        <v>3750000</v>
      </c>
      <c r="I26" s="14">
        <v>3750000</v>
      </c>
      <c r="J26" s="14">
        <v>3750000</v>
      </c>
      <c r="K26" s="12">
        <v>66918205</v>
      </c>
      <c r="L26" s="10" t="s">
        <v>101</v>
      </c>
      <c r="M26" s="10" t="s">
        <v>102</v>
      </c>
      <c r="N26" s="124" t="s">
        <v>296</v>
      </c>
      <c r="O26" s="124" t="s">
        <v>296</v>
      </c>
      <c r="P26" s="21">
        <v>39</v>
      </c>
      <c r="Q26" s="10" t="s">
        <v>54</v>
      </c>
      <c r="R26" s="10" t="s">
        <v>28</v>
      </c>
      <c r="S26" s="10"/>
      <c r="T26" s="10"/>
      <c r="U26" s="10" t="s">
        <v>518</v>
      </c>
      <c r="V26" s="10" t="s">
        <v>518</v>
      </c>
      <c r="W26" s="50">
        <f>+J26/$W$2</f>
        <v>4.5894921596631296E-5</v>
      </c>
      <c r="AC26" s="47"/>
    </row>
    <row r="27" spans="1:29">
      <c r="A27" s="10" t="s">
        <v>563</v>
      </c>
      <c r="B27" s="10" t="s">
        <v>358</v>
      </c>
      <c r="C27" s="124">
        <v>46324</v>
      </c>
      <c r="D27" s="124" t="s">
        <v>471</v>
      </c>
      <c r="E27" s="21">
        <v>1</v>
      </c>
      <c r="F27" s="10"/>
      <c r="G27" s="14">
        <v>362000000</v>
      </c>
      <c r="H27" s="14">
        <v>362000000</v>
      </c>
      <c r="I27" s="14">
        <v>362000000</v>
      </c>
      <c r="J27" s="14">
        <v>362000000</v>
      </c>
      <c r="K27" s="12">
        <v>159275</v>
      </c>
      <c r="L27" s="10" t="s">
        <v>101</v>
      </c>
      <c r="M27" s="10" t="s">
        <v>102</v>
      </c>
      <c r="N27" s="124" t="s">
        <v>378</v>
      </c>
      <c r="O27" s="124" t="s">
        <v>378</v>
      </c>
      <c r="P27" s="21">
        <v>18</v>
      </c>
      <c r="Q27" s="10" t="s">
        <v>54</v>
      </c>
      <c r="R27" s="10" t="s">
        <v>28</v>
      </c>
      <c r="S27" s="10"/>
      <c r="T27" s="10"/>
      <c r="U27" s="10" t="s">
        <v>874</v>
      </c>
      <c r="V27" s="10" t="s">
        <v>874</v>
      </c>
      <c r="W27" s="50">
        <f>+J27/$W$2</f>
        <v>4.4303897647948081E-3</v>
      </c>
    </row>
    <row r="28" spans="1:29">
      <c r="A28" s="10" t="s">
        <v>582</v>
      </c>
      <c r="B28" s="10" t="s">
        <v>358</v>
      </c>
      <c r="C28" s="124">
        <v>46324</v>
      </c>
      <c r="D28" s="124" t="s">
        <v>471</v>
      </c>
      <c r="E28" s="21">
        <v>1</v>
      </c>
      <c r="F28" s="10"/>
      <c r="G28" s="14">
        <v>15000000</v>
      </c>
      <c r="H28" s="14">
        <v>15000000</v>
      </c>
      <c r="I28" s="14">
        <v>15000000</v>
      </c>
      <c r="J28" s="14">
        <v>15000000</v>
      </c>
      <c r="K28" s="12">
        <v>67448999</v>
      </c>
      <c r="L28" s="10" t="s">
        <v>101</v>
      </c>
      <c r="M28" s="10" t="s">
        <v>102</v>
      </c>
      <c r="N28" s="124" t="s">
        <v>288</v>
      </c>
      <c r="O28" s="124" t="s">
        <v>288</v>
      </c>
      <c r="P28" s="21">
        <v>32</v>
      </c>
      <c r="Q28" s="10" t="s">
        <v>54</v>
      </c>
      <c r="R28" s="10" t="s">
        <v>28</v>
      </c>
      <c r="S28" s="10"/>
      <c r="T28" s="10"/>
      <c r="U28" s="10" t="s">
        <v>581</v>
      </c>
      <c r="V28" s="10" t="s">
        <v>581</v>
      </c>
      <c r="W28" s="50">
        <f>+J28/$W$2</f>
        <v>1.8357968638652518E-4</v>
      </c>
    </row>
    <row r="29" spans="1:29">
      <c r="A29" s="10" t="s">
        <v>2667</v>
      </c>
      <c r="B29" s="10" t="s">
        <v>358</v>
      </c>
      <c r="C29" s="124">
        <v>46324</v>
      </c>
      <c r="D29" s="124" t="s">
        <v>471</v>
      </c>
      <c r="E29" s="21">
        <v>1</v>
      </c>
      <c r="F29" s="10"/>
      <c r="G29" s="14">
        <v>3388376.86</v>
      </c>
      <c r="H29" s="14">
        <v>3388376.86</v>
      </c>
      <c r="I29" s="14">
        <v>3388376.86</v>
      </c>
      <c r="J29" s="14">
        <v>3388376.86</v>
      </c>
      <c r="K29" s="12">
        <v>10123</v>
      </c>
      <c r="L29" s="10" t="s">
        <v>101</v>
      </c>
      <c r="M29" s="10" t="s">
        <v>102</v>
      </c>
      <c r="N29" s="124" t="s">
        <v>603</v>
      </c>
      <c r="O29" s="124" t="s">
        <v>603</v>
      </c>
      <c r="P29" s="21">
        <v>31</v>
      </c>
      <c r="Q29" s="10" t="s">
        <v>54</v>
      </c>
      <c r="R29" s="10" t="s">
        <v>28</v>
      </c>
      <c r="S29" s="10"/>
      <c r="T29" s="10"/>
      <c r="U29" s="10" t="s">
        <v>2635</v>
      </c>
      <c r="V29" s="10" t="s">
        <v>2635</v>
      </c>
      <c r="W29" s="50">
        <f>+J29/$W$2</f>
        <v>4.1469144087877262E-5</v>
      </c>
    </row>
    <row r="30" spans="1:29">
      <c r="A30" s="10" t="s">
        <v>2667</v>
      </c>
      <c r="B30" s="10" t="s">
        <v>358</v>
      </c>
      <c r="C30" s="124">
        <v>46324</v>
      </c>
      <c r="D30" s="124" t="s">
        <v>471</v>
      </c>
      <c r="E30" s="21">
        <v>1</v>
      </c>
      <c r="F30" s="10"/>
      <c r="G30" s="14">
        <v>2802160.1</v>
      </c>
      <c r="H30" s="14">
        <v>2802160.1</v>
      </c>
      <c r="I30" s="14">
        <v>2802160.1</v>
      </c>
      <c r="J30" s="14">
        <v>2802160.1</v>
      </c>
      <c r="K30" s="12">
        <v>10147</v>
      </c>
      <c r="L30" s="10" t="s">
        <v>101</v>
      </c>
      <c r="M30" s="10" t="s">
        <v>102</v>
      </c>
      <c r="N30" s="124" t="s">
        <v>603</v>
      </c>
      <c r="O30" s="124" t="s">
        <v>603</v>
      </c>
      <c r="P30" s="21">
        <v>31</v>
      </c>
      <c r="Q30" s="10" t="s">
        <v>54</v>
      </c>
      <c r="R30" s="10" t="s">
        <v>28</v>
      </c>
      <c r="S30" s="10"/>
      <c r="T30" s="10"/>
      <c r="U30" s="10" t="s">
        <v>2636</v>
      </c>
      <c r="V30" s="10" t="s">
        <v>2636</v>
      </c>
      <c r="W30" s="50">
        <f>+J30/$W$2</f>
        <v>3.4294644824188939E-5</v>
      </c>
    </row>
    <row r="31" spans="1:29">
      <c r="A31" s="10" t="s">
        <v>2667</v>
      </c>
      <c r="B31" s="10" t="s">
        <v>358</v>
      </c>
      <c r="C31" s="124">
        <v>46324</v>
      </c>
      <c r="D31" s="124" t="s">
        <v>471</v>
      </c>
      <c r="E31" s="21">
        <v>1</v>
      </c>
      <c r="F31" s="10"/>
      <c r="G31" s="14">
        <v>3200000</v>
      </c>
      <c r="H31" s="14">
        <v>3200000</v>
      </c>
      <c r="I31" s="14">
        <v>3200000</v>
      </c>
      <c r="J31" s="14">
        <v>3200000</v>
      </c>
      <c r="K31" s="12">
        <v>10122</v>
      </c>
      <c r="L31" s="10" t="s">
        <v>101</v>
      </c>
      <c r="M31" s="10" t="s">
        <v>102</v>
      </c>
      <c r="N31" s="124" t="s">
        <v>603</v>
      </c>
      <c r="O31" s="124" t="s">
        <v>603</v>
      </c>
      <c r="P31" s="21">
        <v>31</v>
      </c>
      <c r="Q31" s="10" t="s">
        <v>54</v>
      </c>
      <c r="R31" s="10" t="s">
        <v>28</v>
      </c>
      <c r="S31" s="10"/>
      <c r="T31" s="10"/>
      <c r="U31" s="10" t="s">
        <v>2637</v>
      </c>
      <c r="V31" s="10" t="s">
        <v>2637</v>
      </c>
      <c r="W31" s="50">
        <f>+J31/$W$2</f>
        <v>3.9163666429125376E-5</v>
      </c>
    </row>
    <row r="32" spans="1:29">
      <c r="A32" s="10" t="s">
        <v>583</v>
      </c>
      <c r="B32" s="10" t="s">
        <v>358</v>
      </c>
      <c r="C32" s="124">
        <v>46324</v>
      </c>
      <c r="D32" s="124" t="s">
        <v>471</v>
      </c>
      <c r="E32" s="21">
        <v>1</v>
      </c>
      <c r="F32" s="10"/>
      <c r="G32" s="14">
        <v>580000000</v>
      </c>
      <c r="H32" s="14">
        <v>580000000</v>
      </c>
      <c r="I32" s="14">
        <v>580000000</v>
      </c>
      <c r="J32" s="14">
        <v>580000000</v>
      </c>
      <c r="K32" s="12">
        <v>166485</v>
      </c>
      <c r="L32" s="10" t="s">
        <v>101</v>
      </c>
      <c r="M32" s="10" t="s">
        <v>102</v>
      </c>
      <c r="N32" s="124" t="s">
        <v>477</v>
      </c>
      <c r="O32" s="124" t="s">
        <v>477</v>
      </c>
      <c r="P32" s="21">
        <v>38</v>
      </c>
      <c r="Q32" s="10" t="s">
        <v>54</v>
      </c>
      <c r="R32" s="10" t="s">
        <v>28</v>
      </c>
      <c r="S32" s="10"/>
      <c r="T32" s="10"/>
      <c r="U32" s="10" t="s">
        <v>2377</v>
      </c>
      <c r="V32" s="10" t="s">
        <v>2377</v>
      </c>
      <c r="W32" s="50">
        <f>+J32/$W$2</f>
        <v>7.0984145402789743E-3</v>
      </c>
      <c r="AC32" s="47"/>
    </row>
    <row r="33" spans="1:29">
      <c r="A33" s="10" t="s">
        <v>132</v>
      </c>
      <c r="B33" s="10" t="s">
        <v>358</v>
      </c>
      <c r="C33" s="124">
        <v>46324</v>
      </c>
      <c r="D33" s="124" t="s">
        <v>471</v>
      </c>
      <c r="E33" s="21">
        <v>1</v>
      </c>
      <c r="F33" s="10"/>
      <c r="G33" s="14">
        <v>90000000</v>
      </c>
      <c r="H33" s="14">
        <v>90000000</v>
      </c>
      <c r="I33" s="14">
        <v>90000000</v>
      </c>
      <c r="J33" s="14">
        <v>90000000</v>
      </c>
      <c r="K33" s="12">
        <v>922</v>
      </c>
      <c r="L33" s="10" t="s">
        <v>101</v>
      </c>
      <c r="M33" s="10" t="s">
        <v>102</v>
      </c>
      <c r="N33" s="124" t="s">
        <v>486</v>
      </c>
      <c r="O33" s="124" t="s">
        <v>486</v>
      </c>
      <c r="P33" s="21">
        <v>33</v>
      </c>
      <c r="Q33" s="10" t="s">
        <v>54</v>
      </c>
      <c r="R33" s="10" t="s">
        <v>28</v>
      </c>
      <c r="S33" s="10"/>
      <c r="T33" s="10"/>
      <c r="U33" s="10" t="s">
        <v>1469</v>
      </c>
      <c r="V33" s="10" t="s">
        <v>1469</v>
      </c>
      <c r="W33" s="50">
        <f>+J33/$W$2</f>
        <v>1.1014781183191513E-3</v>
      </c>
      <c r="AC33" s="47"/>
    </row>
    <row r="34" spans="1:29">
      <c r="A34" s="10" t="s">
        <v>393</v>
      </c>
      <c r="B34" s="10" t="s">
        <v>358</v>
      </c>
      <c r="C34" s="124">
        <v>46324</v>
      </c>
      <c r="D34" s="124" t="s">
        <v>471</v>
      </c>
      <c r="E34" s="21">
        <v>1</v>
      </c>
      <c r="F34" s="10"/>
      <c r="G34" s="14">
        <v>4549416.66</v>
      </c>
      <c r="H34" s="14">
        <v>4549416.66</v>
      </c>
      <c r="I34" s="14">
        <v>4549416.66</v>
      </c>
      <c r="J34" s="14">
        <v>4549416.66</v>
      </c>
      <c r="K34" s="12">
        <v>50456547</v>
      </c>
      <c r="L34" s="10" t="s">
        <v>101</v>
      </c>
      <c r="M34" s="10" t="s">
        <v>102</v>
      </c>
      <c r="N34" s="124" t="s">
        <v>311</v>
      </c>
      <c r="O34" s="124" t="s">
        <v>311</v>
      </c>
      <c r="P34" s="21">
        <v>34</v>
      </c>
      <c r="Q34" s="10" t="s">
        <v>54</v>
      </c>
      <c r="R34" s="10" t="s">
        <v>28</v>
      </c>
      <c r="S34" s="10"/>
      <c r="T34" s="10"/>
      <c r="U34" s="10" t="s">
        <v>697</v>
      </c>
      <c r="V34" s="10" t="s">
        <v>697</v>
      </c>
      <c r="W34" s="50">
        <f>+J34/$W$2</f>
        <v>5.5678698912295529E-5</v>
      </c>
      <c r="AC34" s="47"/>
    </row>
    <row r="35" spans="1:29">
      <c r="A35" s="10" t="s">
        <v>184</v>
      </c>
      <c r="B35" s="10" t="s">
        <v>358</v>
      </c>
      <c r="C35" s="124">
        <v>46324</v>
      </c>
      <c r="D35" s="124" t="s">
        <v>471</v>
      </c>
      <c r="E35" s="21">
        <v>1</v>
      </c>
      <c r="F35" s="10"/>
      <c r="G35" s="14">
        <v>10000000</v>
      </c>
      <c r="H35" s="14">
        <v>10000000</v>
      </c>
      <c r="I35" s="14">
        <v>10000000</v>
      </c>
      <c r="J35" s="14">
        <v>10000000</v>
      </c>
      <c r="K35" s="12">
        <v>16854861</v>
      </c>
      <c r="L35" s="10" t="s">
        <v>101</v>
      </c>
      <c r="M35" s="10" t="s">
        <v>102</v>
      </c>
      <c r="N35" s="124" t="s">
        <v>365</v>
      </c>
      <c r="O35" s="124" t="s">
        <v>365</v>
      </c>
      <c r="P35" s="21">
        <v>37</v>
      </c>
      <c r="Q35" s="10" t="s">
        <v>54</v>
      </c>
      <c r="R35" s="10" t="s">
        <v>28</v>
      </c>
      <c r="S35" s="10"/>
      <c r="T35" s="10"/>
      <c r="U35" s="10" t="s">
        <v>1347</v>
      </c>
      <c r="V35" s="10" t="s">
        <v>1347</v>
      </c>
      <c r="W35" s="50">
        <f>+J35/$W$2</f>
        <v>1.223864575910168E-4</v>
      </c>
    </row>
    <row r="36" spans="1:29">
      <c r="A36" s="10" t="s">
        <v>621</v>
      </c>
      <c r="B36" s="10" t="s">
        <v>358</v>
      </c>
      <c r="C36" s="124">
        <v>46324</v>
      </c>
      <c r="D36" s="124" t="s">
        <v>471</v>
      </c>
      <c r="E36" s="21">
        <v>1</v>
      </c>
      <c r="F36" s="10"/>
      <c r="G36" s="14">
        <v>3000000</v>
      </c>
      <c r="H36" s="14">
        <v>3000000</v>
      </c>
      <c r="I36" s="14">
        <v>3000000</v>
      </c>
      <c r="J36" s="14">
        <v>3000000</v>
      </c>
      <c r="K36" s="12">
        <v>90023130</v>
      </c>
      <c r="L36" s="10" t="s">
        <v>101</v>
      </c>
      <c r="M36" s="10" t="s">
        <v>102</v>
      </c>
      <c r="N36" s="124" t="s">
        <v>576</v>
      </c>
      <c r="O36" s="124" t="s">
        <v>576</v>
      </c>
      <c r="P36" s="21">
        <v>27</v>
      </c>
      <c r="Q36" s="10" t="s">
        <v>54</v>
      </c>
      <c r="R36" s="10" t="s">
        <v>28</v>
      </c>
      <c r="S36" s="10"/>
      <c r="T36" s="10"/>
      <c r="U36" s="10" t="s">
        <v>2326</v>
      </c>
      <c r="V36" s="10" t="s">
        <v>2326</v>
      </c>
      <c r="W36" s="50">
        <f>+J36/$W$2</f>
        <v>3.6715937277305041E-5</v>
      </c>
      <c r="AC36" s="47"/>
    </row>
    <row r="37" spans="1:29">
      <c r="A37" s="10" t="s">
        <v>454</v>
      </c>
      <c r="B37" s="10" t="s">
        <v>358</v>
      </c>
      <c r="C37" s="124">
        <v>46324</v>
      </c>
      <c r="D37" s="124" t="s">
        <v>471</v>
      </c>
      <c r="E37" s="21">
        <v>1</v>
      </c>
      <c r="F37" s="10"/>
      <c r="G37" s="14">
        <v>147500000</v>
      </c>
      <c r="H37" s="14">
        <v>147500000</v>
      </c>
      <c r="I37" s="14">
        <v>147500000</v>
      </c>
      <c r="J37" s="14">
        <v>147500000</v>
      </c>
      <c r="K37" s="12">
        <v>70408102</v>
      </c>
      <c r="L37" s="10" t="s">
        <v>101</v>
      </c>
      <c r="M37" s="10" t="s">
        <v>102</v>
      </c>
      <c r="N37" s="124" t="s">
        <v>391</v>
      </c>
      <c r="O37" s="124" t="s">
        <v>391</v>
      </c>
      <c r="P37" s="21">
        <v>40</v>
      </c>
      <c r="Q37" s="10" t="s">
        <v>54</v>
      </c>
      <c r="R37" s="10" t="s">
        <v>28</v>
      </c>
      <c r="S37" s="10"/>
      <c r="T37" s="10"/>
      <c r="U37" s="10" t="s">
        <v>1410</v>
      </c>
      <c r="V37" s="10" t="s">
        <v>1410</v>
      </c>
      <c r="W37" s="50">
        <f>+J37/$W$2</f>
        <v>1.8052002494674977E-3</v>
      </c>
    </row>
    <row r="38" spans="1:29">
      <c r="A38" s="10" t="s">
        <v>519</v>
      </c>
      <c r="B38" s="10" t="s">
        <v>358</v>
      </c>
      <c r="C38" s="124">
        <v>46324</v>
      </c>
      <c r="D38" s="124" t="s">
        <v>471</v>
      </c>
      <c r="E38" s="21">
        <v>1</v>
      </c>
      <c r="F38" s="10"/>
      <c r="G38" s="14">
        <v>100000000</v>
      </c>
      <c r="H38" s="14">
        <v>100000000</v>
      </c>
      <c r="I38" s="14">
        <v>100000000</v>
      </c>
      <c r="J38" s="14">
        <v>100000000</v>
      </c>
      <c r="K38" s="12">
        <v>163</v>
      </c>
      <c r="L38" s="10" t="s">
        <v>101</v>
      </c>
      <c r="M38" s="10" t="s">
        <v>102</v>
      </c>
      <c r="N38" s="124" t="s">
        <v>344</v>
      </c>
      <c r="O38" s="124" t="s">
        <v>344</v>
      </c>
      <c r="P38" s="21">
        <v>32</v>
      </c>
      <c r="Q38" s="10" t="s">
        <v>54</v>
      </c>
      <c r="R38" s="10" t="s">
        <v>28</v>
      </c>
      <c r="S38" s="10"/>
      <c r="T38" s="10"/>
      <c r="U38" s="10" t="s">
        <v>830</v>
      </c>
      <c r="V38" s="10" t="s">
        <v>830</v>
      </c>
      <c r="W38" s="50">
        <f>+J38/$W$2</f>
        <v>1.2238645759101679E-3</v>
      </c>
    </row>
    <row r="39" spans="1:29">
      <c r="A39" s="10" t="s">
        <v>1766</v>
      </c>
      <c r="B39" s="10" t="s">
        <v>358</v>
      </c>
      <c r="C39" s="124">
        <v>46324</v>
      </c>
      <c r="D39" s="124" t="s">
        <v>471</v>
      </c>
      <c r="E39" s="21">
        <v>1</v>
      </c>
      <c r="F39" s="10"/>
      <c r="G39" s="14">
        <v>6813654.1900000004</v>
      </c>
      <c r="H39" s="14">
        <v>6813654.1900000004</v>
      </c>
      <c r="I39" s="14">
        <v>6813654.1900000004</v>
      </c>
      <c r="J39" s="14">
        <v>6813654.1900000004</v>
      </c>
      <c r="K39" s="12">
        <v>74091873</v>
      </c>
      <c r="L39" s="10" t="s">
        <v>101</v>
      </c>
      <c r="M39" s="10" t="s">
        <v>102</v>
      </c>
      <c r="N39" s="124" t="s">
        <v>398</v>
      </c>
      <c r="O39" s="124" t="s">
        <v>398</v>
      </c>
      <c r="P39" s="21">
        <v>33</v>
      </c>
      <c r="Q39" s="10" t="s">
        <v>54</v>
      </c>
      <c r="R39" s="10" t="s">
        <v>28</v>
      </c>
      <c r="S39" s="10"/>
      <c r="T39" s="10"/>
      <c r="U39" s="10" t="s">
        <v>1670</v>
      </c>
      <c r="V39" s="10" t="s">
        <v>1670</v>
      </c>
      <c r="W39" s="50">
        <f>+J39/$W$2</f>
        <v>8.3389899956428902E-5</v>
      </c>
    </row>
    <row r="40" spans="1:29">
      <c r="A40" s="10" t="s">
        <v>438</v>
      </c>
      <c r="B40" s="10" t="s">
        <v>358</v>
      </c>
      <c r="C40" s="124">
        <v>46324</v>
      </c>
      <c r="D40" s="124" t="s">
        <v>471</v>
      </c>
      <c r="E40" s="21">
        <v>1</v>
      </c>
      <c r="F40" s="10"/>
      <c r="G40" s="14">
        <v>24000000</v>
      </c>
      <c r="H40" s="14">
        <v>24000000</v>
      </c>
      <c r="I40" s="14">
        <v>24000000</v>
      </c>
      <c r="J40" s="14">
        <v>24000000</v>
      </c>
      <c r="K40" s="12">
        <v>129</v>
      </c>
      <c r="L40" s="10" t="s">
        <v>101</v>
      </c>
      <c r="M40" s="10" t="s">
        <v>102</v>
      </c>
      <c r="N40" s="124" t="s">
        <v>478</v>
      </c>
      <c r="O40" s="124" t="s">
        <v>478</v>
      </c>
      <c r="P40" s="21">
        <v>25</v>
      </c>
      <c r="Q40" s="10" t="s">
        <v>54</v>
      </c>
      <c r="R40" s="10" t="s">
        <v>28</v>
      </c>
      <c r="S40" s="10"/>
      <c r="T40" s="10"/>
      <c r="U40" s="10" t="s">
        <v>2108</v>
      </c>
      <c r="V40" s="10" t="s">
        <v>2108</v>
      </c>
      <c r="W40" s="50">
        <f>+J40/$W$2</f>
        <v>2.9372749821844033E-4</v>
      </c>
    </row>
    <row r="41" spans="1:29">
      <c r="A41" s="10" t="s">
        <v>359</v>
      </c>
      <c r="B41" s="10" t="s">
        <v>358</v>
      </c>
      <c r="C41" s="124">
        <v>46324</v>
      </c>
      <c r="D41" s="124" t="s">
        <v>471</v>
      </c>
      <c r="E41" s="21">
        <v>1</v>
      </c>
      <c r="F41" s="10"/>
      <c r="G41" s="14">
        <v>5000000</v>
      </c>
      <c r="H41" s="14">
        <v>5000000</v>
      </c>
      <c r="I41" s="14">
        <v>5000000</v>
      </c>
      <c r="J41" s="14">
        <v>5000000</v>
      </c>
      <c r="K41" s="12">
        <v>1303</v>
      </c>
      <c r="L41" s="10" t="s">
        <v>101</v>
      </c>
      <c r="M41" s="10" t="s">
        <v>102</v>
      </c>
      <c r="N41" s="124" t="s">
        <v>477</v>
      </c>
      <c r="O41" s="124" t="s">
        <v>477</v>
      </c>
      <c r="P41" s="21">
        <v>30</v>
      </c>
      <c r="Q41" s="10" t="s">
        <v>54</v>
      </c>
      <c r="R41" s="10" t="s">
        <v>28</v>
      </c>
      <c r="S41" s="10"/>
      <c r="T41" s="10"/>
      <c r="U41" s="10" t="s">
        <v>2402</v>
      </c>
      <c r="V41" s="10" t="s">
        <v>2402</v>
      </c>
      <c r="W41" s="50">
        <f>+J41/$W$2</f>
        <v>6.1193228795508399E-5</v>
      </c>
    </row>
    <row r="42" spans="1:29">
      <c r="A42" s="10" t="s">
        <v>2753</v>
      </c>
      <c r="B42" s="10" t="s">
        <v>358</v>
      </c>
      <c r="C42" s="124">
        <v>46324</v>
      </c>
      <c r="D42" s="124" t="s">
        <v>471</v>
      </c>
      <c r="E42" s="21">
        <v>1</v>
      </c>
      <c r="F42" s="10"/>
      <c r="G42" s="14">
        <v>2000000</v>
      </c>
      <c r="H42" s="14">
        <v>2000000</v>
      </c>
      <c r="I42" s="14">
        <v>2000000</v>
      </c>
      <c r="J42" s="14">
        <v>2000000</v>
      </c>
      <c r="K42" s="12">
        <v>70158534</v>
      </c>
      <c r="L42" s="10" t="s">
        <v>101</v>
      </c>
      <c r="M42" s="10" t="s">
        <v>102</v>
      </c>
      <c r="N42" s="124" t="s">
        <v>440</v>
      </c>
      <c r="O42" s="124" t="s">
        <v>440</v>
      </c>
      <c r="P42" s="21">
        <v>32</v>
      </c>
      <c r="Q42" s="10" t="s">
        <v>54</v>
      </c>
      <c r="R42" s="10" t="s">
        <v>28</v>
      </c>
      <c r="S42" s="10"/>
      <c r="T42" s="10"/>
      <c r="U42" s="10" t="s">
        <v>2727</v>
      </c>
      <c r="V42" s="10" t="s">
        <v>2727</v>
      </c>
      <c r="W42" s="50">
        <f>+J42/$W$2</f>
        <v>2.4477291518203358E-5</v>
      </c>
    </row>
    <row r="43" spans="1:29">
      <c r="A43" s="10" t="s">
        <v>2871</v>
      </c>
      <c r="B43" s="10" t="s">
        <v>358</v>
      </c>
      <c r="C43" s="124">
        <v>46324</v>
      </c>
      <c r="D43" s="124" t="s">
        <v>471</v>
      </c>
      <c r="E43" s="21">
        <v>1</v>
      </c>
      <c r="F43" s="10"/>
      <c r="G43" s="14">
        <v>3090000</v>
      </c>
      <c r="H43" s="14">
        <v>3090000</v>
      </c>
      <c r="I43" s="14">
        <v>3090000</v>
      </c>
      <c r="J43" s="14">
        <v>3090000</v>
      </c>
      <c r="K43" s="12">
        <v>11137651</v>
      </c>
      <c r="L43" s="10" t="s">
        <v>101</v>
      </c>
      <c r="M43" s="10" t="s">
        <v>102</v>
      </c>
      <c r="N43" s="124" t="s">
        <v>445</v>
      </c>
      <c r="O43" s="124" t="s">
        <v>445</v>
      </c>
      <c r="P43" s="21">
        <v>32</v>
      </c>
      <c r="Q43" s="10" t="s">
        <v>54</v>
      </c>
      <c r="R43" s="10" t="s">
        <v>28</v>
      </c>
      <c r="S43" s="10"/>
      <c r="T43" s="10"/>
      <c r="U43" s="10" t="s">
        <v>2864</v>
      </c>
      <c r="V43" s="10" t="s">
        <v>2864</v>
      </c>
      <c r="W43" s="50">
        <f>+J43/$W$2</f>
        <v>3.7817415395624189E-5</v>
      </c>
    </row>
    <row r="44" spans="1:29">
      <c r="A44" s="10" t="s">
        <v>271</v>
      </c>
      <c r="B44" s="10" t="s">
        <v>358</v>
      </c>
      <c r="C44" s="124">
        <v>46324</v>
      </c>
      <c r="D44" s="124" t="s">
        <v>471</v>
      </c>
      <c r="E44" s="21">
        <v>1</v>
      </c>
      <c r="F44" s="10"/>
      <c r="G44" s="14">
        <v>4000000</v>
      </c>
      <c r="H44" s="14">
        <v>4000000</v>
      </c>
      <c r="I44" s="14">
        <v>4000000</v>
      </c>
      <c r="J44" s="14">
        <v>4000000</v>
      </c>
      <c r="K44" s="12">
        <v>90002223</v>
      </c>
      <c r="L44" s="10" t="s">
        <v>101</v>
      </c>
      <c r="M44" s="10" t="s">
        <v>102</v>
      </c>
      <c r="N44" s="124" t="s">
        <v>478</v>
      </c>
      <c r="O44" s="124" t="s">
        <v>478</v>
      </c>
      <c r="P44" s="21">
        <v>26</v>
      </c>
      <c r="Q44" s="10" t="s">
        <v>54</v>
      </c>
      <c r="R44" s="10" t="s">
        <v>28</v>
      </c>
      <c r="S44" s="10"/>
      <c r="T44" s="10"/>
      <c r="U44" s="10" t="s">
        <v>2113</v>
      </c>
      <c r="V44" s="10" t="s">
        <v>2113</v>
      </c>
      <c r="W44" s="50">
        <f>+J44/$W$2</f>
        <v>4.8954583036406717E-5</v>
      </c>
    </row>
    <row r="45" spans="1:29">
      <c r="A45" s="10" t="s">
        <v>550</v>
      </c>
      <c r="B45" s="10" t="s">
        <v>358</v>
      </c>
      <c r="C45" s="124">
        <v>46324</v>
      </c>
      <c r="D45" s="124" t="s">
        <v>471</v>
      </c>
      <c r="E45" s="21">
        <v>1</v>
      </c>
      <c r="F45" s="10"/>
      <c r="G45" s="14">
        <v>851000000</v>
      </c>
      <c r="H45" s="14">
        <v>851000000</v>
      </c>
      <c r="I45" s="14">
        <v>851000000</v>
      </c>
      <c r="J45" s="14">
        <v>851000000</v>
      </c>
      <c r="K45" s="12">
        <v>159265</v>
      </c>
      <c r="L45" s="10" t="s">
        <v>101</v>
      </c>
      <c r="M45" s="10" t="s">
        <v>102</v>
      </c>
      <c r="N45" s="124" t="s">
        <v>309</v>
      </c>
      <c r="O45" s="124" t="s">
        <v>309</v>
      </c>
      <c r="P45" s="21">
        <v>18</v>
      </c>
      <c r="Q45" s="10" t="s">
        <v>54</v>
      </c>
      <c r="R45" s="10" t="s">
        <v>28</v>
      </c>
      <c r="S45" s="10"/>
      <c r="T45" s="10"/>
      <c r="U45" s="10" t="s">
        <v>872</v>
      </c>
      <c r="V45" s="10" t="s">
        <v>872</v>
      </c>
      <c r="W45" s="50">
        <f>+J45/$W$2</f>
        <v>1.041508754099553E-2</v>
      </c>
    </row>
    <row r="46" spans="1:29">
      <c r="A46" s="10" t="s">
        <v>359</v>
      </c>
      <c r="B46" s="10" t="s">
        <v>358</v>
      </c>
      <c r="C46" s="124">
        <v>46324</v>
      </c>
      <c r="D46" s="124" t="s">
        <v>471</v>
      </c>
      <c r="E46" s="21">
        <v>1</v>
      </c>
      <c r="F46" s="10"/>
      <c r="G46" s="14">
        <v>5000000</v>
      </c>
      <c r="H46" s="14">
        <v>5000000</v>
      </c>
      <c r="I46" s="14">
        <v>5000000</v>
      </c>
      <c r="J46" s="14">
        <v>5000000</v>
      </c>
      <c r="K46" s="12">
        <v>1198</v>
      </c>
      <c r="L46" s="10" t="s">
        <v>101</v>
      </c>
      <c r="M46" s="10" t="s">
        <v>102</v>
      </c>
      <c r="N46" s="124" t="s">
        <v>405</v>
      </c>
      <c r="O46" s="124" t="s">
        <v>405</v>
      </c>
      <c r="P46" s="21">
        <v>30</v>
      </c>
      <c r="Q46" s="10" t="s">
        <v>54</v>
      </c>
      <c r="R46" s="10" t="s">
        <v>28</v>
      </c>
      <c r="S46" s="10"/>
      <c r="T46" s="10"/>
      <c r="U46" s="10" t="s">
        <v>1502</v>
      </c>
      <c r="V46" s="10" t="s">
        <v>1502</v>
      </c>
      <c r="W46" s="50">
        <f>+J46/$W$2</f>
        <v>6.1193228795508399E-5</v>
      </c>
    </row>
    <row r="47" spans="1:29">
      <c r="A47" s="10" t="s">
        <v>359</v>
      </c>
      <c r="B47" s="10" t="s">
        <v>358</v>
      </c>
      <c r="C47" s="124">
        <v>46324</v>
      </c>
      <c r="D47" s="124" t="s">
        <v>471</v>
      </c>
      <c r="E47" s="21">
        <v>1</v>
      </c>
      <c r="F47" s="10"/>
      <c r="G47" s="14">
        <v>4000000</v>
      </c>
      <c r="H47" s="14">
        <v>4000000</v>
      </c>
      <c r="I47" s="14">
        <v>4000000</v>
      </c>
      <c r="J47" s="14">
        <v>4000000</v>
      </c>
      <c r="K47" s="12">
        <v>1149</v>
      </c>
      <c r="L47" s="10" t="s">
        <v>101</v>
      </c>
      <c r="M47" s="10" t="s">
        <v>102</v>
      </c>
      <c r="N47" s="124" t="s">
        <v>391</v>
      </c>
      <c r="O47" s="124" t="s">
        <v>391</v>
      </c>
      <c r="P47" s="21">
        <v>32</v>
      </c>
      <c r="Q47" s="10" t="s">
        <v>54</v>
      </c>
      <c r="R47" s="10" t="s">
        <v>28</v>
      </c>
      <c r="S47" s="10"/>
      <c r="T47" s="10"/>
      <c r="U47" s="10" t="s">
        <v>1411</v>
      </c>
      <c r="V47" s="10" t="s">
        <v>1411</v>
      </c>
      <c r="W47" s="50">
        <f>+J47/$W$2</f>
        <v>4.8954583036406717E-5</v>
      </c>
    </row>
    <row r="48" spans="1:29">
      <c r="A48" s="10" t="s">
        <v>359</v>
      </c>
      <c r="B48" s="10" t="s">
        <v>358</v>
      </c>
      <c r="C48" s="124">
        <v>46324</v>
      </c>
      <c r="D48" s="124" t="s">
        <v>471</v>
      </c>
      <c r="E48" s="21">
        <v>1</v>
      </c>
      <c r="F48" s="10"/>
      <c r="G48" s="14">
        <v>5000000</v>
      </c>
      <c r="H48" s="14">
        <v>5000000</v>
      </c>
      <c r="I48" s="14">
        <v>5000000</v>
      </c>
      <c r="J48" s="14">
        <v>5000000</v>
      </c>
      <c r="K48" s="12">
        <v>1224</v>
      </c>
      <c r="L48" s="10" t="s">
        <v>101</v>
      </c>
      <c r="M48" s="10" t="s">
        <v>102</v>
      </c>
      <c r="N48" s="124" t="s">
        <v>447</v>
      </c>
      <c r="O48" s="124" t="s">
        <v>447</v>
      </c>
      <c r="P48" s="21">
        <v>30</v>
      </c>
      <c r="Q48" s="10" t="s">
        <v>54</v>
      </c>
      <c r="R48" s="10" t="s">
        <v>28</v>
      </c>
      <c r="S48" s="10"/>
      <c r="T48" s="10"/>
      <c r="U48" s="10" t="s">
        <v>1619</v>
      </c>
      <c r="V48" s="10" t="s">
        <v>1619</v>
      </c>
      <c r="W48" s="50">
        <f>+J48/$W$2</f>
        <v>6.1193228795508399E-5</v>
      </c>
    </row>
    <row r="49" spans="1:23">
      <c r="A49" s="10" t="s">
        <v>359</v>
      </c>
      <c r="B49" s="10" t="s">
        <v>358</v>
      </c>
      <c r="C49" s="124">
        <v>46324</v>
      </c>
      <c r="D49" s="124" t="s">
        <v>471</v>
      </c>
      <c r="E49" s="21">
        <v>1</v>
      </c>
      <c r="F49" s="10"/>
      <c r="G49" s="14">
        <v>2000000</v>
      </c>
      <c r="H49" s="14">
        <v>2000000</v>
      </c>
      <c r="I49" s="14">
        <v>2000000</v>
      </c>
      <c r="J49" s="14">
        <v>2000000</v>
      </c>
      <c r="K49" s="12">
        <v>1076</v>
      </c>
      <c r="L49" s="10" t="s">
        <v>101</v>
      </c>
      <c r="M49" s="10" t="s">
        <v>102</v>
      </c>
      <c r="N49" s="124" t="s">
        <v>406</v>
      </c>
      <c r="O49" s="124" t="s">
        <v>406</v>
      </c>
      <c r="P49" s="21">
        <v>32</v>
      </c>
      <c r="Q49" s="10" t="s">
        <v>54</v>
      </c>
      <c r="R49" s="10" t="s">
        <v>28</v>
      </c>
      <c r="S49" s="10"/>
      <c r="T49" s="10"/>
      <c r="U49" s="10" t="s">
        <v>1182</v>
      </c>
      <c r="V49" s="10" t="s">
        <v>1182</v>
      </c>
      <c r="W49" s="50">
        <f>+J49/$W$2</f>
        <v>2.4477291518203358E-5</v>
      </c>
    </row>
    <row r="50" spans="1:23">
      <c r="A50" s="10" t="s">
        <v>359</v>
      </c>
      <c r="B50" s="10" t="s">
        <v>358</v>
      </c>
      <c r="C50" s="124">
        <v>46324</v>
      </c>
      <c r="D50" s="124" t="s">
        <v>471</v>
      </c>
      <c r="E50" s="21">
        <v>1</v>
      </c>
      <c r="F50" s="10"/>
      <c r="G50" s="14">
        <v>3000000</v>
      </c>
      <c r="H50" s="14">
        <v>3000000</v>
      </c>
      <c r="I50" s="14">
        <v>3000000</v>
      </c>
      <c r="J50" s="14">
        <v>3000000</v>
      </c>
      <c r="K50" s="12">
        <v>1045</v>
      </c>
      <c r="L50" s="10" t="s">
        <v>101</v>
      </c>
      <c r="M50" s="10" t="s">
        <v>102</v>
      </c>
      <c r="N50" s="124" t="s">
        <v>373</v>
      </c>
      <c r="O50" s="124" t="s">
        <v>373</v>
      </c>
      <c r="P50" s="21">
        <v>32</v>
      </c>
      <c r="Q50" s="10" t="s">
        <v>54</v>
      </c>
      <c r="R50" s="10" t="s">
        <v>28</v>
      </c>
      <c r="S50" s="10"/>
      <c r="T50" s="10"/>
      <c r="U50" s="10" t="s">
        <v>1134</v>
      </c>
      <c r="V50" s="10" t="s">
        <v>1134</v>
      </c>
      <c r="W50" s="50">
        <f>+J50/$W$2</f>
        <v>3.6715937277305041E-5</v>
      </c>
    </row>
    <row r="51" spans="1:23">
      <c r="A51" s="10" t="s">
        <v>359</v>
      </c>
      <c r="B51" s="10" t="s">
        <v>358</v>
      </c>
      <c r="C51" s="124">
        <v>46324</v>
      </c>
      <c r="D51" s="124" t="s">
        <v>471</v>
      </c>
      <c r="E51" s="21">
        <v>1</v>
      </c>
      <c r="F51" s="10"/>
      <c r="G51" s="14">
        <v>10000000</v>
      </c>
      <c r="H51" s="14">
        <v>10000000</v>
      </c>
      <c r="I51" s="14">
        <v>10000000</v>
      </c>
      <c r="J51" s="14">
        <v>10000000</v>
      </c>
      <c r="K51" s="12">
        <v>728</v>
      </c>
      <c r="L51" s="10" t="s">
        <v>101</v>
      </c>
      <c r="M51" s="10" t="s">
        <v>102</v>
      </c>
      <c r="N51" s="124" t="s">
        <v>155</v>
      </c>
      <c r="O51" s="124" t="s">
        <v>155</v>
      </c>
      <c r="P51" s="21">
        <v>30</v>
      </c>
      <c r="Q51" s="10" t="s">
        <v>54</v>
      </c>
      <c r="R51" s="10" t="s">
        <v>28</v>
      </c>
      <c r="S51" s="10"/>
      <c r="T51" s="10"/>
      <c r="U51" s="10" t="s">
        <v>608</v>
      </c>
      <c r="V51" s="10" t="s">
        <v>608</v>
      </c>
      <c r="W51" s="50">
        <f>+J51/$W$2</f>
        <v>1.223864575910168E-4</v>
      </c>
    </row>
    <row r="52" spans="1:23">
      <c r="A52" s="10" t="s">
        <v>359</v>
      </c>
      <c r="B52" s="10" t="s">
        <v>358</v>
      </c>
      <c r="C52" s="124">
        <v>46324</v>
      </c>
      <c r="D52" s="124" t="s">
        <v>471</v>
      </c>
      <c r="E52" s="21">
        <v>1</v>
      </c>
      <c r="F52" s="10"/>
      <c r="G52" s="14">
        <v>6500000</v>
      </c>
      <c r="H52" s="14">
        <v>6500000</v>
      </c>
      <c r="I52" s="14">
        <v>6500000</v>
      </c>
      <c r="J52" s="14">
        <v>6500000</v>
      </c>
      <c r="K52" s="12">
        <v>746</v>
      </c>
      <c r="L52" s="10" t="s">
        <v>101</v>
      </c>
      <c r="M52" s="10" t="s">
        <v>102</v>
      </c>
      <c r="N52" s="124" t="s">
        <v>374</v>
      </c>
      <c r="O52" s="124" t="s">
        <v>374</v>
      </c>
      <c r="P52" s="21">
        <v>30</v>
      </c>
      <c r="Q52" s="10" t="s">
        <v>54</v>
      </c>
      <c r="R52" s="10" t="s">
        <v>28</v>
      </c>
      <c r="S52" s="10"/>
      <c r="T52" s="10"/>
      <c r="U52" s="10" t="s">
        <v>675</v>
      </c>
      <c r="V52" s="10" t="s">
        <v>675</v>
      </c>
      <c r="W52" s="50">
        <f>+J52/$W$2</f>
        <v>7.9551197434160923E-5</v>
      </c>
    </row>
    <row r="53" spans="1:23">
      <c r="A53" s="10" t="s">
        <v>359</v>
      </c>
      <c r="B53" s="10" t="s">
        <v>358</v>
      </c>
      <c r="C53" s="124">
        <v>46324</v>
      </c>
      <c r="D53" s="124" t="s">
        <v>471</v>
      </c>
      <c r="E53" s="21">
        <v>1</v>
      </c>
      <c r="F53" s="10"/>
      <c r="G53" s="14">
        <v>5000000</v>
      </c>
      <c r="H53" s="14">
        <v>5000000</v>
      </c>
      <c r="I53" s="14">
        <v>5000000</v>
      </c>
      <c r="J53" s="14">
        <v>5000000</v>
      </c>
      <c r="K53" s="12">
        <v>796</v>
      </c>
      <c r="L53" s="10" t="s">
        <v>101</v>
      </c>
      <c r="M53" s="10" t="s">
        <v>102</v>
      </c>
      <c r="N53" s="124" t="s">
        <v>371</v>
      </c>
      <c r="O53" s="124" t="s">
        <v>371</v>
      </c>
      <c r="P53" s="21">
        <v>30</v>
      </c>
      <c r="Q53" s="10" t="s">
        <v>54</v>
      </c>
      <c r="R53" s="10" t="s">
        <v>28</v>
      </c>
      <c r="S53" s="10"/>
      <c r="T53" s="10"/>
      <c r="U53" s="10" t="s">
        <v>694</v>
      </c>
      <c r="V53" s="10" t="s">
        <v>694</v>
      </c>
      <c r="W53" s="50">
        <f>+J53/$W$2</f>
        <v>6.1193228795508399E-5</v>
      </c>
    </row>
    <row r="54" spans="1:23">
      <c r="A54" s="10" t="s">
        <v>359</v>
      </c>
      <c r="B54" s="10" t="s">
        <v>358</v>
      </c>
      <c r="C54" s="124">
        <v>46324</v>
      </c>
      <c r="D54" s="124" t="s">
        <v>471</v>
      </c>
      <c r="E54" s="21">
        <v>1</v>
      </c>
      <c r="F54" s="10"/>
      <c r="G54" s="14">
        <v>2500000</v>
      </c>
      <c r="H54" s="14">
        <v>2500000</v>
      </c>
      <c r="I54" s="14">
        <v>2500000</v>
      </c>
      <c r="J54" s="14">
        <v>2500000</v>
      </c>
      <c r="K54" s="12">
        <v>885</v>
      </c>
      <c r="L54" s="10" t="s">
        <v>101</v>
      </c>
      <c r="M54" s="10" t="s">
        <v>102</v>
      </c>
      <c r="N54" s="124" t="s">
        <v>409</v>
      </c>
      <c r="O54" s="124" t="s">
        <v>409</v>
      </c>
      <c r="P54" s="21">
        <v>30</v>
      </c>
      <c r="Q54" s="10" t="s">
        <v>54</v>
      </c>
      <c r="R54" s="10" t="s">
        <v>28</v>
      </c>
      <c r="S54" s="10"/>
      <c r="T54" s="10"/>
      <c r="U54" s="10" t="s">
        <v>900</v>
      </c>
      <c r="V54" s="10" t="s">
        <v>900</v>
      </c>
      <c r="W54" s="50">
        <f>+J54/$W$2</f>
        <v>3.05966143977542E-5</v>
      </c>
    </row>
    <row r="55" spans="1:23">
      <c r="A55" s="10" t="s">
        <v>2016</v>
      </c>
      <c r="B55" s="10" t="s">
        <v>358</v>
      </c>
      <c r="C55" s="124">
        <v>46325</v>
      </c>
      <c r="D55" s="124" t="s">
        <v>471</v>
      </c>
      <c r="E55" s="21">
        <v>0.99928817999999997</v>
      </c>
      <c r="F55" s="10"/>
      <c r="G55" s="14">
        <v>25000000</v>
      </c>
      <c r="H55" s="14">
        <v>24982204.559999999</v>
      </c>
      <c r="I55" s="14">
        <v>25000000</v>
      </c>
      <c r="J55" s="14">
        <v>24982204.559999999</v>
      </c>
      <c r="K55" s="12">
        <v>88274454</v>
      </c>
      <c r="L55" s="10" t="s">
        <v>101</v>
      </c>
      <c r="M55" s="10" t="s">
        <v>102</v>
      </c>
      <c r="N55" s="124" t="s">
        <v>478</v>
      </c>
      <c r="O55" s="124" t="s">
        <v>478</v>
      </c>
      <c r="P55" s="21">
        <v>26</v>
      </c>
      <c r="Q55" s="10" t="s">
        <v>54</v>
      </c>
      <c r="R55" s="10" t="s">
        <v>28</v>
      </c>
      <c r="S55" s="10"/>
      <c r="T55" s="10"/>
      <c r="U55" s="10" t="s">
        <v>2092</v>
      </c>
      <c r="V55" s="10" t="s">
        <v>2092</v>
      </c>
      <c r="W55" s="50">
        <f>+J55/$W$2</f>
        <v>3.0574835189125463E-4</v>
      </c>
    </row>
    <row r="56" spans="1:23">
      <c r="A56" s="10" t="s">
        <v>2016</v>
      </c>
      <c r="B56" s="10" t="s">
        <v>358</v>
      </c>
      <c r="C56" s="124">
        <v>46325</v>
      </c>
      <c r="D56" s="124" t="s">
        <v>471</v>
      </c>
      <c r="E56" s="21">
        <v>0.99928817999999997</v>
      </c>
      <c r="F56" s="10"/>
      <c r="G56" s="14">
        <v>25000000</v>
      </c>
      <c r="H56" s="14">
        <v>24982204.559999999</v>
      </c>
      <c r="I56" s="14">
        <v>25000000</v>
      </c>
      <c r="J56" s="14">
        <v>24982204.559999999</v>
      </c>
      <c r="K56" s="12">
        <v>88274456</v>
      </c>
      <c r="L56" s="10" t="s">
        <v>101</v>
      </c>
      <c r="M56" s="10" t="s">
        <v>102</v>
      </c>
      <c r="N56" s="124" t="s">
        <v>478</v>
      </c>
      <c r="O56" s="124" t="s">
        <v>478</v>
      </c>
      <c r="P56" s="21">
        <v>26</v>
      </c>
      <c r="Q56" s="10" t="s">
        <v>54</v>
      </c>
      <c r="R56" s="10" t="s">
        <v>28</v>
      </c>
      <c r="S56" s="10"/>
      <c r="T56" s="10"/>
      <c r="U56" s="10" t="s">
        <v>2093</v>
      </c>
      <c r="V56" s="10" t="s">
        <v>2093</v>
      </c>
      <c r="W56" s="50">
        <f>+J56/$W$2</f>
        <v>3.0574835189125463E-4</v>
      </c>
    </row>
    <row r="57" spans="1:23">
      <c r="A57" s="10" t="s">
        <v>334</v>
      </c>
      <c r="B57" s="10" t="s">
        <v>358</v>
      </c>
      <c r="C57" s="124">
        <v>46325</v>
      </c>
      <c r="D57" s="124" t="s">
        <v>471</v>
      </c>
      <c r="E57" s="21">
        <v>0.99901468000000004</v>
      </c>
      <c r="F57" s="10"/>
      <c r="G57" s="14">
        <v>3625698.78</v>
      </c>
      <c r="H57" s="14">
        <v>3622126.29</v>
      </c>
      <c r="I57" s="14">
        <v>3625698.78</v>
      </c>
      <c r="J57" s="14">
        <v>3622126.29</v>
      </c>
      <c r="K57" s="12">
        <v>3347</v>
      </c>
      <c r="L57" s="10" t="s">
        <v>101</v>
      </c>
      <c r="M57" s="10" t="s">
        <v>102</v>
      </c>
      <c r="N57" s="124" t="s">
        <v>331</v>
      </c>
      <c r="O57" s="124" t="s">
        <v>331</v>
      </c>
      <c r="P57" s="21">
        <v>36</v>
      </c>
      <c r="Q57" s="10" t="s">
        <v>54</v>
      </c>
      <c r="R57" s="10" t="s">
        <v>28</v>
      </c>
      <c r="S57" s="10"/>
      <c r="T57" s="10"/>
      <c r="U57" s="10" t="s">
        <v>1233</v>
      </c>
      <c r="V57" s="10" t="s">
        <v>1233</v>
      </c>
      <c r="W57" s="50">
        <f>+J57/$W$2</f>
        <v>4.4329920558039202E-5</v>
      </c>
    </row>
    <row r="58" spans="1:23">
      <c r="A58" s="10" t="s">
        <v>334</v>
      </c>
      <c r="B58" s="10" t="s">
        <v>358</v>
      </c>
      <c r="C58" s="124">
        <v>46325</v>
      </c>
      <c r="D58" s="124" t="s">
        <v>471</v>
      </c>
      <c r="E58" s="21">
        <v>0.99909671</v>
      </c>
      <c r="F58" s="10"/>
      <c r="G58" s="14">
        <v>2502550.36</v>
      </c>
      <c r="H58" s="14">
        <v>2500289.83</v>
      </c>
      <c r="I58" s="14">
        <v>2502550.36</v>
      </c>
      <c r="J58" s="14">
        <v>2500289.83</v>
      </c>
      <c r="K58" s="12">
        <v>3131</v>
      </c>
      <c r="L58" s="10" t="s">
        <v>101</v>
      </c>
      <c r="M58" s="10" t="s">
        <v>102</v>
      </c>
      <c r="N58" s="124" t="s">
        <v>407</v>
      </c>
      <c r="O58" s="124" t="s">
        <v>407</v>
      </c>
      <c r="P58" s="21">
        <v>33</v>
      </c>
      <c r="Q58" s="10" t="s">
        <v>54</v>
      </c>
      <c r="R58" s="10" t="s">
        <v>28</v>
      </c>
      <c r="S58" s="10"/>
      <c r="T58" s="10"/>
      <c r="U58" s="10" t="s">
        <v>786</v>
      </c>
      <c r="V58" s="10" t="s">
        <v>786</v>
      </c>
      <c r="W58" s="50">
        <f>+J58/$W$2</f>
        <v>3.0600161524454563E-5</v>
      </c>
    </row>
    <row r="59" spans="1:23">
      <c r="A59" s="10" t="s">
        <v>334</v>
      </c>
      <c r="B59" s="10" t="s">
        <v>358</v>
      </c>
      <c r="C59" s="124">
        <v>46325</v>
      </c>
      <c r="D59" s="124" t="s">
        <v>471</v>
      </c>
      <c r="E59" s="21">
        <v>0.99909671</v>
      </c>
      <c r="F59" s="10"/>
      <c r="G59" s="14">
        <v>2502550.36</v>
      </c>
      <c r="H59" s="14">
        <v>2500289.84</v>
      </c>
      <c r="I59" s="14">
        <v>2502550.36</v>
      </c>
      <c r="J59" s="14">
        <v>2500289.84</v>
      </c>
      <c r="K59" s="12">
        <v>3141</v>
      </c>
      <c r="L59" s="10" t="s">
        <v>101</v>
      </c>
      <c r="M59" s="10" t="s">
        <v>102</v>
      </c>
      <c r="N59" s="124" t="s">
        <v>345</v>
      </c>
      <c r="O59" s="124" t="s">
        <v>345</v>
      </c>
      <c r="P59" s="21">
        <v>33</v>
      </c>
      <c r="Q59" s="10" t="s">
        <v>54</v>
      </c>
      <c r="R59" s="10" t="s">
        <v>28</v>
      </c>
      <c r="S59" s="10"/>
      <c r="T59" s="10"/>
      <c r="U59" s="10" t="s">
        <v>801</v>
      </c>
      <c r="V59" s="10" t="s">
        <v>801</v>
      </c>
      <c r="W59" s="50">
        <f>+J59/$W$2</f>
        <v>3.0600161646841019E-5</v>
      </c>
    </row>
    <row r="60" spans="1:23">
      <c r="A60" s="10" t="s">
        <v>334</v>
      </c>
      <c r="B60" s="10" t="s">
        <v>358</v>
      </c>
      <c r="C60" s="124">
        <v>46325</v>
      </c>
      <c r="D60" s="124" t="s">
        <v>471</v>
      </c>
      <c r="E60" s="21">
        <v>0.99906936000000002</v>
      </c>
      <c r="F60" s="10"/>
      <c r="G60" s="14">
        <v>990902.64</v>
      </c>
      <c r="H60" s="14">
        <v>989980.47</v>
      </c>
      <c r="I60" s="14">
        <v>990902.64</v>
      </c>
      <c r="J60" s="14">
        <v>989980.47</v>
      </c>
      <c r="K60" s="12">
        <v>2957</v>
      </c>
      <c r="L60" s="10" t="s">
        <v>101</v>
      </c>
      <c r="M60" s="10" t="s">
        <v>102</v>
      </c>
      <c r="N60" s="124" t="s">
        <v>311</v>
      </c>
      <c r="O60" s="124" t="s">
        <v>311</v>
      </c>
      <c r="P60" s="21">
        <v>34</v>
      </c>
      <c r="Q60" s="10" t="s">
        <v>54</v>
      </c>
      <c r="R60" s="10" t="s">
        <v>28</v>
      </c>
      <c r="S60" s="10"/>
      <c r="T60" s="10"/>
      <c r="U60" s="10" t="s">
        <v>706</v>
      </c>
      <c r="V60" s="10" t="s">
        <v>706</v>
      </c>
      <c r="W60" s="50">
        <f>+J60/$W$2</f>
        <v>1.2116020280758988E-5</v>
      </c>
    </row>
    <row r="61" spans="1:23">
      <c r="A61" s="10" t="s">
        <v>334</v>
      </c>
      <c r="B61" s="10" t="s">
        <v>358</v>
      </c>
      <c r="C61" s="124">
        <v>46325</v>
      </c>
      <c r="D61" s="124" t="s">
        <v>471</v>
      </c>
      <c r="E61" s="21">
        <v>0.99906936000000002</v>
      </c>
      <c r="F61" s="10"/>
      <c r="G61" s="14">
        <v>1020845.65</v>
      </c>
      <c r="H61" s="14">
        <v>1019895.61</v>
      </c>
      <c r="I61" s="14">
        <v>1020845.65</v>
      </c>
      <c r="J61" s="14">
        <v>1019895.61</v>
      </c>
      <c r="K61" s="12">
        <v>2907</v>
      </c>
      <c r="L61" s="10" t="s">
        <v>101</v>
      </c>
      <c r="M61" s="10" t="s">
        <v>102</v>
      </c>
      <c r="N61" s="124" t="s">
        <v>311</v>
      </c>
      <c r="O61" s="124" t="s">
        <v>311</v>
      </c>
      <c r="P61" s="21">
        <v>34</v>
      </c>
      <c r="Q61" s="10" t="s">
        <v>54</v>
      </c>
      <c r="R61" s="10" t="s">
        <v>28</v>
      </c>
      <c r="S61" s="10"/>
      <c r="T61" s="10"/>
      <c r="U61" s="10" t="s">
        <v>707</v>
      </c>
      <c r="V61" s="10" t="s">
        <v>707</v>
      </c>
      <c r="W61" s="50">
        <f>+J61/$W$2</f>
        <v>1.2482141082052921E-5</v>
      </c>
    </row>
    <row r="62" spans="1:23">
      <c r="A62" s="10" t="s">
        <v>1606</v>
      </c>
      <c r="B62" s="10" t="s">
        <v>358</v>
      </c>
      <c r="C62" s="124">
        <v>46325</v>
      </c>
      <c r="D62" s="124" t="s">
        <v>471</v>
      </c>
      <c r="E62" s="21">
        <v>0.99917876000000005</v>
      </c>
      <c r="F62" s="10"/>
      <c r="G62" s="14">
        <v>1852533.42</v>
      </c>
      <c r="H62" s="14">
        <v>1851012.05</v>
      </c>
      <c r="I62" s="14">
        <v>1852533.42</v>
      </c>
      <c r="J62" s="14">
        <v>1851012.05</v>
      </c>
      <c r="K62" s="12">
        <v>20521666</v>
      </c>
      <c r="L62" s="10" t="s">
        <v>101</v>
      </c>
      <c r="M62" s="10" t="s">
        <v>102</v>
      </c>
      <c r="N62" s="124" t="s">
        <v>487</v>
      </c>
      <c r="O62" s="124" t="s">
        <v>487</v>
      </c>
      <c r="P62" s="21">
        <v>30</v>
      </c>
      <c r="Q62" s="10" t="s">
        <v>54</v>
      </c>
      <c r="R62" s="10" t="s">
        <v>28</v>
      </c>
      <c r="S62" s="10"/>
      <c r="T62" s="10"/>
      <c r="U62" s="10" t="s">
        <v>1594</v>
      </c>
      <c r="V62" s="10" t="s">
        <v>1594</v>
      </c>
      <c r="W62" s="50">
        <f>+J62/$W$2</f>
        <v>2.2653880775778607E-5</v>
      </c>
    </row>
    <row r="63" spans="1:23">
      <c r="A63" s="10" t="s">
        <v>1744</v>
      </c>
      <c r="B63" s="10" t="s">
        <v>358</v>
      </c>
      <c r="C63" s="124">
        <v>46325</v>
      </c>
      <c r="D63" s="124" t="s">
        <v>471</v>
      </c>
      <c r="E63" s="21">
        <v>0.99909671</v>
      </c>
      <c r="F63" s="10"/>
      <c r="G63" s="14">
        <v>5300000</v>
      </c>
      <c r="H63" s="14">
        <v>5295212.57</v>
      </c>
      <c r="I63" s="14">
        <v>5300000</v>
      </c>
      <c r="J63" s="14">
        <v>5295212.57</v>
      </c>
      <c r="K63" s="12">
        <v>8175670</v>
      </c>
      <c r="L63" s="10" t="s">
        <v>101</v>
      </c>
      <c r="M63" s="10" t="s">
        <v>102</v>
      </c>
      <c r="N63" s="124" t="s">
        <v>398</v>
      </c>
      <c r="O63" s="124" t="s">
        <v>398</v>
      </c>
      <c r="P63" s="21">
        <v>33</v>
      </c>
      <c r="Q63" s="10" t="s">
        <v>54</v>
      </c>
      <c r="R63" s="10" t="s">
        <v>28</v>
      </c>
      <c r="S63" s="10"/>
      <c r="T63" s="10"/>
      <c r="U63" s="10" t="s">
        <v>1642</v>
      </c>
      <c r="V63" s="10" t="s">
        <v>1642</v>
      </c>
      <c r="W63" s="50">
        <f>+J63/$W$2</f>
        <v>6.4806230863372408E-5</v>
      </c>
    </row>
    <row r="64" spans="1:23">
      <c r="A64" s="10" t="s">
        <v>1749</v>
      </c>
      <c r="B64" s="10" t="s">
        <v>358</v>
      </c>
      <c r="C64" s="124">
        <v>46325</v>
      </c>
      <c r="D64" s="124" t="s">
        <v>471</v>
      </c>
      <c r="E64" s="21">
        <v>0.99909672000000005</v>
      </c>
      <c r="F64" s="10"/>
      <c r="G64" s="14">
        <v>684028.33</v>
      </c>
      <c r="H64" s="14">
        <v>683410.46</v>
      </c>
      <c r="I64" s="14">
        <v>684028.33</v>
      </c>
      <c r="J64" s="14">
        <v>683410.46</v>
      </c>
      <c r="K64" s="12">
        <v>69287864</v>
      </c>
      <c r="L64" s="10" t="s">
        <v>101</v>
      </c>
      <c r="M64" s="10" t="s">
        <v>102</v>
      </c>
      <c r="N64" s="124" t="s">
        <v>398</v>
      </c>
      <c r="O64" s="124" t="s">
        <v>398</v>
      </c>
      <c r="P64" s="21">
        <v>33</v>
      </c>
      <c r="Q64" s="10" t="s">
        <v>54</v>
      </c>
      <c r="R64" s="10" t="s">
        <v>28</v>
      </c>
      <c r="S64" s="10"/>
      <c r="T64" s="10"/>
      <c r="U64" s="10" t="s">
        <v>1673</v>
      </c>
      <c r="V64" s="10" t="s">
        <v>1673</v>
      </c>
      <c r="W64" s="50">
        <f>+J64/$W$2</f>
        <v>8.3640185280047275E-6</v>
      </c>
    </row>
    <row r="65" spans="1:29">
      <c r="A65" s="10" t="s">
        <v>2487</v>
      </c>
      <c r="B65" s="10" t="s">
        <v>358</v>
      </c>
      <c r="C65" s="124">
        <v>46325</v>
      </c>
      <c r="D65" s="124" t="s">
        <v>471</v>
      </c>
      <c r="E65" s="21">
        <v>0.99909671</v>
      </c>
      <c r="F65" s="10"/>
      <c r="G65" s="14">
        <v>95000000</v>
      </c>
      <c r="H65" s="14">
        <v>94914187.219999999</v>
      </c>
      <c r="I65" s="14">
        <v>95000000</v>
      </c>
      <c r="J65" s="14">
        <v>94914187.219999999</v>
      </c>
      <c r="K65" s="12">
        <v>3099</v>
      </c>
      <c r="L65" s="10" t="s">
        <v>101</v>
      </c>
      <c r="M65" s="10" t="s">
        <v>102</v>
      </c>
      <c r="N65" s="124" t="s">
        <v>603</v>
      </c>
      <c r="O65" s="124" t="s">
        <v>603</v>
      </c>
      <c r="P65" s="21">
        <v>33</v>
      </c>
      <c r="Q65" s="10" t="s">
        <v>54</v>
      </c>
      <c r="R65" s="10" t="s">
        <v>28</v>
      </c>
      <c r="S65" s="10"/>
      <c r="T65" s="10"/>
      <c r="U65" s="10" t="s">
        <v>2602</v>
      </c>
      <c r="V65" s="10" t="s">
        <v>2602</v>
      </c>
      <c r="W65" s="50">
        <f>+J65/$W$2</f>
        <v>1.1616211148986358E-3</v>
      </c>
    </row>
    <row r="66" spans="1:29">
      <c r="A66" s="10" t="s">
        <v>2487</v>
      </c>
      <c r="B66" s="10" t="s">
        <v>358</v>
      </c>
      <c r="C66" s="124">
        <v>46325</v>
      </c>
      <c r="D66" s="124" t="s">
        <v>471</v>
      </c>
      <c r="E66" s="21">
        <v>0.99909671</v>
      </c>
      <c r="F66" s="10"/>
      <c r="G66" s="14">
        <v>80000000</v>
      </c>
      <c r="H66" s="14">
        <v>79927736.75</v>
      </c>
      <c r="I66" s="14">
        <v>80000000</v>
      </c>
      <c r="J66" s="14">
        <v>79927736.75</v>
      </c>
      <c r="K66" s="12">
        <v>3038</v>
      </c>
      <c r="L66" s="10" t="s">
        <v>101</v>
      </c>
      <c r="M66" s="10" t="s">
        <v>102</v>
      </c>
      <c r="N66" s="124" t="s">
        <v>577</v>
      </c>
      <c r="O66" s="124" t="s">
        <v>577</v>
      </c>
      <c r="P66" s="21">
        <v>33</v>
      </c>
      <c r="Q66" s="10" t="s">
        <v>54</v>
      </c>
      <c r="R66" s="10" t="s">
        <v>28</v>
      </c>
      <c r="S66" s="10"/>
      <c r="T66" s="10"/>
      <c r="U66" s="10" t="s">
        <v>2478</v>
      </c>
      <c r="V66" s="10" t="s">
        <v>2478</v>
      </c>
      <c r="W66" s="50">
        <f>+J66/$W$2</f>
        <v>9.7820725640998291E-4</v>
      </c>
    </row>
    <row r="67" spans="1:29">
      <c r="A67" s="10" t="s">
        <v>947</v>
      </c>
      <c r="B67" s="10" t="s">
        <v>358</v>
      </c>
      <c r="C67" s="124">
        <v>46325</v>
      </c>
      <c r="D67" s="124" t="s">
        <v>471</v>
      </c>
      <c r="E67" s="21">
        <v>0.99912405999999998</v>
      </c>
      <c r="F67" s="10"/>
      <c r="G67" s="14">
        <v>5444206</v>
      </c>
      <c r="H67" s="14">
        <v>5439437.2000000002</v>
      </c>
      <c r="I67" s="14">
        <v>5444206</v>
      </c>
      <c r="J67" s="14">
        <v>5439437.2000000002</v>
      </c>
      <c r="K67" s="12">
        <v>3443</v>
      </c>
      <c r="L67" s="10" t="s">
        <v>101</v>
      </c>
      <c r="M67" s="10" t="s">
        <v>102</v>
      </c>
      <c r="N67" s="124" t="s">
        <v>373</v>
      </c>
      <c r="O67" s="124" t="s">
        <v>373</v>
      </c>
      <c r="P67" s="21">
        <v>32</v>
      </c>
      <c r="Q67" s="10" t="s">
        <v>54</v>
      </c>
      <c r="R67" s="10" t="s">
        <v>28</v>
      </c>
      <c r="S67" s="10"/>
      <c r="T67" s="10"/>
      <c r="U67" s="10" t="s">
        <v>1167</v>
      </c>
      <c r="V67" s="10" t="s">
        <v>1167</v>
      </c>
      <c r="W67" s="50">
        <f>+J67/$W$2</f>
        <v>6.6571345019679923E-5</v>
      </c>
    </row>
    <row r="68" spans="1:29">
      <c r="A68" s="10" t="s">
        <v>1175</v>
      </c>
      <c r="B68" s="10" t="s">
        <v>358</v>
      </c>
      <c r="C68" s="124">
        <v>46325</v>
      </c>
      <c r="D68" s="124" t="s">
        <v>471</v>
      </c>
      <c r="E68" s="21">
        <v>0.99906936999999996</v>
      </c>
      <c r="F68" s="10"/>
      <c r="G68" s="14">
        <v>12000000</v>
      </c>
      <c r="H68" s="14">
        <v>11988832.380000001</v>
      </c>
      <c r="I68" s="14">
        <v>12000000</v>
      </c>
      <c r="J68" s="14">
        <v>11988832.380000001</v>
      </c>
      <c r="K68" s="12">
        <v>14330927</v>
      </c>
      <c r="L68" s="10" t="s">
        <v>101</v>
      </c>
      <c r="M68" s="10" t="s">
        <v>102</v>
      </c>
      <c r="N68" s="124" t="s">
        <v>373</v>
      </c>
      <c r="O68" s="124" t="s">
        <v>373</v>
      </c>
      <c r="P68" s="21">
        <v>34</v>
      </c>
      <c r="Q68" s="10" t="s">
        <v>54</v>
      </c>
      <c r="R68" s="10" t="s">
        <v>28</v>
      </c>
      <c r="S68" s="10"/>
      <c r="T68" s="10"/>
      <c r="U68" s="10" t="s">
        <v>1159</v>
      </c>
      <c r="V68" s="10" t="s">
        <v>1159</v>
      </c>
      <c r="W68" s="50">
        <f>+J68/$W$2</f>
        <v>1.4672707256406791E-4</v>
      </c>
      <c r="AC68" s="47"/>
    </row>
    <row r="69" spans="1:29">
      <c r="A69" s="10" t="s">
        <v>1239</v>
      </c>
      <c r="B69" s="10" t="s">
        <v>358</v>
      </c>
      <c r="C69" s="124">
        <v>46325</v>
      </c>
      <c r="D69" s="124" t="s">
        <v>471</v>
      </c>
      <c r="E69" s="21">
        <v>0.99909671</v>
      </c>
      <c r="F69" s="10"/>
      <c r="G69" s="14">
        <v>20000000</v>
      </c>
      <c r="H69" s="14">
        <v>19981934.190000001</v>
      </c>
      <c r="I69" s="14">
        <v>20000000</v>
      </c>
      <c r="J69" s="14">
        <v>19981934.190000001</v>
      </c>
      <c r="K69" s="12">
        <v>174</v>
      </c>
      <c r="L69" s="10" t="s">
        <v>101</v>
      </c>
      <c r="M69" s="10" t="s">
        <v>102</v>
      </c>
      <c r="N69" s="124" t="s">
        <v>577</v>
      </c>
      <c r="O69" s="124" t="s">
        <v>577</v>
      </c>
      <c r="P69" s="21">
        <v>33</v>
      </c>
      <c r="Q69" s="10" t="s">
        <v>54</v>
      </c>
      <c r="R69" s="10" t="s">
        <v>28</v>
      </c>
      <c r="S69" s="10"/>
      <c r="T69" s="10"/>
      <c r="U69" s="10" t="s">
        <v>2466</v>
      </c>
      <c r="V69" s="10" t="s">
        <v>2466</v>
      </c>
      <c r="W69" s="50">
        <f>+J69/$W$2</f>
        <v>2.445518141330924E-4</v>
      </c>
      <c r="AC69" s="47"/>
    </row>
    <row r="70" spans="1:29">
      <c r="A70" s="10" t="s">
        <v>1394</v>
      </c>
      <c r="B70" s="10" t="s">
        <v>358</v>
      </c>
      <c r="C70" s="124">
        <v>46325</v>
      </c>
      <c r="D70" s="124" t="s">
        <v>471</v>
      </c>
      <c r="E70" s="21">
        <v>0.99906936000000002</v>
      </c>
      <c r="F70" s="10"/>
      <c r="G70" s="14">
        <v>12000000</v>
      </c>
      <c r="H70" s="14">
        <v>11988832.35</v>
      </c>
      <c r="I70" s="14">
        <v>12000000</v>
      </c>
      <c r="J70" s="14">
        <v>11988832.35</v>
      </c>
      <c r="K70" s="12">
        <v>151</v>
      </c>
      <c r="L70" s="10" t="s">
        <v>101</v>
      </c>
      <c r="M70" s="10" t="s">
        <v>102</v>
      </c>
      <c r="N70" s="124" t="s">
        <v>396</v>
      </c>
      <c r="O70" s="124" t="s">
        <v>396</v>
      </c>
      <c r="P70" s="21">
        <v>34</v>
      </c>
      <c r="Q70" s="10" t="s">
        <v>54</v>
      </c>
      <c r="R70" s="10" t="s">
        <v>28</v>
      </c>
      <c r="S70" s="10"/>
      <c r="T70" s="10"/>
      <c r="U70" s="10" t="s">
        <v>1378</v>
      </c>
      <c r="V70" s="10" t="s">
        <v>1378</v>
      </c>
      <c r="W70" s="50">
        <f>+J70/$W$2</f>
        <v>1.4672707219690853E-4</v>
      </c>
    </row>
    <row r="71" spans="1:29">
      <c r="A71" s="10" t="s">
        <v>1421</v>
      </c>
      <c r="B71" s="10" t="s">
        <v>358</v>
      </c>
      <c r="C71" s="124">
        <v>46325</v>
      </c>
      <c r="D71" s="124" t="s">
        <v>471</v>
      </c>
      <c r="E71" s="21">
        <v>0.99917876000000005</v>
      </c>
      <c r="F71" s="10"/>
      <c r="G71" s="14">
        <v>806741321.13</v>
      </c>
      <c r="H71" s="14">
        <v>806078795.47000003</v>
      </c>
      <c r="I71" s="14">
        <v>806741321.13</v>
      </c>
      <c r="J71" s="14">
        <v>806078795.47000003</v>
      </c>
      <c r="K71" s="12">
        <v>67</v>
      </c>
      <c r="L71" s="10" t="s">
        <v>101</v>
      </c>
      <c r="M71" s="10" t="s">
        <v>102</v>
      </c>
      <c r="N71" s="124" t="s">
        <v>508</v>
      </c>
      <c r="O71" s="124" t="s">
        <v>508</v>
      </c>
      <c r="P71" s="21">
        <v>30</v>
      </c>
      <c r="Q71" s="10" t="s">
        <v>54</v>
      </c>
      <c r="R71" s="10" t="s">
        <v>28</v>
      </c>
      <c r="S71" s="10"/>
      <c r="T71" s="10"/>
      <c r="U71" s="10" t="s">
        <v>3034</v>
      </c>
      <c r="V71" s="10" t="s">
        <v>3034</v>
      </c>
      <c r="W71" s="50">
        <f>+J71/$W$2</f>
        <v>9.8653128316807063E-3</v>
      </c>
    </row>
    <row r="72" spans="1:29">
      <c r="A72" s="10" t="s">
        <v>944</v>
      </c>
      <c r="B72" s="10" t="s">
        <v>358</v>
      </c>
      <c r="C72" s="124">
        <v>46325</v>
      </c>
      <c r="D72" s="124" t="s">
        <v>471</v>
      </c>
      <c r="E72" s="21">
        <v>0.99915140999999996</v>
      </c>
      <c r="F72" s="10"/>
      <c r="G72" s="14">
        <v>13560000</v>
      </c>
      <c r="H72" s="14">
        <v>13548493.119999999</v>
      </c>
      <c r="I72" s="14">
        <v>13560000</v>
      </c>
      <c r="J72" s="14">
        <v>13548493.119999999</v>
      </c>
      <c r="K72" s="12">
        <v>10881212</v>
      </c>
      <c r="L72" s="10" t="s">
        <v>101</v>
      </c>
      <c r="M72" s="10" t="s">
        <v>102</v>
      </c>
      <c r="N72" s="124" t="s">
        <v>162</v>
      </c>
      <c r="O72" s="124" t="s">
        <v>162</v>
      </c>
      <c r="P72" s="21">
        <v>31</v>
      </c>
      <c r="Q72" s="10" t="s">
        <v>54</v>
      </c>
      <c r="R72" s="10" t="s">
        <v>28</v>
      </c>
      <c r="S72" s="10"/>
      <c r="T72" s="10"/>
      <c r="U72" s="10" t="s">
        <v>1307</v>
      </c>
      <c r="V72" s="10" t="s">
        <v>1307</v>
      </c>
      <c r="W72" s="50">
        <f>+J72/$W$2</f>
        <v>1.6581520786530628E-4</v>
      </c>
    </row>
    <row r="73" spans="1:29">
      <c r="A73" s="10" t="s">
        <v>2824</v>
      </c>
      <c r="B73" s="10" t="s">
        <v>358</v>
      </c>
      <c r="C73" s="124">
        <v>46325</v>
      </c>
      <c r="D73" s="124" t="s">
        <v>471</v>
      </c>
      <c r="E73" s="21">
        <v>0.99912405999999998</v>
      </c>
      <c r="F73" s="10"/>
      <c r="G73" s="14">
        <v>766335.31</v>
      </c>
      <c r="H73" s="14">
        <v>765664.05</v>
      </c>
      <c r="I73" s="14">
        <v>766335.31</v>
      </c>
      <c r="J73" s="14">
        <v>765664.05</v>
      </c>
      <c r="K73" s="12">
        <v>50492550</v>
      </c>
      <c r="L73" s="10" t="s">
        <v>101</v>
      </c>
      <c r="M73" s="10" t="s">
        <v>102</v>
      </c>
      <c r="N73" s="124" t="s">
        <v>412</v>
      </c>
      <c r="O73" s="124" t="s">
        <v>412</v>
      </c>
      <c r="P73" s="21">
        <v>32</v>
      </c>
      <c r="Q73" s="10" t="s">
        <v>54</v>
      </c>
      <c r="R73" s="10" t="s">
        <v>28</v>
      </c>
      <c r="S73" s="10"/>
      <c r="T73" s="10"/>
      <c r="U73" s="10" t="s">
        <v>2789</v>
      </c>
      <c r="V73" s="10" t="s">
        <v>2789</v>
      </c>
      <c r="W73" s="50">
        <f>+J73/$W$2</f>
        <v>9.370691078429117E-6</v>
      </c>
    </row>
    <row r="74" spans="1:29">
      <c r="A74" s="10" t="s">
        <v>286</v>
      </c>
      <c r="B74" s="10" t="s">
        <v>358</v>
      </c>
      <c r="C74" s="124">
        <v>46325</v>
      </c>
      <c r="D74" s="124" t="s">
        <v>471</v>
      </c>
      <c r="E74" s="21">
        <v>0.99904201000000004</v>
      </c>
      <c r="F74" s="10"/>
      <c r="G74" s="14">
        <v>6500000</v>
      </c>
      <c r="H74" s="14">
        <v>6493773.0899999999</v>
      </c>
      <c r="I74" s="14">
        <v>6500000</v>
      </c>
      <c r="J74" s="14">
        <v>6493773.0899999999</v>
      </c>
      <c r="K74" s="12">
        <v>40773810</v>
      </c>
      <c r="L74" s="10" t="s">
        <v>101</v>
      </c>
      <c r="M74" s="10" t="s">
        <v>102</v>
      </c>
      <c r="N74" s="124" t="s">
        <v>312</v>
      </c>
      <c r="O74" s="124" t="s">
        <v>312</v>
      </c>
      <c r="P74" s="21">
        <v>35</v>
      </c>
      <c r="Q74" s="10" t="s">
        <v>54</v>
      </c>
      <c r="R74" s="10" t="s">
        <v>28</v>
      </c>
      <c r="S74" s="10"/>
      <c r="T74" s="10"/>
      <c r="U74" s="10" t="s">
        <v>1030</v>
      </c>
      <c r="V74" s="10" t="s">
        <v>1030</v>
      </c>
      <c r="W74" s="50">
        <f>+J74/$W$2</f>
        <v>7.9474988488497115E-5</v>
      </c>
    </row>
    <row r="75" spans="1:29">
      <c r="A75" s="10" t="s">
        <v>884</v>
      </c>
      <c r="B75" s="10" t="s">
        <v>358</v>
      </c>
      <c r="C75" s="124">
        <v>46325</v>
      </c>
      <c r="D75" s="124" t="s">
        <v>471</v>
      </c>
      <c r="E75" s="21">
        <v>0.99923346999999996</v>
      </c>
      <c r="F75" s="10"/>
      <c r="G75" s="14">
        <v>13004266.5</v>
      </c>
      <c r="H75" s="14">
        <v>12994298.310000001</v>
      </c>
      <c r="I75" s="14">
        <v>13004266.5</v>
      </c>
      <c r="J75" s="14">
        <v>12994298.310000001</v>
      </c>
      <c r="K75" s="12">
        <v>40294399</v>
      </c>
      <c r="L75" s="10" t="s">
        <v>101</v>
      </c>
      <c r="M75" s="10" t="s">
        <v>102</v>
      </c>
      <c r="N75" s="124" t="s">
        <v>410</v>
      </c>
      <c r="O75" s="124" t="s">
        <v>410</v>
      </c>
      <c r="P75" s="21">
        <v>28</v>
      </c>
      <c r="Q75" s="10" t="s">
        <v>54</v>
      </c>
      <c r="R75" s="10" t="s">
        <v>28</v>
      </c>
      <c r="S75" s="10"/>
      <c r="T75" s="10"/>
      <c r="U75" s="10" t="s">
        <v>1247</v>
      </c>
      <c r="V75" s="10" t="s">
        <v>1247</v>
      </c>
      <c r="W75" s="50">
        <f>+J75/$W$2</f>
        <v>1.5903261390418362E-4</v>
      </c>
    </row>
    <row r="76" spans="1:29">
      <c r="A76" s="10" t="s">
        <v>884</v>
      </c>
      <c r="B76" s="10" t="s">
        <v>358</v>
      </c>
      <c r="C76" s="124">
        <v>46325</v>
      </c>
      <c r="D76" s="124" t="s">
        <v>471</v>
      </c>
      <c r="E76" s="21">
        <v>0.99923346999999996</v>
      </c>
      <c r="F76" s="10"/>
      <c r="G76" s="14">
        <v>41120279.869999997</v>
      </c>
      <c r="H76" s="14">
        <v>41088759.829999998</v>
      </c>
      <c r="I76" s="14">
        <v>41120279.869999997</v>
      </c>
      <c r="J76" s="14">
        <v>41088759.829999998</v>
      </c>
      <c r="K76" s="12">
        <v>40294400</v>
      </c>
      <c r="L76" s="10" t="s">
        <v>101</v>
      </c>
      <c r="M76" s="10" t="s">
        <v>102</v>
      </c>
      <c r="N76" s="124" t="s">
        <v>410</v>
      </c>
      <c r="O76" s="124" t="s">
        <v>410</v>
      </c>
      <c r="P76" s="21">
        <v>28</v>
      </c>
      <c r="Q76" s="10" t="s">
        <v>54</v>
      </c>
      <c r="R76" s="10" t="s">
        <v>28</v>
      </c>
      <c r="S76" s="10"/>
      <c r="T76" s="10"/>
      <c r="U76" s="10" t="s">
        <v>1248</v>
      </c>
      <c r="V76" s="10" t="s">
        <v>1248</v>
      </c>
      <c r="W76" s="50">
        <f>+J76/$W$2</f>
        <v>5.0287077624017694E-4</v>
      </c>
    </row>
    <row r="77" spans="1:29">
      <c r="A77" s="10" t="s">
        <v>884</v>
      </c>
      <c r="B77" s="10" t="s">
        <v>358</v>
      </c>
      <c r="C77" s="124">
        <v>46325</v>
      </c>
      <c r="D77" s="124" t="s">
        <v>471</v>
      </c>
      <c r="E77" s="21">
        <v>0.99923346999999996</v>
      </c>
      <c r="F77" s="10"/>
      <c r="G77" s="14">
        <v>41120279.880000003</v>
      </c>
      <c r="H77" s="14">
        <v>41088759.840000004</v>
      </c>
      <c r="I77" s="14">
        <v>41120279.880000003</v>
      </c>
      <c r="J77" s="14">
        <v>41088759.840000004</v>
      </c>
      <c r="K77" s="12">
        <v>40294370</v>
      </c>
      <c r="L77" s="10" t="s">
        <v>101</v>
      </c>
      <c r="M77" s="10" t="s">
        <v>102</v>
      </c>
      <c r="N77" s="124" t="s">
        <v>410</v>
      </c>
      <c r="O77" s="124" t="s">
        <v>410</v>
      </c>
      <c r="P77" s="21">
        <v>28</v>
      </c>
      <c r="Q77" s="10" t="s">
        <v>54</v>
      </c>
      <c r="R77" s="10" t="s">
        <v>28</v>
      </c>
      <c r="S77" s="10"/>
      <c r="T77" s="10"/>
      <c r="U77" s="10" t="s">
        <v>1249</v>
      </c>
      <c r="V77" s="10" t="s">
        <v>1249</v>
      </c>
      <c r="W77" s="50">
        <f>+J77/$W$2</f>
        <v>5.0287077636256342E-4</v>
      </c>
    </row>
    <row r="78" spans="1:29">
      <c r="A78" s="10" t="s">
        <v>364</v>
      </c>
      <c r="B78" s="10" t="s">
        <v>358</v>
      </c>
      <c r="C78" s="124">
        <v>46325</v>
      </c>
      <c r="D78" s="124" t="s">
        <v>471</v>
      </c>
      <c r="E78" s="21">
        <v>0.99912405999999998</v>
      </c>
      <c r="F78" s="10"/>
      <c r="G78" s="14">
        <v>10655603.279999999</v>
      </c>
      <c r="H78" s="14">
        <v>10646269.58</v>
      </c>
      <c r="I78" s="14">
        <v>10655603.279999999</v>
      </c>
      <c r="J78" s="14">
        <v>10646269.58</v>
      </c>
      <c r="K78" s="12">
        <v>30833</v>
      </c>
      <c r="L78" s="10" t="s">
        <v>101</v>
      </c>
      <c r="M78" s="10" t="s">
        <v>102</v>
      </c>
      <c r="N78" s="124" t="s">
        <v>371</v>
      </c>
      <c r="O78" s="124" t="s">
        <v>371</v>
      </c>
      <c r="P78" s="21">
        <v>32</v>
      </c>
      <c r="Q78" s="10" t="s">
        <v>54</v>
      </c>
      <c r="R78" s="10" t="s">
        <v>28</v>
      </c>
      <c r="S78" s="10"/>
      <c r="T78" s="10"/>
      <c r="U78" s="10" t="s">
        <v>689</v>
      </c>
      <c r="V78" s="10" t="s">
        <v>689</v>
      </c>
      <c r="W78" s="50">
        <f>+J78/$W$2</f>
        <v>1.3029592204552023E-4</v>
      </c>
    </row>
    <row r="79" spans="1:29">
      <c r="A79" s="10" t="s">
        <v>495</v>
      </c>
      <c r="B79" s="10" t="s">
        <v>358</v>
      </c>
      <c r="C79" s="124">
        <v>46325</v>
      </c>
      <c r="D79" s="124" t="s">
        <v>471</v>
      </c>
      <c r="E79" s="21">
        <v>0.99912405999999998</v>
      </c>
      <c r="F79" s="10"/>
      <c r="G79" s="14">
        <v>50000000</v>
      </c>
      <c r="H79" s="14">
        <v>49956202.899999999</v>
      </c>
      <c r="I79" s="14">
        <v>50000000</v>
      </c>
      <c r="J79" s="14">
        <v>49956202.899999999</v>
      </c>
      <c r="K79" s="12">
        <v>6691</v>
      </c>
      <c r="L79" s="10" t="s">
        <v>101</v>
      </c>
      <c r="M79" s="10" t="s">
        <v>102</v>
      </c>
      <c r="N79" s="124" t="s">
        <v>479</v>
      </c>
      <c r="O79" s="124" t="s">
        <v>479</v>
      </c>
      <c r="P79" s="21">
        <v>32</v>
      </c>
      <c r="Q79" s="10" t="s">
        <v>54</v>
      </c>
      <c r="R79" s="10" t="s">
        <v>28</v>
      </c>
      <c r="S79" s="10"/>
      <c r="T79" s="10"/>
      <c r="U79" s="10" t="s">
        <v>1185</v>
      </c>
      <c r="V79" s="10" t="s">
        <v>1185</v>
      </c>
      <c r="W79" s="50">
        <f>+J79/$W$2</f>
        <v>6.1139627076290802E-4</v>
      </c>
    </row>
    <row r="80" spans="1:29">
      <c r="A80" s="10" t="s">
        <v>495</v>
      </c>
      <c r="B80" s="10" t="s">
        <v>358</v>
      </c>
      <c r="C80" s="124">
        <v>46325</v>
      </c>
      <c r="D80" s="124" t="s">
        <v>471</v>
      </c>
      <c r="E80" s="21">
        <v>0.99912405999999998</v>
      </c>
      <c r="F80" s="10"/>
      <c r="G80" s="14">
        <v>50000000</v>
      </c>
      <c r="H80" s="14">
        <v>49956202.899999999</v>
      </c>
      <c r="I80" s="14">
        <v>50000000</v>
      </c>
      <c r="J80" s="14">
        <v>49956202.899999999</v>
      </c>
      <c r="K80" s="12">
        <v>6690</v>
      </c>
      <c r="L80" s="10" t="s">
        <v>101</v>
      </c>
      <c r="M80" s="10" t="s">
        <v>102</v>
      </c>
      <c r="N80" s="124" t="s">
        <v>479</v>
      </c>
      <c r="O80" s="124" t="s">
        <v>479</v>
      </c>
      <c r="P80" s="21">
        <v>32</v>
      </c>
      <c r="Q80" s="10" t="s">
        <v>54</v>
      </c>
      <c r="R80" s="10" t="s">
        <v>28</v>
      </c>
      <c r="S80" s="10"/>
      <c r="T80" s="10"/>
      <c r="U80" s="10" t="s">
        <v>1191</v>
      </c>
      <c r="V80" s="10" t="s">
        <v>1191</v>
      </c>
      <c r="W80" s="50">
        <f>+J80/$W$2</f>
        <v>6.1139627076290802E-4</v>
      </c>
    </row>
    <row r="81" spans="1:23">
      <c r="A81" s="10" t="s">
        <v>3053</v>
      </c>
      <c r="B81" s="10" t="s">
        <v>358</v>
      </c>
      <c r="C81" s="124">
        <v>46325</v>
      </c>
      <c r="D81" s="124" t="s">
        <v>471</v>
      </c>
      <c r="E81" s="21">
        <v>0.99917876999999999</v>
      </c>
      <c r="F81" s="10"/>
      <c r="G81" s="14">
        <v>525551.4</v>
      </c>
      <c r="H81" s="14">
        <v>525119.80000000005</v>
      </c>
      <c r="I81" s="14">
        <v>525551.4</v>
      </c>
      <c r="J81" s="14">
        <v>525119.80000000005</v>
      </c>
      <c r="K81" s="12">
        <v>1202</v>
      </c>
      <c r="L81" s="10" t="s">
        <v>101</v>
      </c>
      <c r="M81" s="10" t="s">
        <v>102</v>
      </c>
      <c r="N81" s="124" t="s">
        <v>508</v>
      </c>
      <c r="O81" s="124" t="s">
        <v>508</v>
      </c>
      <c r="P81" s="21">
        <v>30</v>
      </c>
      <c r="Q81" s="10" t="s">
        <v>54</v>
      </c>
      <c r="R81" s="10" t="s">
        <v>28</v>
      </c>
      <c r="S81" s="10"/>
      <c r="T81" s="10"/>
      <c r="U81" s="10" t="s">
        <v>3003</v>
      </c>
      <c r="V81" s="10" t="s">
        <v>3003</v>
      </c>
      <c r="W81" s="50">
        <f>+J81/$W$2</f>
        <v>6.4267552132903232E-6</v>
      </c>
    </row>
    <row r="82" spans="1:23">
      <c r="A82" s="10" t="s">
        <v>433</v>
      </c>
      <c r="B82" s="10" t="s">
        <v>358</v>
      </c>
      <c r="C82" s="124">
        <v>46325</v>
      </c>
      <c r="D82" s="124" t="s">
        <v>471</v>
      </c>
      <c r="E82" s="21">
        <v>0.99909671</v>
      </c>
      <c r="F82" s="10"/>
      <c r="G82" s="14">
        <v>25000000</v>
      </c>
      <c r="H82" s="14">
        <v>24977417.699999999</v>
      </c>
      <c r="I82" s="14">
        <v>25000000</v>
      </c>
      <c r="J82" s="14">
        <v>24977417.699999999</v>
      </c>
      <c r="K82" s="12">
        <v>14422593</v>
      </c>
      <c r="L82" s="10" t="s">
        <v>101</v>
      </c>
      <c r="M82" s="10" t="s">
        <v>102</v>
      </c>
      <c r="N82" s="124" t="s">
        <v>365</v>
      </c>
      <c r="O82" s="124" t="s">
        <v>365</v>
      </c>
      <c r="P82" s="21">
        <v>33</v>
      </c>
      <c r="Q82" s="10" t="s">
        <v>54</v>
      </c>
      <c r="R82" s="10" t="s">
        <v>28</v>
      </c>
      <c r="S82" s="10"/>
      <c r="T82" s="10"/>
      <c r="U82" s="10" t="s">
        <v>1343</v>
      </c>
      <c r="V82" s="10" t="s">
        <v>1343</v>
      </c>
      <c r="W82" s="50">
        <f>+J82/$W$2</f>
        <v>3.0568976720741624E-4</v>
      </c>
    </row>
    <row r="83" spans="1:23">
      <c r="A83" s="10" t="s">
        <v>433</v>
      </c>
      <c r="B83" s="10" t="s">
        <v>358</v>
      </c>
      <c r="C83" s="124">
        <v>46325</v>
      </c>
      <c r="D83" s="124" t="s">
        <v>471</v>
      </c>
      <c r="E83" s="21">
        <v>0.99912405999999998</v>
      </c>
      <c r="F83" s="10"/>
      <c r="G83" s="14">
        <v>10000000</v>
      </c>
      <c r="H83" s="14">
        <v>9991240.5999999996</v>
      </c>
      <c r="I83" s="14">
        <v>10000000</v>
      </c>
      <c r="J83" s="14">
        <v>9991240.5999999996</v>
      </c>
      <c r="K83" s="12">
        <v>14422570</v>
      </c>
      <c r="L83" s="10" t="s">
        <v>101</v>
      </c>
      <c r="M83" s="10" t="s">
        <v>102</v>
      </c>
      <c r="N83" s="124" t="s">
        <v>162</v>
      </c>
      <c r="O83" s="124" t="s">
        <v>162</v>
      </c>
      <c r="P83" s="21">
        <v>32</v>
      </c>
      <c r="Q83" s="10" t="s">
        <v>54</v>
      </c>
      <c r="R83" s="10" t="s">
        <v>28</v>
      </c>
      <c r="S83" s="10"/>
      <c r="T83" s="10"/>
      <c r="U83" s="10" t="s">
        <v>1277</v>
      </c>
      <c r="V83" s="10" t="s">
        <v>1277</v>
      </c>
      <c r="W83" s="50">
        <f>+J83/$W$2</f>
        <v>1.2227925439735451E-4</v>
      </c>
    </row>
    <row r="84" spans="1:23">
      <c r="A84" s="10" t="s">
        <v>184</v>
      </c>
      <c r="B84" s="10" t="s">
        <v>358</v>
      </c>
      <c r="C84" s="124">
        <v>46325</v>
      </c>
      <c r="D84" s="124" t="s">
        <v>471</v>
      </c>
      <c r="E84" s="21">
        <v>0.99898732999999995</v>
      </c>
      <c r="F84" s="10"/>
      <c r="G84" s="14">
        <v>10000000</v>
      </c>
      <c r="H84" s="14">
        <v>9989873.2899999991</v>
      </c>
      <c r="I84" s="14">
        <v>10000000</v>
      </c>
      <c r="J84" s="14">
        <v>9989873.2899999991</v>
      </c>
      <c r="K84" s="12">
        <v>16854860</v>
      </c>
      <c r="L84" s="10" t="s">
        <v>101</v>
      </c>
      <c r="M84" s="10" t="s">
        <v>102</v>
      </c>
      <c r="N84" s="124" t="s">
        <v>365</v>
      </c>
      <c r="O84" s="124" t="s">
        <v>365</v>
      </c>
      <c r="P84" s="21">
        <v>37</v>
      </c>
      <c r="Q84" s="10" t="s">
        <v>54</v>
      </c>
      <c r="R84" s="10" t="s">
        <v>28</v>
      </c>
      <c r="S84" s="10"/>
      <c r="T84" s="10"/>
      <c r="U84" s="10" t="s">
        <v>1349</v>
      </c>
      <c r="V84" s="10" t="s">
        <v>1349</v>
      </c>
      <c r="W84" s="50">
        <f>+J84/$W$2</f>
        <v>1.2226252037462164E-4</v>
      </c>
    </row>
    <row r="85" spans="1:23">
      <c r="A85" s="10" t="s">
        <v>519</v>
      </c>
      <c r="B85" s="10" t="s">
        <v>358</v>
      </c>
      <c r="C85" s="124">
        <v>46325</v>
      </c>
      <c r="D85" s="124" t="s">
        <v>471</v>
      </c>
      <c r="E85" s="21">
        <v>0.99912405999999998</v>
      </c>
      <c r="F85" s="10"/>
      <c r="G85" s="14">
        <v>100000000</v>
      </c>
      <c r="H85" s="14">
        <v>99912405.829999998</v>
      </c>
      <c r="I85" s="14">
        <v>100000000</v>
      </c>
      <c r="J85" s="14">
        <v>99912405.829999998</v>
      </c>
      <c r="K85" s="12">
        <v>164</v>
      </c>
      <c r="L85" s="10" t="s">
        <v>101</v>
      </c>
      <c r="M85" s="10" t="s">
        <v>102</v>
      </c>
      <c r="N85" s="124" t="s">
        <v>275</v>
      </c>
      <c r="O85" s="124" t="s">
        <v>275</v>
      </c>
      <c r="P85" s="21">
        <v>32</v>
      </c>
      <c r="Q85" s="10" t="s">
        <v>54</v>
      </c>
      <c r="R85" s="10" t="s">
        <v>28</v>
      </c>
      <c r="S85" s="10"/>
      <c r="T85" s="10"/>
      <c r="U85" s="10" t="s">
        <v>835</v>
      </c>
      <c r="V85" s="10" t="s">
        <v>835</v>
      </c>
      <c r="W85" s="50">
        <f>+J85/$W$2</f>
        <v>1.2227925418929755E-3</v>
      </c>
    </row>
    <row r="86" spans="1:23">
      <c r="A86" s="10" t="s">
        <v>782</v>
      </c>
      <c r="B86" s="10" t="s">
        <v>358</v>
      </c>
      <c r="C86" s="124">
        <v>46325</v>
      </c>
      <c r="D86" s="124" t="s">
        <v>471</v>
      </c>
      <c r="E86" s="21">
        <v>0.99909671</v>
      </c>
      <c r="F86" s="10"/>
      <c r="G86" s="14">
        <v>5556718.4800000004</v>
      </c>
      <c r="H86" s="14">
        <v>5551699.1600000001</v>
      </c>
      <c r="I86" s="14">
        <v>5556718.4800000004</v>
      </c>
      <c r="J86" s="14">
        <v>5551699.1600000001</v>
      </c>
      <c r="K86" s="12">
        <v>10568414</v>
      </c>
      <c r="L86" s="10" t="s">
        <v>101</v>
      </c>
      <c r="M86" s="10" t="s">
        <v>102</v>
      </c>
      <c r="N86" s="124" t="s">
        <v>398</v>
      </c>
      <c r="O86" s="124" t="s">
        <v>398</v>
      </c>
      <c r="P86" s="21">
        <v>33</v>
      </c>
      <c r="Q86" s="10" t="s">
        <v>54</v>
      </c>
      <c r="R86" s="10" t="s">
        <v>28</v>
      </c>
      <c r="S86" s="10"/>
      <c r="T86" s="10"/>
      <c r="U86" s="10" t="s">
        <v>1664</v>
      </c>
      <c r="V86" s="10" t="s">
        <v>1664</v>
      </c>
      <c r="W86" s="50">
        <f>+J86/$W$2</f>
        <v>6.7945279380342361E-5</v>
      </c>
    </row>
    <row r="87" spans="1:23">
      <c r="A87" s="10" t="s">
        <v>2820</v>
      </c>
      <c r="B87" s="10" t="s">
        <v>358</v>
      </c>
      <c r="C87" s="124">
        <v>46325</v>
      </c>
      <c r="D87" s="124" t="s">
        <v>471</v>
      </c>
      <c r="E87" s="21">
        <v>0.99915140999999996</v>
      </c>
      <c r="F87" s="10"/>
      <c r="G87" s="14">
        <v>19271560.989999998</v>
      </c>
      <c r="H87" s="14">
        <v>19255207.43</v>
      </c>
      <c r="I87" s="14">
        <v>19271560.989999998</v>
      </c>
      <c r="J87" s="14">
        <v>19255207.43</v>
      </c>
      <c r="K87" s="12">
        <v>82628377</v>
      </c>
      <c r="L87" s="10" t="s">
        <v>101</v>
      </c>
      <c r="M87" s="10" t="s">
        <v>102</v>
      </c>
      <c r="N87" s="124" t="s">
        <v>413</v>
      </c>
      <c r="O87" s="124" t="s">
        <v>413</v>
      </c>
      <c r="P87" s="21">
        <v>31</v>
      </c>
      <c r="Q87" s="10" t="s">
        <v>54</v>
      </c>
      <c r="R87" s="10" t="s">
        <v>28</v>
      </c>
      <c r="S87" s="10"/>
      <c r="T87" s="10"/>
      <c r="U87" s="10" t="s">
        <v>2876</v>
      </c>
      <c r="V87" s="10" t="s">
        <v>2876</v>
      </c>
      <c r="W87" s="50">
        <f>+J87/$W$2</f>
        <v>2.3565766275379264E-4</v>
      </c>
    </row>
    <row r="88" spans="1:23">
      <c r="A88" s="10" t="s">
        <v>2873</v>
      </c>
      <c r="B88" s="10" t="s">
        <v>358</v>
      </c>
      <c r="C88" s="124">
        <v>46325</v>
      </c>
      <c r="D88" s="124" t="s">
        <v>471</v>
      </c>
      <c r="E88" s="21">
        <v>0.99912405999999998</v>
      </c>
      <c r="F88" s="10"/>
      <c r="G88" s="14">
        <v>15350000</v>
      </c>
      <c r="H88" s="14">
        <v>15336554.34</v>
      </c>
      <c r="I88" s="14">
        <v>15350000</v>
      </c>
      <c r="J88" s="14">
        <v>15336554.34</v>
      </c>
      <c r="K88" s="12">
        <v>1666</v>
      </c>
      <c r="L88" s="10" t="s">
        <v>101</v>
      </c>
      <c r="M88" s="10" t="s">
        <v>102</v>
      </c>
      <c r="N88" s="124" t="s">
        <v>445</v>
      </c>
      <c r="O88" s="124" t="s">
        <v>445</v>
      </c>
      <c r="P88" s="21">
        <v>32</v>
      </c>
      <c r="Q88" s="10" t="s">
        <v>54</v>
      </c>
      <c r="R88" s="10" t="s">
        <v>28</v>
      </c>
      <c r="S88" s="10"/>
      <c r="T88" s="10"/>
      <c r="U88" s="10" t="s">
        <v>2866</v>
      </c>
      <c r="V88" s="10" t="s">
        <v>2866</v>
      </c>
      <c r="W88" s="50">
        <f>+J88/$W$2</f>
        <v>1.8769865573247345E-4</v>
      </c>
    </row>
    <row r="89" spans="1:23">
      <c r="A89" s="10" t="s">
        <v>3093</v>
      </c>
      <c r="B89" s="10" t="s">
        <v>358</v>
      </c>
      <c r="C89" s="124">
        <v>46325</v>
      </c>
      <c r="D89" s="124" t="s">
        <v>471</v>
      </c>
      <c r="E89" s="21">
        <v>0.99917876999999999</v>
      </c>
      <c r="F89" s="10"/>
      <c r="G89" s="14">
        <v>3930000</v>
      </c>
      <c r="H89" s="14">
        <v>3926772.56</v>
      </c>
      <c r="I89" s="14">
        <v>3930000</v>
      </c>
      <c r="J89" s="14">
        <v>3926772.56</v>
      </c>
      <c r="K89" s="12">
        <v>90000100</v>
      </c>
      <c r="L89" s="10" t="s">
        <v>101</v>
      </c>
      <c r="M89" s="10" t="s">
        <v>102</v>
      </c>
      <c r="N89" s="124" t="s">
        <v>446</v>
      </c>
      <c r="O89" s="124" t="s">
        <v>446</v>
      </c>
      <c r="P89" s="21">
        <v>30</v>
      </c>
      <c r="Q89" s="10" t="s">
        <v>54</v>
      </c>
      <c r="R89" s="10" t="s">
        <v>28</v>
      </c>
      <c r="S89" s="10"/>
      <c r="T89" s="10"/>
      <c r="U89" s="10" t="s">
        <v>3096</v>
      </c>
      <c r="V89" s="10" t="s">
        <v>3096</v>
      </c>
      <c r="W89" s="50">
        <f>+J89/$W$2</f>
        <v>4.805837833840085E-5</v>
      </c>
    </row>
    <row r="90" spans="1:23">
      <c r="A90" s="10" t="s">
        <v>271</v>
      </c>
      <c r="B90" s="10" t="s">
        <v>358</v>
      </c>
      <c r="C90" s="124">
        <v>46325</v>
      </c>
      <c r="D90" s="124" t="s">
        <v>471</v>
      </c>
      <c r="E90" s="21">
        <v>0.99928817999999997</v>
      </c>
      <c r="F90" s="10"/>
      <c r="G90" s="14">
        <v>4000000</v>
      </c>
      <c r="H90" s="14">
        <v>3997152.73</v>
      </c>
      <c r="I90" s="14">
        <v>4000000</v>
      </c>
      <c r="J90" s="14">
        <v>3997152.73</v>
      </c>
      <c r="K90" s="12">
        <v>90002228</v>
      </c>
      <c r="L90" s="10" t="s">
        <v>101</v>
      </c>
      <c r="M90" s="10" t="s">
        <v>102</v>
      </c>
      <c r="N90" s="124" t="s">
        <v>478</v>
      </c>
      <c r="O90" s="124" t="s">
        <v>478</v>
      </c>
      <c r="P90" s="21">
        <v>26</v>
      </c>
      <c r="Q90" s="10" t="s">
        <v>54</v>
      </c>
      <c r="R90" s="10" t="s">
        <v>28</v>
      </c>
      <c r="S90" s="10"/>
      <c r="T90" s="10"/>
      <c r="U90" s="10" t="s">
        <v>2115</v>
      </c>
      <c r="V90" s="10" t="s">
        <v>2115</v>
      </c>
      <c r="W90" s="50">
        <f>+J90/$W$2</f>
        <v>4.8919736307496199E-5</v>
      </c>
    </row>
    <row r="91" spans="1:23">
      <c r="A91" s="10" t="s">
        <v>677</v>
      </c>
      <c r="B91" s="10" t="s">
        <v>358</v>
      </c>
      <c r="C91" s="124">
        <v>46325</v>
      </c>
      <c r="D91" s="124" t="s">
        <v>471</v>
      </c>
      <c r="E91" s="21">
        <v>0.99898732999999995</v>
      </c>
      <c r="F91" s="10"/>
      <c r="G91" s="14">
        <v>15000000</v>
      </c>
      <c r="H91" s="14">
        <v>14984809.98</v>
      </c>
      <c r="I91" s="14">
        <v>15000000</v>
      </c>
      <c r="J91" s="14">
        <v>14984809.98</v>
      </c>
      <c r="K91" s="12">
        <v>2591</v>
      </c>
      <c r="L91" s="10" t="s">
        <v>101</v>
      </c>
      <c r="M91" s="10" t="s">
        <v>102</v>
      </c>
      <c r="N91" s="124" t="s">
        <v>332</v>
      </c>
      <c r="O91" s="124" t="s">
        <v>332</v>
      </c>
      <c r="P91" s="21">
        <v>37</v>
      </c>
      <c r="Q91" s="10" t="s">
        <v>54</v>
      </c>
      <c r="R91" s="10" t="s">
        <v>28</v>
      </c>
      <c r="S91" s="10"/>
      <c r="T91" s="10"/>
      <c r="U91" s="10" t="s">
        <v>915</v>
      </c>
      <c r="V91" s="10" t="s">
        <v>915</v>
      </c>
      <c r="W91" s="50">
        <f>+J91/$W$2</f>
        <v>1.8339378111267154E-4</v>
      </c>
    </row>
    <row r="92" spans="1:23">
      <c r="A92" s="10" t="s">
        <v>359</v>
      </c>
      <c r="B92" s="10" t="s">
        <v>358</v>
      </c>
      <c r="C92" s="124">
        <v>46325</v>
      </c>
      <c r="D92" s="124" t="s">
        <v>471</v>
      </c>
      <c r="E92" s="21">
        <v>0.99917876000000005</v>
      </c>
      <c r="F92" s="10"/>
      <c r="G92" s="14">
        <v>5000000</v>
      </c>
      <c r="H92" s="14">
        <v>4995893.79</v>
      </c>
      <c r="I92" s="14">
        <v>5000000</v>
      </c>
      <c r="J92" s="14">
        <v>4995893.79</v>
      </c>
      <c r="K92" s="12">
        <v>1203</v>
      </c>
      <c r="L92" s="10" t="s">
        <v>101</v>
      </c>
      <c r="M92" s="10" t="s">
        <v>102</v>
      </c>
      <c r="N92" s="124" t="s">
        <v>480</v>
      </c>
      <c r="O92" s="124" t="s">
        <v>480</v>
      </c>
      <c r="P92" s="21">
        <v>30</v>
      </c>
      <c r="Q92" s="10" t="s">
        <v>54</v>
      </c>
      <c r="R92" s="10" t="s">
        <v>28</v>
      </c>
      <c r="S92" s="10"/>
      <c r="T92" s="10"/>
      <c r="U92" s="10" t="s">
        <v>1521</v>
      </c>
      <c r="V92" s="10" t="s">
        <v>1521</v>
      </c>
      <c r="W92" s="50">
        <f>+J92/$W$2</f>
        <v>6.1142974345905924E-5</v>
      </c>
    </row>
    <row r="93" spans="1:23">
      <c r="A93" s="10" t="s">
        <v>359</v>
      </c>
      <c r="B93" s="10" t="s">
        <v>358</v>
      </c>
      <c r="C93" s="124">
        <v>46325</v>
      </c>
      <c r="D93" s="124" t="s">
        <v>471</v>
      </c>
      <c r="E93" s="21">
        <v>0.99917876000000005</v>
      </c>
      <c r="F93" s="10"/>
      <c r="G93" s="14">
        <v>4000000</v>
      </c>
      <c r="H93" s="14">
        <v>3996715.04</v>
      </c>
      <c r="I93" s="14">
        <v>4000000</v>
      </c>
      <c r="J93" s="14">
        <v>3996715.04</v>
      </c>
      <c r="K93" s="12">
        <v>1150</v>
      </c>
      <c r="L93" s="10" t="s">
        <v>101</v>
      </c>
      <c r="M93" s="10" t="s">
        <v>102</v>
      </c>
      <c r="N93" s="124" t="s">
        <v>405</v>
      </c>
      <c r="O93" s="124" t="s">
        <v>405</v>
      </c>
      <c r="P93" s="21">
        <v>30</v>
      </c>
      <c r="Q93" s="10" t="s">
        <v>54</v>
      </c>
      <c r="R93" s="10" t="s">
        <v>28</v>
      </c>
      <c r="S93" s="10"/>
      <c r="T93" s="10"/>
      <c r="U93" s="10" t="s">
        <v>1500</v>
      </c>
      <c r="V93" s="10" t="s">
        <v>1500</v>
      </c>
      <c r="W93" s="50">
        <f>+J93/$W$2</f>
        <v>4.8914379574633904E-5</v>
      </c>
    </row>
    <row r="94" spans="1:23">
      <c r="A94" s="10" t="s">
        <v>359</v>
      </c>
      <c r="B94" s="10" t="s">
        <v>358</v>
      </c>
      <c r="C94" s="124">
        <v>46325</v>
      </c>
      <c r="D94" s="124" t="s">
        <v>471</v>
      </c>
      <c r="E94" s="21">
        <v>0.99912405000000004</v>
      </c>
      <c r="F94" s="10"/>
      <c r="G94" s="14">
        <v>2000000</v>
      </c>
      <c r="H94" s="14">
        <v>1998248.11</v>
      </c>
      <c r="I94" s="14">
        <v>2000000</v>
      </c>
      <c r="J94" s="14">
        <v>1998248.11</v>
      </c>
      <c r="K94" s="12">
        <v>1077</v>
      </c>
      <c r="L94" s="10" t="s">
        <v>101</v>
      </c>
      <c r="M94" s="10" t="s">
        <v>102</v>
      </c>
      <c r="N94" s="124" t="s">
        <v>406</v>
      </c>
      <c r="O94" s="124" t="s">
        <v>406</v>
      </c>
      <c r="P94" s="21">
        <v>32</v>
      </c>
      <c r="Q94" s="10" t="s">
        <v>54</v>
      </c>
      <c r="R94" s="10" t="s">
        <v>28</v>
      </c>
      <c r="S94" s="10"/>
      <c r="T94" s="10"/>
      <c r="U94" s="10" t="s">
        <v>1179</v>
      </c>
      <c r="V94" s="10" t="s">
        <v>1179</v>
      </c>
      <c r="W94" s="50">
        <f>+J94/$W$2</f>
        <v>2.4455850757084449E-5</v>
      </c>
    </row>
    <row r="95" spans="1:23">
      <c r="A95" s="10" t="s">
        <v>359</v>
      </c>
      <c r="B95" s="10" t="s">
        <v>358</v>
      </c>
      <c r="C95" s="124">
        <v>46325</v>
      </c>
      <c r="D95" s="124" t="s">
        <v>471</v>
      </c>
      <c r="E95" s="21">
        <v>0.99912405999999998</v>
      </c>
      <c r="F95" s="10"/>
      <c r="G95" s="14">
        <v>3000000</v>
      </c>
      <c r="H95" s="14">
        <v>2997372.18</v>
      </c>
      <c r="I95" s="14">
        <v>3000000</v>
      </c>
      <c r="J95" s="14">
        <v>2997372.18</v>
      </c>
      <c r="K95" s="12">
        <v>1046</v>
      </c>
      <c r="L95" s="10" t="s">
        <v>101</v>
      </c>
      <c r="M95" s="10" t="s">
        <v>102</v>
      </c>
      <c r="N95" s="124" t="s">
        <v>373</v>
      </c>
      <c r="O95" s="124" t="s">
        <v>373</v>
      </c>
      <c r="P95" s="21">
        <v>32</v>
      </c>
      <c r="Q95" s="10" t="s">
        <v>54</v>
      </c>
      <c r="R95" s="10" t="s">
        <v>28</v>
      </c>
      <c r="S95" s="10"/>
      <c r="T95" s="10"/>
      <c r="U95" s="10" t="s">
        <v>1135</v>
      </c>
      <c r="V95" s="10" t="s">
        <v>1135</v>
      </c>
      <c r="W95" s="50">
        <f>+J95/$W$2</f>
        <v>3.6683776319206362E-5</v>
      </c>
    </row>
    <row r="96" spans="1:23">
      <c r="A96" s="10" t="s">
        <v>359</v>
      </c>
      <c r="B96" s="10" t="s">
        <v>358</v>
      </c>
      <c r="C96" s="124">
        <v>46325</v>
      </c>
      <c r="D96" s="124" t="s">
        <v>471</v>
      </c>
      <c r="E96" s="21">
        <v>0.99909671</v>
      </c>
      <c r="F96" s="10"/>
      <c r="G96" s="14">
        <v>2500000</v>
      </c>
      <c r="H96" s="14">
        <v>2497741.77</v>
      </c>
      <c r="I96" s="14">
        <v>2500000</v>
      </c>
      <c r="J96" s="14">
        <v>2497741.77</v>
      </c>
      <c r="K96" s="12">
        <v>1010</v>
      </c>
      <c r="L96" s="10" t="s">
        <v>101</v>
      </c>
      <c r="M96" s="10" t="s">
        <v>102</v>
      </c>
      <c r="N96" s="124" t="s">
        <v>161</v>
      </c>
      <c r="O96" s="124" t="s">
        <v>161</v>
      </c>
      <c r="P96" s="21">
        <v>33</v>
      </c>
      <c r="Q96" s="10" t="s">
        <v>54</v>
      </c>
      <c r="R96" s="10" t="s">
        <v>28</v>
      </c>
      <c r="S96" s="10"/>
      <c r="T96" s="10"/>
      <c r="U96" s="10" t="s">
        <v>1085</v>
      </c>
      <c r="V96" s="10" t="s">
        <v>1085</v>
      </c>
      <c r="W96" s="50">
        <f>+J96/$W$2</f>
        <v>3.0568976720741622E-5</v>
      </c>
    </row>
    <row r="97" spans="1:29">
      <c r="A97" s="10" t="s">
        <v>359</v>
      </c>
      <c r="B97" s="10" t="s">
        <v>358</v>
      </c>
      <c r="C97" s="124">
        <v>46325</v>
      </c>
      <c r="D97" s="124" t="s">
        <v>471</v>
      </c>
      <c r="E97" s="21">
        <v>0.99917876000000005</v>
      </c>
      <c r="F97" s="10"/>
      <c r="G97" s="14">
        <v>5000000</v>
      </c>
      <c r="H97" s="14">
        <v>4995893.79</v>
      </c>
      <c r="I97" s="14">
        <v>5000000</v>
      </c>
      <c r="J97" s="14">
        <v>4995893.79</v>
      </c>
      <c r="K97" s="12">
        <v>797</v>
      </c>
      <c r="L97" s="10" t="s">
        <v>101</v>
      </c>
      <c r="M97" s="10" t="s">
        <v>102</v>
      </c>
      <c r="N97" s="124" t="s">
        <v>371</v>
      </c>
      <c r="O97" s="124" t="s">
        <v>371</v>
      </c>
      <c r="P97" s="21">
        <v>30</v>
      </c>
      <c r="Q97" s="10" t="s">
        <v>54</v>
      </c>
      <c r="R97" s="10" t="s">
        <v>28</v>
      </c>
      <c r="S97" s="10"/>
      <c r="T97" s="10"/>
      <c r="U97" s="10" t="s">
        <v>693</v>
      </c>
      <c r="V97" s="10" t="s">
        <v>693</v>
      </c>
      <c r="W97" s="50">
        <f>+J97/$W$2</f>
        <v>6.1142974345905924E-5</v>
      </c>
    </row>
    <row r="98" spans="1:29">
      <c r="A98" s="10" t="s">
        <v>359</v>
      </c>
      <c r="B98" s="10" t="s">
        <v>358</v>
      </c>
      <c r="C98" s="124">
        <v>46325</v>
      </c>
      <c r="D98" s="124" t="s">
        <v>471</v>
      </c>
      <c r="E98" s="21">
        <v>0.99917876000000005</v>
      </c>
      <c r="F98" s="10"/>
      <c r="G98" s="14">
        <v>2500000</v>
      </c>
      <c r="H98" s="14">
        <v>2497946.91</v>
      </c>
      <c r="I98" s="14">
        <v>2500000</v>
      </c>
      <c r="J98" s="14">
        <v>2497946.91</v>
      </c>
      <c r="K98" s="12">
        <v>909</v>
      </c>
      <c r="L98" s="10" t="s">
        <v>101</v>
      </c>
      <c r="M98" s="10" t="s">
        <v>102</v>
      </c>
      <c r="N98" s="124" t="s">
        <v>332</v>
      </c>
      <c r="O98" s="124" t="s">
        <v>332</v>
      </c>
      <c r="P98" s="21">
        <v>30</v>
      </c>
      <c r="Q98" s="10" t="s">
        <v>54</v>
      </c>
      <c r="R98" s="10" t="s">
        <v>28</v>
      </c>
      <c r="S98" s="10"/>
      <c r="T98" s="10"/>
      <c r="U98" s="10" t="s">
        <v>912</v>
      </c>
      <c r="V98" s="10" t="s">
        <v>912</v>
      </c>
      <c r="W98" s="50">
        <f>+J98/$W$2</f>
        <v>3.0571487356532649E-5</v>
      </c>
    </row>
    <row r="99" spans="1:29">
      <c r="A99" s="10" t="s">
        <v>359</v>
      </c>
      <c r="B99" s="10" t="s">
        <v>358</v>
      </c>
      <c r="C99" s="124">
        <v>46325</v>
      </c>
      <c r="D99" s="124" t="s">
        <v>471</v>
      </c>
      <c r="E99" s="21">
        <v>0.99917876000000005</v>
      </c>
      <c r="F99" s="10"/>
      <c r="G99" s="14">
        <v>2500000</v>
      </c>
      <c r="H99" s="14">
        <v>2497946.9</v>
      </c>
      <c r="I99" s="14">
        <v>2500000</v>
      </c>
      <c r="J99" s="14">
        <v>2497946.9</v>
      </c>
      <c r="K99" s="12">
        <v>886</v>
      </c>
      <c r="L99" s="10" t="s">
        <v>101</v>
      </c>
      <c r="M99" s="10" t="s">
        <v>102</v>
      </c>
      <c r="N99" s="124" t="s">
        <v>409</v>
      </c>
      <c r="O99" s="124" t="s">
        <v>409</v>
      </c>
      <c r="P99" s="21">
        <v>30</v>
      </c>
      <c r="Q99" s="10" t="s">
        <v>54</v>
      </c>
      <c r="R99" s="10" t="s">
        <v>28</v>
      </c>
      <c r="S99" s="10"/>
      <c r="T99" s="10"/>
      <c r="U99" s="10" t="s">
        <v>907</v>
      </c>
      <c r="V99" s="10" t="s">
        <v>907</v>
      </c>
      <c r="W99" s="50">
        <f>+J99/$W$2</f>
        <v>3.0571487234146186E-5</v>
      </c>
    </row>
    <row r="100" spans="1:29">
      <c r="A100" s="10" t="s">
        <v>2442</v>
      </c>
      <c r="B100" s="10" t="s">
        <v>358</v>
      </c>
      <c r="C100" s="124">
        <v>46325</v>
      </c>
      <c r="D100" s="124" t="s">
        <v>471</v>
      </c>
      <c r="E100" s="21">
        <v>0.99917876000000005</v>
      </c>
      <c r="F100" s="10"/>
      <c r="G100" s="14">
        <v>2270000</v>
      </c>
      <c r="H100" s="14">
        <v>2268135.79</v>
      </c>
      <c r="I100" s="14">
        <v>2270000</v>
      </c>
      <c r="J100" s="14">
        <v>2268135.79</v>
      </c>
      <c r="K100" s="12">
        <v>10287265</v>
      </c>
      <c r="L100" s="10" t="s">
        <v>101</v>
      </c>
      <c r="M100" s="10" t="s">
        <v>102</v>
      </c>
      <c r="N100" s="124" t="s">
        <v>477</v>
      </c>
      <c r="O100" s="124" t="s">
        <v>477</v>
      </c>
      <c r="P100" s="21">
        <v>30</v>
      </c>
      <c r="Q100" s="10" t="s">
        <v>54</v>
      </c>
      <c r="R100" s="10" t="s">
        <v>28</v>
      </c>
      <c r="S100" s="10"/>
      <c r="T100" s="10"/>
      <c r="U100" s="10" t="s">
        <v>2423</v>
      </c>
      <c r="V100" s="10" t="s">
        <v>2423</v>
      </c>
      <c r="W100" s="50">
        <f>+J100/$W$2</f>
        <v>2.7758910467350239E-5</v>
      </c>
    </row>
    <row r="101" spans="1:29">
      <c r="A101" s="10" t="s">
        <v>2486</v>
      </c>
      <c r="B101" s="10" t="s">
        <v>358</v>
      </c>
      <c r="C101" s="124">
        <v>46325</v>
      </c>
      <c r="D101" s="124" t="s">
        <v>471</v>
      </c>
      <c r="E101" s="21">
        <v>0.99909671</v>
      </c>
      <c r="F101" s="10"/>
      <c r="G101" s="14">
        <v>60000000</v>
      </c>
      <c r="H101" s="14">
        <v>59945802.57</v>
      </c>
      <c r="I101" s="14">
        <v>60000000</v>
      </c>
      <c r="J101" s="14">
        <v>59945802.57</v>
      </c>
      <c r="K101" s="12">
        <v>20863</v>
      </c>
      <c r="L101" s="10" t="s">
        <v>101</v>
      </c>
      <c r="M101" s="10" t="s">
        <v>102</v>
      </c>
      <c r="N101" s="124" t="s">
        <v>577</v>
      </c>
      <c r="O101" s="124" t="s">
        <v>577</v>
      </c>
      <c r="P101" s="21">
        <v>33</v>
      </c>
      <c r="Q101" s="10" t="s">
        <v>54</v>
      </c>
      <c r="R101" s="10" t="s">
        <v>28</v>
      </c>
      <c r="S101" s="10"/>
      <c r="T101" s="10"/>
      <c r="U101" s="10" t="s">
        <v>2471</v>
      </c>
      <c r="V101" s="10" t="s">
        <v>2471</v>
      </c>
      <c r="W101" s="50">
        <f>+J101/$W$2</f>
        <v>7.3365544239927709E-4</v>
      </c>
    </row>
    <row r="102" spans="1:29">
      <c r="A102" s="10" t="s">
        <v>2541</v>
      </c>
      <c r="B102" s="10" t="s">
        <v>358</v>
      </c>
      <c r="C102" s="124">
        <v>46325</v>
      </c>
      <c r="D102" s="124" t="s">
        <v>471</v>
      </c>
      <c r="E102" s="21">
        <v>0.99917876000000005</v>
      </c>
      <c r="F102" s="10"/>
      <c r="G102" s="14">
        <v>5930000</v>
      </c>
      <c r="H102" s="14">
        <v>5925130.0599999996</v>
      </c>
      <c r="I102" s="14">
        <v>5930000</v>
      </c>
      <c r="J102" s="14">
        <v>5925130.0599999996</v>
      </c>
      <c r="K102" s="12">
        <v>1025</v>
      </c>
      <c r="L102" s="10" t="s">
        <v>101</v>
      </c>
      <c r="M102" s="10" t="s">
        <v>102</v>
      </c>
      <c r="N102" s="124" t="s">
        <v>452</v>
      </c>
      <c r="O102" s="124" t="s">
        <v>452</v>
      </c>
      <c r="P102" s="21">
        <v>30</v>
      </c>
      <c r="Q102" s="10" t="s">
        <v>54</v>
      </c>
      <c r="R102" s="10" t="s">
        <v>28</v>
      </c>
      <c r="S102" s="10"/>
      <c r="T102" s="10"/>
      <c r="U102" s="10" t="s">
        <v>2528</v>
      </c>
      <c r="V102" s="10" t="s">
        <v>2528</v>
      </c>
      <c r="W102" s="50">
        <f>+J102/$W$2</f>
        <v>7.2515567880944871E-5</v>
      </c>
    </row>
    <row r="103" spans="1:29">
      <c r="A103" s="10" t="s">
        <v>2741</v>
      </c>
      <c r="B103" s="10" t="s">
        <v>358</v>
      </c>
      <c r="C103" s="124">
        <v>46325</v>
      </c>
      <c r="D103" s="124" t="s">
        <v>471</v>
      </c>
      <c r="E103" s="21">
        <v>0.99912405999999998</v>
      </c>
      <c r="F103" s="10"/>
      <c r="G103" s="14">
        <v>90000000</v>
      </c>
      <c r="H103" s="14">
        <v>89921165.340000004</v>
      </c>
      <c r="I103" s="14">
        <v>90000000</v>
      </c>
      <c r="J103" s="14">
        <v>89921165.340000004</v>
      </c>
      <c r="K103" s="12">
        <v>572</v>
      </c>
      <c r="L103" s="10" t="s">
        <v>101</v>
      </c>
      <c r="M103" s="10" t="s">
        <v>102</v>
      </c>
      <c r="N103" s="124" t="s">
        <v>440</v>
      </c>
      <c r="O103" s="124" t="s">
        <v>440</v>
      </c>
      <c r="P103" s="21">
        <v>32</v>
      </c>
      <c r="Q103" s="10" t="s">
        <v>54</v>
      </c>
      <c r="R103" s="10" t="s">
        <v>28</v>
      </c>
      <c r="S103" s="10"/>
      <c r="T103" s="10"/>
      <c r="U103" s="10" t="s">
        <v>2698</v>
      </c>
      <c r="V103" s="10" t="s">
        <v>2698</v>
      </c>
      <c r="W103" s="50">
        <f>+J103/$W$2</f>
        <v>1.1005132888418721E-3</v>
      </c>
    </row>
    <row r="104" spans="1:29">
      <c r="A104" s="10" t="s">
        <v>334</v>
      </c>
      <c r="B104" s="10" t="s">
        <v>358</v>
      </c>
      <c r="C104" s="124">
        <v>46328</v>
      </c>
      <c r="D104" s="124" t="s">
        <v>471</v>
      </c>
      <c r="E104" s="21">
        <v>0.99607031999999995</v>
      </c>
      <c r="F104" s="10"/>
      <c r="G104" s="14">
        <v>3625698.78</v>
      </c>
      <c r="H104" s="14">
        <v>3611450.93</v>
      </c>
      <c r="I104" s="14">
        <v>3625698.78</v>
      </c>
      <c r="J104" s="14">
        <v>3611450.93</v>
      </c>
      <c r="K104" s="12">
        <v>3348</v>
      </c>
      <c r="L104" s="10" t="s">
        <v>101</v>
      </c>
      <c r="M104" s="10" t="s">
        <v>102</v>
      </c>
      <c r="N104" s="124" t="s">
        <v>331</v>
      </c>
      <c r="O104" s="124" t="s">
        <v>331</v>
      </c>
      <c r="P104" s="21">
        <v>36</v>
      </c>
      <c r="Q104" s="10" t="s">
        <v>54</v>
      </c>
      <c r="R104" s="10" t="s">
        <v>28</v>
      </c>
      <c r="S104" s="10"/>
      <c r="T104" s="10"/>
      <c r="U104" s="10" t="s">
        <v>1234</v>
      </c>
      <c r="V104" s="10" t="s">
        <v>1234</v>
      </c>
      <c r="W104" s="50">
        <f>+J104/$W$2</f>
        <v>4.4199268608648319E-5</v>
      </c>
    </row>
    <row r="105" spans="1:29">
      <c r="A105" s="10" t="s">
        <v>334</v>
      </c>
      <c r="B105" s="10" t="s">
        <v>358</v>
      </c>
      <c r="C105" s="124">
        <v>46328</v>
      </c>
      <c r="D105" s="124" t="s">
        <v>471</v>
      </c>
      <c r="E105" s="21">
        <v>0.99607031999999995</v>
      </c>
      <c r="F105" s="10"/>
      <c r="G105" s="14">
        <v>1874176.47</v>
      </c>
      <c r="H105" s="14">
        <v>1866811.55</v>
      </c>
      <c r="I105" s="14">
        <v>1874176.47</v>
      </c>
      <c r="J105" s="14">
        <v>1866811.55</v>
      </c>
      <c r="K105" s="12">
        <v>3467</v>
      </c>
      <c r="L105" s="10" t="s">
        <v>101</v>
      </c>
      <c r="M105" s="10" t="s">
        <v>102</v>
      </c>
      <c r="N105" s="124" t="s">
        <v>405</v>
      </c>
      <c r="O105" s="124" t="s">
        <v>405</v>
      </c>
      <c r="P105" s="21">
        <v>36</v>
      </c>
      <c r="Q105" s="10" t="s">
        <v>54</v>
      </c>
      <c r="R105" s="10" t="s">
        <v>28</v>
      </c>
      <c r="S105" s="10"/>
      <c r="T105" s="10"/>
      <c r="U105" s="10" t="s">
        <v>1512</v>
      </c>
      <c r="V105" s="10" t="s">
        <v>1512</v>
      </c>
      <c r="W105" s="50">
        <f>+J105/$W$2</f>
        <v>2.2847245259449533E-5</v>
      </c>
    </row>
    <row r="106" spans="1:29">
      <c r="A106" s="10" t="s">
        <v>334</v>
      </c>
      <c r="B106" s="10" t="s">
        <v>358</v>
      </c>
      <c r="C106" s="124">
        <v>46328</v>
      </c>
      <c r="D106" s="124" t="s">
        <v>471</v>
      </c>
      <c r="E106" s="21">
        <v>0.99639659000000003</v>
      </c>
      <c r="F106" s="10"/>
      <c r="G106" s="14">
        <v>2502550.36</v>
      </c>
      <c r="H106" s="14">
        <v>2493532.65</v>
      </c>
      <c r="I106" s="14">
        <v>2502550.36</v>
      </c>
      <c r="J106" s="14">
        <v>2493532.65</v>
      </c>
      <c r="K106" s="12">
        <v>3132</v>
      </c>
      <c r="L106" s="10" t="s">
        <v>101</v>
      </c>
      <c r="M106" s="10" t="s">
        <v>102</v>
      </c>
      <c r="N106" s="124" t="s">
        <v>345</v>
      </c>
      <c r="O106" s="124" t="s">
        <v>345</v>
      </c>
      <c r="P106" s="21">
        <v>33</v>
      </c>
      <c r="Q106" s="10" t="s">
        <v>54</v>
      </c>
      <c r="R106" s="10" t="s">
        <v>28</v>
      </c>
      <c r="S106" s="10"/>
      <c r="T106" s="10"/>
      <c r="U106" s="10" t="s">
        <v>799</v>
      </c>
      <c r="V106" s="10" t="s">
        <v>799</v>
      </c>
      <c r="W106" s="50">
        <f>+J106/$W$2</f>
        <v>3.0517462792104073E-5</v>
      </c>
    </row>
    <row r="107" spans="1:29">
      <c r="A107" s="10" t="s">
        <v>334</v>
      </c>
      <c r="B107" s="10" t="s">
        <v>358</v>
      </c>
      <c r="C107" s="124">
        <v>46328</v>
      </c>
      <c r="D107" s="124" t="s">
        <v>471</v>
      </c>
      <c r="E107" s="21">
        <v>0.99639659000000003</v>
      </c>
      <c r="F107" s="10"/>
      <c r="G107" s="14">
        <v>2502550.36</v>
      </c>
      <c r="H107" s="14">
        <v>2493532.65</v>
      </c>
      <c r="I107" s="14">
        <v>2502550.36</v>
      </c>
      <c r="J107" s="14">
        <v>2493532.65</v>
      </c>
      <c r="K107" s="12">
        <v>3142</v>
      </c>
      <c r="L107" s="10" t="s">
        <v>101</v>
      </c>
      <c r="M107" s="10" t="s">
        <v>102</v>
      </c>
      <c r="N107" s="124" t="s">
        <v>345</v>
      </c>
      <c r="O107" s="124" t="s">
        <v>345</v>
      </c>
      <c r="P107" s="21">
        <v>33</v>
      </c>
      <c r="Q107" s="10" t="s">
        <v>54</v>
      </c>
      <c r="R107" s="10" t="s">
        <v>28</v>
      </c>
      <c r="S107" s="10"/>
      <c r="T107" s="10"/>
      <c r="U107" s="10" t="s">
        <v>802</v>
      </c>
      <c r="V107" s="10" t="s">
        <v>802</v>
      </c>
      <c r="W107" s="50">
        <f>+J107/$W$2</f>
        <v>3.0517462792104073E-5</v>
      </c>
    </row>
    <row r="108" spans="1:29">
      <c r="A108" s="10" t="s">
        <v>334</v>
      </c>
      <c r="B108" s="10" t="s">
        <v>358</v>
      </c>
      <c r="C108" s="124">
        <v>46328</v>
      </c>
      <c r="D108" s="124" t="s">
        <v>471</v>
      </c>
      <c r="E108" s="21">
        <v>0.99628781</v>
      </c>
      <c r="F108" s="10"/>
      <c r="G108" s="14">
        <v>1020845.65</v>
      </c>
      <c r="H108" s="14">
        <v>1017056.08</v>
      </c>
      <c r="I108" s="14">
        <v>1020845.65</v>
      </c>
      <c r="J108" s="14">
        <v>1017056.08</v>
      </c>
      <c r="K108" s="12">
        <v>2908</v>
      </c>
      <c r="L108" s="10" t="s">
        <v>101</v>
      </c>
      <c r="M108" s="10" t="s">
        <v>102</v>
      </c>
      <c r="N108" s="124" t="s">
        <v>311</v>
      </c>
      <c r="O108" s="124" t="s">
        <v>311</v>
      </c>
      <c r="P108" s="21">
        <v>34</v>
      </c>
      <c r="Q108" s="10" t="s">
        <v>54</v>
      </c>
      <c r="R108" s="10" t="s">
        <v>28</v>
      </c>
      <c r="S108" s="10"/>
      <c r="T108" s="10"/>
      <c r="U108" s="10" t="s">
        <v>698</v>
      </c>
      <c r="V108" s="10" t="s">
        <v>698</v>
      </c>
      <c r="W108" s="50">
        <f>+J108/$W$2</f>
        <v>1.2447389080260578E-5</v>
      </c>
      <c r="AC108" s="47"/>
    </row>
    <row r="109" spans="1:29">
      <c r="A109" s="10" t="s">
        <v>334</v>
      </c>
      <c r="B109" s="10" t="s">
        <v>358</v>
      </c>
      <c r="C109" s="124">
        <v>46328</v>
      </c>
      <c r="D109" s="124" t="s">
        <v>471</v>
      </c>
      <c r="E109" s="21">
        <v>0.99628781</v>
      </c>
      <c r="F109" s="10"/>
      <c r="G109" s="14">
        <v>990902.64</v>
      </c>
      <c r="H109" s="14">
        <v>987224.22</v>
      </c>
      <c r="I109" s="14">
        <v>990902.64</v>
      </c>
      <c r="J109" s="14">
        <v>987224.22</v>
      </c>
      <c r="K109" s="12">
        <v>2958</v>
      </c>
      <c r="L109" s="10" t="s">
        <v>101</v>
      </c>
      <c r="M109" s="10" t="s">
        <v>102</v>
      </c>
      <c r="N109" s="124" t="s">
        <v>311</v>
      </c>
      <c r="O109" s="124" t="s">
        <v>311</v>
      </c>
      <c r="P109" s="21">
        <v>34</v>
      </c>
      <c r="Q109" s="10" t="s">
        <v>54</v>
      </c>
      <c r="R109" s="10" t="s">
        <v>28</v>
      </c>
      <c r="S109" s="10"/>
      <c r="T109" s="10"/>
      <c r="U109" s="10" t="s">
        <v>699</v>
      </c>
      <c r="V109" s="10" t="s">
        <v>699</v>
      </c>
      <c r="W109" s="50">
        <f>+J109/$W$2</f>
        <v>1.2082287513385464E-5</v>
      </c>
    </row>
    <row r="110" spans="1:29">
      <c r="A110" s="10" t="s">
        <v>443</v>
      </c>
      <c r="B110" s="10" t="s">
        <v>358</v>
      </c>
      <c r="C110" s="124">
        <v>46328</v>
      </c>
      <c r="D110" s="124" t="s">
        <v>471</v>
      </c>
      <c r="E110" s="21">
        <v>0.99694090000000002</v>
      </c>
      <c r="F110" s="10"/>
      <c r="G110" s="14">
        <v>7000000</v>
      </c>
      <c r="H110" s="14">
        <v>6978586.3200000003</v>
      </c>
      <c r="I110" s="14">
        <v>7000000</v>
      </c>
      <c r="J110" s="14">
        <v>6978586.3200000003</v>
      </c>
      <c r="K110" s="12">
        <v>6488</v>
      </c>
      <c r="L110" s="10" t="s">
        <v>101</v>
      </c>
      <c r="M110" s="10" t="s">
        <v>102</v>
      </c>
      <c r="N110" s="124" t="s">
        <v>397</v>
      </c>
      <c r="O110" s="124" t="s">
        <v>397</v>
      </c>
      <c r="P110" s="21">
        <v>28</v>
      </c>
      <c r="Q110" s="10" t="s">
        <v>54</v>
      </c>
      <c r="R110" s="10" t="s">
        <v>28</v>
      </c>
      <c r="S110" s="10"/>
      <c r="T110" s="10"/>
      <c r="U110" s="10" t="s">
        <v>1844</v>
      </c>
      <c r="V110" s="10" t="s">
        <v>1844</v>
      </c>
      <c r="W110" s="50">
        <f>+J110/$W$2</f>
        <v>8.5408445869792997E-5</v>
      </c>
    </row>
    <row r="111" spans="1:29">
      <c r="A111" s="10" t="s">
        <v>401</v>
      </c>
      <c r="B111" s="10" t="s">
        <v>358</v>
      </c>
      <c r="C111" s="124">
        <v>46328</v>
      </c>
      <c r="D111" s="124" t="s">
        <v>471</v>
      </c>
      <c r="E111" s="21">
        <v>0.99694090000000002</v>
      </c>
      <c r="F111" s="10"/>
      <c r="G111" s="14">
        <v>2500000</v>
      </c>
      <c r="H111" s="14">
        <v>2492352.2400000002</v>
      </c>
      <c r="I111" s="14">
        <v>2500000</v>
      </c>
      <c r="J111" s="14">
        <v>2492352.2400000002</v>
      </c>
      <c r="K111" s="12">
        <v>90031824</v>
      </c>
      <c r="L111" s="10" t="s">
        <v>101</v>
      </c>
      <c r="M111" s="10" t="s">
        <v>102</v>
      </c>
      <c r="N111" s="124" t="s">
        <v>274</v>
      </c>
      <c r="O111" s="124" t="s">
        <v>274</v>
      </c>
      <c r="P111" s="21">
        <v>28</v>
      </c>
      <c r="Q111" s="10" t="s">
        <v>54</v>
      </c>
      <c r="R111" s="10" t="s">
        <v>28</v>
      </c>
      <c r="S111" s="10"/>
      <c r="T111" s="10"/>
      <c r="U111" s="10" t="s">
        <v>472</v>
      </c>
      <c r="V111" s="10" t="s">
        <v>472</v>
      </c>
      <c r="W111" s="50">
        <f>+J111/$W$2</f>
        <v>3.0503016172263574E-5</v>
      </c>
    </row>
    <row r="112" spans="1:29">
      <c r="A112" s="10" t="s">
        <v>1744</v>
      </c>
      <c r="B112" s="10" t="s">
        <v>358</v>
      </c>
      <c r="C112" s="124">
        <v>46328</v>
      </c>
      <c r="D112" s="124" t="s">
        <v>471</v>
      </c>
      <c r="E112" s="21">
        <v>0.99639661999999996</v>
      </c>
      <c r="F112" s="10"/>
      <c r="G112" s="14">
        <v>5300000</v>
      </c>
      <c r="H112" s="14">
        <v>5280902.0599999996</v>
      </c>
      <c r="I112" s="14">
        <v>5300000</v>
      </c>
      <c r="J112" s="14">
        <v>5280902.0599999996</v>
      </c>
      <c r="K112" s="12">
        <v>8175671</v>
      </c>
      <c r="L112" s="10" t="s">
        <v>101</v>
      </c>
      <c r="M112" s="10" t="s">
        <v>102</v>
      </c>
      <c r="N112" s="124" t="s">
        <v>398</v>
      </c>
      <c r="O112" s="124" t="s">
        <v>398</v>
      </c>
      <c r="P112" s="21">
        <v>33</v>
      </c>
      <c r="Q112" s="10" t="s">
        <v>54</v>
      </c>
      <c r="R112" s="10" t="s">
        <v>28</v>
      </c>
      <c r="S112" s="10"/>
      <c r="T112" s="10"/>
      <c r="U112" s="10" t="s">
        <v>1644</v>
      </c>
      <c r="V112" s="10" t="s">
        <v>1644</v>
      </c>
      <c r="W112" s="50">
        <f>+J112/$W$2</f>
        <v>6.4631089600850324E-5</v>
      </c>
    </row>
    <row r="113" spans="1:29">
      <c r="A113" s="10" t="s">
        <v>2758</v>
      </c>
      <c r="B113" s="10" t="s">
        <v>358</v>
      </c>
      <c r="C113" s="124">
        <v>46328</v>
      </c>
      <c r="D113" s="124" t="s">
        <v>471</v>
      </c>
      <c r="E113" s="21">
        <v>0.99694092999999995</v>
      </c>
      <c r="F113" s="10"/>
      <c r="G113" s="14">
        <v>131291.41</v>
      </c>
      <c r="H113" s="14">
        <v>130889.78</v>
      </c>
      <c r="I113" s="14">
        <v>131291.41</v>
      </c>
      <c r="J113" s="14">
        <v>130889.78</v>
      </c>
      <c r="K113" s="12">
        <v>595</v>
      </c>
      <c r="L113" s="10" t="s">
        <v>101</v>
      </c>
      <c r="M113" s="10" t="s">
        <v>102</v>
      </c>
      <c r="N113" s="124" t="s">
        <v>411</v>
      </c>
      <c r="O113" s="124" t="s">
        <v>411</v>
      </c>
      <c r="P113" s="21">
        <v>28</v>
      </c>
      <c r="Q113" s="10" t="s">
        <v>54</v>
      </c>
      <c r="R113" s="10" t="s">
        <v>28</v>
      </c>
      <c r="S113" s="10"/>
      <c r="T113" s="10"/>
      <c r="U113" s="10" t="s">
        <v>2961</v>
      </c>
      <c r="V113" s="10" t="s">
        <v>2961</v>
      </c>
      <c r="W113" s="50">
        <f>+J113/$W$2</f>
        <v>1.6019136509067518E-6</v>
      </c>
    </row>
    <row r="114" spans="1:29">
      <c r="A114" s="10" t="s">
        <v>453</v>
      </c>
      <c r="B114" s="10" t="s">
        <v>358</v>
      </c>
      <c r="C114" s="124">
        <v>46328</v>
      </c>
      <c r="D114" s="124" t="s">
        <v>471</v>
      </c>
      <c r="E114" s="21">
        <v>0.99704983000000003</v>
      </c>
      <c r="F114" s="10"/>
      <c r="G114" s="14">
        <v>15000000</v>
      </c>
      <c r="H114" s="14">
        <v>14955747.41</v>
      </c>
      <c r="I114" s="14">
        <v>15000000</v>
      </c>
      <c r="J114" s="14">
        <v>14955747.41</v>
      </c>
      <c r="K114" s="12">
        <v>235</v>
      </c>
      <c r="L114" s="10" t="s">
        <v>101</v>
      </c>
      <c r="M114" s="10" t="s">
        <v>102</v>
      </c>
      <c r="N114" s="124" t="s">
        <v>317</v>
      </c>
      <c r="O114" s="124" t="s">
        <v>317</v>
      </c>
      <c r="P114" s="21">
        <v>27</v>
      </c>
      <c r="Q114" s="10" t="s">
        <v>54</v>
      </c>
      <c r="R114" s="10" t="s">
        <v>28</v>
      </c>
      <c r="S114" s="10"/>
      <c r="T114" s="10"/>
      <c r="U114" s="10" t="s">
        <v>638</v>
      </c>
      <c r="V114" s="10" t="s">
        <v>638</v>
      </c>
      <c r="W114" s="50">
        <f>+J114/$W$2</f>
        <v>1.8303809461359244E-4</v>
      </c>
    </row>
    <row r="115" spans="1:29">
      <c r="A115" s="10" t="s">
        <v>453</v>
      </c>
      <c r="B115" s="10" t="s">
        <v>358</v>
      </c>
      <c r="C115" s="124">
        <v>46328</v>
      </c>
      <c r="D115" s="124" t="s">
        <v>471</v>
      </c>
      <c r="E115" s="21">
        <v>0.99715878999999996</v>
      </c>
      <c r="F115" s="10"/>
      <c r="G115" s="14">
        <v>15000000</v>
      </c>
      <c r="H115" s="14">
        <v>14957381.83</v>
      </c>
      <c r="I115" s="14">
        <v>15000000</v>
      </c>
      <c r="J115" s="14">
        <v>14957381.83</v>
      </c>
      <c r="K115" s="12">
        <v>68218060</v>
      </c>
      <c r="L115" s="10" t="s">
        <v>101</v>
      </c>
      <c r="M115" s="10" t="s">
        <v>102</v>
      </c>
      <c r="N115" s="124" t="s">
        <v>374</v>
      </c>
      <c r="O115" s="124" t="s">
        <v>374</v>
      </c>
      <c r="P115" s="21">
        <v>26</v>
      </c>
      <c r="Q115" s="10" t="s">
        <v>54</v>
      </c>
      <c r="R115" s="10" t="s">
        <v>28</v>
      </c>
      <c r="S115" s="10"/>
      <c r="T115" s="10"/>
      <c r="U115" s="10" t="s">
        <v>676</v>
      </c>
      <c r="V115" s="10" t="s">
        <v>676</v>
      </c>
      <c r="W115" s="50">
        <f>+J115/$W$2</f>
        <v>1.8305809770099402E-4</v>
      </c>
    </row>
    <row r="116" spans="1:29">
      <c r="A116" s="10" t="s">
        <v>453</v>
      </c>
      <c r="B116" s="10" t="s">
        <v>358</v>
      </c>
      <c r="C116" s="124">
        <v>46328</v>
      </c>
      <c r="D116" s="124" t="s">
        <v>471</v>
      </c>
      <c r="E116" s="21">
        <v>0.99726775999999995</v>
      </c>
      <c r="F116" s="10"/>
      <c r="G116" s="14">
        <v>32000000</v>
      </c>
      <c r="H116" s="14">
        <v>31912568.34</v>
      </c>
      <c r="I116" s="14">
        <v>32000000</v>
      </c>
      <c r="J116" s="14">
        <v>31912568.34</v>
      </c>
      <c r="K116" s="12">
        <v>5313</v>
      </c>
      <c r="L116" s="10" t="s">
        <v>101</v>
      </c>
      <c r="M116" s="10" t="s">
        <v>102</v>
      </c>
      <c r="N116" s="124" t="s">
        <v>313</v>
      </c>
      <c r="O116" s="124" t="s">
        <v>313</v>
      </c>
      <c r="P116" s="21">
        <v>25</v>
      </c>
      <c r="Q116" s="10" t="s">
        <v>54</v>
      </c>
      <c r="R116" s="10" t="s">
        <v>28</v>
      </c>
      <c r="S116" s="10"/>
      <c r="T116" s="10"/>
      <c r="U116" s="10" t="s">
        <v>734</v>
      </c>
      <c r="V116" s="10" t="s">
        <v>734</v>
      </c>
      <c r="W116" s="50">
        <f>+J116/$W$2</f>
        <v>3.9056661917638352E-4</v>
      </c>
    </row>
    <row r="117" spans="1:29">
      <c r="A117" s="10" t="s">
        <v>2487</v>
      </c>
      <c r="B117" s="10" t="s">
        <v>358</v>
      </c>
      <c r="C117" s="124">
        <v>46328</v>
      </c>
      <c r="D117" s="124" t="s">
        <v>471</v>
      </c>
      <c r="E117" s="21">
        <v>0.99639659999999997</v>
      </c>
      <c r="F117" s="10"/>
      <c r="G117" s="14">
        <v>55000000</v>
      </c>
      <c r="H117" s="14">
        <v>54801813.149999999</v>
      </c>
      <c r="I117" s="14">
        <v>55000000</v>
      </c>
      <c r="J117" s="14">
        <v>54801813.149999999</v>
      </c>
      <c r="K117" s="12">
        <v>3110</v>
      </c>
      <c r="L117" s="10" t="s">
        <v>101</v>
      </c>
      <c r="M117" s="10" t="s">
        <v>102</v>
      </c>
      <c r="N117" s="124" t="s">
        <v>603</v>
      </c>
      <c r="O117" s="124" t="s">
        <v>603</v>
      </c>
      <c r="P117" s="21">
        <v>33</v>
      </c>
      <c r="Q117" s="10" t="s">
        <v>54</v>
      </c>
      <c r="R117" s="10" t="s">
        <v>28</v>
      </c>
      <c r="S117" s="10"/>
      <c r="T117" s="10"/>
      <c r="U117" s="10" t="s">
        <v>2601</v>
      </c>
      <c r="V117" s="10" t="s">
        <v>2601</v>
      </c>
      <c r="W117" s="50">
        <f>+J117/$W$2</f>
        <v>6.7069997809933012E-4</v>
      </c>
    </row>
    <row r="118" spans="1:29">
      <c r="A118" s="10" t="s">
        <v>947</v>
      </c>
      <c r="B118" s="10" t="s">
        <v>358</v>
      </c>
      <c r="C118" s="124">
        <v>46328</v>
      </c>
      <c r="D118" s="124" t="s">
        <v>471</v>
      </c>
      <c r="E118" s="21">
        <v>0.99650539999999999</v>
      </c>
      <c r="F118" s="10"/>
      <c r="G118" s="14">
        <v>5444206</v>
      </c>
      <c r="H118" s="14">
        <v>5425180.7000000002</v>
      </c>
      <c r="I118" s="14">
        <v>5444206</v>
      </c>
      <c r="J118" s="14">
        <v>5425180.7000000002</v>
      </c>
      <c r="K118" s="12">
        <v>3444</v>
      </c>
      <c r="L118" s="10" t="s">
        <v>101</v>
      </c>
      <c r="M118" s="10" t="s">
        <v>102</v>
      </c>
      <c r="N118" s="124" t="s">
        <v>373</v>
      </c>
      <c r="O118" s="124" t="s">
        <v>373</v>
      </c>
      <c r="P118" s="21">
        <v>32</v>
      </c>
      <c r="Q118" s="10" t="s">
        <v>54</v>
      </c>
      <c r="R118" s="10" t="s">
        <v>28</v>
      </c>
      <c r="S118" s="10"/>
      <c r="T118" s="10"/>
      <c r="U118" s="10" t="s">
        <v>1162</v>
      </c>
      <c r="V118" s="10" t="s">
        <v>1162</v>
      </c>
      <c r="W118" s="50">
        <f>+J118/$W$2</f>
        <v>6.6396864766415288E-5</v>
      </c>
      <c r="AC118" s="47"/>
    </row>
    <row r="119" spans="1:29">
      <c r="A119" s="10" t="s">
        <v>2435</v>
      </c>
      <c r="B119" s="10" t="s">
        <v>358</v>
      </c>
      <c r="C119" s="124">
        <v>46328</v>
      </c>
      <c r="D119" s="124" t="s">
        <v>471</v>
      </c>
      <c r="E119" s="21">
        <v>0.99672311000000002</v>
      </c>
      <c r="F119" s="10"/>
      <c r="G119" s="14">
        <v>530000</v>
      </c>
      <c r="H119" s="14">
        <v>528263.25</v>
      </c>
      <c r="I119" s="14">
        <v>530000</v>
      </c>
      <c r="J119" s="14">
        <v>528263.25</v>
      </c>
      <c r="K119" s="12">
        <v>10711239</v>
      </c>
      <c r="L119" s="10" t="s">
        <v>101</v>
      </c>
      <c r="M119" s="10" t="s">
        <v>102</v>
      </c>
      <c r="N119" s="124" t="s">
        <v>477</v>
      </c>
      <c r="O119" s="124" t="s">
        <v>477</v>
      </c>
      <c r="P119" s="21">
        <v>30</v>
      </c>
      <c r="Q119" s="10" t="s">
        <v>54</v>
      </c>
      <c r="R119" s="10" t="s">
        <v>28</v>
      </c>
      <c r="S119" s="10"/>
      <c r="T119" s="10"/>
      <c r="U119" s="10" t="s">
        <v>2413</v>
      </c>
      <c r="V119" s="10" t="s">
        <v>2413</v>
      </c>
      <c r="W119" s="50">
        <f>+J119/$W$2</f>
        <v>6.46522678430177E-6</v>
      </c>
    </row>
    <row r="120" spans="1:29">
      <c r="A120" s="10" t="s">
        <v>651</v>
      </c>
      <c r="B120" s="10" t="s">
        <v>358</v>
      </c>
      <c r="C120" s="124">
        <v>46328</v>
      </c>
      <c r="D120" s="124" t="s">
        <v>471</v>
      </c>
      <c r="E120" s="21">
        <v>0.99639659999999997</v>
      </c>
      <c r="F120" s="10"/>
      <c r="G120" s="14">
        <v>333534247</v>
      </c>
      <c r="H120" s="14">
        <v>332332389.43000001</v>
      </c>
      <c r="I120" s="14">
        <v>333534247</v>
      </c>
      <c r="J120" s="14">
        <v>332332389.43000001</v>
      </c>
      <c r="K120" s="12">
        <v>155636</v>
      </c>
      <c r="L120" s="10" t="s">
        <v>101</v>
      </c>
      <c r="M120" s="10" t="s">
        <v>102</v>
      </c>
      <c r="N120" s="124" t="s">
        <v>333</v>
      </c>
      <c r="O120" s="124" t="s">
        <v>333</v>
      </c>
      <c r="P120" s="21">
        <v>33</v>
      </c>
      <c r="Q120" s="10" t="s">
        <v>54</v>
      </c>
      <c r="R120" s="10" t="s">
        <v>28</v>
      </c>
      <c r="S120" s="10"/>
      <c r="T120" s="10"/>
      <c r="U120" s="10" t="s">
        <v>648</v>
      </c>
      <c r="V120" s="10" t="s">
        <v>648</v>
      </c>
      <c r="W120" s="50">
        <f>+J120/$W$2</f>
        <v>4.0672983885095973E-3</v>
      </c>
      <c r="AC120" s="47"/>
    </row>
    <row r="121" spans="1:29">
      <c r="A121" s="10" t="s">
        <v>364</v>
      </c>
      <c r="B121" s="10" t="s">
        <v>358</v>
      </c>
      <c r="C121" s="124">
        <v>46328</v>
      </c>
      <c r="D121" s="124" t="s">
        <v>471</v>
      </c>
      <c r="E121" s="21">
        <v>0.99650541000000004</v>
      </c>
      <c r="F121" s="10"/>
      <c r="G121" s="14">
        <v>11829797.539999999</v>
      </c>
      <c r="H121" s="14">
        <v>11788457.300000001</v>
      </c>
      <c r="I121" s="14">
        <v>11829797.539999999</v>
      </c>
      <c r="J121" s="14">
        <v>11788457.300000001</v>
      </c>
      <c r="K121" s="12">
        <v>30888</v>
      </c>
      <c r="L121" s="10" t="s">
        <v>101</v>
      </c>
      <c r="M121" s="10" t="s">
        <v>102</v>
      </c>
      <c r="N121" s="124" t="s">
        <v>346</v>
      </c>
      <c r="O121" s="124" t="s">
        <v>346</v>
      </c>
      <c r="P121" s="21">
        <v>32</v>
      </c>
      <c r="Q121" s="10" t="s">
        <v>54</v>
      </c>
      <c r="R121" s="10" t="s">
        <v>28</v>
      </c>
      <c r="S121" s="10"/>
      <c r="T121" s="10"/>
      <c r="U121" s="10" t="s">
        <v>779</v>
      </c>
      <c r="V121" s="10" t="s">
        <v>779</v>
      </c>
      <c r="W121" s="50">
        <f>+J121/$W$2</f>
        <v>1.4427475294099623E-4</v>
      </c>
    </row>
    <row r="122" spans="1:29">
      <c r="A122" s="10" t="s">
        <v>364</v>
      </c>
      <c r="B122" s="10" t="s">
        <v>358</v>
      </c>
      <c r="C122" s="124">
        <v>46328</v>
      </c>
      <c r="D122" s="124" t="s">
        <v>471</v>
      </c>
      <c r="E122" s="21">
        <v>0.99650541000000004</v>
      </c>
      <c r="F122" s="10"/>
      <c r="G122" s="14">
        <v>10655603.279999999</v>
      </c>
      <c r="H122" s="14">
        <v>10618366.34</v>
      </c>
      <c r="I122" s="14">
        <v>10655603.279999999</v>
      </c>
      <c r="J122" s="14">
        <v>10618366.34</v>
      </c>
      <c r="K122" s="12">
        <v>30834</v>
      </c>
      <c r="L122" s="10" t="s">
        <v>101</v>
      </c>
      <c r="M122" s="10" t="s">
        <v>102</v>
      </c>
      <c r="N122" s="124" t="s">
        <v>371</v>
      </c>
      <c r="O122" s="124" t="s">
        <v>371</v>
      </c>
      <c r="P122" s="21">
        <v>32</v>
      </c>
      <c r="Q122" s="10" t="s">
        <v>54</v>
      </c>
      <c r="R122" s="10" t="s">
        <v>28</v>
      </c>
      <c r="S122" s="10"/>
      <c r="T122" s="10"/>
      <c r="U122" s="10" t="s">
        <v>690</v>
      </c>
      <c r="V122" s="10" t="s">
        <v>690</v>
      </c>
      <c r="W122" s="50">
        <f>+J122/$W$2</f>
        <v>1.2995442417562903E-4</v>
      </c>
    </row>
    <row r="123" spans="1:29">
      <c r="A123" s="10" t="s">
        <v>495</v>
      </c>
      <c r="B123" s="10" t="s">
        <v>358</v>
      </c>
      <c r="C123" s="124">
        <v>46328</v>
      </c>
      <c r="D123" s="124" t="s">
        <v>471</v>
      </c>
      <c r="E123" s="21">
        <v>0.99650541999999998</v>
      </c>
      <c r="F123" s="10"/>
      <c r="G123" s="14">
        <v>50000000</v>
      </c>
      <c r="H123" s="14">
        <v>49825270.899999999</v>
      </c>
      <c r="I123" s="14">
        <v>50000000</v>
      </c>
      <c r="J123" s="14">
        <v>49825270.899999999</v>
      </c>
      <c r="K123" s="12">
        <v>6688</v>
      </c>
      <c r="L123" s="10" t="s">
        <v>101</v>
      </c>
      <c r="M123" s="10" t="s">
        <v>102</v>
      </c>
      <c r="N123" s="124" t="s">
        <v>479</v>
      </c>
      <c r="O123" s="124" t="s">
        <v>479</v>
      </c>
      <c r="P123" s="21">
        <v>32</v>
      </c>
      <c r="Q123" s="10" t="s">
        <v>54</v>
      </c>
      <c r="R123" s="10" t="s">
        <v>28</v>
      </c>
      <c r="S123" s="10"/>
      <c r="T123" s="10"/>
      <c r="U123" s="10" t="s">
        <v>1186</v>
      </c>
      <c r="V123" s="10" t="s">
        <v>1186</v>
      </c>
      <c r="W123" s="50">
        <f>+J123/$W$2</f>
        <v>6.0979384039637735E-4</v>
      </c>
    </row>
    <row r="124" spans="1:29">
      <c r="A124" s="10" t="s">
        <v>495</v>
      </c>
      <c r="B124" s="10" t="s">
        <v>358</v>
      </c>
      <c r="C124" s="124">
        <v>46328</v>
      </c>
      <c r="D124" s="124" t="s">
        <v>471</v>
      </c>
      <c r="E124" s="21">
        <v>0.99650541999999998</v>
      </c>
      <c r="F124" s="10"/>
      <c r="G124" s="14">
        <v>50000000</v>
      </c>
      <c r="H124" s="14">
        <v>49825270.899999999</v>
      </c>
      <c r="I124" s="14">
        <v>50000000</v>
      </c>
      <c r="J124" s="14">
        <v>49825270.899999999</v>
      </c>
      <c r="K124" s="12">
        <v>6692</v>
      </c>
      <c r="L124" s="10" t="s">
        <v>101</v>
      </c>
      <c r="M124" s="10" t="s">
        <v>102</v>
      </c>
      <c r="N124" s="124" t="s">
        <v>479</v>
      </c>
      <c r="O124" s="124" t="s">
        <v>479</v>
      </c>
      <c r="P124" s="21">
        <v>32</v>
      </c>
      <c r="Q124" s="10" t="s">
        <v>54</v>
      </c>
      <c r="R124" s="10" t="s">
        <v>28</v>
      </c>
      <c r="S124" s="10"/>
      <c r="T124" s="10"/>
      <c r="U124" s="10" t="s">
        <v>1187</v>
      </c>
      <c r="V124" s="10" t="s">
        <v>1187</v>
      </c>
      <c r="W124" s="50">
        <f>+J124/$W$2</f>
        <v>6.0979384039637735E-4</v>
      </c>
    </row>
    <row r="125" spans="1:29">
      <c r="A125" s="10" t="s">
        <v>520</v>
      </c>
      <c r="B125" s="10" t="s">
        <v>358</v>
      </c>
      <c r="C125" s="124">
        <v>46328</v>
      </c>
      <c r="D125" s="124" t="s">
        <v>471</v>
      </c>
      <c r="E125" s="21">
        <v>0.99574421999999996</v>
      </c>
      <c r="F125" s="10"/>
      <c r="G125" s="14">
        <v>3750000</v>
      </c>
      <c r="H125" s="14">
        <v>3734040.82</v>
      </c>
      <c r="I125" s="14">
        <v>3750000</v>
      </c>
      <c r="J125" s="14">
        <v>3734040.82</v>
      </c>
      <c r="K125" s="12">
        <v>66918247</v>
      </c>
      <c r="L125" s="10" t="s">
        <v>101</v>
      </c>
      <c r="M125" s="10" t="s">
        <v>102</v>
      </c>
      <c r="N125" s="124" t="s">
        <v>296</v>
      </c>
      <c r="O125" s="124" t="s">
        <v>296</v>
      </c>
      <c r="P125" s="21">
        <v>39</v>
      </c>
      <c r="Q125" s="10" t="s">
        <v>54</v>
      </c>
      <c r="R125" s="10" t="s">
        <v>28</v>
      </c>
      <c r="S125" s="10"/>
      <c r="T125" s="10"/>
      <c r="U125" s="10" t="s">
        <v>514</v>
      </c>
      <c r="V125" s="10" t="s">
        <v>514</v>
      </c>
      <c r="W125" s="50">
        <f>+J125/$W$2</f>
        <v>4.5699602846005555E-5</v>
      </c>
    </row>
    <row r="126" spans="1:29">
      <c r="A126" s="10" t="s">
        <v>164</v>
      </c>
      <c r="B126" s="10" t="s">
        <v>358</v>
      </c>
      <c r="C126" s="124">
        <v>46328</v>
      </c>
      <c r="D126" s="124" t="s">
        <v>471</v>
      </c>
      <c r="E126" s="21">
        <v>0.99585290000000004</v>
      </c>
      <c r="F126" s="10"/>
      <c r="G126" s="14">
        <v>247000000</v>
      </c>
      <c r="H126" s="14">
        <v>245975667.34</v>
      </c>
      <c r="I126" s="14">
        <v>247000000</v>
      </c>
      <c r="J126" s="14">
        <v>245975667.34</v>
      </c>
      <c r="K126" s="12">
        <v>70403676</v>
      </c>
      <c r="L126" s="10" t="s">
        <v>101</v>
      </c>
      <c r="M126" s="10" t="s">
        <v>102</v>
      </c>
      <c r="N126" s="124" t="s">
        <v>399</v>
      </c>
      <c r="O126" s="124" t="s">
        <v>399</v>
      </c>
      <c r="P126" s="21">
        <v>38</v>
      </c>
      <c r="Q126" s="10" t="s">
        <v>54</v>
      </c>
      <c r="R126" s="10" t="s">
        <v>28</v>
      </c>
      <c r="S126" s="10"/>
      <c r="T126" s="10"/>
      <c r="U126" s="10" t="s">
        <v>1099</v>
      </c>
      <c r="V126" s="10" t="s">
        <v>1099</v>
      </c>
      <c r="W126" s="50">
        <f>+J126/$W$2</f>
        <v>3.0104090579328967E-3</v>
      </c>
    </row>
    <row r="127" spans="1:29">
      <c r="A127" s="10" t="s">
        <v>132</v>
      </c>
      <c r="B127" s="10" t="s">
        <v>358</v>
      </c>
      <c r="C127" s="124">
        <v>46328</v>
      </c>
      <c r="D127" s="124" t="s">
        <v>471</v>
      </c>
      <c r="E127" s="21">
        <v>0.99650543000000003</v>
      </c>
      <c r="F127" s="10"/>
      <c r="G127" s="14">
        <v>50000000</v>
      </c>
      <c r="H127" s="14">
        <v>49825271.579999998</v>
      </c>
      <c r="I127" s="14">
        <v>50000000</v>
      </c>
      <c r="J127" s="14">
        <v>49825271.579999998</v>
      </c>
      <c r="K127" s="12">
        <v>958</v>
      </c>
      <c r="L127" s="10" t="s">
        <v>101</v>
      </c>
      <c r="M127" s="10" t="s">
        <v>102</v>
      </c>
      <c r="N127" s="124" t="s">
        <v>452</v>
      </c>
      <c r="O127" s="124" t="s">
        <v>452</v>
      </c>
      <c r="P127" s="21">
        <v>32</v>
      </c>
      <c r="Q127" s="10" t="s">
        <v>54</v>
      </c>
      <c r="R127" s="10" t="s">
        <v>28</v>
      </c>
      <c r="S127" s="10"/>
      <c r="T127" s="10"/>
      <c r="U127" s="10" t="s">
        <v>2534</v>
      </c>
      <c r="V127" s="10" t="s">
        <v>2534</v>
      </c>
      <c r="W127" s="50">
        <f>+J127/$W$2</f>
        <v>6.0979384871865641E-4</v>
      </c>
    </row>
    <row r="128" spans="1:29">
      <c r="A128" s="10" t="s">
        <v>3588</v>
      </c>
      <c r="B128" s="10" t="s">
        <v>358</v>
      </c>
      <c r="C128" s="124">
        <v>46328</v>
      </c>
      <c r="D128" s="124" t="s">
        <v>471</v>
      </c>
      <c r="E128" s="21">
        <v>0.99672316999999999</v>
      </c>
      <c r="F128" s="10"/>
      <c r="G128" s="14">
        <v>671045.38</v>
      </c>
      <c r="H128" s="14">
        <v>668846.48</v>
      </c>
      <c r="I128" s="14">
        <v>671045.38</v>
      </c>
      <c r="J128" s="14">
        <v>668846.48</v>
      </c>
      <c r="K128" s="12">
        <v>636</v>
      </c>
      <c r="L128" s="10" t="s">
        <v>101</v>
      </c>
      <c r="M128" s="10" t="s">
        <v>102</v>
      </c>
      <c r="N128" s="124" t="s">
        <v>451</v>
      </c>
      <c r="O128" s="124" t="s">
        <v>451</v>
      </c>
      <c r="P128" s="21">
        <v>30</v>
      </c>
      <c r="Q128" s="10" t="s">
        <v>54</v>
      </c>
      <c r="R128" s="10" t="s">
        <v>28</v>
      </c>
      <c r="S128" s="10"/>
      <c r="T128" s="10"/>
      <c r="U128" s="10" t="s">
        <v>3530</v>
      </c>
      <c r="V128" s="10" t="s">
        <v>3530</v>
      </c>
      <c r="W128" s="50">
        <f>+J128/$W$2</f>
        <v>8.1857751359420867E-6</v>
      </c>
    </row>
    <row r="129" spans="1:23">
      <c r="A129" s="10" t="s">
        <v>3589</v>
      </c>
      <c r="B129" s="10" t="s">
        <v>358</v>
      </c>
      <c r="C129" s="124">
        <v>46328</v>
      </c>
      <c r="D129" s="124" t="s">
        <v>471</v>
      </c>
      <c r="E129" s="21">
        <v>0.99672315</v>
      </c>
      <c r="F129" s="10"/>
      <c r="G129" s="14">
        <v>131098.48000000001</v>
      </c>
      <c r="H129" s="14">
        <v>130668.89</v>
      </c>
      <c r="I129" s="14">
        <v>131098.48000000001</v>
      </c>
      <c r="J129" s="14">
        <v>130668.89</v>
      </c>
      <c r="K129" s="12">
        <v>98252883</v>
      </c>
      <c r="L129" s="10" t="s">
        <v>101</v>
      </c>
      <c r="M129" s="10" t="s">
        <v>102</v>
      </c>
      <c r="N129" s="124" t="s">
        <v>451</v>
      </c>
      <c r="O129" s="124" t="s">
        <v>451</v>
      </c>
      <c r="P129" s="21">
        <v>30</v>
      </c>
      <c r="Q129" s="10" t="s">
        <v>54</v>
      </c>
      <c r="R129" s="10" t="s">
        <v>28</v>
      </c>
      <c r="S129" s="10"/>
      <c r="T129" s="10"/>
      <c r="U129" s="10" t="s">
        <v>3534</v>
      </c>
      <c r="V129" s="10" t="s">
        <v>3534</v>
      </c>
      <c r="W129" s="50">
        <f>+J129/$W$2</f>
        <v>1.5992102564450239E-6</v>
      </c>
    </row>
    <row r="130" spans="1:23">
      <c r="A130" s="10" t="s">
        <v>695</v>
      </c>
      <c r="B130" s="10" t="s">
        <v>358</v>
      </c>
      <c r="C130" s="124">
        <v>46328</v>
      </c>
      <c r="D130" s="124" t="s">
        <v>471</v>
      </c>
      <c r="E130" s="21">
        <v>0.99650541000000004</v>
      </c>
      <c r="F130" s="10"/>
      <c r="G130" s="14">
        <v>475000000</v>
      </c>
      <c r="H130" s="14">
        <v>473340070.56</v>
      </c>
      <c r="I130" s="14">
        <v>475000000</v>
      </c>
      <c r="J130" s="14">
        <v>473340070.56</v>
      </c>
      <c r="K130" s="12">
        <v>1222</v>
      </c>
      <c r="L130" s="10" t="s">
        <v>101</v>
      </c>
      <c r="M130" s="10" t="s">
        <v>102</v>
      </c>
      <c r="N130" s="124" t="s">
        <v>365</v>
      </c>
      <c r="O130" s="124" t="s">
        <v>365</v>
      </c>
      <c r="P130" s="21">
        <v>32</v>
      </c>
      <c r="Q130" s="10" t="s">
        <v>54</v>
      </c>
      <c r="R130" s="10" t="s">
        <v>28</v>
      </c>
      <c r="S130" s="10"/>
      <c r="T130" s="10"/>
      <c r="U130" s="10" t="s">
        <v>1366</v>
      </c>
      <c r="V130" s="10" t="s">
        <v>1366</v>
      </c>
      <c r="W130" s="50">
        <f>+J130/$W$2</f>
        <v>5.7930414471720343E-3</v>
      </c>
    </row>
    <row r="131" spans="1:23">
      <c r="A131" s="10" t="s">
        <v>217</v>
      </c>
      <c r="B131" s="10" t="s">
        <v>358</v>
      </c>
      <c r="C131" s="124">
        <v>46328</v>
      </c>
      <c r="D131" s="124" t="s">
        <v>471</v>
      </c>
      <c r="E131" s="21">
        <v>0.99650541000000004</v>
      </c>
      <c r="F131" s="10"/>
      <c r="G131" s="14">
        <v>50000000</v>
      </c>
      <c r="H131" s="14">
        <v>49825270.460000001</v>
      </c>
      <c r="I131" s="14">
        <v>50000000</v>
      </c>
      <c r="J131" s="14">
        <v>49825270.460000001</v>
      </c>
      <c r="K131" s="12">
        <v>5357</v>
      </c>
      <c r="L131" s="10" t="s">
        <v>101</v>
      </c>
      <c r="M131" s="10" t="s">
        <v>102</v>
      </c>
      <c r="N131" s="124" t="s">
        <v>395</v>
      </c>
      <c r="O131" s="124" t="s">
        <v>395</v>
      </c>
      <c r="P131" s="21">
        <v>32</v>
      </c>
      <c r="Q131" s="10" t="s">
        <v>54</v>
      </c>
      <c r="R131" s="10" t="s">
        <v>28</v>
      </c>
      <c r="S131" s="10"/>
      <c r="T131" s="10"/>
      <c r="U131" s="10" t="s">
        <v>1803</v>
      </c>
      <c r="V131" s="10" t="s">
        <v>1803</v>
      </c>
      <c r="W131" s="50">
        <f>+J131/$W$2</f>
        <v>6.0979383501137316E-4</v>
      </c>
    </row>
    <row r="132" spans="1:23">
      <c r="A132" s="10" t="s">
        <v>184</v>
      </c>
      <c r="B132" s="10" t="s">
        <v>358</v>
      </c>
      <c r="C132" s="124">
        <v>46328</v>
      </c>
      <c r="D132" s="124" t="s">
        <v>471</v>
      </c>
      <c r="E132" s="21">
        <v>0.99596158999999995</v>
      </c>
      <c r="F132" s="10"/>
      <c r="G132" s="14">
        <v>10000000</v>
      </c>
      <c r="H132" s="14">
        <v>9959615.8800000008</v>
      </c>
      <c r="I132" s="14">
        <v>10000000</v>
      </c>
      <c r="J132" s="14">
        <v>9959615.8800000008</v>
      </c>
      <c r="K132" s="12">
        <v>16854859</v>
      </c>
      <c r="L132" s="10" t="s">
        <v>101</v>
      </c>
      <c r="M132" s="10" t="s">
        <v>102</v>
      </c>
      <c r="N132" s="124" t="s">
        <v>365</v>
      </c>
      <c r="O132" s="124" t="s">
        <v>365</v>
      </c>
      <c r="P132" s="21">
        <v>37</v>
      </c>
      <c r="Q132" s="10" t="s">
        <v>54</v>
      </c>
      <c r="R132" s="10" t="s">
        <v>28</v>
      </c>
      <c r="S132" s="10"/>
      <c r="T132" s="10"/>
      <c r="U132" s="10" t="s">
        <v>1348</v>
      </c>
      <c r="V132" s="10" t="s">
        <v>1348</v>
      </c>
      <c r="W132" s="50">
        <f>+J132/$W$2</f>
        <v>1.2189221065204376E-4</v>
      </c>
    </row>
    <row r="133" spans="1:23">
      <c r="A133" s="10" t="s">
        <v>519</v>
      </c>
      <c r="B133" s="10" t="s">
        <v>358</v>
      </c>
      <c r="C133" s="124">
        <v>46328</v>
      </c>
      <c r="D133" s="124" t="s">
        <v>471</v>
      </c>
      <c r="E133" s="21">
        <v>0.99650541999999998</v>
      </c>
      <c r="F133" s="10"/>
      <c r="G133" s="14">
        <v>100000000</v>
      </c>
      <c r="H133" s="14">
        <v>99650541.890000001</v>
      </c>
      <c r="I133" s="14">
        <v>100000000</v>
      </c>
      <c r="J133" s="14">
        <v>99650541.890000001</v>
      </c>
      <c r="K133" s="12">
        <v>165</v>
      </c>
      <c r="L133" s="10" t="s">
        <v>101</v>
      </c>
      <c r="M133" s="10" t="s">
        <v>102</v>
      </c>
      <c r="N133" s="124" t="s">
        <v>275</v>
      </c>
      <c r="O133" s="124" t="s">
        <v>275</v>
      </c>
      <c r="P133" s="21">
        <v>32</v>
      </c>
      <c r="Q133" s="10" t="s">
        <v>54</v>
      </c>
      <c r="R133" s="10" t="s">
        <v>28</v>
      </c>
      <c r="S133" s="10"/>
      <c r="T133" s="10"/>
      <c r="U133" s="10" t="s">
        <v>836</v>
      </c>
      <c r="V133" s="10" t="s">
        <v>836</v>
      </c>
      <c r="W133" s="50">
        <f>+J133/$W$2</f>
        <v>1.2195876818942328E-3</v>
      </c>
    </row>
    <row r="134" spans="1:23">
      <c r="A134" s="10" t="s">
        <v>359</v>
      </c>
      <c r="B134" s="10" t="s">
        <v>358</v>
      </c>
      <c r="C134" s="124">
        <v>46328</v>
      </c>
      <c r="D134" s="124" t="s">
        <v>471</v>
      </c>
      <c r="E134" s="21">
        <v>0.99672311999999996</v>
      </c>
      <c r="F134" s="10"/>
      <c r="G134" s="14">
        <v>5000000</v>
      </c>
      <c r="H134" s="14">
        <v>4983615.5999999996</v>
      </c>
      <c r="I134" s="14">
        <v>5000000</v>
      </c>
      <c r="J134" s="14">
        <v>4983615.5999999996</v>
      </c>
      <c r="K134" s="12">
        <v>1304</v>
      </c>
      <c r="L134" s="10" t="s">
        <v>101</v>
      </c>
      <c r="M134" s="10" t="s">
        <v>102</v>
      </c>
      <c r="N134" s="124" t="s">
        <v>477</v>
      </c>
      <c r="O134" s="124" t="s">
        <v>477</v>
      </c>
      <c r="P134" s="21">
        <v>30</v>
      </c>
      <c r="Q134" s="10" t="s">
        <v>54</v>
      </c>
      <c r="R134" s="10" t="s">
        <v>28</v>
      </c>
      <c r="S134" s="10"/>
      <c r="T134" s="10"/>
      <c r="U134" s="10" t="s">
        <v>2403</v>
      </c>
      <c r="V134" s="10" t="s">
        <v>2403</v>
      </c>
      <c r="W134" s="50">
        <f>+J134/$W$2</f>
        <v>6.0992705927932966E-5</v>
      </c>
    </row>
    <row r="135" spans="1:23">
      <c r="A135" s="10" t="s">
        <v>2823</v>
      </c>
      <c r="B135" s="10" t="s">
        <v>358</v>
      </c>
      <c r="C135" s="124">
        <v>46328</v>
      </c>
      <c r="D135" s="124" t="s">
        <v>471</v>
      </c>
      <c r="E135" s="21">
        <v>0.99650543000000003</v>
      </c>
      <c r="F135" s="10"/>
      <c r="G135" s="14">
        <v>513679.69</v>
      </c>
      <c r="H135" s="14">
        <v>511884.6</v>
      </c>
      <c r="I135" s="14">
        <v>513679.69</v>
      </c>
      <c r="J135" s="14">
        <v>511884.6</v>
      </c>
      <c r="K135" s="12">
        <v>5286</v>
      </c>
      <c r="L135" s="10" t="s">
        <v>101</v>
      </c>
      <c r="M135" s="10" t="s">
        <v>102</v>
      </c>
      <c r="N135" s="124" t="s">
        <v>412</v>
      </c>
      <c r="O135" s="124" t="s">
        <v>412</v>
      </c>
      <c r="P135" s="21">
        <v>32</v>
      </c>
      <c r="Q135" s="10" t="s">
        <v>54</v>
      </c>
      <c r="R135" s="10" t="s">
        <v>28</v>
      </c>
      <c r="S135" s="10"/>
      <c r="T135" s="10"/>
      <c r="U135" s="10" t="s">
        <v>2784</v>
      </c>
      <c r="V135" s="10" t="s">
        <v>2784</v>
      </c>
      <c r="W135" s="50">
        <f>+J135/$W$2</f>
        <v>6.2647742889394591E-6</v>
      </c>
    </row>
    <row r="136" spans="1:23">
      <c r="A136" s="10" t="s">
        <v>2872</v>
      </c>
      <c r="B136" s="10" t="s">
        <v>358</v>
      </c>
      <c r="C136" s="124">
        <v>46328</v>
      </c>
      <c r="D136" s="124" t="s">
        <v>471</v>
      </c>
      <c r="E136" s="21">
        <v>0.99650543000000003</v>
      </c>
      <c r="F136" s="10"/>
      <c r="G136" s="14">
        <v>4795000</v>
      </c>
      <c r="H136" s="14">
        <v>4778243.5599999996</v>
      </c>
      <c r="I136" s="14">
        <v>4795000</v>
      </c>
      <c r="J136" s="14">
        <v>4778243.5599999996</v>
      </c>
      <c r="K136" s="12">
        <v>29</v>
      </c>
      <c r="L136" s="10" t="s">
        <v>101</v>
      </c>
      <c r="M136" s="10" t="s">
        <v>102</v>
      </c>
      <c r="N136" s="124" t="s">
        <v>445</v>
      </c>
      <c r="O136" s="124" t="s">
        <v>445</v>
      </c>
      <c r="P136" s="21">
        <v>32</v>
      </c>
      <c r="Q136" s="10" t="s">
        <v>54</v>
      </c>
      <c r="R136" s="10" t="s">
        <v>28</v>
      </c>
      <c r="S136" s="10"/>
      <c r="T136" s="10"/>
      <c r="U136" s="10" t="s">
        <v>2865</v>
      </c>
      <c r="V136" s="10" t="s">
        <v>2865</v>
      </c>
      <c r="W136" s="50">
        <f>+J136/$W$2</f>
        <v>5.847923028154891E-5</v>
      </c>
    </row>
    <row r="137" spans="1:23">
      <c r="A137" s="10" t="s">
        <v>359</v>
      </c>
      <c r="B137" s="10" t="s">
        <v>358</v>
      </c>
      <c r="C137" s="124">
        <v>46328</v>
      </c>
      <c r="D137" s="124" t="s">
        <v>471</v>
      </c>
      <c r="E137" s="21">
        <v>0.99672311999999996</v>
      </c>
      <c r="F137" s="10"/>
      <c r="G137" s="14">
        <v>4000000</v>
      </c>
      <c r="H137" s="14">
        <v>3986892.49</v>
      </c>
      <c r="I137" s="14">
        <v>4000000</v>
      </c>
      <c r="J137" s="14">
        <v>3986892.49</v>
      </c>
      <c r="K137" s="12">
        <v>1151</v>
      </c>
      <c r="L137" s="10" t="s">
        <v>101</v>
      </c>
      <c r="M137" s="10" t="s">
        <v>102</v>
      </c>
      <c r="N137" s="124" t="s">
        <v>405</v>
      </c>
      <c r="O137" s="124" t="s">
        <v>405</v>
      </c>
      <c r="P137" s="21">
        <v>30</v>
      </c>
      <c r="Q137" s="10" t="s">
        <v>54</v>
      </c>
      <c r="R137" s="10" t="s">
        <v>28</v>
      </c>
      <c r="S137" s="10"/>
      <c r="T137" s="10"/>
      <c r="U137" s="10" t="s">
        <v>1501</v>
      </c>
      <c r="V137" s="10" t="s">
        <v>1501</v>
      </c>
      <c r="W137" s="50">
        <f>+J137/$W$2</f>
        <v>4.8794164864732842E-5</v>
      </c>
    </row>
    <row r="138" spans="1:23">
      <c r="A138" s="10" t="s">
        <v>359</v>
      </c>
      <c r="B138" s="10" t="s">
        <v>358</v>
      </c>
      <c r="C138" s="124">
        <v>46328</v>
      </c>
      <c r="D138" s="124" t="s">
        <v>471</v>
      </c>
      <c r="E138" s="21">
        <v>0.99672311000000002</v>
      </c>
      <c r="F138" s="10"/>
      <c r="G138" s="14">
        <v>5000000</v>
      </c>
      <c r="H138" s="14">
        <v>4983615.5599999996</v>
      </c>
      <c r="I138" s="14">
        <v>5000000</v>
      </c>
      <c r="J138" s="14">
        <v>4983615.5599999996</v>
      </c>
      <c r="K138" s="12">
        <v>1241</v>
      </c>
      <c r="L138" s="10" t="s">
        <v>101</v>
      </c>
      <c r="M138" s="10" t="s">
        <v>102</v>
      </c>
      <c r="N138" s="124" t="s">
        <v>397</v>
      </c>
      <c r="O138" s="124" t="s">
        <v>397</v>
      </c>
      <c r="P138" s="21">
        <v>30</v>
      </c>
      <c r="Q138" s="10" t="s">
        <v>54</v>
      </c>
      <c r="R138" s="10" t="s">
        <v>28</v>
      </c>
      <c r="S138" s="10"/>
      <c r="T138" s="10"/>
      <c r="U138" s="10" t="s">
        <v>1860</v>
      </c>
      <c r="V138" s="10" t="s">
        <v>1860</v>
      </c>
      <c r="W138" s="50">
        <f>+J138/$W$2</f>
        <v>6.0992705438387137E-5</v>
      </c>
    </row>
    <row r="139" spans="1:23">
      <c r="A139" s="10" t="s">
        <v>359</v>
      </c>
      <c r="B139" s="10" t="s">
        <v>358</v>
      </c>
      <c r="C139" s="124">
        <v>46328</v>
      </c>
      <c r="D139" s="124" t="s">
        <v>471</v>
      </c>
      <c r="E139" s="21">
        <v>0.99650541000000004</v>
      </c>
      <c r="F139" s="10"/>
      <c r="G139" s="14">
        <v>2000000</v>
      </c>
      <c r="H139" s="14">
        <v>1993010.82</v>
      </c>
      <c r="I139" s="14">
        <v>2000000</v>
      </c>
      <c r="J139" s="14">
        <v>1993010.82</v>
      </c>
      <c r="K139" s="12">
        <v>1079</v>
      </c>
      <c r="L139" s="10" t="s">
        <v>101</v>
      </c>
      <c r="M139" s="10" t="s">
        <v>102</v>
      </c>
      <c r="N139" s="124" t="s">
        <v>406</v>
      </c>
      <c r="O139" s="124" t="s">
        <v>406</v>
      </c>
      <c r="P139" s="21">
        <v>32</v>
      </c>
      <c r="Q139" s="10" t="s">
        <v>54</v>
      </c>
      <c r="R139" s="10" t="s">
        <v>28</v>
      </c>
      <c r="S139" s="10"/>
      <c r="T139" s="10"/>
      <c r="U139" s="10" t="s">
        <v>1180</v>
      </c>
      <c r="V139" s="10" t="s">
        <v>1180</v>
      </c>
      <c r="W139" s="50">
        <f>+J139/$W$2</f>
        <v>2.4391753420036761E-5</v>
      </c>
    </row>
    <row r="140" spans="1:23">
      <c r="A140" s="10" t="s">
        <v>359</v>
      </c>
      <c r="B140" s="10" t="s">
        <v>358</v>
      </c>
      <c r="C140" s="124">
        <v>46328</v>
      </c>
      <c r="D140" s="124" t="s">
        <v>471</v>
      </c>
      <c r="E140" s="21">
        <v>0.99650541000000004</v>
      </c>
      <c r="F140" s="10"/>
      <c r="G140" s="14">
        <v>3000000</v>
      </c>
      <c r="H140" s="14">
        <v>2989516.22</v>
      </c>
      <c r="I140" s="14">
        <v>3000000</v>
      </c>
      <c r="J140" s="14">
        <v>2989516.22</v>
      </c>
      <c r="K140" s="12">
        <v>1047</v>
      </c>
      <c r="L140" s="10" t="s">
        <v>101</v>
      </c>
      <c r="M140" s="10" t="s">
        <v>102</v>
      </c>
      <c r="N140" s="124" t="s">
        <v>373</v>
      </c>
      <c r="O140" s="124" t="s">
        <v>373</v>
      </c>
      <c r="P140" s="21">
        <v>32</v>
      </c>
      <c r="Q140" s="10" t="s">
        <v>54</v>
      </c>
      <c r="R140" s="10" t="s">
        <v>28</v>
      </c>
      <c r="S140" s="10"/>
      <c r="T140" s="10"/>
      <c r="U140" s="10" t="s">
        <v>1142</v>
      </c>
      <c r="V140" s="10" t="s">
        <v>1142</v>
      </c>
      <c r="W140" s="50">
        <f>+J140/$W$2</f>
        <v>3.6587630007668688E-5</v>
      </c>
    </row>
    <row r="141" spans="1:23">
      <c r="A141" s="10" t="s">
        <v>359</v>
      </c>
      <c r="B141" s="10" t="s">
        <v>358</v>
      </c>
      <c r="C141" s="124">
        <v>46328</v>
      </c>
      <c r="D141" s="124" t="s">
        <v>471</v>
      </c>
      <c r="E141" s="21">
        <v>0.99639659999999997</v>
      </c>
      <c r="F141" s="10"/>
      <c r="G141" s="14">
        <v>2500000</v>
      </c>
      <c r="H141" s="14">
        <v>2490991.5099999998</v>
      </c>
      <c r="I141" s="14">
        <v>2500000</v>
      </c>
      <c r="J141" s="14">
        <v>2490991.5099999998</v>
      </c>
      <c r="K141" s="12">
        <v>1009</v>
      </c>
      <c r="L141" s="10" t="s">
        <v>101</v>
      </c>
      <c r="M141" s="10" t="s">
        <v>102</v>
      </c>
      <c r="N141" s="124" t="s">
        <v>161</v>
      </c>
      <c r="O141" s="124" t="s">
        <v>161</v>
      </c>
      <c r="P141" s="21">
        <v>33</v>
      </c>
      <c r="Q141" s="10" t="s">
        <v>54</v>
      </c>
      <c r="R141" s="10" t="s">
        <v>28</v>
      </c>
      <c r="S141" s="10"/>
      <c r="T141" s="10"/>
      <c r="U141" s="10" t="s">
        <v>1086</v>
      </c>
      <c r="V141" s="10" t="s">
        <v>1086</v>
      </c>
      <c r="W141" s="50">
        <f>+J141/$W$2</f>
        <v>3.0486362679819786E-5</v>
      </c>
    </row>
    <row r="142" spans="1:23">
      <c r="A142" s="10" t="s">
        <v>359</v>
      </c>
      <c r="B142" s="10" t="s">
        <v>358</v>
      </c>
      <c r="C142" s="124">
        <v>46328</v>
      </c>
      <c r="D142" s="124" t="s">
        <v>471</v>
      </c>
      <c r="E142" s="21">
        <v>0.99672311000000002</v>
      </c>
      <c r="F142" s="10"/>
      <c r="G142" s="14">
        <v>3800000</v>
      </c>
      <c r="H142" s="14">
        <v>3787547.81</v>
      </c>
      <c r="I142" s="14">
        <v>3800000</v>
      </c>
      <c r="J142" s="14">
        <v>3787547.81</v>
      </c>
      <c r="K142" s="12">
        <v>929</v>
      </c>
      <c r="L142" s="10" t="s">
        <v>101</v>
      </c>
      <c r="M142" s="10" t="s">
        <v>102</v>
      </c>
      <c r="N142" s="124" t="s">
        <v>372</v>
      </c>
      <c r="O142" s="124" t="s">
        <v>372</v>
      </c>
      <c r="P142" s="21">
        <v>30</v>
      </c>
      <c r="Q142" s="10" t="s">
        <v>54</v>
      </c>
      <c r="R142" s="10" t="s">
        <v>28</v>
      </c>
      <c r="S142" s="10"/>
      <c r="T142" s="10"/>
      <c r="U142" s="10" t="s">
        <v>954</v>
      </c>
      <c r="V142" s="10" t="s">
        <v>954</v>
      </c>
      <c r="W142" s="50">
        <f>+J142/$W$2</f>
        <v>4.6354455942251358E-5</v>
      </c>
    </row>
    <row r="143" spans="1:23">
      <c r="A143" s="10" t="s">
        <v>359</v>
      </c>
      <c r="B143" s="10" t="s">
        <v>358</v>
      </c>
      <c r="C143" s="124">
        <v>46328</v>
      </c>
      <c r="D143" s="124" t="s">
        <v>471</v>
      </c>
      <c r="E143" s="21">
        <v>0.99672311999999996</v>
      </c>
      <c r="F143" s="10"/>
      <c r="G143" s="14">
        <v>2500000</v>
      </c>
      <c r="H143" s="14">
        <v>2491807.79</v>
      </c>
      <c r="I143" s="14">
        <v>2500000</v>
      </c>
      <c r="J143" s="14">
        <v>2491807.79</v>
      </c>
      <c r="K143" s="12">
        <v>887</v>
      </c>
      <c r="L143" s="10" t="s">
        <v>101</v>
      </c>
      <c r="M143" s="10" t="s">
        <v>102</v>
      </c>
      <c r="N143" s="124" t="s">
        <v>409</v>
      </c>
      <c r="O143" s="124" t="s">
        <v>409</v>
      </c>
      <c r="P143" s="21">
        <v>30</v>
      </c>
      <c r="Q143" s="10" t="s">
        <v>54</v>
      </c>
      <c r="R143" s="10" t="s">
        <v>28</v>
      </c>
      <c r="S143" s="10"/>
      <c r="T143" s="10"/>
      <c r="U143" s="10" t="s">
        <v>908</v>
      </c>
      <c r="V143" s="10" t="s">
        <v>908</v>
      </c>
      <c r="W143" s="50">
        <f>+J143/$W$2</f>
        <v>3.0496352841580031E-5</v>
      </c>
    </row>
    <row r="144" spans="1:23">
      <c r="A144" s="10" t="s">
        <v>400</v>
      </c>
      <c r="B144" s="10" t="s">
        <v>358</v>
      </c>
      <c r="C144" s="124">
        <v>46329</v>
      </c>
      <c r="D144" s="124" t="s">
        <v>471</v>
      </c>
      <c r="E144" s="21">
        <v>0.99617904000000002</v>
      </c>
      <c r="F144" s="10"/>
      <c r="G144" s="14">
        <v>12500000</v>
      </c>
      <c r="H144" s="14">
        <v>12452238</v>
      </c>
      <c r="I144" s="14">
        <v>12500000</v>
      </c>
      <c r="J144" s="14">
        <v>12452238</v>
      </c>
      <c r="K144" s="12">
        <v>90027773</v>
      </c>
      <c r="L144" s="10" t="s">
        <v>101</v>
      </c>
      <c r="M144" s="10" t="s">
        <v>102</v>
      </c>
      <c r="N144" s="124" t="s">
        <v>576</v>
      </c>
      <c r="O144" s="124" t="s">
        <v>576</v>
      </c>
      <c r="P144" s="21">
        <v>28</v>
      </c>
      <c r="Q144" s="10" t="s">
        <v>54</v>
      </c>
      <c r="R144" s="10" t="s">
        <v>28</v>
      </c>
      <c r="S144" s="10"/>
      <c r="T144" s="10"/>
      <c r="U144" s="10" t="s">
        <v>2337</v>
      </c>
      <c r="V144" s="10" t="s">
        <v>2337</v>
      </c>
      <c r="W144" s="50">
        <f>+J144/$W$2</f>
        <v>1.5239852979002477E-4</v>
      </c>
    </row>
    <row r="145" spans="1:23">
      <c r="A145" s="10" t="s">
        <v>379</v>
      </c>
      <c r="B145" s="10" t="s">
        <v>358</v>
      </c>
      <c r="C145" s="124">
        <v>46329</v>
      </c>
      <c r="D145" s="124" t="s">
        <v>471</v>
      </c>
      <c r="E145" s="21">
        <v>0.99590725000000002</v>
      </c>
      <c r="F145" s="10"/>
      <c r="G145" s="14">
        <v>4649844.34</v>
      </c>
      <c r="H145" s="14">
        <v>4630813.68</v>
      </c>
      <c r="I145" s="14">
        <v>4649844.34</v>
      </c>
      <c r="J145" s="14">
        <v>4630813.68</v>
      </c>
      <c r="K145" s="12">
        <v>22296</v>
      </c>
      <c r="L145" s="10" t="s">
        <v>101</v>
      </c>
      <c r="M145" s="10" t="s">
        <v>102</v>
      </c>
      <c r="N145" s="124" t="s">
        <v>398</v>
      </c>
      <c r="O145" s="124" t="s">
        <v>398</v>
      </c>
      <c r="P145" s="21">
        <v>30</v>
      </c>
      <c r="Q145" s="10" t="s">
        <v>54</v>
      </c>
      <c r="R145" s="10" t="s">
        <v>28</v>
      </c>
      <c r="S145" s="10"/>
      <c r="T145" s="10"/>
      <c r="U145" s="10" t="s">
        <v>1685</v>
      </c>
      <c r="V145" s="10" t="s">
        <v>1685</v>
      </c>
      <c r="W145" s="50">
        <f>+J145/$W$2</f>
        <v>5.667488820592204E-5</v>
      </c>
    </row>
    <row r="146" spans="1:23">
      <c r="A146" s="10" t="s">
        <v>334</v>
      </c>
      <c r="B146" s="10" t="s">
        <v>358</v>
      </c>
      <c r="C146" s="124">
        <v>46329</v>
      </c>
      <c r="D146" s="124" t="s">
        <v>471</v>
      </c>
      <c r="E146" s="21">
        <v>0.99509270999999999</v>
      </c>
      <c r="F146" s="10"/>
      <c r="G146" s="14">
        <v>3625698.78</v>
      </c>
      <c r="H146" s="14">
        <v>3607906.43</v>
      </c>
      <c r="I146" s="14">
        <v>3625698.78</v>
      </c>
      <c r="J146" s="14">
        <v>3607906.43</v>
      </c>
      <c r="K146" s="12">
        <v>3349</v>
      </c>
      <c r="L146" s="10" t="s">
        <v>101</v>
      </c>
      <c r="M146" s="10" t="s">
        <v>102</v>
      </c>
      <c r="N146" s="124" t="s">
        <v>331</v>
      </c>
      <c r="O146" s="124" t="s">
        <v>331</v>
      </c>
      <c r="P146" s="21">
        <v>36</v>
      </c>
      <c r="Q146" s="10" t="s">
        <v>54</v>
      </c>
      <c r="R146" s="10" t="s">
        <v>28</v>
      </c>
      <c r="S146" s="10"/>
      <c r="T146" s="10"/>
      <c r="U146" s="10" t="s">
        <v>1235</v>
      </c>
      <c r="V146" s="10" t="s">
        <v>1235</v>
      </c>
      <c r="W146" s="50">
        <f>+J146/$W$2</f>
        <v>4.4155888728755187E-5</v>
      </c>
    </row>
    <row r="147" spans="1:23">
      <c r="A147" s="10" t="s">
        <v>334</v>
      </c>
      <c r="B147" s="10" t="s">
        <v>358</v>
      </c>
      <c r="C147" s="124">
        <v>46329</v>
      </c>
      <c r="D147" s="124" t="s">
        <v>471</v>
      </c>
      <c r="E147" s="21">
        <v>0.99509272000000004</v>
      </c>
      <c r="F147" s="10"/>
      <c r="G147" s="14">
        <v>1874176.47</v>
      </c>
      <c r="H147" s="14">
        <v>1864979.36</v>
      </c>
      <c r="I147" s="14">
        <v>1874176.47</v>
      </c>
      <c r="J147" s="14">
        <v>1864979.36</v>
      </c>
      <c r="K147" s="12">
        <v>3468</v>
      </c>
      <c r="L147" s="10" t="s">
        <v>101</v>
      </c>
      <c r="M147" s="10" t="s">
        <v>102</v>
      </c>
      <c r="N147" s="124" t="s">
        <v>405</v>
      </c>
      <c r="O147" s="124" t="s">
        <v>405</v>
      </c>
      <c r="P147" s="21">
        <v>36</v>
      </c>
      <c r="Q147" s="10" t="s">
        <v>54</v>
      </c>
      <c r="R147" s="10" t="s">
        <v>28</v>
      </c>
      <c r="S147" s="10"/>
      <c r="T147" s="10"/>
      <c r="U147" s="10" t="s">
        <v>1513</v>
      </c>
      <c r="V147" s="10" t="s">
        <v>1513</v>
      </c>
      <c r="W147" s="50">
        <f>+J147/$W$2</f>
        <v>2.2824821735076167E-5</v>
      </c>
    </row>
    <row r="148" spans="1:23">
      <c r="A148" s="10" t="s">
        <v>334</v>
      </c>
      <c r="B148" s="10" t="s">
        <v>358</v>
      </c>
      <c r="C148" s="124">
        <v>46329</v>
      </c>
      <c r="D148" s="124" t="s">
        <v>471</v>
      </c>
      <c r="E148" s="21">
        <v>0.99549980999999998</v>
      </c>
      <c r="F148" s="10"/>
      <c r="G148" s="14">
        <v>2502550.36</v>
      </c>
      <c r="H148" s="14">
        <v>2491288.42</v>
      </c>
      <c r="I148" s="14">
        <v>2502550.36</v>
      </c>
      <c r="J148" s="14">
        <v>2491288.42</v>
      </c>
      <c r="K148" s="12">
        <v>3143</v>
      </c>
      <c r="L148" s="10" t="s">
        <v>101</v>
      </c>
      <c r="M148" s="10" t="s">
        <v>102</v>
      </c>
      <c r="N148" s="124" t="s">
        <v>345</v>
      </c>
      <c r="O148" s="124" t="s">
        <v>345</v>
      </c>
      <c r="P148" s="21">
        <v>33</v>
      </c>
      <c r="Q148" s="10" t="s">
        <v>54</v>
      </c>
      <c r="R148" s="10" t="s">
        <v>28</v>
      </c>
      <c r="S148" s="10"/>
      <c r="T148" s="10"/>
      <c r="U148" s="10" t="s">
        <v>803</v>
      </c>
      <c r="V148" s="10" t="s">
        <v>803</v>
      </c>
      <c r="W148" s="50">
        <f>+J148/$W$2</f>
        <v>3.0489996456132125E-5</v>
      </c>
    </row>
    <row r="149" spans="1:23">
      <c r="A149" s="10" t="s">
        <v>334</v>
      </c>
      <c r="B149" s="10" t="s">
        <v>358</v>
      </c>
      <c r="C149" s="124">
        <v>46329</v>
      </c>
      <c r="D149" s="124" t="s">
        <v>471</v>
      </c>
      <c r="E149" s="21">
        <v>0.99549980999999998</v>
      </c>
      <c r="F149" s="10"/>
      <c r="G149" s="14">
        <v>2502550.36</v>
      </c>
      <c r="H149" s="14">
        <v>2491288.42</v>
      </c>
      <c r="I149" s="14">
        <v>2502550.36</v>
      </c>
      <c r="J149" s="14">
        <v>2491288.42</v>
      </c>
      <c r="K149" s="12">
        <v>3133</v>
      </c>
      <c r="L149" s="10" t="s">
        <v>101</v>
      </c>
      <c r="M149" s="10" t="s">
        <v>102</v>
      </c>
      <c r="N149" s="124" t="s">
        <v>345</v>
      </c>
      <c r="O149" s="124" t="s">
        <v>345</v>
      </c>
      <c r="P149" s="21">
        <v>33</v>
      </c>
      <c r="Q149" s="10" t="s">
        <v>54</v>
      </c>
      <c r="R149" s="10" t="s">
        <v>28</v>
      </c>
      <c r="S149" s="10"/>
      <c r="T149" s="10"/>
      <c r="U149" s="10" t="s">
        <v>804</v>
      </c>
      <c r="V149" s="10" t="s">
        <v>804</v>
      </c>
      <c r="W149" s="50">
        <f>+J149/$W$2</f>
        <v>3.0489996456132125E-5</v>
      </c>
    </row>
    <row r="150" spans="1:23">
      <c r="A150" s="10" t="s">
        <v>334</v>
      </c>
      <c r="B150" s="10" t="s">
        <v>358</v>
      </c>
      <c r="C150" s="124">
        <v>46329</v>
      </c>
      <c r="D150" s="124" t="s">
        <v>471</v>
      </c>
      <c r="E150" s="21">
        <v>0.99536407000000005</v>
      </c>
      <c r="F150" s="10"/>
      <c r="G150" s="14">
        <v>990902.64</v>
      </c>
      <c r="H150" s="14">
        <v>986308.88</v>
      </c>
      <c r="I150" s="14">
        <v>990902.64</v>
      </c>
      <c r="J150" s="14">
        <v>986308.88</v>
      </c>
      <c r="K150" s="12">
        <v>2959</v>
      </c>
      <c r="L150" s="10" t="s">
        <v>101</v>
      </c>
      <c r="M150" s="10" t="s">
        <v>102</v>
      </c>
      <c r="N150" s="124" t="s">
        <v>311</v>
      </c>
      <c r="O150" s="124" t="s">
        <v>311</v>
      </c>
      <c r="P150" s="21">
        <v>34</v>
      </c>
      <c r="Q150" s="10" t="s">
        <v>54</v>
      </c>
      <c r="R150" s="10" t="s">
        <v>28</v>
      </c>
      <c r="S150" s="10"/>
      <c r="T150" s="10"/>
      <c r="U150" s="10" t="s">
        <v>700</v>
      </c>
      <c r="V150" s="10" t="s">
        <v>700</v>
      </c>
      <c r="W150" s="50">
        <f>+J150/$W$2</f>
        <v>1.2071084991376328E-5</v>
      </c>
    </row>
    <row r="151" spans="1:23">
      <c r="A151" s="10" t="s">
        <v>334</v>
      </c>
      <c r="B151" s="10" t="s">
        <v>358</v>
      </c>
      <c r="C151" s="124">
        <v>46329</v>
      </c>
      <c r="D151" s="124" t="s">
        <v>471</v>
      </c>
      <c r="E151" s="21">
        <v>0.99536407000000005</v>
      </c>
      <c r="F151" s="10"/>
      <c r="G151" s="14">
        <v>1020845.65</v>
      </c>
      <c r="H151" s="14">
        <v>1016113.08</v>
      </c>
      <c r="I151" s="14">
        <v>1020845.65</v>
      </c>
      <c r="J151" s="14">
        <v>1016113.08</v>
      </c>
      <c r="K151" s="12">
        <v>2909</v>
      </c>
      <c r="L151" s="10" t="s">
        <v>101</v>
      </c>
      <c r="M151" s="10" t="s">
        <v>102</v>
      </c>
      <c r="N151" s="124" t="s">
        <v>311</v>
      </c>
      <c r="O151" s="124" t="s">
        <v>311</v>
      </c>
      <c r="P151" s="21">
        <v>34</v>
      </c>
      <c r="Q151" s="10" t="s">
        <v>54</v>
      </c>
      <c r="R151" s="10" t="s">
        <v>28</v>
      </c>
      <c r="S151" s="10"/>
      <c r="T151" s="10"/>
      <c r="U151" s="10" t="s">
        <v>701</v>
      </c>
      <c r="V151" s="10" t="s">
        <v>701</v>
      </c>
      <c r="W151" s="50">
        <f>+J151/$W$2</f>
        <v>1.2435848037309745E-5</v>
      </c>
    </row>
    <row r="152" spans="1:23">
      <c r="A152" s="10" t="s">
        <v>1895</v>
      </c>
      <c r="B152" s="10" t="s">
        <v>358</v>
      </c>
      <c r="C152" s="124">
        <v>46329</v>
      </c>
      <c r="D152" s="124" t="s">
        <v>471</v>
      </c>
      <c r="E152" s="21">
        <v>0.99577139000000003</v>
      </c>
      <c r="F152" s="10"/>
      <c r="G152" s="14">
        <v>102281981.31999999</v>
      </c>
      <c r="H152" s="14">
        <v>101849470.29000001</v>
      </c>
      <c r="I152" s="14">
        <v>102281981.31999999</v>
      </c>
      <c r="J152" s="14">
        <v>101849470.29000001</v>
      </c>
      <c r="K152" s="12">
        <v>6311</v>
      </c>
      <c r="L152" s="10" t="s">
        <v>101</v>
      </c>
      <c r="M152" s="10" t="s">
        <v>102</v>
      </c>
      <c r="N152" s="124" t="s">
        <v>397</v>
      </c>
      <c r="O152" s="124" t="s">
        <v>397</v>
      </c>
      <c r="P152" s="21">
        <v>31</v>
      </c>
      <c r="Q152" s="10" t="s">
        <v>54</v>
      </c>
      <c r="R152" s="10" t="s">
        <v>28</v>
      </c>
      <c r="S152" s="10"/>
      <c r="T152" s="10"/>
      <c r="U152" s="10" t="s">
        <v>1891</v>
      </c>
      <c r="V152" s="10" t="s">
        <v>1891</v>
      </c>
      <c r="W152" s="50">
        <f>+J152/$W$2</f>
        <v>1.2464995876314612E-3</v>
      </c>
    </row>
    <row r="153" spans="1:23">
      <c r="A153" s="10" t="s">
        <v>401</v>
      </c>
      <c r="B153" s="10" t="s">
        <v>358</v>
      </c>
      <c r="C153" s="124">
        <v>46329</v>
      </c>
      <c r="D153" s="124" t="s">
        <v>471</v>
      </c>
      <c r="E153" s="21">
        <v>0.99645099999999998</v>
      </c>
      <c r="F153" s="10"/>
      <c r="G153" s="14">
        <v>20000000</v>
      </c>
      <c r="H153" s="14">
        <v>19929020.030000001</v>
      </c>
      <c r="I153" s="14">
        <v>20000000</v>
      </c>
      <c r="J153" s="14">
        <v>19929020.030000001</v>
      </c>
      <c r="K153" s="12">
        <v>22804</v>
      </c>
      <c r="L153" s="10" t="s">
        <v>101</v>
      </c>
      <c r="M153" s="10" t="s">
        <v>102</v>
      </c>
      <c r="N153" s="124" t="s">
        <v>577</v>
      </c>
      <c r="O153" s="124" t="s">
        <v>577</v>
      </c>
      <c r="P153" s="21">
        <v>26</v>
      </c>
      <c r="Q153" s="10" t="s">
        <v>54</v>
      </c>
      <c r="R153" s="10" t="s">
        <v>28</v>
      </c>
      <c r="S153" s="10"/>
      <c r="T153" s="10"/>
      <c r="U153" s="10" t="s">
        <v>2447</v>
      </c>
      <c r="V153" s="10" t="s">
        <v>2447</v>
      </c>
      <c r="W153" s="50">
        <f>+J153/$W$2</f>
        <v>2.4390421647321194E-4</v>
      </c>
    </row>
    <row r="154" spans="1:23">
      <c r="A154" s="10" t="s">
        <v>1744</v>
      </c>
      <c r="B154" s="10" t="s">
        <v>358</v>
      </c>
      <c r="C154" s="124">
        <v>46329</v>
      </c>
      <c r="D154" s="124" t="s">
        <v>471</v>
      </c>
      <c r="E154" s="21">
        <v>0.99549980999999998</v>
      </c>
      <c r="F154" s="10"/>
      <c r="G154" s="14">
        <v>5300000</v>
      </c>
      <c r="H154" s="14">
        <v>5276149.01</v>
      </c>
      <c r="I154" s="14">
        <v>5300000</v>
      </c>
      <c r="J154" s="14">
        <v>5276149.01</v>
      </c>
      <c r="K154" s="12">
        <v>8175672</v>
      </c>
      <c r="L154" s="10" t="s">
        <v>101</v>
      </c>
      <c r="M154" s="10" t="s">
        <v>102</v>
      </c>
      <c r="N154" s="124" t="s">
        <v>398</v>
      </c>
      <c r="O154" s="124" t="s">
        <v>398</v>
      </c>
      <c r="P154" s="21">
        <v>33</v>
      </c>
      <c r="Q154" s="10" t="s">
        <v>54</v>
      </c>
      <c r="R154" s="10" t="s">
        <v>28</v>
      </c>
      <c r="S154" s="10"/>
      <c r="T154" s="10"/>
      <c r="U154" s="10" t="s">
        <v>1643</v>
      </c>
      <c r="V154" s="10" t="s">
        <v>1643</v>
      </c>
      <c r="W154" s="50">
        <f>+J154/$W$2</f>
        <v>6.4572918705625021E-5</v>
      </c>
    </row>
    <row r="155" spans="1:23">
      <c r="A155" s="10" t="s">
        <v>1748</v>
      </c>
      <c r="B155" s="10" t="s">
        <v>358</v>
      </c>
      <c r="C155" s="124">
        <v>46329</v>
      </c>
      <c r="D155" s="124" t="s">
        <v>471</v>
      </c>
      <c r="E155" s="21">
        <v>0.99549986000000001</v>
      </c>
      <c r="F155" s="10"/>
      <c r="G155" s="14">
        <v>155452.9</v>
      </c>
      <c r="H155" s="14">
        <v>154753.34</v>
      </c>
      <c r="I155" s="14">
        <v>155452.9</v>
      </c>
      <c r="J155" s="14">
        <v>154753.34</v>
      </c>
      <c r="K155" s="12">
        <v>348</v>
      </c>
      <c r="L155" s="10" t="s">
        <v>101</v>
      </c>
      <c r="M155" s="10" t="s">
        <v>102</v>
      </c>
      <c r="N155" s="124" t="s">
        <v>398</v>
      </c>
      <c r="O155" s="124" t="s">
        <v>398</v>
      </c>
      <c r="P155" s="21">
        <v>33</v>
      </c>
      <c r="Q155" s="10" t="s">
        <v>54</v>
      </c>
      <c r="R155" s="10" t="s">
        <v>28</v>
      </c>
      <c r="S155" s="10"/>
      <c r="T155" s="10"/>
      <c r="U155" s="10" t="s">
        <v>1672</v>
      </c>
      <c r="V155" s="10" t="s">
        <v>1672</v>
      </c>
      <c r="W155" s="50">
        <f>+J155/$W$2</f>
        <v>1.8939713082978203E-6</v>
      </c>
    </row>
    <row r="156" spans="1:23">
      <c r="A156" s="10" t="s">
        <v>2758</v>
      </c>
      <c r="B156" s="10" t="s">
        <v>358</v>
      </c>
      <c r="C156" s="124">
        <v>46329</v>
      </c>
      <c r="D156" s="124" t="s">
        <v>471</v>
      </c>
      <c r="E156" s="21">
        <v>0.99618041000000002</v>
      </c>
      <c r="F156" s="10"/>
      <c r="G156" s="14">
        <v>634421.24</v>
      </c>
      <c r="H156" s="14">
        <v>631998.01</v>
      </c>
      <c r="I156" s="14">
        <v>634421.24</v>
      </c>
      <c r="J156" s="14">
        <v>631998.01</v>
      </c>
      <c r="K156" s="12">
        <v>3184</v>
      </c>
      <c r="L156" s="10" t="s">
        <v>101</v>
      </c>
      <c r="M156" s="10" t="s">
        <v>102</v>
      </c>
      <c r="N156" s="124" t="s">
        <v>417</v>
      </c>
      <c r="O156" s="124" t="s">
        <v>417</v>
      </c>
      <c r="P156" s="21">
        <v>27.99</v>
      </c>
      <c r="Q156" s="10" t="s">
        <v>54</v>
      </c>
      <c r="R156" s="10" t="s">
        <v>28</v>
      </c>
      <c r="S156" s="10"/>
      <c r="T156" s="10"/>
      <c r="U156" s="10" t="s">
        <v>3176</v>
      </c>
      <c r="V156" s="10" t="s">
        <v>3176</v>
      </c>
      <c r="W156" s="50">
        <f>+J156/$W$2</f>
        <v>7.7347997648472003E-6</v>
      </c>
    </row>
    <row r="157" spans="1:23">
      <c r="A157" s="10" t="s">
        <v>2758</v>
      </c>
      <c r="B157" s="10" t="s">
        <v>358</v>
      </c>
      <c r="C157" s="124">
        <v>46329</v>
      </c>
      <c r="D157" s="124" t="s">
        <v>471</v>
      </c>
      <c r="E157" s="21">
        <v>0.99618039000000003</v>
      </c>
      <c r="F157" s="10"/>
      <c r="G157" s="14">
        <v>168854.79</v>
      </c>
      <c r="H157" s="14">
        <v>168209.83</v>
      </c>
      <c r="I157" s="14">
        <v>168854.79</v>
      </c>
      <c r="J157" s="14">
        <v>168209.83</v>
      </c>
      <c r="K157" s="12">
        <v>10273950</v>
      </c>
      <c r="L157" s="10" t="s">
        <v>101</v>
      </c>
      <c r="M157" s="10" t="s">
        <v>102</v>
      </c>
      <c r="N157" s="124" t="s">
        <v>417</v>
      </c>
      <c r="O157" s="124" t="s">
        <v>417</v>
      </c>
      <c r="P157" s="21">
        <v>27.99</v>
      </c>
      <c r="Q157" s="10" t="s">
        <v>54</v>
      </c>
      <c r="R157" s="10" t="s">
        <v>28</v>
      </c>
      <c r="S157" s="10"/>
      <c r="T157" s="10"/>
      <c r="U157" s="10" t="s">
        <v>3189</v>
      </c>
      <c r="V157" s="10" t="s">
        <v>3189</v>
      </c>
      <c r="W157" s="50">
        <f>+J157/$W$2</f>
        <v>2.0586605225687145E-6</v>
      </c>
    </row>
    <row r="158" spans="1:23">
      <c r="A158" s="10" t="s">
        <v>2758</v>
      </c>
      <c r="B158" s="10" t="s">
        <v>358</v>
      </c>
      <c r="C158" s="124">
        <v>46329</v>
      </c>
      <c r="D158" s="124" t="s">
        <v>471</v>
      </c>
      <c r="E158" s="21">
        <v>0.99617907999999999</v>
      </c>
      <c r="F158" s="10"/>
      <c r="G158" s="14">
        <v>2750000</v>
      </c>
      <c r="H158" s="14">
        <v>2739492.48</v>
      </c>
      <c r="I158" s="14">
        <v>2750000</v>
      </c>
      <c r="J158" s="14">
        <v>2739492.48</v>
      </c>
      <c r="K158" s="12">
        <v>1769517</v>
      </c>
      <c r="L158" s="10" t="s">
        <v>101</v>
      </c>
      <c r="M158" s="10" t="s">
        <v>102</v>
      </c>
      <c r="N158" s="124" t="s">
        <v>411</v>
      </c>
      <c r="O158" s="124" t="s">
        <v>411</v>
      </c>
      <c r="P158" s="21">
        <v>28</v>
      </c>
      <c r="Q158" s="10" t="s">
        <v>54</v>
      </c>
      <c r="R158" s="10" t="s">
        <v>28</v>
      </c>
      <c r="S158" s="10"/>
      <c r="T158" s="10"/>
      <c r="U158" s="10" t="s">
        <v>2962</v>
      </c>
      <c r="V158" s="10" t="s">
        <v>2962</v>
      </c>
      <c r="W158" s="50">
        <f>+J158/$W$2</f>
        <v>3.3527678022442945E-5</v>
      </c>
    </row>
    <row r="159" spans="1:23">
      <c r="A159" s="10" t="s">
        <v>2758</v>
      </c>
      <c r="B159" s="10" t="s">
        <v>358</v>
      </c>
      <c r="C159" s="124">
        <v>46329</v>
      </c>
      <c r="D159" s="124" t="s">
        <v>471</v>
      </c>
      <c r="E159" s="21">
        <v>0.99617909999999998</v>
      </c>
      <c r="F159" s="10"/>
      <c r="G159" s="14">
        <v>502360.99</v>
      </c>
      <c r="H159" s="14">
        <v>500441.52</v>
      </c>
      <c r="I159" s="14">
        <v>502360.99</v>
      </c>
      <c r="J159" s="14">
        <v>500441.52</v>
      </c>
      <c r="K159" s="12">
        <v>738</v>
      </c>
      <c r="L159" s="10" t="s">
        <v>101</v>
      </c>
      <c r="M159" s="10" t="s">
        <v>102</v>
      </c>
      <c r="N159" s="124" t="s">
        <v>411</v>
      </c>
      <c r="O159" s="124" t="s">
        <v>411</v>
      </c>
      <c r="P159" s="21">
        <v>28</v>
      </c>
      <c r="Q159" s="10" t="s">
        <v>54</v>
      </c>
      <c r="R159" s="10" t="s">
        <v>28</v>
      </c>
      <c r="S159" s="10"/>
      <c r="T159" s="10"/>
      <c r="U159" s="10" t="s">
        <v>2963</v>
      </c>
      <c r="V159" s="10" t="s">
        <v>2963</v>
      </c>
      <c r="W159" s="50">
        <f>+J159/$W$2</f>
        <v>6.1247264864263986E-6</v>
      </c>
    </row>
    <row r="160" spans="1:23">
      <c r="A160" s="10" t="s">
        <v>141</v>
      </c>
      <c r="B160" s="10" t="s">
        <v>358</v>
      </c>
      <c r="C160" s="124">
        <v>46329</v>
      </c>
      <c r="D160" s="124" t="s">
        <v>471</v>
      </c>
      <c r="E160" s="21">
        <v>0.99536407000000005</v>
      </c>
      <c r="F160" s="10"/>
      <c r="G160" s="14">
        <v>20000000</v>
      </c>
      <c r="H160" s="14">
        <v>19907281.399999999</v>
      </c>
      <c r="I160" s="14">
        <v>20000000</v>
      </c>
      <c r="J160" s="14">
        <v>19907281.399999999</v>
      </c>
      <c r="K160" s="12">
        <v>58</v>
      </c>
      <c r="L160" s="10" t="s">
        <v>101</v>
      </c>
      <c r="M160" s="10" t="s">
        <v>102</v>
      </c>
      <c r="N160" s="124" t="s">
        <v>275</v>
      </c>
      <c r="O160" s="124" t="s">
        <v>275</v>
      </c>
      <c r="P160" s="21">
        <v>34</v>
      </c>
      <c r="Q160" s="10" t="s">
        <v>54</v>
      </c>
      <c r="R160" s="10" t="s">
        <v>28</v>
      </c>
      <c r="S160" s="10"/>
      <c r="T160" s="10"/>
      <c r="U160" s="10" t="s">
        <v>834</v>
      </c>
      <c r="V160" s="10" t="s">
        <v>834</v>
      </c>
      <c r="W160" s="50">
        <f>+J160/$W$2</f>
        <v>2.4363816508135374E-4</v>
      </c>
    </row>
    <row r="161" spans="1:29">
      <c r="A161" s="10" t="s">
        <v>334</v>
      </c>
      <c r="B161" s="10" t="s">
        <v>358</v>
      </c>
      <c r="C161" s="124">
        <v>46329</v>
      </c>
      <c r="D161" s="124" t="s">
        <v>471</v>
      </c>
      <c r="E161" s="21">
        <v>0.99522836999999997</v>
      </c>
      <c r="F161" s="10"/>
      <c r="G161" s="14">
        <v>2510000.36</v>
      </c>
      <c r="H161" s="14">
        <v>2498023.5699999998</v>
      </c>
      <c r="I161" s="14">
        <v>2510000.36</v>
      </c>
      <c r="J161" s="14">
        <v>2498023.5699999998</v>
      </c>
      <c r="K161" s="12">
        <v>3156</v>
      </c>
      <c r="L161" s="10" t="s">
        <v>101</v>
      </c>
      <c r="M161" s="10" t="s">
        <v>102</v>
      </c>
      <c r="N161" s="124" t="s">
        <v>477</v>
      </c>
      <c r="O161" s="124" t="s">
        <v>477</v>
      </c>
      <c r="P161" s="21">
        <v>35</v>
      </c>
      <c r="Q161" s="10" t="s">
        <v>54</v>
      </c>
      <c r="R161" s="10" t="s">
        <v>28</v>
      </c>
      <c r="S161" s="10"/>
      <c r="T161" s="10"/>
      <c r="U161" s="10" t="s">
        <v>2408</v>
      </c>
      <c r="V161" s="10" t="s">
        <v>2408</v>
      </c>
      <c r="W161" s="50">
        <f>+J161/$W$2</f>
        <v>3.0572425571116539E-5</v>
      </c>
    </row>
    <row r="162" spans="1:29">
      <c r="A162" s="10" t="s">
        <v>880</v>
      </c>
      <c r="B162" s="10" t="s">
        <v>358</v>
      </c>
      <c r="C162" s="124">
        <v>46329</v>
      </c>
      <c r="D162" s="124" t="s">
        <v>471</v>
      </c>
      <c r="E162" s="21">
        <v>0.99590723000000003</v>
      </c>
      <c r="F162" s="10"/>
      <c r="G162" s="14">
        <v>4957748.6399999997</v>
      </c>
      <c r="H162" s="14">
        <v>4937457.72</v>
      </c>
      <c r="I162" s="14">
        <v>4957748.6399999997</v>
      </c>
      <c r="J162" s="14">
        <v>4937457.72</v>
      </c>
      <c r="K162" s="12">
        <v>68735252</v>
      </c>
      <c r="L162" s="10" t="s">
        <v>101</v>
      </c>
      <c r="M162" s="10" t="s">
        <v>102</v>
      </c>
      <c r="N162" s="124" t="s">
        <v>163</v>
      </c>
      <c r="O162" s="124" t="s">
        <v>163</v>
      </c>
      <c r="P162" s="21">
        <v>30</v>
      </c>
      <c r="Q162" s="10" t="s">
        <v>54</v>
      </c>
      <c r="R162" s="10" t="s">
        <v>28</v>
      </c>
      <c r="S162" s="10"/>
      <c r="T162" s="10"/>
      <c r="U162" s="10" t="s">
        <v>878</v>
      </c>
      <c r="V162" s="10" t="s">
        <v>878</v>
      </c>
      <c r="W162" s="50">
        <f>+J162/$W$2</f>
        <v>6.0427795985621846E-5</v>
      </c>
    </row>
    <row r="163" spans="1:29">
      <c r="A163" s="10" t="s">
        <v>911</v>
      </c>
      <c r="B163" s="10" t="s">
        <v>358</v>
      </c>
      <c r="C163" s="124">
        <v>46329</v>
      </c>
      <c r="D163" s="124" t="s">
        <v>471</v>
      </c>
      <c r="E163" s="21">
        <v>0.99590723999999997</v>
      </c>
      <c r="F163" s="10"/>
      <c r="G163" s="14">
        <v>12000000</v>
      </c>
      <c r="H163" s="14">
        <v>11950886.880000001</v>
      </c>
      <c r="I163" s="14">
        <v>12000000</v>
      </c>
      <c r="J163" s="14">
        <v>11950886.880000001</v>
      </c>
      <c r="K163" s="12">
        <v>374</v>
      </c>
      <c r="L163" s="10" t="s">
        <v>101</v>
      </c>
      <c r="M163" s="10" t="s">
        <v>102</v>
      </c>
      <c r="N163" s="124" t="s">
        <v>409</v>
      </c>
      <c r="O163" s="124" t="s">
        <v>409</v>
      </c>
      <c r="P163" s="21">
        <v>30</v>
      </c>
      <c r="Q163" s="10" t="s">
        <v>54</v>
      </c>
      <c r="R163" s="10" t="s">
        <v>28</v>
      </c>
      <c r="S163" s="10"/>
      <c r="T163" s="10"/>
      <c r="U163" s="10" t="s">
        <v>909</v>
      </c>
      <c r="V163" s="10" t="s">
        <v>909</v>
      </c>
      <c r="W163" s="50">
        <f>+J163/$W$2</f>
        <v>1.462626710314159E-4</v>
      </c>
    </row>
    <row r="164" spans="1:29">
      <c r="A164" s="10" t="s">
        <v>947</v>
      </c>
      <c r="B164" s="10" t="s">
        <v>358</v>
      </c>
      <c r="C164" s="124">
        <v>46329</v>
      </c>
      <c r="D164" s="124" t="s">
        <v>471</v>
      </c>
      <c r="E164" s="21">
        <v>0.99563559000000001</v>
      </c>
      <c r="F164" s="10"/>
      <c r="G164" s="14">
        <v>5444206</v>
      </c>
      <c r="H164" s="14">
        <v>5420445.25</v>
      </c>
      <c r="I164" s="14">
        <v>5444206</v>
      </c>
      <c r="J164" s="14">
        <v>5420445.25</v>
      </c>
      <c r="K164" s="12">
        <v>3445</v>
      </c>
      <c r="L164" s="10" t="s">
        <v>101</v>
      </c>
      <c r="M164" s="10" t="s">
        <v>102</v>
      </c>
      <c r="N164" s="124" t="s">
        <v>373</v>
      </c>
      <c r="O164" s="124" t="s">
        <v>373</v>
      </c>
      <c r="P164" s="21">
        <v>32</v>
      </c>
      <c r="Q164" s="10" t="s">
        <v>54</v>
      </c>
      <c r="R164" s="10" t="s">
        <v>28</v>
      </c>
      <c r="S164" s="10"/>
      <c r="T164" s="10"/>
      <c r="U164" s="10" t="s">
        <v>1169</v>
      </c>
      <c r="V164" s="10" t="s">
        <v>1169</v>
      </c>
      <c r="W164" s="50">
        <f>+J164/$W$2</f>
        <v>6.633890927135534E-5</v>
      </c>
    </row>
    <row r="165" spans="1:29">
      <c r="A165" s="10" t="s">
        <v>1093</v>
      </c>
      <c r="B165" s="10" t="s">
        <v>358</v>
      </c>
      <c r="C165" s="124">
        <v>46329</v>
      </c>
      <c r="D165" s="124" t="s">
        <v>471</v>
      </c>
      <c r="E165" s="21">
        <v>0.99549980000000005</v>
      </c>
      <c r="F165" s="10"/>
      <c r="G165" s="14">
        <v>44921898.869999997</v>
      </c>
      <c r="H165" s="14">
        <v>44719741.299999997</v>
      </c>
      <c r="I165" s="14">
        <v>44921898.869999997</v>
      </c>
      <c r="J165" s="14">
        <v>44719741.299999997</v>
      </c>
      <c r="K165" s="12">
        <v>72662198</v>
      </c>
      <c r="L165" s="10" t="s">
        <v>101</v>
      </c>
      <c r="M165" s="10" t="s">
        <v>102</v>
      </c>
      <c r="N165" s="124" t="s">
        <v>161</v>
      </c>
      <c r="O165" s="124" t="s">
        <v>161</v>
      </c>
      <c r="P165" s="21">
        <v>33</v>
      </c>
      <c r="Q165" s="10" t="s">
        <v>54</v>
      </c>
      <c r="R165" s="10" t="s">
        <v>28</v>
      </c>
      <c r="S165" s="10"/>
      <c r="T165" s="10"/>
      <c r="U165" s="10" t="s">
        <v>1087</v>
      </c>
      <c r="V165" s="10" t="s">
        <v>1087</v>
      </c>
      <c r="W165" s="50">
        <f>+J165/$W$2</f>
        <v>5.4730907220936918E-4</v>
      </c>
    </row>
    <row r="166" spans="1:29">
      <c r="A166" s="10" t="s">
        <v>1221</v>
      </c>
      <c r="B166" s="10" t="s">
        <v>358</v>
      </c>
      <c r="C166" s="124">
        <v>46329</v>
      </c>
      <c r="D166" s="124" t="s">
        <v>471</v>
      </c>
      <c r="E166" s="21">
        <v>0.99563557999999996</v>
      </c>
      <c r="F166" s="10"/>
      <c r="G166" s="14">
        <v>100000000</v>
      </c>
      <c r="H166" s="14">
        <v>99563557.879999995</v>
      </c>
      <c r="I166" s="14">
        <v>100000000</v>
      </c>
      <c r="J166" s="14">
        <v>99563557.879999995</v>
      </c>
      <c r="K166" s="12">
        <v>1240</v>
      </c>
      <c r="L166" s="10" t="s">
        <v>101</v>
      </c>
      <c r="M166" s="10" t="s">
        <v>102</v>
      </c>
      <c r="N166" s="124" t="s">
        <v>479</v>
      </c>
      <c r="O166" s="124" t="s">
        <v>479</v>
      </c>
      <c r="P166" s="21">
        <v>32</v>
      </c>
      <c r="Q166" s="10" t="s">
        <v>54</v>
      </c>
      <c r="R166" s="10" t="s">
        <v>28</v>
      </c>
      <c r="S166" s="10"/>
      <c r="T166" s="10"/>
      <c r="U166" s="10" t="s">
        <v>1193</v>
      </c>
      <c r="V166" s="10" t="s">
        <v>1193</v>
      </c>
      <c r="W166" s="50">
        <f>+J166/$W$2</f>
        <v>1.2185231154091367E-3</v>
      </c>
    </row>
    <row r="167" spans="1:29">
      <c r="A167" s="10" t="s">
        <v>1221</v>
      </c>
      <c r="B167" s="10" t="s">
        <v>358</v>
      </c>
      <c r="C167" s="124">
        <v>46329</v>
      </c>
      <c r="D167" s="124" t="s">
        <v>471</v>
      </c>
      <c r="E167" s="21">
        <v>0.99563557999999996</v>
      </c>
      <c r="F167" s="10"/>
      <c r="G167" s="14">
        <v>100000000</v>
      </c>
      <c r="H167" s="14">
        <v>99563557.879999995</v>
      </c>
      <c r="I167" s="14">
        <v>100000000</v>
      </c>
      <c r="J167" s="14">
        <v>99563557.879999995</v>
      </c>
      <c r="K167" s="12">
        <v>1241</v>
      </c>
      <c r="L167" s="10" t="s">
        <v>101</v>
      </c>
      <c r="M167" s="10" t="s">
        <v>102</v>
      </c>
      <c r="N167" s="124" t="s">
        <v>479</v>
      </c>
      <c r="O167" s="124" t="s">
        <v>479</v>
      </c>
      <c r="P167" s="21">
        <v>32</v>
      </c>
      <c r="Q167" s="10" t="s">
        <v>54</v>
      </c>
      <c r="R167" s="10" t="s">
        <v>28</v>
      </c>
      <c r="S167" s="10"/>
      <c r="T167" s="10"/>
      <c r="U167" s="10" t="s">
        <v>1194</v>
      </c>
      <c r="V167" s="10" t="s">
        <v>1194</v>
      </c>
      <c r="W167" s="50">
        <f>+J167/$W$2</f>
        <v>1.2185231154091367E-3</v>
      </c>
    </row>
    <row r="168" spans="1:29">
      <c r="A168" s="10" t="s">
        <v>1221</v>
      </c>
      <c r="B168" s="10" t="s">
        <v>358</v>
      </c>
      <c r="C168" s="124">
        <v>46329</v>
      </c>
      <c r="D168" s="124" t="s">
        <v>471</v>
      </c>
      <c r="E168" s="21">
        <v>0.99563557999999996</v>
      </c>
      <c r="F168" s="10"/>
      <c r="G168" s="14">
        <v>100000000</v>
      </c>
      <c r="H168" s="14">
        <v>99563557.879999995</v>
      </c>
      <c r="I168" s="14">
        <v>100000000</v>
      </c>
      <c r="J168" s="14">
        <v>99563557.879999995</v>
      </c>
      <c r="K168" s="12">
        <v>1239</v>
      </c>
      <c r="L168" s="10" t="s">
        <v>101</v>
      </c>
      <c r="M168" s="10" t="s">
        <v>102</v>
      </c>
      <c r="N168" s="124" t="s">
        <v>479</v>
      </c>
      <c r="O168" s="124" t="s">
        <v>479</v>
      </c>
      <c r="P168" s="21">
        <v>32</v>
      </c>
      <c r="Q168" s="10" t="s">
        <v>54</v>
      </c>
      <c r="R168" s="10" t="s">
        <v>28</v>
      </c>
      <c r="S168" s="10"/>
      <c r="T168" s="10"/>
      <c r="U168" s="10" t="s">
        <v>1195</v>
      </c>
      <c r="V168" s="10" t="s">
        <v>1195</v>
      </c>
      <c r="W168" s="50">
        <f>+J168/$W$2</f>
        <v>1.2185231154091367E-3</v>
      </c>
    </row>
    <row r="169" spans="1:29">
      <c r="A169" s="10" t="s">
        <v>1311</v>
      </c>
      <c r="B169" s="10" t="s">
        <v>358</v>
      </c>
      <c r="C169" s="124">
        <v>46329</v>
      </c>
      <c r="D169" s="124" t="s">
        <v>471</v>
      </c>
      <c r="E169" s="21">
        <v>0.99563559000000001</v>
      </c>
      <c r="F169" s="10"/>
      <c r="G169" s="14">
        <v>1217387.51</v>
      </c>
      <c r="H169" s="14">
        <v>1212074.33</v>
      </c>
      <c r="I169" s="14">
        <v>1217387.51</v>
      </c>
      <c r="J169" s="14">
        <v>1212074.33</v>
      </c>
      <c r="K169" s="12">
        <v>1808</v>
      </c>
      <c r="L169" s="10" t="s">
        <v>101</v>
      </c>
      <c r="M169" s="10" t="s">
        <v>102</v>
      </c>
      <c r="N169" s="124" t="s">
        <v>162</v>
      </c>
      <c r="O169" s="124" t="s">
        <v>162</v>
      </c>
      <c r="P169" s="21">
        <v>32</v>
      </c>
      <c r="Q169" s="10" t="s">
        <v>54</v>
      </c>
      <c r="R169" s="10" t="s">
        <v>28</v>
      </c>
      <c r="S169" s="10"/>
      <c r="T169" s="10"/>
      <c r="U169" s="10" t="s">
        <v>1283</v>
      </c>
      <c r="V169" s="10" t="s">
        <v>1283</v>
      </c>
      <c r="W169" s="50">
        <f>+J169/$W$2</f>
        <v>1.4834148358570511E-5</v>
      </c>
    </row>
    <row r="170" spans="1:29">
      <c r="A170" s="10" t="s">
        <v>652</v>
      </c>
      <c r="B170" s="10" t="s">
        <v>358</v>
      </c>
      <c r="C170" s="124">
        <v>46329</v>
      </c>
      <c r="D170" s="124" t="s">
        <v>471</v>
      </c>
      <c r="E170" s="21">
        <v>0.99522836000000003</v>
      </c>
      <c r="F170" s="10"/>
      <c r="G170" s="14">
        <v>10867742.35</v>
      </c>
      <c r="H170" s="14">
        <v>10815885.41</v>
      </c>
      <c r="I170" s="14">
        <v>10867742.35</v>
      </c>
      <c r="J170" s="14">
        <v>10815885.41</v>
      </c>
      <c r="K170" s="12">
        <v>40603614</v>
      </c>
      <c r="L170" s="10" t="s">
        <v>101</v>
      </c>
      <c r="M170" s="10" t="s">
        <v>102</v>
      </c>
      <c r="N170" s="124" t="s">
        <v>333</v>
      </c>
      <c r="O170" s="124" t="s">
        <v>333</v>
      </c>
      <c r="P170" s="21">
        <v>35</v>
      </c>
      <c r="Q170" s="10" t="s">
        <v>54</v>
      </c>
      <c r="R170" s="10" t="s">
        <v>28</v>
      </c>
      <c r="S170" s="10"/>
      <c r="T170" s="10"/>
      <c r="U170" s="10" t="s">
        <v>649</v>
      </c>
      <c r="V170" s="10" t="s">
        <v>649</v>
      </c>
      <c r="W170" s="50">
        <f>+J170/$W$2</f>
        <v>1.3237179010402623E-4</v>
      </c>
    </row>
    <row r="171" spans="1:29">
      <c r="A171" s="10" t="s">
        <v>1173</v>
      </c>
      <c r="B171" s="10" t="s">
        <v>358</v>
      </c>
      <c r="C171" s="124">
        <v>46329</v>
      </c>
      <c r="D171" s="124" t="s">
        <v>471</v>
      </c>
      <c r="E171" s="21">
        <v>0.99563559000000001</v>
      </c>
      <c r="F171" s="10"/>
      <c r="G171" s="14">
        <v>6714705.04</v>
      </c>
      <c r="H171" s="14">
        <v>6685399.2999999998</v>
      </c>
      <c r="I171" s="14">
        <v>6714705.04</v>
      </c>
      <c r="J171" s="14">
        <v>6685399.2999999998</v>
      </c>
      <c r="K171" s="12">
        <v>198202</v>
      </c>
      <c r="L171" s="10" t="s">
        <v>101</v>
      </c>
      <c r="M171" s="10" t="s">
        <v>102</v>
      </c>
      <c r="N171" s="124" t="s">
        <v>373</v>
      </c>
      <c r="O171" s="124" t="s">
        <v>373</v>
      </c>
      <c r="P171" s="21">
        <v>32</v>
      </c>
      <c r="Q171" s="10" t="s">
        <v>54</v>
      </c>
      <c r="R171" s="10" t="s">
        <v>28</v>
      </c>
      <c r="S171" s="10"/>
      <c r="T171" s="10"/>
      <c r="U171" s="10" t="s">
        <v>1157</v>
      </c>
      <c r="V171" s="10" t="s">
        <v>1157</v>
      </c>
      <c r="W171" s="50">
        <f>+J171/$W$2</f>
        <v>8.1820233790846341E-5</v>
      </c>
    </row>
    <row r="172" spans="1:29">
      <c r="A172" s="10" t="s">
        <v>1178</v>
      </c>
      <c r="B172" s="10" t="s">
        <v>358</v>
      </c>
      <c r="C172" s="124">
        <v>46329</v>
      </c>
      <c r="D172" s="124" t="s">
        <v>471</v>
      </c>
      <c r="E172" s="21">
        <v>0.99563559000000001</v>
      </c>
      <c r="F172" s="10"/>
      <c r="G172" s="14">
        <v>43185942.649999999</v>
      </c>
      <c r="H172" s="14">
        <v>42997461.439999998</v>
      </c>
      <c r="I172" s="14">
        <v>43185942.649999999</v>
      </c>
      <c r="J172" s="14">
        <v>42997461.439999998</v>
      </c>
      <c r="K172" s="12">
        <v>40085351</v>
      </c>
      <c r="L172" s="10" t="s">
        <v>101</v>
      </c>
      <c r="M172" s="10" t="s">
        <v>102</v>
      </c>
      <c r="N172" s="124" t="s">
        <v>373</v>
      </c>
      <c r="O172" s="124" t="s">
        <v>373</v>
      </c>
      <c r="P172" s="21">
        <v>32</v>
      </c>
      <c r="Q172" s="10" t="s">
        <v>54</v>
      </c>
      <c r="R172" s="10" t="s">
        <v>28</v>
      </c>
      <c r="S172" s="10"/>
      <c r="T172" s="10"/>
      <c r="U172" s="10" t="s">
        <v>1172</v>
      </c>
      <c r="V172" s="10" t="s">
        <v>1172</v>
      </c>
      <c r="W172" s="50">
        <f>+J172/$W$2</f>
        <v>5.2623069910479395E-4</v>
      </c>
    </row>
    <row r="173" spans="1:29">
      <c r="A173" s="10" t="s">
        <v>179</v>
      </c>
      <c r="B173" s="10" t="s">
        <v>358</v>
      </c>
      <c r="C173" s="124">
        <v>46329</v>
      </c>
      <c r="D173" s="124" t="s">
        <v>471</v>
      </c>
      <c r="E173" s="21">
        <v>0.99577139000000003</v>
      </c>
      <c r="F173" s="10"/>
      <c r="G173" s="14">
        <v>20344755.739999998</v>
      </c>
      <c r="H173" s="14">
        <v>20258725.68</v>
      </c>
      <c r="I173" s="14">
        <v>20344755.739999998</v>
      </c>
      <c r="J173" s="14">
        <v>20258725.68</v>
      </c>
      <c r="K173" s="12">
        <v>30418492</v>
      </c>
      <c r="L173" s="10" t="s">
        <v>101</v>
      </c>
      <c r="M173" s="10" t="s">
        <v>102</v>
      </c>
      <c r="N173" s="124" t="s">
        <v>396</v>
      </c>
      <c r="O173" s="124" t="s">
        <v>396</v>
      </c>
      <c r="P173" s="21">
        <v>31</v>
      </c>
      <c r="Q173" s="10" t="s">
        <v>54</v>
      </c>
      <c r="R173" s="10" t="s">
        <v>28</v>
      </c>
      <c r="S173" s="10"/>
      <c r="T173" s="10"/>
      <c r="U173" s="10" t="s">
        <v>1392</v>
      </c>
      <c r="V173" s="10" t="s">
        <v>1392</v>
      </c>
      <c r="W173" s="50">
        <f>+J173/$W$2</f>
        <v>2.4793936712833628E-4</v>
      </c>
      <c r="AC173" s="47"/>
    </row>
    <row r="174" spans="1:29">
      <c r="A174" s="10" t="s">
        <v>364</v>
      </c>
      <c r="B174" s="10" t="s">
        <v>358</v>
      </c>
      <c r="C174" s="124">
        <v>46329</v>
      </c>
      <c r="D174" s="124" t="s">
        <v>471</v>
      </c>
      <c r="E174" s="21">
        <v>0.99563557999999996</v>
      </c>
      <c r="F174" s="10"/>
      <c r="G174" s="14">
        <v>11829797.539999999</v>
      </c>
      <c r="H174" s="14">
        <v>11778167.310000001</v>
      </c>
      <c r="I174" s="14">
        <v>11829797.539999999</v>
      </c>
      <c r="J174" s="14">
        <v>11778167.310000001</v>
      </c>
      <c r="K174" s="12">
        <v>30889</v>
      </c>
      <c r="L174" s="10" t="s">
        <v>101</v>
      </c>
      <c r="M174" s="10" t="s">
        <v>102</v>
      </c>
      <c r="N174" s="124" t="s">
        <v>346</v>
      </c>
      <c r="O174" s="124" t="s">
        <v>346</v>
      </c>
      <c r="P174" s="21">
        <v>32</v>
      </c>
      <c r="Q174" s="10" t="s">
        <v>54</v>
      </c>
      <c r="R174" s="10" t="s">
        <v>28</v>
      </c>
      <c r="S174" s="10"/>
      <c r="T174" s="10"/>
      <c r="U174" s="10" t="s">
        <v>777</v>
      </c>
      <c r="V174" s="10" t="s">
        <v>777</v>
      </c>
      <c r="W174" s="50">
        <f>+J174/$W$2</f>
        <v>1.4414881739852154E-4</v>
      </c>
    </row>
    <row r="175" spans="1:29">
      <c r="A175" s="10" t="s">
        <v>364</v>
      </c>
      <c r="B175" s="10" t="s">
        <v>358</v>
      </c>
      <c r="C175" s="124">
        <v>46329</v>
      </c>
      <c r="D175" s="124" t="s">
        <v>471</v>
      </c>
      <c r="E175" s="21">
        <v>0.99563557999999996</v>
      </c>
      <c r="F175" s="10"/>
      <c r="G175" s="14">
        <v>16498838.289999999</v>
      </c>
      <c r="H175" s="14">
        <v>16426830.4</v>
      </c>
      <c r="I175" s="14">
        <v>16498838.289999999</v>
      </c>
      <c r="J175" s="14">
        <v>16426830.4</v>
      </c>
      <c r="K175" s="12">
        <v>30845</v>
      </c>
      <c r="L175" s="10" t="s">
        <v>101</v>
      </c>
      <c r="M175" s="10" t="s">
        <v>102</v>
      </c>
      <c r="N175" s="124" t="s">
        <v>346</v>
      </c>
      <c r="O175" s="124" t="s">
        <v>346</v>
      </c>
      <c r="P175" s="21">
        <v>32</v>
      </c>
      <c r="Q175" s="10" t="s">
        <v>54</v>
      </c>
      <c r="R175" s="10" t="s">
        <v>28</v>
      </c>
      <c r="S175" s="10"/>
      <c r="T175" s="10"/>
      <c r="U175" s="10" t="s">
        <v>778</v>
      </c>
      <c r="V175" s="10" t="s">
        <v>778</v>
      </c>
      <c r="W175" s="50">
        <f>+J175/$W$2</f>
        <v>2.0104215821044257E-4</v>
      </c>
      <c r="AC175" s="47"/>
    </row>
    <row r="176" spans="1:29">
      <c r="A176" s="10" t="s">
        <v>364</v>
      </c>
      <c r="B176" s="10" t="s">
        <v>358</v>
      </c>
      <c r="C176" s="124">
        <v>46329</v>
      </c>
      <c r="D176" s="124" t="s">
        <v>471</v>
      </c>
      <c r="E176" s="21">
        <v>0.99563557999999996</v>
      </c>
      <c r="F176" s="10"/>
      <c r="G176" s="14">
        <v>10655603.279999999</v>
      </c>
      <c r="H176" s="14">
        <v>10609097.699999999</v>
      </c>
      <c r="I176" s="14">
        <v>10655603.279999999</v>
      </c>
      <c r="J176" s="14">
        <v>10609097.699999999</v>
      </c>
      <c r="K176" s="12">
        <v>30835</v>
      </c>
      <c r="L176" s="10" t="s">
        <v>101</v>
      </c>
      <c r="M176" s="10" t="s">
        <v>102</v>
      </c>
      <c r="N176" s="124" t="s">
        <v>371</v>
      </c>
      <c r="O176" s="124" t="s">
        <v>371</v>
      </c>
      <c r="P176" s="21">
        <v>32</v>
      </c>
      <c r="Q176" s="10" t="s">
        <v>54</v>
      </c>
      <c r="R176" s="10" t="s">
        <v>28</v>
      </c>
      <c r="S176" s="10"/>
      <c r="T176" s="10"/>
      <c r="U176" s="10" t="s">
        <v>687</v>
      </c>
      <c r="V176" s="10" t="s">
        <v>687</v>
      </c>
      <c r="W176" s="50">
        <f>+J176/$W$2</f>
        <v>1.2984098857400037E-4</v>
      </c>
    </row>
    <row r="177" spans="1:23">
      <c r="A177" s="10" t="s">
        <v>495</v>
      </c>
      <c r="B177" s="10" t="s">
        <v>358</v>
      </c>
      <c r="C177" s="124">
        <v>46329</v>
      </c>
      <c r="D177" s="124" t="s">
        <v>471</v>
      </c>
      <c r="E177" s="21">
        <v>0.99563557999999996</v>
      </c>
      <c r="F177" s="10"/>
      <c r="G177" s="14">
        <v>50000000</v>
      </c>
      <c r="H177" s="14">
        <v>49781778.939999998</v>
      </c>
      <c r="I177" s="14">
        <v>50000000</v>
      </c>
      <c r="J177" s="14">
        <v>49781778.939999998</v>
      </c>
      <c r="K177" s="12">
        <v>6693</v>
      </c>
      <c r="L177" s="10" t="s">
        <v>101</v>
      </c>
      <c r="M177" s="10" t="s">
        <v>102</v>
      </c>
      <c r="N177" s="124" t="s">
        <v>479</v>
      </c>
      <c r="O177" s="124" t="s">
        <v>479</v>
      </c>
      <c r="P177" s="21">
        <v>32</v>
      </c>
      <c r="Q177" s="10" t="s">
        <v>54</v>
      </c>
      <c r="R177" s="10" t="s">
        <v>28</v>
      </c>
      <c r="S177" s="10"/>
      <c r="T177" s="10"/>
      <c r="U177" s="10" t="s">
        <v>1188</v>
      </c>
      <c r="V177" s="10" t="s">
        <v>1188</v>
      </c>
      <c r="W177" s="50">
        <f>+J177/$W$2</f>
        <v>6.0926155770456834E-4</v>
      </c>
    </row>
    <row r="178" spans="1:23">
      <c r="A178" s="10" t="s">
        <v>495</v>
      </c>
      <c r="B178" s="10" t="s">
        <v>358</v>
      </c>
      <c r="C178" s="124">
        <v>46329</v>
      </c>
      <c r="D178" s="124" t="s">
        <v>471</v>
      </c>
      <c r="E178" s="21">
        <v>0.99563557999999996</v>
      </c>
      <c r="F178" s="10"/>
      <c r="G178" s="14">
        <v>50000000</v>
      </c>
      <c r="H178" s="14">
        <v>49781778.939999998</v>
      </c>
      <c r="I178" s="14">
        <v>50000000</v>
      </c>
      <c r="J178" s="14">
        <v>49781778.939999998</v>
      </c>
      <c r="K178" s="12">
        <v>6689</v>
      </c>
      <c r="L178" s="10" t="s">
        <v>101</v>
      </c>
      <c r="M178" s="10" t="s">
        <v>102</v>
      </c>
      <c r="N178" s="124" t="s">
        <v>479</v>
      </c>
      <c r="O178" s="124" t="s">
        <v>479</v>
      </c>
      <c r="P178" s="21">
        <v>32</v>
      </c>
      <c r="Q178" s="10" t="s">
        <v>54</v>
      </c>
      <c r="R178" s="10" t="s">
        <v>28</v>
      </c>
      <c r="S178" s="10"/>
      <c r="T178" s="10"/>
      <c r="U178" s="10" t="s">
        <v>1189</v>
      </c>
      <c r="V178" s="10" t="s">
        <v>1189</v>
      </c>
      <c r="W178" s="50">
        <f>+J178/$W$2</f>
        <v>6.0926155770456834E-4</v>
      </c>
    </row>
    <row r="179" spans="1:23">
      <c r="A179" s="10" t="s">
        <v>650</v>
      </c>
      <c r="B179" s="10" t="s">
        <v>358</v>
      </c>
      <c r="C179" s="124">
        <v>46329</v>
      </c>
      <c r="D179" s="124" t="s">
        <v>471</v>
      </c>
      <c r="E179" s="21">
        <v>0.99482148999999997</v>
      </c>
      <c r="F179" s="10"/>
      <c r="G179" s="14">
        <v>750000000</v>
      </c>
      <c r="H179" s="14">
        <v>746116118.10000002</v>
      </c>
      <c r="I179" s="14">
        <v>750000000</v>
      </c>
      <c r="J179" s="14">
        <v>746116118.10000002</v>
      </c>
      <c r="K179" s="12">
        <v>163014</v>
      </c>
      <c r="L179" s="10" t="s">
        <v>101</v>
      </c>
      <c r="M179" s="10" t="s">
        <v>102</v>
      </c>
      <c r="N179" s="124" t="s">
        <v>410</v>
      </c>
      <c r="O179" s="124" t="s">
        <v>410</v>
      </c>
      <c r="P179" s="21">
        <v>38</v>
      </c>
      <c r="Q179" s="10" t="s">
        <v>54</v>
      </c>
      <c r="R179" s="10" t="s">
        <v>28</v>
      </c>
      <c r="S179" s="10"/>
      <c r="T179" s="10"/>
      <c r="U179" s="10" t="s">
        <v>1244</v>
      </c>
      <c r="V179" s="10" t="s">
        <v>1244</v>
      </c>
      <c r="W179" s="50">
        <f>+J179/$W$2</f>
        <v>9.131450864581973E-3</v>
      </c>
    </row>
    <row r="180" spans="1:23">
      <c r="A180" s="10" t="s">
        <v>564</v>
      </c>
      <c r="B180" s="10" t="s">
        <v>358</v>
      </c>
      <c r="C180" s="124">
        <v>46329</v>
      </c>
      <c r="D180" s="124" t="s">
        <v>471</v>
      </c>
      <c r="E180" s="21">
        <v>0.99549980999999998</v>
      </c>
      <c r="F180" s="10"/>
      <c r="G180" s="14">
        <v>1655023.2</v>
      </c>
      <c r="H180" s="14">
        <v>1647575.28</v>
      </c>
      <c r="I180" s="14">
        <v>1655023.2</v>
      </c>
      <c r="J180" s="14">
        <v>1647575.28</v>
      </c>
      <c r="K180" s="12">
        <v>610</v>
      </c>
      <c r="L180" s="10" t="s">
        <v>101</v>
      </c>
      <c r="M180" s="10" t="s">
        <v>102</v>
      </c>
      <c r="N180" s="124" t="s">
        <v>156</v>
      </c>
      <c r="O180" s="124" t="s">
        <v>156</v>
      </c>
      <c r="P180" s="21">
        <v>33</v>
      </c>
      <c r="Q180" s="10" t="s">
        <v>54</v>
      </c>
      <c r="R180" s="10" t="s">
        <v>28</v>
      </c>
      <c r="S180" s="10"/>
      <c r="T180" s="10"/>
      <c r="U180" s="10" t="s">
        <v>560</v>
      </c>
      <c r="V180" s="10" t="s">
        <v>560</v>
      </c>
      <c r="W180" s="50">
        <f>+J180/$W$2</f>
        <v>2.0164090213372765E-5</v>
      </c>
    </row>
    <row r="181" spans="1:23">
      <c r="A181" s="10" t="s">
        <v>564</v>
      </c>
      <c r="B181" s="10" t="s">
        <v>358</v>
      </c>
      <c r="C181" s="124">
        <v>46329</v>
      </c>
      <c r="D181" s="124" t="s">
        <v>471</v>
      </c>
      <c r="E181" s="21">
        <v>0.99549980000000005</v>
      </c>
      <c r="F181" s="10"/>
      <c r="G181" s="14">
        <v>3772034.12</v>
      </c>
      <c r="H181" s="14">
        <v>3755059.22</v>
      </c>
      <c r="I181" s="14">
        <v>3772034.12</v>
      </c>
      <c r="J181" s="14">
        <v>3755059.22</v>
      </c>
      <c r="K181" s="12">
        <v>639</v>
      </c>
      <c r="L181" s="10" t="s">
        <v>101</v>
      </c>
      <c r="M181" s="10" t="s">
        <v>102</v>
      </c>
      <c r="N181" s="124" t="s">
        <v>156</v>
      </c>
      <c r="O181" s="124" t="s">
        <v>156</v>
      </c>
      <c r="P181" s="21">
        <v>33</v>
      </c>
      <c r="Q181" s="10" t="s">
        <v>54</v>
      </c>
      <c r="R181" s="10" t="s">
        <v>28</v>
      </c>
      <c r="S181" s="10"/>
      <c r="T181" s="10"/>
      <c r="U181" s="10" t="s">
        <v>562</v>
      </c>
      <c r="V181" s="10" t="s">
        <v>562</v>
      </c>
      <c r="W181" s="50">
        <f>+J181/$W$2</f>
        <v>4.5956839598028666E-5</v>
      </c>
    </row>
    <row r="182" spans="1:23">
      <c r="A182" s="10" t="s">
        <v>2437</v>
      </c>
      <c r="B182" s="10" t="s">
        <v>358</v>
      </c>
      <c r="C182" s="124">
        <v>46329</v>
      </c>
      <c r="D182" s="124" t="s">
        <v>471</v>
      </c>
      <c r="E182" s="21">
        <v>0.99590723999999997</v>
      </c>
      <c r="F182" s="10"/>
      <c r="G182" s="14">
        <v>2500000</v>
      </c>
      <c r="H182" s="14">
        <v>2489768.11</v>
      </c>
      <c r="I182" s="14">
        <v>2500000</v>
      </c>
      <c r="J182" s="14">
        <v>2489768.11</v>
      </c>
      <c r="K182" s="12">
        <v>360</v>
      </c>
      <c r="L182" s="10" t="s">
        <v>101</v>
      </c>
      <c r="M182" s="10" t="s">
        <v>102</v>
      </c>
      <c r="N182" s="124" t="s">
        <v>477</v>
      </c>
      <c r="O182" s="124" t="s">
        <v>477</v>
      </c>
      <c r="P182" s="21">
        <v>30</v>
      </c>
      <c r="Q182" s="10" t="s">
        <v>54</v>
      </c>
      <c r="R182" s="10" t="s">
        <v>28</v>
      </c>
      <c r="S182" s="10"/>
      <c r="T182" s="10"/>
      <c r="U182" s="10" t="s">
        <v>2420</v>
      </c>
      <c r="V182" s="10" t="s">
        <v>2420</v>
      </c>
      <c r="W182" s="50">
        <f>+J182/$W$2</f>
        <v>3.0471389920598102E-5</v>
      </c>
    </row>
    <row r="183" spans="1:23">
      <c r="A183" s="10" t="s">
        <v>2899</v>
      </c>
      <c r="B183" s="10" t="s">
        <v>358</v>
      </c>
      <c r="C183" s="124">
        <v>46329</v>
      </c>
      <c r="D183" s="124" t="s">
        <v>471</v>
      </c>
      <c r="E183" s="21">
        <v>0.99455044999999997</v>
      </c>
      <c r="F183" s="10"/>
      <c r="G183" s="14">
        <v>28794267.34</v>
      </c>
      <c r="H183" s="14">
        <v>28637351.620000001</v>
      </c>
      <c r="I183" s="14">
        <v>28794267.34</v>
      </c>
      <c r="J183" s="14">
        <v>28637351.620000001</v>
      </c>
      <c r="K183" s="12">
        <v>63</v>
      </c>
      <c r="L183" s="10" t="s">
        <v>101</v>
      </c>
      <c r="M183" s="10" t="s">
        <v>102</v>
      </c>
      <c r="N183" s="124" t="s">
        <v>413</v>
      </c>
      <c r="O183" s="124" t="s">
        <v>413</v>
      </c>
      <c r="P183" s="21">
        <v>40</v>
      </c>
      <c r="Q183" s="10" t="s">
        <v>54</v>
      </c>
      <c r="R183" s="10" t="s">
        <v>28</v>
      </c>
      <c r="S183" s="10"/>
      <c r="T183" s="10"/>
      <c r="U183" s="10" t="s">
        <v>2887</v>
      </c>
      <c r="V183" s="10" t="s">
        <v>2887</v>
      </c>
      <c r="W183" s="50">
        <f>+J183/$W$2</f>
        <v>3.5048240195601664E-4</v>
      </c>
    </row>
    <row r="184" spans="1:23">
      <c r="A184" s="10" t="s">
        <v>306</v>
      </c>
      <c r="B184" s="10" t="s">
        <v>358</v>
      </c>
      <c r="C184" s="124">
        <v>46329</v>
      </c>
      <c r="D184" s="124" t="s">
        <v>471</v>
      </c>
      <c r="E184" s="21">
        <v>0.99563559000000001</v>
      </c>
      <c r="F184" s="10"/>
      <c r="G184" s="14">
        <v>200000000</v>
      </c>
      <c r="H184" s="14">
        <v>199127117.13999999</v>
      </c>
      <c r="I184" s="14">
        <v>200000000</v>
      </c>
      <c r="J184" s="14">
        <v>199127117.13999999</v>
      </c>
      <c r="K184" s="12">
        <v>9779581</v>
      </c>
      <c r="L184" s="10" t="s">
        <v>101</v>
      </c>
      <c r="M184" s="10" t="s">
        <v>102</v>
      </c>
      <c r="N184" s="124" t="s">
        <v>392</v>
      </c>
      <c r="O184" s="124" t="s">
        <v>392</v>
      </c>
      <c r="P184" s="21">
        <v>32</v>
      </c>
      <c r="Q184" s="10" t="s">
        <v>54</v>
      </c>
      <c r="R184" s="10" t="s">
        <v>28</v>
      </c>
      <c r="S184" s="10"/>
      <c r="T184" s="10"/>
      <c r="U184" s="10" t="s">
        <v>1097</v>
      </c>
      <c r="V184" s="10" t="s">
        <v>1097</v>
      </c>
      <c r="W184" s="50">
        <f>+J184/$W$2</f>
        <v>2.4370462477076044E-3</v>
      </c>
    </row>
    <row r="185" spans="1:23">
      <c r="A185" s="10" t="s">
        <v>306</v>
      </c>
      <c r="B185" s="10" t="s">
        <v>358</v>
      </c>
      <c r="C185" s="124">
        <v>46329</v>
      </c>
      <c r="D185" s="124" t="s">
        <v>471</v>
      </c>
      <c r="E185" s="21">
        <v>0.99590723999999997</v>
      </c>
      <c r="F185" s="10"/>
      <c r="G185" s="14">
        <v>100000000</v>
      </c>
      <c r="H185" s="14">
        <v>99590723.840000004</v>
      </c>
      <c r="I185" s="14">
        <v>100000000</v>
      </c>
      <c r="J185" s="14">
        <v>99590723.840000004</v>
      </c>
      <c r="K185" s="12">
        <v>6716</v>
      </c>
      <c r="L185" s="10" t="s">
        <v>101</v>
      </c>
      <c r="M185" s="10" t="s">
        <v>102</v>
      </c>
      <c r="N185" s="124" t="s">
        <v>311</v>
      </c>
      <c r="O185" s="124" t="s">
        <v>311</v>
      </c>
      <c r="P185" s="21">
        <v>30</v>
      </c>
      <c r="Q185" s="10" t="s">
        <v>54</v>
      </c>
      <c r="R185" s="10" t="s">
        <v>28</v>
      </c>
      <c r="S185" s="10"/>
      <c r="T185" s="10"/>
      <c r="U185" s="10" t="s">
        <v>709</v>
      </c>
      <c r="V185" s="10" t="s">
        <v>709</v>
      </c>
      <c r="W185" s="50">
        <f>+J185/$W$2</f>
        <v>1.2188555899702825E-3</v>
      </c>
    </row>
    <row r="186" spans="1:23">
      <c r="A186" s="10" t="s">
        <v>2868</v>
      </c>
      <c r="B186" s="10" t="s">
        <v>358</v>
      </c>
      <c r="C186" s="124">
        <v>46329</v>
      </c>
      <c r="D186" s="124" t="s">
        <v>471</v>
      </c>
      <c r="E186" s="21">
        <v>0.99577139999999997</v>
      </c>
      <c r="F186" s="10"/>
      <c r="G186" s="14">
        <v>18034893.329999998</v>
      </c>
      <c r="H186" s="14">
        <v>17958630.969999999</v>
      </c>
      <c r="I186" s="14">
        <v>18034893.329999998</v>
      </c>
      <c r="J186" s="14">
        <v>17958630.969999999</v>
      </c>
      <c r="K186" s="12">
        <v>69809585</v>
      </c>
      <c r="L186" s="10" t="s">
        <v>101</v>
      </c>
      <c r="M186" s="10" t="s">
        <v>102</v>
      </c>
      <c r="N186" s="124" t="s">
        <v>445</v>
      </c>
      <c r="O186" s="124" t="s">
        <v>445</v>
      </c>
      <c r="P186" s="21">
        <v>31</v>
      </c>
      <c r="Q186" s="10" t="s">
        <v>54</v>
      </c>
      <c r="R186" s="10" t="s">
        <v>28</v>
      </c>
      <c r="S186" s="10"/>
      <c r="T186" s="10"/>
      <c r="U186" s="10" t="s">
        <v>2863</v>
      </c>
      <c r="V186" s="10" t="s">
        <v>2863</v>
      </c>
      <c r="W186" s="50">
        <f>+J186/$W$2</f>
        <v>2.1978932276026257E-4</v>
      </c>
    </row>
    <row r="187" spans="1:23">
      <c r="A187" s="10" t="s">
        <v>2828</v>
      </c>
      <c r="B187" s="10" t="s">
        <v>358</v>
      </c>
      <c r="C187" s="124">
        <v>46329</v>
      </c>
      <c r="D187" s="124" t="s">
        <v>471</v>
      </c>
      <c r="E187" s="21">
        <v>0.99563557999999996</v>
      </c>
      <c r="F187" s="10"/>
      <c r="G187" s="14">
        <v>716184.35</v>
      </c>
      <c r="H187" s="14">
        <v>713058.62</v>
      </c>
      <c r="I187" s="14">
        <v>716184.35</v>
      </c>
      <c r="J187" s="14">
        <v>713058.62</v>
      </c>
      <c r="K187" s="12">
        <v>6716</v>
      </c>
      <c r="L187" s="10" t="s">
        <v>101</v>
      </c>
      <c r="M187" s="10" t="s">
        <v>102</v>
      </c>
      <c r="N187" s="124" t="s">
        <v>412</v>
      </c>
      <c r="O187" s="124" t="s">
        <v>412</v>
      </c>
      <c r="P187" s="21">
        <v>32</v>
      </c>
      <c r="Q187" s="10" t="s">
        <v>54</v>
      </c>
      <c r="R187" s="10" t="s">
        <v>28</v>
      </c>
      <c r="S187" s="10"/>
      <c r="T187" s="10"/>
      <c r="U187" s="10" t="s">
        <v>2794</v>
      </c>
      <c r="V187" s="10" t="s">
        <v>2794</v>
      </c>
      <c r="W187" s="50">
        <f>+J187/$W$2</f>
        <v>8.7268718556538962E-6</v>
      </c>
    </row>
    <row r="188" spans="1:23">
      <c r="A188" s="10" t="s">
        <v>295</v>
      </c>
      <c r="B188" s="10" t="s">
        <v>358</v>
      </c>
      <c r="C188" s="124">
        <v>46329</v>
      </c>
      <c r="D188" s="124" t="s">
        <v>471</v>
      </c>
      <c r="E188" s="21">
        <v>0.99699536</v>
      </c>
      <c r="F188" s="10"/>
      <c r="G188" s="14">
        <v>13000000</v>
      </c>
      <c r="H188" s="14">
        <v>12960939.689999999</v>
      </c>
      <c r="I188" s="14">
        <v>13000000</v>
      </c>
      <c r="J188" s="14">
        <v>12960939.689999999</v>
      </c>
      <c r="K188" s="12">
        <v>34115</v>
      </c>
      <c r="L188" s="10" t="s">
        <v>101</v>
      </c>
      <c r="M188" s="10" t="s">
        <v>102</v>
      </c>
      <c r="N188" s="124" t="s">
        <v>155</v>
      </c>
      <c r="O188" s="124" t="s">
        <v>155</v>
      </c>
      <c r="P188" s="21">
        <v>22</v>
      </c>
      <c r="Q188" s="10" t="s">
        <v>54</v>
      </c>
      <c r="R188" s="10" t="s">
        <v>28</v>
      </c>
      <c r="S188" s="10"/>
      <c r="T188" s="10"/>
      <c r="U188" s="10" t="s">
        <v>609</v>
      </c>
      <c r="V188" s="10" t="s">
        <v>609</v>
      </c>
      <c r="W188" s="50">
        <f>+J188/$W$2</f>
        <v>1.5862434957099114E-4</v>
      </c>
    </row>
    <row r="189" spans="1:23">
      <c r="A189" s="10" t="s">
        <v>132</v>
      </c>
      <c r="B189" s="10" t="s">
        <v>358</v>
      </c>
      <c r="C189" s="124">
        <v>46329</v>
      </c>
      <c r="D189" s="124" t="s">
        <v>471</v>
      </c>
      <c r="E189" s="21">
        <v>0.99563559000000001</v>
      </c>
      <c r="F189" s="10"/>
      <c r="G189" s="14">
        <v>50000000</v>
      </c>
      <c r="H189" s="14">
        <v>49781779.439999998</v>
      </c>
      <c r="I189" s="14">
        <v>50000000</v>
      </c>
      <c r="J189" s="14">
        <v>49781779.439999998</v>
      </c>
      <c r="K189" s="12">
        <v>959</v>
      </c>
      <c r="L189" s="10" t="s">
        <v>101</v>
      </c>
      <c r="M189" s="10" t="s">
        <v>102</v>
      </c>
      <c r="N189" s="124" t="s">
        <v>452</v>
      </c>
      <c r="O189" s="124" t="s">
        <v>452</v>
      </c>
      <c r="P189" s="21">
        <v>32</v>
      </c>
      <c r="Q189" s="10" t="s">
        <v>54</v>
      </c>
      <c r="R189" s="10" t="s">
        <v>28</v>
      </c>
      <c r="S189" s="10"/>
      <c r="T189" s="10"/>
      <c r="U189" s="10" t="s">
        <v>2535</v>
      </c>
      <c r="V189" s="10" t="s">
        <v>2535</v>
      </c>
      <c r="W189" s="50">
        <f>+J189/$W$2</f>
        <v>6.0926156382389116E-4</v>
      </c>
    </row>
    <row r="190" spans="1:23">
      <c r="A190" s="10" t="s">
        <v>1396</v>
      </c>
      <c r="B190" s="10" t="s">
        <v>358</v>
      </c>
      <c r="C190" s="124">
        <v>46329</v>
      </c>
      <c r="D190" s="124" t="s">
        <v>471</v>
      </c>
      <c r="E190" s="21">
        <v>0.99577139000000003</v>
      </c>
      <c r="F190" s="10"/>
      <c r="G190" s="14">
        <v>48042680.460000001</v>
      </c>
      <c r="H190" s="14">
        <v>47839526.649999999</v>
      </c>
      <c r="I190" s="14">
        <v>48042680.460000001</v>
      </c>
      <c r="J190" s="14">
        <v>47839526.649999999</v>
      </c>
      <c r="K190" s="12">
        <v>70667890</v>
      </c>
      <c r="L190" s="10" t="s">
        <v>101</v>
      </c>
      <c r="M190" s="10" t="s">
        <v>102</v>
      </c>
      <c r="N190" s="124" t="s">
        <v>396</v>
      </c>
      <c r="O190" s="124" t="s">
        <v>396</v>
      </c>
      <c r="P190" s="21">
        <v>31</v>
      </c>
      <c r="Q190" s="10" t="s">
        <v>54</v>
      </c>
      <c r="R190" s="10" t="s">
        <v>28</v>
      </c>
      <c r="S190" s="10"/>
      <c r="T190" s="10"/>
      <c r="U190" s="10" t="s">
        <v>1379</v>
      </c>
      <c r="V190" s="10" t="s">
        <v>1379</v>
      </c>
      <c r="W190" s="50">
        <f>+J190/$W$2</f>
        <v>5.8549101995245423E-4</v>
      </c>
    </row>
    <row r="191" spans="1:23">
      <c r="A191" s="10" t="s">
        <v>377</v>
      </c>
      <c r="B191" s="10" t="s">
        <v>358</v>
      </c>
      <c r="C191" s="124">
        <v>46329</v>
      </c>
      <c r="D191" s="124" t="s">
        <v>471</v>
      </c>
      <c r="E191" s="21">
        <v>0.99563557999999996</v>
      </c>
      <c r="F191" s="10"/>
      <c r="G191" s="14">
        <v>20000000</v>
      </c>
      <c r="H191" s="14">
        <v>19912711.57</v>
      </c>
      <c r="I191" s="14">
        <v>20000000</v>
      </c>
      <c r="J191" s="14">
        <v>19912711.57</v>
      </c>
      <c r="K191" s="12">
        <v>721</v>
      </c>
      <c r="L191" s="10" t="s">
        <v>101</v>
      </c>
      <c r="M191" s="10" t="s">
        <v>102</v>
      </c>
      <c r="N191" s="124" t="s">
        <v>408</v>
      </c>
      <c r="O191" s="124" t="s">
        <v>408</v>
      </c>
      <c r="P191" s="21">
        <v>32</v>
      </c>
      <c r="Q191" s="10" t="s">
        <v>54</v>
      </c>
      <c r="R191" s="10" t="s">
        <v>28</v>
      </c>
      <c r="S191" s="10"/>
      <c r="T191" s="10"/>
      <c r="U191" s="10" t="s">
        <v>2041</v>
      </c>
      <c r="V191" s="10" t="s">
        <v>2041</v>
      </c>
      <c r="W191" s="50">
        <f>+J191/$W$2</f>
        <v>2.4370462300839547E-4</v>
      </c>
    </row>
    <row r="192" spans="1:23">
      <c r="A192" s="10" t="s">
        <v>433</v>
      </c>
      <c r="B192" s="10" t="s">
        <v>358</v>
      </c>
      <c r="C192" s="124">
        <v>46329</v>
      </c>
      <c r="D192" s="124" t="s">
        <v>471</v>
      </c>
      <c r="E192" s="21">
        <v>0.99549980000000005</v>
      </c>
      <c r="F192" s="10"/>
      <c r="G192" s="14">
        <v>25000000</v>
      </c>
      <c r="H192" s="14">
        <v>24887495.079999998</v>
      </c>
      <c r="I192" s="14">
        <v>25000000</v>
      </c>
      <c r="J192" s="14">
        <v>24887495.079999998</v>
      </c>
      <c r="K192" s="12">
        <v>14422654</v>
      </c>
      <c r="L192" s="10" t="s">
        <v>101</v>
      </c>
      <c r="M192" s="10" t="s">
        <v>102</v>
      </c>
      <c r="N192" s="124" t="s">
        <v>396</v>
      </c>
      <c r="O192" s="124" t="s">
        <v>396</v>
      </c>
      <c r="P192" s="21">
        <v>33</v>
      </c>
      <c r="Q192" s="10" t="s">
        <v>54</v>
      </c>
      <c r="R192" s="10" t="s">
        <v>28</v>
      </c>
      <c r="S192" s="10"/>
      <c r="T192" s="10"/>
      <c r="U192" s="10" t="s">
        <v>1383</v>
      </c>
      <c r="V192" s="10" t="s">
        <v>1383</v>
      </c>
      <c r="W192" s="50">
        <f>+J192/$W$2</f>
        <v>3.0458923611550591E-4</v>
      </c>
    </row>
    <row r="193" spans="1:23">
      <c r="A193" s="10" t="s">
        <v>433</v>
      </c>
      <c r="B193" s="10" t="s">
        <v>358</v>
      </c>
      <c r="C193" s="124">
        <v>46329</v>
      </c>
      <c r="D193" s="124" t="s">
        <v>471</v>
      </c>
      <c r="E193" s="21">
        <v>0.99563559000000001</v>
      </c>
      <c r="F193" s="10"/>
      <c r="G193" s="14">
        <v>10000000</v>
      </c>
      <c r="H193" s="14">
        <v>9956355.8900000006</v>
      </c>
      <c r="I193" s="14">
        <v>10000000</v>
      </c>
      <c r="J193" s="14">
        <v>9956355.8900000006</v>
      </c>
      <c r="K193" s="12">
        <v>14422571</v>
      </c>
      <c r="L193" s="10" t="s">
        <v>101</v>
      </c>
      <c r="M193" s="10" t="s">
        <v>102</v>
      </c>
      <c r="N193" s="124" t="s">
        <v>162</v>
      </c>
      <c r="O193" s="124" t="s">
        <v>162</v>
      </c>
      <c r="P193" s="21">
        <v>32</v>
      </c>
      <c r="Q193" s="10" t="s">
        <v>54</v>
      </c>
      <c r="R193" s="10" t="s">
        <v>28</v>
      </c>
      <c r="S193" s="10"/>
      <c r="T193" s="10"/>
      <c r="U193" s="10" t="s">
        <v>1278</v>
      </c>
      <c r="V193" s="10" t="s">
        <v>1278</v>
      </c>
      <c r="W193" s="50">
        <f>+J193/$W$2</f>
        <v>1.2185231278925554E-4</v>
      </c>
    </row>
    <row r="194" spans="1:23">
      <c r="A194" s="10" t="s">
        <v>3586</v>
      </c>
      <c r="B194" s="10" t="s">
        <v>358</v>
      </c>
      <c r="C194" s="124">
        <v>46329</v>
      </c>
      <c r="D194" s="124" t="s">
        <v>471</v>
      </c>
      <c r="E194" s="21">
        <v>0.99590729</v>
      </c>
      <c r="F194" s="10"/>
      <c r="G194" s="14">
        <v>490000</v>
      </c>
      <c r="H194" s="14">
        <v>487994.57</v>
      </c>
      <c r="I194" s="14">
        <v>490000</v>
      </c>
      <c r="J194" s="14">
        <v>487994.57</v>
      </c>
      <c r="K194" s="12">
        <v>11181522</v>
      </c>
      <c r="L194" s="10" t="s">
        <v>101</v>
      </c>
      <c r="M194" s="10" t="s">
        <v>102</v>
      </c>
      <c r="N194" s="124" t="s">
        <v>451</v>
      </c>
      <c r="O194" s="124" t="s">
        <v>451</v>
      </c>
      <c r="P194" s="21">
        <v>30</v>
      </c>
      <c r="Q194" s="10" t="s">
        <v>54</v>
      </c>
      <c r="R194" s="10" t="s">
        <v>28</v>
      </c>
      <c r="S194" s="10"/>
      <c r="T194" s="10"/>
      <c r="U194" s="10" t="s">
        <v>3524</v>
      </c>
      <c r="V194" s="10" t="s">
        <v>3524</v>
      </c>
      <c r="W194" s="50">
        <f>+J194/$W$2</f>
        <v>5.9723926745951483E-6</v>
      </c>
    </row>
    <row r="195" spans="1:23">
      <c r="A195" s="10" t="s">
        <v>217</v>
      </c>
      <c r="B195" s="10" t="s">
        <v>358</v>
      </c>
      <c r="C195" s="124">
        <v>46329</v>
      </c>
      <c r="D195" s="124" t="s">
        <v>471</v>
      </c>
      <c r="E195" s="21">
        <v>0.99563557999999996</v>
      </c>
      <c r="F195" s="10"/>
      <c r="G195" s="14">
        <v>50000000</v>
      </c>
      <c r="H195" s="14">
        <v>49781778.780000001</v>
      </c>
      <c r="I195" s="14">
        <v>50000000</v>
      </c>
      <c r="J195" s="14">
        <v>49781778.780000001</v>
      </c>
      <c r="K195" s="12">
        <v>5166</v>
      </c>
      <c r="L195" s="10" t="s">
        <v>101</v>
      </c>
      <c r="M195" s="10" t="s">
        <v>102</v>
      </c>
      <c r="N195" s="124" t="s">
        <v>389</v>
      </c>
      <c r="O195" s="124" t="s">
        <v>389</v>
      </c>
      <c r="P195" s="21">
        <v>32</v>
      </c>
      <c r="Q195" s="10" t="s">
        <v>54</v>
      </c>
      <c r="R195" s="10" t="s">
        <v>28</v>
      </c>
      <c r="S195" s="10"/>
      <c r="T195" s="10"/>
      <c r="U195" s="10" t="s">
        <v>972</v>
      </c>
      <c r="V195" s="10" t="s">
        <v>972</v>
      </c>
      <c r="W195" s="50">
        <f>+J195/$W$2</f>
        <v>6.0926155574638505E-4</v>
      </c>
    </row>
    <row r="196" spans="1:23">
      <c r="A196" s="10" t="s">
        <v>184</v>
      </c>
      <c r="B196" s="10" t="s">
        <v>358</v>
      </c>
      <c r="C196" s="124">
        <v>46329</v>
      </c>
      <c r="D196" s="124" t="s">
        <v>471</v>
      </c>
      <c r="E196" s="21">
        <v>0.99495707</v>
      </c>
      <c r="F196" s="10"/>
      <c r="G196" s="14">
        <v>10000000</v>
      </c>
      <c r="H196" s="14">
        <v>9949570.6699999999</v>
      </c>
      <c r="I196" s="14">
        <v>10000000</v>
      </c>
      <c r="J196" s="14">
        <v>9949570.6699999999</v>
      </c>
      <c r="K196" s="12">
        <v>16854858</v>
      </c>
      <c r="L196" s="10" t="s">
        <v>101</v>
      </c>
      <c r="M196" s="10" t="s">
        <v>102</v>
      </c>
      <c r="N196" s="124" t="s">
        <v>365</v>
      </c>
      <c r="O196" s="124" t="s">
        <v>365</v>
      </c>
      <c r="P196" s="21">
        <v>37</v>
      </c>
      <c r="Q196" s="10" t="s">
        <v>54</v>
      </c>
      <c r="R196" s="10" t="s">
        <v>28</v>
      </c>
      <c r="S196" s="10"/>
      <c r="T196" s="10"/>
      <c r="U196" s="10" t="s">
        <v>1350</v>
      </c>
      <c r="V196" s="10" t="s">
        <v>1350</v>
      </c>
      <c r="W196" s="50">
        <f>+J196/$W$2</f>
        <v>1.2176927088527796E-4</v>
      </c>
    </row>
    <row r="197" spans="1:23">
      <c r="A197" s="10" t="s">
        <v>3400</v>
      </c>
      <c r="B197" s="10" t="s">
        <v>358</v>
      </c>
      <c r="C197" s="124">
        <v>46329</v>
      </c>
      <c r="D197" s="124" t="s">
        <v>471</v>
      </c>
      <c r="E197" s="21">
        <v>0.99590732000000004</v>
      </c>
      <c r="F197" s="10"/>
      <c r="G197" s="14">
        <v>3750000</v>
      </c>
      <c r="H197" s="14">
        <v>3734652.45</v>
      </c>
      <c r="I197" s="14">
        <v>3750000</v>
      </c>
      <c r="J197" s="14">
        <v>3734652.45</v>
      </c>
      <c r="K197" s="12">
        <v>70</v>
      </c>
      <c r="L197" s="10" t="s">
        <v>101</v>
      </c>
      <c r="M197" s="10" t="s">
        <v>102</v>
      </c>
      <c r="N197" s="124" t="s">
        <v>475</v>
      </c>
      <c r="O197" s="124" t="s">
        <v>475</v>
      </c>
      <c r="P197" s="21">
        <v>30</v>
      </c>
      <c r="Q197" s="10" t="s">
        <v>54</v>
      </c>
      <c r="R197" s="10" t="s">
        <v>28</v>
      </c>
      <c r="S197" s="10"/>
      <c r="T197" s="10"/>
      <c r="U197" s="10" t="s">
        <v>3339</v>
      </c>
      <c r="V197" s="10" t="s">
        <v>3339</v>
      </c>
      <c r="W197" s="50">
        <f>+J197/$W$2</f>
        <v>4.5707088368911202E-5</v>
      </c>
    </row>
    <row r="198" spans="1:23">
      <c r="A198" s="10" t="s">
        <v>782</v>
      </c>
      <c r="B198" s="10" t="s">
        <v>358</v>
      </c>
      <c r="C198" s="124">
        <v>46329</v>
      </c>
      <c r="D198" s="124" t="s">
        <v>471</v>
      </c>
      <c r="E198" s="21">
        <v>0.99549982999999997</v>
      </c>
      <c r="F198" s="10"/>
      <c r="G198" s="14">
        <v>258898.86</v>
      </c>
      <c r="H198" s="14">
        <v>257733.77</v>
      </c>
      <c r="I198" s="14">
        <v>258898.86</v>
      </c>
      <c r="J198" s="14">
        <v>257733.77</v>
      </c>
      <c r="K198" s="12">
        <v>10568416</v>
      </c>
      <c r="L198" s="10" t="s">
        <v>101</v>
      </c>
      <c r="M198" s="10" t="s">
        <v>102</v>
      </c>
      <c r="N198" s="124" t="s">
        <v>398</v>
      </c>
      <c r="O198" s="124" t="s">
        <v>398</v>
      </c>
      <c r="P198" s="21">
        <v>33</v>
      </c>
      <c r="Q198" s="10" t="s">
        <v>54</v>
      </c>
      <c r="R198" s="10" t="s">
        <v>28</v>
      </c>
      <c r="S198" s="10"/>
      <c r="T198" s="10"/>
      <c r="U198" s="10" t="s">
        <v>1663</v>
      </c>
      <c r="V198" s="10" t="s">
        <v>1663</v>
      </c>
      <c r="W198" s="50">
        <f>+J198/$W$2</f>
        <v>3.1543123111877875E-6</v>
      </c>
    </row>
    <row r="199" spans="1:23">
      <c r="A199" s="10" t="s">
        <v>359</v>
      </c>
      <c r="B199" s="10" t="s">
        <v>358</v>
      </c>
      <c r="C199" s="124">
        <v>46329</v>
      </c>
      <c r="D199" s="124" t="s">
        <v>471</v>
      </c>
      <c r="E199" s="21">
        <v>0.99590725999999996</v>
      </c>
      <c r="F199" s="10"/>
      <c r="G199" s="14">
        <v>4000000</v>
      </c>
      <c r="H199" s="14">
        <v>3983629.03</v>
      </c>
      <c r="I199" s="14">
        <v>4000000</v>
      </c>
      <c r="J199" s="14">
        <v>3983629.03</v>
      </c>
      <c r="K199" s="12">
        <v>1288</v>
      </c>
      <c r="L199" s="10" t="s">
        <v>101</v>
      </c>
      <c r="M199" s="10" t="s">
        <v>102</v>
      </c>
      <c r="N199" s="124" t="s">
        <v>439</v>
      </c>
      <c r="O199" s="124" t="s">
        <v>439</v>
      </c>
      <c r="P199" s="21">
        <v>30</v>
      </c>
      <c r="Q199" s="10" t="s">
        <v>54</v>
      </c>
      <c r="R199" s="10" t="s">
        <v>28</v>
      </c>
      <c r="S199" s="10"/>
      <c r="T199" s="10"/>
      <c r="U199" s="10" t="s">
        <v>2288</v>
      </c>
      <c r="V199" s="10" t="s">
        <v>2288</v>
      </c>
      <c r="W199" s="50">
        <f>+J199/$W$2</f>
        <v>4.8754224533843837E-5</v>
      </c>
    </row>
    <row r="200" spans="1:23">
      <c r="A200" s="10" t="s">
        <v>359</v>
      </c>
      <c r="B200" s="10" t="s">
        <v>358</v>
      </c>
      <c r="C200" s="124">
        <v>46329</v>
      </c>
      <c r="D200" s="124" t="s">
        <v>471</v>
      </c>
      <c r="E200" s="21">
        <v>0.99590723000000003</v>
      </c>
      <c r="F200" s="10"/>
      <c r="G200" s="14">
        <v>4500000</v>
      </c>
      <c r="H200" s="14">
        <v>4481582.54</v>
      </c>
      <c r="I200" s="14">
        <v>4500000</v>
      </c>
      <c r="J200" s="14">
        <v>4481582.54</v>
      </c>
      <c r="K200" s="12">
        <v>1300</v>
      </c>
      <c r="L200" s="10" t="s">
        <v>101</v>
      </c>
      <c r="M200" s="10" t="s">
        <v>102</v>
      </c>
      <c r="N200" s="124" t="s">
        <v>576</v>
      </c>
      <c r="O200" s="124" t="s">
        <v>576</v>
      </c>
      <c r="P200" s="21">
        <v>30</v>
      </c>
      <c r="Q200" s="10" t="s">
        <v>54</v>
      </c>
      <c r="R200" s="10" t="s">
        <v>28</v>
      </c>
      <c r="S200" s="10"/>
      <c r="T200" s="10"/>
      <c r="U200" s="10" t="s">
        <v>2341</v>
      </c>
      <c r="V200" s="10" t="s">
        <v>2341</v>
      </c>
      <c r="W200" s="50">
        <f>+J200/$W$2</f>
        <v>5.4848501147235134E-5</v>
      </c>
    </row>
    <row r="201" spans="1:23">
      <c r="A201" s="10" t="s">
        <v>595</v>
      </c>
      <c r="B201" s="10" t="s">
        <v>358</v>
      </c>
      <c r="C201" s="124">
        <v>46329</v>
      </c>
      <c r="D201" s="124" t="s">
        <v>471</v>
      </c>
      <c r="E201" s="21">
        <v>0.99563557000000003</v>
      </c>
      <c r="F201" s="10"/>
      <c r="G201" s="14">
        <v>3517425</v>
      </c>
      <c r="H201" s="14">
        <v>3502073.46</v>
      </c>
      <c r="I201" s="14">
        <v>3517425</v>
      </c>
      <c r="J201" s="14">
        <v>3502073.46</v>
      </c>
      <c r="K201" s="12">
        <v>67525725</v>
      </c>
      <c r="L201" s="10" t="s">
        <v>101</v>
      </c>
      <c r="M201" s="10" t="s">
        <v>102</v>
      </c>
      <c r="N201" s="124" t="s">
        <v>307</v>
      </c>
      <c r="O201" s="124" t="s">
        <v>307</v>
      </c>
      <c r="P201" s="21">
        <v>32</v>
      </c>
      <c r="Q201" s="10" t="s">
        <v>54</v>
      </c>
      <c r="R201" s="10" t="s">
        <v>28</v>
      </c>
      <c r="S201" s="10"/>
      <c r="T201" s="10"/>
      <c r="U201" s="10" t="s">
        <v>590</v>
      </c>
      <c r="V201" s="10" t="s">
        <v>590</v>
      </c>
      <c r="W201" s="50">
        <f>+J201/$W$2</f>
        <v>4.2860636499291546E-5</v>
      </c>
    </row>
    <row r="202" spans="1:23">
      <c r="A202" s="10" t="s">
        <v>363</v>
      </c>
      <c r="B202" s="10" t="s">
        <v>358</v>
      </c>
      <c r="C202" s="124">
        <v>46329</v>
      </c>
      <c r="D202" s="124" t="s">
        <v>471</v>
      </c>
      <c r="E202" s="21">
        <v>0.99482150000000003</v>
      </c>
      <c r="F202" s="10"/>
      <c r="G202" s="14">
        <v>15000000</v>
      </c>
      <c r="H202" s="14">
        <v>14922322.49</v>
      </c>
      <c r="I202" s="14">
        <v>15000000</v>
      </c>
      <c r="J202" s="14">
        <v>14922322.49</v>
      </c>
      <c r="K202" s="12">
        <v>70219573</v>
      </c>
      <c r="L202" s="10" t="s">
        <v>101</v>
      </c>
      <c r="M202" s="10" t="s">
        <v>102</v>
      </c>
      <c r="N202" s="124" t="s">
        <v>162</v>
      </c>
      <c r="O202" s="124" t="s">
        <v>162</v>
      </c>
      <c r="P202" s="21">
        <v>38</v>
      </c>
      <c r="Q202" s="10" t="s">
        <v>54</v>
      </c>
      <c r="R202" s="10" t="s">
        <v>28</v>
      </c>
      <c r="S202" s="10"/>
      <c r="T202" s="10"/>
      <c r="U202" s="10" t="s">
        <v>1286</v>
      </c>
      <c r="V202" s="10" t="s">
        <v>1286</v>
      </c>
      <c r="W202" s="50">
        <f>+J202/$W$2</f>
        <v>1.8262901885818613E-4</v>
      </c>
    </row>
    <row r="203" spans="1:23">
      <c r="A203" s="10" t="s">
        <v>271</v>
      </c>
      <c r="B203" s="10" t="s">
        <v>358</v>
      </c>
      <c r="C203" s="124">
        <v>46329</v>
      </c>
      <c r="D203" s="124" t="s">
        <v>471</v>
      </c>
      <c r="E203" s="21">
        <v>0.99590725000000002</v>
      </c>
      <c r="F203" s="10"/>
      <c r="G203" s="14">
        <v>25000000</v>
      </c>
      <c r="H203" s="14">
        <v>24897681.140000001</v>
      </c>
      <c r="I203" s="14">
        <v>25000000</v>
      </c>
      <c r="J203" s="14">
        <v>24897681.140000001</v>
      </c>
      <c r="K203" s="12">
        <v>12742279</v>
      </c>
      <c r="L203" s="10" t="s">
        <v>101</v>
      </c>
      <c r="M203" s="10" t="s">
        <v>102</v>
      </c>
      <c r="N203" s="124" t="s">
        <v>310</v>
      </c>
      <c r="O203" s="124" t="s">
        <v>310</v>
      </c>
      <c r="P203" s="21">
        <v>30</v>
      </c>
      <c r="Q203" s="10" t="s">
        <v>54</v>
      </c>
      <c r="R203" s="10" t="s">
        <v>28</v>
      </c>
      <c r="S203" s="10"/>
      <c r="T203" s="10"/>
      <c r="U203" s="10" t="s">
        <v>1020</v>
      </c>
      <c r="V203" s="10" t="s">
        <v>1020</v>
      </c>
      <c r="W203" s="50">
        <f>+J203/$W$2</f>
        <v>3.0471389969552687E-4</v>
      </c>
    </row>
    <row r="204" spans="1:23">
      <c r="A204" s="10" t="s">
        <v>271</v>
      </c>
      <c r="B204" s="10" t="s">
        <v>358</v>
      </c>
      <c r="C204" s="124">
        <v>46329</v>
      </c>
      <c r="D204" s="124" t="s">
        <v>471</v>
      </c>
      <c r="E204" s="21">
        <v>0.99631501</v>
      </c>
      <c r="F204" s="10"/>
      <c r="G204" s="14">
        <v>10000000</v>
      </c>
      <c r="H204" s="14">
        <v>9963150.0500000007</v>
      </c>
      <c r="I204" s="14">
        <v>10000000</v>
      </c>
      <c r="J204" s="14">
        <v>9963150.0500000007</v>
      </c>
      <c r="K204" s="12">
        <v>2013</v>
      </c>
      <c r="L204" s="10" t="s">
        <v>101</v>
      </c>
      <c r="M204" s="10" t="s">
        <v>102</v>
      </c>
      <c r="N204" s="124" t="s">
        <v>370</v>
      </c>
      <c r="O204" s="124" t="s">
        <v>370</v>
      </c>
      <c r="P204" s="21">
        <v>27</v>
      </c>
      <c r="Q204" s="10" t="s">
        <v>54</v>
      </c>
      <c r="R204" s="10" t="s">
        <v>28</v>
      </c>
      <c r="S204" s="10"/>
      <c r="T204" s="10"/>
      <c r="U204" s="10" t="s">
        <v>673</v>
      </c>
      <c r="V204" s="10" t="s">
        <v>673</v>
      </c>
      <c r="W204" s="50">
        <f>+J204/$W$2</f>
        <v>1.219354641067262E-4</v>
      </c>
    </row>
    <row r="205" spans="1:23">
      <c r="A205" s="10" t="s">
        <v>271</v>
      </c>
      <c r="B205" s="10" t="s">
        <v>358</v>
      </c>
      <c r="C205" s="124">
        <v>46329</v>
      </c>
      <c r="D205" s="124" t="s">
        <v>471</v>
      </c>
      <c r="E205" s="21">
        <v>0.99645099999999998</v>
      </c>
      <c r="F205" s="10"/>
      <c r="G205" s="14">
        <v>15000000</v>
      </c>
      <c r="H205" s="14">
        <v>14946764.970000001</v>
      </c>
      <c r="I205" s="14">
        <v>15000000</v>
      </c>
      <c r="J205" s="14">
        <v>14946764.970000001</v>
      </c>
      <c r="K205" s="12">
        <v>9621093</v>
      </c>
      <c r="L205" s="10" t="s">
        <v>101</v>
      </c>
      <c r="M205" s="10" t="s">
        <v>102</v>
      </c>
      <c r="N205" s="124" t="s">
        <v>308</v>
      </c>
      <c r="O205" s="124" t="s">
        <v>308</v>
      </c>
      <c r="P205" s="21">
        <v>26</v>
      </c>
      <c r="Q205" s="10" t="s">
        <v>54</v>
      </c>
      <c r="R205" s="10" t="s">
        <v>28</v>
      </c>
      <c r="S205" s="10"/>
      <c r="T205" s="10"/>
      <c r="U205" s="10" t="s">
        <v>748</v>
      </c>
      <c r="V205" s="10" t="s">
        <v>748</v>
      </c>
      <c r="W205" s="50">
        <f>+J205/$W$2</f>
        <v>1.8292816171238007E-4</v>
      </c>
    </row>
    <row r="206" spans="1:23">
      <c r="A206" s="10" t="s">
        <v>271</v>
      </c>
      <c r="B206" s="10" t="s">
        <v>358</v>
      </c>
      <c r="C206" s="124">
        <v>46329</v>
      </c>
      <c r="D206" s="124" t="s">
        <v>471</v>
      </c>
      <c r="E206" s="21">
        <v>0.99645101000000003</v>
      </c>
      <c r="F206" s="10"/>
      <c r="G206" s="14">
        <v>4000000</v>
      </c>
      <c r="H206" s="14">
        <v>3985804.04</v>
      </c>
      <c r="I206" s="14">
        <v>4000000</v>
      </c>
      <c r="J206" s="14">
        <v>3985804.04</v>
      </c>
      <c r="K206" s="12">
        <v>90002222</v>
      </c>
      <c r="L206" s="10" t="s">
        <v>101</v>
      </c>
      <c r="M206" s="10" t="s">
        <v>102</v>
      </c>
      <c r="N206" s="124" t="s">
        <v>478</v>
      </c>
      <c r="O206" s="124" t="s">
        <v>478</v>
      </c>
      <c r="P206" s="21">
        <v>26</v>
      </c>
      <c r="Q206" s="10" t="s">
        <v>54</v>
      </c>
      <c r="R206" s="10" t="s">
        <v>28</v>
      </c>
      <c r="S206" s="10"/>
      <c r="T206" s="10"/>
      <c r="U206" s="10" t="s">
        <v>2116</v>
      </c>
      <c r="V206" s="10" t="s">
        <v>2116</v>
      </c>
      <c r="W206" s="50">
        <f>+J206/$W$2</f>
        <v>4.878084371075634E-5</v>
      </c>
    </row>
    <row r="207" spans="1:23">
      <c r="A207" s="10" t="s">
        <v>150</v>
      </c>
      <c r="B207" s="10" t="s">
        <v>358</v>
      </c>
      <c r="C207" s="124">
        <v>46329</v>
      </c>
      <c r="D207" s="124" t="s">
        <v>471</v>
      </c>
      <c r="E207" s="21">
        <v>0.99631499999999995</v>
      </c>
      <c r="F207" s="10"/>
      <c r="G207" s="14">
        <v>110000000</v>
      </c>
      <c r="H207" s="14">
        <v>109594650.06</v>
      </c>
      <c r="I207" s="14">
        <v>110000000</v>
      </c>
      <c r="J207" s="14">
        <v>109594650.06</v>
      </c>
      <c r="K207" s="12">
        <v>377</v>
      </c>
      <c r="L207" s="10" t="s">
        <v>101</v>
      </c>
      <c r="M207" s="10" t="s">
        <v>102</v>
      </c>
      <c r="N207" s="124" t="s">
        <v>369</v>
      </c>
      <c r="O207" s="124" t="s">
        <v>369</v>
      </c>
      <c r="P207" s="21">
        <v>27</v>
      </c>
      <c r="Q207" s="10" t="s">
        <v>54</v>
      </c>
      <c r="R207" s="10" t="s">
        <v>28</v>
      </c>
      <c r="S207" s="10"/>
      <c r="T207" s="10"/>
      <c r="U207" s="10" t="s">
        <v>654</v>
      </c>
      <c r="V207" s="10" t="s">
        <v>654</v>
      </c>
      <c r="W207" s="50">
        <f>+J207/$W$2</f>
        <v>1.3412900991770517E-3</v>
      </c>
    </row>
    <row r="208" spans="1:23">
      <c r="A208" s="10" t="s">
        <v>3603</v>
      </c>
      <c r="B208" s="10" t="s">
        <v>358</v>
      </c>
      <c r="C208" s="124">
        <v>46329</v>
      </c>
      <c r="D208" s="124" t="s">
        <v>471</v>
      </c>
      <c r="E208" s="21">
        <v>0.99590727999999995</v>
      </c>
      <c r="F208" s="10"/>
      <c r="G208" s="14">
        <v>9751523.1999999993</v>
      </c>
      <c r="H208" s="14">
        <v>9711612.9600000009</v>
      </c>
      <c r="I208" s="14">
        <v>9751523.1999999993</v>
      </c>
      <c r="J208" s="14">
        <v>9711612.9600000009</v>
      </c>
      <c r="K208" s="12">
        <v>15816</v>
      </c>
      <c r="L208" s="10" t="s">
        <v>101</v>
      </c>
      <c r="M208" s="10" t="s">
        <v>102</v>
      </c>
      <c r="N208" s="124" t="s">
        <v>451</v>
      </c>
      <c r="O208" s="124" t="s">
        <v>451</v>
      </c>
      <c r="P208" s="21">
        <v>30</v>
      </c>
      <c r="Q208" s="10" t="s">
        <v>54</v>
      </c>
      <c r="R208" s="10" t="s">
        <v>28</v>
      </c>
      <c r="S208" s="10"/>
      <c r="T208" s="10"/>
      <c r="U208" s="10" t="s">
        <v>3546</v>
      </c>
      <c r="V208" s="10" t="s">
        <v>3546</v>
      </c>
      <c r="W208" s="50">
        <f>+J208/$W$2</f>
        <v>1.1885699076694092E-4</v>
      </c>
    </row>
    <row r="209" spans="1:29">
      <c r="A209" s="10" t="s">
        <v>677</v>
      </c>
      <c r="B209" s="10" t="s">
        <v>358</v>
      </c>
      <c r="C209" s="124">
        <v>46329</v>
      </c>
      <c r="D209" s="124" t="s">
        <v>471</v>
      </c>
      <c r="E209" s="21">
        <v>0.99495708999999999</v>
      </c>
      <c r="F209" s="10"/>
      <c r="G209" s="14">
        <v>15000000</v>
      </c>
      <c r="H209" s="14">
        <v>14924356.279999999</v>
      </c>
      <c r="I209" s="14">
        <v>15000000</v>
      </c>
      <c r="J209" s="14">
        <v>14924356.279999999</v>
      </c>
      <c r="K209" s="12">
        <v>2592</v>
      </c>
      <c r="L209" s="10" t="s">
        <v>101</v>
      </c>
      <c r="M209" s="10" t="s">
        <v>102</v>
      </c>
      <c r="N209" s="124" t="s">
        <v>332</v>
      </c>
      <c r="O209" s="124" t="s">
        <v>332</v>
      </c>
      <c r="P209" s="21">
        <v>37</v>
      </c>
      <c r="Q209" s="10" t="s">
        <v>54</v>
      </c>
      <c r="R209" s="10" t="s">
        <v>28</v>
      </c>
      <c r="S209" s="10"/>
      <c r="T209" s="10"/>
      <c r="U209" s="10" t="s">
        <v>916</v>
      </c>
      <c r="V209" s="10" t="s">
        <v>916</v>
      </c>
      <c r="W209" s="50">
        <f>+J209/$W$2</f>
        <v>1.8265390969354452E-4</v>
      </c>
    </row>
    <row r="210" spans="1:29">
      <c r="A210" s="10" t="s">
        <v>359</v>
      </c>
      <c r="B210" s="10" t="s">
        <v>358</v>
      </c>
      <c r="C210" s="124">
        <v>46329</v>
      </c>
      <c r="D210" s="124" t="s">
        <v>471</v>
      </c>
      <c r="E210" s="21">
        <v>0.99590725000000002</v>
      </c>
      <c r="F210" s="10"/>
      <c r="G210" s="14">
        <v>5000000</v>
      </c>
      <c r="H210" s="14">
        <v>4979536.2699999996</v>
      </c>
      <c r="I210" s="14">
        <v>5000000</v>
      </c>
      <c r="J210" s="14">
        <v>4979536.2699999996</v>
      </c>
      <c r="K210" s="12">
        <v>1205</v>
      </c>
      <c r="L210" s="10" t="s">
        <v>101</v>
      </c>
      <c r="M210" s="10" t="s">
        <v>102</v>
      </c>
      <c r="N210" s="124" t="s">
        <v>480</v>
      </c>
      <c r="O210" s="124" t="s">
        <v>480</v>
      </c>
      <c r="P210" s="21">
        <v>30</v>
      </c>
      <c r="Q210" s="10" t="s">
        <v>54</v>
      </c>
      <c r="R210" s="10" t="s">
        <v>28</v>
      </c>
      <c r="S210" s="10"/>
      <c r="T210" s="10"/>
      <c r="U210" s="10" t="s">
        <v>1523</v>
      </c>
      <c r="V210" s="10" t="s">
        <v>1523</v>
      </c>
      <c r="W210" s="50">
        <f>+J210/$W$2</f>
        <v>6.0942780453128489E-5</v>
      </c>
    </row>
    <row r="211" spans="1:29">
      <c r="A211" s="10" t="s">
        <v>359</v>
      </c>
      <c r="B211" s="10" t="s">
        <v>358</v>
      </c>
      <c r="C211" s="124">
        <v>46329</v>
      </c>
      <c r="D211" s="124" t="s">
        <v>471</v>
      </c>
      <c r="E211" s="21">
        <v>0.99563559000000001</v>
      </c>
      <c r="F211" s="10"/>
      <c r="G211" s="14">
        <v>4000000</v>
      </c>
      <c r="H211" s="14">
        <v>3982542.34</v>
      </c>
      <c r="I211" s="14">
        <v>4000000</v>
      </c>
      <c r="J211" s="14">
        <v>3982542.34</v>
      </c>
      <c r="K211" s="12">
        <v>1152</v>
      </c>
      <c r="L211" s="10" t="s">
        <v>101</v>
      </c>
      <c r="M211" s="10" t="s">
        <v>102</v>
      </c>
      <c r="N211" s="124" t="s">
        <v>391</v>
      </c>
      <c r="O211" s="124" t="s">
        <v>391</v>
      </c>
      <c r="P211" s="21">
        <v>32</v>
      </c>
      <c r="Q211" s="10" t="s">
        <v>54</v>
      </c>
      <c r="R211" s="10" t="s">
        <v>28</v>
      </c>
      <c r="S211" s="10"/>
      <c r="T211" s="10"/>
      <c r="U211" s="10" t="s">
        <v>1412</v>
      </c>
      <c r="V211" s="10" t="s">
        <v>1412</v>
      </c>
      <c r="W211" s="50">
        <f>+J211/$W$2</f>
        <v>4.8740924919883878E-5</v>
      </c>
    </row>
    <row r="212" spans="1:29">
      <c r="A212" s="10" t="s">
        <v>359</v>
      </c>
      <c r="B212" s="10" t="s">
        <v>358</v>
      </c>
      <c r="C212" s="124">
        <v>46329</v>
      </c>
      <c r="D212" s="124" t="s">
        <v>471</v>
      </c>
      <c r="E212" s="21">
        <v>0.99563557999999996</v>
      </c>
      <c r="F212" s="10"/>
      <c r="G212" s="14">
        <v>2000000</v>
      </c>
      <c r="H212" s="14">
        <v>1991271.15</v>
      </c>
      <c r="I212" s="14">
        <v>2000000</v>
      </c>
      <c r="J212" s="14">
        <v>1991271.15</v>
      </c>
      <c r="K212" s="12">
        <v>1080</v>
      </c>
      <c r="L212" s="10" t="s">
        <v>101</v>
      </c>
      <c r="M212" s="10" t="s">
        <v>102</v>
      </c>
      <c r="N212" s="124" t="s">
        <v>406</v>
      </c>
      <c r="O212" s="124" t="s">
        <v>406</v>
      </c>
      <c r="P212" s="21">
        <v>32</v>
      </c>
      <c r="Q212" s="10" t="s">
        <v>54</v>
      </c>
      <c r="R212" s="10" t="s">
        <v>28</v>
      </c>
      <c r="S212" s="10"/>
      <c r="T212" s="10"/>
      <c r="U212" s="10" t="s">
        <v>1181</v>
      </c>
      <c r="V212" s="10" t="s">
        <v>1181</v>
      </c>
      <c r="W212" s="50">
        <f>+J212/$W$2</f>
        <v>2.4370462215169024E-5</v>
      </c>
    </row>
    <row r="213" spans="1:29">
      <c r="A213" s="10" t="s">
        <v>2676</v>
      </c>
      <c r="B213" s="10" t="s">
        <v>358</v>
      </c>
      <c r="C213" s="124">
        <v>46329</v>
      </c>
      <c r="D213" s="124" t="s">
        <v>471</v>
      </c>
      <c r="E213" s="21">
        <v>0.99563562000000005</v>
      </c>
      <c r="F213" s="10"/>
      <c r="G213" s="14">
        <v>6250000</v>
      </c>
      <c r="H213" s="14">
        <v>6222722.5999999996</v>
      </c>
      <c r="I213" s="14">
        <v>6250000</v>
      </c>
      <c r="J213" s="14">
        <v>6222722.5999999996</v>
      </c>
      <c r="K213" s="12">
        <v>1410</v>
      </c>
      <c r="L213" s="10" t="s">
        <v>101</v>
      </c>
      <c r="M213" s="10" t="s">
        <v>102</v>
      </c>
      <c r="N213" s="124" t="s">
        <v>603</v>
      </c>
      <c r="O213" s="124" t="s">
        <v>603</v>
      </c>
      <c r="P213" s="21">
        <v>32</v>
      </c>
      <c r="Q213" s="10" t="s">
        <v>54</v>
      </c>
      <c r="R213" s="10" t="s">
        <v>28</v>
      </c>
      <c r="S213" s="10"/>
      <c r="T213" s="10"/>
      <c r="U213" s="10" t="s">
        <v>2610</v>
      </c>
      <c r="V213" s="10" t="s">
        <v>2610</v>
      </c>
      <c r="W213" s="50">
        <f>+J213/$W$2</f>
        <v>7.6157697558556175E-5</v>
      </c>
      <c r="AC213" s="47"/>
    </row>
    <row r="214" spans="1:29">
      <c r="A214" s="10" t="s">
        <v>2016</v>
      </c>
      <c r="B214" s="10" t="s">
        <v>358</v>
      </c>
      <c r="C214" s="124">
        <v>46330</v>
      </c>
      <c r="D214" s="124" t="s">
        <v>471</v>
      </c>
      <c r="E214" s="21">
        <v>0.99574421000000002</v>
      </c>
      <c r="F214" s="10"/>
      <c r="G214" s="14">
        <v>819152.75</v>
      </c>
      <c r="H214" s="14">
        <v>815666.61</v>
      </c>
      <c r="I214" s="14">
        <v>819152.75</v>
      </c>
      <c r="J214" s="14">
        <v>815666.61</v>
      </c>
      <c r="K214" s="12">
        <v>990</v>
      </c>
      <c r="L214" s="10" t="s">
        <v>101</v>
      </c>
      <c r="M214" s="10" t="s">
        <v>102</v>
      </c>
      <c r="N214" s="124" t="s">
        <v>477</v>
      </c>
      <c r="O214" s="124" t="s">
        <v>477</v>
      </c>
      <c r="P214" s="21">
        <v>26</v>
      </c>
      <c r="Q214" s="10" t="s">
        <v>54</v>
      </c>
      <c r="R214" s="10" t="s">
        <v>28</v>
      </c>
      <c r="S214" s="10"/>
      <c r="T214" s="10"/>
      <c r="U214" s="10" t="s">
        <v>2368</v>
      </c>
      <c r="V214" s="10" t="s">
        <v>2368</v>
      </c>
      <c r="W214" s="50">
        <f>+J214/$W$2</f>
        <v>9.9826546973173439E-6</v>
      </c>
    </row>
    <row r="215" spans="1:29">
      <c r="A215" s="10" t="s">
        <v>400</v>
      </c>
      <c r="B215" s="10" t="s">
        <v>358</v>
      </c>
      <c r="C215" s="124">
        <v>46330</v>
      </c>
      <c r="D215" s="124" t="s">
        <v>471</v>
      </c>
      <c r="E215" s="21">
        <v>0.99509270000000005</v>
      </c>
      <c r="F215" s="10"/>
      <c r="G215" s="14">
        <v>5580000</v>
      </c>
      <c r="H215" s="14">
        <v>5552617.25</v>
      </c>
      <c r="I215" s="14">
        <v>5580000</v>
      </c>
      <c r="J215" s="14">
        <v>5552617.25</v>
      </c>
      <c r="K215" s="12">
        <v>11415151</v>
      </c>
      <c r="L215" s="10" t="s">
        <v>101</v>
      </c>
      <c r="M215" s="10" t="s">
        <v>102</v>
      </c>
      <c r="N215" s="124" t="s">
        <v>449</v>
      </c>
      <c r="O215" s="124" t="s">
        <v>449</v>
      </c>
      <c r="P215" s="21">
        <v>30</v>
      </c>
      <c r="Q215" s="10" t="s">
        <v>54</v>
      </c>
      <c r="R215" s="10" t="s">
        <v>28</v>
      </c>
      <c r="S215" s="10"/>
      <c r="T215" s="10"/>
      <c r="U215" s="10" t="s">
        <v>1921</v>
      </c>
      <c r="V215" s="10" t="s">
        <v>1921</v>
      </c>
      <c r="W215" s="50">
        <f>+J215/$W$2</f>
        <v>6.7956515558627336E-5</v>
      </c>
    </row>
    <row r="216" spans="1:29">
      <c r="A216" s="10" t="s">
        <v>379</v>
      </c>
      <c r="B216" s="10" t="s">
        <v>358</v>
      </c>
      <c r="C216" s="124">
        <v>46330</v>
      </c>
      <c r="D216" s="124" t="s">
        <v>471</v>
      </c>
      <c r="E216" s="21">
        <v>0.99509270000000005</v>
      </c>
      <c r="F216" s="10"/>
      <c r="G216" s="14">
        <v>6377416</v>
      </c>
      <c r="H216" s="14">
        <v>6346120.1299999999</v>
      </c>
      <c r="I216" s="14">
        <v>6377416</v>
      </c>
      <c r="J216" s="14">
        <v>6346120.1299999999</v>
      </c>
      <c r="K216" s="12">
        <v>22298</v>
      </c>
      <c r="L216" s="10" t="s">
        <v>101</v>
      </c>
      <c r="M216" s="10" t="s">
        <v>102</v>
      </c>
      <c r="N216" s="124" t="s">
        <v>398</v>
      </c>
      <c r="O216" s="124" t="s">
        <v>398</v>
      </c>
      <c r="P216" s="21">
        <v>30</v>
      </c>
      <c r="Q216" s="10" t="s">
        <v>54</v>
      </c>
      <c r="R216" s="10" t="s">
        <v>28</v>
      </c>
      <c r="S216" s="10"/>
      <c r="T216" s="10"/>
      <c r="U216" s="10" t="s">
        <v>1683</v>
      </c>
      <c r="V216" s="10" t="s">
        <v>1683</v>
      </c>
      <c r="W216" s="50">
        <f>+J216/$W$2</f>
        <v>7.7667916215774297E-5</v>
      </c>
    </row>
    <row r="217" spans="1:29">
      <c r="A217" s="10" t="s">
        <v>379</v>
      </c>
      <c r="B217" s="10" t="s">
        <v>358</v>
      </c>
      <c r="C217" s="124">
        <v>46330</v>
      </c>
      <c r="D217" s="124" t="s">
        <v>471</v>
      </c>
      <c r="E217" s="21">
        <v>0.99509270000000005</v>
      </c>
      <c r="F217" s="10"/>
      <c r="G217" s="14">
        <v>6704674.6699999999</v>
      </c>
      <c r="H217" s="14">
        <v>6671772.8499999996</v>
      </c>
      <c r="I217" s="14">
        <v>6704674.6699999999</v>
      </c>
      <c r="J217" s="14">
        <v>6671772.8499999996</v>
      </c>
      <c r="K217" s="12">
        <v>21851</v>
      </c>
      <c r="L217" s="10" t="s">
        <v>101</v>
      </c>
      <c r="M217" s="10" t="s">
        <v>102</v>
      </c>
      <c r="N217" s="124" t="s">
        <v>398</v>
      </c>
      <c r="O217" s="124" t="s">
        <v>398</v>
      </c>
      <c r="P217" s="21">
        <v>30</v>
      </c>
      <c r="Q217" s="10" t="s">
        <v>54</v>
      </c>
      <c r="R217" s="10" t="s">
        <v>28</v>
      </c>
      <c r="S217" s="10"/>
      <c r="T217" s="10"/>
      <c r="U217" s="10" t="s">
        <v>1688</v>
      </c>
      <c r="V217" s="10" t="s">
        <v>1688</v>
      </c>
      <c r="W217" s="50">
        <f>+J217/$W$2</f>
        <v>8.1653464496342227E-5</v>
      </c>
    </row>
    <row r="218" spans="1:29">
      <c r="A218" s="10" t="s">
        <v>379</v>
      </c>
      <c r="B218" s="10" t="s">
        <v>358</v>
      </c>
      <c r="C218" s="124">
        <v>46330</v>
      </c>
      <c r="D218" s="124" t="s">
        <v>471</v>
      </c>
      <c r="E218" s="21">
        <v>0.99509270000000005</v>
      </c>
      <c r="F218" s="10"/>
      <c r="G218" s="14">
        <v>9655864.5399999991</v>
      </c>
      <c r="H218" s="14">
        <v>9608480.3599999994</v>
      </c>
      <c r="I218" s="14">
        <v>9655864.5399999991</v>
      </c>
      <c r="J218" s="14">
        <v>9608480.3599999994</v>
      </c>
      <c r="K218" s="12">
        <v>22534</v>
      </c>
      <c r="L218" s="10" t="s">
        <v>101</v>
      </c>
      <c r="M218" s="10" t="s">
        <v>102</v>
      </c>
      <c r="N218" s="124" t="s">
        <v>398</v>
      </c>
      <c r="O218" s="124" t="s">
        <v>398</v>
      </c>
      <c r="P218" s="21">
        <v>30</v>
      </c>
      <c r="Q218" s="10" t="s">
        <v>54</v>
      </c>
      <c r="R218" s="10" t="s">
        <v>28</v>
      </c>
      <c r="S218" s="10"/>
      <c r="T218" s="10"/>
      <c r="U218" s="10" t="s">
        <v>1689</v>
      </c>
      <c r="V218" s="10" t="s">
        <v>1689</v>
      </c>
      <c r="W218" s="50">
        <f>+J218/$W$2</f>
        <v>1.1759478740932577E-4</v>
      </c>
    </row>
    <row r="219" spans="1:29">
      <c r="A219" s="10" t="s">
        <v>334</v>
      </c>
      <c r="B219" s="10" t="s">
        <v>358</v>
      </c>
      <c r="C219" s="124">
        <v>46330</v>
      </c>
      <c r="D219" s="124" t="s">
        <v>471</v>
      </c>
      <c r="E219" s="21">
        <v>0.99444204000000003</v>
      </c>
      <c r="F219" s="10"/>
      <c r="G219" s="14">
        <v>990902.64</v>
      </c>
      <c r="H219" s="14">
        <v>985395.24</v>
      </c>
      <c r="I219" s="14">
        <v>990902.64</v>
      </c>
      <c r="J219" s="14">
        <v>985395.24</v>
      </c>
      <c r="K219" s="12">
        <v>2960</v>
      </c>
      <c r="L219" s="10" t="s">
        <v>101</v>
      </c>
      <c r="M219" s="10" t="s">
        <v>102</v>
      </c>
      <c r="N219" s="124" t="s">
        <v>311</v>
      </c>
      <c r="O219" s="124" t="s">
        <v>311</v>
      </c>
      <c r="P219" s="21">
        <v>34</v>
      </c>
      <c r="Q219" s="10" t="s">
        <v>54</v>
      </c>
      <c r="R219" s="10" t="s">
        <v>28</v>
      </c>
      <c r="S219" s="10"/>
      <c r="T219" s="10"/>
      <c r="U219" s="10" t="s">
        <v>702</v>
      </c>
      <c r="V219" s="10" t="s">
        <v>702</v>
      </c>
      <c r="W219" s="50">
        <f>+J219/$W$2</f>
        <v>1.2059903275064982E-5</v>
      </c>
    </row>
    <row r="220" spans="1:29">
      <c r="A220" s="10" t="s">
        <v>334</v>
      </c>
      <c r="B220" s="10" t="s">
        <v>358</v>
      </c>
      <c r="C220" s="124">
        <v>46330</v>
      </c>
      <c r="D220" s="124" t="s">
        <v>471</v>
      </c>
      <c r="E220" s="21">
        <v>0.99444202999999998</v>
      </c>
      <c r="F220" s="10"/>
      <c r="G220" s="14">
        <v>1020845.65</v>
      </c>
      <c r="H220" s="14">
        <v>1015171.82</v>
      </c>
      <c r="I220" s="14">
        <v>1020845.65</v>
      </c>
      <c r="J220" s="14">
        <v>1015171.82</v>
      </c>
      <c r="K220" s="12">
        <v>2910</v>
      </c>
      <c r="L220" s="10" t="s">
        <v>101</v>
      </c>
      <c r="M220" s="10" t="s">
        <v>102</v>
      </c>
      <c r="N220" s="124" t="s">
        <v>311</v>
      </c>
      <c r="O220" s="124" t="s">
        <v>311</v>
      </c>
      <c r="P220" s="21">
        <v>34</v>
      </c>
      <c r="Q220" s="10" t="s">
        <v>54</v>
      </c>
      <c r="R220" s="10" t="s">
        <v>28</v>
      </c>
      <c r="S220" s="10"/>
      <c r="T220" s="10"/>
      <c r="U220" s="10" t="s">
        <v>703</v>
      </c>
      <c r="V220" s="10" t="s">
        <v>703</v>
      </c>
      <c r="W220" s="50">
        <f>+J220/$W$2</f>
        <v>1.2424328289602534E-5</v>
      </c>
    </row>
    <row r="221" spans="1:29">
      <c r="A221" s="10" t="s">
        <v>2315</v>
      </c>
      <c r="B221" s="10" t="s">
        <v>358</v>
      </c>
      <c r="C221" s="124">
        <v>46330</v>
      </c>
      <c r="D221" s="124" t="s">
        <v>471</v>
      </c>
      <c r="E221" s="21">
        <v>0.99460462999999999</v>
      </c>
      <c r="F221" s="10"/>
      <c r="G221" s="14">
        <v>3882407.02</v>
      </c>
      <c r="H221" s="14">
        <v>3861460.01</v>
      </c>
      <c r="I221" s="14">
        <v>3882407.02</v>
      </c>
      <c r="J221" s="14">
        <v>3861460.01</v>
      </c>
      <c r="K221" s="12">
        <v>1682739</v>
      </c>
      <c r="L221" s="10" t="s">
        <v>101</v>
      </c>
      <c r="M221" s="10" t="s">
        <v>102</v>
      </c>
      <c r="N221" s="124" t="s">
        <v>439</v>
      </c>
      <c r="O221" s="124" t="s">
        <v>439</v>
      </c>
      <c r="P221" s="21">
        <v>33</v>
      </c>
      <c r="Q221" s="10" t="s">
        <v>54</v>
      </c>
      <c r="R221" s="10" t="s">
        <v>28</v>
      </c>
      <c r="S221" s="10"/>
      <c r="T221" s="10"/>
      <c r="U221" s="10" t="s">
        <v>2310</v>
      </c>
      <c r="V221" s="10" t="s">
        <v>2310</v>
      </c>
      <c r="W221" s="50">
        <f>+J221/$W$2</f>
        <v>4.7259041175327229E-5</v>
      </c>
    </row>
    <row r="222" spans="1:29">
      <c r="A222" s="10" t="s">
        <v>401</v>
      </c>
      <c r="B222" s="10" t="s">
        <v>358</v>
      </c>
      <c r="C222" s="124">
        <v>46330</v>
      </c>
      <c r="D222" s="124" t="s">
        <v>471</v>
      </c>
      <c r="E222" s="21">
        <v>0.99574425</v>
      </c>
      <c r="F222" s="10"/>
      <c r="G222" s="14">
        <v>10000000</v>
      </c>
      <c r="H222" s="14">
        <v>9957442.5299999993</v>
      </c>
      <c r="I222" s="14">
        <v>10000000</v>
      </c>
      <c r="J222" s="14">
        <v>9957442.5299999993</v>
      </c>
      <c r="K222" s="12">
        <v>22805</v>
      </c>
      <c r="L222" s="10" t="s">
        <v>101</v>
      </c>
      <c r="M222" s="10" t="s">
        <v>102</v>
      </c>
      <c r="N222" s="124" t="s">
        <v>577</v>
      </c>
      <c r="O222" s="124" t="s">
        <v>577</v>
      </c>
      <c r="P222" s="21">
        <v>26</v>
      </c>
      <c r="Q222" s="10" t="s">
        <v>54</v>
      </c>
      <c r="R222" s="10" t="s">
        <v>28</v>
      </c>
      <c r="S222" s="10"/>
      <c r="T222" s="10"/>
      <c r="U222" s="10" t="s">
        <v>2449</v>
      </c>
      <c r="V222" s="10" t="s">
        <v>2449</v>
      </c>
      <c r="W222" s="50">
        <f>+J222/$W$2</f>
        <v>1.2186561179128319E-4</v>
      </c>
    </row>
    <row r="223" spans="1:29">
      <c r="A223" s="10" t="s">
        <v>401</v>
      </c>
      <c r="B223" s="10" t="s">
        <v>358</v>
      </c>
      <c r="C223" s="124">
        <v>46330</v>
      </c>
      <c r="D223" s="124" t="s">
        <v>471</v>
      </c>
      <c r="E223" s="21">
        <v>0.99558128000000001</v>
      </c>
      <c r="F223" s="10"/>
      <c r="G223" s="14">
        <v>1000000</v>
      </c>
      <c r="H223" s="14">
        <v>995581.28</v>
      </c>
      <c r="I223" s="14">
        <v>1000000</v>
      </c>
      <c r="J223" s="14">
        <v>995581.28</v>
      </c>
      <c r="K223" s="12">
        <v>11484</v>
      </c>
      <c r="L223" s="10" t="s">
        <v>101</v>
      </c>
      <c r="M223" s="10" t="s">
        <v>102</v>
      </c>
      <c r="N223" s="124" t="s">
        <v>439</v>
      </c>
      <c r="O223" s="124" t="s">
        <v>439</v>
      </c>
      <c r="P223" s="21">
        <v>27</v>
      </c>
      <c r="Q223" s="10" t="s">
        <v>54</v>
      </c>
      <c r="R223" s="10" t="s">
        <v>28</v>
      </c>
      <c r="S223" s="10"/>
      <c r="T223" s="10"/>
      <c r="U223" s="10" t="s">
        <v>2234</v>
      </c>
      <c r="V223" s="10" t="s">
        <v>2234</v>
      </c>
      <c r="W223" s="50">
        <f>+J223/$W$2</f>
        <v>1.2184566610313023E-5</v>
      </c>
    </row>
    <row r="224" spans="1:29">
      <c r="A224" s="10" t="s">
        <v>2016</v>
      </c>
      <c r="B224" s="10" t="s">
        <v>358</v>
      </c>
      <c r="C224" s="124">
        <v>46330</v>
      </c>
      <c r="D224" s="124" t="s">
        <v>471</v>
      </c>
      <c r="E224" s="21">
        <v>0.99574421000000002</v>
      </c>
      <c r="F224" s="10"/>
      <c r="G224" s="14">
        <v>819152.75</v>
      </c>
      <c r="H224" s="14">
        <v>815666.61</v>
      </c>
      <c r="I224" s="14">
        <v>819152.75</v>
      </c>
      <c r="J224" s="14">
        <v>815666.61</v>
      </c>
      <c r="K224" s="12">
        <v>991</v>
      </c>
      <c r="L224" s="10" t="s">
        <v>101</v>
      </c>
      <c r="M224" s="10" t="s">
        <v>102</v>
      </c>
      <c r="N224" s="124" t="s">
        <v>477</v>
      </c>
      <c r="O224" s="124" t="s">
        <v>477</v>
      </c>
      <c r="P224" s="21">
        <v>26</v>
      </c>
      <c r="Q224" s="10" t="s">
        <v>54</v>
      </c>
      <c r="R224" s="10" t="s">
        <v>28</v>
      </c>
      <c r="S224" s="10"/>
      <c r="T224" s="10"/>
      <c r="U224" s="10" t="s">
        <v>2366</v>
      </c>
      <c r="V224" s="10" t="s">
        <v>2366</v>
      </c>
      <c r="W224" s="50">
        <f>+J224/$W$2</f>
        <v>9.9826546973173439E-6</v>
      </c>
    </row>
    <row r="225" spans="1:29">
      <c r="A225" s="10" t="s">
        <v>2016</v>
      </c>
      <c r="B225" s="10" t="s">
        <v>358</v>
      </c>
      <c r="C225" s="124">
        <v>46330</v>
      </c>
      <c r="D225" s="124" t="s">
        <v>471</v>
      </c>
      <c r="E225" s="21">
        <v>0.99574421000000002</v>
      </c>
      <c r="F225" s="10"/>
      <c r="G225" s="14">
        <v>819152.75</v>
      </c>
      <c r="H225" s="14">
        <v>815666.61</v>
      </c>
      <c r="I225" s="14">
        <v>819152.75</v>
      </c>
      <c r="J225" s="14">
        <v>815666.61</v>
      </c>
      <c r="K225" s="12">
        <v>989</v>
      </c>
      <c r="L225" s="10" t="s">
        <v>101</v>
      </c>
      <c r="M225" s="10" t="s">
        <v>102</v>
      </c>
      <c r="N225" s="124" t="s">
        <v>477</v>
      </c>
      <c r="O225" s="124" t="s">
        <v>477</v>
      </c>
      <c r="P225" s="21">
        <v>26</v>
      </c>
      <c r="Q225" s="10" t="s">
        <v>54</v>
      </c>
      <c r="R225" s="10" t="s">
        <v>28</v>
      </c>
      <c r="S225" s="10"/>
      <c r="T225" s="10"/>
      <c r="U225" s="10" t="s">
        <v>2367</v>
      </c>
      <c r="V225" s="10" t="s">
        <v>2367</v>
      </c>
      <c r="W225" s="50">
        <f>+J225/$W$2</f>
        <v>9.9826546973173439E-6</v>
      </c>
      <c r="AC225" s="47"/>
    </row>
    <row r="226" spans="1:29">
      <c r="A226" s="10" t="s">
        <v>1514</v>
      </c>
      <c r="B226" s="10" t="s">
        <v>358</v>
      </c>
      <c r="C226" s="124">
        <v>46330</v>
      </c>
      <c r="D226" s="124" t="s">
        <v>471</v>
      </c>
      <c r="E226" s="21">
        <v>0.99672309999999997</v>
      </c>
      <c r="F226" s="10"/>
      <c r="G226" s="14">
        <v>346488.63</v>
      </c>
      <c r="H226" s="14">
        <v>345353.22</v>
      </c>
      <c r="I226" s="14">
        <v>346488.63</v>
      </c>
      <c r="J226" s="14">
        <v>345353.22</v>
      </c>
      <c r="K226" s="12">
        <v>69480923</v>
      </c>
      <c r="L226" s="10" t="s">
        <v>101</v>
      </c>
      <c r="M226" s="10" t="s">
        <v>102</v>
      </c>
      <c r="N226" s="124" t="s">
        <v>405</v>
      </c>
      <c r="O226" s="124" t="s">
        <v>405</v>
      </c>
      <c r="P226" s="21">
        <v>20</v>
      </c>
      <c r="Q226" s="10" t="s">
        <v>54</v>
      </c>
      <c r="R226" s="10" t="s">
        <v>28</v>
      </c>
      <c r="S226" s="10"/>
      <c r="T226" s="10"/>
      <c r="U226" s="10" t="s">
        <v>1493</v>
      </c>
      <c r="V226" s="10" t="s">
        <v>1493</v>
      </c>
      <c r="W226" s="50">
        <f>+J226/$W$2</f>
        <v>4.2266557213451087E-6</v>
      </c>
    </row>
    <row r="227" spans="1:29">
      <c r="A227" s="10" t="s">
        <v>1602</v>
      </c>
      <c r="B227" s="10" t="s">
        <v>358</v>
      </c>
      <c r="C227" s="124">
        <v>46330</v>
      </c>
      <c r="D227" s="124" t="s">
        <v>471</v>
      </c>
      <c r="E227" s="21">
        <v>0.99509270000000005</v>
      </c>
      <c r="F227" s="10"/>
      <c r="G227" s="14">
        <v>6150126.3399999999</v>
      </c>
      <c r="H227" s="14">
        <v>6119945.8200000003</v>
      </c>
      <c r="I227" s="14">
        <v>6150126.3399999999</v>
      </c>
      <c r="J227" s="14">
        <v>6119945.8200000003</v>
      </c>
      <c r="K227" s="12">
        <v>58</v>
      </c>
      <c r="L227" s="10" t="s">
        <v>101</v>
      </c>
      <c r="M227" s="10" t="s">
        <v>102</v>
      </c>
      <c r="N227" s="124" t="s">
        <v>487</v>
      </c>
      <c r="O227" s="124" t="s">
        <v>487</v>
      </c>
      <c r="P227" s="21">
        <v>30</v>
      </c>
      <c r="Q227" s="10" t="s">
        <v>54</v>
      </c>
      <c r="R227" s="10" t="s">
        <v>28</v>
      </c>
      <c r="S227" s="10"/>
      <c r="T227" s="10"/>
      <c r="U227" s="10" t="s">
        <v>1578</v>
      </c>
      <c r="V227" s="10" t="s">
        <v>1578</v>
      </c>
      <c r="W227" s="50">
        <f>+J227/$W$2</f>
        <v>7.4899848955875057E-5</v>
      </c>
    </row>
    <row r="228" spans="1:29">
      <c r="A228" s="10" t="s">
        <v>1603</v>
      </c>
      <c r="B228" s="10" t="s">
        <v>358</v>
      </c>
      <c r="C228" s="124">
        <v>46330</v>
      </c>
      <c r="D228" s="124" t="s">
        <v>471</v>
      </c>
      <c r="E228" s="21">
        <v>0.99509270000000005</v>
      </c>
      <c r="F228" s="10"/>
      <c r="G228" s="14">
        <v>5103695.5599999996</v>
      </c>
      <c r="H228" s="14">
        <v>5078650.1900000004</v>
      </c>
      <c r="I228" s="14">
        <v>5103695.5599999996</v>
      </c>
      <c r="J228" s="14">
        <v>5078650.1900000004</v>
      </c>
      <c r="K228" s="12">
        <v>828</v>
      </c>
      <c r="L228" s="10" t="s">
        <v>101</v>
      </c>
      <c r="M228" s="10" t="s">
        <v>102</v>
      </c>
      <c r="N228" s="124" t="s">
        <v>487</v>
      </c>
      <c r="O228" s="124" t="s">
        <v>487</v>
      </c>
      <c r="P228" s="21">
        <v>30</v>
      </c>
      <c r="Q228" s="10" t="s">
        <v>54</v>
      </c>
      <c r="R228" s="10" t="s">
        <v>28</v>
      </c>
      <c r="S228" s="10"/>
      <c r="T228" s="10"/>
      <c r="U228" s="10" t="s">
        <v>1580</v>
      </c>
      <c r="V228" s="10" t="s">
        <v>1580</v>
      </c>
      <c r="W228" s="50">
        <f>+J228/$W$2</f>
        <v>6.2155800609804449E-5</v>
      </c>
    </row>
    <row r="229" spans="1:29">
      <c r="A229" s="10" t="s">
        <v>1603</v>
      </c>
      <c r="B229" s="10" t="s">
        <v>358</v>
      </c>
      <c r="C229" s="124">
        <v>46330</v>
      </c>
      <c r="D229" s="124" t="s">
        <v>471</v>
      </c>
      <c r="E229" s="21">
        <v>0.99509270000000005</v>
      </c>
      <c r="F229" s="10"/>
      <c r="G229" s="14">
        <v>2500000</v>
      </c>
      <c r="H229" s="14">
        <v>2487731.7400000002</v>
      </c>
      <c r="I229" s="14">
        <v>2500000</v>
      </c>
      <c r="J229" s="14">
        <v>2487731.7400000002</v>
      </c>
      <c r="K229" s="12">
        <v>821</v>
      </c>
      <c r="L229" s="10" t="s">
        <v>101</v>
      </c>
      <c r="M229" s="10" t="s">
        <v>102</v>
      </c>
      <c r="N229" s="124" t="s">
        <v>487</v>
      </c>
      <c r="O229" s="124" t="s">
        <v>487</v>
      </c>
      <c r="P229" s="21">
        <v>30</v>
      </c>
      <c r="Q229" s="10" t="s">
        <v>54</v>
      </c>
      <c r="R229" s="10" t="s">
        <v>28</v>
      </c>
      <c r="S229" s="10"/>
      <c r="T229" s="10"/>
      <c r="U229" s="10" t="s">
        <v>1581</v>
      </c>
      <c r="V229" s="10" t="s">
        <v>1581</v>
      </c>
      <c r="W229" s="50">
        <f>+J229/$W$2</f>
        <v>3.0446467509533646E-5</v>
      </c>
    </row>
    <row r="230" spans="1:29">
      <c r="A230" s="10" t="s">
        <v>1744</v>
      </c>
      <c r="B230" s="10" t="s">
        <v>358</v>
      </c>
      <c r="C230" s="124">
        <v>46330</v>
      </c>
      <c r="D230" s="124" t="s">
        <v>471</v>
      </c>
      <c r="E230" s="21">
        <v>0.99460462000000005</v>
      </c>
      <c r="F230" s="10"/>
      <c r="G230" s="14">
        <v>5300000</v>
      </c>
      <c r="H230" s="14">
        <v>5271404.49</v>
      </c>
      <c r="I230" s="14">
        <v>5300000</v>
      </c>
      <c r="J230" s="14">
        <v>5271404.49</v>
      </c>
      <c r="K230" s="12">
        <v>8175673</v>
      </c>
      <c r="L230" s="10" t="s">
        <v>101</v>
      </c>
      <c r="M230" s="10" t="s">
        <v>102</v>
      </c>
      <c r="N230" s="124" t="s">
        <v>398</v>
      </c>
      <c r="O230" s="124" t="s">
        <v>398</v>
      </c>
      <c r="P230" s="21">
        <v>33</v>
      </c>
      <c r="Q230" s="10" t="s">
        <v>54</v>
      </c>
      <c r="R230" s="10" t="s">
        <v>28</v>
      </c>
      <c r="S230" s="10"/>
      <c r="T230" s="10"/>
      <c r="U230" s="10" t="s">
        <v>1645</v>
      </c>
      <c r="V230" s="10" t="s">
        <v>1645</v>
      </c>
      <c r="W230" s="50">
        <f>+J230/$W$2</f>
        <v>6.4514852206048052E-5</v>
      </c>
    </row>
    <row r="231" spans="1:29">
      <c r="A231" s="10" t="s">
        <v>1747</v>
      </c>
      <c r="B231" s="10" t="s">
        <v>358</v>
      </c>
      <c r="C231" s="124">
        <v>46330</v>
      </c>
      <c r="D231" s="124" t="s">
        <v>471</v>
      </c>
      <c r="E231" s="21">
        <v>0.99460462000000005</v>
      </c>
      <c r="F231" s="10"/>
      <c r="G231" s="14">
        <v>1428441.71</v>
      </c>
      <c r="H231" s="14">
        <v>1420734.73</v>
      </c>
      <c r="I231" s="14">
        <v>1428441.71</v>
      </c>
      <c r="J231" s="14">
        <v>1420734.73</v>
      </c>
      <c r="K231" s="12">
        <v>274</v>
      </c>
      <c r="L231" s="10" t="s">
        <v>101</v>
      </c>
      <c r="M231" s="10" t="s">
        <v>102</v>
      </c>
      <c r="N231" s="124" t="s">
        <v>398</v>
      </c>
      <c r="O231" s="124" t="s">
        <v>398</v>
      </c>
      <c r="P231" s="21">
        <v>33</v>
      </c>
      <c r="Q231" s="10" t="s">
        <v>54</v>
      </c>
      <c r="R231" s="10" t="s">
        <v>28</v>
      </c>
      <c r="S231" s="10"/>
      <c r="T231" s="10"/>
      <c r="U231" s="10" t="s">
        <v>1669</v>
      </c>
      <c r="V231" s="10" t="s">
        <v>1669</v>
      </c>
      <c r="W231" s="50">
        <f>+J231/$W$2</f>
        <v>1.7387869078122969E-5</v>
      </c>
    </row>
    <row r="232" spans="1:29">
      <c r="A232" s="10" t="s">
        <v>1752</v>
      </c>
      <c r="B232" s="10" t="s">
        <v>358</v>
      </c>
      <c r="C232" s="124">
        <v>46330</v>
      </c>
      <c r="D232" s="124" t="s">
        <v>471</v>
      </c>
      <c r="E232" s="21">
        <v>0.99476726000000004</v>
      </c>
      <c r="F232" s="10"/>
      <c r="G232" s="14">
        <v>891634.28</v>
      </c>
      <c r="H232" s="14">
        <v>886968.59</v>
      </c>
      <c r="I232" s="14">
        <v>891634.28</v>
      </c>
      <c r="J232" s="14">
        <v>886968.59</v>
      </c>
      <c r="K232" s="12">
        <v>1996</v>
      </c>
      <c r="L232" s="10" t="s">
        <v>101</v>
      </c>
      <c r="M232" s="10" t="s">
        <v>102</v>
      </c>
      <c r="N232" s="124" t="s">
        <v>398</v>
      </c>
      <c r="O232" s="124" t="s">
        <v>398</v>
      </c>
      <c r="P232" s="21">
        <v>32</v>
      </c>
      <c r="Q232" s="10" t="s">
        <v>54</v>
      </c>
      <c r="R232" s="10" t="s">
        <v>28</v>
      </c>
      <c r="S232" s="10"/>
      <c r="T232" s="10"/>
      <c r="U232" s="10" t="s">
        <v>1699</v>
      </c>
      <c r="V232" s="10" t="s">
        <v>1699</v>
      </c>
      <c r="W232" s="50">
        <f>+J232/$W$2</f>
        <v>1.0855294372459897E-5</v>
      </c>
    </row>
    <row r="233" spans="1:29">
      <c r="A233" s="10" t="s">
        <v>2758</v>
      </c>
      <c r="B233" s="10" t="s">
        <v>358</v>
      </c>
      <c r="C233" s="124">
        <v>46330</v>
      </c>
      <c r="D233" s="124" t="s">
        <v>471</v>
      </c>
      <c r="E233" s="21">
        <v>0.99542005</v>
      </c>
      <c r="F233" s="10"/>
      <c r="G233" s="14">
        <v>2116117.7000000002</v>
      </c>
      <c r="H233" s="14">
        <v>2106425.98</v>
      </c>
      <c r="I233" s="14">
        <v>2116117.7000000002</v>
      </c>
      <c r="J233" s="14">
        <v>2106425.98</v>
      </c>
      <c r="K233" s="12">
        <v>659</v>
      </c>
      <c r="L233" s="10" t="s">
        <v>101</v>
      </c>
      <c r="M233" s="10" t="s">
        <v>102</v>
      </c>
      <c r="N233" s="124" t="s">
        <v>417</v>
      </c>
      <c r="O233" s="124" t="s">
        <v>417</v>
      </c>
      <c r="P233" s="21">
        <v>27.99</v>
      </c>
      <c r="Q233" s="10" t="s">
        <v>54</v>
      </c>
      <c r="R233" s="10" t="s">
        <v>28</v>
      </c>
      <c r="S233" s="10"/>
      <c r="T233" s="10"/>
      <c r="U233" s="10" t="s">
        <v>3188</v>
      </c>
      <c r="V233" s="10" t="s">
        <v>3188</v>
      </c>
      <c r="W233" s="50">
        <f>+J233/$W$2</f>
        <v>2.5779801386988601E-5</v>
      </c>
    </row>
    <row r="234" spans="1:29">
      <c r="A234" s="10" t="s">
        <v>2758</v>
      </c>
      <c r="B234" s="10" t="s">
        <v>358</v>
      </c>
      <c r="C234" s="124">
        <v>46330</v>
      </c>
      <c r="D234" s="124" t="s">
        <v>471</v>
      </c>
      <c r="E234" s="21">
        <v>0.99541838999999999</v>
      </c>
      <c r="F234" s="10"/>
      <c r="G234" s="14">
        <v>3392000</v>
      </c>
      <c r="H234" s="14">
        <v>3376459.17</v>
      </c>
      <c r="I234" s="14">
        <v>3392000</v>
      </c>
      <c r="J234" s="14">
        <v>3376459.17</v>
      </c>
      <c r="K234" s="12">
        <v>26351</v>
      </c>
      <c r="L234" s="10" t="s">
        <v>101</v>
      </c>
      <c r="M234" s="10" t="s">
        <v>102</v>
      </c>
      <c r="N234" s="124" t="s">
        <v>411</v>
      </c>
      <c r="O234" s="124" t="s">
        <v>411</v>
      </c>
      <c r="P234" s="21">
        <v>28</v>
      </c>
      <c r="Q234" s="10" t="s">
        <v>54</v>
      </c>
      <c r="R234" s="10" t="s">
        <v>28</v>
      </c>
      <c r="S234" s="10"/>
      <c r="T234" s="10"/>
      <c r="U234" s="10" t="s">
        <v>2955</v>
      </c>
      <c r="V234" s="10" t="s">
        <v>2955</v>
      </c>
      <c r="W234" s="50">
        <f>+J234/$W$2</f>
        <v>4.132328770170048E-5</v>
      </c>
    </row>
    <row r="235" spans="1:29">
      <c r="A235" s="10" t="s">
        <v>2758</v>
      </c>
      <c r="B235" s="10" t="s">
        <v>358</v>
      </c>
      <c r="C235" s="124">
        <v>46330</v>
      </c>
      <c r="D235" s="124" t="s">
        <v>471</v>
      </c>
      <c r="E235" s="21">
        <v>0.99541838999999999</v>
      </c>
      <c r="F235" s="10"/>
      <c r="G235" s="14">
        <v>1269828.6499999999</v>
      </c>
      <c r="H235" s="14">
        <v>1264010.79</v>
      </c>
      <c r="I235" s="14">
        <v>1269828.6499999999</v>
      </c>
      <c r="J235" s="14">
        <v>1264010.79</v>
      </c>
      <c r="K235" s="12">
        <v>302272</v>
      </c>
      <c r="L235" s="10" t="s">
        <v>101</v>
      </c>
      <c r="M235" s="10" t="s">
        <v>102</v>
      </c>
      <c r="N235" s="124" t="s">
        <v>411</v>
      </c>
      <c r="O235" s="124" t="s">
        <v>411</v>
      </c>
      <c r="P235" s="21">
        <v>28</v>
      </c>
      <c r="Q235" s="10" t="s">
        <v>54</v>
      </c>
      <c r="R235" s="10" t="s">
        <v>28</v>
      </c>
      <c r="S235" s="10"/>
      <c r="T235" s="10"/>
      <c r="U235" s="10" t="s">
        <v>2956</v>
      </c>
      <c r="V235" s="10" t="s">
        <v>2956</v>
      </c>
      <c r="W235" s="50">
        <f>+J235/$W$2</f>
        <v>1.5469780294492265E-5</v>
      </c>
    </row>
    <row r="236" spans="1:29">
      <c r="A236" s="10" t="s">
        <v>2758</v>
      </c>
      <c r="B236" s="10" t="s">
        <v>358</v>
      </c>
      <c r="C236" s="124">
        <v>46330</v>
      </c>
      <c r="D236" s="124" t="s">
        <v>471</v>
      </c>
      <c r="E236" s="21">
        <v>0.99541837</v>
      </c>
      <c r="F236" s="10"/>
      <c r="G236" s="14">
        <v>507127.84</v>
      </c>
      <c r="H236" s="14">
        <v>504804.37</v>
      </c>
      <c r="I236" s="14">
        <v>507127.84</v>
      </c>
      <c r="J236" s="14">
        <v>504804.37</v>
      </c>
      <c r="K236" s="12">
        <v>11023400</v>
      </c>
      <c r="L236" s="10" t="s">
        <v>101</v>
      </c>
      <c r="M236" s="10" t="s">
        <v>102</v>
      </c>
      <c r="N236" s="124" t="s">
        <v>411</v>
      </c>
      <c r="O236" s="124" t="s">
        <v>411</v>
      </c>
      <c r="P236" s="21">
        <v>28</v>
      </c>
      <c r="Q236" s="10" t="s">
        <v>54</v>
      </c>
      <c r="R236" s="10" t="s">
        <v>28</v>
      </c>
      <c r="S236" s="10"/>
      <c r="T236" s="10"/>
      <c r="U236" s="10" t="s">
        <v>2957</v>
      </c>
      <c r="V236" s="10" t="s">
        <v>2957</v>
      </c>
      <c r="W236" s="50">
        <f>+J236/$W$2</f>
        <v>6.1781218620764948E-6</v>
      </c>
      <c r="AB236" s="43"/>
      <c r="AC236" s="47"/>
    </row>
    <row r="237" spans="1:29">
      <c r="A237" s="10" t="s">
        <v>2758</v>
      </c>
      <c r="B237" s="10" t="s">
        <v>358</v>
      </c>
      <c r="C237" s="124">
        <v>46330</v>
      </c>
      <c r="D237" s="124" t="s">
        <v>471</v>
      </c>
      <c r="E237" s="21">
        <v>0.99541838999999999</v>
      </c>
      <c r="F237" s="10"/>
      <c r="G237" s="14">
        <v>4094469</v>
      </c>
      <c r="H237" s="14">
        <v>4075709.73</v>
      </c>
      <c r="I237" s="14">
        <v>4094469</v>
      </c>
      <c r="J237" s="14">
        <v>4075709.73</v>
      </c>
      <c r="K237" s="12">
        <v>12</v>
      </c>
      <c r="L237" s="10" t="s">
        <v>101</v>
      </c>
      <c r="M237" s="10" t="s">
        <v>102</v>
      </c>
      <c r="N237" s="124" t="s">
        <v>411</v>
      </c>
      <c r="O237" s="124" t="s">
        <v>411</v>
      </c>
      <c r="P237" s="21">
        <v>28</v>
      </c>
      <c r="Q237" s="10" t="s">
        <v>54</v>
      </c>
      <c r="R237" s="10" t="s">
        <v>28</v>
      </c>
      <c r="S237" s="10"/>
      <c r="T237" s="10"/>
      <c r="U237" s="10" t="s">
        <v>2958</v>
      </c>
      <c r="V237" s="10" t="s">
        <v>2958</v>
      </c>
      <c r="W237" s="50">
        <f>+J237/$W$2</f>
        <v>4.9881167602393951E-5</v>
      </c>
    </row>
    <row r="238" spans="1:29">
      <c r="A238" s="10" t="s">
        <v>2758</v>
      </c>
      <c r="B238" s="10" t="s">
        <v>358</v>
      </c>
      <c r="C238" s="124">
        <v>46330</v>
      </c>
      <c r="D238" s="124" t="s">
        <v>471</v>
      </c>
      <c r="E238" s="21">
        <v>0.99541842000000003</v>
      </c>
      <c r="F238" s="10"/>
      <c r="G238" s="14">
        <v>371781.84</v>
      </c>
      <c r="H238" s="14">
        <v>370078.49</v>
      </c>
      <c r="I238" s="14">
        <v>371781.84</v>
      </c>
      <c r="J238" s="14">
        <v>370078.49</v>
      </c>
      <c r="K238" s="12">
        <v>1389453</v>
      </c>
      <c r="L238" s="10" t="s">
        <v>101</v>
      </c>
      <c r="M238" s="10" t="s">
        <v>102</v>
      </c>
      <c r="N238" s="124" t="s">
        <v>411</v>
      </c>
      <c r="O238" s="124" t="s">
        <v>411</v>
      </c>
      <c r="P238" s="21">
        <v>28</v>
      </c>
      <c r="Q238" s="10" t="s">
        <v>54</v>
      </c>
      <c r="R238" s="10" t="s">
        <v>28</v>
      </c>
      <c r="S238" s="10"/>
      <c r="T238" s="10"/>
      <c r="U238" s="10" t="s">
        <v>2959</v>
      </c>
      <c r="V238" s="10" t="s">
        <v>2959</v>
      </c>
      <c r="W238" s="50">
        <f>+J238/$W$2</f>
        <v>4.5292595421732529E-6</v>
      </c>
    </row>
    <row r="239" spans="1:29">
      <c r="A239" s="10" t="s">
        <v>2758</v>
      </c>
      <c r="B239" s="10" t="s">
        <v>358</v>
      </c>
      <c r="C239" s="124">
        <v>46330</v>
      </c>
      <c r="D239" s="124" t="s">
        <v>471</v>
      </c>
      <c r="E239" s="21">
        <v>0.99541838000000005</v>
      </c>
      <c r="F239" s="10"/>
      <c r="G239" s="14">
        <v>420000</v>
      </c>
      <c r="H239" s="14">
        <v>418075.72</v>
      </c>
      <c r="I239" s="14">
        <v>420000</v>
      </c>
      <c r="J239" s="14">
        <v>418075.72</v>
      </c>
      <c r="K239" s="12">
        <v>16869859</v>
      </c>
      <c r="L239" s="10" t="s">
        <v>101</v>
      </c>
      <c r="M239" s="10" t="s">
        <v>102</v>
      </c>
      <c r="N239" s="124" t="s">
        <v>411</v>
      </c>
      <c r="O239" s="124" t="s">
        <v>411</v>
      </c>
      <c r="P239" s="21">
        <v>28</v>
      </c>
      <c r="Q239" s="10" t="s">
        <v>54</v>
      </c>
      <c r="R239" s="10" t="s">
        <v>28</v>
      </c>
      <c r="S239" s="10"/>
      <c r="T239" s="10"/>
      <c r="U239" s="10" t="s">
        <v>2964</v>
      </c>
      <c r="V239" s="10" t="s">
        <v>2964</v>
      </c>
      <c r="W239" s="50">
        <f>+J239/$W$2</f>
        <v>5.1166806375613809E-6</v>
      </c>
      <c r="AC239"/>
    </row>
    <row r="240" spans="1:29">
      <c r="A240" s="10" t="s">
        <v>443</v>
      </c>
      <c r="B240" s="10" t="s">
        <v>358</v>
      </c>
      <c r="C240" s="124">
        <v>46330</v>
      </c>
      <c r="D240" s="124" t="s">
        <v>471</v>
      </c>
      <c r="E240" s="21">
        <v>0.99525551999999995</v>
      </c>
      <c r="F240" s="10"/>
      <c r="G240" s="14">
        <v>7000000</v>
      </c>
      <c r="H240" s="14">
        <v>6966788.6100000003</v>
      </c>
      <c r="I240" s="14">
        <v>7000000</v>
      </c>
      <c r="J240" s="14">
        <v>6966788.6100000003</v>
      </c>
      <c r="K240" s="12">
        <v>90000069</v>
      </c>
      <c r="L240" s="10" t="s">
        <v>101</v>
      </c>
      <c r="M240" s="10" t="s">
        <v>102</v>
      </c>
      <c r="N240" s="124" t="s">
        <v>365</v>
      </c>
      <c r="O240" s="124" t="s">
        <v>365</v>
      </c>
      <c r="P240" s="21">
        <v>29</v>
      </c>
      <c r="Q240" s="10" t="s">
        <v>54</v>
      </c>
      <c r="R240" s="10" t="s">
        <v>28</v>
      </c>
      <c r="S240" s="10"/>
      <c r="T240" s="10"/>
      <c r="U240" s="10" t="s">
        <v>1327</v>
      </c>
      <c r="V240" s="10" t="s">
        <v>1327</v>
      </c>
      <c r="W240" s="50">
        <f>+J240/$W$2</f>
        <v>8.5264057876334397E-5</v>
      </c>
    </row>
    <row r="241" spans="1:29">
      <c r="A241" s="10" t="s">
        <v>334</v>
      </c>
      <c r="B241" s="10" t="s">
        <v>358</v>
      </c>
      <c r="C241" s="124">
        <v>46330</v>
      </c>
      <c r="D241" s="124" t="s">
        <v>471</v>
      </c>
      <c r="E241" s="21">
        <v>0.99411702000000002</v>
      </c>
      <c r="F241" s="10"/>
      <c r="G241" s="14">
        <v>3256800.5</v>
      </c>
      <c r="H241" s="14">
        <v>3237640.8</v>
      </c>
      <c r="I241" s="14">
        <v>3256800.5</v>
      </c>
      <c r="J241" s="14">
        <v>3237640.8</v>
      </c>
      <c r="K241" s="12">
        <v>3577</v>
      </c>
      <c r="L241" s="10" t="s">
        <v>101</v>
      </c>
      <c r="M241" s="10" t="s">
        <v>102</v>
      </c>
      <c r="N241" s="124" t="s">
        <v>478</v>
      </c>
      <c r="O241" s="124" t="s">
        <v>478</v>
      </c>
      <c r="P241" s="21">
        <v>36</v>
      </c>
      <c r="Q241" s="10" t="s">
        <v>54</v>
      </c>
      <c r="R241" s="10" t="s">
        <v>28</v>
      </c>
      <c r="S241" s="10"/>
      <c r="T241" s="10"/>
      <c r="U241" s="10" t="s">
        <v>2170</v>
      </c>
      <c r="V241" s="10" t="s">
        <v>2170</v>
      </c>
      <c r="W241" s="50">
        <f>+J241/$W$2</f>
        <v>3.9624338846414569E-5</v>
      </c>
      <c r="AC241" s="47"/>
    </row>
    <row r="242" spans="1:29">
      <c r="A242" s="10" t="s">
        <v>334</v>
      </c>
      <c r="B242" s="10" t="s">
        <v>358</v>
      </c>
      <c r="C242" s="124">
        <v>46330</v>
      </c>
      <c r="D242" s="124" t="s">
        <v>471</v>
      </c>
      <c r="E242" s="21">
        <v>0.99427949000000004</v>
      </c>
      <c r="F242" s="10"/>
      <c r="G242" s="14">
        <v>3789564.21</v>
      </c>
      <c r="H242" s="14">
        <v>3767885.98</v>
      </c>
      <c r="I242" s="14">
        <v>3789564.21</v>
      </c>
      <c r="J242" s="14">
        <v>3767885.98</v>
      </c>
      <c r="K242" s="12">
        <v>3269</v>
      </c>
      <c r="L242" s="10" t="s">
        <v>101</v>
      </c>
      <c r="M242" s="10" t="s">
        <v>102</v>
      </c>
      <c r="N242" s="124" t="s">
        <v>477</v>
      </c>
      <c r="O242" s="124" t="s">
        <v>477</v>
      </c>
      <c r="P242" s="21">
        <v>35</v>
      </c>
      <c r="Q242" s="10" t="s">
        <v>54</v>
      </c>
      <c r="R242" s="10" t="s">
        <v>28</v>
      </c>
      <c r="S242" s="10"/>
      <c r="T242" s="10"/>
      <c r="U242" s="10" t="s">
        <v>2410</v>
      </c>
      <c r="V242" s="10" t="s">
        <v>2410</v>
      </c>
      <c r="W242" s="50">
        <f>+J242/$W$2</f>
        <v>4.6113821769905674E-5</v>
      </c>
    </row>
    <row r="243" spans="1:29">
      <c r="A243" s="10" t="s">
        <v>334</v>
      </c>
      <c r="B243" s="10" t="s">
        <v>358</v>
      </c>
      <c r="C243" s="124">
        <v>46330</v>
      </c>
      <c r="D243" s="124" t="s">
        <v>471</v>
      </c>
      <c r="E243" s="21">
        <v>0.99427949000000004</v>
      </c>
      <c r="F243" s="10"/>
      <c r="G243" s="14">
        <v>2510000.36</v>
      </c>
      <c r="H243" s="14">
        <v>2495641.87</v>
      </c>
      <c r="I243" s="14">
        <v>2510000.36</v>
      </c>
      <c r="J243" s="14">
        <v>2495641.87</v>
      </c>
      <c r="K243" s="12">
        <v>3157</v>
      </c>
      <c r="L243" s="10" t="s">
        <v>101</v>
      </c>
      <c r="M243" s="10" t="s">
        <v>102</v>
      </c>
      <c r="N243" s="124" t="s">
        <v>477</v>
      </c>
      <c r="O243" s="124" t="s">
        <v>477</v>
      </c>
      <c r="P243" s="21">
        <v>35</v>
      </c>
      <c r="Q243" s="10" t="s">
        <v>54</v>
      </c>
      <c r="R243" s="10" t="s">
        <v>28</v>
      </c>
      <c r="S243" s="10"/>
      <c r="T243" s="10"/>
      <c r="U243" s="10" t="s">
        <v>2411</v>
      </c>
      <c r="V243" s="10" t="s">
        <v>2411</v>
      </c>
      <c r="W243" s="50">
        <f>+J243/$W$2</f>
        <v>3.0543276788512089E-5</v>
      </c>
    </row>
    <row r="244" spans="1:29">
      <c r="A244" s="10" t="s">
        <v>945</v>
      </c>
      <c r="B244" s="10" t="s">
        <v>358</v>
      </c>
      <c r="C244" s="124">
        <v>46330</v>
      </c>
      <c r="D244" s="124" t="s">
        <v>471</v>
      </c>
      <c r="E244" s="21">
        <v>0.99395458999999997</v>
      </c>
      <c r="F244" s="10"/>
      <c r="G244" s="14">
        <v>68000000</v>
      </c>
      <c r="H244" s="14">
        <v>67588912.030000001</v>
      </c>
      <c r="I244" s="14">
        <v>68000000</v>
      </c>
      <c r="J244" s="14">
        <v>67588912.030000001</v>
      </c>
      <c r="K244" s="12">
        <v>29850239</v>
      </c>
      <c r="L244" s="10" t="s">
        <v>101</v>
      </c>
      <c r="M244" s="10" t="s">
        <v>102</v>
      </c>
      <c r="N244" s="124" t="s">
        <v>485</v>
      </c>
      <c r="O244" s="124" t="s">
        <v>485</v>
      </c>
      <c r="P244" s="21">
        <v>37</v>
      </c>
      <c r="Q244" s="10" t="s">
        <v>54</v>
      </c>
      <c r="R244" s="10" t="s">
        <v>28</v>
      </c>
      <c r="S244" s="10"/>
      <c r="T244" s="10"/>
      <c r="U244" s="10" t="s">
        <v>927</v>
      </c>
      <c r="V244" s="10" t="s">
        <v>927</v>
      </c>
      <c r="W244" s="50">
        <f>+J244/$W$2</f>
        <v>8.27196751578256E-4</v>
      </c>
    </row>
    <row r="245" spans="1:29">
      <c r="A245" s="10" t="s">
        <v>947</v>
      </c>
      <c r="B245" s="10" t="s">
        <v>358</v>
      </c>
      <c r="C245" s="124">
        <v>46330</v>
      </c>
      <c r="D245" s="124" t="s">
        <v>471</v>
      </c>
      <c r="E245" s="21">
        <v>0.99476726000000004</v>
      </c>
      <c r="F245" s="10"/>
      <c r="G245" s="14">
        <v>5444206</v>
      </c>
      <c r="H245" s="14">
        <v>5415717.9100000001</v>
      </c>
      <c r="I245" s="14">
        <v>5444206</v>
      </c>
      <c r="J245" s="14">
        <v>5415717.9100000001</v>
      </c>
      <c r="K245" s="12">
        <v>3446</v>
      </c>
      <c r="L245" s="10" t="s">
        <v>101</v>
      </c>
      <c r="M245" s="10" t="s">
        <v>102</v>
      </c>
      <c r="N245" s="124" t="s">
        <v>373</v>
      </c>
      <c r="O245" s="124" t="s">
        <v>373</v>
      </c>
      <c r="P245" s="21">
        <v>32</v>
      </c>
      <c r="Q245" s="10" t="s">
        <v>54</v>
      </c>
      <c r="R245" s="10" t="s">
        <v>28</v>
      </c>
      <c r="S245" s="10"/>
      <c r="T245" s="10"/>
      <c r="U245" s="10" t="s">
        <v>1163</v>
      </c>
      <c r="V245" s="10" t="s">
        <v>1163</v>
      </c>
      <c r="W245" s="50">
        <f>+J245/$W$2</f>
        <v>6.628105303171251E-5</v>
      </c>
    </row>
    <row r="246" spans="1:29">
      <c r="A246" s="10" t="s">
        <v>1176</v>
      </c>
      <c r="B246" s="10" t="s">
        <v>358</v>
      </c>
      <c r="C246" s="124">
        <v>46330</v>
      </c>
      <c r="D246" s="124" t="s">
        <v>471</v>
      </c>
      <c r="E246" s="21">
        <v>0.99476726999999998</v>
      </c>
      <c r="F246" s="10"/>
      <c r="G246" s="14">
        <v>6427534.4199999999</v>
      </c>
      <c r="H246" s="14">
        <v>6393900.8399999999</v>
      </c>
      <c r="I246" s="14">
        <v>6427534.4199999999</v>
      </c>
      <c r="J246" s="14">
        <v>6393900.8399999999</v>
      </c>
      <c r="K246" s="12">
        <v>68962809</v>
      </c>
      <c r="L246" s="10" t="s">
        <v>101</v>
      </c>
      <c r="M246" s="10" t="s">
        <v>102</v>
      </c>
      <c r="N246" s="124" t="s">
        <v>373</v>
      </c>
      <c r="O246" s="124" t="s">
        <v>373</v>
      </c>
      <c r="P246" s="21">
        <v>32</v>
      </c>
      <c r="Q246" s="10" t="s">
        <v>54</v>
      </c>
      <c r="R246" s="10" t="s">
        <v>28</v>
      </c>
      <c r="S246" s="10"/>
      <c r="T246" s="10"/>
      <c r="U246" s="10" t="s">
        <v>1171</v>
      </c>
      <c r="V246" s="10" t="s">
        <v>1171</v>
      </c>
      <c r="W246" s="50">
        <f>+J246/$W$2</f>
        <v>7.8252687399582672E-5</v>
      </c>
    </row>
    <row r="247" spans="1:29">
      <c r="A247" s="10" t="s">
        <v>1222</v>
      </c>
      <c r="B247" s="10" t="s">
        <v>358</v>
      </c>
      <c r="C247" s="124">
        <v>46330</v>
      </c>
      <c r="D247" s="124" t="s">
        <v>471</v>
      </c>
      <c r="E247" s="21">
        <v>0.99476724999999999</v>
      </c>
      <c r="F247" s="10"/>
      <c r="G247" s="14">
        <v>18999660.98</v>
      </c>
      <c r="H247" s="14">
        <v>18900240.579999998</v>
      </c>
      <c r="I247" s="14">
        <v>18999660.98</v>
      </c>
      <c r="J247" s="14">
        <v>18900240.579999998</v>
      </c>
      <c r="K247" s="12">
        <v>11972702</v>
      </c>
      <c r="L247" s="10" t="s">
        <v>101</v>
      </c>
      <c r="M247" s="10" t="s">
        <v>102</v>
      </c>
      <c r="N247" s="124" t="s">
        <v>479</v>
      </c>
      <c r="O247" s="124" t="s">
        <v>479</v>
      </c>
      <c r="P247" s="21">
        <v>32</v>
      </c>
      <c r="Q247" s="10" t="s">
        <v>54</v>
      </c>
      <c r="R247" s="10" t="s">
        <v>28</v>
      </c>
      <c r="S247" s="10"/>
      <c r="T247" s="10"/>
      <c r="U247" s="10" t="s">
        <v>1219</v>
      </c>
      <c r="V247" s="10" t="s">
        <v>1219</v>
      </c>
      <c r="W247" s="50">
        <f>+J247/$W$2</f>
        <v>2.3131334922041845E-4</v>
      </c>
    </row>
    <row r="248" spans="1:29">
      <c r="A248" s="10" t="s">
        <v>1222</v>
      </c>
      <c r="B248" s="10" t="s">
        <v>358</v>
      </c>
      <c r="C248" s="124">
        <v>46330</v>
      </c>
      <c r="D248" s="124" t="s">
        <v>471</v>
      </c>
      <c r="E248" s="21">
        <v>0.99476726000000004</v>
      </c>
      <c r="F248" s="10"/>
      <c r="G248" s="14">
        <v>1650365.38</v>
      </c>
      <c r="H248" s="14">
        <v>1641729.44</v>
      </c>
      <c r="I248" s="14">
        <v>1650365.38</v>
      </c>
      <c r="J248" s="14">
        <v>1641729.44</v>
      </c>
      <c r="K248" s="12">
        <v>11996325</v>
      </c>
      <c r="L248" s="10" t="s">
        <v>101</v>
      </c>
      <c r="M248" s="10" t="s">
        <v>102</v>
      </c>
      <c r="N248" s="124" t="s">
        <v>479</v>
      </c>
      <c r="O248" s="124" t="s">
        <v>479</v>
      </c>
      <c r="P248" s="21">
        <v>32</v>
      </c>
      <c r="Q248" s="10" t="s">
        <v>54</v>
      </c>
      <c r="R248" s="10" t="s">
        <v>28</v>
      </c>
      <c r="S248" s="10"/>
      <c r="T248" s="10"/>
      <c r="U248" s="10" t="s">
        <v>1220</v>
      </c>
      <c r="V248" s="10" t="s">
        <v>1220</v>
      </c>
      <c r="W248" s="50">
        <f>+J248/$W$2</f>
        <v>2.0092545048448375E-5</v>
      </c>
    </row>
    <row r="249" spans="1:29">
      <c r="A249" s="10" t="s">
        <v>1239</v>
      </c>
      <c r="B249" s="10" t="s">
        <v>358</v>
      </c>
      <c r="C249" s="124">
        <v>46330</v>
      </c>
      <c r="D249" s="124" t="s">
        <v>471</v>
      </c>
      <c r="E249" s="21">
        <v>0.99493001000000003</v>
      </c>
      <c r="F249" s="10"/>
      <c r="G249" s="14">
        <v>25000000</v>
      </c>
      <c r="H249" s="14">
        <v>24873250.219999999</v>
      </c>
      <c r="I249" s="14">
        <v>25000000</v>
      </c>
      <c r="J249" s="14">
        <v>24873250.219999999</v>
      </c>
      <c r="K249" s="12">
        <v>175</v>
      </c>
      <c r="L249" s="10" t="s">
        <v>101</v>
      </c>
      <c r="M249" s="10" t="s">
        <v>102</v>
      </c>
      <c r="N249" s="124" t="s">
        <v>465</v>
      </c>
      <c r="O249" s="124" t="s">
        <v>465</v>
      </c>
      <c r="P249" s="21">
        <v>31</v>
      </c>
      <c r="Q249" s="10" t="s">
        <v>54</v>
      </c>
      <c r="R249" s="10" t="s">
        <v>28</v>
      </c>
      <c r="S249" s="10"/>
      <c r="T249" s="10"/>
      <c r="U249" s="10" t="s">
        <v>2973</v>
      </c>
      <c r="V249" s="10" t="s">
        <v>2973</v>
      </c>
      <c r="W249" s="50">
        <f>+J249/$W$2</f>
        <v>3.0441489832007791E-4</v>
      </c>
    </row>
    <row r="250" spans="1:29">
      <c r="A250" s="10" t="s">
        <v>1371</v>
      </c>
      <c r="B250" s="10" t="s">
        <v>358</v>
      </c>
      <c r="C250" s="124">
        <v>46330</v>
      </c>
      <c r="D250" s="124" t="s">
        <v>471</v>
      </c>
      <c r="E250" s="21">
        <v>0.99492997000000005</v>
      </c>
      <c r="F250" s="10"/>
      <c r="G250" s="14">
        <v>8523310</v>
      </c>
      <c r="H250" s="14">
        <v>8480096.5500000007</v>
      </c>
      <c r="I250" s="14">
        <v>8523310</v>
      </c>
      <c r="J250" s="14">
        <v>8480096.5500000007</v>
      </c>
      <c r="K250" s="12">
        <v>13680133</v>
      </c>
      <c r="L250" s="10" t="s">
        <v>101</v>
      </c>
      <c r="M250" s="10" t="s">
        <v>102</v>
      </c>
      <c r="N250" s="124" t="s">
        <v>365</v>
      </c>
      <c r="O250" s="124" t="s">
        <v>365</v>
      </c>
      <c r="P250" s="21">
        <v>31</v>
      </c>
      <c r="Q250" s="10" t="s">
        <v>54</v>
      </c>
      <c r="R250" s="10" t="s">
        <v>28</v>
      </c>
      <c r="S250" s="10"/>
      <c r="T250" s="10"/>
      <c r="U250" s="10" t="s">
        <v>1358</v>
      </c>
      <c r="V250" s="10" t="s">
        <v>1358</v>
      </c>
      <c r="W250" s="50">
        <f>+J250/$W$2</f>
        <v>1.037848976784303E-4</v>
      </c>
    </row>
    <row r="251" spans="1:29">
      <c r="A251" s="10" t="s">
        <v>318</v>
      </c>
      <c r="B251" s="10" t="s">
        <v>358</v>
      </c>
      <c r="C251" s="124">
        <v>46330</v>
      </c>
      <c r="D251" s="124" t="s">
        <v>471</v>
      </c>
      <c r="E251" s="21">
        <v>0.99476724999999999</v>
      </c>
      <c r="F251" s="10"/>
      <c r="G251" s="14">
        <v>40000000</v>
      </c>
      <c r="H251" s="14">
        <v>39790690.100000001</v>
      </c>
      <c r="I251" s="14">
        <v>40000000</v>
      </c>
      <c r="J251" s="14">
        <v>39790690.100000001</v>
      </c>
      <c r="K251" s="12">
        <v>13953435</v>
      </c>
      <c r="L251" s="10" t="s">
        <v>101</v>
      </c>
      <c r="M251" s="10" t="s">
        <v>102</v>
      </c>
      <c r="N251" s="124" t="s">
        <v>371</v>
      </c>
      <c r="O251" s="124" t="s">
        <v>371</v>
      </c>
      <c r="P251" s="21">
        <v>32</v>
      </c>
      <c r="Q251" s="10" t="s">
        <v>54</v>
      </c>
      <c r="R251" s="10" t="s">
        <v>28</v>
      </c>
      <c r="S251" s="10"/>
      <c r="T251" s="10"/>
      <c r="U251" s="10" t="s">
        <v>686</v>
      </c>
      <c r="V251" s="10" t="s">
        <v>686</v>
      </c>
      <c r="W251" s="50">
        <f>+J251/$W$2</f>
        <v>4.869841606440942E-4</v>
      </c>
    </row>
    <row r="252" spans="1:29">
      <c r="A252" s="10" t="s">
        <v>641</v>
      </c>
      <c r="B252" s="10" t="s">
        <v>358</v>
      </c>
      <c r="C252" s="124">
        <v>46330</v>
      </c>
      <c r="D252" s="124" t="s">
        <v>471</v>
      </c>
      <c r="E252" s="21">
        <v>0.99509270000000005</v>
      </c>
      <c r="F252" s="10"/>
      <c r="G252" s="14">
        <v>10900000</v>
      </c>
      <c r="H252" s="14">
        <v>10846510.48</v>
      </c>
      <c r="I252" s="14">
        <v>10900000</v>
      </c>
      <c r="J252" s="14">
        <v>10846510.48</v>
      </c>
      <c r="K252" s="12">
        <v>237</v>
      </c>
      <c r="L252" s="10" t="s">
        <v>101</v>
      </c>
      <c r="M252" s="10" t="s">
        <v>102</v>
      </c>
      <c r="N252" s="124" t="s">
        <v>317</v>
      </c>
      <c r="O252" s="124" t="s">
        <v>317</v>
      </c>
      <c r="P252" s="21">
        <v>30</v>
      </c>
      <c r="Q252" s="10" t="s">
        <v>54</v>
      </c>
      <c r="R252" s="10" t="s">
        <v>28</v>
      </c>
      <c r="S252" s="10"/>
      <c r="T252" s="10"/>
      <c r="U252" s="10" t="s">
        <v>637</v>
      </c>
      <c r="V252" s="10" t="s">
        <v>637</v>
      </c>
      <c r="W252" s="50">
        <f>+J252/$W$2</f>
        <v>1.3274659948710394E-4</v>
      </c>
    </row>
    <row r="253" spans="1:29">
      <c r="A253" s="10" t="s">
        <v>832</v>
      </c>
      <c r="B253" s="10" t="s">
        <v>358</v>
      </c>
      <c r="C253" s="124">
        <v>46330</v>
      </c>
      <c r="D253" s="124" t="s">
        <v>471</v>
      </c>
      <c r="E253" s="21">
        <v>0.99558137000000002</v>
      </c>
      <c r="F253" s="10"/>
      <c r="G253" s="14">
        <v>48904.31</v>
      </c>
      <c r="H253" s="14">
        <v>48688.22</v>
      </c>
      <c r="I253" s="14">
        <v>48904.31</v>
      </c>
      <c r="J253" s="14">
        <v>48688.22</v>
      </c>
      <c r="K253" s="12">
        <v>30097747</v>
      </c>
      <c r="L253" s="10" t="s">
        <v>101</v>
      </c>
      <c r="M253" s="10" t="s">
        <v>102</v>
      </c>
      <c r="N253" s="124" t="s">
        <v>162</v>
      </c>
      <c r="O253" s="124" t="s">
        <v>162</v>
      </c>
      <c r="P253" s="21">
        <v>27</v>
      </c>
      <c r="Q253" s="10" t="s">
        <v>54</v>
      </c>
      <c r="R253" s="10" t="s">
        <v>28</v>
      </c>
      <c r="S253" s="10"/>
      <c r="T253" s="10"/>
      <c r="U253" s="10" t="s">
        <v>1303</v>
      </c>
      <c r="V253" s="10" t="s">
        <v>1303</v>
      </c>
      <c r="W253" s="50">
        <f>+J253/$W$2</f>
        <v>5.9587787722120963E-7</v>
      </c>
    </row>
    <row r="254" spans="1:29">
      <c r="A254" s="10" t="s">
        <v>832</v>
      </c>
      <c r="B254" s="10" t="s">
        <v>358</v>
      </c>
      <c r="C254" s="124">
        <v>46330</v>
      </c>
      <c r="D254" s="124" t="s">
        <v>471</v>
      </c>
      <c r="E254" s="21">
        <v>0.99582572000000003</v>
      </c>
      <c r="F254" s="10"/>
      <c r="G254" s="14">
        <v>4981378.5599999996</v>
      </c>
      <c r="H254" s="14">
        <v>4960584.88</v>
      </c>
      <c r="I254" s="14">
        <v>4981378.5599999996</v>
      </c>
      <c r="J254" s="14">
        <v>4960584.88</v>
      </c>
      <c r="K254" s="12">
        <v>30098403</v>
      </c>
      <c r="L254" s="10" t="s">
        <v>101</v>
      </c>
      <c r="M254" s="10" t="s">
        <v>102</v>
      </c>
      <c r="N254" s="124" t="s">
        <v>396</v>
      </c>
      <c r="O254" s="124" t="s">
        <v>396</v>
      </c>
      <c r="P254" s="21">
        <v>25.5</v>
      </c>
      <c r="Q254" s="10" t="s">
        <v>54</v>
      </c>
      <c r="R254" s="10" t="s">
        <v>28</v>
      </c>
      <c r="S254" s="10"/>
      <c r="T254" s="10"/>
      <c r="U254" s="10" t="s">
        <v>1389</v>
      </c>
      <c r="V254" s="10" t="s">
        <v>1389</v>
      </c>
      <c r="W254" s="50">
        <f>+J254/$W$2</f>
        <v>6.0710841104275916E-5</v>
      </c>
    </row>
    <row r="255" spans="1:29">
      <c r="A255" s="10" t="s">
        <v>1596</v>
      </c>
      <c r="B255" s="10" t="s">
        <v>358</v>
      </c>
      <c r="C255" s="124">
        <v>46330</v>
      </c>
      <c r="D255" s="124" t="s">
        <v>471</v>
      </c>
      <c r="E255" s="21">
        <v>0.99509270000000005</v>
      </c>
      <c r="F255" s="10"/>
      <c r="G255" s="14">
        <v>5577023.0199999996</v>
      </c>
      <c r="H255" s="14">
        <v>5549654.9000000004</v>
      </c>
      <c r="I255" s="14">
        <v>5577023.0199999996</v>
      </c>
      <c r="J255" s="14">
        <v>5549654.9000000004</v>
      </c>
      <c r="K255" s="12">
        <v>90017210</v>
      </c>
      <c r="L255" s="10" t="s">
        <v>101</v>
      </c>
      <c r="M255" s="10" t="s">
        <v>102</v>
      </c>
      <c r="N255" s="124" t="s">
        <v>487</v>
      </c>
      <c r="O255" s="124" t="s">
        <v>487</v>
      </c>
      <c r="P255" s="21">
        <v>30</v>
      </c>
      <c r="Q255" s="10" t="s">
        <v>54</v>
      </c>
      <c r="R255" s="10" t="s">
        <v>28</v>
      </c>
      <c r="S255" s="10"/>
      <c r="T255" s="10"/>
      <c r="U255" s="10" t="s">
        <v>1592</v>
      </c>
      <c r="V255" s="10" t="s">
        <v>1592</v>
      </c>
      <c r="W255" s="50">
        <f>+J255/$W$2</f>
        <v>6.7920260406362855E-5</v>
      </c>
    </row>
    <row r="256" spans="1:29">
      <c r="A256" s="10" t="s">
        <v>364</v>
      </c>
      <c r="B256" s="10" t="s">
        <v>358</v>
      </c>
      <c r="C256" s="124">
        <v>46330</v>
      </c>
      <c r="D256" s="124" t="s">
        <v>471</v>
      </c>
      <c r="E256" s="21">
        <v>0.99476726000000004</v>
      </c>
      <c r="F256" s="10"/>
      <c r="G256" s="14">
        <v>11829797.539999999</v>
      </c>
      <c r="H256" s="14">
        <v>11767895.23</v>
      </c>
      <c r="I256" s="14">
        <v>11829797.539999999</v>
      </c>
      <c r="J256" s="14">
        <v>11767895.23</v>
      </c>
      <c r="K256" s="12">
        <v>30890</v>
      </c>
      <c r="L256" s="10" t="s">
        <v>101</v>
      </c>
      <c r="M256" s="10" t="s">
        <v>102</v>
      </c>
      <c r="N256" s="124" t="s">
        <v>346</v>
      </c>
      <c r="O256" s="124" t="s">
        <v>346</v>
      </c>
      <c r="P256" s="21">
        <v>32</v>
      </c>
      <c r="Q256" s="10" t="s">
        <v>54</v>
      </c>
      <c r="R256" s="10" t="s">
        <v>28</v>
      </c>
      <c r="S256" s="10"/>
      <c r="T256" s="10"/>
      <c r="U256" s="10" t="s">
        <v>774</v>
      </c>
      <c r="V256" s="10" t="s">
        <v>774</v>
      </c>
      <c r="W256" s="50">
        <f>+J256/$W$2</f>
        <v>1.440231010501924E-4</v>
      </c>
    </row>
    <row r="257" spans="1:29">
      <c r="A257" s="10" t="s">
        <v>364</v>
      </c>
      <c r="B257" s="10" t="s">
        <v>358</v>
      </c>
      <c r="C257" s="124">
        <v>46330</v>
      </c>
      <c r="D257" s="124" t="s">
        <v>471</v>
      </c>
      <c r="E257" s="21">
        <v>0.99476726000000004</v>
      </c>
      <c r="F257" s="10"/>
      <c r="G257" s="14">
        <v>16498838.289999999</v>
      </c>
      <c r="H257" s="14">
        <v>16412504.09</v>
      </c>
      <c r="I257" s="14">
        <v>16498838.289999999</v>
      </c>
      <c r="J257" s="14">
        <v>16412504.09</v>
      </c>
      <c r="K257" s="12">
        <v>30846</v>
      </c>
      <c r="L257" s="10" t="s">
        <v>101</v>
      </c>
      <c r="M257" s="10" t="s">
        <v>102</v>
      </c>
      <c r="N257" s="124" t="s">
        <v>346</v>
      </c>
      <c r="O257" s="124" t="s">
        <v>346</v>
      </c>
      <c r="P257" s="21">
        <v>32</v>
      </c>
      <c r="Q257" s="10" t="s">
        <v>54</v>
      </c>
      <c r="R257" s="10" t="s">
        <v>28</v>
      </c>
      <c r="S257" s="10"/>
      <c r="T257" s="10"/>
      <c r="U257" s="10" t="s">
        <v>775</v>
      </c>
      <c r="V257" s="10" t="s">
        <v>775</v>
      </c>
      <c r="W257" s="50">
        <f>+J257/$W$2</f>
        <v>2.0086682357731747E-4</v>
      </c>
    </row>
    <row r="258" spans="1:29">
      <c r="A258" s="10" t="s">
        <v>364</v>
      </c>
      <c r="B258" s="10" t="s">
        <v>358</v>
      </c>
      <c r="C258" s="124">
        <v>46330</v>
      </c>
      <c r="D258" s="124" t="s">
        <v>471</v>
      </c>
      <c r="E258" s="21">
        <v>0.99476726000000004</v>
      </c>
      <c r="F258" s="10"/>
      <c r="G258" s="14">
        <v>11490967.4</v>
      </c>
      <c r="H258" s="14">
        <v>11430838.1</v>
      </c>
      <c r="I258" s="14">
        <v>11490967.4</v>
      </c>
      <c r="J258" s="14">
        <v>11430838.1</v>
      </c>
      <c r="K258" s="12">
        <v>30900</v>
      </c>
      <c r="L258" s="10" t="s">
        <v>101</v>
      </c>
      <c r="M258" s="10" t="s">
        <v>102</v>
      </c>
      <c r="N258" s="124" t="s">
        <v>346</v>
      </c>
      <c r="O258" s="124" t="s">
        <v>346</v>
      </c>
      <c r="P258" s="21">
        <v>32</v>
      </c>
      <c r="Q258" s="10" t="s">
        <v>54</v>
      </c>
      <c r="R258" s="10" t="s">
        <v>28</v>
      </c>
      <c r="S258" s="10"/>
      <c r="T258" s="10"/>
      <c r="U258" s="10" t="s">
        <v>776</v>
      </c>
      <c r="V258" s="10" t="s">
        <v>776</v>
      </c>
      <c r="W258" s="50">
        <f>+J258/$W$2</f>
        <v>1.3989797823554291E-4</v>
      </c>
    </row>
    <row r="259" spans="1:29">
      <c r="A259" s="10" t="s">
        <v>364</v>
      </c>
      <c r="B259" s="10" t="s">
        <v>358</v>
      </c>
      <c r="C259" s="124">
        <v>46330</v>
      </c>
      <c r="D259" s="124" t="s">
        <v>471</v>
      </c>
      <c r="E259" s="21">
        <v>0.99476726000000004</v>
      </c>
      <c r="F259" s="10"/>
      <c r="G259" s="14">
        <v>9142894.3200000003</v>
      </c>
      <c r="H259" s="14">
        <v>9095051.8900000006</v>
      </c>
      <c r="I259" s="14">
        <v>9142894.3200000003</v>
      </c>
      <c r="J259" s="14">
        <v>9095051.8900000006</v>
      </c>
      <c r="K259" s="12">
        <v>9933024</v>
      </c>
      <c r="L259" s="10" t="s">
        <v>101</v>
      </c>
      <c r="M259" s="10" t="s">
        <v>102</v>
      </c>
      <c r="N259" s="124" t="s">
        <v>346</v>
      </c>
      <c r="O259" s="124" t="s">
        <v>346</v>
      </c>
      <c r="P259" s="21">
        <v>32</v>
      </c>
      <c r="Q259" s="10" t="s">
        <v>54</v>
      </c>
      <c r="R259" s="10" t="s">
        <v>28</v>
      </c>
      <c r="S259" s="10"/>
      <c r="T259" s="10"/>
      <c r="U259" s="10" t="s">
        <v>780</v>
      </c>
      <c r="V259" s="10" t="s">
        <v>780</v>
      </c>
      <c r="W259" s="50">
        <f>+J259/$W$2</f>
        <v>1.1131111824235823E-4</v>
      </c>
    </row>
    <row r="260" spans="1:29">
      <c r="A260" s="10" t="s">
        <v>495</v>
      </c>
      <c r="B260" s="10" t="s">
        <v>358</v>
      </c>
      <c r="C260" s="124">
        <v>46330</v>
      </c>
      <c r="D260" s="124" t="s">
        <v>471</v>
      </c>
      <c r="E260" s="21">
        <v>0.99476724999999999</v>
      </c>
      <c r="F260" s="10"/>
      <c r="G260" s="14">
        <v>50000000</v>
      </c>
      <c r="H260" s="14">
        <v>49738362.719999999</v>
      </c>
      <c r="I260" s="14">
        <v>50000000</v>
      </c>
      <c r="J260" s="14">
        <v>49738362.719999999</v>
      </c>
      <c r="K260" s="12">
        <v>6694</v>
      </c>
      <c r="L260" s="10" t="s">
        <v>101</v>
      </c>
      <c r="M260" s="10" t="s">
        <v>102</v>
      </c>
      <c r="N260" s="124" t="s">
        <v>479</v>
      </c>
      <c r="O260" s="124" t="s">
        <v>479</v>
      </c>
      <c r="P260" s="21">
        <v>32</v>
      </c>
      <c r="Q260" s="10" t="s">
        <v>54</v>
      </c>
      <c r="R260" s="10" t="s">
        <v>28</v>
      </c>
      <c r="S260" s="10"/>
      <c r="T260" s="10"/>
      <c r="U260" s="10" t="s">
        <v>1190</v>
      </c>
      <c r="V260" s="10" t="s">
        <v>1190</v>
      </c>
      <c r="W260" s="50">
        <f>+J260/$W$2</f>
        <v>6.087302019677891E-4</v>
      </c>
    </row>
    <row r="261" spans="1:29">
      <c r="A261" s="10" t="s">
        <v>495</v>
      </c>
      <c r="B261" s="10" t="s">
        <v>358</v>
      </c>
      <c r="C261" s="124">
        <v>46330</v>
      </c>
      <c r="D261" s="124" t="s">
        <v>471</v>
      </c>
      <c r="E261" s="21">
        <v>0.99476724999999999</v>
      </c>
      <c r="F261" s="10"/>
      <c r="G261" s="14">
        <v>50000000</v>
      </c>
      <c r="H261" s="14">
        <v>49738362.719999999</v>
      </c>
      <c r="I261" s="14">
        <v>50000000</v>
      </c>
      <c r="J261" s="14">
        <v>49738362.719999999</v>
      </c>
      <c r="K261" s="12">
        <v>6695</v>
      </c>
      <c r="L261" s="10" t="s">
        <v>101</v>
      </c>
      <c r="M261" s="10" t="s">
        <v>102</v>
      </c>
      <c r="N261" s="124" t="s">
        <v>479</v>
      </c>
      <c r="O261" s="124" t="s">
        <v>479</v>
      </c>
      <c r="P261" s="21">
        <v>32</v>
      </c>
      <c r="Q261" s="10" t="s">
        <v>54</v>
      </c>
      <c r="R261" s="10" t="s">
        <v>28</v>
      </c>
      <c r="S261" s="10"/>
      <c r="T261" s="10"/>
      <c r="U261" s="10" t="s">
        <v>1192</v>
      </c>
      <c r="V261" s="10" t="s">
        <v>1192</v>
      </c>
      <c r="W261" s="50">
        <f>+J261/$W$2</f>
        <v>6.087302019677891E-4</v>
      </c>
    </row>
    <row r="262" spans="1:29">
      <c r="A262" s="10" t="s">
        <v>520</v>
      </c>
      <c r="B262" s="10" t="s">
        <v>358</v>
      </c>
      <c r="C262" s="124">
        <v>46330</v>
      </c>
      <c r="D262" s="124" t="s">
        <v>471</v>
      </c>
      <c r="E262" s="21">
        <v>0.99444204000000003</v>
      </c>
      <c r="F262" s="10"/>
      <c r="G262" s="14">
        <v>6200000</v>
      </c>
      <c r="H262" s="14">
        <v>6165540.6399999997</v>
      </c>
      <c r="I262" s="14">
        <v>6200000</v>
      </c>
      <c r="J262" s="14">
        <v>6165540.6399999997</v>
      </c>
      <c r="K262" s="12">
        <v>69261880</v>
      </c>
      <c r="L262" s="10" t="s">
        <v>101</v>
      </c>
      <c r="M262" s="10" t="s">
        <v>102</v>
      </c>
      <c r="N262" s="124" t="s">
        <v>373</v>
      </c>
      <c r="O262" s="124" t="s">
        <v>373</v>
      </c>
      <c r="P262" s="21">
        <v>34</v>
      </c>
      <c r="Q262" s="10" t="s">
        <v>54</v>
      </c>
      <c r="R262" s="10" t="s">
        <v>28</v>
      </c>
      <c r="S262" s="10"/>
      <c r="T262" s="10"/>
      <c r="U262" s="10" t="s">
        <v>1155</v>
      </c>
      <c r="V262" s="10" t="s">
        <v>1155</v>
      </c>
      <c r="W262" s="50">
        <f>+J262/$W$2</f>
        <v>7.5457867806305053E-5</v>
      </c>
    </row>
    <row r="263" spans="1:29">
      <c r="A263" s="10" t="s">
        <v>525</v>
      </c>
      <c r="B263" s="10" t="s">
        <v>358</v>
      </c>
      <c r="C263" s="124">
        <v>46330</v>
      </c>
      <c r="D263" s="124" t="s">
        <v>471</v>
      </c>
      <c r="E263" s="21">
        <v>0.99460462999999999</v>
      </c>
      <c r="F263" s="10"/>
      <c r="G263" s="14">
        <v>1300000</v>
      </c>
      <c r="H263" s="14">
        <v>1292986.02</v>
      </c>
      <c r="I263" s="14">
        <v>1300000</v>
      </c>
      <c r="J263" s="14">
        <v>1292986.02</v>
      </c>
      <c r="K263" s="12">
        <v>553</v>
      </c>
      <c r="L263" s="10" t="s">
        <v>101</v>
      </c>
      <c r="M263" s="10" t="s">
        <v>102</v>
      </c>
      <c r="N263" s="124" t="s">
        <v>162</v>
      </c>
      <c r="O263" s="124" t="s">
        <v>162</v>
      </c>
      <c r="P263" s="21">
        <v>33</v>
      </c>
      <c r="Q263" s="10" t="s">
        <v>54</v>
      </c>
      <c r="R263" s="10" t="s">
        <v>28</v>
      </c>
      <c r="S263" s="10"/>
      <c r="T263" s="10"/>
      <c r="U263" s="10" t="s">
        <v>1263</v>
      </c>
      <c r="V263" s="10" t="s">
        <v>1263</v>
      </c>
      <c r="W263" s="50">
        <f>+J263/$W$2</f>
        <v>1.582439787025076E-5</v>
      </c>
      <c r="AC263" s="47"/>
    </row>
    <row r="264" spans="1:29">
      <c r="A264" s="10" t="s">
        <v>525</v>
      </c>
      <c r="B264" s="10" t="s">
        <v>358</v>
      </c>
      <c r="C264" s="124">
        <v>46330</v>
      </c>
      <c r="D264" s="124" t="s">
        <v>471</v>
      </c>
      <c r="E264" s="21">
        <v>0.99460462999999999</v>
      </c>
      <c r="F264" s="10"/>
      <c r="G264" s="14">
        <v>1300000</v>
      </c>
      <c r="H264" s="14">
        <v>1292986.02</v>
      </c>
      <c r="I264" s="14">
        <v>1300000</v>
      </c>
      <c r="J264" s="14">
        <v>1292986.02</v>
      </c>
      <c r="K264" s="12">
        <v>554</v>
      </c>
      <c r="L264" s="10" t="s">
        <v>101</v>
      </c>
      <c r="M264" s="10" t="s">
        <v>102</v>
      </c>
      <c r="N264" s="124" t="s">
        <v>162</v>
      </c>
      <c r="O264" s="124" t="s">
        <v>162</v>
      </c>
      <c r="P264" s="21">
        <v>33</v>
      </c>
      <c r="Q264" s="10" t="s">
        <v>54</v>
      </c>
      <c r="R264" s="10" t="s">
        <v>28</v>
      </c>
      <c r="S264" s="10"/>
      <c r="T264" s="10"/>
      <c r="U264" s="10" t="s">
        <v>1266</v>
      </c>
      <c r="V264" s="10" t="s">
        <v>1266</v>
      </c>
      <c r="W264" s="50">
        <f>+J264/$W$2</f>
        <v>1.582439787025076E-5</v>
      </c>
      <c r="AC264" s="47"/>
    </row>
    <row r="265" spans="1:29">
      <c r="A265" s="10" t="s">
        <v>527</v>
      </c>
      <c r="B265" s="10" t="s">
        <v>358</v>
      </c>
      <c r="C265" s="124">
        <v>46330</v>
      </c>
      <c r="D265" s="124" t="s">
        <v>471</v>
      </c>
      <c r="E265" s="21">
        <v>0.99476726000000004</v>
      </c>
      <c r="F265" s="10"/>
      <c r="G265" s="14">
        <v>2558197.12</v>
      </c>
      <c r="H265" s="14">
        <v>2544810.75</v>
      </c>
      <c r="I265" s="14">
        <v>2558197.12</v>
      </c>
      <c r="J265" s="14">
        <v>2544810.75</v>
      </c>
      <c r="K265" s="12">
        <v>356</v>
      </c>
      <c r="L265" s="10" t="s">
        <v>101</v>
      </c>
      <c r="M265" s="10" t="s">
        <v>102</v>
      </c>
      <c r="N265" s="124" t="s">
        <v>309</v>
      </c>
      <c r="O265" s="124" t="s">
        <v>309</v>
      </c>
      <c r="P265" s="21">
        <v>32</v>
      </c>
      <c r="Q265" s="10" t="s">
        <v>54</v>
      </c>
      <c r="R265" s="10" t="s">
        <v>28</v>
      </c>
      <c r="S265" s="10"/>
      <c r="T265" s="10"/>
      <c r="U265" s="10" t="s">
        <v>870</v>
      </c>
      <c r="V265" s="10" t="s">
        <v>870</v>
      </c>
      <c r="W265" s="50">
        <f>+J265/$W$2</f>
        <v>3.1145037293203865E-5</v>
      </c>
    </row>
    <row r="266" spans="1:29">
      <c r="A266" s="10" t="s">
        <v>582</v>
      </c>
      <c r="B266" s="10" t="s">
        <v>358</v>
      </c>
      <c r="C266" s="124">
        <v>46330</v>
      </c>
      <c r="D266" s="124" t="s">
        <v>471</v>
      </c>
      <c r="E266" s="21">
        <v>0.99411700999999997</v>
      </c>
      <c r="F266" s="10"/>
      <c r="G266" s="14">
        <v>20408241.140000001</v>
      </c>
      <c r="H266" s="14">
        <v>20288179.66</v>
      </c>
      <c r="I266" s="14">
        <v>20408241.140000001</v>
      </c>
      <c r="J266" s="14">
        <v>20288179.66</v>
      </c>
      <c r="K266" s="12">
        <v>67998060</v>
      </c>
      <c r="L266" s="10" t="s">
        <v>101</v>
      </c>
      <c r="M266" s="10" t="s">
        <v>102</v>
      </c>
      <c r="N266" s="124" t="s">
        <v>155</v>
      </c>
      <c r="O266" s="124" t="s">
        <v>155</v>
      </c>
      <c r="P266" s="21">
        <v>36</v>
      </c>
      <c r="Q266" s="10" t="s">
        <v>54</v>
      </c>
      <c r="R266" s="10" t="s">
        <v>28</v>
      </c>
      <c r="S266" s="10"/>
      <c r="T266" s="10"/>
      <c r="U266" s="10" t="s">
        <v>612</v>
      </c>
      <c r="V266" s="10" t="s">
        <v>612</v>
      </c>
      <c r="W266" s="50">
        <f>+J266/$W$2</f>
        <v>2.4829984395575197E-4</v>
      </c>
    </row>
    <row r="267" spans="1:29">
      <c r="A267" s="10" t="s">
        <v>781</v>
      </c>
      <c r="B267" s="10" t="s">
        <v>358</v>
      </c>
      <c r="C267" s="124">
        <v>46330</v>
      </c>
      <c r="D267" s="124" t="s">
        <v>471</v>
      </c>
      <c r="E267" s="21">
        <v>0.99460462999999999</v>
      </c>
      <c r="F267" s="10"/>
      <c r="G267" s="14">
        <v>30000000</v>
      </c>
      <c r="H267" s="14">
        <v>29838139.010000002</v>
      </c>
      <c r="I267" s="14">
        <v>30000000</v>
      </c>
      <c r="J267" s="14">
        <v>29838139.010000002</v>
      </c>
      <c r="K267" s="12">
        <v>11405025</v>
      </c>
      <c r="L267" s="10" t="s">
        <v>101</v>
      </c>
      <c r="M267" s="10" t="s">
        <v>102</v>
      </c>
      <c r="N267" s="124" t="s">
        <v>480</v>
      </c>
      <c r="O267" s="124" t="s">
        <v>480</v>
      </c>
      <c r="P267" s="21">
        <v>33</v>
      </c>
      <c r="Q267" s="10" t="s">
        <v>54</v>
      </c>
      <c r="R267" s="10" t="s">
        <v>28</v>
      </c>
      <c r="S267" s="10"/>
      <c r="T267" s="10"/>
      <c r="U267" s="10" t="s">
        <v>1530</v>
      </c>
      <c r="V267" s="10" t="s">
        <v>1530</v>
      </c>
      <c r="W267" s="50">
        <f>+J267/$W$2</f>
        <v>3.6517841345422292E-4</v>
      </c>
    </row>
    <row r="268" spans="1:29">
      <c r="A268" s="10" t="s">
        <v>781</v>
      </c>
      <c r="B268" s="10" t="s">
        <v>358</v>
      </c>
      <c r="C268" s="124">
        <v>46330</v>
      </c>
      <c r="D268" s="124" t="s">
        <v>471</v>
      </c>
      <c r="E268" s="21">
        <v>0.99460462999999999</v>
      </c>
      <c r="F268" s="10"/>
      <c r="G268" s="14">
        <v>30000000</v>
      </c>
      <c r="H268" s="14">
        <v>29838139.010000002</v>
      </c>
      <c r="I268" s="14">
        <v>30000000</v>
      </c>
      <c r="J268" s="14">
        <v>29838139.010000002</v>
      </c>
      <c r="K268" s="12">
        <v>11405026</v>
      </c>
      <c r="L268" s="10" t="s">
        <v>101</v>
      </c>
      <c r="M268" s="10" t="s">
        <v>102</v>
      </c>
      <c r="N268" s="124" t="s">
        <v>480</v>
      </c>
      <c r="O268" s="124" t="s">
        <v>480</v>
      </c>
      <c r="P268" s="21">
        <v>33</v>
      </c>
      <c r="Q268" s="10" t="s">
        <v>54</v>
      </c>
      <c r="R268" s="10" t="s">
        <v>28</v>
      </c>
      <c r="S268" s="10"/>
      <c r="T268" s="10"/>
      <c r="U268" s="10" t="s">
        <v>1531</v>
      </c>
      <c r="V268" s="10" t="s">
        <v>1531</v>
      </c>
      <c r="W268" s="50">
        <f>+J268/$W$2</f>
        <v>3.6517841345422292E-4</v>
      </c>
    </row>
    <row r="269" spans="1:29">
      <c r="A269" s="10" t="s">
        <v>394</v>
      </c>
      <c r="B269" s="10" t="s">
        <v>358</v>
      </c>
      <c r="C269" s="124">
        <v>46330</v>
      </c>
      <c r="D269" s="124" t="s">
        <v>471</v>
      </c>
      <c r="E269" s="21">
        <v>0.99444202999999998</v>
      </c>
      <c r="F269" s="10"/>
      <c r="G269" s="14">
        <v>3000000</v>
      </c>
      <c r="H269" s="14">
        <v>2983326.09</v>
      </c>
      <c r="I269" s="14">
        <v>3000000</v>
      </c>
      <c r="J269" s="14">
        <v>2983326.09</v>
      </c>
      <c r="K269" s="12">
        <v>4565</v>
      </c>
      <c r="L269" s="10" t="s">
        <v>101</v>
      </c>
      <c r="M269" s="10" t="s">
        <v>102</v>
      </c>
      <c r="N269" s="124" t="s">
        <v>311</v>
      </c>
      <c r="O269" s="124" t="s">
        <v>311</v>
      </c>
      <c r="P269" s="21">
        <v>34</v>
      </c>
      <c r="Q269" s="10" t="s">
        <v>54</v>
      </c>
      <c r="R269" s="10" t="s">
        <v>28</v>
      </c>
      <c r="S269" s="10"/>
      <c r="T269" s="10"/>
      <c r="U269" s="10" t="s">
        <v>708</v>
      </c>
      <c r="V269" s="10" t="s">
        <v>708</v>
      </c>
      <c r="W269" s="50">
        <f>+J269/$W$2</f>
        <v>3.6511871199395892E-5</v>
      </c>
    </row>
    <row r="270" spans="1:29">
      <c r="A270" s="10" t="s">
        <v>2827</v>
      </c>
      <c r="B270" s="10" t="s">
        <v>358</v>
      </c>
      <c r="C270" s="124">
        <v>46330</v>
      </c>
      <c r="D270" s="124" t="s">
        <v>471</v>
      </c>
      <c r="E270" s="21">
        <v>0.99476730000000002</v>
      </c>
      <c r="F270" s="10"/>
      <c r="G270" s="14">
        <v>2162998.42</v>
      </c>
      <c r="H270" s="14">
        <v>2151680.1</v>
      </c>
      <c r="I270" s="14">
        <v>2162998.42</v>
      </c>
      <c r="J270" s="14">
        <v>2151680.1</v>
      </c>
      <c r="K270" s="12">
        <v>112923</v>
      </c>
      <c r="L270" s="10" t="s">
        <v>101</v>
      </c>
      <c r="M270" s="10" t="s">
        <v>102</v>
      </c>
      <c r="N270" s="124" t="s">
        <v>412</v>
      </c>
      <c r="O270" s="124" t="s">
        <v>412</v>
      </c>
      <c r="P270" s="21">
        <v>32</v>
      </c>
      <c r="Q270" s="10" t="s">
        <v>54</v>
      </c>
      <c r="R270" s="10" t="s">
        <v>28</v>
      </c>
      <c r="S270" s="10"/>
      <c r="T270" s="10"/>
      <c r="U270" s="10" t="s">
        <v>2776</v>
      </c>
      <c r="V270" s="10" t="s">
        <v>2776</v>
      </c>
      <c r="W270" s="50">
        <f>+J270/$W$2</f>
        <v>2.6333650530808478E-5</v>
      </c>
    </row>
    <row r="271" spans="1:29">
      <c r="A271" s="10" t="s">
        <v>2990</v>
      </c>
      <c r="B271" s="10" t="s">
        <v>358</v>
      </c>
      <c r="C271" s="124">
        <v>46330</v>
      </c>
      <c r="D271" s="124" t="s">
        <v>471</v>
      </c>
      <c r="E271" s="21">
        <v>0.99493001000000003</v>
      </c>
      <c r="F271" s="10"/>
      <c r="G271" s="14">
        <v>4641854</v>
      </c>
      <c r="H271" s="14">
        <v>4618319.84</v>
      </c>
      <c r="I271" s="14">
        <v>4641854</v>
      </c>
      <c r="J271" s="14">
        <v>4618319.84</v>
      </c>
      <c r="K271" s="12">
        <v>2015</v>
      </c>
      <c r="L271" s="10" t="s">
        <v>101</v>
      </c>
      <c r="M271" s="10" t="s">
        <v>102</v>
      </c>
      <c r="N271" s="124" t="s">
        <v>465</v>
      </c>
      <c r="O271" s="124" t="s">
        <v>465</v>
      </c>
      <c r="P271" s="21">
        <v>31</v>
      </c>
      <c r="Q271" s="10" t="s">
        <v>54</v>
      </c>
      <c r="R271" s="10" t="s">
        <v>28</v>
      </c>
      <c r="S271" s="10"/>
      <c r="T271" s="10"/>
      <c r="U271" s="10" t="s">
        <v>2979</v>
      </c>
      <c r="V271" s="10" t="s">
        <v>2979</v>
      </c>
      <c r="W271" s="50">
        <f>+J271/$W$2</f>
        <v>5.6521980523991146E-5</v>
      </c>
    </row>
    <row r="272" spans="1:29">
      <c r="A272" s="10" t="s">
        <v>583</v>
      </c>
      <c r="B272" s="10" t="s">
        <v>358</v>
      </c>
      <c r="C272" s="124">
        <v>46330</v>
      </c>
      <c r="D272" s="124" t="s">
        <v>471</v>
      </c>
      <c r="E272" s="21">
        <v>0.99379222</v>
      </c>
      <c r="F272" s="10"/>
      <c r="G272" s="14">
        <v>40000000</v>
      </c>
      <c r="H272" s="14">
        <v>39751688.740000002</v>
      </c>
      <c r="I272" s="14">
        <v>40000000</v>
      </c>
      <c r="J272" s="14">
        <v>39751688.740000002</v>
      </c>
      <c r="K272" s="12">
        <v>70393048</v>
      </c>
      <c r="L272" s="10" t="s">
        <v>101</v>
      </c>
      <c r="M272" s="10" t="s">
        <v>102</v>
      </c>
      <c r="N272" s="124" t="s">
        <v>162</v>
      </c>
      <c r="O272" s="124" t="s">
        <v>162</v>
      </c>
      <c r="P272" s="21">
        <v>38</v>
      </c>
      <c r="Q272" s="10" t="s">
        <v>54</v>
      </c>
      <c r="R272" s="10" t="s">
        <v>28</v>
      </c>
      <c r="S272" s="10"/>
      <c r="T272" s="10"/>
      <c r="U272" s="10" t="s">
        <v>1293</v>
      </c>
      <c r="V272" s="10" t="s">
        <v>1293</v>
      </c>
      <c r="W272" s="50">
        <f>+J272/$W$2</f>
        <v>4.8650683681493104E-4</v>
      </c>
    </row>
    <row r="273" spans="1:23">
      <c r="A273" s="10" t="s">
        <v>583</v>
      </c>
      <c r="B273" s="10" t="s">
        <v>358</v>
      </c>
      <c r="C273" s="124">
        <v>46330</v>
      </c>
      <c r="D273" s="124" t="s">
        <v>471</v>
      </c>
      <c r="E273" s="21">
        <v>0.99379223000000005</v>
      </c>
      <c r="F273" s="10"/>
      <c r="G273" s="14">
        <v>40000000</v>
      </c>
      <c r="H273" s="14">
        <v>39751689.140000001</v>
      </c>
      <c r="I273" s="14">
        <v>40000000</v>
      </c>
      <c r="J273" s="14">
        <v>39751689.140000001</v>
      </c>
      <c r="K273" s="12">
        <v>70393053</v>
      </c>
      <c r="L273" s="10" t="s">
        <v>101</v>
      </c>
      <c r="M273" s="10" t="s">
        <v>102</v>
      </c>
      <c r="N273" s="124" t="s">
        <v>365</v>
      </c>
      <c r="O273" s="124" t="s">
        <v>365</v>
      </c>
      <c r="P273" s="21">
        <v>38</v>
      </c>
      <c r="Q273" s="10" t="s">
        <v>54</v>
      </c>
      <c r="R273" s="10" t="s">
        <v>28</v>
      </c>
      <c r="S273" s="10"/>
      <c r="T273" s="10"/>
      <c r="U273" s="10" t="s">
        <v>1365</v>
      </c>
      <c r="V273" s="10" t="s">
        <v>1365</v>
      </c>
      <c r="W273" s="50">
        <f>+J273/$W$2</f>
        <v>4.8650684171038932E-4</v>
      </c>
    </row>
    <row r="274" spans="1:23">
      <c r="A274" s="10" t="s">
        <v>295</v>
      </c>
      <c r="B274" s="10" t="s">
        <v>358</v>
      </c>
      <c r="C274" s="124">
        <v>46330</v>
      </c>
      <c r="D274" s="124" t="s">
        <v>471</v>
      </c>
      <c r="E274" s="21">
        <v>0.99590723999999997</v>
      </c>
      <c r="F274" s="10"/>
      <c r="G274" s="14">
        <v>12000000</v>
      </c>
      <c r="H274" s="14">
        <v>11950886.890000001</v>
      </c>
      <c r="I274" s="14">
        <v>12000000</v>
      </c>
      <c r="J274" s="14">
        <v>11950886.890000001</v>
      </c>
      <c r="K274" s="12">
        <v>34562</v>
      </c>
      <c r="L274" s="10" t="s">
        <v>101</v>
      </c>
      <c r="M274" s="10" t="s">
        <v>102</v>
      </c>
      <c r="N274" s="124" t="s">
        <v>309</v>
      </c>
      <c r="O274" s="124" t="s">
        <v>309</v>
      </c>
      <c r="P274" s="21">
        <v>25</v>
      </c>
      <c r="Q274" s="10" t="s">
        <v>54</v>
      </c>
      <c r="R274" s="10" t="s">
        <v>28</v>
      </c>
      <c r="S274" s="10"/>
      <c r="T274" s="10"/>
      <c r="U274" s="10" t="s">
        <v>854</v>
      </c>
      <c r="V274" s="10" t="s">
        <v>854</v>
      </c>
      <c r="W274" s="50">
        <f>+J274/$W$2</f>
        <v>1.4626267115380238E-4</v>
      </c>
    </row>
    <row r="275" spans="1:23">
      <c r="A275" s="10" t="s">
        <v>289</v>
      </c>
      <c r="B275" s="10" t="s">
        <v>125</v>
      </c>
      <c r="C275" s="124">
        <v>46330</v>
      </c>
      <c r="D275" s="124" t="s">
        <v>471</v>
      </c>
      <c r="E275" s="21">
        <v>0.99868665999999995</v>
      </c>
      <c r="F275" s="10" t="s">
        <v>4162</v>
      </c>
      <c r="G275" s="14">
        <v>500000</v>
      </c>
      <c r="H275" s="14">
        <v>499343.33</v>
      </c>
      <c r="I275" s="14">
        <v>769796510.45000005</v>
      </c>
      <c r="J275" s="14">
        <v>768785505.89999998</v>
      </c>
      <c r="K275" s="12">
        <v>152502</v>
      </c>
      <c r="L275" s="10" t="s">
        <v>101</v>
      </c>
      <c r="M275" s="10" t="s">
        <v>102</v>
      </c>
      <c r="N275" s="124" t="s">
        <v>300</v>
      </c>
      <c r="O275" s="124" t="s">
        <v>300</v>
      </c>
      <c r="P275" s="21">
        <v>8</v>
      </c>
      <c r="Q275" s="10" t="s">
        <v>54</v>
      </c>
      <c r="R275" s="10" t="s">
        <v>28</v>
      </c>
      <c r="S275" s="10"/>
      <c r="T275" s="10"/>
      <c r="U275" s="10" t="s">
        <v>579</v>
      </c>
      <c r="V275" s="10" t="s">
        <v>579</v>
      </c>
      <c r="W275" s="50">
        <f>+J275/$W$2</f>
        <v>9.4088934714418749E-3</v>
      </c>
    </row>
    <row r="276" spans="1:23">
      <c r="A276" s="10" t="s">
        <v>433</v>
      </c>
      <c r="B276" s="10" t="s">
        <v>358</v>
      </c>
      <c r="C276" s="124">
        <v>46330</v>
      </c>
      <c r="D276" s="124" t="s">
        <v>471</v>
      </c>
      <c r="E276" s="21">
        <v>0.99444202999999998</v>
      </c>
      <c r="F276" s="10"/>
      <c r="G276" s="14">
        <v>10000000</v>
      </c>
      <c r="H276" s="14">
        <v>9944420.3000000007</v>
      </c>
      <c r="I276" s="14">
        <v>10000000</v>
      </c>
      <c r="J276" s="14">
        <v>9944420.3000000007</v>
      </c>
      <c r="K276" s="12">
        <v>14284512</v>
      </c>
      <c r="L276" s="10" t="s">
        <v>101</v>
      </c>
      <c r="M276" s="10" t="s">
        <v>102</v>
      </c>
      <c r="N276" s="124" t="s">
        <v>399</v>
      </c>
      <c r="O276" s="124" t="s">
        <v>399</v>
      </c>
      <c r="P276" s="21">
        <v>34</v>
      </c>
      <c r="Q276" s="10" t="s">
        <v>54</v>
      </c>
      <c r="R276" s="10" t="s">
        <v>28</v>
      </c>
      <c r="S276" s="10"/>
      <c r="T276" s="10"/>
      <c r="U276" s="10" t="s">
        <v>1102</v>
      </c>
      <c r="V276" s="10" t="s">
        <v>1102</v>
      </c>
      <c r="W276" s="50">
        <f>+J276/$W$2</f>
        <v>1.2170623733131967E-4</v>
      </c>
    </row>
    <row r="277" spans="1:23">
      <c r="A277" s="10" t="s">
        <v>433</v>
      </c>
      <c r="B277" s="10" t="s">
        <v>358</v>
      </c>
      <c r="C277" s="124">
        <v>46330</v>
      </c>
      <c r="D277" s="124" t="s">
        <v>471</v>
      </c>
      <c r="E277" s="21">
        <v>0.99476728999999997</v>
      </c>
      <c r="F277" s="10"/>
      <c r="G277" s="14">
        <v>11000000</v>
      </c>
      <c r="H277" s="14">
        <v>10942440.189999999</v>
      </c>
      <c r="I277" s="14">
        <v>11000000</v>
      </c>
      <c r="J277" s="14">
        <v>10942440.189999999</v>
      </c>
      <c r="K277" s="12">
        <v>14651796</v>
      </c>
      <c r="L277" s="10" t="s">
        <v>101</v>
      </c>
      <c r="M277" s="10" t="s">
        <v>102</v>
      </c>
      <c r="N277" s="124" t="s">
        <v>603</v>
      </c>
      <c r="O277" s="124" t="s">
        <v>603</v>
      </c>
      <c r="P277" s="21">
        <v>32</v>
      </c>
      <c r="Q277" s="10" t="s">
        <v>54</v>
      </c>
      <c r="R277" s="10" t="s">
        <v>28</v>
      </c>
      <c r="S277" s="10"/>
      <c r="T277" s="10"/>
      <c r="U277" s="10" t="s">
        <v>2585</v>
      </c>
      <c r="V277" s="10" t="s">
        <v>2585</v>
      </c>
      <c r="W277" s="50">
        <f>+J277/$W$2</f>
        <v>1.3392064922556726E-4</v>
      </c>
    </row>
    <row r="278" spans="1:23">
      <c r="A278" s="10" t="s">
        <v>3791</v>
      </c>
      <c r="B278" s="10" t="s">
        <v>358</v>
      </c>
      <c r="C278" s="124">
        <v>46330</v>
      </c>
      <c r="D278" s="124" t="s">
        <v>471</v>
      </c>
      <c r="E278" s="21">
        <v>0.99525560000000002</v>
      </c>
      <c r="F278" s="10"/>
      <c r="G278" s="14">
        <v>2289494</v>
      </c>
      <c r="H278" s="14">
        <v>2278631.7200000002</v>
      </c>
      <c r="I278" s="14">
        <v>2289494</v>
      </c>
      <c r="J278" s="14">
        <v>2278631.7200000002</v>
      </c>
      <c r="K278" s="12">
        <v>11273460</v>
      </c>
      <c r="L278" s="10" t="s">
        <v>101</v>
      </c>
      <c r="M278" s="10" t="s">
        <v>102</v>
      </c>
      <c r="N278" s="124" t="s">
        <v>467</v>
      </c>
      <c r="O278" s="124" t="s">
        <v>467</v>
      </c>
      <c r="P278" s="21">
        <v>29</v>
      </c>
      <c r="Q278" s="10" t="s">
        <v>54</v>
      </c>
      <c r="R278" s="10" t="s">
        <v>28</v>
      </c>
      <c r="S278" s="10"/>
      <c r="T278" s="10"/>
      <c r="U278" s="10" t="s">
        <v>3741</v>
      </c>
      <c r="V278" s="10" t="s">
        <v>3741</v>
      </c>
      <c r="W278" s="50">
        <f>+J278/$W$2</f>
        <v>2.7887366436532568E-5</v>
      </c>
    </row>
    <row r="279" spans="1:23">
      <c r="A279" s="10" t="s">
        <v>1428</v>
      </c>
      <c r="B279" s="10" t="s">
        <v>358</v>
      </c>
      <c r="C279" s="124">
        <v>46330</v>
      </c>
      <c r="D279" s="124" t="s">
        <v>471</v>
      </c>
      <c r="E279" s="21">
        <v>0.99476726999999998</v>
      </c>
      <c r="F279" s="10"/>
      <c r="G279" s="14">
        <v>2749536.48</v>
      </c>
      <c r="H279" s="14">
        <v>2735148.89</v>
      </c>
      <c r="I279" s="14">
        <v>2749536.48</v>
      </c>
      <c r="J279" s="14">
        <v>2735148.89</v>
      </c>
      <c r="K279" s="12">
        <v>74760911</v>
      </c>
      <c r="L279" s="10" t="s">
        <v>101</v>
      </c>
      <c r="M279" s="10" t="s">
        <v>102</v>
      </c>
      <c r="N279" s="124" t="s">
        <v>391</v>
      </c>
      <c r="O279" s="124" t="s">
        <v>391</v>
      </c>
      <c r="P279" s="21">
        <v>32</v>
      </c>
      <c r="Q279" s="10" t="s">
        <v>54</v>
      </c>
      <c r="R279" s="10" t="s">
        <v>28</v>
      </c>
      <c r="S279" s="10"/>
      <c r="T279" s="10"/>
      <c r="U279" s="10" t="s">
        <v>1409</v>
      </c>
      <c r="V279" s="10" t="s">
        <v>1409</v>
      </c>
      <c r="W279" s="50">
        <f>+J279/$W$2</f>
        <v>3.3474518363110165E-5</v>
      </c>
    </row>
    <row r="280" spans="1:23">
      <c r="A280" s="10" t="s">
        <v>621</v>
      </c>
      <c r="B280" s="10" t="s">
        <v>358</v>
      </c>
      <c r="C280" s="124">
        <v>46330</v>
      </c>
      <c r="D280" s="124" t="s">
        <v>471</v>
      </c>
      <c r="E280" s="21">
        <v>0.99558128000000001</v>
      </c>
      <c r="F280" s="10"/>
      <c r="G280" s="14">
        <v>33170000</v>
      </c>
      <c r="H280" s="14">
        <v>33023431.210000001</v>
      </c>
      <c r="I280" s="14">
        <v>33170000</v>
      </c>
      <c r="J280" s="14">
        <v>33023431.210000001</v>
      </c>
      <c r="K280" s="12">
        <v>32240</v>
      </c>
      <c r="L280" s="10" t="s">
        <v>101</v>
      </c>
      <c r="M280" s="10" t="s">
        <v>102</v>
      </c>
      <c r="N280" s="124" t="s">
        <v>397</v>
      </c>
      <c r="O280" s="124" t="s">
        <v>397</v>
      </c>
      <c r="P280" s="21">
        <v>27</v>
      </c>
      <c r="Q280" s="10" t="s">
        <v>54</v>
      </c>
      <c r="R280" s="10" t="s">
        <v>28</v>
      </c>
      <c r="S280" s="10"/>
      <c r="T280" s="10"/>
      <c r="U280" s="10" t="s">
        <v>1856</v>
      </c>
      <c r="V280" s="10" t="s">
        <v>1856</v>
      </c>
      <c r="W280" s="50">
        <f>+J280/$W$2</f>
        <v>4.0416207632925255E-4</v>
      </c>
    </row>
    <row r="281" spans="1:23">
      <c r="A281" s="10" t="s">
        <v>3399</v>
      </c>
      <c r="B281" s="10" t="s">
        <v>358</v>
      </c>
      <c r="C281" s="124">
        <v>46330</v>
      </c>
      <c r="D281" s="124" t="s">
        <v>471</v>
      </c>
      <c r="E281" s="21">
        <v>0.99509276000000002</v>
      </c>
      <c r="F281" s="10"/>
      <c r="G281" s="14">
        <v>161938.32</v>
      </c>
      <c r="H281" s="14">
        <v>161143.65</v>
      </c>
      <c r="I281" s="14">
        <v>161938.32</v>
      </c>
      <c r="J281" s="14">
        <v>161143.65</v>
      </c>
      <c r="K281" s="12">
        <v>70489487</v>
      </c>
      <c r="L281" s="10" t="s">
        <v>101</v>
      </c>
      <c r="M281" s="10" t="s">
        <v>102</v>
      </c>
      <c r="N281" s="124" t="s">
        <v>475</v>
      </c>
      <c r="O281" s="124" t="s">
        <v>475</v>
      </c>
      <c r="P281" s="21">
        <v>30</v>
      </c>
      <c r="Q281" s="10" t="s">
        <v>54</v>
      </c>
      <c r="R281" s="10" t="s">
        <v>28</v>
      </c>
      <c r="S281" s="10"/>
      <c r="T281" s="10"/>
      <c r="U281" s="10" t="s">
        <v>3337</v>
      </c>
      <c r="V281" s="10" t="s">
        <v>3337</v>
      </c>
      <c r="W281" s="50">
        <f>+J281/$W$2</f>
        <v>1.9721800486786652E-6</v>
      </c>
    </row>
    <row r="282" spans="1:23">
      <c r="A282" s="10" t="s">
        <v>3409</v>
      </c>
      <c r="B282" s="10" t="s">
        <v>358</v>
      </c>
      <c r="C282" s="124">
        <v>46330</v>
      </c>
      <c r="D282" s="124" t="s">
        <v>471</v>
      </c>
      <c r="E282" s="21">
        <v>0.99476732000000001</v>
      </c>
      <c r="F282" s="10"/>
      <c r="G282" s="14">
        <v>5000000</v>
      </c>
      <c r="H282" s="14">
        <v>4973836.62</v>
      </c>
      <c r="I282" s="14">
        <v>5000000</v>
      </c>
      <c r="J282" s="14">
        <v>4973836.62</v>
      </c>
      <c r="K282" s="12">
        <v>40981968</v>
      </c>
      <c r="L282" s="10" t="s">
        <v>101</v>
      </c>
      <c r="M282" s="10" t="s">
        <v>102</v>
      </c>
      <c r="N282" s="124" t="s">
        <v>475</v>
      </c>
      <c r="O282" s="124" t="s">
        <v>475</v>
      </c>
      <c r="P282" s="21">
        <v>32</v>
      </c>
      <c r="Q282" s="10" t="s">
        <v>54</v>
      </c>
      <c r="R282" s="10" t="s">
        <v>28</v>
      </c>
      <c r="S282" s="10"/>
      <c r="T282" s="10"/>
      <c r="U282" s="10" t="s">
        <v>3367</v>
      </c>
      <c r="V282" s="10" t="s">
        <v>3367</v>
      </c>
      <c r="W282" s="50">
        <f>+J282/$W$2</f>
        <v>6.0873024455827633E-5</v>
      </c>
    </row>
    <row r="283" spans="1:23">
      <c r="A283" s="10" t="s">
        <v>124</v>
      </c>
      <c r="B283" s="10" t="s">
        <v>125</v>
      </c>
      <c r="C283" s="124">
        <v>46330</v>
      </c>
      <c r="D283" s="124" t="s">
        <v>471</v>
      </c>
      <c r="E283" s="21">
        <v>0.99852269999999999</v>
      </c>
      <c r="F283" s="10" t="s">
        <v>4162</v>
      </c>
      <c r="G283" s="14">
        <v>100000</v>
      </c>
      <c r="H283" s="14">
        <v>99852.27</v>
      </c>
      <c r="I283" s="14">
        <v>153959302.09</v>
      </c>
      <c r="J283" s="14">
        <v>153731858.00999999</v>
      </c>
      <c r="K283" s="12">
        <v>155821</v>
      </c>
      <c r="L283" s="10" t="s">
        <v>101</v>
      </c>
      <c r="M283" s="10" t="s">
        <v>102</v>
      </c>
      <c r="N283" s="124" t="s">
        <v>317</v>
      </c>
      <c r="O283" s="124" t="s">
        <v>317</v>
      </c>
      <c r="P283" s="21">
        <v>9</v>
      </c>
      <c r="Q283" s="10" t="s">
        <v>54</v>
      </c>
      <c r="R283" s="10" t="s">
        <v>28</v>
      </c>
      <c r="S283" s="10"/>
      <c r="T283" s="10"/>
      <c r="U283" s="10" t="s">
        <v>640</v>
      </c>
      <c r="V283" s="10" t="s">
        <v>640</v>
      </c>
      <c r="W283" s="50">
        <f>+J283/$W$2</f>
        <v>1.8814697520729081E-3</v>
      </c>
    </row>
    <row r="284" spans="1:23">
      <c r="A284" s="10" t="s">
        <v>484</v>
      </c>
      <c r="B284" s="10" t="s">
        <v>125</v>
      </c>
      <c r="C284" s="124">
        <v>46330</v>
      </c>
      <c r="D284" s="124" t="s">
        <v>471</v>
      </c>
      <c r="E284" s="21">
        <v>0.99868659999999998</v>
      </c>
      <c r="F284" s="10" t="s">
        <v>4162</v>
      </c>
      <c r="G284" s="14">
        <v>188100</v>
      </c>
      <c r="H284" s="14">
        <v>187852.95</v>
      </c>
      <c r="I284" s="14">
        <v>289597447.23000002</v>
      </c>
      <c r="J284" s="14">
        <v>289217090.77999997</v>
      </c>
      <c r="K284" s="12">
        <v>160722</v>
      </c>
      <c r="L284" s="10" t="s">
        <v>101</v>
      </c>
      <c r="M284" s="10" t="s">
        <v>102</v>
      </c>
      <c r="N284" s="124" t="s">
        <v>389</v>
      </c>
      <c r="O284" s="124" t="s">
        <v>389</v>
      </c>
      <c r="P284" s="21">
        <v>8</v>
      </c>
      <c r="Q284" s="10" t="s">
        <v>54</v>
      </c>
      <c r="R284" s="10" t="s">
        <v>28</v>
      </c>
      <c r="S284" s="10"/>
      <c r="T284" s="10"/>
      <c r="U284" s="10" t="s">
        <v>982</v>
      </c>
      <c r="V284" s="10" t="s">
        <v>982</v>
      </c>
      <c r="W284" s="50">
        <f>+J284/$W$2</f>
        <v>3.5396255215343723E-3</v>
      </c>
    </row>
    <row r="285" spans="1:23">
      <c r="A285" s="10" t="s">
        <v>484</v>
      </c>
      <c r="B285" s="10" t="s">
        <v>125</v>
      </c>
      <c r="C285" s="124">
        <v>46330</v>
      </c>
      <c r="D285" s="124" t="s">
        <v>471</v>
      </c>
      <c r="E285" s="21">
        <v>0.99835890000000005</v>
      </c>
      <c r="F285" s="10" t="s">
        <v>4162</v>
      </c>
      <c r="G285" s="14">
        <v>100000</v>
      </c>
      <c r="H285" s="14">
        <v>99835.89</v>
      </c>
      <c r="I285" s="14">
        <v>153959302.09</v>
      </c>
      <c r="J285" s="14">
        <v>153706639.47999999</v>
      </c>
      <c r="K285" s="12">
        <v>165199</v>
      </c>
      <c r="L285" s="10" t="s">
        <v>101</v>
      </c>
      <c r="M285" s="10" t="s">
        <v>102</v>
      </c>
      <c r="N285" s="124" t="s">
        <v>398</v>
      </c>
      <c r="O285" s="124" t="s">
        <v>398</v>
      </c>
      <c r="P285" s="21">
        <v>10</v>
      </c>
      <c r="Q285" s="10" t="s">
        <v>54</v>
      </c>
      <c r="R285" s="10" t="s">
        <v>28</v>
      </c>
      <c r="S285" s="10"/>
      <c r="T285" s="10"/>
      <c r="U285" s="10" t="s">
        <v>1741</v>
      </c>
      <c r="V285" s="10" t="s">
        <v>1741</v>
      </c>
      <c r="W285" s="50">
        <f>+J285/$W$2</f>
        <v>1.8811611114176727E-3</v>
      </c>
    </row>
    <row r="286" spans="1:23">
      <c r="A286" s="10" t="s">
        <v>2989</v>
      </c>
      <c r="B286" s="10" t="s">
        <v>358</v>
      </c>
      <c r="C286" s="124">
        <v>46330</v>
      </c>
      <c r="D286" s="124" t="s">
        <v>471</v>
      </c>
      <c r="E286" s="21">
        <v>0.99460466999999997</v>
      </c>
      <c r="F286" s="10"/>
      <c r="G286" s="14">
        <v>363101.32</v>
      </c>
      <c r="H286" s="14">
        <v>361142.27</v>
      </c>
      <c r="I286" s="14">
        <v>363101.32</v>
      </c>
      <c r="J286" s="14">
        <v>361142.27</v>
      </c>
      <c r="K286" s="12">
        <v>7241</v>
      </c>
      <c r="L286" s="10" t="s">
        <v>101</v>
      </c>
      <c r="M286" s="10" t="s">
        <v>102</v>
      </c>
      <c r="N286" s="124" t="s">
        <v>465</v>
      </c>
      <c r="O286" s="124" t="s">
        <v>465</v>
      </c>
      <c r="P286" s="21">
        <v>33</v>
      </c>
      <c r="Q286" s="10" t="s">
        <v>54</v>
      </c>
      <c r="R286" s="10" t="s">
        <v>28</v>
      </c>
      <c r="S286" s="10"/>
      <c r="T286" s="10"/>
      <c r="U286" s="10" t="s">
        <v>2984</v>
      </c>
      <c r="V286" s="10" t="s">
        <v>2984</v>
      </c>
      <c r="W286" s="50">
        <f>+J286/$W$2</f>
        <v>4.4198923111678544E-6</v>
      </c>
    </row>
    <row r="287" spans="1:23">
      <c r="A287" s="10" t="s">
        <v>359</v>
      </c>
      <c r="B287" s="10" t="s">
        <v>358</v>
      </c>
      <c r="C287" s="124">
        <v>46330</v>
      </c>
      <c r="D287" s="124" t="s">
        <v>471</v>
      </c>
      <c r="E287" s="21">
        <v>0.99509272999999998</v>
      </c>
      <c r="F287" s="10"/>
      <c r="G287" s="14">
        <v>5000000</v>
      </c>
      <c r="H287" s="14">
        <v>4975463.6500000004</v>
      </c>
      <c r="I287" s="14">
        <v>5000000</v>
      </c>
      <c r="J287" s="14">
        <v>4975463.6500000004</v>
      </c>
      <c r="K287" s="12">
        <v>1347</v>
      </c>
      <c r="L287" s="10" t="s">
        <v>101</v>
      </c>
      <c r="M287" s="10" t="s">
        <v>102</v>
      </c>
      <c r="N287" s="124" t="s">
        <v>603</v>
      </c>
      <c r="O287" s="124" t="s">
        <v>603</v>
      </c>
      <c r="P287" s="21">
        <v>30</v>
      </c>
      <c r="Q287" s="10" t="s">
        <v>54</v>
      </c>
      <c r="R287" s="10" t="s">
        <v>28</v>
      </c>
      <c r="S287" s="10"/>
      <c r="T287" s="10"/>
      <c r="U287" s="10" t="s">
        <v>2625</v>
      </c>
      <c r="V287" s="10" t="s">
        <v>2625</v>
      </c>
      <c r="W287" s="50">
        <f>+J287/$W$2</f>
        <v>6.0892937099637071E-5</v>
      </c>
    </row>
    <row r="288" spans="1:23">
      <c r="A288" s="10" t="s">
        <v>359</v>
      </c>
      <c r="B288" s="10" t="s">
        <v>358</v>
      </c>
      <c r="C288" s="124">
        <v>46330</v>
      </c>
      <c r="D288" s="124" t="s">
        <v>471</v>
      </c>
      <c r="E288" s="21">
        <v>0.99509274999999997</v>
      </c>
      <c r="F288" s="10"/>
      <c r="G288" s="14">
        <v>5000000</v>
      </c>
      <c r="H288" s="14">
        <v>4975463.7300000004</v>
      </c>
      <c r="I288" s="14">
        <v>5000000</v>
      </c>
      <c r="J288" s="14">
        <v>4975463.7300000004</v>
      </c>
      <c r="K288" s="12">
        <v>1350</v>
      </c>
      <c r="L288" s="10" t="s">
        <v>101</v>
      </c>
      <c r="M288" s="10" t="s">
        <v>102</v>
      </c>
      <c r="N288" s="124" t="s">
        <v>440</v>
      </c>
      <c r="O288" s="124" t="s">
        <v>440</v>
      </c>
      <c r="P288" s="21">
        <v>30</v>
      </c>
      <c r="Q288" s="10" t="s">
        <v>54</v>
      </c>
      <c r="R288" s="10" t="s">
        <v>28</v>
      </c>
      <c r="S288" s="10"/>
      <c r="T288" s="10"/>
      <c r="U288" s="10" t="s">
        <v>2685</v>
      </c>
      <c r="V288" s="10" t="s">
        <v>2685</v>
      </c>
      <c r="W288" s="50">
        <f>+J288/$W$2</f>
        <v>6.0892938078728729E-5</v>
      </c>
    </row>
    <row r="289" spans="1:23">
      <c r="A289" s="10" t="s">
        <v>359</v>
      </c>
      <c r="B289" s="10" t="s">
        <v>358</v>
      </c>
      <c r="C289" s="124">
        <v>46330</v>
      </c>
      <c r="D289" s="124" t="s">
        <v>471</v>
      </c>
      <c r="E289" s="21">
        <v>0.99509272000000004</v>
      </c>
      <c r="F289" s="10"/>
      <c r="G289" s="14">
        <v>4000000</v>
      </c>
      <c r="H289" s="14">
        <v>3980370.86</v>
      </c>
      <c r="I289" s="14">
        <v>4000000</v>
      </c>
      <c r="J289" s="14">
        <v>3980370.86</v>
      </c>
      <c r="K289" s="12">
        <v>1289</v>
      </c>
      <c r="L289" s="10" t="s">
        <v>101</v>
      </c>
      <c r="M289" s="10" t="s">
        <v>102</v>
      </c>
      <c r="N289" s="124" t="s">
        <v>439</v>
      </c>
      <c r="O289" s="124" t="s">
        <v>439</v>
      </c>
      <c r="P289" s="21">
        <v>30</v>
      </c>
      <c r="Q289" s="10" t="s">
        <v>54</v>
      </c>
      <c r="R289" s="10" t="s">
        <v>28</v>
      </c>
      <c r="S289" s="10"/>
      <c r="T289" s="10"/>
      <c r="U289" s="10" t="s">
        <v>2289</v>
      </c>
      <c r="V289" s="10" t="s">
        <v>2289</v>
      </c>
      <c r="W289" s="50">
        <f>+J289/$W$2</f>
        <v>4.8714348945390901E-5</v>
      </c>
    </row>
    <row r="290" spans="1:23">
      <c r="A290" s="10" t="s">
        <v>359</v>
      </c>
      <c r="B290" s="10" t="s">
        <v>358</v>
      </c>
      <c r="C290" s="124">
        <v>46330</v>
      </c>
      <c r="D290" s="124" t="s">
        <v>471</v>
      </c>
      <c r="E290" s="21">
        <v>0.99509270000000005</v>
      </c>
      <c r="F290" s="10"/>
      <c r="G290" s="14">
        <v>5000000</v>
      </c>
      <c r="H290" s="14">
        <v>4975463.49</v>
      </c>
      <c r="I290" s="14">
        <v>5000000</v>
      </c>
      <c r="J290" s="14">
        <v>4975463.49</v>
      </c>
      <c r="K290" s="12">
        <v>1307</v>
      </c>
      <c r="L290" s="10" t="s">
        <v>101</v>
      </c>
      <c r="M290" s="10" t="s">
        <v>102</v>
      </c>
      <c r="N290" s="124" t="s">
        <v>452</v>
      </c>
      <c r="O290" s="124" t="s">
        <v>452</v>
      </c>
      <c r="P290" s="21">
        <v>30</v>
      </c>
      <c r="Q290" s="10" t="s">
        <v>54</v>
      </c>
      <c r="R290" s="10" t="s">
        <v>28</v>
      </c>
      <c r="S290" s="10"/>
      <c r="T290" s="10"/>
      <c r="U290" s="10" t="s">
        <v>2501</v>
      </c>
      <c r="V290" s="10" t="s">
        <v>2501</v>
      </c>
      <c r="W290" s="50">
        <f>+J290/$W$2</f>
        <v>6.0892935141453747E-5</v>
      </c>
    </row>
    <row r="291" spans="1:23">
      <c r="A291" s="10" t="s">
        <v>2820</v>
      </c>
      <c r="B291" s="10" t="s">
        <v>358</v>
      </c>
      <c r="C291" s="124">
        <v>46330</v>
      </c>
      <c r="D291" s="124" t="s">
        <v>471</v>
      </c>
      <c r="E291" s="21">
        <v>0.99476730000000002</v>
      </c>
      <c r="F291" s="10"/>
      <c r="G291" s="14">
        <v>22929529.789999999</v>
      </c>
      <c r="H291" s="14">
        <v>22809546.469999999</v>
      </c>
      <c r="I291" s="14">
        <v>22929529.789999999</v>
      </c>
      <c r="J291" s="14">
        <v>22809546.469999999</v>
      </c>
      <c r="K291" s="12">
        <v>82628359</v>
      </c>
      <c r="L291" s="10" t="s">
        <v>101</v>
      </c>
      <c r="M291" s="10" t="s">
        <v>102</v>
      </c>
      <c r="N291" s="124" t="s">
        <v>412</v>
      </c>
      <c r="O291" s="124" t="s">
        <v>440</v>
      </c>
      <c r="P291" s="21">
        <v>32</v>
      </c>
      <c r="Q291" s="10" t="s">
        <v>54</v>
      </c>
      <c r="R291" s="10" t="s">
        <v>28</v>
      </c>
      <c r="S291" s="10"/>
      <c r="T291" s="10"/>
      <c r="U291" s="10" t="s">
        <v>2781</v>
      </c>
      <c r="V291" s="10" t="s">
        <v>2781</v>
      </c>
      <c r="W291" s="50">
        <f>+J291/$W$2</f>
        <v>2.7915795917209818E-4</v>
      </c>
    </row>
    <row r="292" spans="1:23">
      <c r="A292" s="10" t="s">
        <v>367</v>
      </c>
      <c r="B292" s="10" t="s">
        <v>358</v>
      </c>
      <c r="C292" s="124">
        <v>46330</v>
      </c>
      <c r="D292" s="124" t="s">
        <v>471</v>
      </c>
      <c r="E292" s="21">
        <v>0.99460462000000005</v>
      </c>
      <c r="F292" s="10"/>
      <c r="G292" s="14">
        <v>2000000</v>
      </c>
      <c r="H292" s="14">
        <v>1989209.23</v>
      </c>
      <c r="I292" s="14">
        <v>2000000</v>
      </c>
      <c r="J292" s="14">
        <v>1989209.23</v>
      </c>
      <c r="K292" s="12">
        <v>42</v>
      </c>
      <c r="L292" s="10" t="s">
        <v>101</v>
      </c>
      <c r="M292" s="10" t="s">
        <v>102</v>
      </c>
      <c r="N292" s="124" t="s">
        <v>442</v>
      </c>
      <c r="O292" s="124" t="s">
        <v>442</v>
      </c>
      <c r="P292" s="21">
        <v>33</v>
      </c>
      <c r="Q292" s="10" t="s">
        <v>54</v>
      </c>
      <c r="R292" s="10" t="s">
        <v>28</v>
      </c>
      <c r="S292" s="10"/>
      <c r="T292" s="10"/>
      <c r="U292" s="10" t="s">
        <v>989</v>
      </c>
      <c r="V292" s="10" t="s">
        <v>989</v>
      </c>
      <c r="W292" s="50">
        <f>+J292/$W$2</f>
        <v>2.4345227106705418E-5</v>
      </c>
    </row>
    <row r="293" spans="1:23">
      <c r="A293" s="10" t="s">
        <v>377</v>
      </c>
      <c r="B293" s="10" t="s">
        <v>358</v>
      </c>
      <c r="C293" s="124">
        <v>46330</v>
      </c>
      <c r="D293" s="124" t="s">
        <v>471</v>
      </c>
      <c r="E293" s="21">
        <v>0.99476728999999997</v>
      </c>
      <c r="F293" s="10"/>
      <c r="G293" s="14">
        <v>20000000</v>
      </c>
      <c r="H293" s="14">
        <v>19895345.850000001</v>
      </c>
      <c r="I293" s="14">
        <v>20000000</v>
      </c>
      <c r="J293" s="14">
        <v>19895345.850000001</v>
      </c>
      <c r="K293" s="12">
        <v>724</v>
      </c>
      <c r="L293" s="10" t="s">
        <v>101</v>
      </c>
      <c r="M293" s="10" t="s">
        <v>102</v>
      </c>
      <c r="N293" s="124" t="s">
        <v>408</v>
      </c>
      <c r="O293" s="124" t="s">
        <v>408</v>
      </c>
      <c r="P293" s="21">
        <v>32</v>
      </c>
      <c r="Q293" s="10" t="s">
        <v>54</v>
      </c>
      <c r="R293" s="10" t="s">
        <v>28</v>
      </c>
      <c r="S293" s="10"/>
      <c r="T293" s="10"/>
      <c r="U293" s="10" t="s">
        <v>2032</v>
      </c>
      <c r="V293" s="10" t="s">
        <v>2032</v>
      </c>
      <c r="W293" s="50">
        <f>+J293/$W$2</f>
        <v>2.4349209011296371E-4</v>
      </c>
    </row>
    <row r="294" spans="1:23">
      <c r="A294" s="10" t="s">
        <v>2753</v>
      </c>
      <c r="B294" s="10" t="s">
        <v>358</v>
      </c>
      <c r="C294" s="124">
        <v>46330</v>
      </c>
      <c r="D294" s="124" t="s">
        <v>471</v>
      </c>
      <c r="E294" s="21">
        <v>0.99476730999999996</v>
      </c>
      <c r="F294" s="10"/>
      <c r="G294" s="14">
        <v>6000000</v>
      </c>
      <c r="H294" s="14">
        <v>5968603.8399999999</v>
      </c>
      <c r="I294" s="14">
        <v>6000000</v>
      </c>
      <c r="J294" s="14">
        <v>5968603.8399999999</v>
      </c>
      <c r="K294" s="12">
        <v>70158555</v>
      </c>
      <c r="L294" s="10" t="s">
        <v>101</v>
      </c>
      <c r="M294" s="10" t="s">
        <v>102</v>
      </c>
      <c r="N294" s="124" t="s">
        <v>440</v>
      </c>
      <c r="O294" s="124" t="s">
        <v>440</v>
      </c>
      <c r="P294" s="21">
        <v>32</v>
      </c>
      <c r="Q294" s="10" t="s">
        <v>54</v>
      </c>
      <c r="R294" s="10" t="s">
        <v>28</v>
      </c>
      <c r="S294" s="10"/>
      <c r="T294" s="10"/>
      <c r="U294" s="10" t="s">
        <v>2728</v>
      </c>
      <c r="V294" s="10" t="s">
        <v>2728</v>
      </c>
      <c r="W294" s="50">
        <f>+J294/$W$2</f>
        <v>7.3047628074174003E-5</v>
      </c>
    </row>
    <row r="295" spans="1:23">
      <c r="A295" s="10" t="s">
        <v>2755</v>
      </c>
      <c r="B295" s="10" t="s">
        <v>358</v>
      </c>
      <c r="C295" s="124">
        <v>46330</v>
      </c>
      <c r="D295" s="124" t="s">
        <v>471</v>
      </c>
      <c r="E295" s="21">
        <v>0.99476730000000002</v>
      </c>
      <c r="F295" s="10"/>
      <c r="G295" s="14">
        <v>1000000</v>
      </c>
      <c r="H295" s="14">
        <v>994767.3</v>
      </c>
      <c r="I295" s="14">
        <v>1000000</v>
      </c>
      <c r="J295" s="14">
        <v>994767.3</v>
      </c>
      <c r="K295" s="12">
        <v>70161997</v>
      </c>
      <c r="L295" s="10" t="s">
        <v>101</v>
      </c>
      <c r="M295" s="10" t="s">
        <v>102</v>
      </c>
      <c r="N295" s="124" t="s">
        <v>440</v>
      </c>
      <c r="O295" s="124" t="s">
        <v>440</v>
      </c>
      <c r="P295" s="21">
        <v>32</v>
      </c>
      <c r="Q295" s="10" t="s">
        <v>54</v>
      </c>
      <c r="R295" s="10" t="s">
        <v>28</v>
      </c>
      <c r="S295" s="10"/>
      <c r="T295" s="10"/>
      <c r="U295" s="10" t="s">
        <v>2733</v>
      </c>
      <c r="V295" s="10" t="s">
        <v>2733</v>
      </c>
      <c r="W295" s="50">
        <f>+J295/$W$2</f>
        <v>1.2174604597438029E-5</v>
      </c>
    </row>
    <row r="296" spans="1:23">
      <c r="A296" s="10" t="s">
        <v>2819</v>
      </c>
      <c r="B296" s="10" t="s">
        <v>358</v>
      </c>
      <c r="C296" s="124">
        <v>46330</v>
      </c>
      <c r="D296" s="124" t="s">
        <v>471</v>
      </c>
      <c r="E296" s="21">
        <v>0.99476730000000002</v>
      </c>
      <c r="F296" s="10"/>
      <c r="G296" s="14">
        <v>18485149.41</v>
      </c>
      <c r="H296" s="14">
        <v>18388422.190000001</v>
      </c>
      <c r="I296" s="14">
        <v>18485149.41</v>
      </c>
      <c r="J296" s="14">
        <v>18388422.190000001</v>
      </c>
      <c r="K296" s="12">
        <v>4478</v>
      </c>
      <c r="L296" s="10" t="s">
        <v>101</v>
      </c>
      <c r="M296" s="10" t="s">
        <v>102</v>
      </c>
      <c r="N296" s="124" t="s">
        <v>412</v>
      </c>
      <c r="O296" s="124" t="s">
        <v>412</v>
      </c>
      <c r="P296" s="21">
        <v>32</v>
      </c>
      <c r="Q296" s="10" t="s">
        <v>54</v>
      </c>
      <c r="R296" s="10" t="s">
        <v>28</v>
      </c>
      <c r="S296" s="10"/>
      <c r="T296" s="10"/>
      <c r="U296" s="10" t="s">
        <v>2792</v>
      </c>
      <c r="V296" s="10" t="s">
        <v>2792</v>
      </c>
      <c r="W296" s="50">
        <f>+J296/$W$2</f>
        <v>2.2504938525221474E-4</v>
      </c>
    </row>
    <row r="297" spans="1:23">
      <c r="A297" s="10" t="s">
        <v>2869</v>
      </c>
      <c r="B297" s="10" t="s">
        <v>358</v>
      </c>
      <c r="C297" s="124">
        <v>46330</v>
      </c>
      <c r="D297" s="124" t="s">
        <v>471</v>
      </c>
      <c r="E297" s="21">
        <v>0.99476728999999997</v>
      </c>
      <c r="F297" s="10"/>
      <c r="G297" s="14">
        <v>363375.5</v>
      </c>
      <c r="H297" s="14">
        <v>361474.06</v>
      </c>
      <c r="I297" s="14">
        <v>363375.5</v>
      </c>
      <c r="J297" s="14">
        <v>361474.06</v>
      </c>
      <c r="K297" s="12">
        <v>304</v>
      </c>
      <c r="L297" s="10" t="s">
        <v>101</v>
      </c>
      <c r="M297" s="10" t="s">
        <v>102</v>
      </c>
      <c r="N297" s="124" t="s">
        <v>445</v>
      </c>
      <c r="O297" s="124" t="s">
        <v>445</v>
      </c>
      <c r="P297" s="21">
        <v>32</v>
      </c>
      <c r="Q297" s="10" t="s">
        <v>54</v>
      </c>
      <c r="R297" s="10" t="s">
        <v>28</v>
      </c>
      <c r="S297" s="10"/>
      <c r="T297" s="10"/>
      <c r="U297" s="10" t="s">
        <v>2836</v>
      </c>
      <c r="V297" s="10" t="s">
        <v>2836</v>
      </c>
      <c r="W297" s="50">
        <f>+J297/$W$2</f>
        <v>4.4239529714442663E-6</v>
      </c>
    </row>
    <row r="298" spans="1:23">
      <c r="A298" s="10" t="s">
        <v>2870</v>
      </c>
      <c r="B298" s="10" t="s">
        <v>358</v>
      </c>
      <c r="C298" s="124">
        <v>46330</v>
      </c>
      <c r="D298" s="124" t="s">
        <v>471</v>
      </c>
      <c r="E298" s="21">
        <v>0.99476726000000004</v>
      </c>
      <c r="F298" s="10"/>
      <c r="G298" s="14">
        <v>17889421.149999999</v>
      </c>
      <c r="H298" s="14">
        <v>17795810.370000001</v>
      </c>
      <c r="I298" s="14">
        <v>17889421.149999999</v>
      </c>
      <c r="J298" s="14">
        <v>17795810.370000001</v>
      </c>
      <c r="K298" s="12">
        <v>90000933</v>
      </c>
      <c r="L298" s="10" t="s">
        <v>101</v>
      </c>
      <c r="M298" s="10" t="s">
        <v>102</v>
      </c>
      <c r="N298" s="124" t="s">
        <v>445</v>
      </c>
      <c r="O298" s="124" t="s">
        <v>445</v>
      </c>
      <c r="P298" s="21">
        <v>32</v>
      </c>
      <c r="Q298" s="10" t="s">
        <v>54</v>
      </c>
      <c r="R298" s="10" t="s">
        <v>28</v>
      </c>
      <c r="S298" s="10"/>
      <c r="T298" s="10"/>
      <c r="U298" s="10" t="s">
        <v>2838</v>
      </c>
      <c r="V298" s="10" t="s">
        <v>2838</v>
      </c>
      <c r="W298" s="50">
        <f>+J298/$W$2</f>
        <v>2.1779661911457821E-4</v>
      </c>
    </row>
    <row r="299" spans="1:23">
      <c r="A299" s="10" t="s">
        <v>2968</v>
      </c>
      <c r="B299" s="10" t="s">
        <v>358</v>
      </c>
      <c r="C299" s="124">
        <v>46330</v>
      </c>
      <c r="D299" s="124" t="s">
        <v>471</v>
      </c>
      <c r="E299" s="21">
        <v>0.99509272000000004</v>
      </c>
      <c r="F299" s="10"/>
      <c r="G299" s="14">
        <v>628847.81000000006</v>
      </c>
      <c r="H299" s="14">
        <v>625761.88</v>
      </c>
      <c r="I299" s="14">
        <v>628847.81000000006</v>
      </c>
      <c r="J299" s="14">
        <v>625761.88</v>
      </c>
      <c r="K299" s="12">
        <v>70254173</v>
      </c>
      <c r="L299" s="10" t="s">
        <v>101</v>
      </c>
      <c r="M299" s="10" t="s">
        <v>102</v>
      </c>
      <c r="N299" s="124" t="s">
        <v>411</v>
      </c>
      <c r="O299" s="124" t="s">
        <v>411</v>
      </c>
      <c r="P299" s="21">
        <v>30</v>
      </c>
      <c r="Q299" s="10" t="s">
        <v>54</v>
      </c>
      <c r="R299" s="10" t="s">
        <v>28</v>
      </c>
      <c r="S299" s="10"/>
      <c r="T299" s="10"/>
      <c r="U299" s="10" t="s">
        <v>2916</v>
      </c>
      <c r="V299" s="10" t="s">
        <v>2916</v>
      </c>
      <c r="W299" s="50">
        <f>+J299/$W$2</f>
        <v>7.6584779788694937E-6</v>
      </c>
    </row>
    <row r="300" spans="1:23">
      <c r="A300" s="10" t="s">
        <v>2968</v>
      </c>
      <c r="B300" s="10" t="s">
        <v>358</v>
      </c>
      <c r="C300" s="124">
        <v>46330</v>
      </c>
      <c r="D300" s="124" t="s">
        <v>471</v>
      </c>
      <c r="E300" s="21">
        <v>0.99509272000000004</v>
      </c>
      <c r="F300" s="10"/>
      <c r="G300" s="14">
        <v>628847.81000000006</v>
      </c>
      <c r="H300" s="14">
        <v>625761.88</v>
      </c>
      <c r="I300" s="14">
        <v>628847.81000000006</v>
      </c>
      <c r="J300" s="14">
        <v>625761.88</v>
      </c>
      <c r="K300" s="12">
        <v>70254172</v>
      </c>
      <c r="L300" s="10" t="s">
        <v>101</v>
      </c>
      <c r="M300" s="10" t="s">
        <v>102</v>
      </c>
      <c r="N300" s="124" t="s">
        <v>411</v>
      </c>
      <c r="O300" s="124" t="s">
        <v>411</v>
      </c>
      <c r="P300" s="21">
        <v>30</v>
      </c>
      <c r="Q300" s="10" t="s">
        <v>54</v>
      </c>
      <c r="R300" s="10" t="s">
        <v>28</v>
      </c>
      <c r="S300" s="10"/>
      <c r="T300" s="10"/>
      <c r="U300" s="10" t="s">
        <v>2917</v>
      </c>
      <c r="V300" s="10" t="s">
        <v>2917</v>
      </c>
      <c r="W300" s="50">
        <f>+J300/$W$2</f>
        <v>7.6584779788694937E-6</v>
      </c>
    </row>
    <row r="301" spans="1:23">
      <c r="A301" s="10" t="s">
        <v>2968</v>
      </c>
      <c r="B301" s="10" t="s">
        <v>358</v>
      </c>
      <c r="C301" s="124">
        <v>46330</v>
      </c>
      <c r="D301" s="124" t="s">
        <v>471</v>
      </c>
      <c r="E301" s="21">
        <v>0.99509272000000004</v>
      </c>
      <c r="F301" s="10"/>
      <c r="G301" s="14">
        <v>628847.81000000006</v>
      </c>
      <c r="H301" s="14">
        <v>625761.88</v>
      </c>
      <c r="I301" s="14">
        <v>628847.81000000006</v>
      </c>
      <c r="J301" s="14">
        <v>625761.88</v>
      </c>
      <c r="K301" s="12">
        <v>70254174</v>
      </c>
      <c r="L301" s="10" t="s">
        <v>101</v>
      </c>
      <c r="M301" s="10" t="s">
        <v>102</v>
      </c>
      <c r="N301" s="124" t="s">
        <v>411</v>
      </c>
      <c r="O301" s="124" t="s">
        <v>411</v>
      </c>
      <c r="P301" s="21">
        <v>30</v>
      </c>
      <c r="Q301" s="10" t="s">
        <v>54</v>
      </c>
      <c r="R301" s="10" t="s">
        <v>28</v>
      </c>
      <c r="S301" s="10"/>
      <c r="T301" s="10"/>
      <c r="U301" s="10" t="s">
        <v>2918</v>
      </c>
      <c r="V301" s="10" t="s">
        <v>2918</v>
      </c>
      <c r="W301" s="50">
        <f>+J301/$W$2</f>
        <v>7.6584779788694937E-6</v>
      </c>
    </row>
    <row r="302" spans="1:23">
      <c r="A302" s="10" t="s">
        <v>2965</v>
      </c>
      <c r="B302" s="10" t="s">
        <v>358</v>
      </c>
      <c r="C302" s="124">
        <v>46330</v>
      </c>
      <c r="D302" s="124" t="s">
        <v>471</v>
      </c>
      <c r="E302" s="21">
        <v>0.99509272999999998</v>
      </c>
      <c r="F302" s="10"/>
      <c r="G302" s="14">
        <v>7154381.25</v>
      </c>
      <c r="H302" s="14">
        <v>7119272.79</v>
      </c>
      <c r="I302" s="14">
        <v>7154381.25</v>
      </c>
      <c r="J302" s="14">
        <v>7119272.79</v>
      </c>
      <c r="K302" s="12">
        <v>169</v>
      </c>
      <c r="L302" s="10" t="s">
        <v>101</v>
      </c>
      <c r="M302" s="10" t="s">
        <v>102</v>
      </c>
      <c r="N302" s="124" t="s">
        <v>411</v>
      </c>
      <c r="O302" s="124" t="s">
        <v>411</v>
      </c>
      <c r="P302" s="21">
        <v>30</v>
      </c>
      <c r="Q302" s="10" t="s">
        <v>54</v>
      </c>
      <c r="R302" s="10" t="s">
        <v>28</v>
      </c>
      <c r="S302" s="10"/>
      <c r="T302" s="10"/>
      <c r="U302" s="10" t="s">
        <v>2922</v>
      </c>
      <c r="V302" s="10" t="s">
        <v>2922</v>
      </c>
      <c r="W302" s="50">
        <f>+J302/$W$2</f>
        <v>8.7130257739221486E-5</v>
      </c>
    </row>
    <row r="303" spans="1:23">
      <c r="A303" s="10" t="s">
        <v>2986</v>
      </c>
      <c r="B303" s="10" t="s">
        <v>358</v>
      </c>
      <c r="C303" s="124">
        <v>46330</v>
      </c>
      <c r="D303" s="124" t="s">
        <v>471</v>
      </c>
      <c r="E303" s="21">
        <v>0.99493001000000003</v>
      </c>
      <c r="F303" s="10"/>
      <c r="G303" s="14">
        <v>8200000</v>
      </c>
      <c r="H303" s="14">
        <v>8158426.0700000003</v>
      </c>
      <c r="I303" s="14">
        <v>8200000</v>
      </c>
      <c r="J303" s="14">
        <v>8158426.0700000003</v>
      </c>
      <c r="K303" s="12">
        <v>69404088</v>
      </c>
      <c r="L303" s="10" t="s">
        <v>101</v>
      </c>
      <c r="M303" s="10" t="s">
        <v>102</v>
      </c>
      <c r="N303" s="124" t="s">
        <v>465</v>
      </c>
      <c r="O303" s="124" t="s">
        <v>465</v>
      </c>
      <c r="P303" s="21">
        <v>31</v>
      </c>
      <c r="Q303" s="10" t="s">
        <v>54</v>
      </c>
      <c r="R303" s="10" t="s">
        <v>28</v>
      </c>
      <c r="S303" s="10"/>
      <c r="T303" s="10"/>
      <c r="U303" s="10" t="s">
        <v>2976</v>
      </c>
      <c r="V303" s="10" t="s">
        <v>2976</v>
      </c>
      <c r="W303" s="50">
        <f>+J303/$W$2</f>
        <v>9.9848086622550086E-5</v>
      </c>
    </row>
    <row r="304" spans="1:23">
      <c r="A304" s="10" t="s">
        <v>2987</v>
      </c>
      <c r="B304" s="10" t="s">
        <v>358</v>
      </c>
      <c r="C304" s="124">
        <v>46330</v>
      </c>
      <c r="D304" s="124" t="s">
        <v>471</v>
      </c>
      <c r="E304" s="21">
        <v>0.99493001000000003</v>
      </c>
      <c r="F304" s="10"/>
      <c r="G304" s="14">
        <v>6400000</v>
      </c>
      <c r="H304" s="14">
        <v>6367552.0499999998</v>
      </c>
      <c r="I304" s="14">
        <v>6400000</v>
      </c>
      <c r="J304" s="14">
        <v>6367552.0499999998</v>
      </c>
      <c r="K304" s="12">
        <v>69291400</v>
      </c>
      <c r="L304" s="10" t="s">
        <v>101</v>
      </c>
      <c r="M304" s="10" t="s">
        <v>102</v>
      </c>
      <c r="N304" s="124" t="s">
        <v>465</v>
      </c>
      <c r="O304" s="124" t="s">
        <v>465</v>
      </c>
      <c r="P304" s="21">
        <v>31</v>
      </c>
      <c r="Q304" s="10" t="s">
        <v>54</v>
      </c>
      <c r="R304" s="10" t="s">
        <v>28</v>
      </c>
      <c r="S304" s="10"/>
      <c r="T304" s="10"/>
      <c r="U304" s="10" t="s">
        <v>2977</v>
      </c>
      <c r="V304" s="10" t="s">
        <v>2977</v>
      </c>
      <c r="W304" s="50">
        <f>+J304/$W$2</f>
        <v>7.7930213892591702E-5</v>
      </c>
    </row>
    <row r="305" spans="1:29">
      <c r="A305" s="10" t="s">
        <v>2988</v>
      </c>
      <c r="B305" s="10" t="s">
        <v>358</v>
      </c>
      <c r="C305" s="124">
        <v>46330</v>
      </c>
      <c r="D305" s="124" t="s">
        <v>471</v>
      </c>
      <c r="E305" s="21">
        <v>0.99493001000000003</v>
      </c>
      <c r="F305" s="10"/>
      <c r="G305" s="14">
        <v>8674593.4800000004</v>
      </c>
      <c r="H305" s="14">
        <v>8630613.3599999994</v>
      </c>
      <c r="I305" s="14">
        <v>8674593.4800000004</v>
      </c>
      <c r="J305" s="14">
        <v>8630613.3599999994</v>
      </c>
      <c r="K305" s="12">
        <v>1974942</v>
      </c>
      <c r="L305" s="10" t="s">
        <v>101</v>
      </c>
      <c r="M305" s="10" t="s">
        <v>102</v>
      </c>
      <c r="N305" s="124" t="s">
        <v>465</v>
      </c>
      <c r="O305" s="124" t="s">
        <v>465</v>
      </c>
      <c r="P305" s="21">
        <v>31</v>
      </c>
      <c r="Q305" s="10" t="s">
        <v>54</v>
      </c>
      <c r="R305" s="10" t="s">
        <v>28</v>
      </c>
      <c r="S305" s="10"/>
      <c r="T305" s="10"/>
      <c r="U305" s="10" t="s">
        <v>2978</v>
      </c>
      <c r="V305" s="10" t="s">
        <v>2978</v>
      </c>
      <c r="W305" s="50">
        <f>+J305/$W$2</f>
        <v>1.056270195968103E-4</v>
      </c>
    </row>
    <row r="306" spans="1:29">
      <c r="A306" s="10" t="s">
        <v>3167</v>
      </c>
      <c r="B306" s="10" t="s">
        <v>358</v>
      </c>
      <c r="C306" s="124">
        <v>46330</v>
      </c>
      <c r="D306" s="124" t="s">
        <v>471</v>
      </c>
      <c r="E306" s="21">
        <v>0.99509274000000003</v>
      </c>
      <c r="F306" s="10"/>
      <c r="G306" s="14">
        <v>2776829.85</v>
      </c>
      <c r="H306" s="14">
        <v>2763203.22</v>
      </c>
      <c r="I306" s="14">
        <v>2776829.85</v>
      </c>
      <c r="J306" s="14">
        <v>2763203.22</v>
      </c>
      <c r="K306" s="12">
        <v>86</v>
      </c>
      <c r="L306" s="10" t="s">
        <v>101</v>
      </c>
      <c r="M306" s="10" t="s">
        <v>102</v>
      </c>
      <c r="N306" s="124" t="s">
        <v>448</v>
      </c>
      <c r="O306" s="124" t="s">
        <v>448</v>
      </c>
      <c r="P306" s="21">
        <v>30</v>
      </c>
      <c r="Q306" s="10" t="s">
        <v>54</v>
      </c>
      <c r="R306" s="10" t="s">
        <v>28</v>
      </c>
      <c r="S306" s="10"/>
      <c r="T306" s="10"/>
      <c r="U306" s="10" t="s">
        <v>3128</v>
      </c>
      <c r="V306" s="10" t="s">
        <v>3128</v>
      </c>
      <c r="W306" s="50">
        <f>+J306/$W$2</f>
        <v>3.3817865369989105E-5</v>
      </c>
      <c r="AC306" s="47"/>
    </row>
    <row r="307" spans="1:29">
      <c r="A307" s="10" t="s">
        <v>3173</v>
      </c>
      <c r="B307" s="10" t="s">
        <v>358</v>
      </c>
      <c r="C307" s="124">
        <v>46330</v>
      </c>
      <c r="D307" s="124" t="s">
        <v>471</v>
      </c>
      <c r="E307" s="21">
        <v>0.99509274000000003</v>
      </c>
      <c r="F307" s="10"/>
      <c r="G307" s="14">
        <v>5000000</v>
      </c>
      <c r="H307" s="14">
        <v>4975463.7</v>
      </c>
      <c r="I307" s="14">
        <v>5000000</v>
      </c>
      <c r="J307" s="14">
        <v>4975463.7</v>
      </c>
      <c r="K307" s="12">
        <v>969</v>
      </c>
      <c r="L307" s="10" t="s">
        <v>101</v>
      </c>
      <c r="M307" s="10" t="s">
        <v>102</v>
      </c>
      <c r="N307" s="124" t="s">
        <v>448</v>
      </c>
      <c r="O307" s="124" t="s">
        <v>448</v>
      </c>
      <c r="P307" s="21">
        <v>30</v>
      </c>
      <c r="Q307" s="10" t="s">
        <v>54</v>
      </c>
      <c r="R307" s="10" t="s">
        <v>28</v>
      </c>
      <c r="S307" s="10"/>
      <c r="T307" s="10"/>
      <c r="U307" s="10" t="s">
        <v>3161</v>
      </c>
      <c r="V307" s="10" t="s">
        <v>3161</v>
      </c>
      <c r="W307" s="50">
        <f>+J307/$W$2</f>
        <v>6.0892937711569356E-5</v>
      </c>
    </row>
    <row r="308" spans="1:29">
      <c r="A308" s="10" t="s">
        <v>271</v>
      </c>
      <c r="B308" s="10" t="s">
        <v>358</v>
      </c>
      <c r="C308" s="124">
        <v>46330</v>
      </c>
      <c r="D308" s="124" t="s">
        <v>471</v>
      </c>
      <c r="E308" s="21">
        <v>0.99509270000000005</v>
      </c>
      <c r="F308" s="10"/>
      <c r="G308" s="14">
        <v>11000000</v>
      </c>
      <c r="H308" s="14">
        <v>10946019.74</v>
      </c>
      <c r="I308" s="14">
        <v>11000000</v>
      </c>
      <c r="J308" s="14">
        <v>10946019.74</v>
      </c>
      <c r="K308" s="12">
        <v>10679147</v>
      </c>
      <c r="L308" s="10" t="s">
        <v>101</v>
      </c>
      <c r="M308" s="10" t="s">
        <v>102</v>
      </c>
      <c r="N308" s="124" t="s">
        <v>310</v>
      </c>
      <c r="O308" s="124" t="s">
        <v>310</v>
      </c>
      <c r="P308" s="21">
        <v>30</v>
      </c>
      <c r="Q308" s="10" t="s">
        <v>54</v>
      </c>
      <c r="R308" s="10" t="s">
        <v>28</v>
      </c>
      <c r="S308" s="10"/>
      <c r="T308" s="10"/>
      <c r="U308" s="10" t="s">
        <v>1028</v>
      </c>
      <c r="V308" s="10" t="s">
        <v>1028</v>
      </c>
      <c r="W308" s="50">
        <f>+J308/$W$2</f>
        <v>1.3396445806999427E-4</v>
      </c>
    </row>
    <row r="309" spans="1:29">
      <c r="A309" s="10" t="s">
        <v>271</v>
      </c>
      <c r="B309" s="10" t="s">
        <v>358</v>
      </c>
      <c r="C309" s="124">
        <v>46330</v>
      </c>
      <c r="D309" s="124" t="s">
        <v>471</v>
      </c>
      <c r="E309" s="21">
        <v>0.99492994999999995</v>
      </c>
      <c r="F309" s="10"/>
      <c r="G309" s="14">
        <v>6000000</v>
      </c>
      <c r="H309" s="14">
        <v>5969579.7000000002</v>
      </c>
      <c r="I309" s="14">
        <v>6000000</v>
      </c>
      <c r="J309" s="14">
        <v>5969579.7000000002</v>
      </c>
      <c r="K309" s="12">
        <v>12299306</v>
      </c>
      <c r="L309" s="10" t="s">
        <v>101</v>
      </c>
      <c r="M309" s="10" t="s">
        <v>102</v>
      </c>
      <c r="N309" s="124" t="s">
        <v>486</v>
      </c>
      <c r="O309" s="124" t="s">
        <v>486</v>
      </c>
      <c r="P309" s="21">
        <v>31</v>
      </c>
      <c r="Q309" s="10" t="s">
        <v>54</v>
      </c>
      <c r="R309" s="10" t="s">
        <v>28</v>
      </c>
      <c r="S309" s="10"/>
      <c r="T309" s="10"/>
      <c r="U309" s="10" t="s">
        <v>1439</v>
      </c>
      <c r="V309" s="10" t="s">
        <v>1439</v>
      </c>
      <c r="W309" s="50">
        <f>+J309/$W$2</f>
        <v>7.3059571279024486E-5</v>
      </c>
    </row>
    <row r="310" spans="1:29">
      <c r="A310" s="10" t="s">
        <v>2320</v>
      </c>
      <c r="B310" s="10" t="s">
        <v>358</v>
      </c>
      <c r="C310" s="124">
        <v>46330</v>
      </c>
      <c r="D310" s="124" t="s">
        <v>471</v>
      </c>
      <c r="E310" s="21">
        <v>0.99590725000000002</v>
      </c>
      <c r="F310" s="10"/>
      <c r="G310" s="14">
        <v>18000000</v>
      </c>
      <c r="H310" s="14">
        <v>17926330.469999999</v>
      </c>
      <c r="I310" s="14">
        <v>18000000</v>
      </c>
      <c r="J310" s="14">
        <v>17926330.469999999</v>
      </c>
      <c r="K310" s="12">
        <v>20569</v>
      </c>
      <c r="L310" s="10" t="s">
        <v>101</v>
      </c>
      <c r="M310" s="10" t="s">
        <v>102</v>
      </c>
      <c r="N310" s="124" t="s">
        <v>439</v>
      </c>
      <c r="O310" s="124" t="s">
        <v>439</v>
      </c>
      <c r="P310" s="21">
        <v>25</v>
      </c>
      <c r="Q310" s="10" t="s">
        <v>54</v>
      </c>
      <c r="R310" s="10" t="s">
        <v>28</v>
      </c>
      <c r="S310" s="10"/>
      <c r="T310" s="10"/>
      <c r="U310" s="10" t="s">
        <v>2240</v>
      </c>
      <c r="V310" s="10" t="s">
        <v>2240</v>
      </c>
      <c r="W310" s="50">
        <f>+J310/$W$2</f>
        <v>2.1939400838292069E-4</v>
      </c>
    </row>
    <row r="311" spans="1:29">
      <c r="A311" s="10" t="s">
        <v>597</v>
      </c>
      <c r="B311" s="10" t="s">
        <v>358</v>
      </c>
      <c r="C311" s="124">
        <v>46330</v>
      </c>
      <c r="D311" s="124" t="s">
        <v>471</v>
      </c>
      <c r="E311" s="21">
        <v>0.99509270000000005</v>
      </c>
      <c r="F311" s="10"/>
      <c r="G311" s="14">
        <v>2700000</v>
      </c>
      <c r="H311" s="14">
        <v>2686750.29</v>
      </c>
      <c r="I311" s="14">
        <v>2700000</v>
      </c>
      <c r="J311" s="14">
        <v>2686750.29</v>
      </c>
      <c r="K311" s="12">
        <v>6910</v>
      </c>
      <c r="L311" s="10" t="s">
        <v>101</v>
      </c>
      <c r="M311" s="10" t="s">
        <v>102</v>
      </c>
      <c r="N311" s="124" t="s">
        <v>487</v>
      </c>
      <c r="O311" s="124" t="s">
        <v>487</v>
      </c>
      <c r="P311" s="21">
        <v>30</v>
      </c>
      <c r="Q311" s="10" t="s">
        <v>54</v>
      </c>
      <c r="R311" s="10" t="s">
        <v>28</v>
      </c>
      <c r="S311" s="10"/>
      <c r="T311" s="10"/>
      <c r="U311" s="10" t="s">
        <v>1583</v>
      </c>
      <c r="V311" s="10" t="s">
        <v>1583</v>
      </c>
      <c r="W311" s="50">
        <f>+J311/$W$2</f>
        <v>3.2882185042473709E-5</v>
      </c>
    </row>
    <row r="312" spans="1:29">
      <c r="A312" s="10" t="s">
        <v>127</v>
      </c>
      <c r="B312" s="10" t="s">
        <v>125</v>
      </c>
      <c r="C312" s="124">
        <v>46330</v>
      </c>
      <c r="D312" s="124" t="s">
        <v>471</v>
      </c>
      <c r="E312" s="21">
        <v>0.99868679999999999</v>
      </c>
      <c r="F312" s="10" t="s">
        <v>4162</v>
      </c>
      <c r="G312" s="14">
        <v>50000</v>
      </c>
      <c r="H312" s="14">
        <v>49934.34</v>
      </c>
      <c r="I312" s="14">
        <v>76979651.049999997</v>
      </c>
      <c r="J312" s="14">
        <v>76878561.370000005</v>
      </c>
      <c r="K312" s="12">
        <v>158025</v>
      </c>
      <c r="L312" s="10" t="s">
        <v>101</v>
      </c>
      <c r="M312" s="10" t="s">
        <v>102</v>
      </c>
      <c r="N312" s="124" t="s">
        <v>407</v>
      </c>
      <c r="O312" s="124" t="s">
        <v>407</v>
      </c>
      <c r="P312" s="21">
        <v>8</v>
      </c>
      <c r="Q312" s="10" t="s">
        <v>54</v>
      </c>
      <c r="R312" s="10" t="s">
        <v>28</v>
      </c>
      <c r="S312" s="10"/>
      <c r="T312" s="10"/>
      <c r="U312" s="10" t="s">
        <v>788</v>
      </c>
      <c r="V312" s="10" t="s">
        <v>788</v>
      </c>
      <c r="W312" s="50">
        <f>+J312/$W$2</f>
        <v>9.4088947907678875E-4</v>
      </c>
    </row>
    <row r="313" spans="1:29">
      <c r="A313" s="10" t="s">
        <v>390</v>
      </c>
      <c r="B313" s="10" t="s">
        <v>358</v>
      </c>
      <c r="C313" s="124">
        <v>46330</v>
      </c>
      <c r="D313" s="124" t="s">
        <v>471</v>
      </c>
      <c r="E313" s="21">
        <v>0.99590723000000003</v>
      </c>
      <c r="F313" s="10"/>
      <c r="G313" s="14">
        <v>695186.79</v>
      </c>
      <c r="H313" s="14">
        <v>692341.55</v>
      </c>
      <c r="I313" s="14">
        <v>695186.79</v>
      </c>
      <c r="J313" s="14">
        <v>692341.55</v>
      </c>
      <c r="K313" s="12">
        <v>40014794</v>
      </c>
      <c r="L313" s="10" t="s">
        <v>101</v>
      </c>
      <c r="M313" s="10" t="s">
        <v>102</v>
      </c>
      <c r="N313" s="124" t="s">
        <v>410</v>
      </c>
      <c r="O313" s="124" t="s">
        <v>410</v>
      </c>
      <c r="P313" s="21">
        <v>25</v>
      </c>
      <c r="Q313" s="10" t="s">
        <v>54</v>
      </c>
      <c r="R313" s="10" t="s">
        <v>28</v>
      </c>
      <c r="S313" s="10"/>
      <c r="T313" s="10"/>
      <c r="U313" s="10" t="s">
        <v>1243</v>
      </c>
      <c r="V313" s="10" t="s">
        <v>1243</v>
      </c>
      <c r="W313" s="50">
        <f>+J313/$W$2</f>
        <v>8.4733229747573834E-6</v>
      </c>
    </row>
    <row r="314" spans="1:29">
      <c r="A314" s="10" t="s">
        <v>677</v>
      </c>
      <c r="B314" s="10" t="s">
        <v>358</v>
      </c>
      <c r="C314" s="124">
        <v>46330</v>
      </c>
      <c r="D314" s="124" t="s">
        <v>471</v>
      </c>
      <c r="E314" s="21">
        <v>0.99395458999999997</v>
      </c>
      <c r="F314" s="10"/>
      <c r="G314" s="14">
        <v>25000000</v>
      </c>
      <c r="H314" s="14">
        <v>24848864.84</v>
      </c>
      <c r="I314" s="14">
        <v>25000000</v>
      </c>
      <c r="J314" s="14">
        <v>24848864.84</v>
      </c>
      <c r="K314" s="12">
        <v>2593</v>
      </c>
      <c r="L314" s="10" t="s">
        <v>101</v>
      </c>
      <c r="M314" s="10" t="s">
        <v>102</v>
      </c>
      <c r="N314" s="124" t="s">
        <v>332</v>
      </c>
      <c r="O314" s="124" t="s">
        <v>332</v>
      </c>
      <c r="P314" s="21">
        <v>37</v>
      </c>
      <c r="Q314" s="10" t="s">
        <v>54</v>
      </c>
      <c r="R314" s="10" t="s">
        <v>28</v>
      </c>
      <c r="S314" s="10"/>
      <c r="T314" s="10"/>
      <c r="U314" s="10" t="s">
        <v>913</v>
      </c>
      <c r="V314" s="10" t="s">
        <v>913</v>
      </c>
      <c r="W314" s="50">
        <f>+J314/$W$2</f>
        <v>3.0411645429255686E-4</v>
      </c>
    </row>
    <row r="315" spans="1:29">
      <c r="A315" s="10" t="s">
        <v>359</v>
      </c>
      <c r="B315" s="10" t="s">
        <v>358</v>
      </c>
      <c r="C315" s="124">
        <v>46330</v>
      </c>
      <c r="D315" s="124" t="s">
        <v>471</v>
      </c>
      <c r="E315" s="21">
        <v>0.99509270999999999</v>
      </c>
      <c r="F315" s="10"/>
      <c r="G315" s="14">
        <v>5000000</v>
      </c>
      <c r="H315" s="14">
        <v>4975463.54</v>
      </c>
      <c r="I315" s="14">
        <v>5000000</v>
      </c>
      <c r="J315" s="14">
        <v>4975463.54</v>
      </c>
      <c r="K315" s="12">
        <v>1199</v>
      </c>
      <c r="L315" s="10" t="s">
        <v>101</v>
      </c>
      <c r="M315" s="10" t="s">
        <v>102</v>
      </c>
      <c r="N315" s="124" t="s">
        <v>405</v>
      </c>
      <c r="O315" s="124" t="s">
        <v>405</v>
      </c>
      <c r="P315" s="21">
        <v>30</v>
      </c>
      <c r="Q315" s="10" t="s">
        <v>54</v>
      </c>
      <c r="R315" s="10" t="s">
        <v>28</v>
      </c>
      <c r="S315" s="10"/>
      <c r="T315" s="10"/>
      <c r="U315" s="10" t="s">
        <v>1503</v>
      </c>
      <c r="V315" s="10" t="s">
        <v>1503</v>
      </c>
      <c r="W315" s="50">
        <f>+J315/$W$2</f>
        <v>6.0892935753386032E-5</v>
      </c>
    </row>
    <row r="316" spans="1:29">
      <c r="A316" s="10" t="s">
        <v>359</v>
      </c>
      <c r="B316" s="10" t="s">
        <v>358</v>
      </c>
      <c r="C316" s="124">
        <v>46330</v>
      </c>
      <c r="D316" s="124" t="s">
        <v>471</v>
      </c>
      <c r="E316" s="21">
        <v>0.99509272000000004</v>
      </c>
      <c r="F316" s="10"/>
      <c r="G316" s="14">
        <v>5000000</v>
      </c>
      <c r="H316" s="14">
        <v>4975463.62</v>
      </c>
      <c r="I316" s="14">
        <v>5000000</v>
      </c>
      <c r="J316" s="14">
        <v>4975463.62</v>
      </c>
      <c r="K316" s="12">
        <v>1243</v>
      </c>
      <c r="L316" s="10" t="s">
        <v>101</v>
      </c>
      <c r="M316" s="10" t="s">
        <v>102</v>
      </c>
      <c r="N316" s="124" t="s">
        <v>397</v>
      </c>
      <c r="O316" s="124" t="s">
        <v>397</v>
      </c>
      <c r="P316" s="21">
        <v>30</v>
      </c>
      <c r="Q316" s="10" t="s">
        <v>54</v>
      </c>
      <c r="R316" s="10" t="s">
        <v>28</v>
      </c>
      <c r="S316" s="10"/>
      <c r="T316" s="10"/>
      <c r="U316" s="10" t="s">
        <v>1861</v>
      </c>
      <c r="V316" s="10" t="s">
        <v>1861</v>
      </c>
      <c r="W316" s="50">
        <f>+J316/$W$2</f>
        <v>6.089293673247769E-5</v>
      </c>
    </row>
    <row r="317" spans="1:29">
      <c r="A317" s="10" t="s">
        <v>359</v>
      </c>
      <c r="B317" s="10" t="s">
        <v>358</v>
      </c>
      <c r="C317" s="124">
        <v>46330</v>
      </c>
      <c r="D317" s="124" t="s">
        <v>471</v>
      </c>
      <c r="E317" s="21">
        <v>0.99476726000000004</v>
      </c>
      <c r="F317" s="10"/>
      <c r="G317" s="14">
        <v>3000000</v>
      </c>
      <c r="H317" s="14">
        <v>2984301.79</v>
      </c>
      <c r="I317" s="14">
        <v>3000000</v>
      </c>
      <c r="J317" s="14">
        <v>2984301.79</v>
      </c>
      <c r="K317" s="12">
        <v>1048</v>
      </c>
      <c r="L317" s="10" t="s">
        <v>101</v>
      </c>
      <c r="M317" s="10" t="s">
        <v>102</v>
      </c>
      <c r="N317" s="124" t="s">
        <v>373</v>
      </c>
      <c r="O317" s="124" t="s">
        <v>373</v>
      </c>
      <c r="P317" s="21">
        <v>32</v>
      </c>
      <c r="Q317" s="10" t="s">
        <v>54</v>
      </c>
      <c r="R317" s="10" t="s">
        <v>28</v>
      </c>
      <c r="S317" s="10"/>
      <c r="T317" s="10"/>
      <c r="U317" s="10" t="s">
        <v>1132</v>
      </c>
      <c r="V317" s="10" t="s">
        <v>1132</v>
      </c>
      <c r="W317" s="50">
        <f>+J317/$W$2</f>
        <v>3.6523812446063051E-5</v>
      </c>
    </row>
    <row r="318" spans="1:29">
      <c r="A318" s="10" t="s">
        <v>359</v>
      </c>
      <c r="B318" s="10" t="s">
        <v>358</v>
      </c>
      <c r="C318" s="124">
        <v>46330</v>
      </c>
      <c r="D318" s="124" t="s">
        <v>471</v>
      </c>
      <c r="E318" s="21">
        <v>0.99460462999999999</v>
      </c>
      <c r="F318" s="10"/>
      <c r="G318" s="14">
        <v>2500000</v>
      </c>
      <c r="H318" s="14">
        <v>2486511.58</v>
      </c>
      <c r="I318" s="14">
        <v>2500000</v>
      </c>
      <c r="J318" s="14">
        <v>2486511.58</v>
      </c>
      <c r="K318" s="12">
        <v>1014</v>
      </c>
      <c r="L318" s="10" t="s">
        <v>101</v>
      </c>
      <c r="M318" s="10" t="s">
        <v>102</v>
      </c>
      <c r="N318" s="124" t="s">
        <v>161</v>
      </c>
      <c r="O318" s="124" t="s">
        <v>161</v>
      </c>
      <c r="P318" s="21">
        <v>33</v>
      </c>
      <c r="Q318" s="10" t="s">
        <v>54</v>
      </c>
      <c r="R318" s="10" t="s">
        <v>28</v>
      </c>
      <c r="S318" s="10"/>
      <c r="T318" s="10"/>
      <c r="U318" s="10" t="s">
        <v>1065</v>
      </c>
      <c r="V318" s="10" t="s">
        <v>1065</v>
      </c>
      <c r="W318" s="50">
        <f>+J318/$W$2</f>
        <v>3.0431534403524217E-5</v>
      </c>
    </row>
    <row r="319" spans="1:29">
      <c r="A319" s="10" t="s">
        <v>2486</v>
      </c>
      <c r="B319" s="10" t="s">
        <v>358</v>
      </c>
      <c r="C319" s="124">
        <v>46330</v>
      </c>
      <c r="D319" s="124" t="s">
        <v>471</v>
      </c>
      <c r="E319" s="21">
        <v>0.99476732000000001</v>
      </c>
      <c r="F319" s="10"/>
      <c r="G319" s="14">
        <v>50000000</v>
      </c>
      <c r="H319" s="14">
        <v>49738366.25</v>
      </c>
      <c r="I319" s="14">
        <v>50000000</v>
      </c>
      <c r="J319" s="14">
        <v>49738366.25</v>
      </c>
      <c r="K319" s="12">
        <v>21553</v>
      </c>
      <c r="L319" s="10" t="s">
        <v>101</v>
      </c>
      <c r="M319" s="10" t="s">
        <v>102</v>
      </c>
      <c r="N319" s="124" t="s">
        <v>475</v>
      </c>
      <c r="O319" s="124" t="s">
        <v>475</v>
      </c>
      <c r="P319" s="21">
        <v>32</v>
      </c>
      <c r="Q319" s="10" t="s">
        <v>54</v>
      </c>
      <c r="R319" s="10" t="s">
        <v>28</v>
      </c>
      <c r="S319" s="10"/>
      <c r="T319" s="10"/>
      <c r="U319" s="10" t="s">
        <v>3390</v>
      </c>
      <c r="V319" s="10" t="s">
        <v>3390</v>
      </c>
      <c r="W319" s="50">
        <f>+J319/$W$2</f>
        <v>6.0873024517020861E-4</v>
      </c>
    </row>
    <row r="320" spans="1:29">
      <c r="A320" s="10" t="s">
        <v>2016</v>
      </c>
      <c r="B320" s="10" t="s">
        <v>358</v>
      </c>
      <c r="C320" s="124">
        <v>46331</v>
      </c>
      <c r="D320" s="124" t="s">
        <v>471</v>
      </c>
      <c r="E320" s="21">
        <v>0.99522836999999997</v>
      </c>
      <c r="F320" s="10"/>
      <c r="G320" s="14">
        <v>15000000</v>
      </c>
      <c r="H320" s="14">
        <v>14928425.49</v>
      </c>
      <c r="I320" s="14">
        <v>15000000</v>
      </c>
      <c r="J320" s="14">
        <v>14928425.49</v>
      </c>
      <c r="K320" s="12">
        <v>69911195</v>
      </c>
      <c r="L320" s="10" t="s">
        <v>101</v>
      </c>
      <c r="M320" s="10" t="s">
        <v>102</v>
      </c>
      <c r="N320" s="124" t="s">
        <v>439</v>
      </c>
      <c r="O320" s="124" t="s">
        <v>439</v>
      </c>
      <c r="P320" s="21">
        <v>25</v>
      </c>
      <c r="Q320" s="10" t="s">
        <v>54</v>
      </c>
      <c r="R320" s="10" t="s">
        <v>28</v>
      </c>
      <c r="S320" s="10"/>
      <c r="T320" s="10"/>
      <c r="U320" s="10" t="s">
        <v>2244</v>
      </c>
      <c r="V320" s="10" t="s">
        <v>2244</v>
      </c>
      <c r="W320" s="50">
        <f>+J320/$W$2</f>
        <v>1.8270371131325392E-4</v>
      </c>
    </row>
    <row r="321" spans="1:29">
      <c r="A321" s="10" t="s">
        <v>379</v>
      </c>
      <c r="B321" s="10" t="s">
        <v>358</v>
      </c>
      <c r="C321" s="124">
        <v>46331</v>
      </c>
      <c r="D321" s="124" t="s">
        <v>471</v>
      </c>
      <c r="E321" s="21">
        <v>0.99427949000000004</v>
      </c>
      <c r="F321" s="10"/>
      <c r="G321" s="14">
        <v>5568708.9100000001</v>
      </c>
      <c r="H321" s="14">
        <v>5536853.04</v>
      </c>
      <c r="I321" s="14">
        <v>5568708.9100000001</v>
      </c>
      <c r="J321" s="14">
        <v>5536853.04</v>
      </c>
      <c r="K321" s="12">
        <v>23042</v>
      </c>
      <c r="L321" s="10" t="s">
        <v>101</v>
      </c>
      <c r="M321" s="10" t="s">
        <v>102</v>
      </c>
      <c r="N321" s="124" t="s">
        <v>398</v>
      </c>
      <c r="O321" s="124" t="s">
        <v>398</v>
      </c>
      <c r="P321" s="21">
        <v>30</v>
      </c>
      <c r="Q321" s="10" t="s">
        <v>54</v>
      </c>
      <c r="R321" s="10" t="s">
        <v>28</v>
      </c>
      <c r="S321" s="10"/>
      <c r="T321" s="10"/>
      <c r="U321" s="10" t="s">
        <v>1680</v>
      </c>
      <c r="V321" s="10" t="s">
        <v>1680</v>
      </c>
      <c r="W321" s="50">
        <f>+J321/$W$2</f>
        <v>6.7763582976765246E-5</v>
      </c>
    </row>
    <row r="322" spans="1:29">
      <c r="A322" s="10" t="s">
        <v>379</v>
      </c>
      <c r="B322" s="10" t="s">
        <v>358</v>
      </c>
      <c r="C322" s="124">
        <v>46331</v>
      </c>
      <c r="D322" s="124" t="s">
        <v>471</v>
      </c>
      <c r="E322" s="21">
        <v>0.99484861999999996</v>
      </c>
      <c r="F322" s="10"/>
      <c r="G322" s="14">
        <v>2500000</v>
      </c>
      <c r="H322" s="14">
        <v>2487121.56</v>
      </c>
      <c r="I322" s="14">
        <v>2500000</v>
      </c>
      <c r="J322" s="14">
        <v>2487121.56</v>
      </c>
      <c r="K322" s="12">
        <v>69814628</v>
      </c>
      <c r="L322" s="10" t="s">
        <v>101</v>
      </c>
      <c r="M322" s="10" t="s">
        <v>102</v>
      </c>
      <c r="N322" s="124" t="s">
        <v>449</v>
      </c>
      <c r="O322" s="124" t="s">
        <v>449</v>
      </c>
      <c r="P322" s="21">
        <v>27</v>
      </c>
      <c r="Q322" s="10" t="s">
        <v>54</v>
      </c>
      <c r="R322" s="10" t="s">
        <v>28</v>
      </c>
      <c r="S322" s="10"/>
      <c r="T322" s="10"/>
      <c r="U322" s="10" t="s">
        <v>1950</v>
      </c>
      <c r="V322" s="10" t="s">
        <v>1950</v>
      </c>
      <c r="W322" s="50">
        <f>+J322/$W$2</f>
        <v>3.0438999732664355E-5</v>
      </c>
    </row>
    <row r="323" spans="1:29">
      <c r="A323" s="10" t="s">
        <v>334</v>
      </c>
      <c r="B323" s="10" t="s">
        <v>358</v>
      </c>
      <c r="C323" s="124">
        <v>46331</v>
      </c>
      <c r="D323" s="124" t="s">
        <v>471</v>
      </c>
      <c r="E323" s="21">
        <v>0.99314323999999998</v>
      </c>
      <c r="F323" s="10"/>
      <c r="G323" s="14">
        <v>3625698.78</v>
      </c>
      <c r="H323" s="14">
        <v>3600838.22</v>
      </c>
      <c r="I323" s="14">
        <v>3625698.78</v>
      </c>
      <c r="J323" s="14">
        <v>3600838.22</v>
      </c>
      <c r="K323" s="12">
        <v>3350</v>
      </c>
      <c r="L323" s="10" t="s">
        <v>101</v>
      </c>
      <c r="M323" s="10" t="s">
        <v>102</v>
      </c>
      <c r="N323" s="124" t="s">
        <v>331</v>
      </c>
      <c r="O323" s="124" t="s">
        <v>331</v>
      </c>
      <c r="P323" s="21">
        <v>36</v>
      </c>
      <c r="Q323" s="10" t="s">
        <v>54</v>
      </c>
      <c r="R323" s="10" t="s">
        <v>28</v>
      </c>
      <c r="S323" s="10"/>
      <c r="T323" s="10"/>
      <c r="U323" s="10" t="s">
        <v>1228</v>
      </c>
      <c r="V323" s="10" t="s">
        <v>1228</v>
      </c>
      <c r="W323" s="50">
        <f>+J323/$W$2</f>
        <v>4.4069383410414245E-5</v>
      </c>
    </row>
    <row r="324" spans="1:29">
      <c r="A324" s="10" t="s">
        <v>334</v>
      </c>
      <c r="B324" s="10" t="s">
        <v>358</v>
      </c>
      <c r="C324" s="124">
        <v>46331</v>
      </c>
      <c r="D324" s="124" t="s">
        <v>471</v>
      </c>
      <c r="E324" s="21">
        <v>0.99333245999999997</v>
      </c>
      <c r="F324" s="10"/>
      <c r="G324" s="14">
        <v>3256800.5</v>
      </c>
      <c r="H324" s="14">
        <v>3235085.64</v>
      </c>
      <c r="I324" s="14">
        <v>3256800.5</v>
      </c>
      <c r="J324" s="14">
        <v>3235085.64</v>
      </c>
      <c r="K324" s="12">
        <v>3578</v>
      </c>
      <c r="L324" s="10" t="s">
        <v>101</v>
      </c>
      <c r="M324" s="10" t="s">
        <v>102</v>
      </c>
      <c r="N324" s="124" t="s">
        <v>397</v>
      </c>
      <c r="O324" s="124" t="s">
        <v>397</v>
      </c>
      <c r="P324" s="21">
        <v>35</v>
      </c>
      <c r="Q324" s="10" t="s">
        <v>54</v>
      </c>
      <c r="R324" s="10" t="s">
        <v>28</v>
      </c>
      <c r="S324" s="10"/>
      <c r="T324" s="10"/>
      <c r="U324" s="10" t="s">
        <v>1874</v>
      </c>
      <c r="V324" s="10" t="s">
        <v>1874</v>
      </c>
      <c r="W324" s="50">
        <f>+J324/$W$2</f>
        <v>3.9593067148316745E-5</v>
      </c>
      <c r="AC324" s="47"/>
    </row>
    <row r="325" spans="1:29">
      <c r="A325" s="10" t="s">
        <v>334</v>
      </c>
      <c r="B325" s="10" t="s">
        <v>358</v>
      </c>
      <c r="C325" s="124">
        <v>46331</v>
      </c>
      <c r="D325" s="124" t="s">
        <v>471</v>
      </c>
      <c r="E325" s="21">
        <v>0.99352169999999995</v>
      </c>
      <c r="F325" s="10"/>
      <c r="G325" s="14">
        <v>1020845.65</v>
      </c>
      <c r="H325" s="14">
        <v>1014232.31</v>
      </c>
      <c r="I325" s="14">
        <v>1020845.65</v>
      </c>
      <c r="J325" s="14">
        <v>1014232.31</v>
      </c>
      <c r="K325" s="12">
        <v>2911</v>
      </c>
      <c r="L325" s="10" t="s">
        <v>101</v>
      </c>
      <c r="M325" s="10" t="s">
        <v>102</v>
      </c>
      <c r="N325" s="124" t="s">
        <v>313</v>
      </c>
      <c r="O325" s="124" t="s">
        <v>313</v>
      </c>
      <c r="P325" s="21">
        <v>34</v>
      </c>
      <c r="Q325" s="10" t="s">
        <v>54</v>
      </c>
      <c r="R325" s="10" t="s">
        <v>28</v>
      </c>
      <c r="S325" s="10"/>
      <c r="T325" s="10"/>
      <c r="U325" s="10" t="s">
        <v>725</v>
      </c>
      <c r="V325" s="10" t="s">
        <v>725</v>
      </c>
      <c r="W325" s="50">
        <f>+J325/$W$2</f>
        <v>1.2412829959525401E-5</v>
      </c>
    </row>
    <row r="326" spans="1:29">
      <c r="A326" s="10" t="s">
        <v>334</v>
      </c>
      <c r="B326" s="10" t="s">
        <v>358</v>
      </c>
      <c r="C326" s="124">
        <v>46331</v>
      </c>
      <c r="D326" s="124" t="s">
        <v>471</v>
      </c>
      <c r="E326" s="21">
        <v>0.99352169000000001</v>
      </c>
      <c r="F326" s="10"/>
      <c r="G326" s="14">
        <v>990902.64</v>
      </c>
      <c r="H326" s="14">
        <v>984483.27</v>
      </c>
      <c r="I326" s="14">
        <v>990902.64</v>
      </c>
      <c r="J326" s="14">
        <v>984483.27</v>
      </c>
      <c r="K326" s="12">
        <v>2961</v>
      </c>
      <c r="L326" s="10" t="s">
        <v>101</v>
      </c>
      <c r="M326" s="10" t="s">
        <v>102</v>
      </c>
      <c r="N326" s="124" t="s">
        <v>313</v>
      </c>
      <c r="O326" s="124" t="s">
        <v>313</v>
      </c>
      <c r="P326" s="21">
        <v>34</v>
      </c>
      <c r="Q326" s="10" t="s">
        <v>54</v>
      </c>
      <c r="R326" s="10" t="s">
        <v>28</v>
      </c>
      <c r="S326" s="10"/>
      <c r="T326" s="10"/>
      <c r="U326" s="10" t="s">
        <v>728</v>
      </c>
      <c r="V326" s="10" t="s">
        <v>728</v>
      </c>
      <c r="W326" s="50">
        <f>+J326/$W$2</f>
        <v>1.2048741997292055E-5</v>
      </c>
    </row>
    <row r="327" spans="1:29">
      <c r="A327" s="10" t="s">
        <v>401</v>
      </c>
      <c r="B327" s="10" t="s">
        <v>358</v>
      </c>
      <c r="C327" s="124">
        <v>46331</v>
      </c>
      <c r="D327" s="124" t="s">
        <v>471</v>
      </c>
      <c r="E327" s="21">
        <v>0.99503847000000001</v>
      </c>
      <c r="F327" s="10"/>
      <c r="G327" s="14">
        <v>10000000</v>
      </c>
      <c r="H327" s="14">
        <v>9950384.6600000001</v>
      </c>
      <c r="I327" s="14">
        <v>10000000</v>
      </c>
      <c r="J327" s="14">
        <v>9950384.6600000001</v>
      </c>
      <c r="K327" s="12">
        <v>22806</v>
      </c>
      <c r="L327" s="10" t="s">
        <v>101</v>
      </c>
      <c r="M327" s="10" t="s">
        <v>102</v>
      </c>
      <c r="N327" s="124" t="s">
        <v>577</v>
      </c>
      <c r="O327" s="124" t="s">
        <v>577</v>
      </c>
      <c r="P327" s="21">
        <v>26</v>
      </c>
      <c r="Q327" s="10" t="s">
        <v>54</v>
      </c>
      <c r="R327" s="10" t="s">
        <v>28</v>
      </c>
      <c r="S327" s="10"/>
      <c r="T327" s="10"/>
      <c r="U327" s="10" t="s">
        <v>2450</v>
      </c>
      <c r="V327" s="10" t="s">
        <v>2450</v>
      </c>
      <c r="W327" s="50">
        <f>+J327/$W$2</f>
        <v>1.2177923302053942E-4</v>
      </c>
      <c r="AC327" s="47"/>
    </row>
    <row r="328" spans="1:29">
      <c r="A328" s="10" t="s">
        <v>401</v>
      </c>
      <c r="B328" s="10" t="s">
        <v>358</v>
      </c>
      <c r="C328" s="124">
        <v>46331</v>
      </c>
      <c r="D328" s="124" t="s">
        <v>471</v>
      </c>
      <c r="E328" s="21">
        <v>0.99484859999999997</v>
      </c>
      <c r="F328" s="10"/>
      <c r="G328" s="14">
        <v>1000000</v>
      </c>
      <c r="H328" s="14">
        <v>994848.6</v>
      </c>
      <c r="I328" s="14">
        <v>1000000</v>
      </c>
      <c r="J328" s="14">
        <v>994848.6</v>
      </c>
      <c r="K328" s="12">
        <v>11485</v>
      </c>
      <c r="L328" s="10" t="s">
        <v>101</v>
      </c>
      <c r="M328" s="10" t="s">
        <v>102</v>
      </c>
      <c r="N328" s="124" t="s">
        <v>439</v>
      </c>
      <c r="O328" s="124" t="s">
        <v>439</v>
      </c>
      <c r="P328" s="21">
        <v>27</v>
      </c>
      <c r="Q328" s="10" t="s">
        <v>54</v>
      </c>
      <c r="R328" s="10" t="s">
        <v>28</v>
      </c>
      <c r="S328" s="10"/>
      <c r="T328" s="10"/>
      <c r="U328" s="10" t="s">
        <v>2231</v>
      </c>
      <c r="V328" s="10" t="s">
        <v>2231</v>
      </c>
      <c r="W328" s="50">
        <f>+J328/$W$2</f>
        <v>1.2175599599338243E-5</v>
      </c>
    </row>
    <row r="329" spans="1:29">
      <c r="A329" s="10" t="s">
        <v>401</v>
      </c>
      <c r="B329" s="10" t="s">
        <v>358</v>
      </c>
      <c r="C329" s="124">
        <v>46331</v>
      </c>
      <c r="D329" s="124" t="s">
        <v>471</v>
      </c>
      <c r="E329" s="21">
        <v>0.99465884999999998</v>
      </c>
      <c r="F329" s="10"/>
      <c r="G329" s="14">
        <v>1500000</v>
      </c>
      <c r="H329" s="14">
        <v>1491988.28</v>
      </c>
      <c r="I329" s="14">
        <v>1500000</v>
      </c>
      <c r="J329" s="14">
        <v>1491988.28</v>
      </c>
      <c r="K329" s="12">
        <v>14315893</v>
      </c>
      <c r="L329" s="10" t="s">
        <v>101</v>
      </c>
      <c r="M329" s="10" t="s">
        <v>102</v>
      </c>
      <c r="N329" s="124" t="s">
        <v>449</v>
      </c>
      <c r="O329" s="124" t="s">
        <v>449</v>
      </c>
      <c r="P329" s="21">
        <v>28</v>
      </c>
      <c r="Q329" s="10" t="s">
        <v>54</v>
      </c>
      <c r="R329" s="10" t="s">
        <v>28</v>
      </c>
      <c r="S329" s="10"/>
      <c r="T329" s="10"/>
      <c r="U329" s="10" t="s">
        <v>1899</v>
      </c>
      <c r="V329" s="10" t="s">
        <v>1899</v>
      </c>
      <c r="W329" s="50">
        <f>+J329/$W$2</f>
        <v>1.8259916035651408E-5</v>
      </c>
    </row>
    <row r="330" spans="1:29">
      <c r="A330" s="10" t="s">
        <v>1427</v>
      </c>
      <c r="B330" s="10" t="s">
        <v>358</v>
      </c>
      <c r="C330" s="124">
        <v>46331</v>
      </c>
      <c r="D330" s="124" t="s">
        <v>471</v>
      </c>
      <c r="E330" s="21">
        <v>0.99390045000000005</v>
      </c>
      <c r="F330" s="10"/>
      <c r="G330" s="14">
        <v>4758168.4800000004</v>
      </c>
      <c r="H330" s="14">
        <v>4729145.7699999996</v>
      </c>
      <c r="I330" s="14">
        <v>4758168.4800000004</v>
      </c>
      <c r="J330" s="14">
        <v>4729145.7699999996</v>
      </c>
      <c r="K330" s="12">
        <v>90022875</v>
      </c>
      <c r="L330" s="10" t="s">
        <v>101</v>
      </c>
      <c r="M330" s="10" t="s">
        <v>102</v>
      </c>
      <c r="N330" s="124" t="s">
        <v>391</v>
      </c>
      <c r="O330" s="124" t="s">
        <v>391</v>
      </c>
      <c r="P330" s="21">
        <v>32</v>
      </c>
      <c r="Q330" s="10" t="s">
        <v>54</v>
      </c>
      <c r="R330" s="10" t="s">
        <v>28</v>
      </c>
      <c r="S330" s="10"/>
      <c r="T330" s="10"/>
      <c r="U330" s="10" t="s">
        <v>1408</v>
      </c>
      <c r="V330" s="10" t="s">
        <v>1408</v>
      </c>
      <c r="W330" s="50">
        <f>+J330/$W$2</f>
        <v>5.7878339822184143E-5</v>
      </c>
    </row>
    <row r="331" spans="1:29">
      <c r="A331" s="10" t="s">
        <v>1744</v>
      </c>
      <c r="B331" s="10" t="s">
        <v>358</v>
      </c>
      <c r="C331" s="124">
        <v>46331</v>
      </c>
      <c r="D331" s="124" t="s">
        <v>471</v>
      </c>
      <c r="E331" s="21">
        <v>0.99371103000000005</v>
      </c>
      <c r="F331" s="10"/>
      <c r="G331" s="14">
        <v>5300000</v>
      </c>
      <c r="H331" s="14">
        <v>5266668.4800000004</v>
      </c>
      <c r="I331" s="14">
        <v>5300000</v>
      </c>
      <c r="J331" s="14">
        <v>5266668.4800000004</v>
      </c>
      <c r="K331" s="12">
        <v>8175674</v>
      </c>
      <c r="L331" s="10" t="s">
        <v>101</v>
      </c>
      <c r="M331" s="10" t="s">
        <v>102</v>
      </c>
      <c r="N331" s="124" t="s">
        <v>398</v>
      </c>
      <c r="O331" s="124" t="s">
        <v>398</v>
      </c>
      <c r="P331" s="21">
        <v>33</v>
      </c>
      <c r="Q331" s="10" t="s">
        <v>54</v>
      </c>
      <c r="R331" s="10" t="s">
        <v>28</v>
      </c>
      <c r="S331" s="10"/>
      <c r="T331" s="10"/>
      <c r="U331" s="10" t="s">
        <v>1652</v>
      </c>
      <c r="V331" s="10" t="s">
        <v>1652</v>
      </c>
      <c r="W331" s="50">
        <f>+J331/$W$2</f>
        <v>6.4456889857346494E-5</v>
      </c>
    </row>
    <row r="332" spans="1:29">
      <c r="A332" s="10" t="s">
        <v>2758</v>
      </c>
      <c r="B332" s="10" t="s">
        <v>358</v>
      </c>
      <c r="C332" s="124">
        <v>46331</v>
      </c>
      <c r="D332" s="124" t="s">
        <v>471</v>
      </c>
      <c r="E332" s="21">
        <v>0.99465884000000004</v>
      </c>
      <c r="F332" s="10"/>
      <c r="G332" s="14">
        <v>782797.4</v>
      </c>
      <c r="H332" s="14">
        <v>778616.35</v>
      </c>
      <c r="I332" s="14">
        <v>782797.4</v>
      </c>
      <c r="J332" s="14">
        <v>778616.35</v>
      </c>
      <c r="K332" s="12">
        <v>9343011</v>
      </c>
      <c r="L332" s="10" t="s">
        <v>101</v>
      </c>
      <c r="M332" s="10" t="s">
        <v>102</v>
      </c>
      <c r="N332" s="124" t="s">
        <v>411</v>
      </c>
      <c r="O332" s="124" t="s">
        <v>411</v>
      </c>
      <c r="P332" s="21">
        <v>28</v>
      </c>
      <c r="Q332" s="10" t="s">
        <v>54</v>
      </c>
      <c r="R332" s="10" t="s">
        <v>28</v>
      </c>
      <c r="S332" s="10"/>
      <c r="T332" s="10"/>
      <c r="U332" s="10" t="s">
        <v>2940</v>
      </c>
      <c r="V332" s="10" t="s">
        <v>2940</v>
      </c>
      <c r="W332" s="50">
        <f>+J332/$W$2</f>
        <v>9.5292096898947286E-6</v>
      </c>
    </row>
    <row r="333" spans="1:29">
      <c r="A333" s="10" t="s">
        <v>453</v>
      </c>
      <c r="B333" s="10" t="s">
        <v>358</v>
      </c>
      <c r="C333" s="124">
        <v>46331</v>
      </c>
      <c r="D333" s="124" t="s">
        <v>471</v>
      </c>
      <c r="E333" s="21">
        <v>0.99484859999999997</v>
      </c>
      <c r="F333" s="10"/>
      <c r="G333" s="14">
        <v>15000000</v>
      </c>
      <c r="H333" s="14">
        <v>14922728.99</v>
      </c>
      <c r="I333" s="14">
        <v>15000000</v>
      </c>
      <c r="J333" s="14">
        <v>14922728.99</v>
      </c>
      <c r="K333" s="12">
        <v>236</v>
      </c>
      <c r="L333" s="10" t="s">
        <v>101</v>
      </c>
      <c r="M333" s="10" t="s">
        <v>102</v>
      </c>
      <c r="N333" s="124" t="s">
        <v>317</v>
      </c>
      <c r="O333" s="124" t="s">
        <v>317</v>
      </c>
      <c r="P333" s="21">
        <v>27</v>
      </c>
      <c r="Q333" s="10" t="s">
        <v>54</v>
      </c>
      <c r="R333" s="10" t="s">
        <v>28</v>
      </c>
      <c r="S333" s="10"/>
      <c r="T333" s="10"/>
      <c r="U333" s="10" t="s">
        <v>639</v>
      </c>
      <c r="V333" s="10" t="s">
        <v>639</v>
      </c>
      <c r="W333" s="50">
        <f>+J333/$W$2</f>
        <v>1.826339938676872E-4</v>
      </c>
    </row>
    <row r="334" spans="1:29">
      <c r="A334" s="10" t="s">
        <v>453</v>
      </c>
      <c r="B334" s="10" t="s">
        <v>358</v>
      </c>
      <c r="C334" s="124">
        <v>46331</v>
      </c>
      <c r="D334" s="124" t="s">
        <v>471</v>
      </c>
      <c r="E334" s="21">
        <v>0.99484859999999997</v>
      </c>
      <c r="F334" s="10"/>
      <c r="G334" s="14">
        <v>25000000</v>
      </c>
      <c r="H334" s="14">
        <v>24871215.010000002</v>
      </c>
      <c r="I334" s="14">
        <v>25000000</v>
      </c>
      <c r="J334" s="14">
        <v>24871215.010000002</v>
      </c>
      <c r="K334" s="12">
        <v>9508922</v>
      </c>
      <c r="L334" s="10" t="s">
        <v>101</v>
      </c>
      <c r="M334" s="10" t="s">
        <v>102</v>
      </c>
      <c r="N334" s="124" t="s">
        <v>476</v>
      </c>
      <c r="O334" s="124" t="s">
        <v>476</v>
      </c>
      <c r="P334" s="21">
        <v>27</v>
      </c>
      <c r="Q334" s="10" t="s">
        <v>54</v>
      </c>
      <c r="R334" s="10" t="s">
        <v>28</v>
      </c>
      <c r="S334" s="10"/>
      <c r="T334" s="10"/>
      <c r="U334" s="10" t="s">
        <v>683</v>
      </c>
      <c r="V334" s="10" t="s">
        <v>683</v>
      </c>
      <c r="W334" s="50">
        <f>+J334/$W$2</f>
        <v>3.0438999010584254E-4</v>
      </c>
    </row>
    <row r="335" spans="1:29">
      <c r="A335" s="10" t="s">
        <v>789</v>
      </c>
      <c r="B335" s="10" t="s">
        <v>358</v>
      </c>
      <c r="C335" s="124">
        <v>46331</v>
      </c>
      <c r="D335" s="124" t="s">
        <v>471</v>
      </c>
      <c r="E335" s="21">
        <v>0.99314325000000003</v>
      </c>
      <c r="F335" s="10"/>
      <c r="G335" s="14">
        <v>3140560.45</v>
      </c>
      <c r="H335" s="14">
        <v>3119026.41</v>
      </c>
      <c r="I335" s="14">
        <v>3140560.45</v>
      </c>
      <c r="J335" s="14">
        <v>3119026.41</v>
      </c>
      <c r="K335" s="12">
        <v>1114</v>
      </c>
      <c r="L335" s="10" t="s">
        <v>101</v>
      </c>
      <c r="M335" s="10" t="s">
        <v>102</v>
      </c>
      <c r="N335" s="124" t="s">
        <v>365</v>
      </c>
      <c r="O335" s="124" t="s">
        <v>365</v>
      </c>
      <c r="P335" s="21">
        <v>36</v>
      </c>
      <c r="Q335" s="10" t="s">
        <v>54</v>
      </c>
      <c r="R335" s="10" t="s">
        <v>28</v>
      </c>
      <c r="S335" s="10"/>
      <c r="T335" s="10"/>
      <c r="U335" s="10" t="s">
        <v>1331</v>
      </c>
      <c r="V335" s="10" t="s">
        <v>1331</v>
      </c>
      <c r="W335" s="50">
        <f>+J335/$W$2</f>
        <v>3.8172659345272641E-5</v>
      </c>
    </row>
    <row r="336" spans="1:29">
      <c r="A336" s="10" t="s">
        <v>789</v>
      </c>
      <c r="B336" s="10" t="s">
        <v>358</v>
      </c>
      <c r="C336" s="124">
        <v>46331</v>
      </c>
      <c r="D336" s="124" t="s">
        <v>471</v>
      </c>
      <c r="E336" s="21">
        <v>0.99314327999999996</v>
      </c>
      <c r="F336" s="10"/>
      <c r="G336" s="14">
        <v>3256800.5</v>
      </c>
      <c r="H336" s="14">
        <v>3234469.53</v>
      </c>
      <c r="I336" s="14">
        <v>3256800.5</v>
      </c>
      <c r="J336" s="14">
        <v>3234469.53</v>
      </c>
      <c r="K336" s="12">
        <v>1281</v>
      </c>
      <c r="L336" s="10" t="s">
        <v>101</v>
      </c>
      <c r="M336" s="10" t="s">
        <v>102</v>
      </c>
      <c r="N336" s="124" t="s">
        <v>478</v>
      </c>
      <c r="O336" s="124" t="s">
        <v>478</v>
      </c>
      <c r="P336" s="21">
        <v>36</v>
      </c>
      <c r="Q336" s="10" t="s">
        <v>54</v>
      </c>
      <c r="R336" s="10" t="s">
        <v>28</v>
      </c>
      <c r="S336" s="10"/>
      <c r="T336" s="10"/>
      <c r="U336" s="10" t="s">
        <v>2165</v>
      </c>
      <c r="V336" s="10" t="s">
        <v>2165</v>
      </c>
      <c r="W336" s="50">
        <f>+J336/$W$2</f>
        <v>3.9585526796278103E-5</v>
      </c>
    </row>
    <row r="337" spans="1:23">
      <c r="A337" s="10" t="s">
        <v>3571</v>
      </c>
      <c r="B337" s="10" t="s">
        <v>358</v>
      </c>
      <c r="C337" s="124">
        <v>46331</v>
      </c>
      <c r="D337" s="124" t="s">
        <v>471</v>
      </c>
      <c r="E337" s="21">
        <v>0.99333256999999997</v>
      </c>
      <c r="F337" s="10"/>
      <c r="G337" s="14">
        <v>800000</v>
      </c>
      <c r="H337" s="14">
        <v>794666.06</v>
      </c>
      <c r="I337" s="14">
        <v>800000</v>
      </c>
      <c r="J337" s="14">
        <v>794666.06</v>
      </c>
      <c r="K337" s="12">
        <v>88189589</v>
      </c>
      <c r="L337" s="10" t="s">
        <v>101</v>
      </c>
      <c r="M337" s="10" t="s">
        <v>102</v>
      </c>
      <c r="N337" s="124" t="s">
        <v>451</v>
      </c>
      <c r="O337" s="124" t="s">
        <v>451</v>
      </c>
      <c r="P337" s="21">
        <v>35</v>
      </c>
      <c r="Q337" s="10" t="s">
        <v>54</v>
      </c>
      <c r="R337" s="10" t="s">
        <v>28</v>
      </c>
      <c r="S337" s="10"/>
      <c r="T337" s="10"/>
      <c r="U337" s="10" t="s">
        <v>3507</v>
      </c>
      <c r="V337" s="10" t="s">
        <v>3507</v>
      </c>
      <c r="W337" s="50">
        <f>+J337/$W$2</f>
        <v>9.7256364051210414E-6</v>
      </c>
    </row>
    <row r="338" spans="1:23">
      <c r="A338" s="10" t="s">
        <v>3571</v>
      </c>
      <c r="B338" s="10" t="s">
        <v>358</v>
      </c>
      <c r="C338" s="124">
        <v>46331</v>
      </c>
      <c r="D338" s="124" t="s">
        <v>471</v>
      </c>
      <c r="E338" s="21">
        <v>0.99333256999999997</v>
      </c>
      <c r="F338" s="10"/>
      <c r="G338" s="14">
        <v>400000</v>
      </c>
      <c r="H338" s="14">
        <v>397333.03</v>
      </c>
      <c r="I338" s="14">
        <v>400000</v>
      </c>
      <c r="J338" s="14">
        <v>397333.03</v>
      </c>
      <c r="K338" s="12">
        <v>88205613</v>
      </c>
      <c r="L338" s="10" t="s">
        <v>101</v>
      </c>
      <c r="M338" s="10" t="s">
        <v>102</v>
      </c>
      <c r="N338" s="124" t="s">
        <v>451</v>
      </c>
      <c r="O338" s="124" t="s">
        <v>451</v>
      </c>
      <c r="P338" s="21">
        <v>35</v>
      </c>
      <c r="Q338" s="10" t="s">
        <v>54</v>
      </c>
      <c r="R338" s="10" t="s">
        <v>28</v>
      </c>
      <c r="S338" s="10"/>
      <c r="T338" s="10"/>
      <c r="U338" s="10" t="s">
        <v>3508</v>
      </c>
      <c r="V338" s="10" t="s">
        <v>3508</v>
      </c>
      <c r="W338" s="50">
        <f>+J338/$W$2</f>
        <v>4.8628182025605207E-6</v>
      </c>
    </row>
    <row r="339" spans="1:23">
      <c r="A339" s="10" t="s">
        <v>1312</v>
      </c>
      <c r="B339" s="10" t="s">
        <v>358</v>
      </c>
      <c r="C339" s="124">
        <v>46331</v>
      </c>
      <c r="D339" s="124" t="s">
        <v>471</v>
      </c>
      <c r="E339" s="21">
        <v>0.99390045000000005</v>
      </c>
      <c r="F339" s="10"/>
      <c r="G339" s="14">
        <v>9915945.7599999998</v>
      </c>
      <c r="H339" s="14">
        <v>9855462.9800000004</v>
      </c>
      <c r="I339" s="14">
        <v>9915945.7599999998</v>
      </c>
      <c r="J339" s="14">
        <v>9855462.9800000004</v>
      </c>
      <c r="K339" s="12">
        <v>69407769</v>
      </c>
      <c r="L339" s="10" t="s">
        <v>101</v>
      </c>
      <c r="M339" s="10" t="s">
        <v>102</v>
      </c>
      <c r="N339" s="124" t="s">
        <v>162</v>
      </c>
      <c r="O339" s="124" t="s">
        <v>162</v>
      </c>
      <c r="P339" s="21">
        <v>32</v>
      </c>
      <c r="Q339" s="10" t="s">
        <v>54</v>
      </c>
      <c r="R339" s="10" t="s">
        <v>28</v>
      </c>
      <c r="S339" s="10"/>
      <c r="T339" s="10"/>
      <c r="U339" s="10" t="s">
        <v>1285</v>
      </c>
      <c r="V339" s="10" t="s">
        <v>1285</v>
      </c>
      <c r="W339" s="50">
        <f>+J339/$W$2</f>
        <v>1.2061752020416061E-4</v>
      </c>
    </row>
    <row r="340" spans="1:23">
      <c r="A340" s="10" t="s">
        <v>1370</v>
      </c>
      <c r="B340" s="10" t="s">
        <v>358</v>
      </c>
      <c r="C340" s="124">
        <v>46331</v>
      </c>
      <c r="D340" s="124" t="s">
        <v>471</v>
      </c>
      <c r="E340" s="21">
        <v>0.99408993999999995</v>
      </c>
      <c r="F340" s="10"/>
      <c r="G340" s="14">
        <v>1598248</v>
      </c>
      <c r="H340" s="14">
        <v>1588802.26</v>
      </c>
      <c r="I340" s="14">
        <v>1598248</v>
      </c>
      <c r="J340" s="14">
        <v>1588802.26</v>
      </c>
      <c r="K340" s="12">
        <v>11999346</v>
      </c>
      <c r="L340" s="10" t="s">
        <v>101</v>
      </c>
      <c r="M340" s="10" t="s">
        <v>102</v>
      </c>
      <c r="N340" s="124" t="s">
        <v>365</v>
      </c>
      <c r="O340" s="124" t="s">
        <v>365</v>
      </c>
      <c r="P340" s="21">
        <v>31</v>
      </c>
      <c r="Q340" s="10" t="s">
        <v>54</v>
      </c>
      <c r="R340" s="10" t="s">
        <v>28</v>
      </c>
      <c r="S340" s="10"/>
      <c r="T340" s="10"/>
      <c r="U340" s="10" t="s">
        <v>1355</v>
      </c>
      <c r="V340" s="10" t="s">
        <v>1355</v>
      </c>
      <c r="W340" s="50">
        <f>+J340/$W$2</f>
        <v>1.9444788041400166E-5</v>
      </c>
    </row>
    <row r="341" spans="1:23">
      <c r="A341" s="10" t="s">
        <v>318</v>
      </c>
      <c r="B341" s="10" t="s">
        <v>358</v>
      </c>
      <c r="C341" s="124">
        <v>46331</v>
      </c>
      <c r="D341" s="124" t="s">
        <v>471</v>
      </c>
      <c r="E341" s="21">
        <v>0.99390047000000004</v>
      </c>
      <c r="F341" s="10"/>
      <c r="G341" s="14">
        <v>40000000</v>
      </c>
      <c r="H341" s="14">
        <v>39756018.670000002</v>
      </c>
      <c r="I341" s="14">
        <v>40000000</v>
      </c>
      <c r="J341" s="14">
        <v>39756018.670000002</v>
      </c>
      <c r="K341" s="12">
        <v>13953436</v>
      </c>
      <c r="L341" s="10" t="s">
        <v>101</v>
      </c>
      <c r="M341" s="10" t="s">
        <v>102</v>
      </c>
      <c r="N341" s="124" t="s">
        <v>346</v>
      </c>
      <c r="O341" s="124" t="s">
        <v>346</v>
      </c>
      <c r="P341" s="21">
        <v>32</v>
      </c>
      <c r="Q341" s="10" t="s">
        <v>54</v>
      </c>
      <c r="R341" s="10" t="s">
        <v>28</v>
      </c>
      <c r="S341" s="10"/>
      <c r="T341" s="10"/>
      <c r="U341" s="10" t="s">
        <v>771</v>
      </c>
      <c r="V341" s="10" t="s">
        <v>771</v>
      </c>
      <c r="W341" s="50">
        <f>+J341/$W$2</f>
        <v>4.8655982929436274E-4</v>
      </c>
    </row>
    <row r="342" spans="1:23">
      <c r="A342" s="10" t="s">
        <v>360</v>
      </c>
      <c r="B342" s="10" t="s">
        <v>358</v>
      </c>
      <c r="C342" s="124">
        <v>46331</v>
      </c>
      <c r="D342" s="124" t="s">
        <v>471</v>
      </c>
      <c r="E342" s="21">
        <v>0.99333245000000003</v>
      </c>
      <c r="F342" s="10"/>
      <c r="G342" s="14">
        <v>50000000</v>
      </c>
      <c r="H342" s="14">
        <v>49666622.729999997</v>
      </c>
      <c r="I342" s="14">
        <v>50000000</v>
      </c>
      <c r="J342" s="14">
        <v>49666622.729999997</v>
      </c>
      <c r="K342" s="12">
        <v>69489833</v>
      </c>
      <c r="L342" s="10" t="s">
        <v>101</v>
      </c>
      <c r="M342" s="10" t="s">
        <v>102</v>
      </c>
      <c r="N342" s="124" t="s">
        <v>396</v>
      </c>
      <c r="O342" s="124" t="s">
        <v>396</v>
      </c>
      <c r="P342" s="21">
        <v>35</v>
      </c>
      <c r="Q342" s="10" t="s">
        <v>54</v>
      </c>
      <c r="R342" s="10" t="s">
        <v>28</v>
      </c>
      <c r="S342" s="10"/>
      <c r="T342" s="10"/>
      <c r="U342" s="10" t="s">
        <v>1388</v>
      </c>
      <c r="V342" s="10" t="s">
        <v>1388</v>
      </c>
      <c r="W342" s="50">
        <f>+J342/$W$2</f>
        <v>6.0785220164341755E-4</v>
      </c>
    </row>
    <row r="343" spans="1:23">
      <c r="A343" s="10" t="s">
        <v>3573</v>
      </c>
      <c r="B343" s="10" t="s">
        <v>358</v>
      </c>
      <c r="C343" s="124">
        <v>46331</v>
      </c>
      <c r="D343" s="124" t="s">
        <v>471</v>
      </c>
      <c r="E343" s="21">
        <v>0.99427960999999998</v>
      </c>
      <c r="F343" s="10"/>
      <c r="G343" s="14">
        <v>1879533.11</v>
      </c>
      <c r="H343" s="14">
        <v>1868781.45</v>
      </c>
      <c r="I343" s="14">
        <v>1879533.11</v>
      </c>
      <c r="J343" s="14">
        <v>1868781.45</v>
      </c>
      <c r="K343" s="12">
        <v>669</v>
      </c>
      <c r="L343" s="10" t="s">
        <v>101</v>
      </c>
      <c r="M343" s="10" t="s">
        <v>102</v>
      </c>
      <c r="N343" s="124" t="s">
        <v>451</v>
      </c>
      <c r="O343" s="124" t="s">
        <v>451</v>
      </c>
      <c r="P343" s="21">
        <v>30</v>
      </c>
      <c r="Q343" s="10" t="s">
        <v>54</v>
      </c>
      <c r="R343" s="10" t="s">
        <v>28</v>
      </c>
      <c r="S343" s="10"/>
      <c r="T343" s="10"/>
      <c r="U343" s="10" t="s">
        <v>3535</v>
      </c>
      <c r="V343" s="10" t="s">
        <v>3535</v>
      </c>
      <c r="W343" s="50">
        <f>+J343/$W$2</f>
        <v>2.2871354167730386E-5</v>
      </c>
    </row>
    <row r="344" spans="1:23">
      <c r="A344" s="10" t="s">
        <v>574</v>
      </c>
      <c r="B344" s="10" t="s">
        <v>358</v>
      </c>
      <c r="C344" s="124">
        <v>46331</v>
      </c>
      <c r="D344" s="124" t="s">
        <v>471</v>
      </c>
      <c r="E344" s="21">
        <v>0.99352169000000001</v>
      </c>
      <c r="F344" s="10"/>
      <c r="G344" s="14">
        <v>200000000</v>
      </c>
      <c r="H344" s="14">
        <v>198704338.84</v>
      </c>
      <c r="I344" s="14">
        <v>200000000</v>
      </c>
      <c r="J344" s="14">
        <v>198704338.84</v>
      </c>
      <c r="K344" s="12">
        <v>90004087</v>
      </c>
      <c r="L344" s="10" t="s">
        <v>101</v>
      </c>
      <c r="M344" s="10" t="s">
        <v>102</v>
      </c>
      <c r="N344" s="124" t="s">
        <v>399</v>
      </c>
      <c r="O344" s="124" t="s">
        <v>399</v>
      </c>
      <c r="P344" s="21">
        <v>34</v>
      </c>
      <c r="Q344" s="10" t="s">
        <v>54</v>
      </c>
      <c r="R344" s="10" t="s">
        <v>28</v>
      </c>
      <c r="S344" s="10"/>
      <c r="T344" s="10"/>
      <c r="U344" s="10" t="s">
        <v>1123</v>
      </c>
      <c r="V344" s="10" t="s">
        <v>1123</v>
      </c>
      <c r="W344" s="50">
        <f>+J344/$W$2</f>
        <v>2.4318720138592691E-3</v>
      </c>
    </row>
    <row r="345" spans="1:23">
      <c r="A345" s="10" t="s">
        <v>520</v>
      </c>
      <c r="B345" s="10" t="s">
        <v>358</v>
      </c>
      <c r="C345" s="124">
        <v>46331</v>
      </c>
      <c r="D345" s="124" t="s">
        <v>471</v>
      </c>
      <c r="E345" s="21">
        <v>0.99257609000000002</v>
      </c>
      <c r="F345" s="10"/>
      <c r="G345" s="14">
        <v>3750000</v>
      </c>
      <c r="H345" s="14">
        <v>3722160.32</v>
      </c>
      <c r="I345" s="14">
        <v>3750000</v>
      </c>
      <c r="J345" s="14">
        <v>3722160.32</v>
      </c>
      <c r="K345" s="12">
        <v>66918287</v>
      </c>
      <c r="L345" s="10" t="s">
        <v>101</v>
      </c>
      <c r="M345" s="10" t="s">
        <v>102</v>
      </c>
      <c r="N345" s="124" t="s">
        <v>296</v>
      </c>
      <c r="O345" s="124" t="s">
        <v>296</v>
      </c>
      <c r="P345" s="21">
        <v>39</v>
      </c>
      <c r="Q345" s="10" t="s">
        <v>54</v>
      </c>
      <c r="R345" s="10" t="s">
        <v>28</v>
      </c>
      <c r="S345" s="10"/>
      <c r="T345" s="10"/>
      <c r="U345" s="10" t="s">
        <v>515</v>
      </c>
      <c r="V345" s="10" t="s">
        <v>515</v>
      </c>
      <c r="W345" s="50">
        <f>+J345/$W$2</f>
        <v>4.5554201615064546E-5</v>
      </c>
    </row>
    <row r="346" spans="1:23">
      <c r="A346" s="10" t="s">
        <v>525</v>
      </c>
      <c r="B346" s="10" t="s">
        <v>358</v>
      </c>
      <c r="C346" s="124">
        <v>46331</v>
      </c>
      <c r="D346" s="124" t="s">
        <v>471</v>
      </c>
      <c r="E346" s="21">
        <v>0.99371103999999999</v>
      </c>
      <c r="F346" s="10"/>
      <c r="G346" s="14">
        <v>1300000</v>
      </c>
      <c r="H346" s="14">
        <v>1291824.3500000001</v>
      </c>
      <c r="I346" s="14">
        <v>1300000</v>
      </c>
      <c r="J346" s="14">
        <v>1291824.3500000001</v>
      </c>
      <c r="K346" s="12">
        <v>555</v>
      </c>
      <c r="L346" s="10" t="s">
        <v>101</v>
      </c>
      <c r="M346" s="10" t="s">
        <v>102</v>
      </c>
      <c r="N346" s="124" t="s">
        <v>162</v>
      </c>
      <c r="O346" s="124" t="s">
        <v>162</v>
      </c>
      <c r="P346" s="21">
        <v>33</v>
      </c>
      <c r="Q346" s="10" t="s">
        <v>54</v>
      </c>
      <c r="R346" s="10" t="s">
        <v>28</v>
      </c>
      <c r="S346" s="10"/>
      <c r="T346" s="10"/>
      <c r="U346" s="10" t="s">
        <v>1267</v>
      </c>
      <c r="V346" s="10" t="s">
        <v>1267</v>
      </c>
      <c r="W346" s="50">
        <f>+J346/$W$2</f>
        <v>1.5810180602631784E-5</v>
      </c>
    </row>
    <row r="347" spans="1:23">
      <c r="A347" s="10" t="s">
        <v>781</v>
      </c>
      <c r="B347" s="10" t="s">
        <v>358</v>
      </c>
      <c r="C347" s="124">
        <v>46331</v>
      </c>
      <c r="D347" s="124" t="s">
        <v>471</v>
      </c>
      <c r="E347" s="21">
        <v>0.99371105000000004</v>
      </c>
      <c r="F347" s="10"/>
      <c r="G347" s="14">
        <v>40000000</v>
      </c>
      <c r="H347" s="14">
        <v>39748441.979999997</v>
      </c>
      <c r="I347" s="14">
        <v>40000000</v>
      </c>
      <c r="J347" s="14">
        <v>39748441.979999997</v>
      </c>
      <c r="K347" s="12">
        <v>11405027</v>
      </c>
      <c r="L347" s="10" t="s">
        <v>101</v>
      </c>
      <c r="M347" s="10" t="s">
        <v>102</v>
      </c>
      <c r="N347" s="124" t="s">
        <v>480</v>
      </c>
      <c r="O347" s="124" t="s">
        <v>480</v>
      </c>
      <c r="P347" s="21">
        <v>33</v>
      </c>
      <c r="Q347" s="10" t="s">
        <v>54</v>
      </c>
      <c r="R347" s="10" t="s">
        <v>28</v>
      </c>
      <c r="S347" s="10"/>
      <c r="T347" s="10"/>
      <c r="U347" s="10" t="s">
        <v>1532</v>
      </c>
      <c r="V347" s="10" t="s">
        <v>1532</v>
      </c>
      <c r="W347" s="50">
        <f>+J347/$W$2</f>
        <v>4.8646710086942612E-4</v>
      </c>
    </row>
    <row r="348" spans="1:23">
      <c r="A348" s="10" t="s">
        <v>2436</v>
      </c>
      <c r="B348" s="10" t="s">
        <v>358</v>
      </c>
      <c r="C348" s="124">
        <v>46331</v>
      </c>
      <c r="D348" s="124" t="s">
        <v>471</v>
      </c>
      <c r="E348" s="21">
        <v>0.99503847000000001</v>
      </c>
      <c r="F348" s="10"/>
      <c r="G348" s="14">
        <v>50000000</v>
      </c>
      <c r="H348" s="14">
        <v>49751923.619999997</v>
      </c>
      <c r="I348" s="14">
        <v>50000000</v>
      </c>
      <c r="J348" s="14">
        <v>49751923.619999997</v>
      </c>
      <c r="K348" s="12">
        <v>1372559</v>
      </c>
      <c r="L348" s="10" t="s">
        <v>101</v>
      </c>
      <c r="M348" s="10" t="s">
        <v>102</v>
      </c>
      <c r="N348" s="124" t="s">
        <v>477</v>
      </c>
      <c r="O348" s="124" t="s">
        <v>477</v>
      </c>
      <c r="P348" s="21">
        <v>26</v>
      </c>
      <c r="Q348" s="10" t="s">
        <v>54</v>
      </c>
      <c r="R348" s="10" t="s">
        <v>28</v>
      </c>
      <c r="S348" s="10"/>
      <c r="T348" s="10"/>
      <c r="U348" s="10" t="s">
        <v>2384</v>
      </c>
      <c r="V348" s="10" t="s">
        <v>2384</v>
      </c>
      <c r="W348" s="50">
        <f>+J348/$W$2</f>
        <v>6.0889616901906366E-4</v>
      </c>
    </row>
    <row r="349" spans="1:23">
      <c r="A349" s="10" t="s">
        <v>164</v>
      </c>
      <c r="B349" s="10" t="s">
        <v>358</v>
      </c>
      <c r="C349" s="124">
        <v>46331</v>
      </c>
      <c r="D349" s="124" t="s">
        <v>471</v>
      </c>
      <c r="E349" s="21">
        <v>0.99276509000000002</v>
      </c>
      <c r="F349" s="10"/>
      <c r="G349" s="14">
        <v>170000000</v>
      </c>
      <c r="H349" s="14">
        <v>168770064.53999999</v>
      </c>
      <c r="I349" s="14">
        <v>170000000</v>
      </c>
      <c r="J349" s="14">
        <v>168770064.53999999</v>
      </c>
      <c r="K349" s="12">
        <v>70406571</v>
      </c>
      <c r="L349" s="10" t="s">
        <v>101</v>
      </c>
      <c r="M349" s="10" t="s">
        <v>102</v>
      </c>
      <c r="N349" s="124" t="s">
        <v>441</v>
      </c>
      <c r="O349" s="124" t="s">
        <v>441</v>
      </c>
      <c r="P349" s="21">
        <v>38</v>
      </c>
      <c r="Q349" s="10" t="s">
        <v>54</v>
      </c>
      <c r="R349" s="10" t="s">
        <v>28</v>
      </c>
      <c r="S349" s="10"/>
      <c r="T349" s="10"/>
      <c r="U349" s="10" t="s">
        <v>1548</v>
      </c>
      <c r="V349" s="10" t="s">
        <v>1548</v>
      </c>
      <c r="W349" s="50">
        <f>+J349/$W$2</f>
        <v>2.0655170346457878E-3</v>
      </c>
    </row>
    <row r="350" spans="1:23">
      <c r="A350" s="10" t="s">
        <v>583</v>
      </c>
      <c r="B350" s="10" t="s">
        <v>358</v>
      </c>
      <c r="C350" s="124">
        <v>46331</v>
      </c>
      <c r="D350" s="124" t="s">
        <v>471</v>
      </c>
      <c r="E350" s="21">
        <v>0.99276505999999998</v>
      </c>
      <c r="F350" s="10"/>
      <c r="G350" s="14">
        <v>60000000</v>
      </c>
      <c r="H350" s="14">
        <v>59565903.729999997</v>
      </c>
      <c r="I350" s="14">
        <v>60000000</v>
      </c>
      <c r="J350" s="14">
        <v>59565903.729999997</v>
      </c>
      <c r="K350" s="12">
        <v>70393049</v>
      </c>
      <c r="L350" s="10" t="s">
        <v>101</v>
      </c>
      <c r="M350" s="10" t="s">
        <v>102</v>
      </c>
      <c r="N350" s="124" t="s">
        <v>162</v>
      </c>
      <c r="O350" s="124" t="s">
        <v>162</v>
      </c>
      <c r="P350" s="21">
        <v>38</v>
      </c>
      <c r="Q350" s="10" t="s">
        <v>54</v>
      </c>
      <c r="R350" s="10" t="s">
        <v>28</v>
      </c>
      <c r="S350" s="10"/>
      <c r="T350" s="10"/>
      <c r="U350" s="10" t="s">
        <v>1292</v>
      </c>
      <c r="V350" s="10" t="s">
        <v>1292</v>
      </c>
      <c r="W350" s="50">
        <f>+J350/$W$2</f>
        <v>7.2900599507222342E-4</v>
      </c>
    </row>
    <row r="351" spans="1:23">
      <c r="A351" s="10" t="s">
        <v>433</v>
      </c>
      <c r="B351" s="10" t="s">
        <v>358</v>
      </c>
      <c r="C351" s="124">
        <v>46331</v>
      </c>
      <c r="D351" s="124" t="s">
        <v>471</v>
      </c>
      <c r="E351" s="21">
        <v>0.99390045000000005</v>
      </c>
      <c r="F351" s="10"/>
      <c r="G351" s="14">
        <v>10000000</v>
      </c>
      <c r="H351" s="14">
        <v>9939004.5399999991</v>
      </c>
      <c r="I351" s="14">
        <v>10000000</v>
      </c>
      <c r="J351" s="14">
        <v>9939004.5399999991</v>
      </c>
      <c r="K351" s="12">
        <v>14422572</v>
      </c>
      <c r="L351" s="10" t="s">
        <v>101</v>
      </c>
      <c r="M351" s="10" t="s">
        <v>102</v>
      </c>
      <c r="N351" s="124" t="s">
        <v>162</v>
      </c>
      <c r="O351" s="124" t="s">
        <v>162</v>
      </c>
      <c r="P351" s="21">
        <v>32</v>
      </c>
      <c r="Q351" s="10" t="s">
        <v>54</v>
      </c>
      <c r="R351" s="10" t="s">
        <v>28</v>
      </c>
      <c r="S351" s="10"/>
      <c r="T351" s="10"/>
      <c r="U351" s="10" t="s">
        <v>1269</v>
      </c>
      <c r="V351" s="10" t="s">
        <v>1269</v>
      </c>
      <c r="W351" s="50">
        <f>+J351/$W$2</f>
        <v>1.2163995576316333E-4</v>
      </c>
    </row>
    <row r="352" spans="1:23">
      <c r="A352" s="10" t="s">
        <v>438</v>
      </c>
      <c r="B352" s="10" t="s">
        <v>358</v>
      </c>
      <c r="C352" s="124">
        <v>46331</v>
      </c>
      <c r="D352" s="124" t="s">
        <v>471</v>
      </c>
      <c r="E352" s="21">
        <v>0.99427949000000004</v>
      </c>
      <c r="F352" s="10"/>
      <c r="G352" s="14">
        <v>11923076.92</v>
      </c>
      <c r="H352" s="14">
        <v>11854870.85</v>
      </c>
      <c r="I352" s="14">
        <v>11923076.92</v>
      </c>
      <c r="J352" s="14">
        <v>11854870.85</v>
      </c>
      <c r="K352" s="12">
        <v>90021990</v>
      </c>
      <c r="L352" s="10" t="s">
        <v>101</v>
      </c>
      <c r="M352" s="10" t="s">
        <v>102</v>
      </c>
      <c r="N352" s="124" t="s">
        <v>293</v>
      </c>
      <c r="O352" s="124" t="s">
        <v>293</v>
      </c>
      <c r="P352" s="21">
        <v>30</v>
      </c>
      <c r="Q352" s="10" t="s">
        <v>54</v>
      </c>
      <c r="R352" s="10" t="s">
        <v>28</v>
      </c>
      <c r="S352" s="10"/>
      <c r="T352" s="10"/>
      <c r="U352" s="10" t="s">
        <v>504</v>
      </c>
      <c r="V352" s="10" t="s">
        <v>504</v>
      </c>
      <c r="W352" s="50">
        <f>+J352/$W$2</f>
        <v>1.4508756485305063E-4</v>
      </c>
    </row>
    <row r="353" spans="1:23">
      <c r="A353" s="10" t="s">
        <v>359</v>
      </c>
      <c r="B353" s="10" t="s">
        <v>358</v>
      </c>
      <c r="C353" s="124">
        <v>46331</v>
      </c>
      <c r="D353" s="124" t="s">
        <v>471</v>
      </c>
      <c r="E353" s="21">
        <v>0.99427953999999996</v>
      </c>
      <c r="F353" s="10"/>
      <c r="G353" s="14">
        <v>6000000</v>
      </c>
      <c r="H353" s="14">
        <v>5965677.25</v>
      </c>
      <c r="I353" s="14">
        <v>6000000</v>
      </c>
      <c r="J353" s="14">
        <v>5965677.25</v>
      </c>
      <c r="K353" s="12">
        <v>1364</v>
      </c>
      <c r="L353" s="10" t="s">
        <v>101</v>
      </c>
      <c r="M353" s="10" t="s">
        <v>102</v>
      </c>
      <c r="N353" s="124" t="s">
        <v>445</v>
      </c>
      <c r="O353" s="124" t="s">
        <v>445</v>
      </c>
      <c r="P353" s="21">
        <v>30</v>
      </c>
      <c r="Q353" s="10" t="s">
        <v>54</v>
      </c>
      <c r="R353" s="10" t="s">
        <v>28</v>
      </c>
      <c r="S353" s="10"/>
      <c r="T353" s="10"/>
      <c r="U353" s="10" t="s">
        <v>2850</v>
      </c>
      <c r="V353" s="10" t="s">
        <v>2850</v>
      </c>
      <c r="W353" s="50">
        <f>+J353/$W$2</f>
        <v>7.301181057588187E-5</v>
      </c>
    </row>
    <row r="354" spans="1:23">
      <c r="A354" s="10" t="s">
        <v>359</v>
      </c>
      <c r="B354" s="10" t="s">
        <v>358</v>
      </c>
      <c r="C354" s="124">
        <v>46331</v>
      </c>
      <c r="D354" s="124" t="s">
        <v>471</v>
      </c>
      <c r="E354" s="21">
        <v>0.99427949000000004</v>
      </c>
      <c r="F354" s="10"/>
      <c r="G354" s="14">
        <v>5000000</v>
      </c>
      <c r="H354" s="14">
        <v>4971397.46</v>
      </c>
      <c r="I354" s="14">
        <v>5000000</v>
      </c>
      <c r="J354" s="14">
        <v>4971397.46</v>
      </c>
      <c r="K354" s="12">
        <v>1367</v>
      </c>
      <c r="L354" s="10" t="s">
        <v>101</v>
      </c>
      <c r="M354" s="10" t="s">
        <v>102</v>
      </c>
      <c r="N354" s="124" t="s">
        <v>413</v>
      </c>
      <c r="O354" s="124" t="s">
        <v>413</v>
      </c>
      <c r="P354" s="21">
        <v>30</v>
      </c>
      <c r="Q354" s="10" t="s">
        <v>54</v>
      </c>
      <c r="R354" s="10" t="s">
        <v>28</v>
      </c>
      <c r="S354" s="10"/>
      <c r="T354" s="10"/>
      <c r="U354" s="10" t="s">
        <v>2879</v>
      </c>
      <c r="V354" s="10" t="s">
        <v>2879</v>
      </c>
      <c r="W354" s="50">
        <f>+J354/$W$2</f>
        <v>6.0843172440637859E-5</v>
      </c>
    </row>
    <row r="355" spans="1:23">
      <c r="A355" s="10" t="s">
        <v>359</v>
      </c>
      <c r="B355" s="10" t="s">
        <v>358</v>
      </c>
      <c r="C355" s="124">
        <v>46331</v>
      </c>
      <c r="D355" s="124" t="s">
        <v>471</v>
      </c>
      <c r="E355" s="21">
        <v>0.99427953000000002</v>
      </c>
      <c r="F355" s="10"/>
      <c r="G355" s="14">
        <v>4500000</v>
      </c>
      <c r="H355" s="14">
        <v>4474257.9000000004</v>
      </c>
      <c r="I355" s="14">
        <v>4500000</v>
      </c>
      <c r="J355" s="14">
        <v>4474257.9000000004</v>
      </c>
      <c r="K355" s="12">
        <v>1265</v>
      </c>
      <c r="L355" s="10" t="s">
        <v>101</v>
      </c>
      <c r="M355" s="10" t="s">
        <v>102</v>
      </c>
      <c r="N355" s="124" t="s">
        <v>478</v>
      </c>
      <c r="O355" s="124" t="s">
        <v>478</v>
      </c>
      <c r="P355" s="21">
        <v>30</v>
      </c>
      <c r="Q355" s="10" t="s">
        <v>54</v>
      </c>
      <c r="R355" s="10" t="s">
        <v>28</v>
      </c>
      <c r="S355" s="10"/>
      <c r="T355" s="10"/>
      <c r="U355" s="10" t="s">
        <v>2157</v>
      </c>
      <c r="V355" s="10" t="s">
        <v>2157</v>
      </c>
      <c r="W355" s="50">
        <f>+J355/$W$2</f>
        <v>5.4758857472962189E-5</v>
      </c>
    </row>
    <row r="356" spans="1:23">
      <c r="A356" s="10" t="s">
        <v>359</v>
      </c>
      <c r="B356" s="10" t="s">
        <v>358</v>
      </c>
      <c r="C356" s="124">
        <v>46331</v>
      </c>
      <c r="D356" s="124" t="s">
        <v>471</v>
      </c>
      <c r="E356" s="21">
        <v>0.99427949999999998</v>
      </c>
      <c r="F356" s="10"/>
      <c r="G356" s="14">
        <v>5000000</v>
      </c>
      <c r="H356" s="14">
        <v>4971397.49</v>
      </c>
      <c r="I356" s="14">
        <v>5000000</v>
      </c>
      <c r="J356" s="14">
        <v>4971397.49</v>
      </c>
      <c r="K356" s="12">
        <v>1290</v>
      </c>
      <c r="L356" s="10" t="s">
        <v>101</v>
      </c>
      <c r="M356" s="10" t="s">
        <v>102</v>
      </c>
      <c r="N356" s="124" t="s">
        <v>439</v>
      </c>
      <c r="O356" s="124" t="s">
        <v>439</v>
      </c>
      <c r="P356" s="21">
        <v>30</v>
      </c>
      <c r="Q356" s="10" t="s">
        <v>54</v>
      </c>
      <c r="R356" s="10" t="s">
        <v>28</v>
      </c>
      <c r="S356" s="10"/>
      <c r="T356" s="10"/>
      <c r="U356" s="10" t="s">
        <v>2287</v>
      </c>
      <c r="V356" s="10" t="s">
        <v>2287</v>
      </c>
      <c r="W356" s="50">
        <f>+J356/$W$2</f>
        <v>6.084317280779724E-5</v>
      </c>
    </row>
    <row r="357" spans="1:23">
      <c r="A357" s="10" t="s">
        <v>359</v>
      </c>
      <c r="B357" s="10" t="s">
        <v>358</v>
      </c>
      <c r="C357" s="124">
        <v>46331</v>
      </c>
      <c r="D357" s="124" t="s">
        <v>471</v>
      </c>
      <c r="E357" s="21">
        <v>0.99427953000000002</v>
      </c>
      <c r="F357" s="10"/>
      <c r="G357" s="14">
        <v>5000000</v>
      </c>
      <c r="H357" s="14">
        <v>4971397.67</v>
      </c>
      <c r="I357" s="14">
        <v>5000000</v>
      </c>
      <c r="J357" s="14">
        <v>4971397.67</v>
      </c>
      <c r="K357" s="12">
        <v>1308</v>
      </c>
      <c r="L357" s="10" t="s">
        <v>101</v>
      </c>
      <c r="M357" s="10" t="s">
        <v>102</v>
      </c>
      <c r="N357" s="124" t="s">
        <v>452</v>
      </c>
      <c r="O357" s="124" t="s">
        <v>452</v>
      </c>
      <c r="P357" s="21">
        <v>30</v>
      </c>
      <c r="Q357" s="10" t="s">
        <v>54</v>
      </c>
      <c r="R357" s="10" t="s">
        <v>28</v>
      </c>
      <c r="S357" s="10"/>
      <c r="T357" s="10"/>
      <c r="U357" s="10" t="s">
        <v>2502</v>
      </c>
      <c r="V357" s="10" t="s">
        <v>2502</v>
      </c>
      <c r="W357" s="50">
        <f>+J357/$W$2</f>
        <v>6.0843175010753468E-5</v>
      </c>
    </row>
    <row r="358" spans="1:23">
      <c r="A358" s="10" t="s">
        <v>377</v>
      </c>
      <c r="B358" s="10" t="s">
        <v>358</v>
      </c>
      <c r="C358" s="124">
        <v>46331</v>
      </c>
      <c r="D358" s="124" t="s">
        <v>471</v>
      </c>
      <c r="E358" s="21">
        <v>0.99390047999999998</v>
      </c>
      <c r="F358" s="10"/>
      <c r="G358" s="14">
        <v>20000000</v>
      </c>
      <c r="H358" s="14">
        <v>19878009.600000001</v>
      </c>
      <c r="I358" s="14">
        <v>20000000</v>
      </c>
      <c r="J358" s="14">
        <v>19878009.600000001</v>
      </c>
      <c r="K358" s="12">
        <v>727</v>
      </c>
      <c r="L358" s="10" t="s">
        <v>101</v>
      </c>
      <c r="M358" s="10" t="s">
        <v>102</v>
      </c>
      <c r="N358" s="124" t="s">
        <v>408</v>
      </c>
      <c r="O358" s="124" t="s">
        <v>408</v>
      </c>
      <c r="P358" s="21">
        <v>32</v>
      </c>
      <c r="Q358" s="10" t="s">
        <v>54</v>
      </c>
      <c r="R358" s="10" t="s">
        <v>28</v>
      </c>
      <c r="S358" s="10"/>
      <c r="T358" s="10"/>
      <c r="U358" s="10" t="s">
        <v>2033</v>
      </c>
      <c r="V358" s="10" t="s">
        <v>2033</v>
      </c>
      <c r="W358" s="50">
        <f>+J358/$W$2</f>
        <v>2.432799178904225E-4</v>
      </c>
    </row>
    <row r="359" spans="1:23">
      <c r="A359" s="10" t="s">
        <v>2985</v>
      </c>
      <c r="B359" s="10" t="s">
        <v>358</v>
      </c>
      <c r="C359" s="124">
        <v>46331</v>
      </c>
      <c r="D359" s="124" t="s">
        <v>471</v>
      </c>
      <c r="E359" s="21">
        <v>0.99408998000000004</v>
      </c>
      <c r="F359" s="10"/>
      <c r="G359" s="14">
        <v>18626000</v>
      </c>
      <c r="H359" s="14">
        <v>18515919.949999999</v>
      </c>
      <c r="I359" s="14">
        <v>18626000</v>
      </c>
      <c r="J359" s="14">
        <v>18515919.949999999</v>
      </c>
      <c r="K359" s="12">
        <v>2405</v>
      </c>
      <c r="L359" s="10" t="s">
        <v>101</v>
      </c>
      <c r="M359" s="10" t="s">
        <v>102</v>
      </c>
      <c r="N359" s="124" t="s">
        <v>465</v>
      </c>
      <c r="O359" s="124" t="s">
        <v>465</v>
      </c>
      <c r="P359" s="21">
        <v>31</v>
      </c>
      <c r="Q359" s="10" t="s">
        <v>54</v>
      </c>
      <c r="R359" s="10" t="s">
        <v>28</v>
      </c>
      <c r="S359" s="10"/>
      <c r="T359" s="10"/>
      <c r="U359" s="10" t="s">
        <v>2975</v>
      </c>
      <c r="V359" s="10" t="s">
        <v>2975</v>
      </c>
      <c r="W359" s="50">
        <f>+J359/$W$2</f>
        <v>2.2660978517193367E-4</v>
      </c>
    </row>
    <row r="360" spans="1:23">
      <c r="A360" s="10" t="s">
        <v>271</v>
      </c>
      <c r="B360" s="10" t="s">
        <v>358</v>
      </c>
      <c r="C360" s="124">
        <v>46331</v>
      </c>
      <c r="D360" s="124" t="s">
        <v>471</v>
      </c>
      <c r="E360" s="21">
        <v>0.99465882000000005</v>
      </c>
      <c r="F360" s="10"/>
      <c r="G360" s="14">
        <v>60000000</v>
      </c>
      <c r="H360" s="14">
        <v>59679529.43</v>
      </c>
      <c r="I360" s="14">
        <v>60000000</v>
      </c>
      <c r="J360" s="14">
        <v>59679529.43</v>
      </c>
      <c r="K360" s="12">
        <v>99</v>
      </c>
      <c r="L360" s="10" t="s">
        <v>101</v>
      </c>
      <c r="M360" s="10" t="s">
        <v>102</v>
      </c>
      <c r="N360" s="124" t="s">
        <v>313</v>
      </c>
      <c r="O360" s="124" t="s">
        <v>313</v>
      </c>
      <c r="P360" s="21">
        <v>28</v>
      </c>
      <c r="Q360" s="10" t="s">
        <v>54</v>
      </c>
      <c r="R360" s="10" t="s">
        <v>28</v>
      </c>
      <c r="S360" s="10"/>
      <c r="T360" s="10"/>
      <c r="U360" s="10" t="s">
        <v>736</v>
      </c>
      <c r="V360" s="10" t="s">
        <v>736</v>
      </c>
      <c r="W360" s="50">
        <f>+J360/$W$2</f>
        <v>7.3039661976365339E-4</v>
      </c>
    </row>
    <row r="361" spans="1:23">
      <c r="A361" s="10" t="s">
        <v>695</v>
      </c>
      <c r="B361" s="10" t="s">
        <v>358</v>
      </c>
      <c r="C361" s="124">
        <v>46331</v>
      </c>
      <c r="D361" s="124" t="s">
        <v>471</v>
      </c>
      <c r="E361" s="21">
        <v>0.99390045999999999</v>
      </c>
      <c r="F361" s="10"/>
      <c r="G361" s="14">
        <v>475000000</v>
      </c>
      <c r="H361" s="14">
        <v>472102718.41000003</v>
      </c>
      <c r="I361" s="14">
        <v>475000000</v>
      </c>
      <c r="J361" s="14">
        <v>472102718.41000003</v>
      </c>
      <c r="K361" s="12">
        <v>1281</v>
      </c>
      <c r="L361" s="10" t="s">
        <v>101</v>
      </c>
      <c r="M361" s="10" t="s">
        <v>102</v>
      </c>
      <c r="N361" s="124" t="s">
        <v>395</v>
      </c>
      <c r="O361" s="124" t="s">
        <v>395</v>
      </c>
      <c r="P361" s="21">
        <v>32</v>
      </c>
      <c r="Q361" s="10" t="s">
        <v>54</v>
      </c>
      <c r="R361" s="10" t="s">
        <v>28</v>
      </c>
      <c r="S361" s="10"/>
      <c r="T361" s="10"/>
      <c r="U361" s="10" t="s">
        <v>1787</v>
      </c>
      <c r="V361" s="10" t="s">
        <v>1787</v>
      </c>
      <c r="W361" s="50">
        <f>+J361/$W$2</f>
        <v>5.777897932528921E-3</v>
      </c>
    </row>
    <row r="362" spans="1:23">
      <c r="A362" s="10" t="s">
        <v>677</v>
      </c>
      <c r="B362" s="10" t="s">
        <v>358</v>
      </c>
      <c r="C362" s="124">
        <v>46331</v>
      </c>
      <c r="D362" s="124" t="s">
        <v>471</v>
      </c>
      <c r="E362" s="21">
        <v>0.99295412000000005</v>
      </c>
      <c r="F362" s="10"/>
      <c r="G362" s="14">
        <v>20000000</v>
      </c>
      <c r="H362" s="14">
        <v>19859082.329999998</v>
      </c>
      <c r="I362" s="14">
        <v>20000000</v>
      </c>
      <c r="J362" s="14">
        <v>19859082.329999998</v>
      </c>
      <c r="K362" s="12">
        <v>2594</v>
      </c>
      <c r="L362" s="10" t="s">
        <v>101</v>
      </c>
      <c r="M362" s="10" t="s">
        <v>102</v>
      </c>
      <c r="N362" s="124" t="s">
        <v>332</v>
      </c>
      <c r="O362" s="124" t="s">
        <v>332</v>
      </c>
      <c r="P362" s="21">
        <v>37</v>
      </c>
      <c r="Q362" s="10" t="s">
        <v>54</v>
      </c>
      <c r="R362" s="10" t="s">
        <v>28</v>
      </c>
      <c r="S362" s="10"/>
      <c r="T362" s="10"/>
      <c r="U362" s="10" t="s">
        <v>917</v>
      </c>
      <c r="V362" s="10" t="s">
        <v>917</v>
      </c>
      <c r="W362" s="50">
        <f>+J362/$W$2</f>
        <v>2.4304827373770559E-4</v>
      </c>
    </row>
    <row r="363" spans="1:23">
      <c r="A363" s="10" t="s">
        <v>359</v>
      </c>
      <c r="B363" s="10" t="s">
        <v>358</v>
      </c>
      <c r="C363" s="124">
        <v>46331</v>
      </c>
      <c r="D363" s="124" t="s">
        <v>471</v>
      </c>
      <c r="E363" s="21">
        <v>0.99427949999999998</v>
      </c>
      <c r="F363" s="10"/>
      <c r="G363" s="14">
        <v>5000000</v>
      </c>
      <c r="H363" s="14">
        <v>4971397.5199999996</v>
      </c>
      <c r="I363" s="14">
        <v>5000000</v>
      </c>
      <c r="J363" s="14">
        <v>4971397.5199999996</v>
      </c>
      <c r="K363" s="12">
        <v>1206</v>
      </c>
      <c r="L363" s="10" t="s">
        <v>101</v>
      </c>
      <c r="M363" s="10" t="s">
        <v>102</v>
      </c>
      <c r="N363" s="124" t="s">
        <v>480</v>
      </c>
      <c r="O363" s="124" t="s">
        <v>480</v>
      </c>
      <c r="P363" s="21">
        <v>30</v>
      </c>
      <c r="Q363" s="10" t="s">
        <v>54</v>
      </c>
      <c r="R363" s="10" t="s">
        <v>28</v>
      </c>
      <c r="S363" s="10"/>
      <c r="T363" s="10"/>
      <c r="U363" s="10" t="s">
        <v>1522</v>
      </c>
      <c r="V363" s="10" t="s">
        <v>1522</v>
      </c>
      <c r="W363" s="50">
        <f>+J363/$W$2</f>
        <v>6.08431731749566E-5</v>
      </c>
    </row>
    <row r="364" spans="1:23">
      <c r="A364" s="10" t="s">
        <v>359</v>
      </c>
      <c r="B364" s="10" t="s">
        <v>358</v>
      </c>
      <c r="C364" s="124">
        <v>46331</v>
      </c>
      <c r="D364" s="124" t="s">
        <v>471</v>
      </c>
      <c r="E364" s="21">
        <v>0.99390045000000005</v>
      </c>
      <c r="F364" s="10"/>
      <c r="G364" s="14">
        <v>3000000</v>
      </c>
      <c r="H364" s="14">
        <v>2981701.36</v>
      </c>
      <c r="I364" s="14">
        <v>3000000</v>
      </c>
      <c r="J364" s="14">
        <v>2981701.36</v>
      </c>
      <c r="K364" s="12">
        <v>1049</v>
      </c>
      <c r="L364" s="10" t="s">
        <v>101</v>
      </c>
      <c r="M364" s="10" t="s">
        <v>102</v>
      </c>
      <c r="N364" s="124" t="s">
        <v>373</v>
      </c>
      <c r="O364" s="124" t="s">
        <v>373</v>
      </c>
      <c r="P364" s="21">
        <v>32</v>
      </c>
      <c r="Q364" s="10" t="s">
        <v>54</v>
      </c>
      <c r="R364" s="10" t="s">
        <v>28</v>
      </c>
      <c r="S364" s="10"/>
      <c r="T364" s="10"/>
      <c r="U364" s="10" t="s">
        <v>1143</v>
      </c>
      <c r="V364" s="10" t="s">
        <v>1143</v>
      </c>
      <c r="W364" s="50">
        <f>+J364/$W$2</f>
        <v>3.6491986704471709E-5</v>
      </c>
    </row>
    <row r="365" spans="1:23">
      <c r="A365" s="10" t="s">
        <v>359</v>
      </c>
      <c r="B365" s="10" t="s">
        <v>358</v>
      </c>
      <c r="C365" s="124">
        <v>46331</v>
      </c>
      <c r="D365" s="124" t="s">
        <v>471</v>
      </c>
      <c r="E365" s="21">
        <v>0.99371105000000004</v>
      </c>
      <c r="F365" s="10"/>
      <c r="G365" s="14">
        <v>2500000</v>
      </c>
      <c r="H365" s="14">
        <v>2484277.63</v>
      </c>
      <c r="I365" s="14">
        <v>2500000</v>
      </c>
      <c r="J365" s="14">
        <v>2484277.63</v>
      </c>
      <c r="K365" s="12">
        <v>1011</v>
      </c>
      <c r="L365" s="10" t="s">
        <v>101</v>
      </c>
      <c r="M365" s="10" t="s">
        <v>102</v>
      </c>
      <c r="N365" s="124" t="s">
        <v>161</v>
      </c>
      <c r="O365" s="124" t="s">
        <v>161</v>
      </c>
      <c r="P365" s="21">
        <v>33</v>
      </c>
      <c r="Q365" s="10" t="s">
        <v>54</v>
      </c>
      <c r="R365" s="10" t="s">
        <v>28</v>
      </c>
      <c r="S365" s="10"/>
      <c r="T365" s="10"/>
      <c r="U365" s="10" t="s">
        <v>1084</v>
      </c>
      <c r="V365" s="10" t="s">
        <v>1084</v>
      </c>
      <c r="W365" s="50">
        <f>+J365/$W$2</f>
        <v>3.040419388083067E-5</v>
      </c>
    </row>
    <row r="366" spans="1:23">
      <c r="A366" s="10" t="s">
        <v>334</v>
      </c>
      <c r="B366" s="10" t="s">
        <v>358</v>
      </c>
      <c r="C366" s="124">
        <v>46335</v>
      </c>
      <c r="D366" s="124" t="s">
        <v>471</v>
      </c>
      <c r="E366" s="21">
        <v>0.98926712999999999</v>
      </c>
      <c r="F366" s="10"/>
      <c r="G366" s="14">
        <v>3625698.78</v>
      </c>
      <c r="H366" s="14">
        <v>3586784.62</v>
      </c>
      <c r="I366" s="14">
        <v>3625698.78</v>
      </c>
      <c r="J366" s="14">
        <v>3586784.62</v>
      </c>
      <c r="K366" s="12">
        <v>3351</v>
      </c>
      <c r="L366" s="10" t="s">
        <v>101</v>
      </c>
      <c r="M366" s="10" t="s">
        <v>102</v>
      </c>
      <c r="N366" s="124" t="s">
        <v>331</v>
      </c>
      <c r="O366" s="124" t="s">
        <v>331</v>
      </c>
      <c r="P366" s="21">
        <v>36</v>
      </c>
      <c r="Q366" s="10" t="s">
        <v>54</v>
      </c>
      <c r="R366" s="10" t="s">
        <v>28</v>
      </c>
      <c r="S366" s="10"/>
      <c r="T366" s="10"/>
      <c r="U366" s="10" t="s">
        <v>1229</v>
      </c>
      <c r="V366" s="10" t="s">
        <v>1229</v>
      </c>
      <c r="W366" s="50">
        <f>+J366/$W$2</f>
        <v>4.389738637837413E-5</v>
      </c>
    </row>
    <row r="367" spans="1:23">
      <c r="A367" s="10" t="s">
        <v>334</v>
      </c>
      <c r="B367" s="10" t="s">
        <v>358</v>
      </c>
      <c r="C367" s="124">
        <v>46335</v>
      </c>
      <c r="D367" s="124" t="s">
        <v>471</v>
      </c>
      <c r="E367" s="21">
        <v>0.98926714999999998</v>
      </c>
      <c r="F367" s="10"/>
      <c r="G367" s="14">
        <v>2510000.36</v>
      </c>
      <c r="H367" s="14">
        <v>2483060.9</v>
      </c>
      <c r="I367" s="14">
        <v>2510000.36</v>
      </c>
      <c r="J367" s="14">
        <v>2483060.9</v>
      </c>
      <c r="K367" s="12">
        <v>3159</v>
      </c>
      <c r="L367" s="10" t="s">
        <v>101</v>
      </c>
      <c r="M367" s="10" t="s">
        <v>102</v>
      </c>
      <c r="N367" s="124" t="s">
        <v>161</v>
      </c>
      <c r="O367" s="124" t="s">
        <v>161</v>
      </c>
      <c r="P367" s="21">
        <v>36</v>
      </c>
      <c r="Q367" s="10" t="s">
        <v>54</v>
      </c>
      <c r="R367" s="10" t="s">
        <v>28</v>
      </c>
      <c r="S367" s="10"/>
      <c r="T367" s="10"/>
      <c r="U367" s="10" t="s">
        <v>1062</v>
      </c>
      <c r="V367" s="10" t="s">
        <v>1062</v>
      </c>
      <c r="W367" s="50">
        <f>+J367/$W$2</f>
        <v>3.0389302753376199E-5</v>
      </c>
    </row>
    <row r="368" spans="1:23">
      <c r="A368" s="10" t="s">
        <v>334</v>
      </c>
      <c r="B368" s="10" t="s">
        <v>358</v>
      </c>
      <c r="C368" s="124">
        <v>46335</v>
      </c>
      <c r="D368" s="124" t="s">
        <v>471</v>
      </c>
      <c r="E368" s="21">
        <v>0.98956217999999996</v>
      </c>
      <c r="F368" s="10"/>
      <c r="G368" s="14">
        <v>1555000.5</v>
      </c>
      <c r="H368" s="14">
        <v>1538769.69</v>
      </c>
      <c r="I368" s="14">
        <v>1555000.5</v>
      </c>
      <c r="J368" s="14">
        <v>1538769.69</v>
      </c>
      <c r="K368" s="12">
        <v>3579</v>
      </c>
      <c r="L368" s="10" t="s">
        <v>101</v>
      </c>
      <c r="M368" s="10" t="s">
        <v>102</v>
      </c>
      <c r="N368" s="124" t="s">
        <v>397</v>
      </c>
      <c r="O368" s="124" t="s">
        <v>397</v>
      </c>
      <c r="P368" s="21">
        <v>35</v>
      </c>
      <c r="Q368" s="10" t="s">
        <v>54</v>
      </c>
      <c r="R368" s="10" t="s">
        <v>28</v>
      </c>
      <c r="S368" s="10"/>
      <c r="T368" s="10"/>
      <c r="U368" s="10" t="s">
        <v>1868</v>
      </c>
      <c r="V368" s="10" t="s">
        <v>1868</v>
      </c>
      <c r="W368" s="50">
        <f>+J368/$W$2</f>
        <v>1.8832457140752707E-5</v>
      </c>
    </row>
    <row r="369" spans="1:23">
      <c r="A369" s="10" t="s">
        <v>334</v>
      </c>
      <c r="B369" s="10" t="s">
        <v>358</v>
      </c>
      <c r="C369" s="124">
        <v>46335</v>
      </c>
      <c r="D369" s="124" t="s">
        <v>471</v>
      </c>
      <c r="E369" s="21">
        <v>0.98956217999999996</v>
      </c>
      <c r="F369" s="10"/>
      <c r="G369" s="14">
        <v>1250300.6499999999</v>
      </c>
      <c r="H369" s="14">
        <v>1237250.24</v>
      </c>
      <c r="I369" s="14">
        <v>1250300.6499999999</v>
      </c>
      <c r="J369" s="14">
        <v>1237250.24</v>
      </c>
      <c r="K369" s="12">
        <v>3580</v>
      </c>
      <c r="L369" s="10" t="s">
        <v>101</v>
      </c>
      <c r="M369" s="10" t="s">
        <v>102</v>
      </c>
      <c r="N369" s="124" t="s">
        <v>397</v>
      </c>
      <c r="O369" s="124" t="s">
        <v>397</v>
      </c>
      <c r="P369" s="21">
        <v>35</v>
      </c>
      <c r="Q369" s="10" t="s">
        <v>54</v>
      </c>
      <c r="R369" s="10" t="s">
        <v>28</v>
      </c>
      <c r="S369" s="10"/>
      <c r="T369" s="10"/>
      <c r="U369" s="10" t="s">
        <v>1871</v>
      </c>
      <c r="V369" s="10" t="s">
        <v>1871</v>
      </c>
      <c r="W369" s="50">
        <f>+J369/$W$2</f>
        <v>1.5142267402723535E-5</v>
      </c>
    </row>
    <row r="370" spans="1:23">
      <c r="A370" s="10" t="s">
        <v>334</v>
      </c>
      <c r="B370" s="10" t="s">
        <v>358</v>
      </c>
      <c r="C370" s="124">
        <v>46335</v>
      </c>
      <c r="D370" s="124" t="s">
        <v>471</v>
      </c>
      <c r="E370" s="21">
        <v>0.99015273000000004</v>
      </c>
      <c r="F370" s="10"/>
      <c r="G370" s="14">
        <v>2502550.36</v>
      </c>
      <c r="H370" s="14">
        <v>2477907.08</v>
      </c>
      <c r="I370" s="14">
        <v>2502550.36</v>
      </c>
      <c r="J370" s="14">
        <v>2477907.08</v>
      </c>
      <c r="K370" s="12">
        <v>3134</v>
      </c>
      <c r="L370" s="10" t="s">
        <v>101</v>
      </c>
      <c r="M370" s="10" t="s">
        <v>102</v>
      </c>
      <c r="N370" s="124" t="s">
        <v>345</v>
      </c>
      <c r="O370" s="124" t="s">
        <v>345</v>
      </c>
      <c r="P370" s="21">
        <v>33</v>
      </c>
      <c r="Q370" s="10" t="s">
        <v>54</v>
      </c>
      <c r="R370" s="10" t="s">
        <v>28</v>
      </c>
      <c r="S370" s="10"/>
      <c r="T370" s="10"/>
      <c r="U370" s="10" t="s">
        <v>796</v>
      </c>
      <c r="V370" s="10" t="s">
        <v>796</v>
      </c>
      <c r="W370" s="50">
        <f>+J370/$W$2</f>
        <v>3.0326226976090027E-5</v>
      </c>
    </row>
    <row r="371" spans="1:23">
      <c r="A371" s="10" t="s">
        <v>334</v>
      </c>
      <c r="B371" s="10" t="s">
        <v>358</v>
      </c>
      <c r="C371" s="124">
        <v>46335</v>
      </c>
      <c r="D371" s="124" t="s">
        <v>471</v>
      </c>
      <c r="E371" s="21">
        <v>0.99015273000000004</v>
      </c>
      <c r="F371" s="10"/>
      <c r="G371" s="14">
        <v>2502550.36</v>
      </c>
      <c r="H371" s="14">
        <v>2477907.08</v>
      </c>
      <c r="I371" s="14">
        <v>2502550.36</v>
      </c>
      <c r="J371" s="14">
        <v>2477907.08</v>
      </c>
      <c r="K371" s="12">
        <v>3144</v>
      </c>
      <c r="L371" s="10" t="s">
        <v>101</v>
      </c>
      <c r="M371" s="10" t="s">
        <v>102</v>
      </c>
      <c r="N371" s="124" t="s">
        <v>345</v>
      </c>
      <c r="O371" s="124" t="s">
        <v>345</v>
      </c>
      <c r="P371" s="21">
        <v>33</v>
      </c>
      <c r="Q371" s="10" t="s">
        <v>54</v>
      </c>
      <c r="R371" s="10" t="s">
        <v>28</v>
      </c>
      <c r="S371" s="10"/>
      <c r="T371" s="10"/>
      <c r="U371" s="10" t="s">
        <v>797</v>
      </c>
      <c r="V371" s="10" t="s">
        <v>797</v>
      </c>
      <c r="W371" s="50">
        <f>+J371/$W$2</f>
        <v>3.0326226976090027E-5</v>
      </c>
    </row>
    <row r="372" spans="1:23">
      <c r="A372" s="10" t="s">
        <v>334</v>
      </c>
      <c r="B372" s="10" t="s">
        <v>358</v>
      </c>
      <c r="C372" s="124">
        <v>46335</v>
      </c>
      <c r="D372" s="124" t="s">
        <v>471</v>
      </c>
      <c r="E372" s="21">
        <v>0.99015273000000004</v>
      </c>
      <c r="F372" s="10"/>
      <c r="G372" s="14">
        <v>2250000</v>
      </c>
      <c r="H372" s="14">
        <v>2227843.65</v>
      </c>
      <c r="I372" s="14">
        <v>2250000</v>
      </c>
      <c r="J372" s="14">
        <v>2227843.65</v>
      </c>
      <c r="K372" s="12">
        <v>3059</v>
      </c>
      <c r="L372" s="10" t="s">
        <v>101</v>
      </c>
      <c r="M372" s="10" t="s">
        <v>102</v>
      </c>
      <c r="N372" s="124" t="s">
        <v>345</v>
      </c>
      <c r="O372" s="124" t="s">
        <v>345</v>
      </c>
      <c r="P372" s="21">
        <v>33</v>
      </c>
      <c r="Q372" s="10" t="s">
        <v>54</v>
      </c>
      <c r="R372" s="10" t="s">
        <v>28</v>
      </c>
      <c r="S372" s="10"/>
      <c r="T372" s="10"/>
      <c r="U372" s="10" t="s">
        <v>800</v>
      </c>
      <c r="V372" s="10" t="s">
        <v>800</v>
      </c>
      <c r="W372" s="50">
        <f>+J372/$W$2</f>
        <v>2.7265789239014106E-5</v>
      </c>
    </row>
    <row r="373" spans="1:23">
      <c r="A373" s="10" t="s">
        <v>334</v>
      </c>
      <c r="B373" s="10" t="s">
        <v>358</v>
      </c>
      <c r="C373" s="124">
        <v>46335</v>
      </c>
      <c r="D373" s="124" t="s">
        <v>471</v>
      </c>
      <c r="E373" s="21">
        <v>0.98985738000000001</v>
      </c>
      <c r="F373" s="10"/>
      <c r="G373" s="14">
        <v>990902.64</v>
      </c>
      <c r="H373" s="14">
        <v>980852.29</v>
      </c>
      <c r="I373" s="14">
        <v>990902.64</v>
      </c>
      <c r="J373" s="14">
        <v>980852.29</v>
      </c>
      <c r="K373" s="12">
        <v>2962</v>
      </c>
      <c r="L373" s="10" t="s">
        <v>101</v>
      </c>
      <c r="M373" s="10" t="s">
        <v>102</v>
      </c>
      <c r="N373" s="124" t="s">
        <v>313</v>
      </c>
      <c r="O373" s="124" t="s">
        <v>313</v>
      </c>
      <c r="P373" s="21">
        <v>34</v>
      </c>
      <c r="Q373" s="10" t="s">
        <v>54</v>
      </c>
      <c r="R373" s="10" t="s">
        <v>28</v>
      </c>
      <c r="S373" s="10"/>
      <c r="T373" s="10"/>
      <c r="U373" s="10" t="s">
        <v>732</v>
      </c>
      <c r="V373" s="10" t="s">
        <v>732</v>
      </c>
      <c r="W373" s="50">
        <f>+J373/$W$2</f>
        <v>1.2004303719313672E-5</v>
      </c>
    </row>
    <row r="374" spans="1:23">
      <c r="A374" s="10" t="s">
        <v>334</v>
      </c>
      <c r="B374" s="10" t="s">
        <v>358</v>
      </c>
      <c r="C374" s="124">
        <v>46335</v>
      </c>
      <c r="D374" s="124" t="s">
        <v>471</v>
      </c>
      <c r="E374" s="21">
        <v>0.98985734999999997</v>
      </c>
      <c r="F374" s="10"/>
      <c r="G374" s="14">
        <v>1020845.65</v>
      </c>
      <c r="H374" s="14">
        <v>1010491.57</v>
      </c>
      <c r="I374" s="14">
        <v>1020845.65</v>
      </c>
      <c r="J374" s="14">
        <v>1010491.57</v>
      </c>
      <c r="K374" s="12">
        <v>2912</v>
      </c>
      <c r="L374" s="10" t="s">
        <v>101</v>
      </c>
      <c r="M374" s="10" t="s">
        <v>102</v>
      </c>
      <c r="N374" s="124" t="s">
        <v>313</v>
      </c>
      <c r="O374" s="124" t="s">
        <v>313</v>
      </c>
      <c r="P374" s="21">
        <v>34</v>
      </c>
      <c r="Q374" s="10" t="s">
        <v>54</v>
      </c>
      <c r="R374" s="10" t="s">
        <v>28</v>
      </c>
      <c r="S374" s="10"/>
      <c r="T374" s="10"/>
      <c r="U374" s="10" t="s">
        <v>733</v>
      </c>
      <c r="V374" s="10" t="s">
        <v>733</v>
      </c>
      <c r="W374" s="50">
        <f>+J374/$W$2</f>
        <v>1.2367048367788497E-5</v>
      </c>
    </row>
    <row r="375" spans="1:23">
      <c r="A375" s="10" t="s">
        <v>443</v>
      </c>
      <c r="B375" s="10" t="s">
        <v>358</v>
      </c>
      <c r="C375" s="124">
        <v>46335</v>
      </c>
      <c r="D375" s="124" t="s">
        <v>471</v>
      </c>
      <c r="E375" s="21">
        <v>0.99163228000000003</v>
      </c>
      <c r="F375" s="10"/>
      <c r="G375" s="14">
        <v>7000000</v>
      </c>
      <c r="H375" s="14">
        <v>6941425.9800000004</v>
      </c>
      <c r="I375" s="14">
        <v>7000000</v>
      </c>
      <c r="J375" s="14">
        <v>6941425.9800000004</v>
      </c>
      <c r="K375" s="12">
        <v>6489</v>
      </c>
      <c r="L375" s="10" t="s">
        <v>101</v>
      </c>
      <c r="M375" s="10" t="s">
        <v>102</v>
      </c>
      <c r="N375" s="124" t="s">
        <v>397</v>
      </c>
      <c r="O375" s="124" t="s">
        <v>397</v>
      </c>
      <c r="P375" s="21">
        <v>28</v>
      </c>
      <c r="Q375" s="10" t="s">
        <v>54</v>
      </c>
      <c r="R375" s="10" t="s">
        <v>28</v>
      </c>
      <c r="S375" s="10"/>
      <c r="T375" s="10"/>
      <c r="U375" s="10" t="s">
        <v>1846</v>
      </c>
      <c r="V375" s="10" t="s">
        <v>1846</v>
      </c>
      <c r="W375" s="50">
        <f>+J375/$W$2</f>
        <v>8.4953653632245223E-5</v>
      </c>
    </row>
    <row r="376" spans="1:23">
      <c r="A376" s="10" t="s">
        <v>401</v>
      </c>
      <c r="B376" s="10" t="s">
        <v>358</v>
      </c>
      <c r="C376" s="124">
        <v>46335</v>
      </c>
      <c r="D376" s="124" t="s">
        <v>471</v>
      </c>
      <c r="E376" s="21">
        <v>0.99222533999999996</v>
      </c>
      <c r="F376" s="10"/>
      <c r="G376" s="14">
        <v>10000000</v>
      </c>
      <c r="H376" s="14">
        <v>9922253.3699999992</v>
      </c>
      <c r="I376" s="14">
        <v>10000000</v>
      </c>
      <c r="J376" s="14">
        <v>9922253.3699999992</v>
      </c>
      <c r="K376" s="12">
        <v>22807</v>
      </c>
      <c r="L376" s="10" t="s">
        <v>101</v>
      </c>
      <c r="M376" s="10" t="s">
        <v>102</v>
      </c>
      <c r="N376" s="124" t="s">
        <v>577</v>
      </c>
      <c r="O376" s="124" t="s">
        <v>577</v>
      </c>
      <c r="P376" s="21">
        <v>26</v>
      </c>
      <c r="Q376" s="10" t="s">
        <v>54</v>
      </c>
      <c r="R376" s="10" t="s">
        <v>28</v>
      </c>
      <c r="S376" s="10"/>
      <c r="T376" s="10"/>
      <c r="U376" s="10" t="s">
        <v>2446</v>
      </c>
      <c r="V376" s="10" t="s">
        <v>2446</v>
      </c>
      <c r="W376" s="50">
        <f>+J376/$W$2</f>
        <v>1.2143494412748283E-4</v>
      </c>
    </row>
    <row r="377" spans="1:23">
      <c r="A377" s="10" t="s">
        <v>401</v>
      </c>
      <c r="B377" s="10" t="s">
        <v>358</v>
      </c>
      <c r="C377" s="124">
        <v>46335</v>
      </c>
      <c r="D377" s="124" t="s">
        <v>471</v>
      </c>
      <c r="E377" s="21">
        <v>0.9919287</v>
      </c>
      <c r="F377" s="10"/>
      <c r="G377" s="14">
        <v>1000000</v>
      </c>
      <c r="H377" s="14">
        <v>991928.7</v>
      </c>
      <c r="I377" s="14">
        <v>1000000</v>
      </c>
      <c r="J377" s="14">
        <v>991928.7</v>
      </c>
      <c r="K377" s="12">
        <v>11486</v>
      </c>
      <c r="L377" s="10" t="s">
        <v>101</v>
      </c>
      <c r="M377" s="10" t="s">
        <v>102</v>
      </c>
      <c r="N377" s="124" t="s">
        <v>439</v>
      </c>
      <c r="O377" s="124" t="s">
        <v>439</v>
      </c>
      <c r="P377" s="21">
        <v>27</v>
      </c>
      <c r="Q377" s="10" t="s">
        <v>54</v>
      </c>
      <c r="R377" s="10" t="s">
        <v>28</v>
      </c>
      <c r="S377" s="10"/>
      <c r="T377" s="10"/>
      <c r="U377" s="10" t="s">
        <v>2233</v>
      </c>
      <c r="V377" s="10" t="s">
        <v>2233</v>
      </c>
      <c r="W377" s="50">
        <f>+J377/$W$2</f>
        <v>1.2139863977586241E-5</v>
      </c>
    </row>
    <row r="378" spans="1:23">
      <c r="A378" s="10" t="s">
        <v>1487</v>
      </c>
      <c r="B378" s="10" t="s">
        <v>358</v>
      </c>
      <c r="C378" s="124">
        <v>46335</v>
      </c>
      <c r="D378" s="124" t="s">
        <v>471</v>
      </c>
      <c r="E378" s="21">
        <v>0.99074404999999999</v>
      </c>
      <c r="F378" s="10"/>
      <c r="G378" s="14">
        <v>1756706.4</v>
      </c>
      <c r="H378" s="14">
        <v>1740446.41</v>
      </c>
      <c r="I378" s="14">
        <v>1756706.4</v>
      </c>
      <c r="J378" s="14">
        <v>1740446.41</v>
      </c>
      <c r="K378" s="12">
        <v>501</v>
      </c>
      <c r="L378" s="10" t="s">
        <v>101</v>
      </c>
      <c r="M378" s="10" t="s">
        <v>102</v>
      </c>
      <c r="N378" s="124" t="s">
        <v>486</v>
      </c>
      <c r="O378" s="124" t="s">
        <v>486</v>
      </c>
      <c r="P378" s="21">
        <v>31</v>
      </c>
      <c r="Q378" s="10" t="s">
        <v>54</v>
      </c>
      <c r="R378" s="10" t="s">
        <v>28</v>
      </c>
      <c r="S378" s="10"/>
      <c r="T378" s="10"/>
      <c r="U378" s="10" t="s">
        <v>1454</v>
      </c>
      <c r="V378" s="10" t="s">
        <v>1454</v>
      </c>
      <c r="W378" s="50">
        <f>+J378/$W$2</f>
        <v>2.1300707074690244E-5</v>
      </c>
    </row>
    <row r="379" spans="1:23">
      <c r="A379" s="10" t="s">
        <v>1744</v>
      </c>
      <c r="B379" s="10" t="s">
        <v>358</v>
      </c>
      <c r="C379" s="124">
        <v>46335</v>
      </c>
      <c r="D379" s="124" t="s">
        <v>471</v>
      </c>
      <c r="E379" s="21">
        <v>0.99015279</v>
      </c>
      <c r="F379" s="10"/>
      <c r="G379" s="14">
        <v>5300000</v>
      </c>
      <c r="H379" s="14">
        <v>5247809.7699999996</v>
      </c>
      <c r="I379" s="14">
        <v>5300000</v>
      </c>
      <c r="J379" s="14">
        <v>5247809.7699999996</v>
      </c>
      <c r="K379" s="12">
        <v>8175675</v>
      </c>
      <c r="L379" s="10" t="s">
        <v>101</v>
      </c>
      <c r="M379" s="10" t="s">
        <v>102</v>
      </c>
      <c r="N379" s="124" t="s">
        <v>398</v>
      </c>
      <c r="O379" s="124" t="s">
        <v>398</v>
      </c>
      <c r="P379" s="21">
        <v>33</v>
      </c>
      <c r="Q379" s="10" t="s">
        <v>54</v>
      </c>
      <c r="R379" s="10" t="s">
        <v>28</v>
      </c>
      <c r="S379" s="10"/>
      <c r="T379" s="10"/>
      <c r="U379" s="10" t="s">
        <v>1651</v>
      </c>
      <c r="V379" s="10" t="s">
        <v>1651</v>
      </c>
      <c r="W379" s="50">
        <f>+J379/$W$2</f>
        <v>6.4226084786182854E-5</v>
      </c>
    </row>
    <row r="380" spans="1:23">
      <c r="A380" s="10" t="s">
        <v>789</v>
      </c>
      <c r="B380" s="10" t="s">
        <v>358</v>
      </c>
      <c r="C380" s="124">
        <v>46335</v>
      </c>
      <c r="D380" s="124" t="s">
        <v>471</v>
      </c>
      <c r="E380" s="21">
        <v>0.98926714999999998</v>
      </c>
      <c r="F380" s="10"/>
      <c r="G380" s="14">
        <v>3140560.45</v>
      </c>
      <c r="H380" s="14">
        <v>3106853.29</v>
      </c>
      <c r="I380" s="14">
        <v>3140560.45</v>
      </c>
      <c r="J380" s="14">
        <v>3106853.29</v>
      </c>
      <c r="K380" s="12">
        <v>1115</v>
      </c>
      <c r="L380" s="10" t="s">
        <v>101</v>
      </c>
      <c r="M380" s="10" t="s">
        <v>102</v>
      </c>
      <c r="N380" s="124" t="s">
        <v>365</v>
      </c>
      <c r="O380" s="124" t="s">
        <v>365</v>
      </c>
      <c r="P380" s="21">
        <v>36</v>
      </c>
      <c r="Q380" s="10" t="s">
        <v>54</v>
      </c>
      <c r="R380" s="10" t="s">
        <v>28</v>
      </c>
      <c r="S380" s="10"/>
      <c r="T380" s="10"/>
      <c r="U380" s="10" t="s">
        <v>1328</v>
      </c>
      <c r="V380" s="10" t="s">
        <v>1328</v>
      </c>
      <c r="W380" s="50">
        <f>+J380/$W$2</f>
        <v>3.8023676841809601E-5</v>
      </c>
    </row>
    <row r="381" spans="1:23">
      <c r="A381" s="10" t="s">
        <v>789</v>
      </c>
      <c r="B381" s="10" t="s">
        <v>358</v>
      </c>
      <c r="C381" s="124">
        <v>46335</v>
      </c>
      <c r="D381" s="124" t="s">
        <v>471</v>
      </c>
      <c r="E381" s="21">
        <v>0.98926720999999995</v>
      </c>
      <c r="F381" s="10"/>
      <c r="G381" s="14">
        <v>1555000.5</v>
      </c>
      <c r="H381" s="14">
        <v>1538311</v>
      </c>
      <c r="I381" s="14">
        <v>1555000.5</v>
      </c>
      <c r="J381" s="14">
        <v>1538311</v>
      </c>
      <c r="K381" s="12">
        <v>1283</v>
      </c>
      <c r="L381" s="10" t="s">
        <v>101</v>
      </c>
      <c r="M381" s="10" t="s">
        <v>102</v>
      </c>
      <c r="N381" s="124" t="s">
        <v>478</v>
      </c>
      <c r="O381" s="124" t="s">
        <v>478</v>
      </c>
      <c r="P381" s="21">
        <v>36</v>
      </c>
      <c r="Q381" s="10" t="s">
        <v>54</v>
      </c>
      <c r="R381" s="10" t="s">
        <v>28</v>
      </c>
      <c r="S381" s="10"/>
      <c r="T381" s="10"/>
      <c r="U381" s="10" t="s">
        <v>2164</v>
      </c>
      <c r="V381" s="10" t="s">
        <v>2164</v>
      </c>
      <c r="W381" s="50">
        <f>+J381/$W$2</f>
        <v>1.8826843396329466E-5</v>
      </c>
    </row>
    <row r="382" spans="1:23">
      <c r="A382" s="10" t="s">
        <v>789</v>
      </c>
      <c r="B382" s="10" t="s">
        <v>358</v>
      </c>
      <c r="C382" s="124">
        <v>46335</v>
      </c>
      <c r="D382" s="124" t="s">
        <v>471</v>
      </c>
      <c r="E382" s="21">
        <v>0.98926718999999996</v>
      </c>
      <c r="F382" s="10"/>
      <c r="G382" s="14">
        <v>1250300.6499999999</v>
      </c>
      <c r="H382" s="14">
        <v>1236881.4099999999</v>
      </c>
      <c r="I382" s="14">
        <v>1250300.6499999999</v>
      </c>
      <c r="J382" s="14">
        <v>1236881.4099999999</v>
      </c>
      <c r="K382" s="12">
        <v>1282</v>
      </c>
      <c r="L382" s="10" t="s">
        <v>101</v>
      </c>
      <c r="M382" s="10" t="s">
        <v>102</v>
      </c>
      <c r="N382" s="124" t="s">
        <v>478</v>
      </c>
      <c r="O382" s="124" t="s">
        <v>478</v>
      </c>
      <c r="P382" s="21">
        <v>36</v>
      </c>
      <c r="Q382" s="10" t="s">
        <v>54</v>
      </c>
      <c r="R382" s="10" t="s">
        <v>28</v>
      </c>
      <c r="S382" s="10"/>
      <c r="T382" s="10"/>
      <c r="U382" s="10" t="s">
        <v>2168</v>
      </c>
      <c r="V382" s="10" t="s">
        <v>2168</v>
      </c>
      <c r="W382" s="50">
        <f>+J382/$W$2</f>
        <v>1.5137753423008205E-5</v>
      </c>
    </row>
    <row r="383" spans="1:23">
      <c r="A383" s="10" t="s">
        <v>1035</v>
      </c>
      <c r="B383" s="10" t="s">
        <v>358</v>
      </c>
      <c r="C383" s="124">
        <v>46335</v>
      </c>
      <c r="D383" s="124" t="s">
        <v>471</v>
      </c>
      <c r="E383" s="21">
        <v>0.99044829000000001</v>
      </c>
      <c r="F383" s="10"/>
      <c r="G383" s="14">
        <v>105000000</v>
      </c>
      <c r="H383" s="14">
        <v>103997070.5</v>
      </c>
      <c r="I383" s="14">
        <v>105000000</v>
      </c>
      <c r="J383" s="14">
        <v>103997070.5</v>
      </c>
      <c r="K383" s="12">
        <v>322</v>
      </c>
      <c r="L383" s="10" t="s">
        <v>101</v>
      </c>
      <c r="M383" s="10" t="s">
        <v>102</v>
      </c>
      <c r="N383" s="124" t="s">
        <v>312</v>
      </c>
      <c r="O383" s="124" t="s">
        <v>312</v>
      </c>
      <c r="P383" s="21">
        <v>32</v>
      </c>
      <c r="Q383" s="10" t="s">
        <v>54</v>
      </c>
      <c r="R383" s="10" t="s">
        <v>28</v>
      </c>
      <c r="S383" s="10"/>
      <c r="T383" s="10"/>
      <c r="U383" s="10" t="s">
        <v>1032</v>
      </c>
      <c r="V383" s="10" t="s">
        <v>1032</v>
      </c>
      <c r="W383" s="50">
        <f>+J383/$W$2</f>
        <v>1.2727833058338233E-3</v>
      </c>
    </row>
    <row r="384" spans="1:23">
      <c r="A384" s="10" t="s">
        <v>1424</v>
      </c>
      <c r="B384" s="10" t="s">
        <v>358</v>
      </c>
      <c r="C384" s="124">
        <v>46335</v>
      </c>
      <c r="D384" s="124" t="s">
        <v>471</v>
      </c>
      <c r="E384" s="21">
        <v>0.99044832999999999</v>
      </c>
      <c r="F384" s="10"/>
      <c r="G384" s="14">
        <v>13000000</v>
      </c>
      <c r="H384" s="14">
        <v>12875828.25</v>
      </c>
      <c r="I384" s="14">
        <v>13000000</v>
      </c>
      <c r="J384" s="14">
        <v>12875828.25</v>
      </c>
      <c r="K384" s="12">
        <v>1306</v>
      </c>
      <c r="L384" s="10" t="s">
        <v>101</v>
      </c>
      <c r="M384" s="10" t="s">
        <v>102</v>
      </c>
      <c r="N384" s="124" t="s">
        <v>391</v>
      </c>
      <c r="O384" s="124" t="s">
        <v>391</v>
      </c>
      <c r="P384" s="21">
        <v>32</v>
      </c>
      <c r="Q384" s="10" t="s">
        <v>54</v>
      </c>
      <c r="R384" s="10" t="s">
        <v>28</v>
      </c>
      <c r="S384" s="10"/>
      <c r="T384" s="10"/>
      <c r="U384" s="10" t="s">
        <v>1400</v>
      </c>
      <c r="V384" s="10" t="s">
        <v>1400</v>
      </c>
      <c r="W384" s="50">
        <f>+J384/$W$2</f>
        <v>1.575827008067841E-4</v>
      </c>
    </row>
    <row r="385" spans="1:23">
      <c r="A385" s="10" t="s">
        <v>318</v>
      </c>
      <c r="B385" s="10" t="s">
        <v>358</v>
      </c>
      <c r="C385" s="124">
        <v>46335</v>
      </c>
      <c r="D385" s="124" t="s">
        <v>471</v>
      </c>
      <c r="E385" s="21">
        <v>0.99044831</v>
      </c>
      <c r="F385" s="10"/>
      <c r="G385" s="14">
        <v>40000000</v>
      </c>
      <c r="H385" s="14">
        <v>39617932.270000003</v>
      </c>
      <c r="I385" s="14">
        <v>40000000</v>
      </c>
      <c r="J385" s="14">
        <v>39617932.270000003</v>
      </c>
      <c r="K385" s="12">
        <v>13953437</v>
      </c>
      <c r="L385" s="10" t="s">
        <v>101</v>
      </c>
      <c r="M385" s="10" t="s">
        <v>102</v>
      </c>
      <c r="N385" s="124" t="s">
        <v>346</v>
      </c>
      <c r="O385" s="124" t="s">
        <v>346</v>
      </c>
      <c r="P385" s="21">
        <v>32</v>
      </c>
      <c r="Q385" s="10" t="s">
        <v>54</v>
      </c>
      <c r="R385" s="10" t="s">
        <v>28</v>
      </c>
      <c r="S385" s="10"/>
      <c r="T385" s="10"/>
      <c r="U385" s="10" t="s">
        <v>772</v>
      </c>
      <c r="V385" s="10" t="s">
        <v>772</v>
      </c>
      <c r="W385" s="50">
        <f>+J385/$W$2</f>
        <v>4.8486983876061312E-4</v>
      </c>
    </row>
    <row r="386" spans="1:23">
      <c r="A386" s="10" t="s">
        <v>574</v>
      </c>
      <c r="B386" s="10" t="s">
        <v>358</v>
      </c>
      <c r="C386" s="124">
        <v>46335</v>
      </c>
      <c r="D386" s="124" t="s">
        <v>471</v>
      </c>
      <c r="E386" s="21">
        <v>0.98985736999999996</v>
      </c>
      <c r="F386" s="10"/>
      <c r="G386" s="14">
        <v>200000000</v>
      </c>
      <c r="H386" s="14">
        <v>197971474.84</v>
      </c>
      <c r="I386" s="14">
        <v>200000000</v>
      </c>
      <c r="J386" s="14">
        <v>197971474.84</v>
      </c>
      <c r="K386" s="12">
        <v>90004098</v>
      </c>
      <c r="L386" s="10" t="s">
        <v>101</v>
      </c>
      <c r="M386" s="10" t="s">
        <v>102</v>
      </c>
      <c r="N386" s="124" t="s">
        <v>406</v>
      </c>
      <c r="O386" s="124" t="s">
        <v>406</v>
      </c>
      <c r="P386" s="21">
        <v>34</v>
      </c>
      <c r="Q386" s="10" t="s">
        <v>54</v>
      </c>
      <c r="R386" s="10" t="s">
        <v>28</v>
      </c>
      <c r="S386" s="10"/>
      <c r="T386" s="10"/>
      <c r="U386" s="10" t="s">
        <v>1183</v>
      </c>
      <c r="V386" s="10" t="s">
        <v>1183</v>
      </c>
      <c r="W386" s="50">
        <f>+J386/$W$2</f>
        <v>2.4229027509736711E-3</v>
      </c>
    </row>
    <row r="387" spans="1:23">
      <c r="A387" s="10" t="s">
        <v>520</v>
      </c>
      <c r="B387" s="10" t="s">
        <v>358</v>
      </c>
      <c r="C387" s="124">
        <v>46335</v>
      </c>
      <c r="D387" s="124" t="s">
        <v>471</v>
      </c>
      <c r="E387" s="21">
        <v>0.98985736000000002</v>
      </c>
      <c r="F387" s="10"/>
      <c r="G387" s="14">
        <v>6200000</v>
      </c>
      <c r="H387" s="14">
        <v>6137115.6399999997</v>
      </c>
      <c r="I387" s="14">
        <v>6200000</v>
      </c>
      <c r="J387" s="14">
        <v>6137115.6399999997</v>
      </c>
      <c r="K387" s="12">
        <v>69261919</v>
      </c>
      <c r="L387" s="10" t="s">
        <v>101</v>
      </c>
      <c r="M387" s="10" t="s">
        <v>102</v>
      </c>
      <c r="N387" s="124" t="s">
        <v>373</v>
      </c>
      <c r="O387" s="124" t="s">
        <v>373</v>
      </c>
      <c r="P387" s="21">
        <v>34</v>
      </c>
      <c r="Q387" s="10" t="s">
        <v>54</v>
      </c>
      <c r="R387" s="10" t="s">
        <v>28</v>
      </c>
      <c r="S387" s="10"/>
      <c r="T387" s="10"/>
      <c r="U387" s="10" t="s">
        <v>1154</v>
      </c>
      <c r="V387" s="10" t="s">
        <v>1154</v>
      </c>
      <c r="W387" s="50">
        <f>+J387/$W$2</f>
        <v>7.5109984300602588E-5</v>
      </c>
    </row>
    <row r="388" spans="1:23">
      <c r="A388" s="10" t="s">
        <v>524</v>
      </c>
      <c r="B388" s="10" t="s">
        <v>358</v>
      </c>
      <c r="C388" s="124">
        <v>46335</v>
      </c>
      <c r="D388" s="124" t="s">
        <v>471</v>
      </c>
      <c r="E388" s="21">
        <v>0.98926716000000003</v>
      </c>
      <c r="F388" s="10"/>
      <c r="G388" s="14">
        <v>1555000.5</v>
      </c>
      <c r="H388" s="14">
        <v>1538310.93</v>
      </c>
      <c r="I388" s="14">
        <v>1555000.5</v>
      </c>
      <c r="J388" s="14">
        <v>1538310.93</v>
      </c>
      <c r="K388" s="12">
        <v>503</v>
      </c>
      <c r="L388" s="10" t="s">
        <v>101</v>
      </c>
      <c r="M388" s="10" t="s">
        <v>102</v>
      </c>
      <c r="N388" s="124" t="s">
        <v>161</v>
      </c>
      <c r="O388" s="124" t="s">
        <v>161</v>
      </c>
      <c r="P388" s="21">
        <v>36</v>
      </c>
      <c r="Q388" s="10" t="s">
        <v>54</v>
      </c>
      <c r="R388" s="10" t="s">
        <v>28</v>
      </c>
      <c r="S388" s="10"/>
      <c r="T388" s="10"/>
      <c r="U388" s="10" t="s">
        <v>1054</v>
      </c>
      <c r="V388" s="10" t="s">
        <v>1054</v>
      </c>
      <c r="W388" s="50">
        <f>+J388/$W$2</f>
        <v>1.8826842539624259E-5</v>
      </c>
    </row>
    <row r="389" spans="1:23">
      <c r="A389" s="10" t="s">
        <v>525</v>
      </c>
      <c r="B389" s="10" t="s">
        <v>358</v>
      </c>
      <c r="C389" s="124">
        <v>46335</v>
      </c>
      <c r="D389" s="124" t="s">
        <v>471</v>
      </c>
      <c r="E389" s="21">
        <v>0.99015273999999998</v>
      </c>
      <c r="F389" s="10"/>
      <c r="G389" s="14">
        <v>1300000</v>
      </c>
      <c r="H389" s="14">
        <v>1287198.56</v>
      </c>
      <c r="I389" s="14">
        <v>1300000</v>
      </c>
      <c r="J389" s="14">
        <v>1287198.56</v>
      </c>
      <c r="K389" s="12">
        <v>556</v>
      </c>
      <c r="L389" s="10" t="s">
        <v>101</v>
      </c>
      <c r="M389" s="10" t="s">
        <v>102</v>
      </c>
      <c r="N389" s="124" t="s">
        <v>162</v>
      </c>
      <c r="O389" s="124" t="s">
        <v>162</v>
      </c>
      <c r="P389" s="21">
        <v>33</v>
      </c>
      <c r="Q389" s="10" t="s">
        <v>54</v>
      </c>
      <c r="R389" s="10" t="s">
        <v>28</v>
      </c>
      <c r="S389" s="10"/>
      <c r="T389" s="10"/>
      <c r="U389" s="10" t="s">
        <v>1262</v>
      </c>
      <c r="V389" s="10" t="s">
        <v>1262</v>
      </c>
      <c r="W389" s="50">
        <f>+J389/$W$2</f>
        <v>1.575356719746579E-5</v>
      </c>
    </row>
    <row r="390" spans="1:23">
      <c r="A390" s="10" t="s">
        <v>1768</v>
      </c>
      <c r="B390" s="10" t="s">
        <v>358</v>
      </c>
      <c r="C390" s="124">
        <v>46335</v>
      </c>
      <c r="D390" s="124" t="s">
        <v>471</v>
      </c>
      <c r="E390" s="21">
        <v>0.99015279</v>
      </c>
      <c r="F390" s="10"/>
      <c r="G390" s="14">
        <v>1936748.66</v>
      </c>
      <c r="H390" s="14">
        <v>1917677.09</v>
      </c>
      <c r="I390" s="14">
        <v>1936748.66</v>
      </c>
      <c r="J390" s="14">
        <v>1917677.09</v>
      </c>
      <c r="K390" s="12">
        <v>69517547</v>
      </c>
      <c r="L390" s="10" t="s">
        <v>101</v>
      </c>
      <c r="M390" s="10" t="s">
        <v>102</v>
      </c>
      <c r="N390" s="124" t="s">
        <v>398</v>
      </c>
      <c r="O390" s="124" t="s">
        <v>398</v>
      </c>
      <c r="P390" s="21">
        <v>33</v>
      </c>
      <c r="Q390" s="10" t="s">
        <v>54</v>
      </c>
      <c r="R390" s="10" t="s">
        <v>28</v>
      </c>
      <c r="S390" s="10"/>
      <c r="T390" s="10"/>
      <c r="U390" s="10" t="s">
        <v>1671</v>
      </c>
      <c r="V390" s="10" t="s">
        <v>1671</v>
      </c>
      <c r="W390" s="50">
        <f>+J390/$W$2</f>
        <v>2.346977058485495E-5</v>
      </c>
    </row>
    <row r="391" spans="1:23">
      <c r="A391" s="10" t="s">
        <v>2436</v>
      </c>
      <c r="B391" s="10" t="s">
        <v>358</v>
      </c>
      <c r="C391" s="124">
        <v>46335</v>
      </c>
      <c r="D391" s="124" t="s">
        <v>471</v>
      </c>
      <c r="E391" s="21">
        <v>0.99222535000000001</v>
      </c>
      <c r="F391" s="10"/>
      <c r="G391" s="14">
        <v>150000000</v>
      </c>
      <c r="H391" s="14">
        <v>148833801.78</v>
      </c>
      <c r="I391" s="14">
        <v>150000000</v>
      </c>
      <c r="J391" s="14">
        <v>148833801.78</v>
      </c>
      <c r="K391" s="12">
        <v>1372557</v>
      </c>
      <c r="L391" s="10" t="s">
        <v>101</v>
      </c>
      <c r="M391" s="10" t="s">
        <v>102</v>
      </c>
      <c r="N391" s="124" t="s">
        <v>477</v>
      </c>
      <c r="O391" s="124" t="s">
        <v>477</v>
      </c>
      <c r="P391" s="21">
        <v>26</v>
      </c>
      <c r="Q391" s="10" t="s">
        <v>54</v>
      </c>
      <c r="R391" s="10" t="s">
        <v>28</v>
      </c>
      <c r="S391" s="10"/>
      <c r="T391" s="10"/>
      <c r="U391" s="10" t="s">
        <v>2383</v>
      </c>
      <c r="V391" s="10" t="s">
        <v>2383</v>
      </c>
      <c r="W391" s="50">
        <f>+J391/$W$2</f>
        <v>1.821524176965777E-3</v>
      </c>
    </row>
    <row r="392" spans="1:23">
      <c r="A392" s="10" t="s">
        <v>295</v>
      </c>
      <c r="B392" s="10" t="s">
        <v>358</v>
      </c>
      <c r="C392" s="124">
        <v>46335</v>
      </c>
      <c r="D392" s="124" t="s">
        <v>471</v>
      </c>
      <c r="E392" s="21">
        <v>0.99252209999999996</v>
      </c>
      <c r="F392" s="10"/>
      <c r="G392" s="14">
        <v>12000000</v>
      </c>
      <c r="H392" s="14">
        <v>11910265.23</v>
      </c>
      <c r="I392" s="14">
        <v>12000000</v>
      </c>
      <c r="J392" s="14">
        <v>11910265.23</v>
      </c>
      <c r="K392" s="12">
        <v>34561</v>
      </c>
      <c r="L392" s="10" t="s">
        <v>101</v>
      </c>
      <c r="M392" s="10" t="s">
        <v>102</v>
      </c>
      <c r="N392" s="124" t="s">
        <v>309</v>
      </c>
      <c r="O392" s="124" t="s">
        <v>309</v>
      </c>
      <c r="P392" s="21">
        <v>25</v>
      </c>
      <c r="Q392" s="10" t="s">
        <v>54</v>
      </c>
      <c r="R392" s="10" t="s">
        <v>28</v>
      </c>
      <c r="S392" s="10"/>
      <c r="T392" s="10"/>
      <c r="U392" s="10" t="s">
        <v>855</v>
      </c>
      <c r="V392" s="10" t="s">
        <v>855</v>
      </c>
      <c r="W392" s="50">
        <f>+J392/$W$2</f>
        <v>1.4576551704691571E-4</v>
      </c>
    </row>
    <row r="393" spans="1:23">
      <c r="A393" s="10" t="s">
        <v>433</v>
      </c>
      <c r="B393" s="10" t="s">
        <v>358</v>
      </c>
      <c r="C393" s="124">
        <v>46335</v>
      </c>
      <c r="D393" s="124" t="s">
        <v>471</v>
      </c>
      <c r="E393" s="21">
        <v>0.99015275999999997</v>
      </c>
      <c r="F393" s="10"/>
      <c r="G393" s="14">
        <v>25000000</v>
      </c>
      <c r="H393" s="14">
        <v>24753819.059999999</v>
      </c>
      <c r="I393" s="14">
        <v>25000000</v>
      </c>
      <c r="J393" s="14">
        <v>24753819.059999999</v>
      </c>
      <c r="K393" s="12">
        <v>14422667</v>
      </c>
      <c r="L393" s="10" t="s">
        <v>101</v>
      </c>
      <c r="M393" s="10" t="s">
        <v>102</v>
      </c>
      <c r="N393" s="124" t="s">
        <v>396</v>
      </c>
      <c r="O393" s="124" t="s">
        <v>396</v>
      </c>
      <c r="P393" s="21">
        <v>33</v>
      </c>
      <c r="Q393" s="10" t="s">
        <v>54</v>
      </c>
      <c r="R393" s="10" t="s">
        <v>28</v>
      </c>
      <c r="S393" s="10"/>
      <c r="T393" s="10"/>
      <c r="U393" s="10" t="s">
        <v>1387</v>
      </c>
      <c r="V393" s="10" t="s">
        <v>1387</v>
      </c>
      <c r="W393" s="50">
        <f>+J393/$W$2</f>
        <v>3.0295322266023932E-4</v>
      </c>
    </row>
    <row r="394" spans="1:23">
      <c r="A394" s="10" t="s">
        <v>434</v>
      </c>
      <c r="B394" s="10" t="s">
        <v>358</v>
      </c>
      <c r="C394" s="124">
        <v>46335</v>
      </c>
      <c r="D394" s="124" t="s">
        <v>471</v>
      </c>
      <c r="E394" s="21">
        <v>0.99015277000000002</v>
      </c>
      <c r="F394" s="10"/>
      <c r="G394" s="14">
        <v>7954930.75</v>
      </c>
      <c r="H394" s="14">
        <v>7876596.6799999997</v>
      </c>
      <c r="I394" s="14">
        <v>7954930.75</v>
      </c>
      <c r="J394" s="14">
        <v>7876596.6799999997</v>
      </c>
      <c r="K394" s="12">
        <v>9</v>
      </c>
      <c r="L394" s="10" t="s">
        <v>101</v>
      </c>
      <c r="M394" s="10" t="s">
        <v>102</v>
      </c>
      <c r="N394" s="124" t="s">
        <v>409</v>
      </c>
      <c r="O394" s="124" t="s">
        <v>409</v>
      </c>
      <c r="P394" s="21">
        <v>33</v>
      </c>
      <c r="Q394" s="10" t="s">
        <v>54</v>
      </c>
      <c r="R394" s="10" t="s">
        <v>28</v>
      </c>
      <c r="S394" s="10"/>
      <c r="T394" s="10"/>
      <c r="U394" s="10" t="s">
        <v>891</v>
      </c>
      <c r="V394" s="10" t="s">
        <v>891</v>
      </c>
      <c r="W394" s="50">
        <f>+J394/$W$2</f>
        <v>9.6398876553836373E-5</v>
      </c>
    </row>
    <row r="395" spans="1:23">
      <c r="A395" s="10" t="s">
        <v>217</v>
      </c>
      <c r="B395" s="10" t="s">
        <v>358</v>
      </c>
      <c r="C395" s="124">
        <v>46335</v>
      </c>
      <c r="D395" s="124" t="s">
        <v>471</v>
      </c>
      <c r="E395" s="21">
        <v>0.99044829000000001</v>
      </c>
      <c r="F395" s="10"/>
      <c r="G395" s="14">
        <v>50000000</v>
      </c>
      <c r="H395" s="14">
        <v>49522414.630000003</v>
      </c>
      <c r="I395" s="14">
        <v>50000000</v>
      </c>
      <c r="J395" s="14">
        <v>49522414.630000003</v>
      </c>
      <c r="K395" s="12">
        <v>5358</v>
      </c>
      <c r="L395" s="10" t="s">
        <v>101</v>
      </c>
      <c r="M395" s="10" t="s">
        <v>102</v>
      </c>
      <c r="N395" s="124" t="s">
        <v>395</v>
      </c>
      <c r="O395" s="124" t="s">
        <v>395</v>
      </c>
      <c r="P395" s="21">
        <v>32</v>
      </c>
      <c r="Q395" s="10" t="s">
        <v>54</v>
      </c>
      <c r="R395" s="10" t="s">
        <v>28</v>
      </c>
      <c r="S395" s="10"/>
      <c r="T395" s="10"/>
      <c r="U395" s="10" t="s">
        <v>1805</v>
      </c>
      <c r="V395" s="10" t="s">
        <v>1805</v>
      </c>
      <c r="W395" s="50">
        <f>+J395/$W$2</f>
        <v>6.0608728979192456E-4</v>
      </c>
    </row>
    <row r="396" spans="1:23">
      <c r="A396" s="10" t="s">
        <v>481</v>
      </c>
      <c r="B396" s="10" t="s">
        <v>358</v>
      </c>
      <c r="C396" s="124">
        <v>46335</v>
      </c>
      <c r="D396" s="124" t="s">
        <v>471</v>
      </c>
      <c r="E396" s="21">
        <v>0.99015275000000003</v>
      </c>
      <c r="F396" s="10"/>
      <c r="G396" s="14">
        <v>85000000</v>
      </c>
      <c r="H396" s="14">
        <v>84162983.459999993</v>
      </c>
      <c r="I396" s="14">
        <v>85000000</v>
      </c>
      <c r="J396" s="14">
        <v>84162983.459999993</v>
      </c>
      <c r="K396" s="12">
        <v>68458957</v>
      </c>
      <c r="L396" s="10" t="s">
        <v>101</v>
      </c>
      <c r="M396" s="10" t="s">
        <v>102</v>
      </c>
      <c r="N396" s="124" t="s">
        <v>154</v>
      </c>
      <c r="O396" s="124" t="s">
        <v>154</v>
      </c>
      <c r="P396" s="21">
        <v>33</v>
      </c>
      <c r="Q396" s="10" t="s">
        <v>54</v>
      </c>
      <c r="R396" s="10" t="s">
        <v>28</v>
      </c>
      <c r="S396" s="10"/>
      <c r="T396" s="10"/>
      <c r="U396" s="10" t="s">
        <v>766</v>
      </c>
      <c r="V396" s="10" t="s">
        <v>766</v>
      </c>
      <c r="W396" s="50">
        <f>+J396/$W$2</f>
        <v>1.0300409405960738E-3</v>
      </c>
    </row>
    <row r="397" spans="1:23">
      <c r="A397" s="10" t="s">
        <v>359</v>
      </c>
      <c r="B397" s="10" t="s">
        <v>358</v>
      </c>
      <c r="C397" s="124">
        <v>46335</v>
      </c>
      <c r="D397" s="124" t="s">
        <v>471</v>
      </c>
      <c r="E397" s="21">
        <v>0.99103996999999999</v>
      </c>
      <c r="F397" s="10"/>
      <c r="G397" s="14">
        <v>4500000</v>
      </c>
      <c r="H397" s="14">
        <v>4459679.8600000003</v>
      </c>
      <c r="I397" s="14">
        <v>4500000</v>
      </c>
      <c r="J397" s="14">
        <v>4459679.8600000003</v>
      </c>
      <c r="K397" s="12">
        <v>1289</v>
      </c>
      <c r="L397" s="10" t="s">
        <v>101</v>
      </c>
      <c r="M397" s="10" t="s">
        <v>102</v>
      </c>
      <c r="N397" s="124" t="s">
        <v>478</v>
      </c>
      <c r="O397" s="124" t="s">
        <v>478</v>
      </c>
      <c r="P397" s="21">
        <v>30</v>
      </c>
      <c r="Q397" s="10" t="s">
        <v>54</v>
      </c>
      <c r="R397" s="10" t="s">
        <v>28</v>
      </c>
      <c r="S397" s="10"/>
      <c r="T397" s="10"/>
      <c r="U397" s="10" t="s">
        <v>2158</v>
      </c>
      <c r="V397" s="10" t="s">
        <v>2158</v>
      </c>
      <c r="W397" s="50">
        <f>+J397/$W$2</f>
        <v>5.4580442005540177E-5</v>
      </c>
    </row>
    <row r="398" spans="1:23">
      <c r="A398" s="10" t="s">
        <v>361</v>
      </c>
      <c r="B398" s="10" t="s">
        <v>358</v>
      </c>
      <c r="C398" s="124">
        <v>46335</v>
      </c>
      <c r="D398" s="124" t="s">
        <v>471</v>
      </c>
      <c r="E398" s="21">
        <v>0.99103993000000001</v>
      </c>
      <c r="F398" s="10"/>
      <c r="G398" s="14">
        <v>75000000</v>
      </c>
      <c r="H398" s="14">
        <v>74327994.549999997</v>
      </c>
      <c r="I398" s="14">
        <v>75000000</v>
      </c>
      <c r="J398" s="14">
        <v>74327994.549999997</v>
      </c>
      <c r="K398" s="12">
        <v>341</v>
      </c>
      <c r="L398" s="10" t="s">
        <v>101</v>
      </c>
      <c r="M398" s="10" t="s">
        <v>102</v>
      </c>
      <c r="N398" s="124" t="s">
        <v>163</v>
      </c>
      <c r="O398" s="124" t="s">
        <v>163</v>
      </c>
      <c r="P398" s="21">
        <v>30</v>
      </c>
      <c r="Q398" s="10" t="s">
        <v>54</v>
      </c>
      <c r="R398" s="10" t="s">
        <v>28</v>
      </c>
      <c r="S398" s="10"/>
      <c r="T398" s="10"/>
      <c r="U398" s="10" t="s">
        <v>879</v>
      </c>
      <c r="V398" s="10" t="s">
        <v>879</v>
      </c>
      <c r="W398" s="50">
        <f>+J398/$W$2</f>
        <v>9.0967399528189027E-4</v>
      </c>
    </row>
    <row r="399" spans="1:23">
      <c r="A399" s="10" t="s">
        <v>363</v>
      </c>
      <c r="B399" s="10" t="s">
        <v>358</v>
      </c>
      <c r="C399" s="124">
        <v>46335</v>
      </c>
      <c r="D399" s="124" t="s">
        <v>471</v>
      </c>
      <c r="E399" s="21">
        <v>0.98867762999999997</v>
      </c>
      <c r="F399" s="10"/>
      <c r="G399" s="14">
        <v>43500000</v>
      </c>
      <c r="H399" s="14">
        <v>43007476.990000002</v>
      </c>
      <c r="I399" s="14">
        <v>43500000</v>
      </c>
      <c r="J399" s="14">
        <v>43007476.990000002</v>
      </c>
      <c r="K399" s="12">
        <v>163276</v>
      </c>
      <c r="L399" s="10" t="s">
        <v>101</v>
      </c>
      <c r="M399" s="10" t="s">
        <v>102</v>
      </c>
      <c r="N399" s="124" t="s">
        <v>365</v>
      </c>
      <c r="O399" s="124" t="s">
        <v>365</v>
      </c>
      <c r="P399" s="21">
        <v>38</v>
      </c>
      <c r="Q399" s="10" t="s">
        <v>54</v>
      </c>
      <c r="R399" s="10" t="s">
        <v>28</v>
      </c>
      <c r="S399" s="10"/>
      <c r="T399" s="10"/>
      <c r="U399" s="10" t="s">
        <v>1364</v>
      </c>
      <c r="V399" s="10" t="s">
        <v>1364</v>
      </c>
      <c r="W399" s="50">
        <f>+J399/$W$2</f>
        <v>5.2635327587332659E-4</v>
      </c>
    </row>
    <row r="400" spans="1:23">
      <c r="A400" s="10" t="s">
        <v>271</v>
      </c>
      <c r="B400" s="10" t="s">
        <v>358</v>
      </c>
      <c r="C400" s="124">
        <v>46335</v>
      </c>
      <c r="D400" s="124" t="s">
        <v>471</v>
      </c>
      <c r="E400" s="21">
        <v>0.99103991999999996</v>
      </c>
      <c r="F400" s="10"/>
      <c r="G400" s="14">
        <v>10000000</v>
      </c>
      <c r="H400" s="14">
        <v>9910399.1799999997</v>
      </c>
      <c r="I400" s="14">
        <v>10000000</v>
      </c>
      <c r="J400" s="14">
        <v>9910399.1799999997</v>
      </c>
      <c r="K400" s="12">
        <v>108</v>
      </c>
      <c r="L400" s="10" t="s">
        <v>101</v>
      </c>
      <c r="M400" s="10" t="s">
        <v>102</v>
      </c>
      <c r="N400" s="124" t="s">
        <v>310</v>
      </c>
      <c r="O400" s="124" t="s">
        <v>310</v>
      </c>
      <c r="P400" s="21">
        <v>30</v>
      </c>
      <c r="Q400" s="10" t="s">
        <v>54</v>
      </c>
      <c r="R400" s="10" t="s">
        <v>28</v>
      </c>
      <c r="S400" s="10"/>
      <c r="T400" s="10"/>
      <c r="U400" s="10" t="s">
        <v>1010</v>
      </c>
      <c r="V400" s="10" t="s">
        <v>1010</v>
      </c>
      <c r="W400" s="50">
        <f>+J400/$W$2</f>
        <v>1.2128986489531177E-4</v>
      </c>
    </row>
    <row r="401" spans="1:29">
      <c r="A401" s="10" t="s">
        <v>695</v>
      </c>
      <c r="B401" s="10" t="s">
        <v>358</v>
      </c>
      <c r="C401" s="124">
        <v>46335</v>
      </c>
      <c r="D401" s="124" t="s">
        <v>471</v>
      </c>
      <c r="E401" s="21">
        <v>0.99044829999999995</v>
      </c>
      <c r="F401" s="10"/>
      <c r="G401" s="14">
        <v>475000000</v>
      </c>
      <c r="H401" s="14">
        <v>470462942.06999999</v>
      </c>
      <c r="I401" s="14">
        <v>475000000</v>
      </c>
      <c r="J401" s="14">
        <v>470462942.06999999</v>
      </c>
      <c r="K401" s="12">
        <v>931</v>
      </c>
      <c r="L401" s="10" t="s">
        <v>101</v>
      </c>
      <c r="M401" s="10" t="s">
        <v>102</v>
      </c>
      <c r="N401" s="124" t="s">
        <v>371</v>
      </c>
      <c r="O401" s="124" t="s">
        <v>371</v>
      </c>
      <c r="P401" s="21">
        <v>32</v>
      </c>
      <c r="Q401" s="10" t="s">
        <v>54</v>
      </c>
      <c r="R401" s="10" t="s">
        <v>28</v>
      </c>
      <c r="S401" s="10"/>
      <c r="T401" s="10"/>
      <c r="U401" s="10" t="s">
        <v>691</v>
      </c>
      <c r="V401" s="10" t="s">
        <v>691</v>
      </c>
      <c r="W401" s="50">
        <f>+J401/$W$2</f>
        <v>5.7578292907795045E-3</v>
      </c>
      <c r="AC401" s="47"/>
    </row>
    <row r="402" spans="1:29">
      <c r="A402" s="10" t="s">
        <v>677</v>
      </c>
      <c r="B402" s="10" t="s">
        <v>358</v>
      </c>
      <c r="C402" s="124">
        <v>46335</v>
      </c>
      <c r="D402" s="124" t="s">
        <v>471</v>
      </c>
      <c r="E402" s="21">
        <v>0.98897228999999998</v>
      </c>
      <c r="F402" s="10"/>
      <c r="G402" s="14">
        <v>20000000</v>
      </c>
      <c r="H402" s="14">
        <v>19779445.829999998</v>
      </c>
      <c r="I402" s="14">
        <v>20000000</v>
      </c>
      <c r="J402" s="14">
        <v>19779445.829999998</v>
      </c>
      <c r="K402" s="12">
        <v>2595</v>
      </c>
      <c r="L402" s="10" t="s">
        <v>101</v>
      </c>
      <c r="M402" s="10" t="s">
        <v>102</v>
      </c>
      <c r="N402" s="124" t="s">
        <v>332</v>
      </c>
      <c r="O402" s="124" t="s">
        <v>332</v>
      </c>
      <c r="P402" s="21">
        <v>37</v>
      </c>
      <c r="Q402" s="10" t="s">
        <v>54</v>
      </c>
      <c r="R402" s="10" t="s">
        <v>28</v>
      </c>
      <c r="S402" s="10"/>
      <c r="T402" s="10"/>
      <c r="U402" s="10" t="s">
        <v>918</v>
      </c>
      <c r="V402" s="10" t="s">
        <v>918</v>
      </c>
      <c r="W402" s="50">
        <f>+J402/$W$2</f>
        <v>2.4207363082471089E-4</v>
      </c>
    </row>
    <row r="403" spans="1:29">
      <c r="A403" s="10" t="s">
        <v>359</v>
      </c>
      <c r="B403" s="10" t="s">
        <v>358</v>
      </c>
      <c r="C403" s="124">
        <v>46335</v>
      </c>
      <c r="D403" s="124" t="s">
        <v>471</v>
      </c>
      <c r="E403" s="21">
        <v>0.99103993000000001</v>
      </c>
      <c r="F403" s="10"/>
      <c r="G403" s="14">
        <v>5000000</v>
      </c>
      <c r="H403" s="14">
        <v>4955199.6399999997</v>
      </c>
      <c r="I403" s="14">
        <v>5000000</v>
      </c>
      <c r="J403" s="14">
        <v>4955199.6399999997</v>
      </c>
      <c r="K403" s="12">
        <v>1207</v>
      </c>
      <c r="L403" s="10" t="s">
        <v>101</v>
      </c>
      <c r="M403" s="10" t="s">
        <v>102</v>
      </c>
      <c r="N403" s="124" t="s">
        <v>480</v>
      </c>
      <c r="O403" s="124" t="s">
        <v>480</v>
      </c>
      <c r="P403" s="21">
        <v>30</v>
      </c>
      <c r="Q403" s="10" t="s">
        <v>54</v>
      </c>
      <c r="R403" s="10" t="s">
        <v>28</v>
      </c>
      <c r="S403" s="10"/>
      <c r="T403" s="10"/>
      <c r="U403" s="10" t="s">
        <v>1520</v>
      </c>
      <c r="V403" s="10" t="s">
        <v>1520</v>
      </c>
      <c r="W403" s="50">
        <f>+J403/$W$2</f>
        <v>6.0644933059588168E-5</v>
      </c>
    </row>
    <row r="404" spans="1:29">
      <c r="A404" s="10" t="s">
        <v>359</v>
      </c>
      <c r="B404" s="10" t="s">
        <v>358</v>
      </c>
      <c r="C404" s="124">
        <v>46335</v>
      </c>
      <c r="D404" s="124" t="s">
        <v>471</v>
      </c>
      <c r="E404" s="21">
        <v>0.99044829000000001</v>
      </c>
      <c r="F404" s="10"/>
      <c r="G404" s="14">
        <v>3000000</v>
      </c>
      <c r="H404" s="14">
        <v>2971344.86</v>
      </c>
      <c r="I404" s="14">
        <v>3000000</v>
      </c>
      <c r="J404" s="14">
        <v>2971344.86</v>
      </c>
      <c r="K404" s="12">
        <v>1050</v>
      </c>
      <c r="L404" s="10" t="s">
        <v>101</v>
      </c>
      <c r="M404" s="10" t="s">
        <v>102</v>
      </c>
      <c r="N404" s="124" t="s">
        <v>373</v>
      </c>
      <c r="O404" s="124" t="s">
        <v>373</v>
      </c>
      <c r="P404" s="21">
        <v>32</v>
      </c>
      <c r="Q404" s="10" t="s">
        <v>54</v>
      </c>
      <c r="R404" s="10" t="s">
        <v>28</v>
      </c>
      <c r="S404" s="10"/>
      <c r="T404" s="10"/>
      <c r="U404" s="10" t="s">
        <v>1133</v>
      </c>
      <c r="V404" s="10" t="s">
        <v>1133</v>
      </c>
      <c r="W404" s="50">
        <f>+J404/$W$2</f>
        <v>3.6365237169667574E-5</v>
      </c>
    </row>
    <row r="405" spans="1:29">
      <c r="A405" s="10" t="s">
        <v>359</v>
      </c>
      <c r="B405" s="10" t="s">
        <v>358</v>
      </c>
      <c r="C405" s="124">
        <v>46335</v>
      </c>
      <c r="D405" s="124" t="s">
        <v>471</v>
      </c>
      <c r="E405" s="21">
        <v>0.99015275000000003</v>
      </c>
      <c r="F405" s="10"/>
      <c r="G405" s="14">
        <v>2500000</v>
      </c>
      <c r="H405" s="14">
        <v>2475381.88</v>
      </c>
      <c r="I405" s="14">
        <v>2500000</v>
      </c>
      <c r="J405" s="14">
        <v>2475381.88</v>
      </c>
      <c r="K405" s="12">
        <v>1012</v>
      </c>
      <c r="L405" s="10" t="s">
        <v>101</v>
      </c>
      <c r="M405" s="10" t="s">
        <v>102</v>
      </c>
      <c r="N405" s="124" t="s">
        <v>161</v>
      </c>
      <c r="O405" s="124" t="s">
        <v>161</v>
      </c>
      <c r="P405" s="21">
        <v>33</v>
      </c>
      <c r="Q405" s="10" t="s">
        <v>54</v>
      </c>
      <c r="R405" s="10" t="s">
        <v>28</v>
      </c>
      <c r="S405" s="10"/>
      <c r="T405" s="10"/>
      <c r="U405" s="10" t="s">
        <v>1066</v>
      </c>
      <c r="V405" s="10" t="s">
        <v>1066</v>
      </c>
      <c r="W405" s="50">
        <f>+J405/$W$2</f>
        <v>3.0295321947819143E-5</v>
      </c>
    </row>
    <row r="406" spans="1:29">
      <c r="A406" s="10" t="s">
        <v>359</v>
      </c>
      <c r="B406" s="10" t="s">
        <v>358</v>
      </c>
      <c r="C406" s="124">
        <v>46335</v>
      </c>
      <c r="D406" s="124" t="s">
        <v>471</v>
      </c>
      <c r="E406" s="21">
        <v>0.99103995</v>
      </c>
      <c r="F406" s="10"/>
      <c r="G406" s="14">
        <v>2500000</v>
      </c>
      <c r="H406" s="14">
        <v>2477599.88</v>
      </c>
      <c r="I406" s="14">
        <v>2500000</v>
      </c>
      <c r="J406" s="14">
        <v>2477599.88</v>
      </c>
      <c r="K406" s="12">
        <v>897</v>
      </c>
      <c r="L406" s="10" t="s">
        <v>101</v>
      </c>
      <c r="M406" s="10" t="s">
        <v>102</v>
      </c>
      <c r="N406" s="124" t="s">
        <v>409</v>
      </c>
      <c r="O406" s="124" t="s">
        <v>409</v>
      </c>
      <c r="P406" s="21">
        <v>30</v>
      </c>
      <c r="Q406" s="10" t="s">
        <v>54</v>
      </c>
      <c r="R406" s="10" t="s">
        <v>28</v>
      </c>
      <c r="S406" s="10"/>
      <c r="T406" s="10"/>
      <c r="U406" s="10" t="s">
        <v>897</v>
      </c>
      <c r="V406" s="10" t="s">
        <v>897</v>
      </c>
      <c r="W406" s="50">
        <f>+J406/$W$2</f>
        <v>3.0322467264112828E-5</v>
      </c>
    </row>
    <row r="407" spans="1:29">
      <c r="A407" s="10" t="s">
        <v>334</v>
      </c>
      <c r="B407" s="10" t="s">
        <v>358</v>
      </c>
      <c r="C407" s="124">
        <v>46336</v>
      </c>
      <c r="D407" s="124" t="s">
        <v>471</v>
      </c>
      <c r="E407" s="21">
        <v>0.98830287000000006</v>
      </c>
      <c r="F407" s="10"/>
      <c r="G407" s="14">
        <v>3625698.78</v>
      </c>
      <c r="H407" s="14">
        <v>3583288.51</v>
      </c>
      <c r="I407" s="14">
        <v>3625698.78</v>
      </c>
      <c r="J407" s="14">
        <v>3583288.51</v>
      </c>
      <c r="K407" s="12">
        <v>3352</v>
      </c>
      <c r="L407" s="10" t="s">
        <v>101</v>
      </c>
      <c r="M407" s="10" t="s">
        <v>102</v>
      </c>
      <c r="N407" s="124" t="s">
        <v>331</v>
      </c>
      <c r="O407" s="124" t="s">
        <v>331</v>
      </c>
      <c r="P407" s="21">
        <v>36</v>
      </c>
      <c r="Q407" s="10" t="s">
        <v>54</v>
      </c>
      <c r="R407" s="10" t="s">
        <v>28</v>
      </c>
      <c r="S407" s="10"/>
      <c r="T407" s="10"/>
      <c r="U407" s="10" t="s">
        <v>1236</v>
      </c>
      <c r="V407" s="10" t="s">
        <v>1236</v>
      </c>
      <c r="W407" s="50">
        <f>+J407/$W$2</f>
        <v>4.3854598726549273E-5</v>
      </c>
    </row>
    <row r="408" spans="1:29">
      <c r="A408" s="10" t="s">
        <v>334</v>
      </c>
      <c r="B408" s="10" t="s">
        <v>358</v>
      </c>
      <c r="C408" s="124">
        <v>46336</v>
      </c>
      <c r="D408" s="124" t="s">
        <v>471</v>
      </c>
      <c r="E408" s="21">
        <v>0.98830284000000002</v>
      </c>
      <c r="F408" s="10"/>
      <c r="G408" s="14">
        <v>3789564.21</v>
      </c>
      <c r="H408" s="14">
        <v>3745237.07</v>
      </c>
      <c r="I408" s="14">
        <v>3789564.21</v>
      </c>
      <c r="J408" s="14">
        <v>3745237.07</v>
      </c>
      <c r="K408" s="12">
        <v>3272</v>
      </c>
      <c r="L408" s="10" t="s">
        <v>101</v>
      </c>
      <c r="M408" s="10" t="s">
        <v>102</v>
      </c>
      <c r="N408" s="124" t="s">
        <v>161</v>
      </c>
      <c r="O408" s="124" t="s">
        <v>161</v>
      </c>
      <c r="P408" s="21">
        <v>36</v>
      </c>
      <c r="Q408" s="10" t="s">
        <v>54</v>
      </c>
      <c r="R408" s="10" t="s">
        <v>28</v>
      </c>
      <c r="S408" s="10"/>
      <c r="T408" s="10"/>
      <c r="U408" s="10" t="s">
        <v>1063</v>
      </c>
      <c r="V408" s="10" t="s">
        <v>1063</v>
      </c>
      <c r="W408" s="50">
        <f>+J408/$W$2</f>
        <v>4.5836629783585897E-5</v>
      </c>
    </row>
    <row r="409" spans="1:29">
      <c r="A409" s="10" t="s">
        <v>334</v>
      </c>
      <c r="B409" s="10" t="s">
        <v>358</v>
      </c>
      <c r="C409" s="124">
        <v>46336</v>
      </c>
      <c r="D409" s="124" t="s">
        <v>471</v>
      </c>
      <c r="E409" s="21">
        <v>0.98830284000000002</v>
      </c>
      <c r="F409" s="10"/>
      <c r="G409" s="14">
        <v>2510000.36</v>
      </c>
      <c r="H409" s="14">
        <v>2480640.48</v>
      </c>
      <c r="I409" s="14">
        <v>2510000.36</v>
      </c>
      <c r="J409" s="14">
        <v>2480640.48</v>
      </c>
      <c r="K409" s="12">
        <v>3160</v>
      </c>
      <c r="L409" s="10" t="s">
        <v>101</v>
      </c>
      <c r="M409" s="10" t="s">
        <v>102</v>
      </c>
      <c r="N409" s="124" t="s">
        <v>161</v>
      </c>
      <c r="O409" s="124" t="s">
        <v>161</v>
      </c>
      <c r="P409" s="21">
        <v>36</v>
      </c>
      <c r="Q409" s="10" t="s">
        <v>54</v>
      </c>
      <c r="R409" s="10" t="s">
        <v>28</v>
      </c>
      <c r="S409" s="10"/>
      <c r="T409" s="10"/>
      <c r="U409" s="10" t="s">
        <v>1064</v>
      </c>
      <c r="V409" s="10" t="s">
        <v>1064</v>
      </c>
      <c r="W409" s="50">
        <f>+J409/$W$2</f>
        <v>3.0359680090407955E-5</v>
      </c>
    </row>
    <row r="410" spans="1:29">
      <c r="A410" s="10" t="s">
        <v>334</v>
      </c>
      <c r="B410" s="10" t="s">
        <v>358</v>
      </c>
      <c r="C410" s="124">
        <v>46336</v>
      </c>
      <c r="D410" s="124" t="s">
        <v>471</v>
      </c>
      <c r="E410" s="21">
        <v>0.98862406999999997</v>
      </c>
      <c r="F410" s="10"/>
      <c r="G410" s="14">
        <v>1250300.6499999999</v>
      </c>
      <c r="H410" s="14">
        <v>1236077.32</v>
      </c>
      <c r="I410" s="14">
        <v>1250300.6499999999</v>
      </c>
      <c r="J410" s="14">
        <v>1236077.32</v>
      </c>
      <c r="K410" s="12">
        <v>3582</v>
      </c>
      <c r="L410" s="10" t="s">
        <v>101</v>
      </c>
      <c r="M410" s="10" t="s">
        <v>102</v>
      </c>
      <c r="N410" s="124" t="s">
        <v>397</v>
      </c>
      <c r="O410" s="124" t="s">
        <v>397</v>
      </c>
      <c r="P410" s="21">
        <v>35</v>
      </c>
      <c r="Q410" s="10" t="s">
        <v>54</v>
      </c>
      <c r="R410" s="10" t="s">
        <v>28</v>
      </c>
      <c r="S410" s="10"/>
      <c r="T410" s="10"/>
      <c r="U410" s="10" t="s">
        <v>1867</v>
      </c>
      <c r="V410" s="10" t="s">
        <v>1867</v>
      </c>
      <c r="W410" s="50">
        <f>+J410/$W$2</f>
        <v>1.512791245033977E-5</v>
      </c>
    </row>
    <row r="411" spans="1:29">
      <c r="A411" s="10" t="s">
        <v>334</v>
      </c>
      <c r="B411" s="10" t="s">
        <v>358</v>
      </c>
      <c r="C411" s="124">
        <v>46336</v>
      </c>
      <c r="D411" s="124" t="s">
        <v>471</v>
      </c>
      <c r="E411" s="21">
        <v>0.98862408000000002</v>
      </c>
      <c r="F411" s="10"/>
      <c r="G411" s="14">
        <v>1555000.5</v>
      </c>
      <c r="H411" s="14">
        <v>1537310.94</v>
      </c>
      <c r="I411" s="14">
        <v>1555000.5</v>
      </c>
      <c r="J411" s="14">
        <v>1537310.94</v>
      </c>
      <c r="K411" s="12">
        <v>3581</v>
      </c>
      <c r="L411" s="10" t="s">
        <v>101</v>
      </c>
      <c r="M411" s="10" t="s">
        <v>102</v>
      </c>
      <c r="N411" s="124" t="s">
        <v>397</v>
      </c>
      <c r="O411" s="124" t="s">
        <v>395</v>
      </c>
      <c r="P411" s="21">
        <v>35</v>
      </c>
      <c r="Q411" s="10" t="s">
        <v>54</v>
      </c>
      <c r="R411" s="10" t="s">
        <v>28</v>
      </c>
      <c r="S411" s="10"/>
      <c r="T411" s="10"/>
      <c r="U411" s="10" t="s">
        <v>1877</v>
      </c>
      <c r="V411" s="10" t="s">
        <v>1877</v>
      </c>
      <c r="W411" s="50">
        <f>+J411/$W$2</f>
        <v>1.8814604016251617E-5</v>
      </c>
      <c r="AC411" s="47"/>
    </row>
    <row r="412" spans="1:29">
      <c r="A412" s="10" t="s">
        <v>334</v>
      </c>
      <c r="B412" s="10" t="s">
        <v>358</v>
      </c>
      <c r="C412" s="124">
        <v>46336</v>
      </c>
      <c r="D412" s="124" t="s">
        <v>471</v>
      </c>
      <c r="E412" s="21">
        <v>0.98926716999999997</v>
      </c>
      <c r="F412" s="10"/>
      <c r="G412" s="14">
        <v>2502550.36</v>
      </c>
      <c r="H412" s="14">
        <v>2475690.92</v>
      </c>
      <c r="I412" s="14">
        <v>2502550.36</v>
      </c>
      <c r="J412" s="14">
        <v>2475690.92</v>
      </c>
      <c r="K412" s="12">
        <v>3145</v>
      </c>
      <c r="L412" s="10" t="s">
        <v>101</v>
      </c>
      <c r="M412" s="10" t="s">
        <v>102</v>
      </c>
      <c r="N412" s="124" t="s">
        <v>345</v>
      </c>
      <c r="O412" s="124" t="s">
        <v>345</v>
      </c>
      <c r="P412" s="21">
        <v>33</v>
      </c>
      <c r="Q412" s="10" t="s">
        <v>54</v>
      </c>
      <c r="R412" s="10" t="s">
        <v>28</v>
      </c>
      <c r="S412" s="10"/>
      <c r="T412" s="10"/>
      <c r="U412" s="10" t="s">
        <v>798</v>
      </c>
      <c r="V412" s="10" t="s">
        <v>798</v>
      </c>
      <c r="W412" s="50">
        <f>+J412/$W$2</f>
        <v>3.0299104178904536E-5</v>
      </c>
    </row>
    <row r="413" spans="1:29">
      <c r="A413" s="10" t="s">
        <v>334</v>
      </c>
      <c r="B413" s="10" t="s">
        <v>358</v>
      </c>
      <c r="C413" s="124">
        <v>46336</v>
      </c>
      <c r="D413" s="124" t="s">
        <v>471</v>
      </c>
      <c r="E413" s="21">
        <v>0.98894552999999996</v>
      </c>
      <c r="F413" s="10"/>
      <c r="G413" s="14">
        <v>1020845.65</v>
      </c>
      <c r="H413" s="14">
        <v>1009560.74</v>
      </c>
      <c r="I413" s="14">
        <v>1020845.65</v>
      </c>
      <c r="J413" s="14">
        <v>1009560.74</v>
      </c>
      <c r="K413" s="12">
        <v>2913</v>
      </c>
      <c r="L413" s="10" t="s">
        <v>101</v>
      </c>
      <c r="M413" s="10" t="s">
        <v>102</v>
      </c>
      <c r="N413" s="124" t="s">
        <v>313</v>
      </c>
      <c r="O413" s="124" t="s">
        <v>313</v>
      </c>
      <c r="P413" s="21">
        <v>34</v>
      </c>
      <c r="Q413" s="10" t="s">
        <v>54</v>
      </c>
      <c r="R413" s="10" t="s">
        <v>28</v>
      </c>
      <c r="S413" s="10"/>
      <c r="T413" s="10"/>
      <c r="U413" s="10" t="s">
        <v>726</v>
      </c>
      <c r="V413" s="10" t="s">
        <v>726</v>
      </c>
      <c r="W413" s="50">
        <f>+J413/$W$2</f>
        <v>1.2355656269156553E-5</v>
      </c>
    </row>
    <row r="414" spans="1:29">
      <c r="A414" s="10" t="s">
        <v>334</v>
      </c>
      <c r="B414" s="10" t="s">
        <v>358</v>
      </c>
      <c r="C414" s="124">
        <v>46336</v>
      </c>
      <c r="D414" s="124" t="s">
        <v>471</v>
      </c>
      <c r="E414" s="21">
        <v>0.98894550999999997</v>
      </c>
      <c r="F414" s="10"/>
      <c r="G414" s="14">
        <v>990902.64</v>
      </c>
      <c r="H414" s="14">
        <v>979948.72</v>
      </c>
      <c r="I414" s="14">
        <v>990902.64</v>
      </c>
      <c r="J414" s="14">
        <v>979948.72</v>
      </c>
      <c r="K414" s="12">
        <v>2963</v>
      </c>
      <c r="L414" s="10" t="s">
        <v>101</v>
      </c>
      <c r="M414" s="10" t="s">
        <v>102</v>
      </c>
      <c r="N414" s="124" t="s">
        <v>313</v>
      </c>
      <c r="O414" s="124" t="s">
        <v>313</v>
      </c>
      <c r="P414" s="21">
        <v>34</v>
      </c>
      <c r="Q414" s="10" t="s">
        <v>54</v>
      </c>
      <c r="R414" s="10" t="s">
        <v>28</v>
      </c>
      <c r="S414" s="10"/>
      <c r="T414" s="10"/>
      <c r="U414" s="10" t="s">
        <v>731</v>
      </c>
      <c r="V414" s="10" t="s">
        <v>731</v>
      </c>
      <c r="W414" s="50">
        <f>+J414/$W$2</f>
        <v>1.1993245246165119E-5</v>
      </c>
    </row>
    <row r="415" spans="1:29">
      <c r="A415" s="10" t="s">
        <v>401</v>
      </c>
      <c r="B415" s="10" t="s">
        <v>358</v>
      </c>
      <c r="C415" s="124">
        <v>46336</v>
      </c>
      <c r="D415" s="124" t="s">
        <v>471</v>
      </c>
      <c r="E415" s="21">
        <v>0.99120145000000004</v>
      </c>
      <c r="F415" s="10"/>
      <c r="G415" s="14">
        <v>1000000</v>
      </c>
      <c r="H415" s="14">
        <v>991201.45</v>
      </c>
      <c r="I415" s="14">
        <v>1000000</v>
      </c>
      <c r="J415" s="14">
        <v>991201.45</v>
      </c>
      <c r="K415" s="12">
        <v>11487</v>
      </c>
      <c r="L415" s="10" t="s">
        <v>101</v>
      </c>
      <c r="M415" s="10" t="s">
        <v>102</v>
      </c>
      <c r="N415" s="124" t="s">
        <v>439</v>
      </c>
      <c r="O415" s="124" t="s">
        <v>439</v>
      </c>
      <c r="P415" s="21">
        <v>27</v>
      </c>
      <c r="Q415" s="10" t="s">
        <v>54</v>
      </c>
      <c r="R415" s="10" t="s">
        <v>28</v>
      </c>
      <c r="S415" s="10"/>
      <c r="T415" s="10"/>
      <c r="U415" s="10" t="s">
        <v>2232</v>
      </c>
      <c r="V415" s="10" t="s">
        <v>2232</v>
      </c>
      <c r="W415" s="50">
        <f>+J415/$W$2</f>
        <v>1.2130963422457935E-5</v>
      </c>
    </row>
    <row r="416" spans="1:29">
      <c r="A416" s="10" t="s">
        <v>1744</v>
      </c>
      <c r="B416" s="10" t="s">
        <v>358</v>
      </c>
      <c r="C416" s="124">
        <v>46336</v>
      </c>
      <c r="D416" s="124" t="s">
        <v>471</v>
      </c>
      <c r="E416" s="21">
        <v>0.98926716999999997</v>
      </c>
      <c r="F416" s="10"/>
      <c r="G416" s="14">
        <v>5300000</v>
      </c>
      <c r="H416" s="14">
        <v>5243116.0199999996</v>
      </c>
      <c r="I416" s="14">
        <v>5300000</v>
      </c>
      <c r="J416" s="14">
        <v>5243116.0199999996</v>
      </c>
      <c r="K416" s="12">
        <v>8175676</v>
      </c>
      <c r="L416" s="10" t="s">
        <v>101</v>
      </c>
      <c r="M416" s="10" t="s">
        <v>102</v>
      </c>
      <c r="N416" s="124" t="s">
        <v>398</v>
      </c>
      <c r="O416" s="124" t="s">
        <v>398</v>
      </c>
      <c r="P416" s="21">
        <v>33</v>
      </c>
      <c r="Q416" s="10" t="s">
        <v>54</v>
      </c>
      <c r="R416" s="10" t="s">
        <v>28</v>
      </c>
      <c r="S416" s="10"/>
      <c r="T416" s="10"/>
      <c r="U416" s="10" t="s">
        <v>1638</v>
      </c>
      <c r="V416" s="10" t="s">
        <v>1638</v>
      </c>
      <c r="W416" s="50">
        <f>+J416/$W$2</f>
        <v>6.4168639642651074E-5</v>
      </c>
    </row>
    <row r="417" spans="1:29">
      <c r="A417" s="10" t="s">
        <v>1745</v>
      </c>
      <c r="B417" s="10" t="s">
        <v>358</v>
      </c>
      <c r="C417" s="124">
        <v>46336</v>
      </c>
      <c r="D417" s="124" t="s">
        <v>471</v>
      </c>
      <c r="E417" s="21">
        <v>0.98926716999999997</v>
      </c>
      <c r="F417" s="10"/>
      <c r="G417" s="14">
        <v>5561000</v>
      </c>
      <c r="H417" s="14">
        <v>5501314.7599999998</v>
      </c>
      <c r="I417" s="14">
        <v>5561000</v>
      </c>
      <c r="J417" s="14">
        <v>5501314.7599999998</v>
      </c>
      <c r="K417" s="12">
        <v>14101158</v>
      </c>
      <c r="L417" s="10" t="s">
        <v>101</v>
      </c>
      <c r="M417" s="10" t="s">
        <v>102</v>
      </c>
      <c r="N417" s="124" t="s">
        <v>398</v>
      </c>
      <c r="O417" s="124" t="s">
        <v>398</v>
      </c>
      <c r="P417" s="21">
        <v>33</v>
      </c>
      <c r="Q417" s="10" t="s">
        <v>54</v>
      </c>
      <c r="R417" s="10" t="s">
        <v>28</v>
      </c>
      <c r="S417" s="10"/>
      <c r="T417" s="10"/>
      <c r="U417" s="10" t="s">
        <v>1662</v>
      </c>
      <c r="V417" s="10" t="s">
        <v>1662</v>
      </c>
      <c r="W417" s="50">
        <f>+J417/$W$2</f>
        <v>6.7328642556957474E-5</v>
      </c>
    </row>
    <row r="418" spans="1:29">
      <c r="A418" s="10" t="s">
        <v>789</v>
      </c>
      <c r="B418" s="10" t="s">
        <v>358</v>
      </c>
      <c r="C418" s="124">
        <v>46336</v>
      </c>
      <c r="D418" s="124" t="s">
        <v>471</v>
      </c>
      <c r="E418" s="21">
        <v>0.98830284000000002</v>
      </c>
      <c r="F418" s="10"/>
      <c r="G418" s="14">
        <v>3140560.45</v>
      </c>
      <c r="H418" s="14">
        <v>3103824.8</v>
      </c>
      <c r="I418" s="14">
        <v>3140560.45</v>
      </c>
      <c r="J418" s="14">
        <v>3103824.8</v>
      </c>
      <c r="K418" s="12">
        <v>1116</v>
      </c>
      <c r="L418" s="10" t="s">
        <v>101</v>
      </c>
      <c r="M418" s="10" t="s">
        <v>102</v>
      </c>
      <c r="N418" s="124" t="s">
        <v>365</v>
      </c>
      <c r="O418" s="124" t="s">
        <v>365</v>
      </c>
      <c r="P418" s="21">
        <v>36</v>
      </c>
      <c r="Q418" s="10" t="s">
        <v>54</v>
      </c>
      <c r="R418" s="10" t="s">
        <v>28</v>
      </c>
      <c r="S418" s="10"/>
      <c r="T418" s="10"/>
      <c r="U418" s="10" t="s">
        <v>1329</v>
      </c>
      <c r="V418" s="10" t="s">
        <v>1329</v>
      </c>
      <c r="W418" s="50">
        <f>+J418/$W$2</f>
        <v>3.798661222551462E-5</v>
      </c>
    </row>
    <row r="419" spans="1:29">
      <c r="A419" s="10" t="s">
        <v>789</v>
      </c>
      <c r="B419" s="10" t="s">
        <v>358</v>
      </c>
      <c r="C419" s="124">
        <v>46336</v>
      </c>
      <c r="D419" s="124" t="s">
        <v>471</v>
      </c>
      <c r="E419" s="21">
        <v>0.98830287000000006</v>
      </c>
      <c r="F419" s="10"/>
      <c r="G419" s="14">
        <v>1555000.5</v>
      </c>
      <c r="H419" s="14">
        <v>1536811.46</v>
      </c>
      <c r="I419" s="14">
        <v>1555000.5</v>
      </c>
      <c r="J419" s="14">
        <v>1536811.46</v>
      </c>
      <c r="K419" s="12">
        <v>1284</v>
      </c>
      <c r="L419" s="10" t="s">
        <v>101</v>
      </c>
      <c r="M419" s="10" t="s">
        <v>102</v>
      </c>
      <c r="N419" s="124" t="s">
        <v>478</v>
      </c>
      <c r="O419" s="124" t="s">
        <v>478</v>
      </c>
      <c r="P419" s="21">
        <v>36</v>
      </c>
      <c r="Q419" s="10" t="s">
        <v>54</v>
      </c>
      <c r="R419" s="10" t="s">
        <v>28</v>
      </c>
      <c r="S419" s="10"/>
      <c r="T419" s="10"/>
      <c r="U419" s="10" t="s">
        <v>2166</v>
      </c>
      <c r="V419" s="10" t="s">
        <v>2166</v>
      </c>
      <c r="W419" s="50">
        <f>+J419/$W$2</f>
        <v>1.8808491057467862E-5</v>
      </c>
    </row>
    <row r="420" spans="1:29">
      <c r="A420" s="10" t="s">
        <v>885</v>
      </c>
      <c r="B420" s="10" t="s">
        <v>358</v>
      </c>
      <c r="C420" s="124">
        <v>46336</v>
      </c>
      <c r="D420" s="124" t="s">
        <v>471</v>
      </c>
      <c r="E420" s="21">
        <v>0.99281907999999996</v>
      </c>
      <c r="F420" s="10"/>
      <c r="G420" s="14">
        <v>5300000</v>
      </c>
      <c r="H420" s="14">
        <v>5261941.0999999996</v>
      </c>
      <c r="I420" s="14">
        <v>5300000</v>
      </c>
      <c r="J420" s="14">
        <v>5261941.0999999996</v>
      </c>
      <c r="K420" s="12">
        <v>3</v>
      </c>
      <c r="L420" s="10" t="s">
        <v>101</v>
      </c>
      <c r="M420" s="10" t="s">
        <v>102</v>
      </c>
      <c r="N420" s="124" t="s">
        <v>366</v>
      </c>
      <c r="O420" s="124" t="s">
        <v>366</v>
      </c>
      <c r="P420" s="21">
        <v>22</v>
      </c>
      <c r="Q420" s="10" t="s">
        <v>54</v>
      </c>
      <c r="R420" s="10" t="s">
        <v>28</v>
      </c>
      <c r="S420" s="10"/>
      <c r="T420" s="10"/>
      <c r="U420" s="10" t="s">
        <v>886</v>
      </c>
      <c r="V420" s="10" t="s">
        <v>886</v>
      </c>
      <c r="W420" s="50">
        <f>+J420/$W$2</f>
        <v>6.4399033128157828E-5</v>
      </c>
    </row>
    <row r="421" spans="1:29">
      <c r="A421" s="10" t="s">
        <v>1174</v>
      </c>
      <c r="B421" s="10" t="s">
        <v>358</v>
      </c>
      <c r="C421" s="124">
        <v>46336</v>
      </c>
      <c r="D421" s="124" t="s">
        <v>471</v>
      </c>
      <c r="E421" s="21">
        <v>0.98958902999999998</v>
      </c>
      <c r="F421" s="10"/>
      <c r="G421" s="14">
        <v>5082311.97</v>
      </c>
      <c r="H421" s="14">
        <v>5029400.1500000004</v>
      </c>
      <c r="I421" s="14">
        <v>5082311.97</v>
      </c>
      <c r="J421" s="14">
        <v>5029400.1500000004</v>
      </c>
      <c r="K421" s="12">
        <v>69012952</v>
      </c>
      <c r="L421" s="10" t="s">
        <v>101</v>
      </c>
      <c r="M421" s="10" t="s">
        <v>102</v>
      </c>
      <c r="N421" s="124" t="s">
        <v>373</v>
      </c>
      <c r="O421" s="124" t="s">
        <v>373</v>
      </c>
      <c r="P421" s="21">
        <v>32</v>
      </c>
      <c r="Q421" s="10" t="s">
        <v>54</v>
      </c>
      <c r="R421" s="10" t="s">
        <v>28</v>
      </c>
      <c r="S421" s="10"/>
      <c r="T421" s="10"/>
      <c r="U421" s="10" t="s">
        <v>1156</v>
      </c>
      <c r="V421" s="10" t="s">
        <v>1156</v>
      </c>
      <c r="W421" s="50">
        <f>+J421/$W$2</f>
        <v>6.1553046816622856E-5</v>
      </c>
    </row>
    <row r="422" spans="1:29">
      <c r="A422" s="10" t="s">
        <v>318</v>
      </c>
      <c r="B422" s="10" t="s">
        <v>358</v>
      </c>
      <c r="C422" s="124">
        <v>46336</v>
      </c>
      <c r="D422" s="124" t="s">
        <v>471</v>
      </c>
      <c r="E422" s="21">
        <v>0.98958900000000005</v>
      </c>
      <c r="F422" s="10"/>
      <c r="G422" s="14">
        <v>40000000</v>
      </c>
      <c r="H422" s="14">
        <v>39583560.060000002</v>
      </c>
      <c r="I422" s="14">
        <v>40000000</v>
      </c>
      <c r="J422" s="14">
        <v>39583560.060000002</v>
      </c>
      <c r="K422" s="12">
        <v>13953438</v>
      </c>
      <c r="L422" s="10" t="s">
        <v>101</v>
      </c>
      <c r="M422" s="10" t="s">
        <v>102</v>
      </c>
      <c r="N422" s="124" t="s">
        <v>346</v>
      </c>
      <c r="O422" s="124" t="s">
        <v>346</v>
      </c>
      <c r="P422" s="21">
        <v>32</v>
      </c>
      <c r="Q422" s="10" t="s">
        <v>54</v>
      </c>
      <c r="R422" s="10" t="s">
        <v>28</v>
      </c>
      <c r="S422" s="10"/>
      <c r="T422" s="10"/>
      <c r="U422" s="10" t="s">
        <v>773</v>
      </c>
      <c r="V422" s="10" t="s">
        <v>773</v>
      </c>
      <c r="W422" s="50">
        <f>+J422/$W$2</f>
        <v>4.8444916945846567E-4</v>
      </c>
    </row>
    <row r="423" spans="1:29">
      <c r="A423" s="10" t="s">
        <v>574</v>
      </c>
      <c r="B423" s="10" t="s">
        <v>358</v>
      </c>
      <c r="C423" s="124">
        <v>46336</v>
      </c>
      <c r="D423" s="124" t="s">
        <v>471</v>
      </c>
      <c r="E423" s="21">
        <v>0.98958902999999998</v>
      </c>
      <c r="F423" s="10"/>
      <c r="G423" s="14">
        <v>200000000</v>
      </c>
      <c r="H423" s="14">
        <v>197917805.16</v>
      </c>
      <c r="I423" s="14">
        <v>200000000</v>
      </c>
      <c r="J423" s="14">
        <v>197917805.16</v>
      </c>
      <c r="K423" s="12">
        <v>90004113</v>
      </c>
      <c r="L423" s="10" t="s">
        <v>101</v>
      </c>
      <c r="M423" s="10" t="s">
        <v>102</v>
      </c>
      <c r="N423" s="124" t="s">
        <v>162</v>
      </c>
      <c r="O423" s="124" t="s">
        <v>162</v>
      </c>
      <c r="P423" s="21">
        <v>32</v>
      </c>
      <c r="Q423" s="10" t="s">
        <v>54</v>
      </c>
      <c r="R423" s="10" t="s">
        <v>28</v>
      </c>
      <c r="S423" s="10"/>
      <c r="T423" s="10"/>
      <c r="U423" s="10" t="s">
        <v>1281</v>
      </c>
      <c r="V423" s="10" t="s">
        <v>1281</v>
      </c>
      <c r="W423" s="50">
        <f>+J423/$W$2</f>
        <v>2.4222459067721465E-3</v>
      </c>
    </row>
    <row r="424" spans="1:29">
      <c r="A424" s="10" t="s">
        <v>520</v>
      </c>
      <c r="B424" s="10" t="s">
        <v>358</v>
      </c>
      <c r="C424" s="124">
        <v>46336</v>
      </c>
      <c r="D424" s="124" t="s">
        <v>471</v>
      </c>
      <c r="E424" s="21">
        <v>0.98734042</v>
      </c>
      <c r="F424" s="10"/>
      <c r="G424" s="14">
        <v>3750000</v>
      </c>
      <c r="H424" s="14">
        <v>3702526.56</v>
      </c>
      <c r="I424" s="14">
        <v>3750000</v>
      </c>
      <c r="J424" s="14">
        <v>3702526.56</v>
      </c>
      <c r="K424" s="12">
        <v>66918815</v>
      </c>
      <c r="L424" s="10" t="s">
        <v>101</v>
      </c>
      <c r="M424" s="10" t="s">
        <v>102</v>
      </c>
      <c r="N424" s="124" t="s">
        <v>296</v>
      </c>
      <c r="O424" s="124" t="s">
        <v>296</v>
      </c>
      <c r="P424" s="21">
        <v>39</v>
      </c>
      <c r="Q424" s="10" t="s">
        <v>54</v>
      </c>
      <c r="R424" s="10" t="s">
        <v>28</v>
      </c>
      <c r="S424" s="10"/>
      <c r="T424" s="10"/>
      <c r="U424" s="10" t="s">
        <v>516</v>
      </c>
      <c r="V424" s="10" t="s">
        <v>516</v>
      </c>
      <c r="W424" s="50">
        <f>+J424/$W$2</f>
        <v>4.531391098150533E-5</v>
      </c>
    </row>
    <row r="425" spans="1:29">
      <c r="A425" s="10" t="s">
        <v>524</v>
      </c>
      <c r="B425" s="10" t="s">
        <v>358</v>
      </c>
      <c r="C425" s="124">
        <v>46336</v>
      </c>
      <c r="D425" s="124" t="s">
        <v>471</v>
      </c>
      <c r="E425" s="21">
        <v>0.98830284000000002</v>
      </c>
      <c r="F425" s="10"/>
      <c r="G425" s="14">
        <v>4213657.9800000004</v>
      </c>
      <c r="H425" s="14">
        <v>4164370.15</v>
      </c>
      <c r="I425" s="14">
        <v>4213657.9800000004</v>
      </c>
      <c r="J425" s="14">
        <v>4164370.15</v>
      </c>
      <c r="K425" s="12">
        <v>425</v>
      </c>
      <c r="L425" s="10" t="s">
        <v>101</v>
      </c>
      <c r="M425" s="10" t="s">
        <v>102</v>
      </c>
      <c r="N425" s="124" t="s">
        <v>161</v>
      </c>
      <c r="O425" s="124" t="s">
        <v>161</v>
      </c>
      <c r="P425" s="21">
        <v>36</v>
      </c>
      <c r="Q425" s="10" t="s">
        <v>54</v>
      </c>
      <c r="R425" s="10" t="s">
        <v>28</v>
      </c>
      <c r="S425" s="10"/>
      <c r="T425" s="10"/>
      <c r="U425" s="10" t="s">
        <v>1055</v>
      </c>
      <c r="V425" s="10" t="s">
        <v>1055</v>
      </c>
      <c r="W425" s="50">
        <f>+J425/$W$2</f>
        <v>5.0966251075627126E-5</v>
      </c>
      <c r="AC425" s="47"/>
    </row>
    <row r="426" spans="1:29">
      <c r="A426" s="10" t="s">
        <v>524</v>
      </c>
      <c r="B426" s="10" t="s">
        <v>358</v>
      </c>
      <c r="C426" s="124">
        <v>46336</v>
      </c>
      <c r="D426" s="124" t="s">
        <v>471</v>
      </c>
      <c r="E426" s="21">
        <v>0.98830282999999997</v>
      </c>
      <c r="F426" s="10"/>
      <c r="G426" s="14">
        <v>1555000.5</v>
      </c>
      <c r="H426" s="14">
        <v>1536811.4</v>
      </c>
      <c r="I426" s="14">
        <v>1555000.5</v>
      </c>
      <c r="J426" s="14">
        <v>1536811.4</v>
      </c>
      <c r="K426" s="12">
        <v>504</v>
      </c>
      <c r="L426" s="10" t="s">
        <v>101</v>
      </c>
      <c r="M426" s="10" t="s">
        <v>102</v>
      </c>
      <c r="N426" s="124" t="s">
        <v>161</v>
      </c>
      <c r="O426" s="124" t="s">
        <v>161</v>
      </c>
      <c r="P426" s="21">
        <v>36</v>
      </c>
      <c r="Q426" s="10" t="s">
        <v>54</v>
      </c>
      <c r="R426" s="10" t="s">
        <v>28</v>
      </c>
      <c r="S426" s="10"/>
      <c r="T426" s="10"/>
      <c r="U426" s="10" t="s">
        <v>1056</v>
      </c>
      <c r="V426" s="10" t="s">
        <v>1056</v>
      </c>
      <c r="W426" s="50">
        <f>+J426/$W$2</f>
        <v>1.8808490323149114E-5</v>
      </c>
    </row>
    <row r="427" spans="1:29">
      <c r="A427" s="10" t="s">
        <v>525</v>
      </c>
      <c r="B427" s="10" t="s">
        <v>358</v>
      </c>
      <c r="C427" s="124">
        <v>46336</v>
      </c>
      <c r="D427" s="124" t="s">
        <v>471</v>
      </c>
      <c r="E427" s="21">
        <v>0.98926718000000002</v>
      </c>
      <c r="F427" s="10"/>
      <c r="G427" s="14">
        <v>1300000</v>
      </c>
      <c r="H427" s="14">
        <v>1286047.33</v>
      </c>
      <c r="I427" s="14">
        <v>1300000</v>
      </c>
      <c r="J427" s="14">
        <v>1286047.33</v>
      </c>
      <c r="K427" s="12">
        <v>557</v>
      </c>
      <c r="L427" s="10" t="s">
        <v>101</v>
      </c>
      <c r="M427" s="10" t="s">
        <v>102</v>
      </c>
      <c r="N427" s="124" t="s">
        <v>162</v>
      </c>
      <c r="O427" s="124" t="s">
        <v>162</v>
      </c>
      <c r="P427" s="21">
        <v>33</v>
      </c>
      <c r="Q427" s="10" t="s">
        <v>54</v>
      </c>
      <c r="R427" s="10" t="s">
        <v>28</v>
      </c>
      <c r="S427" s="10"/>
      <c r="T427" s="10"/>
      <c r="U427" s="10" t="s">
        <v>1265</v>
      </c>
      <c r="V427" s="10" t="s">
        <v>1265</v>
      </c>
      <c r="W427" s="50">
        <f>+J427/$W$2</f>
        <v>1.573947770130854E-5</v>
      </c>
    </row>
    <row r="428" spans="1:29">
      <c r="A428" s="10" t="s">
        <v>583</v>
      </c>
      <c r="B428" s="10" t="s">
        <v>358</v>
      </c>
      <c r="C428" s="124">
        <v>46336</v>
      </c>
      <c r="D428" s="124" t="s">
        <v>471</v>
      </c>
      <c r="E428" s="21">
        <v>0.98766100999999995</v>
      </c>
      <c r="F428" s="10"/>
      <c r="G428" s="14">
        <v>60000000</v>
      </c>
      <c r="H428" s="14">
        <v>59259660.5</v>
      </c>
      <c r="I428" s="14">
        <v>60000000</v>
      </c>
      <c r="J428" s="14">
        <v>59259660.5</v>
      </c>
      <c r="K428" s="12">
        <v>70393050</v>
      </c>
      <c r="L428" s="10" t="s">
        <v>101</v>
      </c>
      <c r="M428" s="10" t="s">
        <v>102</v>
      </c>
      <c r="N428" s="124" t="s">
        <v>365</v>
      </c>
      <c r="O428" s="124" t="s">
        <v>365</v>
      </c>
      <c r="P428" s="21">
        <v>38</v>
      </c>
      <c r="Q428" s="10" t="s">
        <v>54</v>
      </c>
      <c r="R428" s="10" t="s">
        <v>28</v>
      </c>
      <c r="S428" s="10"/>
      <c r="T428" s="10"/>
      <c r="U428" s="10" t="s">
        <v>1346</v>
      </c>
      <c r="V428" s="10" t="s">
        <v>1346</v>
      </c>
      <c r="W428" s="50">
        <f>+J428/$W$2</f>
        <v>7.2525799266413035E-4</v>
      </c>
    </row>
    <row r="429" spans="1:29">
      <c r="A429" s="10" t="s">
        <v>583</v>
      </c>
      <c r="B429" s="10" t="s">
        <v>358</v>
      </c>
      <c r="C429" s="124">
        <v>46336</v>
      </c>
      <c r="D429" s="124" t="s">
        <v>471</v>
      </c>
      <c r="E429" s="21">
        <v>0.98766105000000004</v>
      </c>
      <c r="F429" s="10"/>
      <c r="G429" s="14">
        <v>25000000</v>
      </c>
      <c r="H429" s="14">
        <v>24691526.129999999</v>
      </c>
      <c r="I429" s="14">
        <v>25000000</v>
      </c>
      <c r="J429" s="14">
        <v>24691526.129999999</v>
      </c>
      <c r="K429" s="12">
        <v>70393074</v>
      </c>
      <c r="L429" s="10" t="s">
        <v>101</v>
      </c>
      <c r="M429" s="10" t="s">
        <v>102</v>
      </c>
      <c r="N429" s="124" t="s">
        <v>391</v>
      </c>
      <c r="O429" s="124" t="s">
        <v>391</v>
      </c>
      <c r="P429" s="21">
        <v>38</v>
      </c>
      <c r="Q429" s="10" t="s">
        <v>54</v>
      </c>
      <c r="R429" s="10" t="s">
        <v>28</v>
      </c>
      <c r="S429" s="10"/>
      <c r="T429" s="10"/>
      <c r="U429" s="10" t="s">
        <v>1415</v>
      </c>
      <c r="V429" s="10" t="s">
        <v>1415</v>
      </c>
      <c r="W429" s="50">
        <f>+J429/$W$2</f>
        <v>3.021908415566728E-4</v>
      </c>
    </row>
    <row r="430" spans="1:29">
      <c r="A430" s="10" t="s">
        <v>583</v>
      </c>
      <c r="B430" s="10" t="s">
        <v>358</v>
      </c>
      <c r="C430" s="124">
        <v>46336</v>
      </c>
      <c r="D430" s="124" t="s">
        <v>471</v>
      </c>
      <c r="E430" s="21">
        <v>0.98766105000000004</v>
      </c>
      <c r="F430" s="10"/>
      <c r="G430" s="14">
        <v>25000000</v>
      </c>
      <c r="H430" s="14">
        <v>24691526.129999999</v>
      </c>
      <c r="I430" s="14">
        <v>25000000</v>
      </c>
      <c r="J430" s="14">
        <v>24691526.129999999</v>
      </c>
      <c r="K430" s="12">
        <v>70393075</v>
      </c>
      <c r="L430" s="10" t="s">
        <v>101</v>
      </c>
      <c r="M430" s="10" t="s">
        <v>102</v>
      </c>
      <c r="N430" s="124" t="s">
        <v>391</v>
      </c>
      <c r="O430" s="124" t="s">
        <v>391</v>
      </c>
      <c r="P430" s="21">
        <v>38</v>
      </c>
      <c r="Q430" s="10" t="s">
        <v>54</v>
      </c>
      <c r="R430" s="10" t="s">
        <v>28</v>
      </c>
      <c r="S430" s="10"/>
      <c r="T430" s="10"/>
      <c r="U430" s="10" t="s">
        <v>1416</v>
      </c>
      <c r="V430" s="10" t="s">
        <v>1416</v>
      </c>
      <c r="W430" s="50">
        <f>+J430/$W$2</f>
        <v>3.021908415566728E-4</v>
      </c>
    </row>
    <row r="431" spans="1:29">
      <c r="A431" s="10" t="s">
        <v>583</v>
      </c>
      <c r="B431" s="10" t="s">
        <v>358</v>
      </c>
      <c r="C431" s="124">
        <v>46336</v>
      </c>
      <c r="D431" s="124" t="s">
        <v>471</v>
      </c>
      <c r="E431" s="21">
        <v>0.98766105000000004</v>
      </c>
      <c r="F431" s="10"/>
      <c r="G431" s="14">
        <v>25000000</v>
      </c>
      <c r="H431" s="14">
        <v>24691526.129999999</v>
      </c>
      <c r="I431" s="14">
        <v>25000000</v>
      </c>
      <c r="J431" s="14">
        <v>24691526.129999999</v>
      </c>
      <c r="K431" s="12">
        <v>70393076</v>
      </c>
      <c r="L431" s="10" t="s">
        <v>101</v>
      </c>
      <c r="M431" s="10" t="s">
        <v>102</v>
      </c>
      <c r="N431" s="124" t="s">
        <v>391</v>
      </c>
      <c r="O431" s="124" t="s">
        <v>391</v>
      </c>
      <c r="P431" s="21">
        <v>38</v>
      </c>
      <c r="Q431" s="10" t="s">
        <v>54</v>
      </c>
      <c r="R431" s="10" t="s">
        <v>28</v>
      </c>
      <c r="S431" s="10"/>
      <c r="T431" s="10"/>
      <c r="U431" s="10" t="s">
        <v>1417</v>
      </c>
      <c r="V431" s="10" t="s">
        <v>1417</v>
      </c>
      <c r="W431" s="50">
        <f>+J431/$W$2</f>
        <v>3.021908415566728E-4</v>
      </c>
    </row>
    <row r="432" spans="1:29">
      <c r="A432" s="10" t="s">
        <v>965</v>
      </c>
      <c r="B432" s="10" t="s">
        <v>358</v>
      </c>
      <c r="C432" s="124">
        <v>46336</v>
      </c>
      <c r="D432" s="124" t="s">
        <v>471</v>
      </c>
      <c r="E432" s="21">
        <v>0.98702000999999995</v>
      </c>
      <c r="F432" s="10"/>
      <c r="G432" s="14">
        <v>40000000</v>
      </c>
      <c r="H432" s="14">
        <v>39480800.57</v>
      </c>
      <c r="I432" s="14">
        <v>40000000</v>
      </c>
      <c r="J432" s="14">
        <v>39480800.57</v>
      </c>
      <c r="K432" s="12">
        <v>160531</v>
      </c>
      <c r="L432" s="10" t="s">
        <v>101</v>
      </c>
      <c r="M432" s="10" t="s">
        <v>102</v>
      </c>
      <c r="N432" s="124" t="s">
        <v>372</v>
      </c>
      <c r="O432" s="124" t="s">
        <v>372</v>
      </c>
      <c r="P432" s="21">
        <v>40</v>
      </c>
      <c r="Q432" s="10" t="s">
        <v>54</v>
      </c>
      <c r="R432" s="10" t="s">
        <v>28</v>
      </c>
      <c r="S432" s="10"/>
      <c r="T432" s="10"/>
      <c r="U432" s="10" t="s">
        <v>951</v>
      </c>
      <c r="V432" s="10" t="s">
        <v>951</v>
      </c>
      <c r="W432" s="50">
        <f>+J432/$W$2</f>
        <v>4.831915324619697E-4</v>
      </c>
    </row>
    <row r="433" spans="1:29">
      <c r="A433" s="10" t="s">
        <v>377</v>
      </c>
      <c r="B433" s="10" t="s">
        <v>358</v>
      </c>
      <c r="C433" s="124">
        <v>46336</v>
      </c>
      <c r="D433" s="124" t="s">
        <v>471</v>
      </c>
      <c r="E433" s="21">
        <v>0.98958900000000005</v>
      </c>
      <c r="F433" s="10"/>
      <c r="G433" s="14">
        <v>20000000</v>
      </c>
      <c r="H433" s="14">
        <v>19791780.079999998</v>
      </c>
      <c r="I433" s="14">
        <v>20000000</v>
      </c>
      <c r="J433" s="14">
        <v>19791780.079999998</v>
      </c>
      <c r="K433" s="12">
        <v>730</v>
      </c>
      <c r="L433" s="10" t="s">
        <v>101</v>
      </c>
      <c r="M433" s="10" t="s">
        <v>102</v>
      </c>
      <c r="N433" s="124" t="s">
        <v>408</v>
      </c>
      <c r="O433" s="124" t="s">
        <v>408</v>
      </c>
      <c r="P433" s="21">
        <v>32</v>
      </c>
      <c r="Q433" s="10" t="s">
        <v>54</v>
      </c>
      <c r="R433" s="10" t="s">
        <v>28</v>
      </c>
      <c r="S433" s="10"/>
      <c r="T433" s="10"/>
      <c r="U433" s="10" t="s">
        <v>2038</v>
      </c>
      <c r="V433" s="10" t="s">
        <v>2038</v>
      </c>
      <c r="W433" s="50">
        <f>+J433/$W$2</f>
        <v>2.4222458534116508E-4</v>
      </c>
    </row>
    <row r="434" spans="1:29">
      <c r="A434" s="10" t="s">
        <v>433</v>
      </c>
      <c r="B434" s="10" t="s">
        <v>358</v>
      </c>
      <c r="C434" s="124">
        <v>46336</v>
      </c>
      <c r="D434" s="124" t="s">
        <v>471</v>
      </c>
      <c r="E434" s="21">
        <v>0.98894552000000002</v>
      </c>
      <c r="F434" s="10"/>
      <c r="G434" s="14">
        <v>10000000</v>
      </c>
      <c r="H434" s="14">
        <v>9889455.1999999993</v>
      </c>
      <c r="I434" s="14">
        <v>10000000</v>
      </c>
      <c r="J434" s="14">
        <v>9889455.1999999993</v>
      </c>
      <c r="K434" s="12">
        <v>14284513</v>
      </c>
      <c r="L434" s="10" t="s">
        <v>101</v>
      </c>
      <c r="M434" s="10" t="s">
        <v>102</v>
      </c>
      <c r="N434" s="124" t="s">
        <v>399</v>
      </c>
      <c r="O434" s="124" t="s">
        <v>399</v>
      </c>
      <c r="P434" s="21">
        <v>34</v>
      </c>
      <c r="Q434" s="10" t="s">
        <v>54</v>
      </c>
      <c r="R434" s="10" t="s">
        <v>28</v>
      </c>
      <c r="S434" s="10"/>
      <c r="T434" s="10"/>
      <c r="U434" s="10" t="s">
        <v>1103</v>
      </c>
      <c r="V434" s="10" t="s">
        <v>1103</v>
      </c>
      <c r="W434" s="50">
        <f>+J434/$W$2</f>
        <v>1.2103353894330604E-4</v>
      </c>
    </row>
    <row r="435" spans="1:29">
      <c r="A435" s="10" t="s">
        <v>434</v>
      </c>
      <c r="B435" s="10" t="s">
        <v>358</v>
      </c>
      <c r="C435" s="124">
        <v>46336</v>
      </c>
      <c r="D435" s="124" t="s">
        <v>471</v>
      </c>
      <c r="E435" s="21">
        <v>0.98926716000000003</v>
      </c>
      <c r="F435" s="10"/>
      <c r="G435" s="14">
        <v>7954930.75</v>
      </c>
      <c r="H435" s="14">
        <v>7869551.7300000004</v>
      </c>
      <c r="I435" s="14">
        <v>7954930.75</v>
      </c>
      <c r="J435" s="14">
        <v>7869551.7300000004</v>
      </c>
      <c r="K435" s="12">
        <v>60</v>
      </c>
      <c r="L435" s="10" t="s">
        <v>101</v>
      </c>
      <c r="M435" s="10" t="s">
        <v>102</v>
      </c>
      <c r="N435" s="124" t="s">
        <v>409</v>
      </c>
      <c r="O435" s="124" t="s">
        <v>409</v>
      </c>
      <c r="P435" s="21">
        <v>33</v>
      </c>
      <c r="Q435" s="10" t="s">
        <v>54</v>
      </c>
      <c r="R435" s="10" t="s">
        <v>28</v>
      </c>
      <c r="S435" s="10"/>
      <c r="T435" s="10"/>
      <c r="U435" s="10" t="s">
        <v>892</v>
      </c>
      <c r="V435" s="10" t="s">
        <v>892</v>
      </c>
      <c r="W435" s="50">
        <f>+J435/$W$2</f>
        <v>9.6312655906395788E-5</v>
      </c>
    </row>
    <row r="436" spans="1:29">
      <c r="A436" s="10" t="s">
        <v>454</v>
      </c>
      <c r="B436" s="10" t="s">
        <v>358</v>
      </c>
      <c r="C436" s="124">
        <v>46336</v>
      </c>
      <c r="D436" s="124" t="s">
        <v>471</v>
      </c>
      <c r="E436" s="21">
        <v>0.98702005000000004</v>
      </c>
      <c r="F436" s="10"/>
      <c r="G436" s="14">
        <v>148000000</v>
      </c>
      <c r="H436" s="14">
        <v>146078968.09999999</v>
      </c>
      <c r="I436" s="14">
        <v>148000000</v>
      </c>
      <c r="J436" s="14">
        <v>146078968.09999999</v>
      </c>
      <c r="K436" s="12">
        <v>70408118</v>
      </c>
      <c r="L436" s="10" t="s">
        <v>101</v>
      </c>
      <c r="M436" s="10" t="s">
        <v>102</v>
      </c>
      <c r="N436" s="124" t="s">
        <v>487</v>
      </c>
      <c r="O436" s="124" t="s">
        <v>487</v>
      </c>
      <c r="P436" s="21">
        <v>40</v>
      </c>
      <c r="Q436" s="10" t="s">
        <v>54</v>
      </c>
      <c r="R436" s="10" t="s">
        <v>28</v>
      </c>
      <c r="S436" s="10"/>
      <c r="T436" s="10"/>
      <c r="U436" s="10" t="s">
        <v>1577</v>
      </c>
      <c r="V436" s="10" t="s">
        <v>1577</v>
      </c>
      <c r="W436" s="50">
        <f>+J436/$W$2</f>
        <v>1.7878087434310146E-3</v>
      </c>
    </row>
    <row r="437" spans="1:29">
      <c r="A437" s="10" t="s">
        <v>438</v>
      </c>
      <c r="B437" s="10" t="s">
        <v>358</v>
      </c>
      <c r="C437" s="124">
        <v>46336</v>
      </c>
      <c r="D437" s="124" t="s">
        <v>471</v>
      </c>
      <c r="E437" s="21">
        <v>0.99120142</v>
      </c>
      <c r="F437" s="10"/>
      <c r="G437" s="14">
        <v>2500000</v>
      </c>
      <c r="H437" s="14">
        <v>2478003.54</v>
      </c>
      <c r="I437" s="14">
        <v>2500000</v>
      </c>
      <c r="J437" s="14">
        <v>2478003.54</v>
      </c>
      <c r="K437" s="12">
        <v>53553933</v>
      </c>
      <c r="L437" s="10" t="s">
        <v>101</v>
      </c>
      <c r="M437" s="10" t="s">
        <v>102</v>
      </c>
      <c r="N437" s="124" t="s">
        <v>477</v>
      </c>
      <c r="O437" s="124" t="s">
        <v>477</v>
      </c>
      <c r="P437" s="21">
        <v>27</v>
      </c>
      <c r="Q437" s="10" t="s">
        <v>54</v>
      </c>
      <c r="R437" s="10" t="s">
        <v>28</v>
      </c>
      <c r="S437" s="10"/>
      <c r="T437" s="10"/>
      <c r="U437" s="10" t="s">
        <v>2372</v>
      </c>
      <c r="V437" s="10" t="s">
        <v>2372</v>
      </c>
      <c r="W437" s="50">
        <f>+J437/$W$2</f>
        <v>3.0327407515859951E-5</v>
      </c>
    </row>
    <row r="438" spans="1:29">
      <c r="A438" s="10" t="s">
        <v>359</v>
      </c>
      <c r="B438" s="10" t="s">
        <v>358</v>
      </c>
      <c r="C438" s="124">
        <v>46336</v>
      </c>
      <c r="D438" s="124" t="s">
        <v>471</v>
      </c>
      <c r="E438" s="21">
        <v>0.99023338000000005</v>
      </c>
      <c r="F438" s="10"/>
      <c r="G438" s="14">
        <v>5000000</v>
      </c>
      <c r="H438" s="14">
        <v>4951166.88</v>
      </c>
      <c r="I438" s="14">
        <v>5000000</v>
      </c>
      <c r="J438" s="14">
        <v>4951166.88</v>
      </c>
      <c r="K438" s="12">
        <v>1291</v>
      </c>
      <c r="L438" s="10" t="s">
        <v>101</v>
      </c>
      <c r="M438" s="10" t="s">
        <v>102</v>
      </c>
      <c r="N438" s="124" t="s">
        <v>439</v>
      </c>
      <c r="O438" s="124" t="s">
        <v>439</v>
      </c>
      <c r="P438" s="21">
        <v>30</v>
      </c>
      <c r="Q438" s="10" t="s">
        <v>54</v>
      </c>
      <c r="R438" s="10" t="s">
        <v>28</v>
      </c>
      <c r="S438" s="10"/>
      <c r="T438" s="10"/>
      <c r="U438" s="10" t="s">
        <v>2290</v>
      </c>
      <c r="V438" s="10" t="s">
        <v>2290</v>
      </c>
      <c r="W438" s="50">
        <f>+J438/$W$2</f>
        <v>6.0595577538516697E-5</v>
      </c>
    </row>
    <row r="439" spans="1:29">
      <c r="A439" s="10" t="s">
        <v>379</v>
      </c>
      <c r="B439" s="10" t="s">
        <v>358</v>
      </c>
      <c r="C439" s="124">
        <v>46336</v>
      </c>
      <c r="D439" s="124" t="s">
        <v>471</v>
      </c>
      <c r="E439" s="21">
        <v>0.99120143000000005</v>
      </c>
      <c r="F439" s="10"/>
      <c r="G439" s="14">
        <v>40000000</v>
      </c>
      <c r="H439" s="14">
        <v>39648057.119999997</v>
      </c>
      <c r="I439" s="14">
        <v>40000000</v>
      </c>
      <c r="J439" s="14">
        <v>39648057.119999997</v>
      </c>
      <c r="K439" s="12">
        <v>42634</v>
      </c>
      <c r="L439" s="10" t="s">
        <v>101</v>
      </c>
      <c r="M439" s="10" t="s">
        <v>102</v>
      </c>
      <c r="N439" s="124" t="s">
        <v>478</v>
      </c>
      <c r="O439" s="124" t="s">
        <v>478</v>
      </c>
      <c r="P439" s="21">
        <v>27</v>
      </c>
      <c r="Q439" s="10" t="s">
        <v>54</v>
      </c>
      <c r="R439" s="10" t="s">
        <v>28</v>
      </c>
      <c r="S439" s="10"/>
      <c r="T439" s="10"/>
      <c r="U439" s="10" t="s">
        <v>2141</v>
      </c>
      <c r="V439" s="10" t="s">
        <v>2141</v>
      </c>
      <c r="W439" s="50">
        <f>+J439/$W$2</f>
        <v>4.8523852612830914E-4</v>
      </c>
    </row>
    <row r="440" spans="1:29">
      <c r="A440" s="10" t="s">
        <v>271</v>
      </c>
      <c r="B440" s="10" t="s">
        <v>358</v>
      </c>
      <c r="C440" s="124">
        <v>46336</v>
      </c>
      <c r="D440" s="124" t="s">
        <v>471</v>
      </c>
      <c r="E440" s="21">
        <v>0.99023335000000001</v>
      </c>
      <c r="F440" s="10"/>
      <c r="G440" s="14">
        <v>10000000</v>
      </c>
      <c r="H440" s="14">
        <v>9902333.5099999998</v>
      </c>
      <c r="I440" s="14">
        <v>10000000</v>
      </c>
      <c r="J440" s="14">
        <v>9902333.5099999998</v>
      </c>
      <c r="K440" s="12">
        <v>68856195</v>
      </c>
      <c r="L440" s="10" t="s">
        <v>101</v>
      </c>
      <c r="M440" s="10" t="s">
        <v>102</v>
      </c>
      <c r="N440" s="124" t="s">
        <v>310</v>
      </c>
      <c r="O440" s="124" t="s">
        <v>310</v>
      </c>
      <c r="P440" s="21">
        <v>30</v>
      </c>
      <c r="Q440" s="10" t="s">
        <v>54</v>
      </c>
      <c r="R440" s="10" t="s">
        <v>28</v>
      </c>
      <c r="S440" s="10"/>
      <c r="T440" s="10"/>
      <c r="U440" s="10" t="s">
        <v>1023</v>
      </c>
      <c r="V440" s="10" t="s">
        <v>1023</v>
      </c>
      <c r="W440" s="50">
        <f>+J440/$W$2</f>
        <v>1.2119115201737194E-4</v>
      </c>
      <c r="AC440"/>
    </row>
    <row r="441" spans="1:29">
      <c r="A441" s="10" t="s">
        <v>271</v>
      </c>
      <c r="B441" s="10" t="s">
        <v>358</v>
      </c>
      <c r="C441" s="124">
        <v>46336</v>
      </c>
      <c r="D441" s="124" t="s">
        <v>471</v>
      </c>
      <c r="E441" s="21">
        <v>0.99023335000000001</v>
      </c>
      <c r="F441" s="10"/>
      <c r="G441" s="14">
        <v>3000000</v>
      </c>
      <c r="H441" s="14">
        <v>2970700.06</v>
      </c>
      <c r="I441" s="14">
        <v>3000000</v>
      </c>
      <c r="J441" s="14">
        <v>2970700.06</v>
      </c>
      <c r="K441" s="12">
        <v>12759460</v>
      </c>
      <c r="L441" s="10" t="s">
        <v>101</v>
      </c>
      <c r="M441" s="10" t="s">
        <v>102</v>
      </c>
      <c r="N441" s="124" t="s">
        <v>310</v>
      </c>
      <c r="O441" s="124" t="s">
        <v>310</v>
      </c>
      <c r="P441" s="21">
        <v>30</v>
      </c>
      <c r="Q441" s="10" t="s">
        <v>54</v>
      </c>
      <c r="R441" s="10" t="s">
        <v>28</v>
      </c>
      <c r="S441" s="10"/>
      <c r="T441" s="10"/>
      <c r="U441" s="10" t="s">
        <v>1018</v>
      </c>
      <c r="V441" s="10" t="s">
        <v>1018</v>
      </c>
      <c r="W441" s="50">
        <f>+J441/$W$2</f>
        <v>3.6357345690882106E-5</v>
      </c>
    </row>
    <row r="442" spans="1:29">
      <c r="A442" s="10" t="s">
        <v>597</v>
      </c>
      <c r="B442" s="10" t="s">
        <v>358</v>
      </c>
      <c r="C442" s="124">
        <v>46336</v>
      </c>
      <c r="D442" s="124" t="s">
        <v>471</v>
      </c>
      <c r="E442" s="21">
        <v>0.99023335000000001</v>
      </c>
      <c r="F442" s="10"/>
      <c r="G442" s="14">
        <v>2700000</v>
      </c>
      <c r="H442" s="14">
        <v>2673630.04</v>
      </c>
      <c r="I442" s="14">
        <v>2700000</v>
      </c>
      <c r="J442" s="14">
        <v>2673630.04</v>
      </c>
      <c r="K442" s="12">
        <v>6911</v>
      </c>
      <c r="L442" s="10" t="s">
        <v>101</v>
      </c>
      <c r="M442" s="10" t="s">
        <v>102</v>
      </c>
      <c r="N442" s="124" t="s">
        <v>487</v>
      </c>
      <c r="O442" s="124" t="s">
        <v>487</v>
      </c>
      <c r="P442" s="21">
        <v>30</v>
      </c>
      <c r="Q442" s="10" t="s">
        <v>54</v>
      </c>
      <c r="R442" s="10" t="s">
        <v>28</v>
      </c>
      <c r="S442" s="10"/>
      <c r="T442" s="10"/>
      <c r="U442" s="10" t="s">
        <v>1584</v>
      </c>
      <c r="V442" s="10" t="s">
        <v>1584</v>
      </c>
      <c r="W442" s="50">
        <f>+J442/$W$2</f>
        <v>3.2721610950452854E-5</v>
      </c>
    </row>
    <row r="443" spans="1:29">
      <c r="A443" s="10" t="s">
        <v>677</v>
      </c>
      <c r="B443" s="10" t="s">
        <v>358</v>
      </c>
      <c r="C443" s="124">
        <v>46336</v>
      </c>
      <c r="D443" s="124" t="s">
        <v>471</v>
      </c>
      <c r="E443" s="21">
        <v>0.98798185000000005</v>
      </c>
      <c r="F443" s="10"/>
      <c r="G443" s="14">
        <v>25000000</v>
      </c>
      <c r="H443" s="14">
        <v>24699546.370000001</v>
      </c>
      <c r="I443" s="14">
        <v>25000000</v>
      </c>
      <c r="J443" s="14">
        <v>24699546.370000001</v>
      </c>
      <c r="K443" s="12">
        <v>2596</v>
      </c>
      <c r="L443" s="10" t="s">
        <v>101</v>
      </c>
      <c r="M443" s="10" t="s">
        <v>102</v>
      </c>
      <c r="N443" s="124" t="s">
        <v>332</v>
      </c>
      <c r="O443" s="124" t="s">
        <v>332</v>
      </c>
      <c r="P443" s="21">
        <v>37</v>
      </c>
      <c r="Q443" s="10" t="s">
        <v>54</v>
      </c>
      <c r="R443" s="10" t="s">
        <v>28</v>
      </c>
      <c r="S443" s="10"/>
      <c r="T443" s="10"/>
      <c r="U443" s="10" t="s">
        <v>914</v>
      </c>
      <c r="V443" s="10" t="s">
        <v>914</v>
      </c>
      <c r="W443" s="50">
        <f>+J443/$W$2</f>
        <v>3.0228899843293578E-4</v>
      </c>
    </row>
    <row r="444" spans="1:29">
      <c r="A444" s="10" t="s">
        <v>359</v>
      </c>
      <c r="B444" s="10" t="s">
        <v>358</v>
      </c>
      <c r="C444" s="124">
        <v>46336</v>
      </c>
      <c r="D444" s="124" t="s">
        <v>471</v>
      </c>
      <c r="E444" s="21">
        <v>0.99023335000000001</v>
      </c>
      <c r="F444" s="10"/>
      <c r="G444" s="14">
        <v>5000000</v>
      </c>
      <c r="H444" s="14">
        <v>4951166.7300000004</v>
      </c>
      <c r="I444" s="14">
        <v>5000000</v>
      </c>
      <c r="J444" s="14">
        <v>4951166.7300000004</v>
      </c>
      <c r="K444" s="12">
        <v>1251</v>
      </c>
      <c r="L444" s="10" t="s">
        <v>101</v>
      </c>
      <c r="M444" s="10" t="s">
        <v>102</v>
      </c>
      <c r="N444" s="124" t="s">
        <v>449</v>
      </c>
      <c r="O444" s="124" t="s">
        <v>449</v>
      </c>
      <c r="P444" s="21">
        <v>30</v>
      </c>
      <c r="Q444" s="10" t="s">
        <v>54</v>
      </c>
      <c r="R444" s="10" t="s">
        <v>28</v>
      </c>
      <c r="S444" s="10"/>
      <c r="T444" s="10"/>
      <c r="U444" s="10" t="s">
        <v>1952</v>
      </c>
      <c r="V444" s="10" t="s">
        <v>1952</v>
      </c>
      <c r="W444" s="50">
        <f>+J444/$W$2</f>
        <v>6.0595575702719836E-5</v>
      </c>
    </row>
    <row r="445" spans="1:29">
      <c r="A445" s="10" t="s">
        <v>359</v>
      </c>
      <c r="B445" s="10" t="s">
        <v>358</v>
      </c>
      <c r="C445" s="124">
        <v>46336</v>
      </c>
      <c r="D445" s="124" t="s">
        <v>471</v>
      </c>
      <c r="E445" s="21">
        <v>0.99023333000000002</v>
      </c>
      <c r="F445" s="10"/>
      <c r="G445" s="14">
        <v>5000000</v>
      </c>
      <c r="H445" s="14">
        <v>4951166.63</v>
      </c>
      <c r="I445" s="14">
        <v>5000000</v>
      </c>
      <c r="J445" s="14">
        <v>4951166.63</v>
      </c>
      <c r="K445" s="12">
        <v>1244</v>
      </c>
      <c r="L445" s="10" t="s">
        <v>101</v>
      </c>
      <c r="M445" s="10" t="s">
        <v>102</v>
      </c>
      <c r="N445" s="124" t="s">
        <v>397</v>
      </c>
      <c r="O445" s="124" t="s">
        <v>397</v>
      </c>
      <c r="P445" s="21">
        <v>30</v>
      </c>
      <c r="Q445" s="10" t="s">
        <v>54</v>
      </c>
      <c r="R445" s="10" t="s">
        <v>28</v>
      </c>
      <c r="S445" s="10"/>
      <c r="T445" s="10"/>
      <c r="U445" s="10" t="s">
        <v>1859</v>
      </c>
      <c r="V445" s="10" t="s">
        <v>1859</v>
      </c>
      <c r="W445" s="50">
        <f>+J445/$W$2</f>
        <v>6.0595574478855252E-5</v>
      </c>
    </row>
    <row r="446" spans="1:29">
      <c r="A446" s="10" t="s">
        <v>359</v>
      </c>
      <c r="B446" s="10" t="s">
        <v>358</v>
      </c>
      <c r="C446" s="124">
        <v>46336</v>
      </c>
      <c r="D446" s="124" t="s">
        <v>471</v>
      </c>
      <c r="E446" s="21">
        <v>0.98958902000000004</v>
      </c>
      <c r="F446" s="10"/>
      <c r="G446" s="14">
        <v>3000000</v>
      </c>
      <c r="H446" s="14">
        <v>2968767.07</v>
      </c>
      <c r="I446" s="14">
        <v>3000000</v>
      </c>
      <c r="J446" s="14">
        <v>2968767.07</v>
      </c>
      <c r="K446" s="12">
        <v>1051</v>
      </c>
      <c r="L446" s="10" t="s">
        <v>101</v>
      </c>
      <c r="M446" s="10" t="s">
        <v>102</v>
      </c>
      <c r="N446" s="124" t="s">
        <v>373</v>
      </c>
      <c r="O446" s="124" t="s">
        <v>373</v>
      </c>
      <c r="P446" s="21">
        <v>32</v>
      </c>
      <c r="Q446" s="10" t="s">
        <v>54</v>
      </c>
      <c r="R446" s="10" t="s">
        <v>28</v>
      </c>
      <c r="S446" s="10"/>
      <c r="T446" s="10"/>
      <c r="U446" s="10" t="s">
        <v>1144</v>
      </c>
      <c r="V446" s="10" t="s">
        <v>1144</v>
      </c>
      <c r="W446" s="50">
        <f>+J446/$W$2</f>
        <v>3.6333688511016218E-5</v>
      </c>
    </row>
    <row r="447" spans="1:29">
      <c r="A447" s="10" t="s">
        <v>359</v>
      </c>
      <c r="B447" s="10" t="s">
        <v>358</v>
      </c>
      <c r="C447" s="124">
        <v>46336</v>
      </c>
      <c r="D447" s="124" t="s">
        <v>471</v>
      </c>
      <c r="E447" s="21">
        <v>0.98926714999999998</v>
      </c>
      <c r="F447" s="10"/>
      <c r="G447" s="14">
        <v>2500000</v>
      </c>
      <c r="H447" s="14">
        <v>2473167.87</v>
      </c>
      <c r="I447" s="14">
        <v>2500000</v>
      </c>
      <c r="J447" s="14">
        <v>2473167.87</v>
      </c>
      <c r="K447" s="12">
        <v>1013</v>
      </c>
      <c r="L447" s="10" t="s">
        <v>101</v>
      </c>
      <c r="M447" s="10" t="s">
        <v>102</v>
      </c>
      <c r="N447" s="124" t="s">
        <v>161</v>
      </c>
      <c r="O447" s="124" t="s">
        <v>161</v>
      </c>
      <c r="P447" s="21">
        <v>33</v>
      </c>
      <c r="Q447" s="10" t="s">
        <v>54</v>
      </c>
      <c r="R447" s="10" t="s">
        <v>28</v>
      </c>
      <c r="S447" s="10"/>
      <c r="T447" s="10"/>
      <c r="U447" s="10" t="s">
        <v>1067</v>
      </c>
      <c r="V447" s="10" t="s">
        <v>1067</v>
      </c>
      <c r="W447" s="50">
        <f>+J447/$W$2</f>
        <v>3.0268225463722035E-5</v>
      </c>
    </row>
    <row r="448" spans="1:29">
      <c r="A448" s="10" t="s">
        <v>359</v>
      </c>
      <c r="B448" s="10" t="s">
        <v>358</v>
      </c>
      <c r="C448" s="124">
        <v>46336</v>
      </c>
      <c r="D448" s="124" t="s">
        <v>471</v>
      </c>
      <c r="E448" s="21">
        <v>0.99023333999999996</v>
      </c>
      <c r="F448" s="10"/>
      <c r="G448" s="14">
        <v>2500000</v>
      </c>
      <c r="H448" s="14">
        <v>2475583.34</v>
      </c>
      <c r="I448" s="14">
        <v>2500000</v>
      </c>
      <c r="J448" s="14">
        <v>2475583.34</v>
      </c>
      <c r="K448" s="12">
        <v>898</v>
      </c>
      <c r="L448" s="10" t="s">
        <v>101</v>
      </c>
      <c r="M448" s="10" t="s">
        <v>102</v>
      </c>
      <c r="N448" s="124" t="s">
        <v>409</v>
      </c>
      <c r="O448" s="124" t="s">
        <v>409</v>
      </c>
      <c r="P448" s="21">
        <v>30</v>
      </c>
      <c r="Q448" s="10" t="s">
        <v>54</v>
      </c>
      <c r="R448" s="10" t="s">
        <v>28</v>
      </c>
      <c r="S448" s="10"/>
      <c r="T448" s="10"/>
      <c r="U448" s="10" t="s">
        <v>901</v>
      </c>
      <c r="V448" s="10" t="s">
        <v>901</v>
      </c>
      <c r="W448" s="50">
        <f>+J448/$W$2</f>
        <v>3.0297787545393769E-5</v>
      </c>
    </row>
    <row r="449" spans="1:23">
      <c r="A449" s="10" t="s">
        <v>2438</v>
      </c>
      <c r="B449" s="10" t="s">
        <v>358</v>
      </c>
      <c r="C449" s="124">
        <v>46336</v>
      </c>
      <c r="D449" s="124" t="s">
        <v>471</v>
      </c>
      <c r="E449" s="21">
        <v>0.98926716000000003</v>
      </c>
      <c r="F449" s="10"/>
      <c r="G449" s="14">
        <v>16250000</v>
      </c>
      <c r="H449" s="14">
        <v>16075591.4</v>
      </c>
      <c r="I449" s="14">
        <v>16250000</v>
      </c>
      <c r="J449" s="14">
        <v>16075591.4</v>
      </c>
      <c r="K449" s="12">
        <v>70007274</v>
      </c>
      <c r="L449" s="10" t="s">
        <v>101</v>
      </c>
      <c r="M449" s="10" t="s">
        <v>102</v>
      </c>
      <c r="N449" s="124" t="s">
        <v>477</v>
      </c>
      <c r="O449" s="124" t="s">
        <v>477</v>
      </c>
      <c r="P449" s="21">
        <v>33</v>
      </c>
      <c r="Q449" s="10" t="s">
        <v>54</v>
      </c>
      <c r="R449" s="10" t="s">
        <v>28</v>
      </c>
      <c r="S449" s="10"/>
      <c r="T449" s="10"/>
      <c r="U449" s="10" t="s">
        <v>2430</v>
      </c>
      <c r="V449" s="10" t="s">
        <v>2430</v>
      </c>
      <c r="W449" s="50">
        <f>+J449/$W$2</f>
        <v>1.9674346851266143E-4</v>
      </c>
    </row>
    <row r="450" spans="1:23">
      <c r="A450" s="10" t="s">
        <v>375</v>
      </c>
      <c r="B450" s="10" t="s">
        <v>358</v>
      </c>
      <c r="C450" s="124">
        <v>46337</v>
      </c>
      <c r="D450" s="124" t="s">
        <v>471</v>
      </c>
      <c r="E450" s="21">
        <v>0.99082471000000005</v>
      </c>
      <c r="F450" s="10"/>
      <c r="G450" s="14">
        <v>13638775.050000001</v>
      </c>
      <c r="H450" s="14">
        <v>13513635.359999999</v>
      </c>
      <c r="I450" s="14">
        <v>13638775.050000001</v>
      </c>
      <c r="J450" s="14">
        <v>13513635.359999999</v>
      </c>
      <c r="K450" s="12">
        <v>90001961</v>
      </c>
      <c r="L450" s="10" t="s">
        <v>101</v>
      </c>
      <c r="M450" s="10" t="s">
        <v>102</v>
      </c>
      <c r="N450" s="124" t="s">
        <v>478</v>
      </c>
      <c r="O450" s="124" t="s">
        <v>478</v>
      </c>
      <c r="P450" s="21">
        <v>26</v>
      </c>
      <c r="Q450" s="10" t="s">
        <v>54</v>
      </c>
      <c r="R450" s="10" t="s">
        <v>28</v>
      </c>
      <c r="S450" s="10"/>
      <c r="T450" s="10"/>
      <c r="U450" s="10" t="s">
        <v>2159</v>
      </c>
      <c r="V450" s="10" t="s">
        <v>2159</v>
      </c>
      <c r="W450" s="50">
        <f>+J450/$W$2</f>
        <v>1.6538859608871049E-4</v>
      </c>
    </row>
    <row r="451" spans="1:23">
      <c r="A451" s="10" t="s">
        <v>375</v>
      </c>
      <c r="B451" s="10" t="s">
        <v>358</v>
      </c>
      <c r="C451" s="124">
        <v>46337</v>
      </c>
      <c r="D451" s="124" t="s">
        <v>471</v>
      </c>
      <c r="E451" s="21">
        <v>0.98734040999999995</v>
      </c>
      <c r="F451" s="10"/>
      <c r="G451" s="14">
        <v>8560000</v>
      </c>
      <c r="H451" s="14">
        <v>8451633.9299999997</v>
      </c>
      <c r="I451" s="14">
        <v>8560000</v>
      </c>
      <c r="J451" s="14">
        <v>8451633.9299999997</v>
      </c>
      <c r="K451" s="12">
        <v>13054211</v>
      </c>
      <c r="L451" s="10" t="s">
        <v>101</v>
      </c>
      <c r="M451" s="10" t="s">
        <v>102</v>
      </c>
      <c r="N451" s="124" t="s">
        <v>274</v>
      </c>
      <c r="O451" s="124" t="s">
        <v>274</v>
      </c>
      <c r="P451" s="21">
        <v>36</v>
      </c>
      <c r="Q451" s="10" t="s">
        <v>54</v>
      </c>
      <c r="R451" s="10" t="s">
        <v>28</v>
      </c>
      <c r="S451" s="10"/>
      <c r="T451" s="10"/>
      <c r="U451" s="10" t="s">
        <v>462</v>
      </c>
      <c r="V451" s="10" t="s">
        <v>462</v>
      </c>
      <c r="W451" s="50">
        <f>+J451/$W$2</f>
        <v>1.0343655375487436E-4</v>
      </c>
    </row>
    <row r="452" spans="1:23">
      <c r="A452" s="10" t="s">
        <v>379</v>
      </c>
      <c r="B452" s="10" t="s">
        <v>358</v>
      </c>
      <c r="C452" s="124">
        <v>46337</v>
      </c>
      <c r="D452" s="124" t="s">
        <v>471</v>
      </c>
      <c r="E452" s="21">
        <v>0.98942805</v>
      </c>
      <c r="F452" s="10"/>
      <c r="G452" s="14">
        <v>12008751.93</v>
      </c>
      <c r="H452" s="14">
        <v>11881796.029999999</v>
      </c>
      <c r="I452" s="14">
        <v>12008751.93</v>
      </c>
      <c r="J452" s="14">
        <v>11881796.029999999</v>
      </c>
      <c r="K452" s="12">
        <v>23044</v>
      </c>
      <c r="L452" s="10" t="s">
        <v>101</v>
      </c>
      <c r="M452" s="10" t="s">
        <v>102</v>
      </c>
      <c r="N452" s="124" t="s">
        <v>398</v>
      </c>
      <c r="O452" s="124" t="s">
        <v>398</v>
      </c>
      <c r="P452" s="21">
        <v>30</v>
      </c>
      <c r="Q452" s="10" t="s">
        <v>54</v>
      </c>
      <c r="R452" s="10" t="s">
        <v>28</v>
      </c>
      <c r="S452" s="10"/>
      <c r="T452" s="10"/>
      <c r="U452" s="10" t="s">
        <v>1679</v>
      </c>
      <c r="V452" s="10" t="s">
        <v>1679</v>
      </c>
      <c r="W452" s="50">
        <f>+J452/$W$2</f>
        <v>1.4541709259307067E-4</v>
      </c>
    </row>
    <row r="453" spans="1:23">
      <c r="A453" s="10" t="s">
        <v>379</v>
      </c>
      <c r="B453" s="10" t="s">
        <v>358</v>
      </c>
      <c r="C453" s="124">
        <v>46337</v>
      </c>
      <c r="D453" s="124" t="s">
        <v>471</v>
      </c>
      <c r="E453" s="21">
        <v>0.98942806000000005</v>
      </c>
      <c r="F453" s="10"/>
      <c r="G453" s="14">
        <v>3554233.32</v>
      </c>
      <c r="H453" s="14">
        <v>3516658.17</v>
      </c>
      <c r="I453" s="14">
        <v>3554233.32</v>
      </c>
      <c r="J453" s="14">
        <v>3516658.17</v>
      </c>
      <c r="K453" s="12">
        <v>23043</v>
      </c>
      <c r="L453" s="10" t="s">
        <v>101</v>
      </c>
      <c r="M453" s="10" t="s">
        <v>102</v>
      </c>
      <c r="N453" s="124" t="s">
        <v>398</v>
      </c>
      <c r="O453" s="124" t="s">
        <v>398</v>
      </c>
      <c r="P453" s="21">
        <v>30</v>
      </c>
      <c r="Q453" s="10" t="s">
        <v>54</v>
      </c>
      <c r="R453" s="10" t="s">
        <v>28</v>
      </c>
      <c r="S453" s="10"/>
      <c r="T453" s="10"/>
      <c r="U453" s="10" t="s">
        <v>1681</v>
      </c>
      <c r="V453" s="10" t="s">
        <v>1681</v>
      </c>
      <c r="W453" s="50">
        <f>+J453/$W$2</f>
        <v>4.3039133598480774E-5</v>
      </c>
    </row>
    <row r="454" spans="1:23">
      <c r="A454" s="10" t="s">
        <v>379</v>
      </c>
      <c r="B454" s="10" t="s">
        <v>358</v>
      </c>
      <c r="C454" s="124">
        <v>46337</v>
      </c>
      <c r="D454" s="124" t="s">
        <v>471</v>
      </c>
      <c r="E454" s="21">
        <v>0.98942805</v>
      </c>
      <c r="F454" s="10"/>
      <c r="G454" s="14">
        <v>8141903.9699999997</v>
      </c>
      <c r="H454" s="14">
        <v>8055828.2000000002</v>
      </c>
      <c r="I454" s="14">
        <v>8141903.9699999997</v>
      </c>
      <c r="J454" s="14">
        <v>8055828.2000000002</v>
      </c>
      <c r="K454" s="12">
        <v>23097</v>
      </c>
      <c r="L454" s="10" t="s">
        <v>101</v>
      </c>
      <c r="M454" s="10" t="s">
        <v>102</v>
      </c>
      <c r="N454" s="124" t="s">
        <v>398</v>
      </c>
      <c r="O454" s="124" t="s">
        <v>398</v>
      </c>
      <c r="P454" s="21">
        <v>30</v>
      </c>
      <c r="Q454" s="10" t="s">
        <v>54</v>
      </c>
      <c r="R454" s="10" t="s">
        <v>28</v>
      </c>
      <c r="S454" s="10"/>
      <c r="T454" s="10"/>
      <c r="U454" s="10" t="s">
        <v>1682</v>
      </c>
      <c r="V454" s="10" t="s">
        <v>1682</v>
      </c>
      <c r="W454" s="50">
        <f>+J454/$W$2</f>
        <v>9.8592427635981728E-5</v>
      </c>
    </row>
    <row r="455" spans="1:23">
      <c r="A455" s="10" t="s">
        <v>379</v>
      </c>
      <c r="B455" s="10" t="s">
        <v>358</v>
      </c>
      <c r="C455" s="124">
        <v>46337</v>
      </c>
      <c r="D455" s="124" t="s">
        <v>471</v>
      </c>
      <c r="E455" s="21">
        <v>0.98942805</v>
      </c>
      <c r="F455" s="10"/>
      <c r="G455" s="14">
        <v>14376774.91</v>
      </c>
      <c r="H455" s="14">
        <v>14224784.43</v>
      </c>
      <c r="I455" s="14">
        <v>14376774.91</v>
      </c>
      <c r="J455" s="14">
        <v>14224784.43</v>
      </c>
      <c r="K455" s="12">
        <v>22795</v>
      </c>
      <c r="L455" s="10" t="s">
        <v>101</v>
      </c>
      <c r="M455" s="10" t="s">
        <v>102</v>
      </c>
      <c r="N455" s="124" t="s">
        <v>398</v>
      </c>
      <c r="O455" s="124" t="s">
        <v>398</v>
      </c>
      <c r="P455" s="21">
        <v>30</v>
      </c>
      <c r="Q455" s="10" t="s">
        <v>54</v>
      </c>
      <c r="R455" s="10" t="s">
        <v>28</v>
      </c>
      <c r="S455" s="10"/>
      <c r="T455" s="10"/>
      <c r="U455" s="10" t="s">
        <v>1686</v>
      </c>
      <c r="V455" s="10" t="s">
        <v>1686</v>
      </c>
      <c r="W455" s="50">
        <f>+J455/$W$2</f>
        <v>1.740920976383551E-4</v>
      </c>
    </row>
    <row r="456" spans="1:23">
      <c r="A456" s="10" t="s">
        <v>379</v>
      </c>
      <c r="B456" s="10" t="s">
        <v>358</v>
      </c>
      <c r="C456" s="124">
        <v>46337</v>
      </c>
      <c r="D456" s="124" t="s">
        <v>471</v>
      </c>
      <c r="E456" s="21">
        <v>0.98942805</v>
      </c>
      <c r="F456" s="10"/>
      <c r="G456" s="14">
        <v>21728976.760000002</v>
      </c>
      <c r="H456" s="14">
        <v>21499259.210000001</v>
      </c>
      <c r="I456" s="14">
        <v>21728976.760000002</v>
      </c>
      <c r="J456" s="14">
        <v>21499259.210000001</v>
      </c>
      <c r="K456" s="12">
        <v>23058</v>
      </c>
      <c r="L456" s="10" t="s">
        <v>101</v>
      </c>
      <c r="M456" s="10" t="s">
        <v>102</v>
      </c>
      <c r="N456" s="124" t="s">
        <v>398</v>
      </c>
      <c r="O456" s="124" t="s">
        <v>398</v>
      </c>
      <c r="P456" s="21">
        <v>30</v>
      </c>
      <c r="Q456" s="10" t="s">
        <v>54</v>
      </c>
      <c r="R456" s="10" t="s">
        <v>28</v>
      </c>
      <c r="S456" s="10"/>
      <c r="T456" s="10"/>
      <c r="U456" s="10" t="s">
        <v>1687</v>
      </c>
      <c r="V456" s="10" t="s">
        <v>1687</v>
      </c>
      <c r="W456" s="50">
        <f>+J456/$W$2</f>
        <v>2.6312181755429423E-4</v>
      </c>
    </row>
    <row r="457" spans="1:23">
      <c r="A457" s="10" t="s">
        <v>334</v>
      </c>
      <c r="B457" s="10" t="s">
        <v>358</v>
      </c>
      <c r="C457" s="124">
        <v>46337</v>
      </c>
      <c r="D457" s="124" t="s">
        <v>471</v>
      </c>
      <c r="E457" s="21">
        <v>0.98734045999999998</v>
      </c>
      <c r="F457" s="10"/>
      <c r="G457" s="14">
        <v>3105640.28</v>
      </c>
      <c r="H457" s="14">
        <v>3066324.3</v>
      </c>
      <c r="I457" s="14">
        <v>3105640.28</v>
      </c>
      <c r="J457" s="14">
        <v>3066324.3</v>
      </c>
      <c r="K457" s="12">
        <v>3375</v>
      </c>
      <c r="L457" s="10" t="s">
        <v>101</v>
      </c>
      <c r="M457" s="10" t="s">
        <v>102</v>
      </c>
      <c r="N457" s="124" t="s">
        <v>365</v>
      </c>
      <c r="O457" s="124" t="s">
        <v>365</v>
      </c>
      <c r="P457" s="21">
        <v>36</v>
      </c>
      <c r="Q457" s="10" t="s">
        <v>54</v>
      </c>
      <c r="R457" s="10" t="s">
        <v>28</v>
      </c>
      <c r="S457" s="10"/>
      <c r="T457" s="10"/>
      <c r="U457" s="10" t="s">
        <v>1337</v>
      </c>
      <c r="V457" s="10" t="s">
        <v>1337</v>
      </c>
      <c r="W457" s="50">
        <f>+J457/$W$2</f>
        <v>3.7527656890225423E-5</v>
      </c>
    </row>
    <row r="458" spans="1:23">
      <c r="A458" s="10" t="s">
        <v>334</v>
      </c>
      <c r="B458" s="10" t="s">
        <v>358</v>
      </c>
      <c r="C458" s="124">
        <v>46337</v>
      </c>
      <c r="D458" s="124" t="s">
        <v>471</v>
      </c>
      <c r="E458" s="21">
        <v>0.98734043000000005</v>
      </c>
      <c r="F458" s="10"/>
      <c r="G458" s="14">
        <v>3625698.78</v>
      </c>
      <c r="H458" s="14">
        <v>3579798.98</v>
      </c>
      <c r="I458" s="14">
        <v>3625698.78</v>
      </c>
      <c r="J458" s="14">
        <v>3579798.98</v>
      </c>
      <c r="K458" s="12">
        <v>3353</v>
      </c>
      <c r="L458" s="10" t="s">
        <v>101</v>
      </c>
      <c r="M458" s="10" t="s">
        <v>102</v>
      </c>
      <c r="N458" s="124" t="s">
        <v>331</v>
      </c>
      <c r="O458" s="124" t="s">
        <v>331</v>
      </c>
      <c r="P458" s="21">
        <v>36</v>
      </c>
      <c r="Q458" s="10" t="s">
        <v>54</v>
      </c>
      <c r="R458" s="10" t="s">
        <v>28</v>
      </c>
      <c r="S458" s="10"/>
      <c r="T458" s="10"/>
      <c r="U458" s="10" t="s">
        <v>1230</v>
      </c>
      <c r="V458" s="10" t="s">
        <v>1230</v>
      </c>
      <c r="W458" s="50">
        <f>+J458/$W$2</f>
        <v>4.3811891605013518E-5</v>
      </c>
    </row>
    <row r="459" spans="1:23">
      <c r="A459" s="10" t="s">
        <v>334</v>
      </c>
      <c r="B459" s="10" t="s">
        <v>358</v>
      </c>
      <c r="C459" s="124">
        <v>46337</v>
      </c>
      <c r="D459" s="124" t="s">
        <v>471</v>
      </c>
      <c r="E459" s="21">
        <v>0.98734045999999998</v>
      </c>
      <c r="F459" s="10"/>
      <c r="G459" s="14">
        <v>2510000.36</v>
      </c>
      <c r="H459" s="14">
        <v>2478224.9</v>
      </c>
      <c r="I459" s="14">
        <v>2510000.36</v>
      </c>
      <c r="J459" s="14">
        <v>2478224.9</v>
      </c>
      <c r="K459" s="12">
        <v>3161</v>
      </c>
      <c r="L459" s="10" t="s">
        <v>101</v>
      </c>
      <c r="M459" s="10" t="s">
        <v>102</v>
      </c>
      <c r="N459" s="124" t="s">
        <v>161</v>
      </c>
      <c r="O459" s="124" t="s">
        <v>161</v>
      </c>
      <c r="P459" s="21">
        <v>36</v>
      </c>
      <c r="Q459" s="10" t="s">
        <v>54</v>
      </c>
      <c r="R459" s="10" t="s">
        <v>28</v>
      </c>
      <c r="S459" s="10"/>
      <c r="T459" s="10"/>
      <c r="U459" s="10" t="s">
        <v>1058</v>
      </c>
      <c r="V459" s="10" t="s">
        <v>1058</v>
      </c>
      <c r="W459" s="50">
        <f>+J459/$W$2</f>
        <v>3.0330116662485183E-5</v>
      </c>
    </row>
    <row r="460" spans="1:23">
      <c r="A460" s="10" t="s">
        <v>334</v>
      </c>
      <c r="B460" s="10" t="s">
        <v>358</v>
      </c>
      <c r="C460" s="124">
        <v>46337</v>
      </c>
      <c r="D460" s="124" t="s">
        <v>471</v>
      </c>
      <c r="E460" s="21">
        <v>0.98734045999999998</v>
      </c>
      <c r="F460" s="10"/>
      <c r="G460" s="14">
        <v>2510000.36</v>
      </c>
      <c r="H460" s="14">
        <v>2478224.9</v>
      </c>
      <c r="I460" s="14">
        <v>2510000.36</v>
      </c>
      <c r="J460" s="14">
        <v>2478224.9</v>
      </c>
      <c r="K460" s="12">
        <v>3162</v>
      </c>
      <c r="L460" s="10" t="s">
        <v>101</v>
      </c>
      <c r="M460" s="10" t="s">
        <v>102</v>
      </c>
      <c r="N460" s="124" t="s">
        <v>161</v>
      </c>
      <c r="O460" s="124" t="s">
        <v>161</v>
      </c>
      <c r="P460" s="21">
        <v>36</v>
      </c>
      <c r="Q460" s="10" t="s">
        <v>54</v>
      </c>
      <c r="R460" s="10" t="s">
        <v>28</v>
      </c>
      <c r="S460" s="10"/>
      <c r="T460" s="10"/>
      <c r="U460" s="10" t="s">
        <v>1059</v>
      </c>
      <c r="V460" s="10" t="s">
        <v>1059</v>
      </c>
      <c r="W460" s="50">
        <f>+J460/$W$2</f>
        <v>3.0330116662485183E-5</v>
      </c>
    </row>
    <row r="461" spans="1:23">
      <c r="A461" s="10" t="s">
        <v>334</v>
      </c>
      <c r="B461" s="10" t="s">
        <v>358</v>
      </c>
      <c r="C461" s="124">
        <v>46337</v>
      </c>
      <c r="D461" s="124" t="s">
        <v>471</v>
      </c>
      <c r="E461" s="21">
        <v>0.9876878</v>
      </c>
      <c r="F461" s="10"/>
      <c r="G461" s="14">
        <v>3256800.5</v>
      </c>
      <c r="H461" s="14">
        <v>3216702.13</v>
      </c>
      <c r="I461" s="14">
        <v>3256800.5</v>
      </c>
      <c r="J461" s="14">
        <v>3216702.13</v>
      </c>
      <c r="K461" s="12">
        <v>3584</v>
      </c>
      <c r="L461" s="10" t="s">
        <v>101</v>
      </c>
      <c r="M461" s="10" t="s">
        <v>102</v>
      </c>
      <c r="N461" s="124" t="s">
        <v>397</v>
      </c>
      <c r="O461" s="124" t="s">
        <v>397</v>
      </c>
      <c r="P461" s="21">
        <v>35</v>
      </c>
      <c r="Q461" s="10" t="s">
        <v>54</v>
      </c>
      <c r="R461" s="10" t="s">
        <v>28</v>
      </c>
      <c r="S461" s="10"/>
      <c r="T461" s="10"/>
      <c r="U461" s="10" t="s">
        <v>1872</v>
      </c>
      <c r="V461" s="10" t="s">
        <v>1872</v>
      </c>
      <c r="W461" s="50">
        <f>+J461/$W$2</f>
        <v>3.9368077881617842E-5</v>
      </c>
    </row>
    <row r="462" spans="1:23">
      <c r="A462" s="10" t="s">
        <v>334</v>
      </c>
      <c r="B462" s="10" t="s">
        <v>358</v>
      </c>
      <c r="C462" s="124">
        <v>46337</v>
      </c>
      <c r="D462" s="124" t="s">
        <v>471</v>
      </c>
      <c r="E462" s="21">
        <v>0.9876878</v>
      </c>
      <c r="F462" s="10"/>
      <c r="G462" s="14">
        <v>3256800.5</v>
      </c>
      <c r="H462" s="14">
        <v>3216702.13</v>
      </c>
      <c r="I462" s="14">
        <v>3256800.5</v>
      </c>
      <c r="J462" s="14">
        <v>3216702.13</v>
      </c>
      <c r="K462" s="12">
        <v>3583</v>
      </c>
      <c r="L462" s="10" t="s">
        <v>101</v>
      </c>
      <c r="M462" s="10" t="s">
        <v>102</v>
      </c>
      <c r="N462" s="124" t="s">
        <v>397</v>
      </c>
      <c r="O462" s="124" t="s">
        <v>397</v>
      </c>
      <c r="P462" s="21">
        <v>35</v>
      </c>
      <c r="Q462" s="10" t="s">
        <v>54</v>
      </c>
      <c r="R462" s="10" t="s">
        <v>28</v>
      </c>
      <c r="S462" s="10"/>
      <c r="T462" s="10"/>
      <c r="U462" s="10" t="s">
        <v>1873</v>
      </c>
      <c r="V462" s="10" t="s">
        <v>1873</v>
      </c>
      <c r="W462" s="50">
        <f>+J462/$W$2</f>
        <v>3.9368077881617842E-5</v>
      </c>
    </row>
    <row r="463" spans="1:23">
      <c r="A463" s="10" t="s">
        <v>334</v>
      </c>
      <c r="B463" s="10" t="s">
        <v>358</v>
      </c>
      <c r="C463" s="124">
        <v>46337</v>
      </c>
      <c r="D463" s="124" t="s">
        <v>471</v>
      </c>
      <c r="E463" s="21">
        <v>0.98838316000000004</v>
      </c>
      <c r="F463" s="10"/>
      <c r="G463" s="14">
        <v>990902.64</v>
      </c>
      <c r="H463" s="14">
        <v>979391.48</v>
      </c>
      <c r="I463" s="14">
        <v>990902.64</v>
      </c>
      <c r="J463" s="14">
        <v>979391.48</v>
      </c>
      <c r="K463" s="12">
        <v>2965</v>
      </c>
      <c r="L463" s="10" t="s">
        <v>101</v>
      </c>
      <c r="M463" s="10" t="s">
        <v>102</v>
      </c>
      <c r="N463" s="124" t="s">
        <v>347</v>
      </c>
      <c r="O463" s="124" t="s">
        <v>347</v>
      </c>
      <c r="P463" s="21">
        <v>33</v>
      </c>
      <c r="Q463" s="10" t="s">
        <v>54</v>
      </c>
      <c r="R463" s="10" t="s">
        <v>28</v>
      </c>
      <c r="S463" s="10"/>
      <c r="T463" s="10"/>
      <c r="U463" s="10" t="s">
        <v>805</v>
      </c>
      <c r="V463" s="10" t="s">
        <v>805</v>
      </c>
      <c r="W463" s="50">
        <f>+J463/$W$2</f>
        <v>1.1986425383202318E-5</v>
      </c>
    </row>
    <row r="464" spans="1:23">
      <c r="A464" s="10" t="s">
        <v>334</v>
      </c>
      <c r="B464" s="10" t="s">
        <v>358</v>
      </c>
      <c r="C464" s="124">
        <v>46337</v>
      </c>
      <c r="D464" s="124" t="s">
        <v>471</v>
      </c>
      <c r="E464" s="21">
        <v>0.98803532000000005</v>
      </c>
      <c r="F464" s="10"/>
      <c r="G464" s="14">
        <v>990902.64</v>
      </c>
      <c r="H464" s="14">
        <v>979046.81</v>
      </c>
      <c r="I464" s="14">
        <v>990902.64</v>
      </c>
      <c r="J464" s="14">
        <v>979046.81</v>
      </c>
      <c r="K464" s="12">
        <v>2964</v>
      </c>
      <c r="L464" s="10" t="s">
        <v>101</v>
      </c>
      <c r="M464" s="10" t="s">
        <v>102</v>
      </c>
      <c r="N464" s="124" t="s">
        <v>313</v>
      </c>
      <c r="O464" s="124" t="s">
        <v>313</v>
      </c>
      <c r="P464" s="21">
        <v>34</v>
      </c>
      <c r="Q464" s="10" t="s">
        <v>54</v>
      </c>
      <c r="R464" s="10" t="s">
        <v>28</v>
      </c>
      <c r="S464" s="10"/>
      <c r="T464" s="10"/>
      <c r="U464" s="10" t="s">
        <v>727</v>
      </c>
      <c r="V464" s="10" t="s">
        <v>727</v>
      </c>
      <c r="W464" s="50">
        <f>+J464/$W$2</f>
        <v>1.1982207089168528E-5</v>
      </c>
    </row>
    <row r="465" spans="1:29">
      <c r="A465" s="10" t="s">
        <v>334</v>
      </c>
      <c r="B465" s="10" t="s">
        <v>358</v>
      </c>
      <c r="C465" s="124">
        <v>46337</v>
      </c>
      <c r="D465" s="124" t="s">
        <v>471</v>
      </c>
      <c r="E465" s="21">
        <v>0.98803532999999999</v>
      </c>
      <c r="F465" s="10"/>
      <c r="G465" s="14">
        <v>1020845.65</v>
      </c>
      <c r="H465" s="14">
        <v>1008631.57</v>
      </c>
      <c r="I465" s="14">
        <v>1020845.65</v>
      </c>
      <c r="J465" s="14">
        <v>1008631.57</v>
      </c>
      <c r="K465" s="12">
        <v>2915</v>
      </c>
      <c r="L465" s="10" t="s">
        <v>101</v>
      </c>
      <c r="M465" s="10" t="s">
        <v>102</v>
      </c>
      <c r="N465" s="124" t="s">
        <v>313</v>
      </c>
      <c r="O465" s="124" t="s">
        <v>313</v>
      </c>
      <c r="P465" s="21">
        <v>34</v>
      </c>
      <c r="Q465" s="10" t="s">
        <v>54</v>
      </c>
      <c r="R465" s="10" t="s">
        <v>28</v>
      </c>
      <c r="S465" s="10"/>
      <c r="T465" s="10"/>
      <c r="U465" s="10" t="s">
        <v>729</v>
      </c>
      <c r="V465" s="10" t="s">
        <v>729</v>
      </c>
      <c r="W465" s="50">
        <f>+J465/$W$2</f>
        <v>1.2344284486676569E-5</v>
      </c>
    </row>
    <row r="466" spans="1:29">
      <c r="A466" s="10" t="s">
        <v>334</v>
      </c>
      <c r="B466" s="10" t="s">
        <v>358</v>
      </c>
      <c r="C466" s="124">
        <v>46337</v>
      </c>
      <c r="D466" s="124" t="s">
        <v>471</v>
      </c>
      <c r="E466" s="21">
        <v>0.98803532999999999</v>
      </c>
      <c r="F466" s="10"/>
      <c r="G466" s="14">
        <v>1020845.65</v>
      </c>
      <c r="H466" s="14">
        <v>1008631.57</v>
      </c>
      <c r="I466" s="14">
        <v>1020845.65</v>
      </c>
      <c r="J466" s="14">
        <v>1008631.57</v>
      </c>
      <c r="K466" s="12">
        <v>2914</v>
      </c>
      <c r="L466" s="10" t="s">
        <v>101</v>
      </c>
      <c r="M466" s="10" t="s">
        <v>102</v>
      </c>
      <c r="N466" s="124" t="s">
        <v>313</v>
      </c>
      <c r="O466" s="124" t="s">
        <v>313</v>
      </c>
      <c r="P466" s="21">
        <v>34</v>
      </c>
      <c r="Q466" s="10" t="s">
        <v>54</v>
      </c>
      <c r="R466" s="10" t="s">
        <v>28</v>
      </c>
      <c r="S466" s="10"/>
      <c r="T466" s="10"/>
      <c r="U466" s="10" t="s">
        <v>730</v>
      </c>
      <c r="V466" s="10" t="s">
        <v>730</v>
      </c>
      <c r="W466" s="50">
        <f>+J466/$W$2</f>
        <v>1.2344284486676569E-5</v>
      </c>
    </row>
    <row r="467" spans="1:29">
      <c r="A467" s="10" t="s">
        <v>2078</v>
      </c>
      <c r="B467" s="10" t="s">
        <v>358</v>
      </c>
      <c r="C467" s="124">
        <v>46337</v>
      </c>
      <c r="D467" s="124" t="s">
        <v>471</v>
      </c>
      <c r="E467" s="21">
        <v>0.98838311999999995</v>
      </c>
      <c r="F467" s="10"/>
      <c r="G467" s="14">
        <v>3600000</v>
      </c>
      <c r="H467" s="14">
        <v>3558179.23</v>
      </c>
      <c r="I467" s="14">
        <v>3600000</v>
      </c>
      <c r="J467" s="14">
        <v>3558179.23</v>
      </c>
      <c r="K467" s="12">
        <v>13870042</v>
      </c>
      <c r="L467" s="10" t="s">
        <v>101</v>
      </c>
      <c r="M467" s="10" t="s">
        <v>102</v>
      </c>
      <c r="N467" s="124" t="s">
        <v>408</v>
      </c>
      <c r="O467" s="124" t="s">
        <v>408</v>
      </c>
      <c r="P467" s="21">
        <v>33</v>
      </c>
      <c r="Q467" s="10" t="s">
        <v>54</v>
      </c>
      <c r="R467" s="10" t="s">
        <v>28</v>
      </c>
      <c r="S467" s="10"/>
      <c r="T467" s="10"/>
      <c r="U467" s="10" t="s">
        <v>2044</v>
      </c>
      <c r="V467" s="10" t="s">
        <v>2044</v>
      </c>
      <c r="W467" s="50">
        <f>+J467/$W$2</f>
        <v>4.3547295143363181E-5</v>
      </c>
    </row>
    <row r="468" spans="1:29">
      <c r="A468" s="10" t="s">
        <v>2214</v>
      </c>
      <c r="B468" s="10" t="s">
        <v>358</v>
      </c>
      <c r="C468" s="124">
        <v>46337</v>
      </c>
      <c r="D468" s="124" t="s">
        <v>471</v>
      </c>
      <c r="E468" s="21">
        <v>0.98838322000000001</v>
      </c>
      <c r="F468" s="10"/>
      <c r="G468" s="14">
        <v>130311.45</v>
      </c>
      <c r="H468" s="14">
        <v>128797.65</v>
      </c>
      <c r="I468" s="14">
        <v>130311.45</v>
      </c>
      <c r="J468" s="14">
        <v>128797.65</v>
      </c>
      <c r="K468" s="12">
        <v>2438</v>
      </c>
      <c r="L468" s="10" t="s">
        <v>101</v>
      </c>
      <c r="M468" s="10" t="s">
        <v>102</v>
      </c>
      <c r="N468" s="124" t="s">
        <v>478</v>
      </c>
      <c r="O468" s="124" t="s">
        <v>478</v>
      </c>
      <c r="P468" s="21">
        <v>33</v>
      </c>
      <c r="Q468" s="10" t="s">
        <v>54</v>
      </c>
      <c r="R468" s="10" t="s">
        <v>28</v>
      </c>
      <c r="S468" s="10"/>
      <c r="T468" s="10"/>
      <c r="U468" s="10" t="s">
        <v>2189</v>
      </c>
      <c r="V468" s="10" t="s">
        <v>2189</v>
      </c>
      <c r="W468" s="50">
        <f>+J468/$W$2</f>
        <v>1.5763088129547625E-6</v>
      </c>
    </row>
    <row r="469" spans="1:29">
      <c r="A469" s="10" t="s">
        <v>2215</v>
      </c>
      <c r="B469" s="10" t="s">
        <v>358</v>
      </c>
      <c r="C469" s="124">
        <v>46337</v>
      </c>
      <c r="D469" s="124" t="s">
        <v>471</v>
      </c>
      <c r="E469" s="21">
        <v>0.98838314000000005</v>
      </c>
      <c r="F469" s="10"/>
      <c r="G469" s="14">
        <v>8574172.7400000002</v>
      </c>
      <c r="H469" s="14">
        <v>8474567.7599999998</v>
      </c>
      <c r="I469" s="14">
        <v>8574172.7400000002</v>
      </c>
      <c r="J469" s="14">
        <v>8474567.7599999998</v>
      </c>
      <c r="K469" s="12">
        <v>81454507</v>
      </c>
      <c r="L469" s="10" t="s">
        <v>101</v>
      </c>
      <c r="M469" s="10" t="s">
        <v>102</v>
      </c>
      <c r="N469" s="124" t="s">
        <v>478</v>
      </c>
      <c r="O469" s="124" t="s">
        <v>478</v>
      </c>
      <c r="P469" s="21">
        <v>33</v>
      </c>
      <c r="Q469" s="10" t="s">
        <v>54</v>
      </c>
      <c r="R469" s="10" t="s">
        <v>28</v>
      </c>
      <c r="S469" s="10"/>
      <c r="T469" s="10"/>
      <c r="U469" s="10" t="s">
        <v>2190</v>
      </c>
      <c r="V469" s="10" t="s">
        <v>2190</v>
      </c>
      <c r="W469" s="50">
        <f>+J469/$W$2</f>
        <v>1.0371723277614382E-4</v>
      </c>
    </row>
    <row r="470" spans="1:29">
      <c r="A470" s="10" t="s">
        <v>443</v>
      </c>
      <c r="B470" s="10" t="s">
        <v>358</v>
      </c>
      <c r="C470" s="124">
        <v>46337</v>
      </c>
      <c r="D470" s="124" t="s">
        <v>471</v>
      </c>
      <c r="E470" s="21">
        <v>0.99012593000000004</v>
      </c>
      <c r="F470" s="10"/>
      <c r="G470" s="14">
        <v>7000000</v>
      </c>
      <c r="H470" s="14">
        <v>6930881.4900000002</v>
      </c>
      <c r="I470" s="14">
        <v>7000000</v>
      </c>
      <c r="J470" s="14">
        <v>6930881.4900000002</v>
      </c>
      <c r="K470" s="12">
        <v>6490</v>
      </c>
      <c r="L470" s="10" t="s">
        <v>101</v>
      </c>
      <c r="M470" s="10" t="s">
        <v>102</v>
      </c>
      <c r="N470" s="124" t="s">
        <v>397</v>
      </c>
      <c r="O470" s="124" t="s">
        <v>397</v>
      </c>
      <c r="P470" s="21">
        <v>28</v>
      </c>
      <c r="Q470" s="10" t="s">
        <v>54</v>
      </c>
      <c r="R470" s="10" t="s">
        <v>28</v>
      </c>
      <c r="S470" s="10"/>
      <c r="T470" s="10"/>
      <c r="U470" s="10" t="s">
        <v>1845</v>
      </c>
      <c r="V470" s="10" t="s">
        <v>1845</v>
      </c>
      <c r="W470" s="50">
        <f>+J470/$W$2</f>
        <v>8.4824603354424839E-5</v>
      </c>
      <c r="AC470" s="47"/>
    </row>
    <row r="471" spans="1:29">
      <c r="A471" s="10" t="s">
        <v>443</v>
      </c>
      <c r="B471" s="10" t="s">
        <v>358</v>
      </c>
      <c r="C471" s="124">
        <v>46337</v>
      </c>
      <c r="D471" s="124" t="s">
        <v>471</v>
      </c>
      <c r="E471" s="21">
        <v>0.98942808999999998</v>
      </c>
      <c r="F471" s="10"/>
      <c r="G471" s="14">
        <v>5000000</v>
      </c>
      <c r="H471" s="14">
        <v>4947140.47</v>
      </c>
      <c r="I471" s="14">
        <v>5000000</v>
      </c>
      <c r="J471" s="14">
        <v>4947140.47</v>
      </c>
      <c r="K471" s="12">
        <v>40810972</v>
      </c>
      <c r="L471" s="10" t="s">
        <v>101</v>
      </c>
      <c r="M471" s="10" t="s">
        <v>102</v>
      </c>
      <c r="N471" s="124" t="s">
        <v>576</v>
      </c>
      <c r="O471" s="124" t="s">
        <v>576</v>
      </c>
      <c r="P471" s="21">
        <v>30</v>
      </c>
      <c r="Q471" s="10" t="s">
        <v>54</v>
      </c>
      <c r="R471" s="10" t="s">
        <v>28</v>
      </c>
      <c r="S471" s="10"/>
      <c r="T471" s="10"/>
      <c r="U471" s="10" t="s">
        <v>2334</v>
      </c>
      <c r="V471" s="10" t="s">
        <v>2334</v>
      </c>
      <c r="W471" s="50">
        <f>+J471/$W$2</f>
        <v>6.0546299732845788E-5</v>
      </c>
    </row>
    <row r="472" spans="1:29">
      <c r="A472" s="10" t="s">
        <v>1515</v>
      </c>
      <c r="B472" s="10" t="s">
        <v>358</v>
      </c>
      <c r="C472" s="124">
        <v>46337</v>
      </c>
      <c r="D472" s="124" t="s">
        <v>471</v>
      </c>
      <c r="E472" s="21">
        <v>0.98907951000000005</v>
      </c>
      <c r="F472" s="10"/>
      <c r="G472" s="14">
        <v>9990457.7799999993</v>
      </c>
      <c r="H472" s="14">
        <v>9881357.0700000003</v>
      </c>
      <c r="I472" s="14">
        <v>9990457.7799999993</v>
      </c>
      <c r="J472" s="14">
        <v>9881357.0700000003</v>
      </c>
      <c r="K472" s="12">
        <v>3022</v>
      </c>
      <c r="L472" s="10" t="s">
        <v>101</v>
      </c>
      <c r="M472" s="10" t="s">
        <v>102</v>
      </c>
      <c r="N472" s="124" t="s">
        <v>405</v>
      </c>
      <c r="O472" s="124" t="s">
        <v>405</v>
      </c>
      <c r="P472" s="21">
        <v>31</v>
      </c>
      <c r="Q472" s="10" t="s">
        <v>54</v>
      </c>
      <c r="R472" s="10" t="s">
        <v>28</v>
      </c>
      <c r="S472" s="10"/>
      <c r="T472" s="10"/>
      <c r="U472" s="10" t="s">
        <v>1495</v>
      </c>
      <c r="V472" s="10" t="s">
        <v>1495</v>
      </c>
      <c r="W472" s="50">
        <f>+J472/$W$2</f>
        <v>1.2093442879892491E-4</v>
      </c>
    </row>
    <row r="473" spans="1:29">
      <c r="A473" s="10" t="s">
        <v>1516</v>
      </c>
      <c r="B473" s="10" t="s">
        <v>358</v>
      </c>
      <c r="C473" s="124">
        <v>46337</v>
      </c>
      <c r="D473" s="124" t="s">
        <v>471</v>
      </c>
      <c r="E473" s="21">
        <v>0.98907951000000005</v>
      </c>
      <c r="F473" s="10"/>
      <c r="G473" s="14">
        <v>20398741.449999999</v>
      </c>
      <c r="H473" s="14">
        <v>20175977.140000001</v>
      </c>
      <c r="I473" s="14">
        <v>20398741.449999999</v>
      </c>
      <c r="J473" s="14">
        <v>20175977.140000001</v>
      </c>
      <c r="K473" s="12">
        <v>69586114</v>
      </c>
      <c r="L473" s="10" t="s">
        <v>101</v>
      </c>
      <c r="M473" s="10" t="s">
        <v>102</v>
      </c>
      <c r="N473" s="124" t="s">
        <v>405</v>
      </c>
      <c r="O473" s="124" t="s">
        <v>405</v>
      </c>
      <c r="P473" s="21">
        <v>31</v>
      </c>
      <c r="Q473" s="10" t="s">
        <v>54</v>
      </c>
      <c r="R473" s="10" t="s">
        <v>28</v>
      </c>
      <c r="S473" s="10"/>
      <c r="T473" s="10"/>
      <c r="U473" s="10" t="s">
        <v>1504</v>
      </c>
      <c r="V473" s="10" t="s">
        <v>1504</v>
      </c>
      <c r="W473" s="50">
        <f>+J473/$W$2</f>
        <v>2.4692663706019346E-4</v>
      </c>
    </row>
    <row r="474" spans="1:29">
      <c r="A474" s="10" t="s">
        <v>1604</v>
      </c>
      <c r="B474" s="10" t="s">
        <v>358</v>
      </c>
      <c r="C474" s="124">
        <v>46337</v>
      </c>
      <c r="D474" s="124" t="s">
        <v>471</v>
      </c>
      <c r="E474" s="21">
        <v>0.98942803999999995</v>
      </c>
      <c r="F474" s="10"/>
      <c r="G474" s="14">
        <v>1340000</v>
      </c>
      <c r="H474" s="14">
        <v>1325833.58</v>
      </c>
      <c r="I474" s="14">
        <v>1340000</v>
      </c>
      <c r="J474" s="14">
        <v>1325833.58</v>
      </c>
      <c r="K474" s="12">
        <v>69652371</v>
      </c>
      <c r="L474" s="10" t="s">
        <v>101</v>
      </c>
      <c r="M474" s="10" t="s">
        <v>102</v>
      </c>
      <c r="N474" s="124" t="s">
        <v>487</v>
      </c>
      <c r="O474" s="124" t="s">
        <v>487</v>
      </c>
      <c r="P474" s="21">
        <v>30</v>
      </c>
      <c r="Q474" s="10" t="s">
        <v>54</v>
      </c>
      <c r="R474" s="10" t="s">
        <v>28</v>
      </c>
      <c r="S474" s="10"/>
      <c r="T474" s="10"/>
      <c r="U474" s="10" t="s">
        <v>1589</v>
      </c>
      <c r="V474" s="10" t="s">
        <v>1589</v>
      </c>
      <c r="W474" s="50">
        <f>+J474/$W$2</f>
        <v>1.6226407521141598E-5</v>
      </c>
    </row>
    <row r="475" spans="1:29">
      <c r="A475" s="10" t="s">
        <v>1634</v>
      </c>
      <c r="B475" s="10" t="s">
        <v>358</v>
      </c>
      <c r="C475" s="124">
        <v>46337</v>
      </c>
      <c r="D475" s="124" t="s">
        <v>471</v>
      </c>
      <c r="E475" s="21">
        <v>0.98873118999999998</v>
      </c>
      <c r="F475" s="10"/>
      <c r="G475" s="14">
        <v>4000000</v>
      </c>
      <c r="H475" s="14">
        <v>3954924.74</v>
      </c>
      <c r="I475" s="14">
        <v>4000000</v>
      </c>
      <c r="J475" s="14">
        <v>3954924.74</v>
      </c>
      <c r="K475" s="12">
        <v>722</v>
      </c>
      <c r="L475" s="10" t="s">
        <v>101</v>
      </c>
      <c r="M475" s="10" t="s">
        <v>102</v>
      </c>
      <c r="N475" s="124" t="s">
        <v>447</v>
      </c>
      <c r="O475" s="124" t="s">
        <v>447</v>
      </c>
      <c r="P475" s="21">
        <v>32</v>
      </c>
      <c r="Q475" s="10" t="s">
        <v>54</v>
      </c>
      <c r="R475" s="10" t="s">
        <v>28</v>
      </c>
      <c r="S475" s="10"/>
      <c r="T475" s="10"/>
      <c r="U475" s="10" t="s">
        <v>1620</v>
      </c>
      <c r="V475" s="10" t="s">
        <v>1620</v>
      </c>
      <c r="W475" s="50">
        <f>+J475/$W$2</f>
        <v>4.8402922896767317E-5</v>
      </c>
    </row>
    <row r="476" spans="1:29">
      <c r="A476" s="10" t="s">
        <v>1744</v>
      </c>
      <c r="B476" s="10" t="s">
        <v>358</v>
      </c>
      <c r="C476" s="124">
        <v>46337</v>
      </c>
      <c r="D476" s="124" t="s">
        <v>471</v>
      </c>
      <c r="E476" s="21">
        <v>0.98838314000000005</v>
      </c>
      <c r="F476" s="10"/>
      <c r="G476" s="14">
        <v>5300000</v>
      </c>
      <c r="H476" s="14">
        <v>5238430.6500000004</v>
      </c>
      <c r="I476" s="14">
        <v>5300000</v>
      </c>
      <c r="J476" s="14">
        <v>5238430.6500000004</v>
      </c>
      <c r="K476" s="12">
        <v>8175677</v>
      </c>
      <c r="L476" s="10" t="s">
        <v>101</v>
      </c>
      <c r="M476" s="10" t="s">
        <v>102</v>
      </c>
      <c r="N476" s="124" t="s">
        <v>398</v>
      </c>
      <c r="O476" s="124" t="s">
        <v>398</v>
      </c>
      <c r="P476" s="21">
        <v>33</v>
      </c>
      <c r="Q476" s="10" t="s">
        <v>54</v>
      </c>
      <c r="R476" s="10" t="s">
        <v>28</v>
      </c>
      <c r="S476" s="10"/>
      <c r="T476" s="10"/>
      <c r="U476" s="10" t="s">
        <v>1646</v>
      </c>
      <c r="V476" s="10" t="s">
        <v>1646</v>
      </c>
      <c r="W476" s="50">
        <f>+J476/$W$2</f>
        <v>6.4111297058970761E-5</v>
      </c>
    </row>
    <row r="477" spans="1:29">
      <c r="A477" s="10" t="s">
        <v>1744</v>
      </c>
      <c r="B477" s="10" t="s">
        <v>358</v>
      </c>
      <c r="C477" s="124">
        <v>46337</v>
      </c>
      <c r="D477" s="124" t="s">
        <v>471</v>
      </c>
      <c r="E477" s="21">
        <v>0.98838314000000005</v>
      </c>
      <c r="F477" s="10"/>
      <c r="G477" s="14">
        <v>5300000</v>
      </c>
      <c r="H477" s="14">
        <v>5238430.6500000004</v>
      </c>
      <c r="I477" s="14">
        <v>5300000</v>
      </c>
      <c r="J477" s="14">
        <v>5238430.6500000004</v>
      </c>
      <c r="K477" s="12">
        <v>8175678</v>
      </c>
      <c r="L477" s="10" t="s">
        <v>101</v>
      </c>
      <c r="M477" s="10" t="s">
        <v>102</v>
      </c>
      <c r="N477" s="124" t="s">
        <v>398</v>
      </c>
      <c r="O477" s="124" t="s">
        <v>398</v>
      </c>
      <c r="P477" s="21">
        <v>33</v>
      </c>
      <c r="Q477" s="10" t="s">
        <v>54</v>
      </c>
      <c r="R477" s="10" t="s">
        <v>28</v>
      </c>
      <c r="S477" s="10"/>
      <c r="T477" s="10"/>
      <c r="U477" s="10" t="s">
        <v>1647</v>
      </c>
      <c r="V477" s="10" t="s">
        <v>1647</v>
      </c>
      <c r="W477" s="50">
        <f>+J477/$W$2</f>
        <v>6.4111297058970761E-5</v>
      </c>
      <c r="AC477" s="47"/>
    </row>
    <row r="478" spans="1:29">
      <c r="A478" s="10" t="s">
        <v>1763</v>
      </c>
      <c r="B478" s="10" t="s">
        <v>358</v>
      </c>
      <c r="C478" s="124">
        <v>46337</v>
      </c>
      <c r="D478" s="124" t="s">
        <v>471</v>
      </c>
      <c r="E478" s="21">
        <v>0.98873120000000003</v>
      </c>
      <c r="F478" s="10"/>
      <c r="G478" s="14">
        <v>2073150</v>
      </c>
      <c r="H478" s="14">
        <v>2049788.08</v>
      </c>
      <c r="I478" s="14">
        <v>2073150</v>
      </c>
      <c r="J478" s="14">
        <v>2049788.08</v>
      </c>
      <c r="K478" s="12">
        <v>90000247</v>
      </c>
      <c r="L478" s="10" t="s">
        <v>101</v>
      </c>
      <c r="M478" s="10" t="s">
        <v>102</v>
      </c>
      <c r="N478" s="124" t="s">
        <v>398</v>
      </c>
      <c r="O478" s="124" t="s">
        <v>398</v>
      </c>
      <c r="P478" s="21">
        <v>32</v>
      </c>
      <c r="Q478" s="10" t="s">
        <v>54</v>
      </c>
      <c r="R478" s="10" t="s">
        <v>28</v>
      </c>
      <c r="S478" s="10"/>
      <c r="T478" s="10"/>
      <c r="U478" s="10" t="s">
        <v>1735</v>
      </c>
      <c r="V478" s="10" t="s">
        <v>1735</v>
      </c>
      <c r="W478" s="50">
        <f>+J478/$W$2</f>
        <v>2.5086630192349175E-5</v>
      </c>
    </row>
    <row r="479" spans="1:29">
      <c r="A479" s="10" t="s">
        <v>795</v>
      </c>
      <c r="B479" s="10" t="s">
        <v>358</v>
      </c>
      <c r="C479" s="124">
        <v>46337</v>
      </c>
      <c r="D479" s="124" t="s">
        <v>471</v>
      </c>
      <c r="E479" s="21">
        <v>0.98838314000000005</v>
      </c>
      <c r="F479" s="10"/>
      <c r="G479" s="14">
        <v>4296661.99</v>
      </c>
      <c r="H479" s="14">
        <v>4246748.29</v>
      </c>
      <c r="I479" s="14">
        <v>4296661.99</v>
      </c>
      <c r="J479" s="14">
        <v>4246748.29</v>
      </c>
      <c r="K479" s="12">
        <v>1541</v>
      </c>
      <c r="L479" s="10" t="s">
        <v>101</v>
      </c>
      <c r="M479" s="10" t="s">
        <v>102</v>
      </c>
      <c r="N479" s="124" t="s">
        <v>343</v>
      </c>
      <c r="O479" s="124" t="s">
        <v>343</v>
      </c>
      <c r="P479" s="21">
        <v>33</v>
      </c>
      <c r="Q479" s="10" t="s">
        <v>54</v>
      </c>
      <c r="R479" s="10" t="s">
        <v>28</v>
      </c>
      <c r="S479" s="10"/>
      <c r="T479" s="10"/>
      <c r="U479" s="10" t="s">
        <v>793</v>
      </c>
      <c r="V479" s="10" t="s">
        <v>793</v>
      </c>
      <c r="W479" s="50">
        <f>+J479/$W$2</f>
        <v>5.1974447949380809E-5</v>
      </c>
    </row>
    <row r="480" spans="1:29">
      <c r="A480" s="10" t="s">
        <v>453</v>
      </c>
      <c r="B480" s="10" t="s">
        <v>358</v>
      </c>
      <c r="C480" s="124">
        <v>46337</v>
      </c>
      <c r="D480" s="124" t="s">
        <v>471</v>
      </c>
      <c r="E480" s="21">
        <v>0.98977683999999999</v>
      </c>
      <c r="F480" s="10"/>
      <c r="G480" s="14">
        <v>35000000</v>
      </c>
      <c r="H480" s="14">
        <v>34642189.299999997</v>
      </c>
      <c r="I480" s="14">
        <v>35000000</v>
      </c>
      <c r="J480" s="14">
        <v>34642189.299999997</v>
      </c>
      <c r="K480" s="12">
        <v>65</v>
      </c>
      <c r="L480" s="10" t="s">
        <v>101</v>
      </c>
      <c r="M480" s="10" t="s">
        <v>102</v>
      </c>
      <c r="N480" s="124" t="s">
        <v>268</v>
      </c>
      <c r="O480" s="124" t="s">
        <v>268</v>
      </c>
      <c r="P480" s="21">
        <v>29</v>
      </c>
      <c r="Q480" s="10" t="s">
        <v>54</v>
      </c>
      <c r="R480" s="10" t="s">
        <v>28</v>
      </c>
      <c r="S480" s="10"/>
      <c r="T480" s="10"/>
      <c r="U480" s="10" t="s">
        <v>529</v>
      </c>
      <c r="V480" s="10" t="s">
        <v>529</v>
      </c>
      <c r="W480" s="50">
        <f>+J480/$W$2</f>
        <v>4.2397348316244258E-4</v>
      </c>
    </row>
    <row r="481" spans="1:29">
      <c r="A481" s="10" t="s">
        <v>206</v>
      </c>
      <c r="B481" s="10" t="s">
        <v>358</v>
      </c>
      <c r="C481" s="124">
        <v>46337</v>
      </c>
      <c r="D481" s="124" t="s">
        <v>471</v>
      </c>
      <c r="E481" s="21">
        <v>0.98838311999999995</v>
      </c>
      <c r="F481" s="10"/>
      <c r="G481" s="14">
        <v>2170000</v>
      </c>
      <c r="H481" s="14">
        <v>2144791.38</v>
      </c>
      <c r="I481" s="14">
        <v>2170000</v>
      </c>
      <c r="J481" s="14">
        <v>2144791.38</v>
      </c>
      <c r="K481" s="12">
        <v>260729</v>
      </c>
      <c r="L481" s="10" t="s">
        <v>101</v>
      </c>
      <c r="M481" s="10" t="s">
        <v>102</v>
      </c>
      <c r="N481" s="124" t="s">
        <v>479</v>
      </c>
      <c r="O481" s="124" t="s">
        <v>479</v>
      </c>
      <c r="P481" s="21">
        <v>33</v>
      </c>
      <c r="Q481" s="10" t="s">
        <v>54</v>
      </c>
      <c r="R481" s="10" t="s">
        <v>28</v>
      </c>
      <c r="S481" s="10"/>
      <c r="T481" s="10"/>
      <c r="U481" s="10" t="s">
        <v>1214</v>
      </c>
      <c r="V481" s="10" t="s">
        <v>1214</v>
      </c>
      <c r="W481" s="50">
        <f>+J481/$W$2</f>
        <v>2.6249341926994838E-5</v>
      </c>
    </row>
    <row r="482" spans="1:29">
      <c r="A482" s="10" t="s">
        <v>983</v>
      </c>
      <c r="B482" s="10" t="s">
        <v>358</v>
      </c>
      <c r="C482" s="124">
        <v>46337</v>
      </c>
      <c r="D482" s="124" t="s">
        <v>471</v>
      </c>
      <c r="E482" s="21">
        <v>0.99012586999999996</v>
      </c>
      <c r="F482" s="10"/>
      <c r="G482" s="14">
        <v>150000000</v>
      </c>
      <c r="H482" s="14">
        <v>148518880.62</v>
      </c>
      <c r="I482" s="14">
        <v>150000000</v>
      </c>
      <c r="J482" s="14">
        <v>148518880.62</v>
      </c>
      <c r="K482" s="12">
        <v>80</v>
      </c>
      <c r="L482" s="10" t="s">
        <v>101</v>
      </c>
      <c r="M482" s="10" t="s">
        <v>102</v>
      </c>
      <c r="N482" s="124" t="s">
        <v>389</v>
      </c>
      <c r="O482" s="124" t="s">
        <v>389</v>
      </c>
      <c r="P482" s="21">
        <v>28</v>
      </c>
      <c r="Q482" s="10" t="s">
        <v>54</v>
      </c>
      <c r="R482" s="10" t="s">
        <v>28</v>
      </c>
      <c r="S482" s="10"/>
      <c r="T482" s="10"/>
      <c r="U482" s="10" t="s">
        <v>977</v>
      </c>
      <c r="V482" s="10" t="s">
        <v>977</v>
      </c>
      <c r="W482" s="50">
        <f>+J482/$W$2</f>
        <v>1.8176699684464917E-3</v>
      </c>
    </row>
    <row r="483" spans="1:29">
      <c r="A483" s="10" t="s">
        <v>789</v>
      </c>
      <c r="B483" s="10" t="s">
        <v>358</v>
      </c>
      <c r="C483" s="124">
        <v>46337</v>
      </c>
      <c r="D483" s="124" t="s">
        <v>471</v>
      </c>
      <c r="E483" s="21">
        <v>0.98734045000000004</v>
      </c>
      <c r="F483" s="10"/>
      <c r="G483" s="14">
        <v>3140560.45</v>
      </c>
      <c r="H483" s="14">
        <v>3100802.38</v>
      </c>
      <c r="I483" s="14">
        <v>3140560.45</v>
      </c>
      <c r="J483" s="14">
        <v>3100802.38</v>
      </c>
      <c r="K483" s="12">
        <v>1117</v>
      </c>
      <c r="L483" s="10" t="s">
        <v>101</v>
      </c>
      <c r="M483" s="10" t="s">
        <v>102</v>
      </c>
      <c r="N483" s="124" t="s">
        <v>365</v>
      </c>
      <c r="O483" s="124" t="s">
        <v>365</v>
      </c>
      <c r="P483" s="21">
        <v>36</v>
      </c>
      <c r="Q483" s="10" t="s">
        <v>54</v>
      </c>
      <c r="R483" s="10" t="s">
        <v>28</v>
      </c>
      <c r="S483" s="10"/>
      <c r="T483" s="10"/>
      <c r="U483" s="10" t="s">
        <v>1330</v>
      </c>
      <c r="V483" s="10" t="s">
        <v>1330</v>
      </c>
      <c r="W483" s="50">
        <f>+J483/$W$2</f>
        <v>3.7949621897799397E-5</v>
      </c>
    </row>
    <row r="484" spans="1:29">
      <c r="A484" s="10" t="s">
        <v>789</v>
      </c>
      <c r="B484" s="10" t="s">
        <v>358</v>
      </c>
      <c r="C484" s="124">
        <v>46337</v>
      </c>
      <c r="D484" s="124" t="s">
        <v>471</v>
      </c>
      <c r="E484" s="21">
        <v>0.98734043000000005</v>
      </c>
      <c r="F484" s="10"/>
      <c r="G484" s="14">
        <v>3256800.5</v>
      </c>
      <c r="H484" s="14">
        <v>3215570.81</v>
      </c>
      <c r="I484" s="14">
        <v>3256800.5</v>
      </c>
      <c r="J484" s="14">
        <v>3215570.81</v>
      </c>
      <c r="K484" s="12">
        <v>1286</v>
      </c>
      <c r="L484" s="10" t="s">
        <v>101</v>
      </c>
      <c r="M484" s="10" t="s">
        <v>102</v>
      </c>
      <c r="N484" s="124" t="s">
        <v>478</v>
      </c>
      <c r="O484" s="124" t="s">
        <v>478</v>
      </c>
      <c r="P484" s="21">
        <v>36</v>
      </c>
      <c r="Q484" s="10" t="s">
        <v>54</v>
      </c>
      <c r="R484" s="10" t="s">
        <v>28</v>
      </c>
      <c r="S484" s="10"/>
      <c r="T484" s="10"/>
      <c r="U484" s="10" t="s">
        <v>2167</v>
      </c>
      <c r="V484" s="10" t="s">
        <v>2167</v>
      </c>
      <c r="W484" s="50">
        <f>+J484/$W$2</f>
        <v>3.9354232056897654E-5</v>
      </c>
    </row>
    <row r="485" spans="1:29">
      <c r="A485" s="10" t="s">
        <v>789</v>
      </c>
      <c r="B485" s="10" t="s">
        <v>358</v>
      </c>
      <c r="C485" s="124">
        <v>46337</v>
      </c>
      <c r="D485" s="124" t="s">
        <v>471</v>
      </c>
      <c r="E485" s="21">
        <v>0.98734043000000005</v>
      </c>
      <c r="F485" s="10"/>
      <c r="G485" s="14">
        <v>3256800.5</v>
      </c>
      <c r="H485" s="14">
        <v>3215570.81</v>
      </c>
      <c r="I485" s="14">
        <v>3256800.5</v>
      </c>
      <c r="J485" s="14">
        <v>3215570.81</v>
      </c>
      <c r="K485" s="12">
        <v>1287</v>
      </c>
      <c r="L485" s="10" t="s">
        <v>101</v>
      </c>
      <c r="M485" s="10" t="s">
        <v>102</v>
      </c>
      <c r="N485" s="124" t="s">
        <v>478</v>
      </c>
      <c r="O485" s="124" t="s">
        <v>478</v>
      </c>
      <c r="P485" s="21">
        <v>36</v>
      </c>
      <c r="Q485" s="10" t="s">
        <v>54</v>
      </c>
      <c r="R485" s="10" t="s">
        <v>28</v>
      </c>
      <c r="S485" s="10"/>
      <c r="T485" s="10"/>
      <c r="U485" s="10" t="s">
        <v>2169</v>
      </c>
      <c r="V485" s="10" t="s">
        <v>2169</v>
      </c>
      <c r="W485" s="50">
        <f>+J485/$W$2</f>
        <v>3.9354232056897654E-5</v>
      </c>
    </row>
    <row r="486" spans="1:29">
      <c r="A486" s="10" t="s">
        <v>873</v>
      </c>
      <c r="B486" s="10" t="s">
        <v>358</v>
      </c>
      <c r="C486" s="124">
        <v>46337</v>
      </c>
      <c r="D486" s="124" t="s">
        <v>471</v>
      </c>
      <c r="E486" s="21">
        <v>0.98838314000000005</v>
      </c>
      <c r="F486" s="10"/>
      <c r="G486" s="14">
        <v>20000000</v>
      </c>
      <c r="H486" s="14">
        <v>19767662.899999999</v>
      </c>
      <c r="I486" s="14">
        <v>20000000</v>
      </c>
      <c r="J486" s="14">
        <v>19767662.899999999</v>
      </c>
      <c r="K486" s="12">
        <v>40663540</v>
      </c>
      <c r="L486" s="10" t="s">
        <v>101</v>
      </c>
      <c r="M486" s="10" t="s">
        <v>102</v>
      </c>
      <c r="N486" s="124" t="s">
        <v>309</v>
      </c>
      <c r="O486" s="124" t="s">
        <v>309</v>
      </c>
      <c r="P486" s="21">
        <v>33</v>
      </c>
      <c r="Q486" s="10" t="s">
        <v>54</v>
      </c>
      <c r="R486" s="10" t="s">
        <v>28</v>
      </c>
      <c r="S486" s="10"/>
      <c r="T486" s="10"/>
      <c r="U486" s="10" t="s">
        <v>871</v>
      </c>
      <c r="V486" s="10" t="s">
        <v>871</v>
      </c>
      <c r="W486" s="50">
        <f>+J486/$W$2</f>
        <v>2.4192942371843661E-4</v>
      </c>
      <c r="AC486" s="47"/>
    </row>
    <row r="487" spans="1:29">
      <c r="A487" s="10" t="s">
        <v>910</v>
      </c>
      <c r="B487" s="10" t="s">
        <v>358</v>
      </c>
      <c r="C487" s="124">
        <v>46337</v>
      </c>
      <c r="D487" s="124" t="s">
        <v>471</v>
      </c>
      <c r="E487" s="21">
        <v>0.98838313</v>
      </c>
      <c r="F487" s="10"/>
      <c r="G487" s="14">
        <v>8951101</v>
      </c>
      <c r="H487" s="14">
        <v>8847117.2200000007</v>
      </c>
      <c r="I487" s="14">
        <v>8951101</v>
      </c>
      <c r="J487" s="14">
        <v>8847117.2200000007</v>
      </c>
      <c r="K487" s="12">
        <v>14046167</v>
      </c>
      <c r="L487" s="10" t="s">
        <v>101</v>
      </c>
      <c r="M487" s="10" t="s">
        <v>102</v>
      </c>
      <c r="N487" s="124" t="s">
        <v>409</v>
      </c>
      <c r="O487" s="124" t="s">
        <v>409</v>
      </c>
      <c r="P487" s="21">
        <v>33</v>
      </c>
      <c r="Q487" s="10" t="s">
        <v>54</v>
      </c>
      <c r="R487" s="10" t="s">
        <v>28</v>
      </c>
      <c r="S487" s="10"/>
      <c r="T487" s="10"/>
      <c r="U487" s="10" t="s">
        <v>896</v>
      </c>
      <c r="V487" s="10" t="s">
        <v>896</v>
      </c>
      <c r="W487" s="50">
        <f>+J487/$W$2</f>
        <v>1.0827673364482845E-4</v>
      </c>
      <c r="AC487" s="47"/>
    </row>
    <row r="488" spans="1:29">
      <c r="A488" s="10" t="s">
        <v>910</v>
      </c>
      <c r="B488" s="10" t="s">
        <v>358</v>
      </c>
      <c r="C488" s="124">
        <v>46337</v>
      </c>
      <c r="D488" s="124" t="s">
        <v>471</v>
      </c>
      <c r="E488" s="21">
        <v>0.98838311999999995</v>
      </c>
      <c r="F488" s="10"/>
      <c r="G488" s="14">
        <v>7500000</v>
      </c>
      <c r="H488" s="14">
        <v>7412873.4000000004</v>
      </c>
      <c r="I488" s="14">
        <v>7500000</v>
      </c>
      <c r="J488" s="14">
        <v>7412873.4000000004</v>
      </c>
      <c r="K488" s="12">
        <v>14437225</v>
      </c>
      <c r="L488" s="10" t="s">
        <v>101</v>
      </c>
      <c r="M488" s="10" t="s">
        <v>102</v>
      </c>
      <c r="N488" s="124" t="s">
        <v>447</v>
      </c>
      <c r="O488" s="124" t="s">
        <v>447</v>
      </c>
      <c r="P488" s="21">
        <v>33</v>
      </c>
      <c r="Q488" s="10" t="s">
        <v>54</v>
      </c>
      <c r="R488" s="10" t="s">
        <v>28</v>
      </c>
      <c r="S488" s="10"/>
      <c r="T488" s="10"/>
      <c r="U488" s="10" t="s">
        <v>1629</v>
      </c>
      <c r="V488" s="10" t="s">
        <v>1629</v>
      </c>
      <c r="W488" s="50">
        <f>+J488/$W$2</f>
        <v>9.0723531599667652E-5</v>
      </c>
    </row>
    <row r="489" spans="1:29">
      <c r="A489" s="10" t="s">
        <v>1240</v>
      </c>
      <c r="B489" s="10" t="s">
        <v>358</v>
      </c>
      <c r="C489" s="124">
        <v>46337</v>
      </c>
      <c r="D489" s="124" t="s">
        <v>471</v>
      </c>
      <c r="E489" s="21">
        <v>0.98873120000000003</v>
      </c>
      <c r="F489" s="10"/>
      <c r="G489" s="14">
        <v>14627728.42</v>
      </c>
      <c r="H489" s="14">
        <v>14462891.43</v>
      </c>
      <c r="I489" s="14">
        <v>14627728.42</v>
      </c>
      <c r="J489" s="14">
        <v>14462891.43</v>
      </c>
      <c r="K489" s="12">
        <v>69296586</v>
      </c>
      <c r="L489" s="10" t="s">
        <v>101</v>
      </c>
      <c r="M489" s="10" t="s">
        <v>102</v>
      </c>
      <c r="N489" s="124" t="s">
        <v>331</v>
      </c>
      <c r="O489" s="124" t="s">
        <v>331</v>
      </c>
      <c r="P489" s="21">
        <v>32</v>
      </c>
      <c r="Q489" s="10" t="s">
        <v>54</v>
      </c>
      <c r="R489" s="10" t="s">
        <v>28</v>
      </c>
      <c r="S489" s="10"/>
      <c r="T489" s="10"/>
      <c r="U489" s="10" t="s">
        <v>1224</v>
      </c>
      <c r="V489" s="10" t="s">
        <v>1224</v>
      </c>
      <c r="W489" s="50">
        <f>+J489/$W$2</f>
        <v>1.7700620486411754E-4</v>
      </c>
    </row>
    <row r="490" spans="1:29">
      <c r="A490" s="10" t="s">
        <v>318</v>
      </c>
      <c r="B490" s="10" t="s">
        <v>358</v>
      </c>
      <c r="C490" s="124">
        <v>46337</v>
      </c>
      <c r="D490" s="124" t="s">
        <v>471</v>
      </c>
      <c r="E490" s="21">
        <v>0.98873120000000003</v>
      </c>
      <c r="F490" s="10"/>
      <c r="G490" s="14">
        <v>40000000</v>
      </c>
      <c r="H490" s="14">
        <v>39549248.18</v>
      </c>
      <c r="I490" s="14">
        <v>40000000</v>
      </c>
      <c r="J490" s="14">
        <v>39549248.18</v>
      </c>
      <c r="K490" s="12">
        <v>13953440</v>
      </c>
      <c r="L490" s="10" t="s">
        <v>101</v>
      </c>
      <c r="M490" s="10" t="s">
        <v>102</v>
      </c>
      <c r="N490" s="124" t="s">
        <v>309</v>
      </c>
      <c r="O490" s="124" t="s">
        <v>309</v>
      </c>
      <c r="P490" s="21">
        <v>32</v>
      </c>
      <c r="Q490" s="10" t="s">
        <v>54</v>
      </c>
      <c r="R490" s="10" t="s">
        <v>28</v>
      </c>
      <c r="S490" s="10"/>
      <c r="T490" s="10"/>
      <c r="U490" s="10" t="s">
        <v>858</v>
      </c>
      <c r="V490" s="10" t="s">
        <v>858</v>
      </c>
      <c r="W490" s="50">
        <f>+J490/$W$2</f>
        <v>4.8402923851381685E-4</v>
      </c>
    </row>
    <row r="491" spans="1:29">
      <c r="A491" s="10" t="s">
        <v>832</v>
      </c>
      <c r="B491" s="10" t="s">
        <v>358</v>
      </c>
      <c r="C491" s="124">
        <v>46337</v>
      </c>
      <c r="D491" s="124" t="s">
        <v>471</v>
      </c>
      <c r="E491" s="21">
        <v>0.98838287999999996</v>
      </c>
      <c r="F491" s="10"/>
      <c r="G491" s="14">
        <v>3890.81</v>
      </c>
      <c r="H491" s="14">
        <v>3845.61</v>
      </c>
      <c r="I491" s="14">
        <v>3890.81</v>
      </c>
      <c r="J491" s="14">
        <v>3845.61</v>
      </c>
      <c r="K491" s="12">
        <v>121964</v>
      </c>
      <c r="L491" s="10" t="s">
        <v>101</v>
      </c>
      <c r="M491" s="10" t="s">
        <v>102</v>
      </c>
      <c r="N491" s="124" t="s">
        <v>447</v>
      </c>
      <c r="O491" s="124" t="s">
        <v>447</v>
      </c>
      <c r="P491" s="21">
        <v>33</v>
      </c>
      <c r="Q491" s="10" t="s">
        <v>54</v>
      </c>
      <c r="R491" s="10" t="s">
        <v>28</v>
      </c>
      <c r="S491" s="10"/>
      <c r="T491" s="10"/>
      <c r="U491" s="10" t="s">
        <v>1615</v>
      </c>
      <c r="V491" s="10" t="s">
        <v>1615</v>
      </c>
      <c r="W491" s="50">
        <f>+J491/$W$2</f>
        <v>4.7065058517659014E-8</v>
      </c>
    </row>
    <row r="492" spans="1:29">
      <c r="A492" s="10" t="s">
        <v>832</v>
      </c>
      <c r="B492" s="10" t="s">
        <v>358</v>
      </c>
      <c r="C492" s="124">
        <v>46337</v>
      </c>
      <c r="D492" s="124" t="s">
        <v>471</v>
      </c>
      <c r="E492" s="21">
        <v>0.98838285000000003</v>
      </c>
      <c r="F492" s="10"/>
      <c r="G492" s="14">
        <v>28964.94</v>
      </c>
      <c r="H492" s="14">
        <v>28628.45</v>
      </c>
      <c r="I492" s="14">
        <v>28964.94</v>
      </c>
      <c r="J492" s="14">
        <v>28628.45</v>
      </c>
      <c r="K492" s="12">
        <v>121296</v>
      </c>
      <c r="L492" s="10" t="s">
        <v>101</v>
      </c>
      <c r="M492" s="10" t="s">
        <v>102</v>
      </c>
      <c r="N492" s="124" t="s">
        <v>447</v>
      </c>
      <c r="O492" s="124" t="s">
        <v>447</v>
      </c>
      <c r="P492" s="21">
        <v>33</v>
      </c>
      <c r="Q492" s="10" t="s">
        <v>54</v>
      </c>
      <c r="R492" s="10" t="s">
        <v>28</v>
      </c>
      <c r="S492" s="10"/>
      <c r="T492" s="10"/>
      <c r="U492" s="10" t="s">
        <v>1618</v>
      </c>
      <c r="V492" s="10" t="s">
        <v>1618</v>
      </c>
      <c r="W492" s="50">
        <f>+J492/$W$2</f>
        <v>3.5037345818215452E-7</v>
      </c>
    </row>
    <row r="493" spans="1:29">
      <c r="A493" s="10" t="s">
        <v>574</v>
      </c>
      <c r="B493" s="10" t="s">
        <v>358</v>
      </c>
      <c r="C493" s="124">
        <v>46337</v>
      </c>
      <c r="D493" s="124" t="s">
        <v>471</v>
      </c>
      <c r="E493" s="21">
        <v>0.98873120000000003</v>
      </c>
      <c r="F493" s="10"/>
      <c r="G493" s="14">
        <v>200000000</v>
      </c>
      <c r="H493" s="14">
        <v>197746240.96000001</v>
      </c>
      <c r="I493" s="14">
        <v>200000000</v>
      </c>
      <c r="J493" s="14">
        <v>197746240.96000001</v>
      </c>
      <c r="K493" s="12">
        <v>90004114</v>
      </c>
      <c r="L493" s="10" t="s">
        <v>101</v>
      </c>
      <c r="M493" s="10" t="s">
        <v>102</v>
      </c>
      <c r="N493" s="124" t="s">
        <v>162</v>
      </c>
      <c r="O493" s="124" t="s">
        <v>162</v>
      </c>
      <c r="P493" s="21">
        <v>32</v>
      </c>
      <c r="Q493" s="10" t="s">
        <v>54</v>
      </c>
      <c r="R493" s="10" t="s">
        <v>28</v>
      </c>
      <c r="S493" s="10"/>
      <c r="T493" s="10"/>
      <c r="U493" s="10" t="s">
        <v>1282</v>
      </c>
      <c r="V493" s="10" t="s">
        <v>1282</v>
      </c>
      <c r="W493" s="50">
        <f>+J493/$W$2</f>
        <v>2.420146193303403E-3</v>
      </c>
    </row>
    <row r="494" spans="1:29">
      <c r="A494" s="10" t="s">
        <v>884</v>
      </c>
      <c r="B494" s="10" t="s">
        <v>358</v>
      </c>
      <c r="C494" s="124">
        <v>46337</v>
      </c>
      <c r="D494" s="124" t="s">
        <v>471</v>
      </c>
      <c r="E494" s="21">
        <v>0.98942803999999995</v>
      </c>
      <c r="F494" s="10"/>
      <c r="G494" s="14">
        <v>60027851.850000001</v>
      </c>
      <c r="H494" s="14">
        <v>59393239.829999998</v>
      </c>
      <c r="I494" s="14">
        <v>60027851.850000001</v>
      </c>
      <c r="J494" s="14">
        <v>59393239.829999998</v>
      </c>
      <c r="K494" s="12">
        <v>40294868</v>
      </c>
      <c r="L494" s="10" t="s">
        <v>101</v>
      </c>
      <c r="M494" s="10" t="s">
        <v>102</v>
      </c>
      <c r="N494" s="124" t="s">
        <v>486</v>
      </c>
      <c r="O494" s="124" t="s">
        <v>486</v>
      </c>
      <c r="P494" s="21">
        <v>30</v>
      </c>
      <c r="Q494" s="10" t="s">
        <v>54</v>
      </c>
      <c r="R494" s="10" t="s">
        <v>28</v>
      </c>
      <c r="S494" s="10"/>
      <c r="T494" s="10"/>
      <c r="U494" s="10" t="s">
        <v>1451</v>
      </c>
      <c r="V494" s="10" t="s">
        <v>1451</v>
      </c>
      <c r="W494" s="50">
        <f>+J494/$W$2</f>
        <v>7.2689282276473843E-4</v>
      </c>
    </row>
    <row r="495" spans="1:29">
      <c r="A495" s="10" t="s">
        <v>524</v>
      </c>
      <c r="B495" s="10" t="s">
        <v>358</v>
      </c>
      <c r="C495" s="124">
        <v>46337</v>
      </c>
      <c r="D495" s="124" t="s">
        <v>471</v>
      </c>
      <c r="E495" s="21">
        <v>0.98734045000000004</v>
      </c>
      <c r="F495" s="10"/>
      <c r="G495" s="14">
        <v>3256800.5</v>
      </c>
      <c r="H495" s="14">
        <v>3215570.88</v>
      </c>
      <c r="I495" s="14">
        <v>3256800.5</v>
      </c>
      <c r="J495" s="14">
        <v>3215570.88</v>
      </c>
      <c r="K495" s="12">
        <v>505</v>
      </c>
      <c r="L495" s="10" t="s">
        <v>101</v>
      </c>
      <c r="M495" s="10" t="s">
        <v>102</v>
      </c>
      <c r="N495" s="124" t="s">
        <v>161</v>
      </c>
      <c r="O495" s="124" t="s">
        <v>161</v>
      </c>
      <c r="P495" s="21">
        <v>36</v>
      </c>
      <c r="Q495" s="10" t="s">
        <v>54</v>
      </c>
      <c r="R495" s="10" t="s">
        <v>28</v>
      </c>
      <c r="S495" s="10"/>
      <c r="T495" s="10"/>
      <c r="U495" s="10" t="s">
        <v>1057</v>
      </c>
      <c r="V495" s="10" t="s">
        <v>1057</v>
      </c>
      <c r="W495" s="50">
        <f>+J495/$W$2</f>
        <v>3.9354232913602857E-5</v>
      </c>
      <c r="AC495" s="47"/>
    </row>
    <row r="496" spans="1:29">
      <c r="A496" s="10" t="s">
        <v>525</v>
      </c>
      <c r="B496" s="10" t="s">
        <v>358</v>
      </c>
      <c r="C496" s="124">
        <v>46337</v>
      </c>
      <c r="D496" s="124" t="s">
        <v>471</v>
      </c>
      <c r="E496" s="21">
        <v>0.98838314999999999</v>
      </c>
      <c r="F496" s="10"/>
      <c r="G496" s="14">
        <v>1300000</v>
      </c>
      <c r="H496" s="14">
        <v>1284898.0900000001</v>
      </c>
      <c r="I496" s="14">
        <v>1300000</v>
      </c>
      <c r="J496" s="14">
        <v>1284898.0900000001</v>
      </c>
      <c r="K496" s="12">
        <v>558</v>
      </c>
      <c r="L496" s="10" t="s">
        <v>101</v>
      </c>
      <c r="M496" s="10" t="s">
        <v>102</v>
      </c>
      <c r="N496" s="124" t="s">
        <v>162</v>
      </c>
      <c r="O496" s="124" t="s">
        <v>162</v>
      </c>
      <c r="P496" s="21">
        <v>33</v>
      </c>
      <c r="Q496" s="10" t="s">
        <v>54</v>
      </c>
      <c r="R496" s="10" t="s">
        <v>28</v>
      </c>
      <c r="S496" s="10"/>
      <c r="T496" s="10"/>
      <c r="U496" s="10" t="s">
        <v>1264</v>
      </c>
      <c r="V496" s="10" t="s">
        <v>1264</v>
      </c>
      <c r="W496" s="50">
        <f>+J496/$W$2</f>
        <v>1.5725412560056348E-5</v>
      </c>
    </row>
    <row r="497" spans="1:23">
      <c r="A497" s="10" t="s">
        <v>3890</v>
      </c>
      <c r="B497" s="10" t="s">
        <v>358</v>
      </c>
      <c r="C497" s="124">
        <v>46337</v>
      </c>
      <c r="D497" s="124" t="s">
        <v>471</v>
      </c>
      <c r="E497" s="21">
        <v>0.98977705000000005</v>
      </c>
      <c r="F497" s="10"/>
      <c r="G497" s="14">
        <v>1043946.75</v>
      </c>
      <c r="H497" s="14">
        <v>1033274.53</v>
      </c>
      <c r="I497" s="14">
        <v>1043946.75</v>
      </c>
      <c r="J497" s="14">
        <v>1033274.53</v>
      </c>
      <c r="K497" s="12">
        <v>90000259</v>
      </c>
      <c r="L497" s="10" t="s">
        <v>101</v>
      </c>
      <c r="M497" s="10" t="s">
        <v>102</v>
      </c>
      <c r="N497" s="124" t="s">
        <v>474</v>
      </c>
      <c r="O497" s="124" t="s">
        <v>474</v>
      </c>
      <c r="P497" s="21">
        <v>29</v>
      </c>
      <c r="Q497" s="10" t="s">
        <v>54</v>
      </c>
      <c r="R497" s="10" t="s">
        <v>28</v>
      </c>
      <c r="S497" s="10"/>
      <c r="T497" s="10"/>
      <c r="U497" s="10" t="s">
        <v>3865</v>
      </c>
      <c r="V497" s="10" t="s">
        <v>3865</v>
      </c>
      <c r="W497" s="50">
        <f>+J497/$W$2</f>
        <v>1.2645880944572282E-5</v>
      </c>
    </row>
    <row r="498" spans="1:23">
      <c r="A498" s="10" t="s">
        <v>1767</v>
      </c>
      <c r="B498" s="10" t="s">
        <v>358</v>
      </c>
      <c r="C498" s="124">
        <v>46337</v>
      </c>
      <c r="D498" s="124" t="s">
        <v>471</v>
      </c>
      <c r="E498" s="21">
        <v>0.98873118999999998</v>
      </c>
      <c r="F498" s="10"/>
      <c r="G498" s="14">
        <v>445000</v>
      </c>
      <c r="H498" s="14">
        <v>439985.38</v>
      </c>
      <c r="I498" s="14">
        <v>445000</v>
      </c>
      <c r="J498" s="14">
        <v>439985.38</v>
      </c>
      <c r="K498" s="12">
        <v>69609968</v>
      </c>
      <c r="L498" s="10" t="s">
        <v>101</v>
      </c>
      <c r="M498" s="10" t="s">
        <v>102</v>
      </c>
      <c r="N498" s="124" t="s">
        <v>398</v>
      </c>
      <c r="O498" s="124" t="s">
        <v>398</v>
      </c>
      <c r="P498" s="21">
        <v>32</v>
      </c>
      <c r="Q498" s="10" t="s">
        <v>54</v>
      </c>
      <c r="R498" s="10" t="s">
        <v>28</v>
      </c>
      <c r="S498" s="10"/>
      <c r="T498" s="10"/>
      <c r="U498" s="10" t="s">
        <v>1709</v>
      </c>
      <c r="V498" s="10" t="s">
        <v>1709</v>
      </c>
      <c r="W498" s="50">
        <f>+J498/$W$2</f>
        <v>5.3848252050037409E-6</v>
      </c>
    </row>
    <row r="499" spans="1:23">
      <c r="A499" s="10" t="s">
        <v>522</v>
      </c>
      <c r="B499" s="10" t="s">
        <v>358</v>
      </c>
      <c r="C499" s="124">
        <v>46337</v>
      </c>
      <c r="D499" s="124" t="s">
        <v>471</v>
      </c>
      <c r="E499" s="21">
        <v>0.98838316000000004</v>
      </c>
      <c r="F499" s="10"/>
      <c r="G499" s="14">
        <v>70000000</v>
      </c>
      <c r="H499" s="14">
        <v>69186821.379999995</v>
      </c>
      <c r="I499" s="14">
        <v>70000000</v>
      </c>
      <c r="J499" s="14">
        <v>69186821.379999995</v>
      </c>
      <c r="K499" s="12">
        <v>9795700</v>
      </c>
      <c r="L499" s="10" t="s">
        <v>101</v>
      </c>
      <c r="M499" s="10" t="s">
        <v>102</v>
      </c>
      <c r="N499" s="124" t="s">
        <v>439</v>
      </c>
      <c r="O499" s="124" t="s">
        <v>439</v>
      </c>
      <c r="P499" s="21">
        <v>33</v>
      </c>
      <c r="Q499" s="10" t="s">
        <v>54</v>
      </c>
      <c r="R499" s="10" t="s">
        <v>28</v>
      </c>
      <c r="S499" s="10"/>
      <c r="T499" s="10"/>
      <c r="U499" s="10" t="s">
        <v>2284</v>
      </c>
      <c r="V499" s="10" t="s">
        <v>2284</v>
      </c>
      <c r="W499" s="50">
        <f>+J499/$W$2</f>
        <v>8.4675299806806232E-4</v>
      </c>
    </row>
    <row r="500" spans="1:23">
      <c r="A500" s="10" t="s">
        <v>583</v>
      </c>
      <c r="B500" s="10" t="s">
        <v>358</v>
      </c>
      <c r="C500" s="124">
        <v>46337</v>
      </c>
      <c r="D500" s="124" t="s">
        <v>471</v>
      </c>
      <c r="E500" s="21">
        <v>0.98664651000000003</v>
      </c>
      <c r="F500" s="10"/>
      <c r="G500" s="14">
        <v>60000000</v>
      </c>
      <c r="H500" s="14">
        <v>59198790.549999997</v>
      </c>
      <c r="I500" s="14">
        <v>60000000</v>
      </c>
      <c r="J500" s="14">
        <v>59198790.549999997</v>
      </c>
      <c r="K500" s="12">
        <v>70393051</v>
      </c>
      <c r="L500" s="10" t="s">
        <v>101</v>
      </c>
      <c r="M500" s="10" t="s">
        <v>102</v>
      </c>
      <c r="N500" s="124" t="s">
        <v>391</v>
      </c>
      <c r="O500" s="124" t="s">
        <v>391</v>
      </c>
      <c r="P500" s="21">
        <v>38</v>
      </c>
      <c r="Q500" s="10" t="s">
        <v>54</v>
      </c>
      <c r="R500" s="10" t="s">
        <v>28</v>
      </c>
      <c r="S500" s="10"/>
      <c r="T500" s="10"/>
      <c r="U500" s="10" t="s">
        <v>1413</v>
      </c>
      <c r="V500" s="10" t="s">
        <v>1413</v>
      </c>
      <c r="W500" s="50">
        <f>+J500/$W$2</f>
        <v>7.2451302690870604E-4</v>
      </c>
    </row>
    <row r="501" spans="1:23">
      <c r="A501" s="10" t="s">
        <v>583</v>
      </c>
      <c r="B501" s="10" t="s">
        <v>358</v>
      </c>
      <c r="C501" s="124">
        <v>46337</v>
      </c>
      <c r="D501" s="124" t="s">
        <v>471</v>
      </c>
      <c r="E501" s="21">
        <v>0.98664651000000003</v>
      </c>
      <c r="F501" s="10"/>
      <c r="G501" s="14">
        <v>60000000</v>
      </c>
      <c r="H501" s="14">
        <v>59198790.549999997</v>
      </c>
      <c r="I501" s="14">
        <v>60000000</v>
      </c>
      <c r="J501" s="14">
        <v>59198790.549999997</v>
      </c>
      <c r="K501" s="12">
        <v>70393052</v>
      </c>
      <c r="L501" s="10" t="s">
        <v>101</v>
      </c>
      <c r="M501" s="10" t="s">
        <v>102</v>
      </c>
      <c r="N501" s="124" t="s">
        <v>391</v>
      </c>
      <c r="O501" s="124" t="s">
        <v>391</v>
      </c>
      <c r="P501" s="21">
        <v>38</v>
      </c>
      <c r="Q501" s="10" t="s">
        <v>54</v>
      </c>
      <c r="R501" s="10" t="s">
        <v>28</v>
      </c>
      <c r="S501" s="10"/>
      <c r="T501" s="10"/>
      <c r="U501" s="10" t="s">
        <v>1414</v>
      </c>
      <c r="V501" s="10" t="s">
        <v>1414</v>
      </c>
      <c r="W501" s="50">
        <f>+J501/$W$2</f>
        <v>7.2451302690870604E-4</v>
      </c>
    </row>
    <row r="502" spans="1:23">
      <c r="A502" s="10" t="s">
        <v>583</v>
      </c>
      <c r="B502" s="10" t="s">
        <v>358</v>
      </c>
      <c r="C502" s="124">
        <v>46337</v>
      </c>
      <c r="D502" s="124" t="s">
        <v>471</v>
      </c>
      <c r="E502" s="21">
        <v>0.98664651000000003</v>
      </c>
      <c r="F502" s="10"/>
      <c r="G502" s="14">
        <v>30000000</v>
      </c>
      <c r="H502" s="14">
        <v>29599395.280000001</v>
      </c>
      <c r="I502" s="14">
        <v>30000000</v>
      </c>
      <c r="J502" s="14">
        <v>29599395.280000001</v>
      </c>
      <c r="K502" s="12">
        <v>70393077</v>
      </c>
      <c r="L502" s="10" t="s">
        <v>101</v>
      </c>
      <c r="M502" s="10" t="s">
        <v>102</v>
      </c>
      <c r="N502" s="124" t="s">
        <v>391</v>
      </c>
      <c r="O502" s="124" t="s">
        <v>391</v>
      </c>
      <c r="P502" s="21">
        <v>38</v>
      </c>
      <c r="Q502" s="10" t="s">
        <v>54</v>
      </c>
      <c r="R502" s="10" t="s">
        <v>28</v>
      </c>
      <c r="S502" s="10"/>
      <c r="T502" s="10"/>
      <c r="U502" s="10" t="s">
        <v>1418</v>
      </c>
      <c r="V502" s="10" t="s">
        <v>1418</v>
      </c>
      <c r="W502" s="50">
        <f>+J502/$W$2</f>
        <v>3.6225651351554631E-4</v>
      </c>
    </row>
    <row r="503" spans="1:23">
      <c r="A503" s="10" t="s">
        <v>583</v>
      </c>
      <c r="B503" s="10" t="s">
        <v>358</v>
      </c>
      <c r="C503" s="124">
        <v>46337</v>
      </c>
      <c r="D503" s="124" t="s">
        <v>471</v>
      </c>
      <c r="E503" s="21">
        <v>0.98664651000000003</v>
      </c>
      <c r="F503" s="10"/>
      <c r="G503" s="14">
        <v>15000000</v>
      </c>
      <c r="H503" s="14">
        <v>14799697.720000001</v>
      </c>
      <c r="I503" s="14">
        <v>15000000</v>
      </c>
      <c r="J503" s="14">
        <v>14799697.720000001</v>
      </c>
      <c r="K503" s="12">
        <v>70393078</v>
      </c>
      <c r="L503" s="10" t="s">
        <v>101</v>
      </c>
      <c r="M503" s="10" t="s">
        <v>102</v>
      </c>
      <c r="N503" s="124" t="s">
        <v>398</v>
      </c>
      <c r="O503" s="124" t="s">
        <v>398</v>
      </c>
      <c r="P503" s="21">
        <v>38</v>
      </c>
      <c r="Q503" s="10" t="s">
        <v>54</v>
      </c>
      <c r="R503" s="10" t="s">
        <v>28</v>
      </c>
      <c r="S503" s="10"/>
      <c r="T503" s="10"/>
      <c r="U503" s="10" t="s">
        <v>1677</v>
      </c>
      <c r="V503" s="10" t="s">
        <v>1677</v>
      </c>
      <c r="W503" s="50">
        <f>+J503/$W$2</f>
        <v>1.811282577368648E-4</v>
      </c>
    </row>
    <row r="504" spans="1:23">
      <c r="A504" s="10" t="s">
        <v>433</v>
      </c>
      <c r="B504" s="10" t="s">
        <v>358</v>
      </c>
      <c r="C504" s="124">
        <v>46337</v>
      </c>
      <c r="D504" s="124" t="s">
        <v>471</v>
      </c>
      <c r="E504" s="21">
        <v>0.98803532000000005</v>
      </c>
      <c r="F504" s="10"/>
      <c r="G504" s="14">
        <v>10000000</v>
      </c>
      <c r="H504" s="14">
        <v>9880353.1899999995</v>
      </c>
      <c r="I504" s="14">
        <v>10000000</v>
      </c>
      <c r="J504" s="14">
        <v>9880353.1899999995</v>
      </c>
      <c r="K504" s="12">
        <v>14284514</v>
      </c>
      <c r="L504" s="10" t="s">
        <v>101</v>
      </c>
      <c r="M504" s="10" t="s">
        <v>102</v>
      </c>
      <c r="N504" s="124" t="s">
        <v>399</v>
      </c>
      <c r="O504" s="124" t="s">
        <v>399</v>
      </c>
      <c r="P504" s="21">
        <v>34</v>
      </c>
      <c r="Q504" s="10" t="s">
        <v>54</v>
      </c>
      <c r="R504" s="10" t="s">
        <v>28</v>
      </c>
      <c r="S504" s="10"/>
      <c r="T504" s="10"/>
      <c r="U504" s="10" t="s">
        <v>1100</v>
      </c>
      <c r="V504" s="10" t="s">
        <v>1100</v>
      </c>
      <c r="W504" s="50">
        <f>+J504/$W$2</f>
        <v>1.2092214266722025E-4</v>
      </c>
    </row>
    <row r="505" spans="1:23">
      <c r="A505" s="10" t="s">
        <v>433</v>
      </c>
      <c r="B505" s="10" t="s">
        <v>358</v>
      </c>
      <c r="C505" s="124">
        <v>46337</v>
      </c>
      <c r="D505" s="124" t="s">
        <v>471</v>
      </c>
      <c r="E505" s="21">
        <v>0.98838316000000004</v>
      </c>
      <c r="F505" s="10"/>
      <c r="G505" s="14">
        <v>25000000</v>
      </c>
      <c r="H505" s="14">
        <v>24709579.07</v>
      </c>
      <c r="I505" s="14">
        <v>25000000</v>
      </c>
      <c r="J505" s="14">
        <v>24709579.07</v>
      </c>
      <c r="K505" s="12">
        <v>14422594</v>
      </c>
      <c r="L505" s="10" t="s">
        <v>101</v>
      </c>
      <c r="M505" s="10" t="s">
        <v>102</v>
      </c>
      <c r="N505" s="124" t="s">
        <v>365</v>
      </c>
      <c r="O505" s="124" t="s">
        <v>365</v>
      </c>
      <c r="P505" s="21">
        <v>33</v>
      </c>
      <c r="Q505" s="10" t="s">
        <v>54</v>
      </c>
      <c r="R505" s="10" t="s">
        <v>28</v>
      </c>
      <c r="S505" s="10"/>
      <c r="T505" s="10"/>
      <c r="U505" s="10" t="s">
        <v>1345</v>
      </c>
      <c r="V505" s="10" t="s">
        <v>1345</v>
      </c>
      <c r="W505" s="50">
        <f>+J505/$W$2</f>
        <v>3.0241178509424313E-4</v>
      </c>
    </row>
    <row r="506" spans="1:23">
      <c r="A506" s="10" t="s">
        <v>433</v>
      </c>
      <c r="B506" s="10" t="s">
        <v>358</v>
      </c>
      <c r="C506" s="124">
        <v>46337</v>
      </c>
      <c r="D506" s="124" t="s">
        <v>471</v>
      </c>
      <c r="E506" s="21">
        <v>0.98873120000000003</v>
      </c>
      <c r="F506" s="10"/>
      <c r="G506" s="14">
        <v>10000000</v>
      </c>
      <c r="H506" s="14">
        <v>9887312.0399999991</v>
      </c>
      <c r="I506" s="14">
        <v>10000000</v>
      </c>
      <c r="J506" s="14">
        <v>9887312.0399999991</v>
      </c>
      <c r="K506" s="12">
        <v>14422573</v>
      </c>
      <c r="L506" s="10" t="s">
        <v>101</v>
      </c>
      <c r="M506" s="10" t="s">
        <v>102</v>
      </c>
      <c r="N506" s="124" t="s">
        <v>162</v>
      </c>
      <c r="O506" s="124" t="s">
        <v>162</v>
      </c>
      <c r="P506" s="21">
        <v>32</v>
      </c>
      <c r="Q506" s="10" t="s">
        <v>54</v>
      </c>
      <c r="R506" s="10" t="s">
        <v>28</v>
      </c>
      <c r="S506" s="10"/>
      <c r="T506" s="10"/>
      <c r="U506" s="10" t="s">
        <v>1276</v>
      </c>
      <c r="V506" s="10" t="s">
        <v>1276</v>
      </c>
      <c r="W506" s="50">
        <f>+J506/$W$2</f>
        <v>1.2100730956726096E-4</v>
      </c>
    </row>
    <row r="507" spans="1:23">
      <c r="A507" s="10" t="s">
        <v>433</v>
      </c>
      <c r="B507" s="10" t="s">
        <v>358</v>
      </c>
      <c r="C507" s="124">
        <v>46337</v>
      </c>
      <c r="D507" s="124" t="s">
        <v>471</v>
      </c>
      <c r="E507" s="21">
        <v>0.98873122000000002</v>
      </c>
      <c r="F507" s="10"/>
      <c r="G507" s="14">
        <v>10000000</v>
      </c>
      <c r="H507" s="14">
        <v>9887312.2100000009</v>
      </c>
      <c r="I507" s="14">
        <v>10000000</v>
      </c>
      <c r="J507" s="14">
        <v>9887312.2100000009</v>
      </c>
      <c r="K507" s="12">
        <v>14822643</v>
      </c>
      <c r="L507" s="10" t="s">
        <v>101</v>
      </c>
      <c r="M507" s="10" t="s">
        <v>102</v>
      </c>
      <c r="N507" s="124" t="s">
        <v>469</v>
      </c>
      <c r="O507" s="124" t="s">
        <v>469</v>
      </c>
      <c r="P507" s="21">
        <v>32</v>
      </c>
      <c r="Q507" s="10" t="s">
        <v>54</v>
      </c>
      <c r="R507" s="10" t="s">
        <v>28</v>
      </c>
      <c r="S507" s="10"/>
      <c r="T507" s="10"/>
      <c r="U507" s="10" t="s">
        <v>3989</v>
      </c>
      <c r="V507" s="10" t="s">
        <v>3989</v>
      </c>
      <c r="W507" s="50">
        <f>+J507/$W$2</f>
        <v>1.2100731164783077E-4</v>
      </c>
    </row>
    <row r="508" spans="1:23">
      <c r="A508" s="10" t="s">
        <v>621</v>
      </c>
      <c r="B508" s="10" t="s">
        <v>358</v>
      </c>
      <c r="C508" s="124">
        <v>46337</v>
      </c>
      <c r="D508" s="124" t="s">
        <v>471</v>
      </c>
      <c r="E508" s="21">
        <v>0.99047521999999999</v>
      </c>
      <c r="F508" s="10"/>
      <c r="G508" s="14">
        <v>33580000</v>
      </c>
      <c r="H508" s="14">
        <v>33260157.719999999</v>
      </c>
      <c r="I508" s="14">
        <v>33580000</v>
      </c>
      <c r="J508" s="14">
        <v>33260157.719999999</v>
      </c>
      <c r="K508" s="12">
        <v>32241</v>
      </c>
      <c r="L508" s="10" t="s">
        <v>101</v>
      </c>
      <c r="M508" s="10" t="s">
        <v>102</v>
      </c>
      <c r="N508" s="124" t="s">
        <v>397</v>
      </c>
      <c r="O508" s="124" t="s">
        <v>397</v>
      </c>
      <c r="P508" s="21">
        <v>27</v>
      </c>
      <c r="Q508" s="10" t="s">
        <v>54</v>
      </c>
      <c r="R508" s="10" t="s">
        <v>28</v>
      </c>
      <c r="S508" s="10"/>
      <c r="T508" s="10"/>
      <c r="U508" s="10" t="s">
        <v>1858</v>
      </c>
      <c r="V508" s="10" t="s">
        <v>1858</v>
      </c>
      <c r="W508" s="50">
        <f>+J508/$W$2</f>
        <v>4.0705928822693096E-4</v>
      </c>
    </row>
    <row r="509" spans="1:23">
      <c r="A509" s="10" t="s">
        <v>482</v>
      </c>
      <c r="B509" s="10" t="s">
        <v>358</v>
      </c>
      <c r="C509" s="124">
        <v>46337</v>
      </c>
      <c r="D509" s="124" t="s">
        <v>471</v>
      </c>
      <c r="E509" s="21">
        <v>0.98838313</v>
      </c>
      <c r="F509" s="10"/>
      <c r="G509" s="14">
        <v>5448062.4299999997</v>
      </c>
      <c r="H509" s="14">
        <v>5384772.9900000002</v>
      </c>
      <c r="I509" s="14">
        <v>5448062.4299999997</v>
      </c>
      <c r="J509" s="14">
        <v>5384772.9900000002</v>
      </c>
      <c r="K509" s="12">
        <v>90000595</v>
      </c>
      <c r="L509" s="10" t="s">
        <v>101</v>
      </c>
      <c r="M509" s="10" t="s">
        <v>102</v>
      </c>
      <c r="N509" s="124" t="s">
        <v>156</v>
      </c>
      <c r="O509" s="124" t="s">
        <v>156</v>
      </c>
      <c r="P509" s="21">
        <v>33</v>
      </c>
      <c r="Q509" s="10" t="s">
        <v>54</v>
      </c>
      <c r="R509" s="10" t="s">
        <v>28</v>
      </c>
      <c r="S509" s="10"/>
      <c r="T509" s="10"/>
      <c r="U509" s="10" t="s">
        <v>557</v>
      </c>
      <c r="V509" s="10" t="s">
        <v>557</v>
      </c>
      <c r="W509" s="50">
        <f>+J509/$W$2</f>
        <v>6.5902329117788775E-5</v>
      </c>
    </row>
    <row r="510" spans="1:23">
      <c r="A510" s="10" t="s">
        <v>359</v>
      </c>
      <c r="B510" s="10" t="s">
        <v>358</v>
      </c>
      <c r="C510" s="124">
        <v>46337</v>
      </c>
      <c r="D510" s="124" t="s">
        <v>471</v>
      </c>
      <c r="E510" s="21">
        <v>0.98942805</v>
      </c>
      <c r="F510" s="10"/>
      <c r="G510" s="14">
        <v>6000000</v>
      </c>
      <c r="H510" s="14">
        <v>5936568.2699999996</v>
      </c>
      <c r="I510" s="14">
        <v>6000000</v>
      </c>
      <c r="J510" s="14">
        <v>5936568.2699999996</v>
      </c>
      <c r="K510" s="12">
        <v>1365</v>
      </c>
      <c r="L510" s="10" t="s">
        <v>101</v>
      </c>
      <c r="M510" s="10" t="s">
        <v>102</v>
      </c>
      <c r="N510" s="124" t="s">
        <v>445</v>
      </c>
      <c r="O510" s="124" t="s">
        <v>445</v>
      </c>
      <c r="P510" s="21">
        <v>30</v>
      </c>
      <c r="Q510" s="10" t="s">
        <v>54</v>
      </c>
      <c r="R510" s="10" t="s">
        <v>28</v>
      </c>
      <c r="S510" s="10"/>
      <c r="T510" s="10"/>
      <c r="U510" s="10" t="s">
        <v>2851</v>
      </c>
      <c r="V510" s="10" t="s">
        <v>2851</v>
      </c>
      <c r="W510" s="50">
        <f>+J510/$W$2</f>
        <v>7.2655556081253095E-5</v>
      </c>
    </row>
    <row r="511" spans="1:23">
      <c r="A511" s="10" t="s">
        <v>359</v>
      </c>
      <c r="B511" s="10" t="s">
        <v>358</v>
      </c>
      <c r="C511" s="124">
        <v>46337</v>
      </c>
      <c r="D511" s="124" t="s">
        <v>471</v>
      </c>
      <c r="E511" s="21">
        <v>0.98942810000000003</v>
      </c>
      <c r="F511" s="10"/>
      <c r="G511" s="14">
        <v>5000000</v>
      </c>
      <c r="H511" s="14">
        <v>4947140.49</v>
      </c>
      <c r="I511" s="14">
        <v>5000000</v>
      </c>
      <c r="J511" s="14">
        <v>4947140.49</v>
      </c>
      <c r="K511" s="12">
        <v>1348</v>
      </c>
      <c r="L511" s="10" t="s">
        <v>101</v>
      </c>
      <c r="M511" s="10" t="s">
        <v>102</v>
      </c>
      <c r="N511" s="124" t="s">
        <v>603</v>
      </c>
      <c r="O511" s="124" t="s">
        <v>603</v>
      </c>
      <c r="P511" s="21">
        <v>30</v>
      </c>
      <c r="Q511" s="10" t="s">
        <v>54</v>
      </c>
      <c r="R511" s="10" t="s">
        <v>28</v>
      </c>
      <c r="S511" s="10"/>
      <c r="T511" s="10"/>
      <c r="U511" s="10" t="s">
        <v>2626</v>
      </c>
      <c r="V511" s="10" t="s">
        <v>2626</v>
      </c>
      <c r="W511" s="50">
        <f>+J511/$W$2</f>
        <v>6.0546299977618706E-5</v>
      </c>
    </row>
    <row r="512" spans="1:23">
      <c r="A512" s="10" t="s">
        <v>359</v>
      </c>
      <c r="B512" s="10" t="s">
        <v>358</v>
      </c>
      <c r="C512" s="124">
        <v>46337</v>
      </c>
      <c r="D512" s="124" t="s">
        <v>471</v>
      </c>
      <c r="E512" s="21">
        <v>0.98942810000000003</v>
      </c>
      <c r="F512" s="10"/>
      <c r="G512" s="14">
        <v>4500000</v>
      </c>
      <c r="H512" s="14">
        <v>4452426.43</v>
      </c>
      <c r="I512" s="14">
        <v>4500000</v>
      </c>
      <c r="J512" s="14">
        <v>4452426.43</v>
      </c>
      <c r="K512" s="12">
        <v>1301</v>
      </c>
      <c r="L512" s="10" t="s">
        <v>101</v>
      </c>
      <c r="M512" s="10" t="s">
        <v>102</v>
      </c>
      <c r="N512" s="124" t="s">
        <v>576</v>
      </c>
      <c r="O512" s="124" t="s">
        <v>576</v>
      </c>
      <c r="P512" s="21">
        <v>30</v>
      </c>
      <c r="Q512" s="10" t="s">
        <v>54</v>
      </c>
      <c r="R512" s="10" t="s">
        <v>28</v>
      </c>
      <c r="S512" s="10"/>
      <c r="T512" s="10"/>
      <c r="U512" s="10" t="s">
        <v>2342</v>
      </c>
      <c r="V512" s="10" t="s">
        <v>2342</v>
      </c>
      <c r="W512" s="50">
        <f>+J512/$W$2</f>
        <v>5.4491669845231729E-5</v>
      </c>
    </row>
    <row r="513" spans="1:29">
      <c r="A513" s="10" t="s">
        <v>359</v>
      </c>
      <c r="B513" s="10" t="s">
        <v>358</v>
      </c>
      <c r="C513" s="124">
        <v>46337</v>
      </c>
      <c r="D513" s="124" t="s">
        <v>471</v>
      </c>
      <c r="E513" s="21">
        <v>0.98942810000000003</v>
      </c>
      <c r="F513" s="10"/>
      <c r="G513" s="14">
        <v>4500000</v>
      </c>
      <c r="H513" s="14">
        <v>4452426.43</v>
      </c>
      <c r="I513" s="14">
        <v>4500000</v>
      </c>
      <c r="J513" s="14">
        <v>4452426.43</v>
      </c>
      <c r="K513" s="12">
        <v>1302</v>
      </c>
      <c r="L513" s="10" t="s">
        <v>101</v>
      </c>
      <c r="M513" s="10" t="s">
        <v>102</v>
      </c>
      <c r="N513" s="124" t="s">
        <v>576</v>
      </c>
      <c r="O513" s="124" t="s">
        <v>576</v>
      </c>
      <c r="P513" s="21">
        <v>30</v>
      </c>
      <c r="Q513" s="10" t="s">
        <v>54</v>
      </c>
      <c r="R513" s="10" t="s">
        <v>28</v>
      </c>
      <c r="S513" s="10"/>
      <c r="T513" s="10"/>
      <c r="U513" s="10" t="s">
        <v>2343</v>
      </c>
      <c r="V513" s="10" t="s">
        <v>2343</v>
      </c>
      <c r="W513" s="50">
        <f>+J513/$W$2</f>
        <v>5.4491669845231729E-5</v>
      </c>
    </row>
    <row r="514" spans="1:29">
      <c r="A514" s="10" t="s">
        <v>359</v>
      </c>
      <c r="B514" s="10" t="s">
        <v>358</v>
      </c>
      <c r="C514" s="124">
        <v>46337</v>
      </c>
      <c r="D514" s="124" t="s">
        <v>471</v>
      </c>
      <c r="E514" s="21">
        <v>0.98942803999999995</v>
      </c>
      <c r="F514" s="10"/>
      <c r="G514" s="14">
        <v>5000000</v>
      </c>
      <c r="H514" s="14">
        <v>4947140.1900000004</v>
      </c>
      <c r="I514" s="14">
        <v>5000000</v>
      </c>
      <c r="J514" s="14">
        <v>4947140.1900000004</v>
      </c>
      <c r="K514" s="12">
        <v>1306</v>
      </c>
      <c r="L514" s="10" t="s">
        <v>101</v>
      </c>
      <c r="M514" s="10" t="s">
        <v>102</v>
      </c>
      <c r="N514" s="124" t="s">
        <v>477</v>
      </c>
      <c r="O514" s="124" t="s">
        <v>477</v>
      </c>
      <c r="P514" s="21">
        <v>30</v>
      </c>
      <c r="Q514" s="10" t="s">
        <v>54</v>
      </c>
      <c r="R514" s="10" t="s">
        <v>28</v>
      </c>
      <c r="S514" s="10"/>
      <c r="T514" s="10"/>
      <c r="U514" s="10" t="s">
        <v>2404</v>
      </c>
      <c r="V514" s="10" t="s">
        <v>2404</v>
      </c>
      <c r="W514" s="50">
        <f>+J514/$W$2</f>
        <v>6.0546296306024983E-5</v>
      </c>
    </row>
    <row r="515" spans="1:29">
      <c r="A515" s="10" t="s">
        <v>359</v>
      </c>
      <c r="B515" s="10" t="s">
        <v>358</v>
      </c>
      <c r="C515" s="124">
        <v>46337</v>
      </c>
      <c r="D515" s="124" t="s">
        <v>471</v>
      </c>
      <c r="E515" s="21">
        <v>0.98942803999999995</v>
      </c>
      <c r="F515" s="10"/>
      <c r="G515" s="14">
        <v>5000000</v>
      </c>
      <c r="H515" s="14">
        <v>4947140.1900000004</v>
      </c>
      <c r="I515" s="14">
        <v>5000000</v>
      </c>
      <c r="J515" s="14">
        <v>4947140.1900000004</v>
      </c>
      <c r="K515" s="12">
        <v>1305</v>
      </c>
      <c r="L515" s="10" t="s">
        <v>101</v>
      </c>
      <c r="M515" s="10" t="s">
        <v>102</v>
      </c>
      <c r="N515" s="124" t="s">
        <v>477</v>
      </c>
      <c r="O515" s="124" t="s">
        <v>477</v>
      </c>
      <c r="P515" s="21">
        <v>30</v>
      </c>
      <c r="Q515" s="10" t="s">
        <v>54</v>
      </c>
      <c r="R515" s="10" t="s">
        <v>28</v>
      </c>
      <c r="S515" s="10"/>
      <c r="T515" s="10"/>
      <c r="U515" s="10" t="s">
        <v>2405</v>
      </c>
      <c r="V515" s="10" t="s">
        <v>2405</v>
      </c>
      <c r="W515" s="50">
        <f>+J515/$W$2</f>
        <v>6.0546296306024983E-5</v>
      </c>
    </row>
    <row r="516" spans="1:29">
      <c r="A516" s="10" t="s">
        <v>359</v>
      </c>
      <c r="B516" s="10" t="s">
        <v>358</v>
      </c>
      <c r="C516" s="124">
        <v>46337</v>
      </c>
      <c r="D516" s="124" t="s">
        <v>471</v>
      </c>
      <c r="E516" s="21">
        <v>0.98942808000000004</v>
      </c>
      <c r="F516" s="10"/>
      <c r="G516" s="14">
        <v>4250000</v>
      </c>
      <c r="H516" s="14">
        <v>4205069.32</v>
      </c>
      <c r="I516" s="14">
        <v>4250000</v>
      </c>
      <c r="J516" s="14">
        <v>4205069.32</v>
      </c>
      <c r="K516" s="12">
        <v>1329</v>
      </c>
      <c r="L516" s="10" t="s">
        <v>101</v>
      </c>
      <c r="M516" s="10" t="s">
        <v>102</v>
      </c>
      <c r="N516" s="124" t="s">
        <v>464</v>
      </c>
      <c r="O516" s="124" t="s">
        <v>464</v>
      </c>
      <c r="P516" s="21">
        <v>30</v>
      </c>
      <c r="Q516" s="10" t="s">
        <v>54</v>
      </c>
      <c r="R516" s="10" t="s">
        <v>28</v>
      </c>
      <c r="S516" s="10"/>
      <c r="T516" s="10"/>
      <c r="U516" s="10" t="s">
        <v>2554</v>
      </c>
      <c r="V516" s="10" t="s">
        <v>2554</v>
      </c>
      <c r="W516" s="50">
        <f>+J516/$W$2</f>
        <v>5.1464353799946589E-5</v>
      </c>
    </row>
    <row r="517" spans="1:29">
      <c r="A517" s="10" t="s">
        <v>377</v>
      </c>
      <c r="B517" s="10" t="s">
        <v>358</v>
      </c>
      <c r="C517" s="124">
        <v>46337</v>
      </c>
      <c r="D517" s="124" t="s">
        <v>471</v>
      </c>
      <c r="E517" s="21">
        <v>0.98873116999999999</v>
      </c>
      <c r="F517" s="10"/>
      <c r="G517" s="14">
        <v>20000000</v>
      </c>
      <c r="H517" s="14">
        <v>19774623.5</v>
      </c>
      <c r="I517" s="14">
        <v>20000000</v>
      </c>
      <c r="J517" s="14">
        <v>19774623.5</v>
      </c>
      <c r="K517" s="12">
        <v>736</v>
      </c>
      <c r="L517" s="10" t="s">
        <v>101</v>
      </c>
      <c r="M517" s="10" t="s">
        <v>102</v>
      </c>
      <c r="N517" s="124" t="s">
        <v>408</v>
      </c>
      <c r="O517" s="124" t="s">
        <v>408</v>
      </c>
      <c r="P517" s="21">
        <v>32</v>
      </c>
      <c r="Q517" s="10" t="s">
        <v>54</v>
      </c>
      <c r="R517" s="10" t="s">
        <v>28</v>
      </c>
      <c r="S517" s="10"/>
      <c r="T517" s="10"/>
      <c r="U517" s="10" t="s">
        <v>2034</v>
      </c>
      <c r="V517" s="10" t="s">
        <v>2034</v>
      </c>
      <c r="W517" s="50">
        <f>+J517/$W$2</f>
        <v>2.4201461203610743E-4</v>
      </c>
    </row>
    <row r="518" spans="1:29">
      <c r="A518" s="10" t="s">
        <v>377</v>
      </c>
      <c r="B518" s="10" t="s">
        <v>358</v>
      </c>
      <c r="C518" s="124">
        <v>46337</v>
      </c>
      <c r="D518" s="124" t="s">
        <v>471</v>
      </c>
      <c r="E518" s="21">
        <v>0.98873116999999999</v>
      </c>
      <c r="F518" s="10"/>
      <c r="G518" s="14">
        <v>20000000</v>
      </c>
      <c r="H518" s="14">
        <v>19774623.5</v>
      </c>
      <c r="I518" s="14">
        <v>20000000</v>
      </c>
      <c r="J518" s="14">
        <v>19774623.5</v>
      </c>
      <c r="K518" s="12">
        <v>733</v>
      </c>
      <c r="L518" s="10" t="s">
        <v>101</v>
      </c>
      <c r="M518" s="10" t="s">
        <v>102</v>
      </c>
      <c r="N518" s="124" t="s">
        <v>408</v>
      </c>
      <c r="O518" s="124" t="s">
        <v>408</v>
      </c>
      <c r="P518" s="21">
        <v>32</v>
      </c>
      <c r="Q518" s="10" t="s">
        <v>54</v>
      </c>
      <c r="R518" s="10" t="s">
        <v>28</v>
      </c>
      <c r="S518" s="10"/>
      <c r="T518" s="10"/>
      <c r="U518" s="10" t="s">
        <v>2035</v>
      </c>
      <c r="V518" s="10" t="s">
        <v>2035</v>
      </c>
      <c r="W518" s="50">
        <f>+J518/$W$2</f>
        <v>2.4201461203610743E-4</v>
      </c>
      <c r="AC518" s="47"/>
    </row>
    <row r="519" spans="1:29">
      <c r="A519" s="10" t="s">
        <v>143</v>
      </c>
      <c r="B519" s="10" t="s">
        <v>358</v>
      </c>
      <c r="C519" s="124">
        <v>46337</v>
      </c>
      <c r="D519" s="124" t="s">
        <v>471</v>
      </c>
      <c r="E519" s="21">
        <v>0.98942806999999999</v>
      </c>
      <c r="F519" s="10"/>
      <c r="G519" s="14">
        <v>100000000</v>
      </c>
      <c r="H519" s="14">
        <v>98942807.430000007</v>
      </c>
      <c r="I519" s="14">
        <v>100000000</v>
      </c>
      <c r="J519" s="14">
        <v>98942807.430000007</v>
      </c>
      <c r="K519" s="12">
        <v>90004129</v>
      </c>
      <c r="L519" s="10" t="s">
        <v>101</v>
      </c>
      <c r="M519" s="10" t="s">
        <v>102</v>
      </c>
      <c r="N519" s="124" t="s">
        <v>365</v>
      </c>
      <c r="O519" s="124" t="s">
        <v>365</v>
      </c>
      <c r="P519" s="21">
        <v>30</v>
      </c>
      <c r="Q519" s="10" t="s">
        <v>54</v>
      </c>
      <c r="R519" s="10" t="s">
        <v>28</v>
      </c>
      <c r="S519" s="10"/>
      <c r="T519" s="10"/>
      <c r="U519" s="10" t="s">
        <v>1360</v>
      </c>
      <c r="V519" s="10" t="s">
        <v>1360</v>
      </c>
      <c r="W519" s="50">
        <f>+J519/$W$2</f>
        <v>1.2109259705467838E-3</v>
      </c>
    </row>
    <row r="520" spans="1:29">
      <c r="A520" s="10" t="s">
        <v>143</v>
      </c>
      <c r="B520" s="10" t="s">
        <v>358</v>
      </c>
      <c r="C520" s="124">
        <v>46337</v>
      </c>
      <c r="D520" s="124" t="s">
        <v>471</v>
      </c>
      <c r="E520" s="21">
        <v>0.98942806999999999</v>
      </c>
      <c r="F520" s="10"/>
      <c r="G520" s="14">
        <v>100000000</v>
      </c>
      <c r="H520" s="14">
        <v>98942807.430000007</v>
      </c>
      <c r="I520" s="14">
        <v>100000000</v>
      </c>
      <c r="J520" s="14">
        <v>98942807.430000007</v>
      </c>
      <c r="K520" s="12">
        <v>90004130</v>
      </c>
      <c r="L520" s="10" t="s">
        <v>101</v>
      </c>
      <c r="M520" s="10" t="s">
        <v>102</v>
      </c>
      <c r="N520" s="124" t="s">
        <v>365</v>
      </c>
      <c r="O520" s="124" t="s">
        <v>365</v>
      </c>
      <c r="P520" s="21">
        <v>30</v>
      </c>
      <c r="Q520" s="10" t="s">
        <v>54</v>
      </c>
      <c r="R520" s="10" t="s">
        <v>28</v>
      </c>
      <c r="S520" s="10"/>
      <c r="T520" s="10"/>
      <c r="U520" s="10" t="s">
        <v>1362</v>
      </c>
      <c r="V520" s="10" t="s">
        <v>1362</v>
      </c>
      <c r="W520" s="50">
        <f>+J520/$W$2</f>
        <v>1.2109259705467838E-3</v>
      </c>
    </row>
    <row r="521" spans="1:29">
      <c r="A521" s="10" t="s">
        <v>271</v>
      </c>
      <c r="B521" s="10" t="s">
        <v>358</v>
      </c>
      <c r="C521" s="124">
        <v>46337</v>
      </c>
      <c r="D521" s="124" t="s">
        <v>471</v>
      </c>
      <c r="E521" s="21">
        <v>0.98942806000000005</v>
      </c>
      <c r="F521" s="10"/>
      <c r="G521" s="14">
        <v>10000000</v>
      </c>
      <c r="H521" s="14">
        <v>9894280.5700000003</v>
      </c>
      <c r="I521" s="14">
        <v>10000000</v>
      </c>
      <c r="J521" s="14">
        <v>9894280.5700000003</v>
      </c>
      <c r="K521" s="12">
        <v>68856220</v>
      </c>
      <c r="L521" s="10" t="s">
        <v>101</v>
      </c>
      <c r="M521" s="10" t="s">
        <v>102</v>
      </c>
      <c r="N521" s="124" t="s">
        <v>310</v>
      </c>
      <c r="O521" s="124" t="s">
        <v>310</v>
      </c>
      <c r="P521" s="21">
        <v>30</v>
      </c>
      <c r="Q521" s="10" t="s">
        <v>54</v>
      </c>
      <c r="R521" s="10" t="s">
        <v>28</v>
      </c>
      <c r="S521" s="10"/>
      <c r="T521" s="10"/>
      <c r="U521" s="10" t="s">
        <v>1025</v>
      </c>
      <c r="V521" s="10" t="s">
        <v>1025</v>
      </c>
      <c r="W521" s="50">
        <f>+J521/$W$2</f>
        <v>1.2109259493739266E-4</v>
      </c>
    </row>
    <row r="522" spans="1:29">
      <c r="A522" s="10" t="s">
        <v>271</v>
      </c>
      <c r="B522" s="10" t="s">
        <v>358</v>
      </c>
      <c r="C522" s="124">
        <v>46337</v>
      </c>
      <c r="D522" s="124" t="s">
        <v>471</v>
      </c>
      <c r="E522" s="21">
        <v>0.98942806000000005</v>
      </c>
      <c r="F522" s="10"/>
      <c r="G522" s="14">
        <v>11000000</v>
      </c>
      <c r="H522" s="14">
        <v>10883708.609999999</v>
      </c>
      <c r="I522" s="14">
        <v>11000000</v>
      </c>
      <c r="J522" s="14">
        <v>10883708.609999999</v>
      </c>
      <c r="K522" s="12">
        <v>10679146</v>
      </c>
      <c r="L522" s="10" t="s">
        <v>101</v>
      </c>
      <c r="M522" s="10" t="s">
        <v>102</v>
      </c>
      <c r="N522" s="124" t="s">
        <v>310</v>
      </c>
      <c r="O522" s="124" t="s">
        <v>310</v>
      </c>
      <c r="P522" s="21">
        <v>30</v>
      </c>
      <c r="Q522" s="10" t="s">
        <v>54</v>
      </c>
      <c r="R522" s="10" t="s">
        <v>28</v>
      </c>
      <c r="S522" s="10"/>
      <c r="T522" s="10"/>
      <c r="U522" s="10" t="s">
        <v>1027</v>
      </c>
      <c r="V522" s="10" t="s">
        <v>1027</v>
      </c>
      <c r="W522" s="50">
        <f>+J522/$W$2</f>
        <v>1.3320185422307493E-4</v>
      </c>
    </row>
    <row r="523" spans="1:29">
      <c r="A523" s="10" t="s">
        <v>271</v>
      </c>
      <c r="B523" s="10" t="s">
        <v>358</v>
      </c>
      <c r="C523" s="124">
        <v>46337</v>
      </c>
      <c r="D523" s="124" t="s">
        <v>471</v>
      </c>
      <c r="E523" s="21">
        <v>0.99012588999999995</v>
      </c>
      <c r="F523" s="10"/>
      <c r="G523" s="14">
        <v>60000000</v>
      </c>
      <c r="H523" s="14">
        <v>59407553.299999997</v>
      </c>
      <c r="I523" s="14">
        <v>60000000</v>
      </c>
      <c r="J523" s="14">
        <v>59407553.299999997</v>
      </c>
      <c r="K523" s="12">
        <v>100</v>
      </c>
      <c r="L523" s="10" t="s">
        <v>101</v>
      </c>
      <c r="M523" s="10" t="s">
        <v>102</v>
      </c>
      <c r="N523" s="124" t="s">
        <v>313</v>
      </c>
      <c r="O523" s="124" t="s">
        <v>313</v>
      </c>
      <c r="P523" s="21">
        <v>28</v>
      </c>
      <c r="Q523" s="10" t="s">
        <v>54</v>
      </c>
      <c r="R523" s="10" t="s">
        <v>28</v>
      </c>
      <c r="S523" s="10"/>
      <c r="T523" s="10"/>
      <c r="U523" s="10" t="s">
        <v>737</v>
      </c>
      <c r="V523" s="10" t="s">
        <v>737</v>
      </c>
      <c r="W523" s="50">
        <f>+J523/$W$2</f>
        <v>7.2706800025365201E-4</v>
      </c>
    </row>
    <row r="524" spans="1:29">
      <c r="A524" s="10" t="s">
        <v>271</v>
      </c>
      <c r="B524" s="10" t="s">
        <v>358</v>
      </c>
      <c r="C524" s="124">
        <v>46337</v>
      </c>
      <c r="D524" s="124" t="s">
        <v>471</v>
      </c>
      <c r="E524" s="21">
        <v>0.99047516000000002</v>
      </c>
      <c r="F524" s="10"/>
      <c r="G524" s="14">
        <v>10000000</v>
      </c>
      <c r="H524" s="14">
        <v>9904751.6199999992</v>
      </c>
      <c r="I524" s="14">
        <v>10000000</v>
      </c>
      <c r="J524" s="14">
        <v>9904751.6199999992</v>
      </c>
      <c r="K524" s="12">
        <v>2014</v>
      </c>
      <c r="L524" s="10" t="s">
        <v>101</v>
      </c>
      <c r="M524" s="10" t="s">
        <v>102</v>
      </c>
      <c r="N524" s="124" t="s">
        <v>370</v>
      </c>
      <c r="O524" s="124" t="s">
        <v>370</v>
      </c>
      <c r="P524" s="21">
        <v>27</v>
      </c>
      <c r="Q524" s="10" t="s">
        <v>54</v>
      </c>
      <c r="R524" s="10" t="s">
        <v>28</v>
      </c>
      <c r="S524" s="10"/>
      <c r="T524" s="10"/>
      <c r="U524" s="10" t="s">
        <v>674</v>
      </c>
      <c r="V524" s="10" t="s">
        <v>674</v>
      </c>
      <c r="W524" s="50">
        <f>+J524/$W$2</f>
        <v>1.2122074640906849E-4</v>
      </c>
    </row>
    <row r="525" spans="1:29">
      <c r="A525" s="10" t="s">
        <v>2320</v>
      </c>
      <c r="B525" s="10" t="s">
        <v>358</v>
      </c>
      <c r="C525" s="124">
        <v>46337</v>
      </c>
      <c r="D525" s="124" t="s">
        <v>471</v>
      </c>
      <c r="E525" s="21">
        <v>0.99117451000000001</v>
      </c>
      <c r="F525" s="10"/>
      <c r="G525" s="14">
        <v>18000000</v>
      </c>
      <c r="H525" s="14">
        <v>17841141.210000001</v>
      </c>
      <c r="I525" s="14">
        <v>18000000</v>
      </c>
      <c r="J525" s="14">
        <v>17841141.210000001</v>
      </c>
      <c r="K525" s="12">
        <v>90025470</v>
      </c>
      <c r="L525" s="10" t="s">
        <v>101</v>
      </c>
      <c r="M525" s="10" t="s">
        <v>102</v>
      </c>
      <c r="N525" s="124" t="s">
        <v>439</v>
      </c>
      <c r="O525" s="124" t="s">
        <v>439</v>
      </c>
      <c r="P525" s="21">
        <v>25</v>
      </c>
      <c r="Q525" s="10" t="s">
        <v>54</v>
      </c>
      <c r="R525" s="10" t="s">
        <v>28</v>
      </c>
      <c r="S525" s="10"/>
      <c r="T525" s="10"/>
      <c r="U525" s="10" t="s">
        <v>2239</v>
      </c>
      <c r="V525" s="10" t="s">
        <v>2239</v>
      </c>
      <c r="W525" s="50">
        <f>+J525/$W$2</f>
        <v>2.1835140720730071E-4</v>
      </c>
    </row>
    <row r="526" spans="1:29">
      <c r="A526" s="10" t="s">
        <v>270</v>
      </c>
      <c r="B526" s="10" t="s">
        <v>358</v>
      </c>
      <c r="C526" s="124">
        <v>46337</v>
      </c>
      <c r="D526" s="124" t="s">
        <v>471</v>
      </c>
      <c r="E526" s="21">
        <v>0.98977683000000005</v>
      </c>
      <c r="F526" s="10"/>
      <c r="G526" s="14">
        <v>5109127.71</v>
      </c>
      <c r="H526" s="14">
        <v>5056896.22</v>
      </c>
      <c r="I526" s="14">
        <v>5109127.71</v>
      </c>
      <c r="J526" s="14">
        <v>5056896.22</v>
      </c>
      <c r="K526" s="12">
        <v>90000654</v>
      </c>
      <c r="L526" s="10" t="s">
        <v>101</v>
      </c>
      <c r="M526" s="10" t="s">
        <v>102</v>
      </c>
      <c r="N526" s="124" t="s">
        <v>333</v>
      </c>
      <c r="O526" s="124" t="s">
        <v>333</v>
      </c>
      <c r="P526" s="21">
        <v>29</v>
      </c>
      <c r="Q526" s="10" t="s">
        <v>54</v>
      </c>
      <c r="R526" s="10" t="s">
        <v>28</v>
      </c>
      <c r="S526" s="10"/>
      <c r="T526" s="10"/>
      <c r="U526" s="10" t="s">
        <v>647</v>
      </c>
      <c r="V526" s="10" t="s">
        <v>647</v>
      </c>
      <c r="W526" s="50">
        <f>+J526/$W$2</f>
        <v>6.1889561477120308E-5</v>
      </c>
    </row>
    <row r="527" spans="1:29">
      <c r="A527" s="10" t="s">
        <v>359</v>
      </c>
      <c r="B527" s="10" t="s">
        <v>358</v>
      </c>
      <c r="C527" s="124">
        <v>46337</v>
      </c>
      <c r="D527" s="124" t="s">
        <v>471</v>
      </c>
      <c r="E527" s="21">
        <v>0.98942803999999995</v>
      </c>
      <c r="F527" s="10"/>
      <c r="G527" s="14">
        <v>5000000</v>
      </c>
      <c r="H527" s="14">
        <v>4947140.21</v>
      </c>
      <c r="I527" s="14">
        <v>5000000</v>
      </c>
      <c r="J527" s="14">
        <v>4947140.21</v>
      </c>
      <c r="K527" s="12">
        <v>1250</v>
      </c>
      <c r="L527" s="10" t="s">
        <v>101</v>
      </c>
      <c r="M527" s="10" t="s">
        <v>102</v>
      </c>
      <c r="N527" s="124" t="s">
        <v>449</v>
      </c>
      <c r="O527" s="124" t="s">
        <v>449</v>
      </c>
      <c r="P527" s="21">
        <v>30</v>
      </c>
      <c r="Q527" s="10" t="s">
        <v>54</v>
      </c>
      <c r="R527" s="10" t="s">
        <v>28</v>
      </c>
      <c r="S527" s="10"/>
      <c r="T527" s="10"/>
      <c r="U527" s="10" t="s">
        <v>1951</v>
      </c>
      <c r="V527" s="10" t="s">
        <v>1951</v>
      </c>
      <c r="W527" s="50">
        <f>+J527/$W$2</f>
        <v>6.0546296550797894E-5</v>
      </c>
    </row>
    <row r="528" spans="1:29">
      <c r="A528" s="10" t="s">
        <v>359</v>
      </c>
      <c r="B528" s="10" t="s">
        <v>358</v>
      </c>
      <c r="C528" s="124">
        <v>46337</v>
      </c>
      <c r="D528" s="124" t="s">
        <v>471</v>
      </c>
      <c r="E528" s="21">
        <v>0.98873120000000003</v>
      </c>
      <c r="F528" s="10"/>
      <c r="G528" s="14">
        <v>3000000</v>
      </c>
      <c r="H528" s="14">
        <v>2966193.61</v>
      </c>
      <c r="I528" s="14">
        <v>3000000</v>
      </c>
      <c r="J528" s="14">
        <v>2966193.61</v>
      </c>
      <c r="K528" s="12">
        <v>1052</v>
      </c>
      <c r="L528" s="10" t="s">
        <v>101</v>
      </c>
      <c r="M528" s="10" t="s">
        <v>102</v>
      </c>
      <c r="N528" s="124" t="s">
        <v>373</v>
      </c>
      <c r="O528" s="124" t="s">
        <v>373</v>
      </c>
      <c r="P528" s="21">
        <v>32</v>
      </c>
      <c r="Q528" s="10" t="s">
        <v>54</v>
      </c>
      <c r="R528" s="10" t="s">
        <v>28</v>
      </c>
      <c r="S528" s="10"/>
      <c r="T528" s="10"/>
      <c r="U528" s="10" t="s">
        <v>1136</v>
      </c>
      <c r="V528" s="10" t="s">
        <v>1136</v>
      </c>
      <c r="W528" s="50">
        <f>+J528/$W$2</f>
        <v>3.6302192845701002E-5</v>
      </c>
    </row>
    <row r="529" spans="1:29">
      <c r="A529" s="10" t="s">
        <v>359</v>
      </c>
      <c r="B529" s="10" t="s">
        <v>358</v>
      </c>
      <c r="C529" s="124">
        <v>46337</v>
      </c>
      <c r="D529" s="124" t="s">
        <v>471</v>
      </c>
      <c r="E529" s="21">
        <v>0.98873120000000003</v>
      </c>
      <c r="F529" s="10"/>
      <c r="G529" s="14">
        <v>3000000</v>
      </c>
      <c r="H529" s="14">
        <v>2966193.61</v>
      </c>
      <c r="I529" s="14">
        <v>3000000</v>
      </c>
      <c r="J529" s="14">
        <v>2966193.61</v>
      </c>
      <c r="K529" s="12">
        <v>1053</v>
      </c>
      <c r="L529" s="10" t="s">
        <v>101</v>
      </c>
      <c r="M529" s="10" t="s">
        <v>102</v>
      </c>
      <c r="N529" s="124" t="s">
        <v>373</v>
      </c>
      <c r="O529" s="124" t="s">
        <v>373</v>
      </c>
      <c r="P529" s="21">
        <v>32</v>
      </c>
      <c r="Q529" s="10" t="s">
        <v>54</v>
      </c>
      <c r="R529" s="10" t="s">
        <v>28</v>
      </c>
      <c r="S529" s="10"/>
      <c r="T529" s="10"/>
      <c r="U529" s="10" t="s">
        <v>1137</v>
      </c>
      <c r="V529" s="10" t="s">
        <v>1137</v>
      </c>
      <c r="W529" s="50">
        <f>+J529/$W$2</f>
        <v>3.6302192845701002E-5</v>
      </c>
    </row>
    <row r="530" spans="1:29">
      <c r="A530" s="10" t="s">
        <v>359</v>
      </c>
      <c r="B530" s="10" t="s">
        <v>358</v>
      </c>
      <c r="C530" s="124">
        <v>46337</v>
      </c>
      <c r="D530" s="124" t="s">
        <v>471</v>
      </c>
      <c r="E530" s="21">
        <v>0.98838316999999998</v>
      </c>
      <c r="F530" s="10"/>
      <c r="G530" s="14">
        <v>2500000</v>
      </c>
      <c r="H530" s="14">
        <v>2470957.92</v>
      </c>
      <c r="I530" s="14">
        <v>2500000</v>
      </c>
      <c r="J530" s="14">
        <v>2470957.92</v>
      </c>
      <c r="K530" s="12">
        <v>1015</v>
      </c>
      <c r="L530" s="10" t="s">
        <v>101</v>
      </c>
      <c r="M530" s="10" t="s">
        <v>102</v>
      </c>
      <c r="N530" s="124" t="s">
        <v>161</v>
      </c>
      <c r="O530" s="124" t="s">
        <v>161</v>
      </c>
      <c r="P530" s="21">
        <v>33</v>
      </c>
      <c r="Q530" s="10" t="s">
        <v>54</v>
      </c>
      <c r="R530" s="10" t="s">
        <v>28</v>
      </c>
      <c r="S530" s="10"/>
      <c r="T530" s="10"/>
      <c r="U530" s="10" t="s">
        <v>1068</v>
      </c>
      <c r="V530" s="10" t="s">
        <v>1068</v>
      </c>
      <c r="W530" s="50">
        <f>+J530/$W$2</f>
        <v>3.0241178668526707E-5</v>
      </c>
    </row>
    <row r="531" spans="1:29">
      <c r="A531" s="10" t="s">
        <v>359</v>
      </c>
      <c r="B531" s="10" t="s">
        <v>358</v>
      </c>
      <c r="C531" s="124">
        <v>46337</v>
      </c>
      <c r="D531" s="124" t="s">
        <v>471</v>
      </c>
      <c r="E531" s="21">
        <v>0.98838316999999998</v>
      </c>
      <c r="F531" s="10"/>
      <c r="G531" s="14">
        <v>2500000</v>
      </c>
      <c r="H531" s="14">
        <v>2470957.92</v>
      </c>
      <c r="I531" s="14">
        <v>2500000</v>
      </c>
      <c r="J531" s="14">
        <v>2470957.92</v>
      </c>
      <c r="K531" s="12">
        <v>1016</v>
      </c>
      <c r="L531" s="10" t="s">
        <v>101</v>
      </c>
      <c r="M531" s="10" t="s">
        <v>102</v>
      </c>
      <c r="N531" s="124" t="s">
        <v>161</v>
      </c>
      <c r="O531" s="124" t="s">
        <v>161</v>
      </c>
      <c r="P531" s="21">
        <v>33</v>
      </c>
      <c r="Q531" s="10" t="s">
        <v>54</v>
      </c>
      <c r="R531" s="10" t="s">
        <v>28</v>
      </c>
      <c r="S531" s="10"/>
      <c r="T531" s="10"/>
      <c r="U531" s="10" t="s">
        <v>1069</v>
      </c>
      <c r="V531" s="10" t="s">
        <v>1069</v>
      </c>
      <c r="W531" s="50">
        <f>+J531/$W$2</f>
        <v>3.0241178668526707E-5</v>
      </c>
    </row>
    <row r="532" spans="1:29">
      <c r="A532" s="10" t="s">
        <v>2440</v>
      </c>
      <c r="B532" s="10" t="s">
        <v>358</v>
      </c>
      <c r="C532" s="124">
        <v>46337</v>
      </c>
      <c r="D532" s="124" t="s">
        <v>471</v>
      </c>
      <c r="E532" s="21">
        <v>0.98977696999999998</v>
      </c>
      <c r="F532" s="10"/>
      <c r="G532" s="14">
        <v>476000</v>
      </c>
      <c r="H532" s="14">
        <v>471133.84</v>
      </c>
      <c r="I532" s="14">
        <v>476000</v>
      </c>
      <c r="J532" s="14">
        <v>471133.84</v>
      </c>
      <c r="K532" s="12">
        <v>11204216</v>
      </c>
      <c r="L532" s="10" t="s">
        <v>101</v>
      </c>
      <c r="M532" s="10" t="s">
        <v>102</v>
      </c>
      <c r="N532" s="124" t="s">
        <v>467</v>
      </c>
      <c r="O532" s="124" t="s">
        <v>467</v>
      </c>
      <c r="P532" s="21">
        <v>29</v>
      </c>
      <c r="Q532" s="10" t="s">
        <v>54</v>
      </c>
      <c r="R532" s="10" t="s">
        <v>28</v>
      </c>
      <c r="S532" s="10"/>
      <c r="T532" s="10"/>
      <c r="U532" s="10" t="s">
        <v>3740</v>
      </c>
      <c r="V532" s="10" t="s">
        <v>3740</v>
      </c>
      <c r="W532" s="50">
        <f>+J532/$W$2</f>
        <v>5.76604017288529E-6</v>
      </c>
    </row>
    <row r="533" spans="1:29">
      <c r="A533" s="10" t="s">
        <v>2016</v>
      </c>
      <c r="B533" s="10" t="s">
        <v>358</v>
      </c>
      <c r="C533" s="124">
        <v>46338</v>
      </c>
      <c r="D533" s="124" t="s">
        <v>471</v>
      </c>
      <c r="E533" s="21">
        <v>0.99050205999999996</v>
      </c>
      <c r="F533" s="10"/>
      <c r="G533" s="14">
        <v>15000000</v>
      </c>
      <c r="H533" s="14">
        <v>14857530.84</v>
      </c>
      <c r="I533" s="14">
        <v>15000000</v>
      </c>
      <c r="J533" s="14">
        <v>14857530.84</v>
      </c>
      <c r="K533" s="12">
        <v>69911238</v>
      </c>
      <c r="L533" s="10" t="s">
        <v>101</v>
      </c>
      <c r="M533" s="10" t="s">
        <v>102</v>
      </c>
      <c r="N533" s="124" t="s">
        <v>439</v>
      </c>
      <c r="O533" s="124" t="s">
        <v>439</v>
      </c>
      <c r="P533" s="21">
        <v>25</v>
      </c>
      <c r="Q533" s="10" t="s">
        <v>54</v>
      </c>
      <c r="R533" s="10" t="s">
        <v>28</v>
      </c>
      <c r="S533" s="10"/>
      <c r="T533" s="10"/>
      <c r="U533" s="10" t="s">
        <v>2245</v>
      </c>
      <c r="V533" s="10" t="s">
        <v>2245</v>
      </c>
      <c r="W533" s="50">
        <f>+J533/$W$2</f>
        <v>1.8183605680568841E-4</v>
      </c>
    </row>
    <row r="534" spans="1:29">
      <c r="A534" s="10" t="s">
        <v>375</v>
      </c>
      <c r="B534" s="10" t="s">
        <v>358</v>
      </c>
      <c r="C534" s="124">
        <v>46338</v>
      </c>
      <c r="D534" s="124" t="s">
        <v>471</v>
      </c>
      <c r="E534" s="21">
        <v>0.98975005000000005</v>
      </c>
      <c r="F534" s="10"/>
      <c r="G534" s="14">
        <v>8000000</v>
      </c>
      <c r="H534" s="14">
        <v>7918000.4199999999</v>
      </c>
      <c r="I534" s="14">
        <v>8000000</v>
      </c>
      <c r="J534" s="14">
        <v>7918000.4199999999</v>
      </c>
      <c r="K534" s="12">
        <v>761091</v>
      </c>
      <c r="L534" s="10" t="s">
        <v>101</v>
      </c>
      <c r="M534" s="10" t="s">
        <v>102</v>
      </c>
      <c r="N534" s="124" t="s">
        <v>477</v>
      </c>
      <c r="O534" s="124" t="s">
        <v>477</v>
      </c>
      <c r="P534" s="21">
        <v>27</v>
      </c>
      <c r="Q534" s="10" t="s">
        <v>54</v>
      </c>
      <c r="R534" s="10" t="s">
        <v>28</v>
      </c>
      <c r="S534" s="10"/>
      <c r="T534" s="10"/>
      <c r="U534" s="10" t="s">
        <v>2385</v>
      </c>
      <c r="V534" s="10" t="s">
        <v>2385</v>
      </c>
      <c r="W534" s="50">
        <f>+J534/$W$2</f>
        <v>9.6905602260798315E-5</v>
      </c>
    </row>
    <row r="535" spans="1:29">
      <c r="A535" s="10" t="s">
        <v>375</v>
      </c>
      <c r="B535" s="10" t="s">
        <v>358</v>
      </c>
      <c r="C535" s="124">
        <v>46338</v>
      </c>
      <c r="D535" s="124" t="s">
        <v>471</v>
      </c>
      <c r="E535" s="21">
        <v>0.98637984999999995</v>
      </c>
      <c r="F535" s="10"/>
      <c r="G535" s="14">
        <v>8560000</v>
      </c>
      <c r="H535" s="14">
        <v>8443411.5399999991</v>
      </c>
      <c r="I535" s="14">
        <v>8560000</v>
      </c>
      <c r="J535" s="14">
        <v>8443411.5399999991</v>
      </c>
      <c r="K535" s="12">
        <v>13054212</v>
      </c>
      <c r="L535" s="10" t="s">
        <v>101</v>
      </c>
      <c r="M535" s="10" t="s">
        <v>102</v>
      </c>
      <c r="N535" s="124" t="s">
        <v>274</v>
      </c>
      <c r="O535" s="124" t="s">
        <v>274</v>
      </c>
      <c r="P535" s="21">
        <v>36</v>
      </c>
      <c r="Q535" s="10" t="s">
        <v>54</v>
      </c>
      <c r="R535" s="10" t="s">
        <v>28</v>
      </c>
      <c r="S535" s="10"/>
      <c r="T535" s="10"/>
      <c r="U535" s="10" t="s">
        <v>455</v>
      </c>
      <c r="V535" s="10" t="s">
        <v>455</v>
      </c>
      <c r="W535" s="50">
        <f>+J535/$W$2</f>
        <v>1.0333592283637118E-4</v>
      </c>
    </row>
    <row r="536" spans="1:29">
      <c r="A536" s="10" t="s">
        <v>334</v>
      </c>
      <c r="B536" s="10" t="s">
        <v>358</v>
      </c>
      <c r="C536" s="124">
        <v>46338</v>
      </c>
      <c r="D536" s="124" t="s">
        <v>471</v>
      </c>
      <c r="E536" s="21">
        <v>0.98637987999999999</v>
      </c>
      <c r="F536" s="10"/>
      <c r="G536" s="14">
        <v>3105640.28</v>
      </c>
      <c r="H536" s="14">
        <v>3063341.1</v>
      </c>
      <c r="I536" s="14">
        <v>3105640.28</v>
      </c>
      <c r="J536" s="14">
        <v>3063341.1</v>
      </c>
      <c r="K536" s="12">
        <v>3376</v>
      </c>
      <c r="L536" s="10" t="s">
        <v>101</v>
      </c>
      <c r="M536" s="10" t="s">
        <v>102</v>
      </c>
      <c r="N536" s="124" t="s">
        <v>365</v>
      </c>
      <c r="O536" s="124" t="s">
        <v>365</v>
      </c>
      <c r="P536" s="21">
        <v>36</v>
      </c>
      <c r="Q536" s="10" t="s">
        <v>54</v>
      </c>
      <c r="R536" s="10" t="s">
        <v>28</v>
      </c>
      <c r="S536" s="10"/>
      <c r="T536" s="10"/>
      <c r="U536" s="10" t="s">
        <v>1336</v>
      </c>
      <c r="V536" s="10" t="s">
        <v>1336</v>
      </c>
      <c r="W536" s="50">
        <f>+J536/$W$2</f>
        <v>3.7491146562196879E-5</v>
      </c>
    </row>
    <row r="537" spans="1:29">
      <c r="A537" s="10" t="s">
        <v>334</v>
      </c>
      <c r="B537" s="10" t="s">
        <v>358</v>
      </c>
      <c r="C537" s="124">
        <v>46338</v>
      </c>
      <c r="D537" s="124" t="s">
        <v>471</v>
      </c>
      <c r="E537" s="21">
        <v>0.98637986</v>
      </c>
      <c r="F537" s="10"/>
      <c r="G537" s="14">
        <v>3625698.78</v>
      </c>
      <c r="H537" s="14">
        <v>3576316.26</v>
      </c>
      <c r="I537" s="14">
        <v>3625698.78</v>
      </c>
      <c r="J537" s="14">
        <v>3576316.26</v>
      </c>
      <c r="K537" s="12">
        <v>3354</v>
      </c>
      <c r="L537" s="10" t="s">
        <v>101</v>
      </c>
      <c r="M537" s="10" t="s">
        <v>102</v>
      </c>
      <c r="N537" s="124" t="s">
        <v>331</v>
      </c>
      <c r="O537" s="124" t="s">
        <v>331</v>
      </c>
      <c r="P537" s="21">
        <v>36</v>
      </c>
      <c r="Q537" s="10" t="s">
        <v>54</v>
      </c>
      <c r="R537" s="10" t="s">
        <v>28</v>
      </c>
      <c r="S537" s="10"/>
      <c r="T537" s="10"/>
      <c r="U537" s="10" t="s">
        <v>1232</v>
      </c>
      <c r="V537" s="10" t="s">
        <v>1232</v>
      </c>
      <c r="W537" s="50">
        <f>+J537/$W$2</f>
        <v>4.3769267828655379E-5</v>
      </c>
    </row>
    <row r="538" spans="1:29">
      <c r="A538" s="10" t="s">
        <v>334</v>
      </c>
      <c r="B538" s="10" t="s">
        <v>358</v>
      </c>
      <c r="C538" s="124">
        <v>46338</v>
      </c>
      <c r="D538" s="124" t="s">
        <v>471</v>
      </c>
      <c r="E538" s="21">
        <v>0.98637989000000004</v>
      </c>
      <c r="F538" s="10"/>
      <c r="G538" s="14">
        <v>2510000.36</v>
      </c>
      <c r="H538" s="14">
        <v>2475813.89</v>
      </c>
      <c r="I538" s="14">
        <v>2510000.36</v>
      </c>
      <c r="J538" s="14">
        <v>2475813.89</v>
      </c>
      <c r="K538" s="12">
        <v>3163</v>
      </c>
      <c r="L538" s="10" t="s">
        <v>101</v>
      </c>
      <c r="M538" s="10" t="s">
        <v>102</v>
      </c>
      <c r="N538" s="124" t="s">
        <v>161</v>
      </c>
      <c r="O538" s="124" t="s">
        <v>161</v>
      </c>
      <c r="P538" s="21">
        <v>36</v>
      </c>
      <c r="Q538" s="10" t="s">
        <v>54</v>
      </c>
      <c r="R538" s="10" t="s">
        <v>28</v>
      </c>
      <c r="S538" s="10"/>
      <c r="T538" s="10"/>
      <c r="U538" s="10" t="s">
        <v>1060</v>
      </c>
      <c r="V538" s="10" t="s">
        <v>1060</v>
      </c>
      <c r="W538" s="50">
        <f>+J538/$W$2</f>
        <v>3.0300609165173533E-5</v>
      </c>
    </row>
    <row r="539" spans="1:29">
      <c r="A539" s="10" t="s">
        <v>334</v>
      </c>
      <c r="B539" s="10" t="s">
        <v>358</v>
      </c>
      <c r="C539" s="124">
        <v>46338</v>
      </c>
      <c r="D539" s="124" t="s">
        <v>471</v>
      </c>
      <c r="E539" s="21">
        <v>0.98637986</v>
      </c>
      <c r="F539" s="10"/>
      <c r="G539" s="14">
        <v>2874176.47</v>
      </c>
      <c r="H539" s="14">
        <v>2835029.79</v>
      </c>
      <c r="I539" s="14">
        <v>2874176.47</v>
      </c>
      <c r="J539" s="14">
        <v>2835029.79</v>
      </c>
      <c r="K539" s="12">
        <v>3424</v>
      </c>
      <c r="L539" s="10" t="s">
        <v>101</v>
      </c>
      <c r="M539" s="10" t="s">
        <v>102</v>
      </c>
      <c r="N539" s="124" t="s">
        <v>405</v>
      </c>
      <c r="O539" s="124" t="s">
        <v>405</v>
      </c>
      <c r="P539" s="21">
        <v>36</v>
      </c>
      <c r="Q539" s="10" t="s">
        <v>54</v>
      </c>
      <c r="R539" s="10" t="s">
        <v>28</v>
      </c>
      <c r="S539" s="10"/>
      <c r="T539" s="10"/>
      <c r="U539" s="10" t="s">
        <v>1508</v>
      </c>
      <c r="V539" s="10" t="s">
        <v>1508</v>
      </c>
      <c r="W539" s="50">
        <f>+J539/$W$2</f>
        <v>3.4696925316310425E-5</v>
      </c>
    </row>
    <row r="540" spans="1:29">
      <c r="A540" s="10" t="s">
        <v>334</v>
      </c>
      <c r="B540" s="10" t="s">
        <v>358</v>
      </c>
      <c r="C540" s="124">
        <v>46338</v>
      </c>
      <c r="D540" s="124" t="s">
        <v>471</v>
      </c>
      <c r="E540" s="21">
        <v>0.98675323999999998</v>
      </c>
      <c r="F540" s="10"/>
      <c r="G540" s="14">
        <v>1250300.6499999999</v>
      </c>
      <c r="H540" s="14">
        <v>1233738.22</v>
      </c>
      <c r="I540" s="14">
        <v>1250300.6499999999</v>
      </c>
      <c r="J540" s="14">
        <v>1233738.22</v>
      </c>
      <c r="K540" s="12">
        <v>3586</v>
      </c>
      <c r="L540" s="10" t="s">
        <v>101</v>
      </c>
      <c r="M540" s="10" t="s">
        <v>102</v>
      </c>
      <c r="N540" s="124" t="s">
        <v>397</v>
      </c>
      <c r="O540" s="124" t="s">
        <v>397</v>
      </c>
      <c r="P540" s="21">
        <v>35</v>
      </c>
      <c r="Q540" s="10" t="s">
        <v>54</v>
      </c>
      <c r="R540" s="10" t="s">
        <v>28</v>
      </c>
      <c r="S540" s="10"/>
      <c r="T540" s="10"/>
      <c r="U540" s="10" t="s">
        <v>1875</v>
      </c>
      <c r="V540" s="10" t="s">
        <v>1875</v>
      </c>
      <c r="W540" s="50">
        <f>+J540/$W$2</f>
        <v>1.5099285034044655E-5</v>
      </c>
    </row>
    <row r="541" spans="1:29">
      <c r="A541" s="10" t="s">
        <v>334</v>
      </c>
      <c r="B541" s="10" t="s">
        <v>358</v>
      </c>
      <c r="C541" s="124">
        <v>46338</v>
      </c>
      <c r="D541" s="124" t="s">
        <v>471</v>
      </c>
      <c r="E541" s="21">
        <v>0.98675323000000004</v>
      </c>
      <c r="F541" s="10"/>
      <c r="G541" s="14">
        <v>1555000.5</v>
      </c>
      <c r="H541" s="14">
        <v>1534401.77</v>
      </c>
      <c r="I541" s="14">
        <v>1555000.5</v>
      </c>
      <c r="J541" s="14">
        <v>1534401.77</v>
      </c>
      <c r="K541" s="12">
        <v>3585</v>
      </c>
      <c r="L541" s="10" t="s">
        <v>101</v>
      </c>
      <c r="M541" s="10" t="s">
        <v>102</v>
      </c>
      <c r="N541" s="124" t="s">
        <v>397</v>
      </c>
      <c r="O541" s="124" t="s">
        <v>395</v>
      </c>
      <c r="P541" s="21">
        <v>35</v>
      </c>
      <c r="Q541" s="10" t="s">
        <v>54</v>
      </c>
      <c r="R541" s="10" t="s">
        <v>28</v>
      </c>
      <c r="S541" s="10"/>
      <c r="T541" s="10"/>
      <c r="U541" s="10" t="s">
        <v>1876</v>
      </c>
      <c r="V541" s="10" t="s">
        <v>1876</v>
      </c>
      <c r="W541" s="50">
        <f>+J541/$W$2</f>
        <v>1.8778999715168611E-5</v>
      </c>
    </row>
    <row r="542" spans="1:29">
      <c r="A542" s="10" t="s">
        <v>1828</v>
      </c>
      <c r="B542" s="10" t="s">
        <v>358</v>
      </c>
      <c r="C542" s="124">
        <v>46338</v>
      </c>
      <c r="D542" s="124" t="s">
        <v>471</v>
      </c>
      <c r="E542" s="21">
        <v>0.98750070000000001</v>
      </c>
      <c r="F542" s="10"/>
      <c r="G542" s="14">
        <v>437966.99</v>
      </c>
      <c r="H542" s="14">
        <v>432492.71</v>
      </c>
      <c r="I542" s="14">
        <v>437966.99</v>
      </c>
      <c r="J542" s="14">
        <v>432492.71</v>
      </c>
      <c r="K542" s="12">
        <v>2303621</v>
      </c>
      <c r="L542" s="10" t="s">
        <v>101</v>
      </c>
      <c r="M542" s="10" t="s">
        <v>102</v>
      </c>
      <c r="N542" s="124" t="s">
        <v>395</v>
      </c>
      <c r="O542" s="124" t="s">
        <v>395</v>
      </c>
      <c r="P542" s="21">
        <v>33</v>
      </c>
      <c r="Q542" s="10" t="s">
        <v>54</v>
      </c>
      <c r="R542" s="10" t="s">
        <v>28</v>
      </c>
      <c r="S542" s="10"/>
      <c r="T542" s="10"/>
      <c r="U542" s="10" t="s">
        <v>1799</v>
      </c>
      <c r="V542" s="10" t="s">
        <v>1799</v>
      </c>
      <c r="W542" s="50">
        <f>+J542/$W$2</f>
        <v>5.2931250710838929E-6</v>
      </c>
    </row>
    <row r="543" spans="1:29">
      <c r="A543" s="10" t="s">
        <v>2078</v>
      </c>
      <c r="B543" s="10" t="s">
        <v>358</v>
      </c>
      <c r="C543" s="124">
        <v>46338</v>
      </c>
      <c r="D543" s="124" t="s">
        <v>471</v>
      </c>
      <c r="E543" s="21">
        <v>0.98750073999999999</v>
      </c>
      <c r="F543" s="10"/>
      <c r="G543" s="14">
        <v>3600000</v>
      </c>
      <c r="H543" s="14">
        <v>3555002.67</v>
      </c>
      <c r="I543" s="14">
        <v>3600000</v>
      </c>
      <c r="J543" s="14">
        <v>3555002.67</v>
      </c>
      <c r="K543" s="12">
        <v>13870043</v>
      </c>
      <c r="L543" s="10" t="s">
        <v>101</v>
      </c>
      <c r="M543" s="10" t="s">
        <v>102</v>
      </c>
      <c r="N543" s="124" t="s">
        <v>408</v>
      </c>
      <c r="O543" s="124" t="s">
        <v>408</v>
      </c>
      <c r="P543" s="21">
        <v>33</v>
      </c>
      <c r="Q543" s="10" t="s">
        <v>54</v>
      </c>
      <c r="R543" s="10" t="s">
        <v>28</v>
      </c>
      <c r="S543" s="10"/>
      <c r="T543" s="10"/>
      <c r="U543" s="10" t="s">
        <v>2046</v>
      </c>
      <c r="V543" s="10" t="s">
        <v>2046</v>
      </c>
      <c r="W543" s="50">
        <f>+J543/$W$2</f>
        <v>4.3508418350790646E-5</v>
      </c>
      <c r="AC543" s="47"/>
    </row>
    <row r="544" spans="1:29">
      <c r="A544" s="10" t="s">
        <v>443</v>
      </c>
      <c r="B544" s="10" t="s">
        <v>358</v>
      </c>
      <c r="C544" s="124">
        <v>46338</v>
      </c>
      <c r="D544" s="124" t="s">
        <v>471</v>
      </c>
      <c r="E544" s="21">
        <v>0.98899908999999997</v>
      </c>
      <c r="F544" s="10"/>
      <c r="G544" s="14">
        <v>11000000</v>
      </c>
      <c r="H544" s="14">
        <v>10878990.039999999</v>
      </c>
      <c r="I544" s="14">
        <v>11000000</v>
      </c>
      <c r="J544" s="14">
        <v>10878990.039999999</v>
      </c>
      <c r="K544" s="12">
        <v>90000056</v>
      </c>
      <c r="L544" s="10" t="s">
        <v>101</v>
      </c>
      <c r="M544" s="10" t="s">
        <v>102</v>
      </c>
      <c r="N544" s="124" t="s">
        <v>317</v>
      </c>
      <c r="O544" s="124" t="s">
        <v>317</v>
      </c>
      <c r="P544" s="21">
        <v>29</v>
      </c>
      <c r="Q544" s="10" t="s">
        <v>54</v>
      </c>
      <c r="R544" s="10" t="s">
        <v>28</v>
      </c>
      <c r="S544" s="10"/>
      <c r="T544" s="10"/>
      <c r="U544" s="10" t="s">
        <v>628</v>
      </c>
      <c r="V544" s="10" t="s">
        <v>628</v>
      </c>
      <c r="W544" s="50">
        <f>+J544/$W$2</f>
        <v>1.3314410531635541E-4</v>
      </c>
    </row>
    <row r="545" spans="1:23">
      <c r="A545" s="10" t="s">
        <v>1744</v>
      </c>
      <c r="B545" s="10" t="s">
        <v>358</v>
      </c>
      <c r="C545" s="124">
        <v>46338</v>
      </c>
      <c r="D545" s="124" t="s">
        <v>471</v>
      </c>
      <c r="E545" s="21">
        <v>0.98750068000000002</v>
      </c>
      <c r="F545" s="10"/>
      <c r="G545" s="14">
        <v>5300000</v>
      </c>
      <c r="H545" s="14">
        <v>5233753.62</v>
      </c>
      <c r="I545" s="14">
        <v>5300000</v>
      </c>
      <c r="J545" s="14">
        <v>5233753.62</v>
      </c>
      <c r="K545" s="12">
        <v>8175679</v>
      </c>
      <c r="L545" s="10" t="s">
        <v>101</v>
      </c>
      <c r="M545" s="10" t="s">
        <v>102</v>
      </c>
      <c r="N545" s="124" t="s">
        <v>398</v>
      </c>
      <c r="O545" s="124" t="s">
        <v>398</v>
      </c>
      <c r="P545" s="21">
        <v>33</v>
      </c>
      <c r="Q545" s="10" t="s">
        <v>54</v>
      </c>
      <c r="R545" s="10" t="s">
        <v>28</v>
      </c>
      <c r="S545" s="10"/>
      <c r="T545" s="10"/>
      <c r="U545" s="10" t="s">
        <v>1648</v>
      </c>
      <c r="V545" s="10" t="s">
        <v>1648</v>
      </c>
      <c r="W545" s="50">
        <f>+J545/$W$2</f>
        <v>6.4054056545596066E-5</v>
      </c>
    </row>
    <row r="546" spans="1:23">
      <c r="A546" s="10" t="s">
        <v>1754</v>
      </c>
      <c r="B546" s="10" t="s">
        <v>358</v>
      </c>
      <c r="C546" s="124">
        <v>46338</v>
      </c>
      <c r="D546" s="124" t="s">
        <v>471</v>
      </c>
      <c r="E546" s="21">
        <v>0.98787486000000002</v>
      </c>
      <c r="F546" s="10"/>
      <c r="G546" s="14">
        <v>8123170.71</v>
      </c>
      <c r="H546" s="14">
        <v>8024676.1299999999</v>
      </c>
      <c r="I546" s="14">
        <v>8123170.71</v>
      </c>
      <c r="J546" s="14">
        <v>8024676.1299999999</v>
      </c>
      <c r="K546" s="12">
        <v>11244</v>
      </c>
      <c r="L546" s="10" t="s">
        <v>101</v>
      </c>
      <c r="M546" s="10" t="s">
        <v>102</v>
      </c>
      <c r="N546" s="124" t="s">
        <v>398</v>
      </c>
      <c r="O546" s="124" t="s">
        <v>398</v>
      </c>
      <c r="P546" s="21">
        <v>32</v>
      </c>
      <c r="Q546" s="10" t="s">
        <v>54</v>
      </c>
      <c r="R546" s="10" t="s">
        <v>28</v>
      </c>
      <c r="S546" s="10"/>
      <c r="T546" s="10"/>
      <c r="U546" s="10" t="s">
        <v>1704</v>
      </c>
      <c r="V546" s="10" t="s">
        <v>1704</v>
      </c>
      <c r="W546" s="50">
        <f>+J546/$W$2</f>
        <v>9.8211168486588978E-5</v>
      </c>
    </row>
    <row r="547" spans="1:23">
      <c r="A547" s="10" t="s">
        <v>1759</v>
      </c>
      <c r="B547" s="10" t="s">
        <v>358</v>
      </c>
      <c r="C547" s="124">
        <v>46338</v>
      </c>
      <c r="D547" s="124" t="s">
        <v>471</v>
      </c>
      <c r="E547" s="21">
        <v>0.98787486000000002</v>
      </c>
      <c r="F547" s="10"/>
      <c r="G547" s="14">
        <v>428767.71</v>
      </c>
      <c r="H547" s="14">
        <v>423568.84</v>
      </c>
      <c r="I547" s="14">
        <v>428767.71</v>
      </c>
      <c r="J547" s="14">
        <v>423568.84</v>
      </c>
      <c r="K547" s="12">
        <v>1975205</v>
      </c>
      <c r="L547" s="10" t="s">
        <v>101</v>
      </c>
      <c r="M547" s="10" t="s">
        <v>102</v>
      </c>
      <c r="N547" s="124" t="s">
        <v>398</v>
      </c>
      <c r="O547" s="124" t="s">
        <v>398</v>
      </c>
      <c r="P547" s="21">
        <v>32</v>
      </c>
      <c r="Q547" s="10" t="s">
        <v>54</v>
      </c>
      <c r="R547" s="10" t="s">
        <v>28</v>
      </c>
      <c r="S547" s="10"/>
      <c r="T547" s="10"/>
      <c r="U547" s="10" t="s">
        <v>1725</v>
      </c>
      <c r="V547" s="10" t="s">
        <v>1725</v>
      </c>
      <c r="W547" s="50">
        <f>+J547/$W$2</f>
        <v>5.1839089873536186E-6</v>
      </c>
    </row>
    <row r="548" spans="1:23">
      <c r="A548" s="10" t="s">
        <v>1761</v>
      </c>
      <c r="B548" s="10" t="s">
        <v>358</v>
      </c>
      <c r="C548" s="124">
        <v>46338</v>
      </c>
      <c r="D548" s="124" t="s">
        <v>471</v>
      </c>
      <c r="E548" s="21">
        <v>0.98787486000000002</v>
      </c>
      <c r="F548" s="10"/>
      <c r="G548" s="14">
        <v>17763197.079999998</v>
      </c>
      <c r="H548" s="14">
        <v>17547815.82</v>
      </c>
      <c r="I548" s="14">
        <v>17763197.079999998</v>
      </c>
      <c r="J548" s="14">
        <v>17547815.82</v>
      </c>
      <c r="K548" s="12">
        <v>1313</v>
      </c>
      <c r="L548" s="10" t="s">
        <v>101</v>
      </c>
      <c r="M548" s="10" t="s">
        <v>102</v>
      </c>
      <c r="N548" s="124" t="s">
        <v>398</v>
      </c>
      <c r="O548" s="124" t="s">
        <v>398</v>
      </c>
      <c r="P548" s="21">
        <v>32</v>
      </c>
      <c r="Q548" s="10" t="s">
        <v>54</v>
      </c>
      <c r="R548" s="10" t="s">
        <v>28</v>
      </c>
      <c r="S548" s="10"/>
      <c r="T548" s="10"/>
      <c r="U548" s="10" t="s">
        <v>1732</v>
      </c>
      <c r="V548" s="10" t="s">
        <v>1732</v>
      </c>
      <c r="W548" s="50">
        <f>+J548/$W$2</f>
        <v>2.1476150166694036E-4</v>
      </c>
    </row>
    <row r="549" spans="1:23">
      <c r="A549" s="10" t="s">
        <v>1824</v>
      </c>
      <c r="B549" s="10" t="s">
        <v>358</v>
      </c>
      <c r="C549" s="124">
        <v>46338</v>
      </c>
      <c r="D549" s="124" t="s">
        <v>471</v>
      </c>
      <c r="E549" s="21">
        <v>0.98787488000000001</v>
      </c>
      <c r="F549" s="10"/>
      <c r="G549" s="14">
        <v>37348528.700000003</v>
      </c>
      <c r="H549" s="14">
        <v>36895673.329999998</v>
      </c>
      <c r="I549" s="14">
        <v>37348528.700000003</v>
      </c>
      <c r="J549" s="14">
        <v>36895673.329999998</v>
      </c>
      <c r="K549" s="12">
        <v>259</v>
      </c>
      <c r="L549" s="10" t="s">
        <v>101</v>
      </c>
      <c r="M549" s="10" t="s">
        <v>102</v>
      </c>
      <c r="N549" s="124" t="s">
        <v>395</v>
      </c>
      <c r="O549" s="124" t="s">
        <v>395</v>
      </c>
      <c r="P549" s="21">
        <v>32</v>
      </c>
      <c r="Q549" s="10" t="s">
        <v>54</v>
      </c>
      <c r="R549" s="10" t="s">
        <v>28</v>
      </c>
      <c r="S549" s="10"/>
      <c r="T549" s="10"/>
      <c r="U549" s="10" t="s">
        <v>1789</v>
      </c>
      <c r="V549" s="10" t="s">
        <v>1789</v>
      </c>
      <c r="W549" s="50">
        <f>+J549/$W$2</f>
        <v>4.5155307592940544E-4</v>
      </c>
    </row>
    <row r="550" spans="1:23">
      <c r="A550" s="10" t="s">
        <v>2758</v>
      </c>
      <c r="B550" s="10" t="s">
        <v>358</v>
      </c>
      <c r="C550" s="124">
        <v>46338</v>
      </c>
      <c r="D550" s="124" t="s">
        <v>471</v>
      </c>
      <c r="E550" s="21">
        <v>0.98937443000000003</v>
      </c>
      <c r="F550" s="10"/>
      <c r="G550" s="14">
        <v>1105641.8600000001</v>
      </c>
      <c r="H550" s="14">
        <v>1093893.79</v>
      </c>
      <c r="I550" s="14">
        <v>1105641.8600000001</v>
      </c>
      <c r="J550" s="14">
        <v>1093893.79</v>
      </c>
      <c r="K550" s="12">
        <v>70204268</v>
      </c>
      <c r="L550" s="10" t="s">
        <v>101</v>
      </c>
      <c r="M550" s="10" t="s">
        <v>102</v>
      </c>
      <c r="N550" s="124" t="s">
        <v>411</v>
      </c>
      <c r="O550" s="124" t="s">
        <v>411</v>
      </c>
      <c r="P550" s="21">
        <v>28</v>
      </c>
      <c r="Q550" s="10" t="s">
        <v>54</v>
      </c>
      <c r="R550" s="10" t="s">
        <v>28</v>
      </c>
      <c r="S550" s="10"/>
      <c r="T550" s="10"/>
      <c r="U550" s="10" t="s">
        <v>2941</v>
      </c>
      <c r="V550" s="10" t="s">
        <v>2941</v>
      </c>
      <c r="W550" s="50">
        <f>+J550/$W$2</f>
        <v>1.3387778593891165E-5</v>
      </c>
    </row>
    <row r="551" spans="1:23">
      <c r="A551" s="10" t="s">
        <v>2758</v>
      </c>
      <c r="B551" s="10" t="s">
        <v>358</v>
      </c>
      <c r="C551" s="124">
        <v>46338</v>
      </c>
      <c r="D551" s="124" t="s">
        <v>471</v>
      </c>
      <c r="E551" s="21">
        <v>0.98937443000000003</v>
      </c>
      <c r="F551" s="10"/>
      <c r="G551" s="14">
        <v>1421910.06</v>
      </c>
      <c r="H551" s="14">
        <v>1406801.46</v>
      </c>
      <c r="I551" s="14">
        <v>1421910.06</v>
      </c>
      <c r="J551" s="14">
        <v>1406801.46</v>
      </c>
      <c r="K551" s="12">
        <v>27</v>
      </c>
      <c r="L551" s="10" t="s">
        <v>101</v>
      </c>
      <c r="M551" s="10" t="s">
        <v>102</v>
      </c>
      <c r="N551" s="124" t="s">
        <v>411</v>
      </c>
      <c r="O551" s="124" t="s">
        <v>411</v>
      </c>
      <c r="P551" s="21">
        <v>28</v>
      </c>
      <c r="Q551" s="10" t="s">
        <v>54</v>
      </c>
      <c r="R551" s="10" t="s">
        <v>28</v>
      </c>
      <c r="S551" s="10"/>
      <c r="T551" s="10"/>
      <c r="U551" s="10" t="s">
        <v>2942</v>
      </c>
      <c r="V551" s="10" t="s">
        <v>2942</v>
      </c>
      <c r="W551" s="50">
        <f>+J551/$W$2</f>
        <v>1.721734472232705E-5</v>
      </c>
    </row>
    <row r="552" spans="1:23">
      <c r="A552" s="10" t="s">
        <v>2758</v>
      </c>
      <c r="B552" s="10" t="s">
        <v>358</v>
      </c>
      <c r="C552" s="124">
        <v>46338</v>
      </c>
      <c r="D552" s="124" t="s">
        <v>471</v>
      </c>
      <c r="E552" s="21">
        <v>0.98937443000000003</v>
      </c>
      <c r="F552" s="10"/>
      <c r="G552" s="14">
        <v>609847.96</v>
      </c>
      <c r="H552" s="14">
        <v>603367.98</v>
      </c>
      <c r="I552" s="14">
        <v>609847.96</v>
      </c>
      <c r="J552" s="14">
        <v>603367.98</v>
      </c>
      <c r="K552" s="12">
        <v>142</v>
      </c>
      <c r="L552" s="10" t="s">
        <v>101</v>
      </c>
      <c r="M552" s="10" t="s">
        <v>102</v>
      </c>
      <c r="N552" s="124" t="s">
        <v>411</v>
      </c>
      <c r="O552" s="124" t="s">
        <v>411</v>
      </c>
      <c r="P552" s="21">
        <v>28</v>
      </c>
      <c r="Q552" s="10" t="s">
        <v>54</v>
      </c>
      <c r="R552" s="10" t="s">
        <v>28</v>
      </c>
      <c r="S552" s="10"/>
      <c r="T552" s="10"/>
      <c r="U552" s="10" t="s">
        <v>2943</v>
      </c>
      <c r="V552" s="10" t="s">
        <v>2943</v>
      </c>
      <c r="W552" s="50">
        <f>+J552/$W$2</f>
        <v>7.384406969604747E-6</v>
      </c>
    </row>
    <row r="553" spans="1:23">
      <c r="A553" s="10" t="s">
        <v>2758</v>
      </c>
      <c r="B553" s="10" t="s">
        <v>358</v>
      </c>
      <c r="C553" s="124">
        <v>46338</v>
      </c>
      <c r="D553" s="124" t="s">
        <v>471</v>
      </c>
      <c r="E553" s="21">
        <v>0.98937443000000003</v>
      </c>
      <c r="F553" s="10"/>
      <c r="G553" s="14">
        <v>944731.7</v>
      </c>
      <c r="H553" s="14">
        <v>934693.39</v>
      </c>
      <c r="I553" s="14">
        <v>944731.7</v>
      </c>
      <c r="J553" s="14">
        <v>934693.39</v>
      </c>
      <c r="K553" s="12">
        <v>2013205</v>
      </c>
      <c r="L553" s="10" t="s">
        <v>101</v>
      </c>
      <c r="M553" s="10" t="s">
        <v>102</v>
      </c>
      <c r="N553" s="124" t="s">
        <v>411</v>
      </c>
      <c r="O553" s="124" t="s">
        <v>411</v>
      </c>
      <c r="P553" s="21">
        <v>28</v>
      </c>
      <c r="Q553" s="10" t="s">
        <v>54</v>
      </c>
      <c r="R553" s="10" t="s">
        <v>28</v>
      </c>
      <c r="S553" s="10"/>
      <c r="T553" s="10"/>
      <c r="U553" s="10" t="s">
        <v>2960</v>
      </c>
      <c r="V553" s="10" t="s">
        <v>2960</v>
      </c>
      <c r="W553" s="50">
        <f>+J553/$W$2</f>
        <v>1.1439381293583873E-5</v>
      </c>
    </row>
    <row r="554" spans="1:23">
      <c r="A554" s="10" t="s">
        <v>206</v>
      </c>
      <c r="B554" s="10" t="s">
        <v>358</v>
      </c>
      <c r="C554" s="124">
        <v>46338</v>
      </c>
      <c r="D554" s="124" t="s">
        <v>471</v>
      </c>
      <c r="E554" s="21">
        <v>0.98750073000000005</v>
      </c>
      <c r="F554" s="10"/>
      <c r="G554" s="14">
        <v>2170000</v>
      </c>
      <c r="H554" s="14">
        <v>2142876.58</v>
      </c>
      <c r="I554" s="14">
        <v>2170000</v>
      </c>
      <c r="J554" s="14">
        <v>2142876.58</v>
      </c>
      <c r="K554" s="12">
        <v>260730</v>
      </c>
      <c r="L554" s="10" t="s">
        <v>101</v>
      </c>
      <c r="M554" s="10" t="s">
        <v>102</v>
      </c>
      <c r="N554" s="124" t="s">
        <v>479</v>
      </c>
      <c r="O554" s="124" t="s">
        <v>479</v>
      </c>
      <c r="P554" s="21">
        <v>33</v>
      </c>
      <c r="Q554" s="10" t="s">
        <v>54</v>
      </c>
      <c r="R554" s="10" t="s">
        <v>28</v>
      </c>
      <c r="S554" s="10"/>
      <c r="T554" s="10"/>
      <c r="U554" s="10" t="s">
        <v>1215</v>
      </c>
      <c r="V554" s="10" t="s">
        <v>1215</v>
      </c>
      <c r="W554" s="50">
        <f>+J554/$W$2</f>
        <v>2.6225907368095313E-5</v>
      </c>
    </row>
    <row r="555" spans="1:23">
      <c r="A555" s="10" t="s">
        <v>789</v>
      </c>
      <c r="B555" s="10" t="s">
        <v>358</v>
      </c>
      <c r="C555" s="124">
        <v>46338</v>
      </c>
      <c r="D555" s="124" t="s">
        <v>471</v>
      </c>
      <c r="E555" s="21">
        <v>0.98637989000000004</v>
      </c>
      <c r="F555" s="10"/>
      <c r="G555" s="14">
        <v>3140560.45</v>
      </c>
      <c r="H555" s="14">
        <v>3097785.66</v>
      </c>
      <c r="I555" s="14">
        <v>3140560.45</v>
      </c>
      <c r="J555" s="14">
        <v>3097785.66</v>
      </c>
      <c r="K555" s="12">
        <v>1118</v>
      </c>
      <c r="L555" s="10" t="s">
        <v>101</v>
      </c>
      <c r="M555" s="10" t="s">
        <v>102</v>
      </c>
      <c r="N555" s="124" t="s">
        <v>365</v>
      </c>
      <c r="O555" s="124" t="s">
        <v>365</v>
      </c>
      <c r="P555" s="21">
        <v>36</v>
      </c>
      <c r="Q555" s="10" t="s">
        <v>54</v>
      </c>
      <c r="R555" s="10" t="s">
        <v>28</v>
      </c>
      <c r="S555" s="10"/>
      <c r="T555" s="10"/>
      <c r="U555" s="10" t="s">
        <v>1334</v>
      </c>
      <c r="V555" s="10" t="s">
        <v>1334</v>
      </c>
      <c r="W555" s="50">
        <f>+J555/$W$2</f>
        <v>3.7912701330364997E-5</v>
      </c>
    </row>
    <row r="556" spans="1:23">
      <c r="A556" s="10" t="s">
        <v>986</v>
      </c>
      <c r="B556" s="10" t="s">
        <v>358</v>
      </c>
      <c r="C556" s="124">
        <v>46338</v>
      </c>
      <c r="D556" s="124" t="s">
        <v>471</v>
      </c>
      <c r="E556" s="21">
        <v>0.98937441999999998</v>
      </c>
      <c r="F556" s="10"/>
      <c r="G556" s="14">
        <v>50000000</v>
      </c>
      <c r="H556" s="14">
        <v>49468721.159999996</v>
      </c>
      <c r="I556" s="14">
        <v>50000000</v>
      </c>
      <c r="J556" s="14">
        <v>49468721.159999996</v>
      </c>
      <c r="K556" s="12">
        <v>30</v>
      </c>
      <c r="L556" s="10" t="s">
        <v>101</v>
      </c>
      <c r="M556" s="10" t="s">
        <v>102</v>
      </c>
      <c r="N556" s="124" t="s">
        <v>389</v>
      </c>
      <c r="O556" s="124" t="s">
        <v>389</v>
      </c>
      <c r="P556" s="21">
        <v>28</v>
      </c>
      <c r="Q556" s="10" t="s">
        <v>54</v>
      </c>
      <c r="R556" s="10" t="s">
        <v>28</v>
      </c>
      <c r="S556" s="10"/>
      <c r="T556" s="10"/>
      <c r="U556" s="10" t="s">
        <v>980</v>
      </c>
      <c r="V556" s="10" t="s">
        <v>980</v>
      </c>
      <c r="W556" s="50">
        <f>+J556/$W$2</f>
        <v>6.0543015443301749E-4</v>
      </c>
    </row>
    <row r="557" spans="1:23">
      <c r="A557" s="10" t="s">
        <v>318</v>
      </c>
      <c r="B557" s="10" t="s">
        <v>358</v>
      </c>
      <c r="C557" s="124">
        <v>46338</v>
      </c>
      <c r="D557" s="124" t="s">
        <v>471</v>
      </c>
      <c r="E557" s="21">
        <v>0.98787486999999996</v>
      </c>
      <c r="F557" s="10"/>
      <c r="G557" s="14">
        <v>40000000</v>
      </c>
      <c r="H557" s="14">
        <v>39514994.899999999</v>
      </c>
      <c r="I557" s="14">
        <v>40000000</v>
      </c>
      <c r="J557" s="14">
        <v>39514994.899999999</v>
      </c>
      <c r="K557" s="12">
        <v>13953441</v>
      </c>
      <c r="L557" s="10" t="s">
        <v>101</v>
      </c>
      <c r="M557" s="10" t="s">
        <v>102</v>
      </c>
      <c r="N557" s="124" t="s">
        <v>309</v>
      </c>
      <c r="O557" s="124" t="s">
        <v>309</v>
      </c>
      <c r="P557" s="21">
        <v>32</v>
      </c>
      <c r="Q557" s="10" t="s">
        <v>54</v>
      </c>
      <c r="R557" s="10" t="s">
        <v>28</v>
      </c>
      <c r="S557" s="10"/>
      <c r="T557" s="10"/>
      <c r="U557" s="10" t="s">
        <v>857</v>
      </c>
      <c r="V557" s="10" t="s">
        <v>857</v>
      </c>
      <c r="W557" s="50">
        <f>+J557/$W$2</f>
        <v>4.836100247538095E-4</v>
      </c>
    </row>
    <row r="558" spans="1:23">
      <c r="A558" s="10" t="s">
        <v>832</v>
      </c>
      <c r="B558" s="10" t="s">
        <v>358</v>
      </c>
      <c r="C558" s="124">
        <v>46338</v>
      </c>
      <c r="D558" s="124" t="s">
        <v>471</v>
      </c>
      <c r="E558" s="21">
        <v>0.98750088000000003</v>
      </c>
      <c r="F558" s="10"/>
      <c r="G558" s="14">
        <v>14698.63</v>
      </c>
      <c r="H558" s="14">
        <v>14514.91</v>
      </c>
      <c r="I558" s="14">
        <v>14698.63</v>
      </c>
      <c r="J558" s="14">
        <v>14514.91</v>
      </c>
      <c r="K558" s="12">
        <v>122352</v>
      </c>
      <c r="L558" s="10" t="s">
        <v>101</v>
      </c>
      <c r="M558" s="10" t="s">
        <v>102</v>
      </c>
      <c r="N558" s="124" t="s">
        <v>447</v>
      </c>
      <c r="O558" s="124" t="s">
        <v>447</v>
      </c>
      <c r="P558" s="21">
        <v>33</v>
      </c>
      <c r="Q558" s="10" t="s">
        <v>54</v>
      </c>
      <c r="R558" s="10" t="s">
        <v>28</v>
      </c>
      <c r="S558" s="10"/>
      <c r="T558" s="10"/>
      <c r="U558" s="10" t="s">
        <v>1617</v>
      </c>
      <c r="V558" s="10" t="s">
        <v>1617</v>
      </c>
      <c r="W558" s="50">
        <f>+J558/$W$2</f>
        <v>1.7764284171524257E-7</v>
      </c>
    </row>
    <row r="559" spans="1:23">
      <c r="A559" s="10" t="s">
        <v>220</v>
      </c>
      <c r="B559" s="10" t="s">
        <v>358</v>
      </c>
      <c r="C559" s="124">
        <v>46338</v>
      </c>
      <c r="D559" s="124" t="s">
        <v>471</v>
      </c>
      <c r="E559" s="21">
        <v>0.98750070000000001</v>
      </c>
      <c r="F559" s="10"/>
      <c r="G559" s="14">
        <v>30000000</v>
      </c>
      <c r="H559" s="14">
        <v>29625020.890000001</v>
      </c>
      <c r="I559" s="14">
        <v>30000000</v>
      </c>
      <c r="J559" s="14">
        <v>29625020.890000001</v>
      </c>
      <c r="K559" s="12">
        <v>475883</v>
      </c>
      <c r="L559" s="10" t="s">
        <v>101</v>
      </c>
      <c r="M559" s="10" t="s">
        <v>102</v>
      </c>
      <c r="N559" s="124" t="s">
        <v>332</v>
      </c>
      <c r="O559" s="124" t="s">
        <v>332</v>
      </c>
      <c r="P559" s="21">
        <v>33</v>
      </c>
      <c r="Q559" s="10" t="s">
        <v>54</v>
      </c>
      <c r="R559" s="10" t="s">
        <v>28</v>
      </c>
      <c r="S559" s="10"/>
      <c r="T559" s="10"/>
      <c r="U559" s="10" t="s">
        <v>924</v>
      </c>
      <c r="V559" s="10" t="s">
        <v>924</v>
      </c>
      <c r="W559" s="50">
        <f>+J559/$W$2</f>
        <v>3.625701362786972E-4</v>
      </c>
    </row>
    <row r="560" spans="1:23">
      <c r="A560" s="10" t="s">
        <v>364</v>
      </c>
      <c r="B560" s="10" t="s">
        <v>358</v>
      </c>
      <c r="C560" s="124">
        <v>46338</v>
      </c>
      <c r="D560" s="124" t="s">
        <v>471</v>
      </c>
      <c r="E560" s="21">
        <v>0.98787486999999996</v>
      </c>
      <c r="F560" s="10"/>
      <c r="G560" s="14">
        <v>16498838.289999999</v>
      </c>
      <c r="H560" s="14">
        <v>16298787.77</v>
      </c>
      <c r="I560" s="14">
        <v>16498838.289999999</v>
      </c>
      <c r="J560" s="14">
        <v>16298787.77</v>
      </c>
      <c r="K560" s="12">
        <v>30851</v>
      </c>
      <c r="L560" s="10" t="s">
        <v>101</v>
      </c>
      <c r="M560" s="10" t="s">
        <v>102</v>
      </c>
      <c r="N560" s="124" t="s">
        <v>309</v>
      </c>
      <c r="O560" s="124" t="s">
        <v>309</v>
      </c>
      <c r="P560" s="21">
        <v>32</v>
      </c>
      <c r="Q560" s="10" t="s">
        <v>54</v>
      </c>
      <c r="R560" s="10" t="s">
        <v>28</v>
      </c>
      <c r="S560" s="10"/>
      <c r="T560" s="10"/>
      <c r="U560" s="10" t="s">
        <v>861</v>
      </c>
      <c r="V560" s="10" t="s">
        <v>861</v>
      </c>
      <c r="W560" s="50">
        <f>+J560/$W$2</f>
        <v>1.9947508981980883E-4</v>
      </c>
    </row>
    <row r="561" spans="1:29">
      <c r="A561" s="10" t="s">
        <v>364</v>
      </c>
      <c r="B561" s="10" t="s">
        <v>358</v>
      </c>
      <c r="C561" s="124">
        <v>46338</v>
      </c>
      <c r="D561" s="124" t="s">
        <v>471</v>
      </c>
      <c r="E561" s="21">
        <v>0.98787486999999996</v>
      </c>
      <c r="F561" s="10"/>
      <c r="G561" s="14">
        <v>11829797.539999999</v>
      </c>
      <c r="H561" s="14">
        <v>11686359.74</v>
      </c>
      <c r="I561" s="14">
        <v>11829797.539999999</v>
      </c>
      <c r="J561" s="14">
        <v>11686359.74</v>
      </c>
      <c r="K561" s="12">
        <v>30895</v>
      </c>
      <c r="L561" s="10" t="s">
        <v>101</v>
      </c>
      <c r="M561" s="10" t="s">
        <v>102</v>
      </c>
      <c r="N561" s="124" t="s">
        <v>309</v>
      </c>
      <c r="O561" s="124" t="s">
        <v>309</v>
      </c>
      <c r="P561" s="21">
        <v>32</v>
      </c>
      <c r="Q561" s="10" t="s">
        <v>54</v>
      </c>
      <c r="R561" s="10" t="s">
        <v>28</v>
      </c>
      <c r="S561" s="10"/>
      <c r="T561" s="10"/>
      <c r="U561" s="10" t="s">
        <v>863</v>
      </c>
      <c r="V561" s="10" t="s">
        <v>863</v>
      </c>
      <c r="W561" s="50">
        <f>+J561/$W$2</f>
        <v>1.4302521707128761E-4</v>
      </c>
    </row>
    <row r="562" spans="1:29">
      <c r="A562" s="10" t="s">
        <v>520</v>
      </c>
      <c r="B562" s="10" t="s">
        <v>358</v>
      </c>
      <c r="C562" s="124">
        <v>46338</v>
      </c>
      <c r="D562" s="124" t="s">
        <v>471</v>
      </c>
      <c r="E562" s="21">
        <v>0.98526159000000002</v>
      </c>
      <c r="F562" s="10"/>
      <c r="G562" s="14">
        <v>3750000</v>
      </c>
      <c r="H562" s="14">
        <v>3694730.96</v>
      </c>
      <c r="I562" s="14">
        <v>3750000</v>
      </c>
      <c r="J562" s="14">
        <v>3694730.96</v>
      </c>
      <c r="K562" s="12">
        <v>66918856</v>
      </c>
      <c r="L562" s="10" t="s">
        <v>101</v>
      </c>
      <c r="M562" s="10" t="s">
        <v>102</v>
      </c>
      <c r="N562" s="124" t="s">
        <v>296</v>
      </c>
      <c r="O562" s="124" t="s">
        <v>296</v>
      </c>
      <c r="P562" s="21">
        <v>39</v>
      </c>
      <c r="Q562" s="10" t="s">
        <v>54</v>
      </c>
      <c r="R562" s="10" t="s">
        <v>28</v>
      </c>
      <c r="S562" s="10"/>
      <c r="T562" s="10"/>
      <c r="U562" s="10" t="s">
        <v>511</v>
      </c>
      <c r="V562" s="10" t="s">
        <v>511</v>
      </c>
      <c r="W562" s="50">
        <f>+J562/$W$2</f>
        <v>4.521850339462568E-5</v>
      </c>
    </row>
    <row r="563" spans="1:29">
      <c r="A563" s="10" t="s">
        <v>524</v>
      </c>
      <c r="B563" s="10" t="s">
        <v>358</v>
      </c>
      <c r="C563" s="124">
        <v>46338</v>
      </c>
      <c r="D563" s="124" t="s">
        <v>471</v>
      </c>
      <c r="E563" s="21">
        <v>0.98637989000000004</v>
      </c>
      <c r="F563" s="10"/>
      <c r="G563" s="14">
        <v>1555000.5</v>
      </c>
      <c r="H563" s="14">
        <v>1533821.23</v>
      </c>
      <c r="I563" s="14">
        <v>1555000.5</v>
      </c>
      <c r="J563" s="14">
        <v>1533821.23</v>
      </c>
      <c r="K563" s="12">
        <v>507</v>
      </c>
      <c r="L563" s="10" t="s">
        <v>101</v>
      </c>
      <c r="M563" s="10" t="s">
        <v>102</v>
      </c>
      <c r="N563" s="124" t="s">
        <v>161</v>
      </c>
      <c r="O563" s="124" t="s">
        <v>161</v>
      </c>
      <c r="P563" s="21">
        <v>36</v>
      </c>
      <c r="Q563" s="10" t="s">
        <v>54</v>
      </c>
      <c r="R563" s="10" t="s">
        <v>28</v>
      </c>
      <c r="S563" s="10"/>
      <c r="T563" s="10"/>
      <c r="U563" s="10" t="s">
        <v>1051</v>
      </c>
      <c r="V563" s="10" t="s">
        <v>1051</v>
      </c>
      <c r="W563" s="50">
        <f>+J563/$W$2</f>
        <v>1.8771894691759624E-5</v>
      </c>
    </row>
    <row r="564" spans="1:29">
      <c r="A564" s="10" t="s">
        <v>2437</v>
      </c>
      <c r="B564" s="10" t="s">
        <v>358</v>
      </c>
      <c r="C564" s="124">
        <v>46338</v>
      </c>
      <c r="D564" s="124" t="s">
        <v>471</v>
      </c>
      <c r="E564" s="21">
        <v>0.98862412</v>
      </c>
      <c r="F564" s="10"/>
      <c r="G564" s="14">
        <v>2500000</v>
      </c>
      <c r="H564" s="14">
        <v>2471560.31</v>
      </c>
      <c r="I564" s="14">
        <v>2500000</v>
      </c>
      <c r="J564" s="14">
        <v>2471560.31</v>
      </c>
      <c r="K564" s="12">
        <v>361</v>
      </c>
      <c r="L564" s="10" t="s">
        <v>101</v>
      </c>
      <c r="M564" s="10" t="s">
        <v>102</v>
      </c>
      <c r="N564" s="124" t="s">
        <v>477</v>
      </c>
      <c r="O564" s="124" t="s">
        <v>477</v>
      </c>
      <c r="P564" s="21">
        <v>30</v>
      </c>
      <c r="Q564" s="10" t="s">
        <v>54</v>
      </c>
      <c r="R564" s="10" t="s">
        <v>28</v>
      </c>
      <c r="S564" s="10"/>
      <c r="T564" s="10"/>
      <c r="U564" s="10" t="s">
        <v>2421</v>
      </c>
      <c r="V564" s="10" t="s">
        <v>2421</v>
      </c>
      <c r="W564" s="50">
        <f>+J564/$W$2</f>
        <v>3.0248551106345535E-5</v>
      </c>
    </row>
    <row r="565" spans="1:29">
      <c r="A565" s="10" t="s">
        <v>438</v>
      </c>
      <c r="B565" s="10" t="s">
        <v>358</v>
      </c>
      <c r="C565" s="124">
        <v>46338</v>
      </c>
      <c r="D565" s="124" t="s">
        <v>471</v>
      </c>
      <c r="E565" s="21">
        <v>0.98899908999999997</v>
      </c>
      <c r="F565" s="10"/>
      <c r="G565" s="14">
        <v>17118303</v>
      </c>
      <c r="H565" s="14">
        <v>16929986.010000002</v>
      </c>
      <c r="I565" s="14">
        <v>17118303</v>
      </c>
      <c r="J565" s="14">
        <v>16929986.010000002</v>
      </c>
      <c r="K565" s="12">
        <v>27672</v>
      </c>
      <c r="L565" s="10" t="s">
        <v>101</v>
      </c>
      <c r="M565" s="10" t="s">
        <v>102</v>
      </c>
      <c r="N565" s="124" t="s">
        <v>287</v>
      </c>
      <c r="O565" s="124" t="s">
        <v>287</v>
      </c>
      <c r="P565" s="21">
        <v>29</v>
      </c>
      <c r="Q565" s="10" t="s">
        <v>54</v>
      </c>
      <c r="R565" s="10" t="s">
        <v>28</v>
      </c>
      <c r="S565" s="10"/>
      <c r="T565" s="10"/>
      <c r="U565" s="10" t="s">
        <v>492</v>
      </c>
      <c r="V565" s="10" t="s">
        <v>492</v>
      </c>
      <c r="W565" s="50">
        <f>+J565/$W$2</f>
        <v>2.0720010148293728E-4</v>
      </c>
    </row>
    <row r="566" spans="1:29">
      <c r="A566" s="10" t="s">
        <v>522</v>
      </c>
      <c r="B566" s="10" t="s">
        <v>358</v>
      </c>
      <c r="C566" s="124">
        <v>46338</v>
      </c>
      <c r="D566" s="124" t="s">
        <v>471</v>
      </c>
      <c r="E566" s="21">
        <v>0.98750073000000005</v>
      </c>
      <c r="F566" s="10"/>
      <c r="G566" s="14">
        <v>40000000</v>
      </c>
      <c r="H566" s="14">
        <v>39500029.159999996</v>
      </c>
      <c r="I566" s="14">
        <v>40000000</v>
      </c>
      <c r="J566" s="14">
        <v>39500029.159999996</v>
      </c>
      <c r="K566" s="12">
        <v>9795687</v>
      </c>
      <c r="L566" s="10" t="s">
        <v>101</v>
      </c>
      <c r="M566" s="10" t="s">
        <v>102</v>
      </c>
      <c r="N566" s="124" t="s">
        <v>441</v>
      </c>
      <c r="O566" s="124" t="s">
        <v>441</v>
      </c>
      <c r="P566" s="21">
        <v>33</v>
      </c>
      <c r="Q566" s="10" t="s">
        <v>54</v>
      </c>
      <c r="R566" s="10" t="s">
        <v>28</v>
      </c>
      <c r="S566" s="10"/>
      <c r="T566" s="10"/>
      <c r="U566" s="10" t="s">
        <v>1549</v>
      </c>
      <c r="V566" s="10" t="s">
        <v>1549</v>
      </c>
      <c r="W566" s="50">
        <f>+J566/$W$2</f>
        <v>4.8342686436342666E-4</v>
      </c>
    </row>
    <row r="567" spans="1:29">
      <c r="A567" s="10" t="s">
        <v>164</v>
      </c>
      <c r="B567" s="10" t="s">
        <v>358</v>
      </c>
      <c r="C567" s="124">
        <v>46338</v>
      </c>
      <c r="D567" s="124" t="s">
        <v>471</v>
      </c>
      <c r="E567" s="21">
        <v>0.98563411000000001</v>
      </c>
      <c r="F567" s="10"/>
      <c r="G567" s="14">
        <v>155000000</v>
      </c>
      <c r="H567" s="14">
        <v>152773286.59</v>
      </c>
      <c r="I567" s="14">
        <v>155000000</v>
      </c>
      <c r="J567" s="14">
        <v>152773286.59</v>
      </c>
      <c r="K567" s="12">
        <v>70411289</v>
      </c>
      <c r="L567" s="10" t="s">
        <v>101</v>
      </c>
      <c r="M567" s="10" t="s">
        <v>102</v>
      </c>
      <c r="N567" s="124" t="s">
        <v>576</v>
      </c>
      <c r="O567" s="124" t="s">
        <v>576</v>
      </c>
      <c r="P567" s="21">
        <v>38</v>
      </c>
      <c r="Q567" s="10" t="s">
        <v>54</v>
      </c>
      <c r="R567" s="10" t="s">
        <v>28</v>
      </c>
      <c r="S567" s="10"/>
      <c r="T567" s="10"/>
      <c r="U567" s="10" t="s">
        <v>2347</v>
      </c>
      <c r="V567" s="10" t="s">
        <v>2347</v>
      </c>
      <c r="W567" s="50">
        <f>+J567/$W$2</f>
        <v>1.869738136028729E-3</v>
      </c>
    </row>
    <row r="568" spans="1:29">
      <c r="A568" s="10" t="s">
        <v>164</v>
      </c>
      <c r="B568" s="10" t="s">
        <v>358</v>
      </c>
      <c r="C568" s="124">
        <v>46338</v>
      </c>
      <c r="D568" s="124" t="s">
        <v>471</v>
      </c>
      <c r="E568" s="21">
        <v>0.98563411999999995</v>
      </c>
      <c r="F568" s="10"/>
      <c r="G568" s="14">
        <v>150000000</v>
      </c>
      <c r="H568" s="14">
        <v>147845117.72</v>
      </c>
      <c r="I568" s="14">
        <v>150000000</v>
      </c>
      <c r="J568" s="14">
        <v>147845117.72</v>
      </c>
      <c r="K568" s="12">
        <v>70406569</v>
      </c>
      <c r="L568" s="10" t="s">
        <v>101</v>
      </c>
      <c r="M568" s="10" t="s">
        <v>102</v>
      </c>
      <c r="N568" s="124" t="s">
        <v>486</v>
      </c>
      <c r="O568" s="124" t="s">
        <v>486</v>
      </c>
      <c r="P568" s="21">
        <v>38</v>
      </c>
      <c r="Q568" s="10" t="s">
        <v>54</v>
      </c>
      <c r="R568" s="10" t="s">
        <v>28</v>
      </c>
      <c r="S568" s="10"/>
      <c r="T568" s="10"/>
      <c r="U568" s="10" t="s">
        <v>1471</v>
      </c>
      <c r="V568" s="10" t="s">
        <v>1471</v>
      </c>
      <c r="W568" s="50">
        <f>+J568/$W$2</f>
        <v>1.8094240229877667E-3</v>
      </c>
      <c r="AC568" s="47"/>
    </row>
    <row r="569" spans="1:29">
      <c r="A569" s="10" t="s">
        <v>433</v>
      </c>
      <c r="B569" s="10" t="s">
        <v>358</v>
      </c>
      <c r="C569" s="124">
        <v>46338</v>
      </c>
      <c r="D569" s="124" t="s">
        <v>471</v>
      </c>
      <c r="E569" s="21">
        <v>0.98787486999999996</v>
      </c>
      <c r="F569" s="10"/>
      <c r="G569" s="14">
        <v>10000000</v>
      </c>
      <c r="H569" s="14">
        <v>9878748.6899999995</v>
      </c>
      <c r="I569" s="14">
        <v>10000000</v>
      </c>
      <c r="J569" s="14">
        <v>9878748.6899999995</v>
      </c>
      <c r="K569" s="12">
        <v>14422574</v>
      </c>
      <c r="L569" s="10" t="s">
        <v>101</v>
      </c>
      <c r="M569" s="10" t="s">
        <v>102</v>
      </c>
      <c r="N569" s="124" t="s">
        <v>162</v>
      </c>
      <c r="O569" s="124" t="s">
        <v>162</v>
      </c>
      <c r="P569" s="21">
        <v>32</v>
      </c>
      <c r="Q569" s="10" t="s">
        <v>54</v>
      </c>
      <c r="R569" s="10" t="s">
        <v>28</v>
      </c>
      <c r="S569" s="10"/>
      <c r="T569" s="10"/>
      <c r="U569" s="10" t="s">
        <v>1270</v>
      </c>
      <c r="V569" s="10" t="s">
        <v>1270</v>
      </c>
      <c r="W569" s="50">
        <f>+J569/$W$2</f>
        <v>1.2090250576009976E-4</v>
      </c>
    </row>
    <row r="570" spans="1:29">
      <c r="A570" s="10" t="s">
        <v>3411</v>
      </c>
      <c r="B570" s="10" t="s">
        <v>358</v>
      </c>
      <c r="C570" s="124">
        <v>46338</v>
      </c>
      <c r="D570" s="124" t="s">
        <v>471</v>
      </c>
      <c r="E570" s="21">
        <v>0.98675325999999997</v>
      </c>
      <c r="F570" s="10"/>
      <c r="G570" s="14">
        <v>13171884.07</v>
      </c>
      <c r="H570" s="14">
        <v>12997399.560000001</v>
      </c>
      <c r="I570" s="14">
        <v>13171884.07</v>
      </c>
      <c r="J570" s="14">
        <v>12997399.560000001</v>
      </c>
      <c r="K570" s="12">
        <v>60</v>
      </c>
      <c r="L570" s="10" t="s">
        <v>101</v>
      </c>
      <c r="M570" s="10" t="s">
        <v>102</v>
      </c>
      <c r="N570" s="124" t="s">
        <v>475</v>
      </c>
      <c r="O570" s="124" t="s">
        <v>475</v>
      </c>
      <c r="P570" s="21">
        <v>35</v>
      </c>
      <c r="Q570" s="10" t="s">
        <v>54</v>
      </c>
      <c r="R570" s="10" t="s">
        <v>28</v>
      </c>
      <c r="S570" s="10"/>
      <c r="T570" s="10"/>
      <c r="U570" s="10" t="s">
        <v>3375</v>
      </c>
      <c r="V570" s="10" t="s">
        <v>3375</v>
      </c>
      <c r="W570" s="50">
        <f>+J570/$W$2</f>
        <v>1.5907056900434406E-4</v>
      </c>
    </row>
    <row r="571" spans="1:29">
      <c r="A571" s="10" t="s">
        <v>966</v>
      </c>
      <c r="B571" s="10" t="s">
        <v>358</v>
      </c>
      <c r="C571" s="124">
        <v>46338</v>
      </c>
      <c r="D571" s="124" t="s">
        <v>471</v>
      </c>
      <c r="E571" s="21">
        <v>0.98824933999999998</v>
      </c>
      <c r="F571" s="10"/>
      <c r="G571" s="14">
        <v>4753002.9800000004</v>
      </c>
      <c r="H571" s="14">
        <v>4697152.04</v>
      </c>
      <c r="I571" s="14">
        <v>4753002.9800000004</v>
      </c>
      <c r="J571" s="14">
        <v>4697152.04</v>
      </c>
      <c r="K571" s="12">
        <v>113295</v>
      </c>
      <c r="L571" s="10" t="s">
        <v>101</v>
      </c>
      <c r="M571" s="10" t="s">
        <v>102</v>
      </c>
      <c r="N571" s="124" t="s">
        <v>439</v>
      </c>
      <c r="O571" s="124" t="s">
        <v>439</v>
      </c>
      <c r="P571" s="21">
        <v>31</v>
      </c>
      <c r="Q571" s="10" t="s">
        <v>54</v>
      </c>
      <c r="R571" s="10" t="s">
        <v>28</v>
      </c>
      <c r="S571" s="10"/>
      <c r="T571" s="10"/>
      <c r="U571" s="10" t="s">
        <v>2311</v>
      </c>
      <c r="V571" s="10" t="s">
        <v>2311</v>
      </c>
      <c r="W571" s="50">
        <f>+J571/$W$2</f>
        <v>5.7486779894201802E-5</v>
      </c>
    </row>
    <row r="572" spans="1:29">
      <c r="A572" s="10" t="s">
        <v>359</v>
      </c>
      <c r="B572" s="10" t="s">
        <v>358</v>
      </c>
      <c r="C572" s="124">
        <v>46338</v>
      </c>
      <c r="D572" s="124" t="s">
        <v>471</v>
      </c>
      <c r="E572" s="21">
        <v>0.98862406999999997</v>
      </c>
      <c r="F572" s="10"/>
      <c r="G572" s="14">
        <v>5000000</v>
      </c>
      <c r="H572" s="14">
        <v>4943120.33</v>
      </c>
      <c r="I572" s="14">
        <v>5000000</v>
      </c>
      <c r="J572" s="14">
        <v>4943120.33</v>
      </c>
      <c r="K572" s="12">
        <v>1368</v>
      </c>
      <c r="L572" s="10" t="s">
        <v>101</v>
      </c>
      <c r="M572" s="10" t="s">
        <v>102</v>
      </c>
      <c r="N572" s="124" t="s">
        <v>413</v>
      </c>
      <c r="O572" s="124" t="s">
        <v>413</v>
      </c>
      <c r="P572" s="21">
        <v>30</v>
      </c>
      <c r="Q572" s="10" t="s">
        <v>54</v>
      </c>
      <c r="R572" s="10" t="s">
        <v>28</v>
      </c>
      <c r="S572" s="10"/>
      <c r="T572" s="10"/>
      <c r="U572" s="10" t="s">
        <v>2880</v>
      </c>
      <c r="V572" s="10" t="s">
        <v>2880</v>
      </c>
      <c r="W572" s="50">
        <f>+J572/$W$2</f>
        <v>6.0497098663483796E-5</v>
      </c>
    </row>
    <row r="573" spans="1:29">
      <c r="A573" s="10" t="s">
        <v>359</v>
      </c>
      <c r="B573" s="10" t="s">
        <v>358</v>
      </c>
      <c r="C573" s="124">
        <v>46338</v>
      </c>
      <c r="D573" s="124" t="s">
        <v>471</v>
      </c>
      <c r="E573" s="21">
        <v>0.98862413000000005</v>
      </c>
      <c r="F573" s="10"/>
      <c r="G573" s="14">
        <v>5000000</v>
      </c>
      <c r="H573" s="14">
        <v>4943120.6399999997</v>
      </c>
      <c r="I573" s="14">
        <v>5000000</v>
      </c>
      <c r="J573" s="14">
        <v>4943120.6399999997</v>
      </c>
      <c r="K573" s="12">
        <v>1351</v>
      </c>
      <c r="L573" s="10" t="s">
        <v>101</v>
      </c>
      <c r="M573" s="10" t="s">
        <v>102</v>
      </c>
      <c r="N573" s="124" t="s">
        <v>440</v>
      </c>
      <c r="O573" s="124" t="s">
        <v>440</v>
      </c>
      <c r="P573" s="21">
        <v>30</v>
      </c>
      <c r="Q573" s="10" t="s">
        <v>54</v>
      </c>
      <c r="R573" s="10" t="s">
        <v>28</v>
      </c>
      <c r="S573" s="10"/>
      <c r="T573" s="10"/>
      <c r="U573" s="10" t="s">
        <v>2686</v>
      </c>
      <c r="V573" s="10" t="s">
        <v>2686</v>
      </c>
      <c r="W573" s="50">
        <f>+J573/$W$2</f>
        <v>6.0497102457463975E-5</v>
      </c>
    </row>
    <row r="574" spans="1:29">
      <c r="A574" s="10" t="s">
        <v>359</v>
      </c>
      <c r="B574" s="10" t="s">
        <v>358</v>
      </c>
      <c r="C574" s="124">
        <v>46338</v>
      </c>
      <c r="D574" s="124" t="s">
        <v>471</v>
      </c>
      <c r="E574" s="21">
        <v>0.98862412</v>
      </c>
      <c r="F574" s="10"/>
      <c r="G574" s="14">
        <v>6000000</v>
      </c>
      <c r="H574" s="14">
        <v>5931744.6900000004</v>
      </c>
      <c r="I574" s="14">
        <v>6000000</v>
      </c>
      <c r="J574" s="14">
        <v>5931744.6900000004</v>
      </c>
      <c r="K574" s="12">
        <v>1356</v>
      </c>
      <c r="L574" s="10" t="s">
        <v>101</v>
      </c>
      <c r="M574" s="10" t="s">
        <v>102</v>
      </c>
      <c r="N574" s="124" t="s">
        <v>412</v>
      </c>
      <c r="O574" s="124" t="s">
        <v>412</v>
      </c>
      <c r="P574" s="21">
        <v>30</v>
      </c>
      <c r="Q574" s="10" t="s">
        <v>54</v>
      </c>
      <c r="R574" s="10" t="s">
        <v>28</v>
      </c>
      <c r="S574" s="10"/>
      <c r="T574" s="10"/>
      <c r="U574" s="10" t="s">
        <v>2762</v>
      </c>
      <c r="V574" s="10" t="s">
        <v>2762</v>
      </c>
      <c r="W574" s="50">
        <f>+J574/$W$2</f>
        <v>7.2596521994342412E-5</v>
      </c>
      <c r="AC574" s="47"/>
    </row>
    <row r="575" spans="1:29">
      <c r="A575" s="10" t="s">
        <v>359</v>
      </c>
      <c r="B575" s="10" t="s">
        <v>358</v>
      </c>
      <c r="C575" s="124">
        <v>46338</v>
      </c>
      <c r="D575" s="124" t="s">
        <v>471</v>
      </c>
      <c r="E575" s="21">
        <v>0.98862406999999997</v>
      </c>
      <c r="F575" s="10"/>
      <c r="G575" s="14">
        <v>4250000</v>
      </c>
      <c r="H575" s="14">
        <v>4201652.3</v>
      </c>
      <c r="I575" s="14">
        <v>4250000</v>
      </c>
      <c r="J575" s="14">
        <v>4201652.3</v>
      </c>
      <c r="K575" s="12">
        <v>1330</v>
      </c>
      <c r="L575" s="10" t="s">
        <v>101</v>
      </c>
      <c r="M575" s="10" t="s">
        <v>102</v>
      </c>
      <c r="N575" s="124" t="s">
        <v>464</v>
      </c>
      <c r="O575" s="124" t="s">
        <v>464</v>
      </c>
      <c r="P575" s="21">
        <v>30</v>
      </c>
      <c r="Q575" s="10" t="s">
        <v>54</v>
      </c>
      <c r="R575" s="10" t="s">
        <v>28</v>
      </c>
      <c r="S575" s="10"/>
      <c r="T575" s="10"/>
      <c r="U575" s="10" t="s">
        <v>2552</v>
      </c>
      <c r="V575" s="10" t="s">
        <v>2552</v>
      </c>
      <c r="W575" s="50">
        <f>+J575/$W$2</f>
        <v>5.1422534102614813E-5</v>
      </c>
    </row>
    <row r="576" spans="1:29">
      <c r="A576" s="10" t="s">
        <v>2312</v>
      </c>
      <c r="B576" s="10" t="s">
        <v>358</v>
      </c>
      <c r="C576" s="124">
        <v>46338</v>
      </c>
      <c r="D576" s="124" t="s">
        <v>471</v>
      </c>
      <c r="E576" s="21">
        <v>0.98824933999999998</v>
      </c>
      <c r="F576" s="10"/>
      <c r="G576" s="14">
        <v>694088.77</v>
      </c>
      <c r="H576" s="14">
        <v>685932.77</v>
      </c>
      <c r="I576" s="14">
        <v>694088.77</v>
      </c>
      <c r="J576" s="14">
        <v>685932.77</v>
      </c>
      <c r="K576" s="12">
        <v>37825</v>
      </c>
      <c r="L576" s="10" t="s">
        <v>101</v>
      </c>
      <c r="M576" s="10" t="s">
        <v>102</v>
      </c>
      <c r="N576" s="124" t="s">
        <v>439</v>
      </c>
      <c r="O576" s="124" t="s">
        <v>439</v>
      </c>
      <c r="P576" s="21">
        <v>31</v>
      </c>
      <c r="Q576" s="10" t="s">
        <v>54</v>
      </c>
      <c r="R576" s="10" t="s">
        <v>28</v>
      </c>
      <c r="S576" s="10"/>
      <c r="T576" s="10"/>
      <c r="U576" s="10" t="s">
        <v>2255</v>
      </c>
      <c r="V576" s="10" t="s">
        <v>2255</v>
      </c>
      <c r="W576" s="50">
        <f>+J576/$W$2</f>
        <v>8.3948881865893681E-6</v>
      </c>
    </row>
    <row r="577" spans="1:29">
      <c r="A577" s="10" t="s">
        <v>367</v>
      </c>
      <c r="B577" s="10" t="s">
        <v>358</v>
      </c>
      <c r="C577" s="124">
        <v>46338</v>
      </c>
      <c r="D577" s="124" t="s">
        <v>471</v>
      </c>
      <c r="E577" s="21">
        <v>0.98712681000000002</v>
      </c>
      <c r="F577" s="10"/>
      <c r="G577" s="14">
        <v>4000000</v>
      </c>
      <c r="H577" s="14">
        <v>3948507.24</v>
      </c>
      <c r="I577" s="14">
        <v>4000000</v>
      </c>
      <c r="J577" s="14">
        <v>3948507.24</v>
      </c>
      <c r="K577" s="12">
        <v>90000052</v>
      </c>
      <c r="L577" s="10" t="s">
        <v>101</v>
      </c>
      <c r="M577" s="10" t="s">
        <v>102</v>
      </c>
      <c r="N577" s="124" t="s">
        <v>316</v>
      </c>
      <c r="O577" s="124" t="s">
        <v>316</v>
      </c>
      <c r="P577" s="21">
        <v>34</v>
      </c>
      <c r="Q577" s="10" t="s">
        <v>54</v>
      </c>
      <c r="R577" s="10" t="s">
        <v>28</v>
      </c>
      <c r="S577" s="10"/>
      <c r="T577" s="10"/>
      <c r="U577" s="10" t="s">
        <v>585</v>
      </c>
      <c r="V577" s="10" t="s">
        <v>585</v>
      </c>
      <c r="W577" s="50">
        <f>+J577/$W$2</f>
        <v>4.8324381387608283E-5</v>
      </c>
      <c r="AC577" s="47"/>
    </row>
    <row r="578" spans="1:29">
      <c r="A578" s="10" t="s">
        <v>377</v>
      </c>
      <c r="B578" s="10" t="s">
        <v>358</v>
      </c>
      <c r="C578" s="124">
        <v>46338</v>
      </c>
      <c r="D578" s="124" t="s">
        <v>471</v>
      </c>
      <c r="E578" s="21">
        <v>0.98787491000000005</v>
      </c>
      <c r="F578" s="10"/>
      <c r="G578" s="14">
        <v>20000000</v>
      </c>
      <c r="H578" s="14">
        <v>19757498.280000001</v>
      </c>
      <c r="I578" s="14">
        <v>20000000</v>
      </c>
      <c r="J578" s="14">
        <v>19757498.280000001</v>
      </c>
      <c r="K578" s="12">
        <v>739</v>
      </c>
      <c r="L578" s="10" t="s">
        <v>101</v>
      </c>
      <c r="M578" s="10" t="s">
        <v>102</v>
      </c>
      <c r="N578" s="124" t="s">
        <v>408</v>
      </c>
      <c r="O578" s="124" t="s">
        <v>408</v>
      </c>
      <c r="P578" s="21">
        <v>32</v>
      </c>
      <c r="Q578" s="10" t="s">
        <v>54</v>
      </c>
      <c r="R578" s="10" t="s">
        <v>28</v>
      </c>
      <c r="S578" s="10"/>
      <c r="T578" s="10"/>
      <c r="U578" s="10" t="s">
        <v>2036</v>
      </c>
      <c r="V578" s="10" t="s">
        <v>2036</v>
      </c>
      <c r="W578" s="50">
        <f>+J578/$W$2</f>
        <v>2.4180502253498074E-4</v>
      </c>
    </row>
    <row r="579" spans="1:29">
      <c r="A579" s="10" t="s">
        <v>3060</v>
      </c>
      <c r="B579" s="10" t="s">
        <v>358</v>
      </c>
      <c r="C579" s="124">
        <v>46338</v>
      </c>
      <c r="D579" s="124" t="s">
        <v>471</v>
      </c>
      <c r="E579" s="21">
        <v>0.98750079000000002</v>
      </c>
      <c r="F579" s="10"/>
      <c r="G579" s="14">
        <v>1826115</v>
      </c>
      <c r="H579" s="14">
        <v>1803290.01</v>
      </c>
      <c r="I579" s="14">
        <v>1826115</v>
      </c>
      <c r="J579" s="14">
        <v>1803290.01</v>
      </c>
      <c r="K579" s="12">
        <v>68788642</v>
      </c>
      <c r="L579" s="10" t="s">
        <v>101</v>
      </c>
      <c r="M579" s="10" t="s">
        <v>102</v>
      </c>
      <c r="N579" s="124" t="s">
        <v>508</v>
      </c>
      <c r="O579" s="124" t="s">
        <v>508</v>
      </c>
      <c r="P579" s="21">
        <v>33</v>
      </c>
      <c r="Q579" s="10" t="s">
        <v>54</v>
      </c>
      <c r="R579" s="10" t="s">
        <v>28</v>
      </c>
      <c r="S579" s="10"/>
      <c r="T579" s="10"/>
      <c r="U579" s="10" t="s">
        <v>3030</v>
      </c>
      <c r="V579" s="10" t="s">
        <v>3030</v>
      </c>
      <c r="W579" s="50">
        <f>+J579/$W$2</f>
        <v>2.2069827633316926E-5</v>
      </c>
    </row>
    <row r="580" spans="1:29">
      <c r="A580" s="10" t="s">
        <v>3173</v>
      </c>
      <c r="B580" s="10" t="s">
        <v>358</v>
      </c>
      <c r="C580" s="124">
        <v>46338</v>
      </c>
      <c r="D580" s="124" t="s">
        <v>471</v>
      </c>
      <c r="E580" s="21">
        <v>0.98862410000000001</v>
      </c>
      <c r="F580" s="10"/>
      <c r="G580" s="14">
        <v>5000000</v>
      </c>
      <c r="H580" s="14">
        <v>4943120.5</v>
      </c>
      <c r="I580" s="14">
        <v>5000000</v>
      </c>
      <c r="J580" s="14">
        <v>4943120.5</v>
      </c>
      <c r="K580" s="12">
        <v>970</v>
      </c>
      <c r="L580" s="10" t="s">
        <v>101</v>
      </c>
      <c r="M580" s="10" t="s">
        <v>102</v>
      </c>
      <c r="N580" s="124" t="s">
        <v>448</v>
      </c>
      <c r="O580" s="124" t="s">
        <v>448</v>
      </c>
      <c r="P580" s="21">
        <v>30</v>
      </c>
      <c r="Q580" s="10" t="s">
        <v>54</v>
      </c>
      <c r="R580" s="10" t="s">
        <v>28</v>
      </c>
      <c r="S580" s="10"/>
      <c r="T580" s="10"/>
      <c r="U580" s="10" t="s">
        <v>3159</v>
      </c>
      <c r="V580" s="10" t="s">
        <v>3159</v>
      </c>
      <c r="W580" s="50">
        <f>+J580/$W$2</f>
        <v>6.0497100744053576E-5</v>
      </c>
    </row>
    <row r="581" spans="1:29">
      <c r="A581" s="10" t="s">
        <v>379</v>
      </c>
      <c r="B581" s="10" t="s">
        <v>358</v>
      </c>
      <c r="C581" s="124">
        <v>46338</v>
      </c>
      <c r="D581" s="124" t="s">
        <v>471</v>
      </c>
      <c r="E581" s="21">
        <v>0.98974998999999997</v>
      </c>
      <c r="F581" s="10"/>
      <c r="G581" s="14">
        <v>17861208.649999999</v>
      </c>
      <c r="H581" s="14">
        <v>17678131.050000001</v>
      </c>
      <c r="I581" s="14">
        <v>17861208.649999999</v>
      </c>
      <c r="J581" s="14">
        <v>17678131.050000001</v>
      </c>
      <c r="K581" s="12">
        <v>23266</v>
      </c>
      <c r="L581" s="10" t="s">
        <v>101</v>
      </c>
      <c r="M581" s="10" t="s">
        <v>102</v>
      </c>
      <c r="N581" s="124" t="s">
        <v>478</v>
      </c>
      <c r="O581" s="124" t="s">
        <v>478</v>
      </c>
      <c r="P581" s="21">
        <v>27</v>
      </c>
      <c r="Q581" s="10" t="s">
        <v>54</v>
      </c>
      <c r="R581" s="10" t="s">
        <v>28</v>
      </c>
      <c r="S581" s="10"/>
      <c r="T581" s="10"/>
      <c r="U581" s="10" t="s">
        <v>2107</v>
      </c>
      <c r="V581" s="10" t="s">
        <v>2107</v>
      </c>
      <c r="W581" s="50">
        <f>+J581/$W$2</f>
        <v>2.1635638360392623E-4</v>
      </c>
      <c r="AC581" s="47"/>
    </row>
    <row r="582" spans="1:29">
      <c r="A582" s="10" t="s">
        <v>271</v>
      </c>
      <c r="B582" s="10" t="s">
        <v>358</v>
      </c>
      <c r="C582" s="124">
        <v>46338</v>
      </c>
      <c r="D582" s="124" t="s">
        <v>471</v>
      </c>
      <c r="E582" s="21">
        <v>0.98862406999999997</v>
      </c>
      <c r="F582" s="10"/>
      <c r="G582" s="14">
        <v>10000000</v>
      </c>
      <c r="H582" s="14">
        <v>9886240.6799999997</v>
      </c>
      <c r="I582" s="14">
        <v>10000000</v>
      </c>
      <c r="J582" s="14">
        <v>9886240.6799999997</v>
      </c>
      <c r="K582" s="12">
        <v>68856243</v>
      </c>
      <c r="L582" s="10" t="s">
        <v>101</v>
      </c>
      <c r="M582" s="10" t="s">
        <v>102</v>
      </c>
      <c r="N582" s="124" t="s">
        <v>310</v>
      </c>
      <c r="O582" s="124" t="s">
        <v>310</v>
      </c>
      <c r="P582" s="21">
        <v>30</v>
      </c>
      <c r="Q582" s="10" t="s">
        <v>54</v>
      </c>
      <c r="R582" s="10" t="s">
        <v>28</v>
      </c>
      <c r="S582" s="10"/>
      <c r="T582" s="10"/>
      <c r="U582" s="10" t="s">
        <v>1024</v>
      </c>
      <c r="V582" s="10" t="s">
        <v>1024</v>
      </c>
      <c r="W582" s="50">
        <f>+J582/$W$2</f>
        <v>1.209941975717405E-4</v>
      </c>
      <c r="AC582" s="47"/>
    </row>
    <row r="583" spans="1:29">
      <c r="A583" s="10" t="s">
        <v>597</v>
      </c>
      <c r="B583" s="10" t="s">
        <v>358</v>
      </c>
      <c r="C583" s="124">
        <v>46338</v>
      </c>
      <c r="D583" s="124" t="s">
        <v>471</v>
      </c>
      <c r="E583" s="21">
        <v>0.98862404999999998</v>
      </c>
      <c r="F583" s="10"/>
      <c r="G583" s="14">
        <v>2700000</v>
      </c>
      <c r="H583" s="14">
        <v>2669284.94</v>
      </c>
      <c r="I583" s="14">
        <v>2700000</v>
      </c>
      <c r="J583" s="14">
        <v>2669284.94</v>
      </c>
      <c r="K583" s="12">
        <v>6912</v>
      </c>
      <c r="L583" s="10" t="s">
        <v>101</v>
      </c>
      <c r="M583" s="10" t="s">
        <v>102</v>
      </c>
      <c r="N583" s="124" t="s">
        <v>487</v>
      </c>
      <c r="O583" s="124" t="s">
        <v>487</v>
      </c>
      <c r="P583" s="21">
        <v>30</v>
      </c>
      <c r="Q583" s="10" t="s">
        <v>54</v>
      </c>
      <c r="R583" s="10" t="s">
        <v>28</v>
      </c>
      <c r="S583" s="10"/>
      <c r="T583" s="10"/>
      <c r="U583" s="10" t="s">
        <v>1582</v>
      </c>
      <c r="V583" s="10" t="s">
        <v>1582</v>
      </c>
      <c r="W583" s="50">
        <f>+J583/$W$2</f>
        <v>3.2668432810764983E-5</v>
      </c>
    </row>
    <row r="584" spans="1:29">
      <c r="A584" s="10" t="s">
        <v>696</v>
      </c>
      <c r="B584" s="10" t="s">
        <v>358</v>
      </c>
      <c r="C584" s="124">
        <v>46338</v>
      </c>
      <c r="D584" s="124" t="s">
        <v>471</v>
      </c>
      <c r="E584" s="21">
        <v>0.98712679999999997</v>
      </c>
      <c r="F584" s="10"/>
      <c r="G584" s="14">
        <v>5400000</v>
      </c>
      <c r="H584" s="14">
        <v>5330484.72</v>
      </c>
      <c r="I584" s="14">
        <v>5400000</v>
      </c>
      <c r="J584" s="14">
        <v>5330484.72</v>
      </c>
      <c r="K584" s="12">
        <v>162799</v>
      </c>
      <c r="L584" s="10" t="s">
        <v>101</v>
      </c>
      <c r="M584" s="10" t="s">
        <v>102</v>
      </c>
      <c r="N584" s="124" t="s">
        <v>331</v>
      </c>
      <c r="O584" s="124" t="s">
        <v>331</v>
      </c>
      <c r="P584" s="21">
        <v>34</v>
      </c>
      <c r="Q584" s="10" t="s">
        <v>54</v>
      </c>
      <c r="R584" s="10" t="s">
        <v>28</v>
      </c>
      <c r="S584" s="10"/>
      <c r="T584" s="10"/>
      <c r="U584" s="10" t="s">
        <v>1225</v>
      </c>
      <c r="V584" s="10" t="s">
        <v>1225</v>
      </c>
      <c r="W584" s="50">
        <f>+J584/$W$2</f>
        <v>6.5237914212384302E-5</v>
      </c>
    </row>
    <row r="585" spans="1:29">
      <c r="A585" s="10" t="s">
        <v>696</v>
      </c>
      <c r="B585" s="10" t="s">
        <v>358</v>
      </c>
      <c r="C585" s="124">
        <v>46338</v>
      </c>
      <c r="D585" s="124" t="s">
        <v>471</v>
      </c>
      <c r="E585" s="21">
        <v>0.98750079000000002</v>
      </c>
      <c r="F585" s="10"/>
      <c r="G585" s="14">
        <v>5700000</v>
      </c>
      <c r="H585" s="14">
        <v>5628754.5199999996</v>
      </c>
      <c r="I585" s="14">
        <v>5700000</v>
      </c>
      <c r="J585" s="14">
        <v>5628754.5199999996</v>
      </c>
      <c r="K585" s="12">
        <v>168841</v>
      </c>
      <c r="L585" s="10" t="s">
        <v>101</v>
      </c>
      <c r="M585" s="10" t="s">
        <v>102</v>
      </c>
      <c r="N585" s="124" t="s">
        <v>508</v>
      </c>
      <c r="O585" s="124" t="s">
        <v>508</v>
      </c>
      <c r="P585" s="21">
        <v>33</v>
      </c>
      <c r="Q585" s="10" t="s">
        <v>54</v>
      </c>
      <c r="R585" s="10" t="s">
        <v>28</v>
      </c>
      <c r="S585" s="10"/>
      <c r="T585" s="10"/>
      <c r="U585" s="10" t="s">
        <v>3006</v>
      </c>
      <c r="V585" s="10" t="s">
        <v>3006</v>
      </c>
      <c r="W585" s="50">
        <f>+J585/$W$2</f>
        <v>6.8888332635222408E-5</v>
      </c>
    </row>
    <row r="586" spans="1:29">
      <c r="A586" s="10" t="s">
        <v>359</v>
      </c>
      <c r="B586" s="10" t="s">
        <v>358</v>
      </c>
      <c r="C586" s="124">
        <v>46338</v>
      </c>
      <c r="D586" s="124" t="s">
        <v>471</v>
      </c>
      <c r="E586" s="21">
        <v>0.98787486999999996</v>
      </c>
      <c r="F586" s="10"/>
      <c r="G586" s="14">
        <v>3000000</v>
      </c>
      <c r="H586" s="14">
        <v>2963624.61</v>
      </c>
      <c r="I586" s="14">
        <v>3000000</v>
      </c>
      <c r="J586" s="14">
        <v>2963624.61</v>
      </c>
      <c r="K586" s="12">
        <v>1054</v>
      </c>
      <c r="L586" s="10" t="s">
        <v>101</v>
      </c>
      <c r="M586" s="10" t="s">
        <v>102</v>
      </c>
      <c r="N586" s="124" t="s">
        <v>373</v>
      </c>
      <c r="O586" s="124" t="s">
        <v>373</v>
      </c>
      <c r="P586" s="21">
        <v>32</v>
      </c>
      <c r="Q586" s="10" t="s">
        <v>54</v>
      </c>
      <c r="R586" s="10" t="s">
        <v>28</v>
      </c>
      <c r="S586" s="10"/>
      <c r="T586" s="10"/>
      <c r="U586" s="10" t="s">
        <v>1145</v>
      </c>
      <c r="V586" s="10" t="s">
        <v>1145</v>
      </c>
      <c r="W586" s="50">
        <f>+J586/$W$2</f>
        <v>3.6270751764745869E-5</v>
      </c>
    </row>
    <row r="587" spans="1:29">
      <c r="A587" s="10" t="s">
        <v>359</v>
      </c>
      <c r="B587" s="10" t="s">
        <v>358</v>
      </c>
      <c r="C587" s="124">
        <v>46338</v>
      </c>
      <c r="D587" s="124" t="s">
        <v>471</v>
      </c>
      <c r="E587" s="21">
        <v>0.98750070999999995</v>
      </c>
      <c r="F587" s="10"/>
      <c r="G587" s="14">
        <v>2500000</v>
      </c>
      <c r="H587" s="14">
        <v>2468751.77</v>
      </c>
      <c r="I587" s="14">
        <v>2500000</v>
      </c>
      <c r="J587" s="14">
        <v>2468751.77</v>
      </c>
      <c r="K587" s="12">
        <v>1017</v>
      </c>
      <c r="L587" s="10" t="s">
        <v>101</v>
      </c>
      <c r="M587" s="10" t="s">
        <v>102</v>
      </c>
      <c r="N587" s="124" t="s">
        <v>161</v>
      </c>
      <c r="O587" s="124" t="s">
        <v>161</v>
      </c>
      <c r="P587" s="21">
        <v>33</v>
      </c>
      <c r="Q587" s="10" t="s">
        <v>54</v>
      </c>
      <c r="R587" s="10" t="s">
        <v>28</v>
      </c>
      <c r="S587" s="10"/>
      <c r="T587" s="10"/>
      <c r="U587" s="10" t="s">
        <v>1070</v>
      </c>
      <c r="V587" s="10" t="s">
        <v>1070</v>
      </c>
      <c r="W587" s="50">
        <f>+J587/$W$2</f>
        <v>3.0214178380185266E-5</v>
      </c>
    </row>
    <row r="588" spans="1:29">
      <c r="A588" s="10" t="s">
        <v>359</v>
      </c>
      <c r="B588" s="10" t="s">
        <v>358</v>
      </c>
      <c r="C588" s="124">
        <v>46338</v>
      </c>
      <c r="D588" s="124" t="s">
        <v>471</v>
      </c>
      <c r="E588" s="21">
        <v>0.98862406000000003</v>
      </c>
      <c r="F588" s="10"/>
      <c r="G588" s="14">
        <v>2500000</v>
      </c>
      <c r="H588" s="14">
        <v>2471560.15</v>
      </c>
      <c r="I588" s="14">
        <v>2500000</v>
      </c>
      <c r="J588" s="14">
        <v>2471560.15</v>
      </c>
      <c r="K588" s="12">
        <v>888</v>
      </c>
      <c r="L588" s="10" t="s">
        <v>101</v>
      </c>
      <c r="M588" s="10" t="s">
        <v>102</v>
      </c>
      <c r="N588" s="124" t="s">
        <v>409</v>
      </c>
      <c r="O588" s="124" t="s">
        <v>409</v>
      </c>
      <c r="P588" s="21">
        <v>30</v>
      </c>
      <c r="Q588" s="10" t="s">
        <v>54</v>
      </c>
      <c r="R588" s="10" t="s">
        <v>28</v>
      </c>
      <c r="S588" s="10"/>
      <c r="T588" s="10"/>
      <c r="U588" s="10" t="s">
        <v>898</v>
      </c>
      <c r="V588" s="10" t="s">
        <v>898</v>
      </c>
      <c r="W588" s="50">
        <f>+J588/$W$2</f>
        <v>3.0248549148162211E-5</v>
      </c>
    </row>
    <row r="589" spans="1:29">
      <c r="A589" s="10" t="s">
        <v>2441</v>
      </c>
      <c r="B589" s="10" t="s">
        <v>358</v>
      </c>
      <c r="C589" s="124">
        <v>46338</v>
      </c>
      <c r="D589" s="124" t="s">
        <v>471</v>
      </c>
      <c r="E589" s="21">
        <v>0.98862412</v>
      </c>
      <c r="F589" s="10"/>
      <c r="G589" s="14">
        <v>500000</v>
      </c>
      <c r="H589" s="14">
        <v>494312.06</v>
      </c>
      <c r="I589" s="14">
        <v>500000</v>
      </c>
      <c r="J589" s="14">
        <v>494312.06</v>
      </c>
      <c r="K589" s="12">
        <v>200</v>
      </c>
      <c r="L589" s="10" t="s">
        <v>101</v>
      </c>
      <c r="M589" s="10" t="s">
        <v>102</v>
      </c>
      <c r="N589" s="124" t="s">
        <v>477</v>
      </c>
      <c r="O589" s="124" t="s">
        <v>477</v>
      </c>
      <c r="P589" s="21">
        <v>30</v>
      </c>
      <c r="Q589" s="10" t="s">
        <v>54</v>
      </c>
      <c r="R589" s="10" t="s">
        <v>28</v>
      </c>
      <c r="S589" s="10"/>
      <c r="T589" s="10"/>
      <c r="U589" s="10" t="s">
        <v>2417</v>
      </c>
      <c r="V589" s="10" t="s">
        <v>2417</v>
      </c>
      <c r="W589" s="50">
        <f>+J589/$W$2</f>
        <v>6.0497101967918149E-6</v>
      </c>
    </row>
    <row r="590" spans="1:29">
      <c r="A590" s="10" t="s">
        <v>2486</v>
      </c>
      <c r="B590" s="10" t="s">
        <v>358</v>
      </c>
      <c r="C590" s="124">
        <v>46338</v>
      </c>
      <c r="D590" s="124" t="s">
        <v>471</v>
      </c>
      <c r="E590" s="21">
        <v>0.98787493000000004</v>
      </c>
      <c r="F590" s="10"/>
      <c r="G590" s="14">
        <v>50000000</v>
      </c>
      <c r="H590" s="14">
        <v>49393746.420000002</v>
      </c>
      <c r="I590" s="14">
        <v>50000000</v>
      </c>
      <c r="J590" s="14">
        <v>49393746.420000002</v>
      </c>
      <c r="K590" s="12">
        <v>21552</v>
      </c>
      <c r="L590" s="10" t="s">
        <v>101</v>
      </c>
      <c r="M590" s="10" t="s">
        <v>102</v>
      </c>
      <c r="N590" s="124" t="s">
        <v>475</v>
      </c>
      <c r="O590" s="124" t="s">
        <v>475</v>
      </c>
      <c r="P590" s="21">
        <v>32</v>
      </c>
      <c r="Q590" s="10" t="s">
        <v>54</v>
      </c>
      <c r="R590" s="10" t="s">
        <v>28</v>
      </c>
      <c r="S590" s="10"/>
      <c r="T590" s="10"/>
      <c r="U590" s="10" t="s">
        <v>3389</v>
      </c>
      <c r="V590" s="10" t="s">
        <v>3389</v>
      </c>
      <c r="W590" s="50">
        <f>+J590/$W$2</f>
        <v>6.0451256514927685E-4</v>
      </c>
    </row>
    <row r="591" spans="1:29">
      <c r="A591" s="10" t="s">
        <v>2486</v>
      </c>
      <c r="B591" s="10" t="s">
        <v>358</v>
      </c>
      <c r="C591" s="124">
        <v>46338</v>
      </c>
      <c r="D591" s="124" t="s">
        <v>471</v>
      </c>
      <c r="E591" s="21">
        <v>0.9878749</v>
      </c>
      <c r="F591" s="10"/>
      <c r="G591" s="14">
        <v>75000000</v>
      </c>
      <c r="H591" s="14">
        <v>74090617.680000007</v>
      </c>
      <c r="I591" s="14">
        <v>75000000</v>
      </c>
      <c r="J591" s="14">
        <v>74090617.680000007</v>
      </c>
      <c r="K591" s="12">
        <v>21569</v>
      </c>
      <c r="L591" s="10" t="s">
        <v>101</v>
      </c>
      <c r="M591" s="10" t="s">
        <v>102</v>
      </c>
      <c r="N591" s="124" t="s">
        <v>466</v>
      </c>
      <c r="O591" s="124" t="s">
        <v>466</v>
      </c>
      <c r="P591" s="21">
        <v>32</v>
      </c>
      <c r="Q591" s="10" t="s">
        <v>54</v>
      </c>
      <c r="R591" s="10" t="s">
        <v>28</v>
      </c>
      <c r="S591" s="10"/>
      <c r="T591" s="10"/>
      <c r="U591" s="10" t="s">
        <v>3638</v>
      </c>
      <c r="V591" s="10" t="s">
        <v>3638</v>
      </c>
      <c r="W591" s="50">
        <f>+J591/$W$2</f>
        <v>9.0676882385855599E-4</v>
      </c>
    </row>
    <row r="592" spans="1:29">
      <c r="A592" s="10" t="s">
        <v>2016</v>
      </c>
      <c r="B592" s="10" t="s">
        <v>358</v>
      </c>
      <c r="C592" s="124">
        <v>46339</v>
      </c>
      <c r="D592" s="124" t="s">
        <v>471</v>
      </c>
      <c r="E592" s="21">
        <v>0.98902595999999998</v>
      </c>
      <c r="F592" s="10"/>
      <c r="G592" s="14">
        <v>100000000</v>
      </c>
      <c r="H592" s="14">
        <v>98902595.680000007</v>
      </c>
      <c r="I592" s="14">
        <v>100000000</v>
      </c>
      <c r="J592" s="14">
        <v>98902595.680000007</v>
      </c>
      <c r="K592" s="12">
        <v>112</v>
      </c>
      <c r="L592" s="10" t="s">
        <v>101</v>
      </c>
      <c r="M592" s="10" t="s">
        <v>102</v>
      </c>
      <c r="N592" s="124" t="s">
        <v>474</v>
      </c>
      <c r="O592" s="124" t="s">
        <v>474</v>
      </c>
      <c r="P592" s="21">
        <v>27</v>
      </c>
      <c r="Q592" s="10" t="s">
        <v>54</v>
      </c>
      <c r="R592" s="10" t="s">
        <v>28</v>
      </c>
      <c r="S592" s="10"/>
      <c r="T592" s="10"/>
      <c r="U592" s="10" t="s">
        <v>3869</v>
      </c>
      <c r="V592" s="10" t="s">
        <v>3869</v>
      </c>
      <c r="W592" s="50">
        <f>+J592/$W$2</f>
        <v>1.2104338331831801E-3</v>
      </c>
    </row>
    <row r="593" spans="1:23">
      <c r="A593" s="10" t="s">
        <v>375</v>
      </c>
      <c r="B593" s="10" t="s">
        <v>358</v>
      </c>
      <c r="C593" s="124">
        <v>46339</v>
      </c>
      <c r="D593" s="124" t="s">
        <v>471</v>
      </c>
      <c r="E593" s="21">
        <v>0.98902592</v>
      </c>
      <c r="F593" s="10"/>
      <c r="G593" s="14">
        <v>8000000</v>
      </c>
      <c r="H593" s="14">
        <v>7912207.3799999999</v>
      </c>
      <c r="I593" s="14">
        <v>8000000</v>
      </c>
      <c r="J593" s="14">
        <v>7912207.3799999999</v>
      </c>
      <c r="K593" s="12">
        <v>761092</v>
      </c>
      <c r="L593" s="10" t="s">
        <v>101</v>
      </c>
      <c r="M593" s="10" t="s">
        <v>102</v>
      </c>
      <c r="N593" s="124" t="s">
        <v>477</v>
      </c>
      <c r="O593" s="124" t="s">
        <v>477</v>
      </c>
      <c r="P593" s="21">
        <v>27</v>
      </c>
      <c r="Q593" s="10" t="s">
        <v>54</v>
      </c>
      <c r="R593" s="10" t="s">
        <v>28</v>
      </c>
      <c r="S593" s="10"/>
      <c r="T593" s="10"/>
      <c r="U593" s="10" t="s">
        <v>2388</v>
      </c>
      <c r="V593" s="10" t="s">
        <v>2388</v>
      </c>
      <c r="W593" s="50">
        <f>+J593/$W$2</f>
        <v>9.6834703296370009E-5</v>
      </c>
    </row>
    <row r="594" spans="1:23">
      <c r="A594" s="10" t="s">
        <v>334</v>
      </c>
      <c r="B594" s="10" t="s">
        <v>358</v>
      </c>
      <c r="C594" s="124">
        <v>46339</v>
      </c>
      <c r="D594" s="124" t="s">
        <v>471</v>
      </c>
      <c r="E594" s="21">
        <v>0.98542118999999995</v>
      </c>
      <c r="F594" s="10"/>
      <c r="G594" s="14">
        <v>3105640.28</v>
      </c>
      <c r="H594" s="14">
        <v>3060363.73</v>
      </c>
      <c r="I594" s="14">
        <v>3105640.28</v>
      </c>
      <c r="J594" s="14">
        <v>3060363.73</v>
      </c>
      <c r="K594" s="12">
        <v>3377</v>
      </c>
      <c r="L594" s="10" t="s">
        <v>101</v>
      </c>
      <c r="M594" s="10" t="s">
        <v>102</v>
      </c>
      <c r="N594" s="124" t="s">
        <v>365</v>
      </c>
      <c r="O594" s="124" t="s">
        <v>365</v>
      </c>
      <c r="P594" s="21">
        <v>36</v>
      </c>
      <c r="Q594" s="10" t="s">
        <v>54</v>
      </c>
      <c r="R594" s="10" t="s">
        <v>28</v>
      </c>
      <c r="S594" s="10"/>
      <c r="T594" s="10"/>
      <c r="U594" s="10" t="s">
        <v>1335</v>
      </c>
      <c r="V594" s="10" t="s">
        <v>1335</v>
      </c>
      <c r="W594" s="50">
        <f>+J594/$W$2</f>
        <v>3.7454707585473095E-5</v>
      </c>
    </row>
    <row r="595" spans="1:23">
      <c r="A595" s="10" t="s">
        <v>334</v>
      </c>
      <c r="B595" s="10" t="s">
        <v>358</v>
      </c>
      <c r="C595" s="124">
        <v>46339</v>
      </c>
      <c r="D595" s="124" t="s">
        <v>471</v>
      </c>
      <c r="E595" s="21">
        <v>0.98542123999999998</v>
      </c>
      <c r="F595" s="10"/>
      <c r="G595" s="14">
        <v>2874176.47</v>
      </c>
      <c r="H595" s="14">
        <v>2832274.54</v>
      </c>
      <c r="I595" s="14">
        <v>2874176.47</v>
      </c>
      <c r="J595" s="14">
        <v>2832274.54</v>
      </c>
      <c r="K595" s="12">
        <v>3425</v>
      </c>
      <c r="L595" s="10" t="s">
        <v>101</v>
      </c>
      <c r="M595" s="10" t="s">
        <v>102</v>
      </c>
      <c r="N595" s="124" t="s">
        <v>405</v>
      </c>
      <c r="O595" s="124" t="s">
        <v>405</v>
      </c>
      <c r="P595" s="21">
        <v>36</v>
      </c>
      <c r="Q595" s="10" t="s">
        <v>54</v>
      </c>
      <c r="R595" s="10" t="s">
        <v>28</v>
      </c>
      <c r="S595" s="10"/>
      <c r="T595" s="10"/>
      <c r="U595" s="10" t="s">
        <v>1509</v>
      </c>
      <c r="V595" s="10" t="s">
        <v>1509</v>
      </c>
      <c r="W595" s="50">
        <f>+J595/$W$2</f>
        <v>3.4663204787582661E-5</v>
      </c>
    </row>
    <row r="596" spans="1:23">
      <c r="A596" s="10" t="s">
        <v>2078</v>
      </c>
      <c r="B596" s="10" t="s">
        <v>358</v>
      </c>
      <c r="C596" s="124">
        <v>46339</v>
      </c>
      <c r="D596" s="124" t="s">
        <v>471</v>
      </c>
      <c r="E596" s="21">
        <v>0.98661986000000002</v>
      </c>
      <c r="F596" s="10"/>
      <c r="G596" s="14">
        <v>3600000</v>
      </c>
      <c r="H596" s="14">
        <v>3551831.49</v>
      </c>
      <c r="I596" s="14">
        <v>3600000</v>
      </c>
      <c r="J596" s="14">
        <v>3551831.49</v>
      </c>
      <c r="K596" s="12">
        <v>13870044</v>
      </c>
      <c r="L596" s="10" t="s">
        <v>101</v>
      </c>
      <c r="M596" s="10" t="s">
        <v>102</v>
      </c>
      <c r="N596" s="124" t="s">
        <v>408</v>
      </c>
      <c r="O596" s="124" t="s">
        <v>408</v>
      </c>
      <c r="P596" s="21">
        <v>33</v>
      </c>
      <c r="Q596" s="10" t="s">
        <v>54</v>
      </c>
      <c r="R596" s="10" t="s">
        <v>28</v>
      </c>
      <c r="S596" s="10"/>
      <c r="T596" s="10"/>
      <c r="U596" s="10" t="s">
        <v>2045</v>
      </c>
      <c r="V596" s="10" t="s">
        <v>2045</v>
      </c>
      <c r="W596" s="50">
        <f>+J596/$W$2</f>
        <v>4.3469607402132301E-5</v>
      </c>
    </row>
    <row r="597" spans="1:23">
      <c r="A597" s="10" t="s">
        <v>1636</v>
      </c>
      <c r="B597" s="10" t="s">
        <v>358</v>
      </c>
      <c r="C597" s="124">
        <v>46339</v>
      </c>
      <c r="D597" s="124" t="s">
        <v>471</v>
      </c>
      <c r="E597" s="21">
        <v>0.98661984000000003</v>
      </c>
      <c r="F597" s="10"/>
      <c r="G597" s="14">
        <v>11255045.75</v>
      </c>
      <c r="H597" s="14">
        <v>11104451.41</v>
      </c>
      <c r="I597" s="14">
        <v>11255045.75</v>
      </c>
      <c r="J597" s="14">
        <v>11104451.41</v>
      </c>
      <c r="K597" s="12">
        <v>90001621</v>
      </c>
      <c r="L597" s="10" t="s">
        <v>101</v>
      </c>
      <c r="M597" s="10" t="s">
        <v>102</v>
      </c>
      <c r="N597" s="124" t="s">
        <v>603</v>
      </c>
      <c r="O597" s="124" t="s">
        <v>603</v>
      </c>
      <c r="P597" s="21">
        <v>33</v>
      </c>
      <c r="Q597" s="10" t="s">
        <v>54</v>
      </c>
      <c r="R597" s="10" t="s">
        <v>28</v>
      </c>
      <c r="S597" s="10"/>
      <c r="T597" s="10"/>
      <c r="U597" s="10" t="s">
        <v>2603</v>
      </c>
      <c r="V597" s="10" t="s">
        <v>2603</v>
      </c>
      <c r="W597" s="50">
        <f>+J597/$W$2</f>
        <v>1.3590344715614717E-4</v>
      </c>
    </row>
    <row r="598" spans="1:23">
      <c r="A598" s="10" t="s">
        <v>1744</v>
      </c>
      <c r="B598" s="10" t="s">
        <v>358</v>
      </c>
      <c r="C598" s="124">
        <v>46339</v>
      </c>
      <c r="D598" s="124" t="s">
        <v>471</v>
      </c>
      <c r="E598" s="21">
        <v>0.98661988</v>
      </c>
      <c r="F598" s="10"/>
      <c r="G598" s="14">
        <v>5300000</v>
      </c>
      <c r="H598" s="14">
        <v>5229085.38</v>
      </c>
      <c r="I598" s="14">
        <v>5300000</v>
      </c>
      <c r="J598" s="14">
        <v>5229085.38</v>
      </c>
      <c r="K598" s="12">
        <v>8175680</v>
      </c>
      <c r="L598" s="10" t="s">
        <v>101</v>
      </c>
      <c r="M598" s="10" t="s">
        <v>102</v>
      </c>
      <c r="N598" s="124" t="s">
        <v>398</v>
      </c>
      <c r="O598" s="124" t="s">
        <v>398</v>
      </c>
      <c r="P598" s="21">
        <v>33</v>
      </c>
      <c r="Q598" s="10" t="s">
        <v>54</v>
      </c>
      <c r="R598" s="10" t="s">
        <v>28</v>
      </c>
      <c r="S598" s="10"/>
      <c r="T598" s="10"/>
      <c r="U598" s="10" t="s">
        <v>1649</v>
      </c>
      <c r="V598" s="10" t="s">
        <v>1649</v>
      </c>
      <c r="W598" s="50">
        <f>+J598/$W$2</f>
        <v>6.3996923609917593E-5</v>
      </c>
    </row>
    <row r="599" spans="1:23">
      <c r="A599" s="10" t="s">
        <v>1755</v>
      </c>
      <c r="B599" s="10" t="s">
        <v>358</v>
      </c>
      <c r="C599" s="124">
        <v>46339</v>
      </c>
      <c r="D599" s="124" t="s">
        <v>471</v>
      </c>
      <c r="E599" s="21">
        <v>0.98702007000000003</v>
      </c>
      <c r="F599" s="10"/>
      <c r="G599" s="14">
        <v>1129854.56</v>
      </c>
      <c r="H599" s="14">
        <v>1115189.1299999999</v>
      </c>
      <c r="I599" s="14">
        <v>1129854.56</v>
      </c>
      <c r="J599" s="14">
        <v>1115189.1299999999</v>
      </c>
      <c r="K599" s="12">
        <v>1026</v>
      </c>
      <c r="L599" s="10" t="s">
        <v>101</v>
      </c>
      <c r="M599" s="10" t="s">
        <v>102</v>
      </c>
      <c r="N599" s="124" t="s">
        <v>398</v>
      </c>
      <c r="O599" s="124" t="s">
        <v>398</v>
      </c>
      <c r="P599" s="21">
        <v>32</v>
      </c>
      <c r="Q599" s="10" t="s">
        <v>54</v>
      </c>
      <c r="R599" s="10" t="s">
        <v>28</v>
      </c>
      <c r="S599" s="10"/>
      <c r="T599" s="10"/>
      <c r="U599" s="10" t="s">
        <v>1710</v>
      </c>
      <c r="V599" s="10" t="s">
        <v>1710</v>
      </c>
      <c r="W599" s="50">
        <f>+J599/$W$2</f>
        <v>1.3648404716470791E-5</v>
      </c>
    </row>
    <row r="600" spans="1:23">
      <c r="A600" s="10" t="s">
        <v>2826</v>
      </c>
      <c r="B600" s="10" t="s">
        <v>358</v>
      </c>
      <c r="C600" s="124">
        <v>46339</v>
      </c>
      <c r="D600" s="124" t="s">
        <v>471</v>
      </c>
      <c r="E600" s="21">
        <v>0.98702005000000004</v>
      </c>
      <c r="F600" s="10"/>
      <c r="G600" s="14">
        <v>5325299.2</v>
      </c>
      <c r="H600" s="14">
        <v>5256177.07</v>
      </c>
      <c r="I600" s="14">
        <v>5325299.2</v>
      </c>
      <c r="J600" s="14">
        <v>5256177.07</v>
      </c>
      <c r="K600" s="12">
        <v>52046619</v>
      </c>
      <c r="L600" s="10" t="s">
        <v>101</v>
      </c>
      <c r="M600" s="10" t="s">
        <v>102</v>
      </c>
      <c r="N600" s="124" t="s">
        <v>412</v>
      </c>
      <c r="O600" s="124" t="s">
        <v>440</v>
      </c>
      <c r="P600" s="21">
        <v>32</v>
      </c>
      <c r="Q600" s="10" t="s">
        <v>54</v>
      </c>
      <c r="R600" s="10" t="s">
        <v>28</v>
      </c>
      <c r="S600" s="10"/>
      <c r="T600" s="10"/>
      <c r="U600" s="10" t="s">
        <v>2779</v>
      </c>
      <c r="V600" s="10" t="s">
        <v>2779</v>
      </c>
      <c r="W600" s="50">
        <f>+J600/$W$2</f>
        <v>6.4328489206843002E-5</v>
      </c>
    </row>
    <row r="601" spans="1:23">
      <c r="A601" s="10" t="s">
        <v>2758</v>
      </c>
      <c r="B601" s="10" t="s">
        <v>358</v>
      </c>
      <c r="C601" s="124">
        <v>46339</v>
      </c>
      <c r="D601" s="124" t="s">
        <v>471</v>
      </c>
      <c r="E601" s="21">
        <v>0.98862810000000001</v>
      </c>
      <c r="F601" s="10"/>
      <c r="G601" s="14">
        <v>720984.93</v>
      </c>
      <c r="H601" s="14">
        <v>712785.96</v>
      </c>
      <c r="I601" s="14">
        <v>720984.93</v>
      </c>
      <c r="J601" s="14">
        <v>712785.96</v>
      </c>
      <c r="K601" s="12">
        <v>83366844</v>
      </c>
      <c r="L601" s="10" t="s">
        <v>101</v>
      </c>
      <c r="M601" s="10" t="s">
        <v>102</v>
      </c>
      <c r="N601" s="124" t="s">
        <v>417</v>
      </c>
      <c r="O601" s="124" t="s">
        <v>417</v>
      </c>
      <c r="P601" s="21">
        <v>27.99</v>
      </c>
      <c r="Q601" s="10" t="s">
        <v>54</v>
      </c>
      <c r="R601" s="10" t="s">
        <v>28</v>
      </c>
      <c r="S601" s="10"/>
      <c r="T601" s="10"/>
      <c r="U601" s="10" t="s">
        <v>3175</v>
      </c>
      <c r="V601" s="10" t="s">
        <v>3175</v>
      </c>
      <c r="W601" s="50">
        <f>+J601/$W$2</f>
        <v>8.7235348665012187E-6</v>
      </c>
    </row>
    <row r="602" spans="1:23">
      <c r="A602" s="10" t="s">
        <v>2758</v>
      </c>
      <c r="B602" s="10" t="s">
        <v>358</v>
      </c>
      <c r="C602" s="124">
        <v>46339</v>
      </c>
      <c r="D602" s="124" t="s">
        <v>471</v>
      </c>
      <c r="E602" s="21">
        <v>0.98862824999999999</v>
      </c>
      <c r="F602" s="10"/>
      <c r="G602" s="14">
        <v>85103</v>
      </c>
      <c r="H602" s="14">
        <v>84135.23</v>
      </c>
      <c r="I602" s="14">
        <v>85103</v>
      </c>
      <c r="J602" s="14">
        <v>84135.23</v>
      </c>
      <c r="K602" s="12">
        <v>72594380</v>
      </c>
      <c r="L602" s="10" t="s">
        <v>101</v>
      </c>
      <c r="M602" s="10" t="s">
        <v>102</v>
      </c>
      <c r="N602" s="124" t="s">
        <v>417</v>
      </c>
      <c r="O602" s="124" t="s">
        <v>417</v>
      </c>
      <c r="P602" s="21">
        <v>27.99</v>
      </c>
      <c r="Q602" s="10" t="s">
        <v>54</v>
      </c>
      <c r="R602" s="10" t="s">
        <v>28</v>
      </c>
      <c r="S602" s="10"/>
      <c r="T602" s="10"/>
      <c r="U602" s="10" t="s">
        <v>3184</v>
      </c>
      <c r="V602" s="10" t="s">
        <v>3184</v>
      </c>
      <c r="W602" s="50">
        <f>+J602/$W$2</f>
        <v>1.0297012758305443E-6</v>
      </c>
    </row>
    <row r="603" spans="1:23">
      <c r="A603" s="10" t="s">
        <v>2758</v>
      </c>
      <c r="B603" s="10" t="s">
        <v>358</v>
      </c>
      <c r="C603" s="124">
        <v>46339</v>
      </c>
      <c r="D603" s="124" t="s">
        <v>471</v>
      </c>
      <c r="E603" s="21">
        <v>0.98862813999999999</v>
      </c>
      <c r="F603" s="10"/>
      <c r="G603" s="14">
        <v>505705.48</v>
      </c>
      <c r="H603" s="14">
        <v>499954.67</v>
      </c>
      <c r="I603" s="14">
        <v>505705.48</v>
      </c>
      <c r="J603" s="14">
        <v>499954.67</v>
      </c>
      <c r="K603" s="12">
        <v>83427111</v>
      </c>
      <c r="L603" s="10" t="s">
        <v>101</v>
      </c>
      <c r="M603" s="10" t="s">
        <v>102</v>
      </c>
      <c r="N603" s="124" t="s">
        <v>417</v>
      </c>
      <c r="O603" s="124" t="s">
        <v>417</v>
      </c>
      <c r="P603" s="21">
        <v>27.99</v>
      </c>
      <c r="Q603" s="10" t="s">
        <v>54</v>
      </c>
      <c r="R603" s="10" t="s">
        <v>28</v>
      </c>
      <c r="S603" s="10"/>
      <c r="T603" s="10"/>
      <c r="U603" s="10" t="s">
        <v>3185</v>
      </c>
      <c r="V603" s="10" t="s">
        <v>3185</v>
      </c>
      <c r="W603" s="50">
        <f>+J603/$W$2</f>
        <v>6.1187681017385797E-6</v>
      </c>
    </row>
    <row r="604" spans="1:23">
      <c r="A604" s="10" t="s">
        <v>2758</v>
      </c>
      <c r="B604" s="10" t="s">
        <v>358</v>
      </c>
      <c r="C604" s="124">
        <v>46339</v>
      </c>
      <c r="D604" s="124" t="s">
        <v>471</v>
      </c>
      <c r="E604" s="21">
        <v>0.98942803000000001</v>
      </c>
      <c r="F604" s="10"/>
      <c r="G604" s="14">
        <v>476066.3</v>
      </c>
      <c r="H604" s="14">
        <v>471033.34</v>
      </c>
      <c r="I604" s="14">
        <v>476066.3</v>
      </c>
      <c r="J604" s="14">
        <v>471033.34</v>
      </c>
      <c r="K604" s="12">
        <v>33</v>
      </c>
      <c r="L604" s="10" t="s">
        <v>101</v>
      </c>
      <c r="M604" s="10" t="s">
        <v>102</v>
      </c>
      <c r="N604" s="124" t="s">
        <v>411</v>
      </c>
      <c r="O604" s="124" t="s">
        <v>411</v>
      </c>
      <c r="P604" s="21">
        <v>26</v>
      </c>
      <c r="Q604" s="10" t="s">
        <v>54</v>
      </c>
      <c r="R604" s="10" t="s">
        <v>28</v>
      </c>
      <c r="S604" s="10"/>
      <c r="T604" s="10"/>
      <c r="U604" s="10" t="s">
        <v>2927</v>
      </c>
      <c r="V604" s="10" t="s">
        <v>2927</v>
      </c>
      <c r="W604" s="50">
        <f>+J604/$W$2</f>
        <v>5.7648101889864998E-6</v>
      </c>
    </row>
    <row r="605" spans="1:23">
      <c r="A605" s="10" t="s">
        <v>2758</v>
      </c>
      <c r="B605" s="10" t="s">
        <v>358</v>
      </c>
      <c r="C605" s="124">
        <v>46339</v>
      </c>
      <c r="D605" s="124" t="s">
        <v>471</v>
      </c>
      <c r="E605" s="21">
        <v>0.98862402000000005</v>
      </c>
      <c r="F605" s="10"/>
      <c r="G605" s="14">
        <v>254258.48</v>
      </c>
      <c r="H605" s="14">
        <v>251366.04</v>
      </c>
      <c r="I605" s="14">
        <v>254258.48</v>
      </c>
      <c r="J605" s="14">
        <v>251366.04</v>
      </c>
      <c r="K605" s="12">
        <v>379</v>
      </c>
      <c r="L605" s="10" t="s">
        <v>101</v>
      </c>
      <c r="M605" s="10" t="s">
        <v>102</v>
      </c>
      <c r="N605" s="124" t="s">
        <v>411</v>
      </c>
      <c r="O605" s="124" t="s">
        <v>411</v>
      </c>
      <c r="P605" s="21">
        <v>28</v>
      </c>
      <c r="Q605" s="10" t="s">
        <v>54</v>
      </c>
      <c r="R605" s="10" t="s">
        <v>28</v>
      </c>
      <c r="S605" s="10"/>
      <c r="T605" s="10"/>
      <c r="U605" s="10" t="s">
        <v>2944</v>
      </c>
      <c r="V605" s="10" t="s">
        <v>2944</v>
      </c>
      <c r="W605" s="50">
        <f>+J605/$W$2</f>
        <v>3.0763799194281832E-6</v>
      </c>
    </row>
    <row r="606" spans="1:23">
      <c r="A606" s="10" t="s">
        <v>2758</v>
      </c>
      <c r="B606" s="10" t="s">
        <v>358</v>
      </c>
      <c r="C606" s="124">
        <v>46339</v>
      </c>
      <c r="D606" s="124" t="s">
        <v>471</v>
      </c>
      <c r="E606" s="21">
        <v>0.98862406999999997</v>
      </c>
      <c r="F606" s="10"/>
      <c r="G606" s="14">
        <v>3392957.4</v>
      </c>
      <c r="H606" s="14">
        <v>3354359.34</v>
      </c>
      <c r="I606" s="14">
        <v>3392957.4</v>
      </c>
      <c r="J606" s="14">
        <v>3354359.34</v>
      </c>
      <c r="K606" s="12">
        <v>5517</v>
      </c>
      <c r="L606" s="10" t="s">
        <v>101</v>
      </c>
      <c r="M606" s="10" t="s">
        <v>102</v>
      </c>
      <c r="N606" s="124" t="s">
        <v>411</v>
      </c>
      <c r="O606" s="124" t="s">
        <v>411</v>
      </c>
      <c r="P606" s="21">
        <v>28</v>
      </c>
      <c r="Q606" s="10" t="s">
        <v>54</v>
      </c>
      <c r="R606" s="10" t="s">
        <v>28</v>
      </c>
      <c r="S606" s="10"/>
      <c r="T606" s="10"/>
      <c r="U606" s="10" t="s">
        <v>2945</v>
      </c>
      <c r="V606" s="10" t="s">
        <v>2945</v>
      </c>
      <c r="W606" s="50">
        <f>+J606/$W$2</f>
        <v>4.1052815710994105E-5</v>
      </c>
    </row>
    <row r="607" spans="1:23">
      <c r="A607" s="10" t="s">
        <v>2758</v>
      </c>
      <c r="B607" s="10" t="s">
        <v>358</v>
      </c>
      <c r="C607" s="124">
        <v>46339</v>
      </c>
      <c r="D607" s="124" t="s">
        <v>471</v>
      </c>
      <c r="E607" s="21">
        <v>0.98862406999999997</v>
      </c>
      <c r="F607" s="10"/>
      <c r="G607" s="14">
        <v>655097</v>
      </c>
      <c r="H607" s="14">
        <v>647644.66</v>
      </c>
      <c r="I607" s="14">
        <v>655097</v>
      </c>
      <c r="J607" s="14">
        <v>647644.66</v>
      </c>
      <c r="K607" s="12">
        <v>45</v>
      </c>
      <c r="L607" s="10" t="s">
        <v>101</v>
      </c>
      <c r="M607" s="10" t="s">
        <v>102</v>
      </c>
      <c r="N607" s="124" t="s">
        <v>411</v>
      </c>
      <c r="O607" s="124" t="s">
        <v>411</v>
      </c>
      <c r="P607" s="21">
        <v>28</v>
      </c>
      <c r="Q607" s="10" t="s">
        <v>54</v>
      </c>
      <c r="R607" s="10" t="s">
        <v>28</v>
      </c>
      <c r="S607" s="10"/>
      <c r="T607" s="10"/>
      <c r="U607" s="10" t="s">
        <v>2946</v>
      </c>
      <c r="V607" s="10" t="s">
        <v>2946</v>
      </c>
      <c r="W607" s="50">
        <f>+J607/$W$2</f>
        <v>7.9262935715138495E-6</v>
      </c>
    </row>
    <row r="608" spans="1:23">
      <c r="A608" s="10" t="s">
        <v>2758</v>
      </c>
      <c r="B608" s="10" t="s">
        <v>358</v>
      </c>
      <c r="C608" s="124">
        <v>46339</v>
      </c>
      <c r="D608" s="124" t="s">
        <v>471</v>
      </c>
      <c r="E608" s="21">
        <v>0.98862406000000003</v>
      </c>
      <c r="F608" s="10"/>
      <c r="G608" s="14">
        <v>175597.86</v>
      </c>
      <c r="H608" s="14">
        <v>173600.27</v>
      </c>
      <c r="I608" s="14">
        <v>175597.86</v>
      </c>
      <c r="J608" s="14">
        <v>173600.27</v>
      </c>
      <c r="K608" s="12">
        <v>4</v>
      </c>
      <c r="L608" s="10" t="s">
        <v>101</v>
      </c>
      <c r="M608" s="10" t="s">
        <v>102</v>
      </c>
      <c r="N608" s="124" t="s">
        <v>411</v>
      </c>
      <c r="O608" s="124" t="s">
        <v>411</v>
      </c>
      <c r="P608" s="21">
        <v>28</v>
      </c>
      <c r="Q608" s="10" t="s">
        <v>54</v>
      </c>
      <c r="R608" s="10" t="s">
        <v>28</v>
      </c>
      <c r="S608" s="10"/>
      <c r="T608" s="10"/>
      <c r="U608" s="10" t="s">
        <v>2947</v>
      </c>
      <c r="V608" s="10" t="s">
        <v>2947</v>
      </c>
      <c r="W608" s="50">
        <f>+J608/$W$2</f>
        <v>2.1246322082144064E-6</v>
      </c>
    </row>
    <row r="609" spans="1:29">
      <c r="A609" s="10" t="s">
        <v>2758</v>
      </c>
      <c r="B609" s="10" t="s">
        <v>358</v>
      </c>
      <c r="C609" s="124">
        <v>46339</v>
      </c>
      <c r="D609" s="124" t="s">
        <v>471</v>
      </c>
      <c r="E609" s="21">
        <v>0.98862406999999997</v>
      </c>
      <c r="F609" s="10"/>
      <c r="G609" s="14">
        <v>533194.13</v>
      </c>
      <c r="H609" s="14">
        <v>527128.55000000005</v>
      </c>
      <c r="I609" s="14">
        <v>533194.13</v>
      </c>
      <c r="J609" s="14">
        <v>527128.55000000005</v>
      </c>
      <c r="K609" s="12">
        <v>90019433</v>
      </c>
      <c r="L609" s="10" t="s">
        <v>101</v>
      </c>
      <c r="M609" s="10" t="s">
        <v>102</v>
      </c>
      <c r="N609" s="124" t="s">
        <v>411</v>
      </c>
      <c r="O609" s="124" t="s">
        <v>411</v>
      </c>
      <c r="P609" s="21">
        <v>28</v>
      </c>
      <c r="Q609" s="10" t="s">
        <v>54</v>
      </c>
      <c r="R609" s="10" t="s">
        <v>28</v>
      </c>
      <c r="S609" s="10"/>
      <c r="T609" s="10"/>
      <c r="U609" s="10" t="s">
        <v>2948</v>
      </c>
      <c r="V609" s="10" t="s">
        <v>2948</v>
      </c>
      <c r="W609" s="50">
        <f>+J609/$W$2</f>
        <v>6.4513395929589184E-6</v>
      </c>
    </row>
    <row r="610" spans="1:29">
      <c r="A610" s="10" t="s">
        <v>2758</v>
      </c>
      <c r="B610" s="10" t="s">
        <v>358</v>
      </c>
      <c r="C610" s="124">
        <v>46339</v>
      </c>
      <c r="D610" s="124" t="s">
        <v>471</v>
      </c>
      <c r="E610" s="21">
        <v>0.98862406999999997</v>
      </c>
      <c r="F610" s="10"/>
      <c r="G610" s="14">
        <v>1500000</v>
      </c>
      <c r="H610" s="14">
        <v>1482936.11</v>
      </c>
      <c r="I610" s="14">
        <v>1500000</v>
      </c>
      <c r="J610" s="14">
        <v>1482936.11</v>
      </c>
      <c r="K610" s="12">
        <v>40902626</v>
      </c>
      <c r="L610" s="10" t="s">
        <v>101</v>
      </c>
      <c r="M610" s="10" t="s">
        <v>102</v>
      </c>
      <c r="N610" s="124" t="s">
        <v>411</v>
      </c>
      <c r="O610" s="124" t="s">
        <v>411</v>
      </c>
      <c r="P610" s="21">
        <v>28</v>
      </c>
      <c r="Q610" s="10" t="s">
        <v>54</v>
      </c>
      <c r="R610" s="10" t="s">
        <v>28</v>
      </c>
      <c r="S610" s="10"/>
      <c r="T610" s="10"/>
      <c r="U610" s="10" t="s">
        <v>2949</v>
      </c>
      <c r="V610" s="10" t="s">
        <v>2949</v>
      </c>
      <c r="W610" s="50">
        <f>+J610/$W$2</f>
        <v>1.8149129733670243E-5</v>
      </c>
    </row>
    <row r="611" spans="1:29">
      <c r="A611" s="10" t="s">
        <v>443</v>
      </c>
      <c r="B611" s="10" t="s">
        <v>358</v>
      </c>
      <c r="C611" s="124">
        <v>46339</v>
      </c>
      <c r="D611" s="124" t="s">
        <v>471</v>
      </c>
      <c r="E611" s="21">
        <v>0.98782141000000001</v>
      </c>
      <c r="F611" s="10"/>
      <c r="G611" s="14">
        <v>30000000</v>
      </c>
      <c r="H611" s="14">
        <v>29634642.300000001</v>
      </c>
      <c r="I611" s="14">
        <v>30000000</v>
      </c>
      <c r="J611" s="14">
        <v>29634642.300000001</v>
      </c>
      <c r="K611" s="12">
        <v>398</v>
      </c>
      <c r="L611" s="10" t="s">
        <v>101</v>
      </c>
      <c r="M611" s="10" t="s">
        <v>102</v>
      </c>
      <c r="N611" s="124" t="s">
        <v>397</v>
      </c>
      <c r="O611" s="124" t="s">
        <v>397</v>
      </c>
      <c r="P611" s="21">
        <v>30</v>
      </c>
      <c r="Q611" s="10" t="s">
        <v>54</v>
      </c>
      <c r="R611" s="10" t="s">
        <v>28</v>
      </c>
      <c r="S611" s="10"/>
      <c r="T611" s="10"/>
      <c r="U611" s="10" t="s">
        <v>1840</v>
      </c>
      <c r="V611" s="10" t="s">
        <v>1840</v>
      </c>
      <c r="W611" s="50">
        <f>+J611/$W$2</f>
        <v>3.6268788930739025E-4</v>
      </c>
    </row>
    <row r="612" spans="1:29">
      <c r="A612" s="10" t="s">
        <v>2487</v>
      </c>
      <c r="B612" s="10" t="s">
        <v>358</v>
      </c>
      <c r="C612" s="124">
        <v>46339</v>
      </c>
      <c r="D612" s="124" t="s">
        <v>471</v>
      </c>
      <c r="E612" s="21">
        <v>0.98661986000000002</v>
      </c>
      <c r="F612" s="10"/>
      <c r="G612" s="14">
        <v>80000000</v>
      </c>
      <c r="H612" s="14">
        <v>78929588.409999996</v>
      </c>
      <c r="I612" s="14">
        <v>80000000</v>
      </c>
      <c r="J612" s="14">
        <v>78929588.409999996</v>
      </c>
      <c r="K612" s="12">
        <v>3034</v>
      </c>
      <c r="L612" s="10" t="s">
        <v>101</v>
      </c>
      <c r="M612" s="10" t="s">
        <v>102</v>
      </c>
      <c r="N612" s="124" t="s">
        <v>577</v>
      </c>
      <c r="O612" s="124" t="s">
        <v>577</v>
      </c>
      <c r="P612" s="21">
        <v>33</v>
      </c>
      <c r="Q612" s="10" t="s">
        <v>54</v>
      </c>
      <c r="R612" s="10" t="s">
        <v>28</v>
      </c>
      <c r="S612" s="10"/>
      <c r="T612" s="10"/>
      <c r="U612" s="10" t="s">
        <v>2474</v>
      </c>
      <c r="V612" s="10" t="s">
        <v>2474</v>
      </c>
      <c r="W612" s="50">
        <f>+J612/$W$2</f>
        <v>9.6599127246168757E-4</v>
      </c>
    </row>
    <row r="613" spans="1:29">
      <c r="A613" s="10" t="s">
        <v>789</v>
      </c>
      <c r="B613" s="10" t="s">
        <v>358</v>
      </c>
      <c r="C613" s="124">
        <v>46339</v>
      </c>
      <c r="D613" s="124" t="s">
        <v>471</v>
      </c>
      <c r="E613" s="21">
        <v>0.98542118999999995</v>
      </c>
      <c r="F613" s="10"/>
      <c r="G613" s="14">
        <v>3140560.45</v>
      </c>
      <c r="H613" s="14">
        <v>3094774.81</v>
      </c>
      <c r="I613" s="14">
        <v>3140560.45</v>
      </c>
      <c r="J613" s="14">
        <v>3094774.81</v>
      </c>
      <c r="K613" s="12">
        <v>1119</v>
      </c>
      <c r="L613" s="10" t="s">
        <v>101</v>
      </c>
      <c r="M613" s="10" t="s">
        <v>102</v>
      </c>
      <c r="N613" s="124" t="s">
        <v>365</v>
      </c>
      <c r="O613" s="124" t="s">
        <v>365</v>
      </c>
      <c r="P613" s="21">
        <v>36</v>
      </c>
      <c r="Q613" s="10" t="s">
        <v>54</v>
      </c>
      <c r="R613" s="10" t="s">
        <v>28</v>
      </c>
      <c r="S613" s="10"/>
      <c r="T613" s="10"/>
      <c r="U613" s="10" t="s">
        <v>1333</v>
      </c>
      <c r="V613" s="10" t="s">
        <v>1333</v>
      </c>
      <c r="W613" s="50">
        <f>+J613/$W$2</f>
        <v>3.7875852603781209E-5</v>
      </c>
      <c r="AC613" s="47"/>
    </row>
    <row r="614" spans="1:29">
      <c r="A614" s="10" t="s">
        <v>3571</v>
      </c>
      <c r="B614" s="10" t="s">
        <v>358</v>
      </c>
      <c r="C614" s="124">
        <v>46339</v>
      </c>
      <c r="D614" s="124" t="s">
        <v>471</v>
      </c>
      <c r="E614" s="21">
        <v>0.98622003999999996</v>
      </c>
      <c r="F614" s="10"/>
      <c r="G614" s="14">
        <v>700000</v>
      </c>
      <c r="H614" s="14">
        <v>690354.03</v>
      </c>
      <c r="I614" s="14">
        <v>700000</v>
      </c>
      <c r="J614" s="14">
        <v>690354.03</v>
      </c>
      <c r="K614" s="12">
        <v>88190053</v>
      </c>
      <c r="L614" s="10" t="s">
        <v>101</v>
      </c>
      <c r="M614" s="10" t="s">
        <v>102</v>
      </c>
      <c r="N614" s="124" t="s">
        <v>474</v>
      </c>
      <c r="O614" s="124" t="s">
        <v>474</v>
      </c>
      <c r="P614" s="21">
        <v>34</v>
      </c>
      <c r="Q614" s="10" t="s">
        <v>54</v>
      </c>
      <c r="R614" s="10" t="s">
        <v>28</v>
      </c>
      <c r="S614" s="10"/>
      <c r="T614" s="10"/>
      <c r="U614" s="10" t="s">
        <v>3874</v>
      </c>
      <c r="V614" s="10" t="s">
        <v>3874</v>
      </c>
      <c r="W614" s="50">
        <f>+J614/$W$2</f>
        <v>8.4489984215382547E-6</v>
      </c>
    </row>
    <row r="615" spans="1:29">
      <c r="A615" s="10" t="s">
        <v>3571</v>
      </c>
      <c r="B615" s="10" t="s">
        <v>358</v>
      </c>
      <c r="C615" s="124">
        <v>46339</v>
      </c>
      <c r="D615" s="124" t="s">
        <v>471</v>
      </c>
      <c r="E615" s="21">
        <v>0.98622003000000003</v>
      </c>
      <c r="F615" s="10"/>
      <c r="G615" s="14">
        <v>300000</v>
      </c>
      <c r="H615" s="14">
        <v>295866.01</v>
      </c>
      <c r="I615" s="14">
        <v>300000</v>
      </c>
      <c r="J615" s="14">
        <v>295866.01</v>
      </c>
      <c r="K615" s="12">
        <v>88210395</v>
      </c>
      <c r="L615" s="10" t="s">
        <v>101</v>
      </c>
      <c r="M615" s="10" t="s">
        <v>102</v>
      </c>
      <c r="N615" s="124" t="s">
        <v>474</v>
      </c>
      <c r="O615" s="124" t="s">
        <v>474</v>
      </c>
      <c r="P615" s="21">
        <v>34</v>
      </c>
      <c r="Q615" s="10" t="s">
        <v>54</v>
      </c>
      <c r="R615" s="10" t="s">
        <v>28</v>
      </c>
      <c r="S615" s="10"/>
      <c r="T615" s="10"/>
      <c r="U615" s="10" t="s">
        <v>3875</v>
      </c>
      <c r="V615" s="10" t="s">
        <v>3875</v>
      </c>
      <c r="W615" s="50">
        <f>+J615/$W$2</f>
        <v>3.6209992885488351E-6</v>
      </c>
    </row>
    <row r="616" spans="1:29">
      <c r="A616" s="10" t="s">
        <v>3068</v>
      </c>
      <c r="B616" s="10" t="s">
        <v>358</v>
      </c>
      <c r="C616" s="124">
        <v>46339</v>
      </c>
      <c r="D616" s="124" t="s">
        <v>471</v>
      </c>
      <c r="E616" s="21">
        <v>0.98782144999999999</v>
      </c>
      <c r="F616" s="10"/>
      <c r="G616" s="14">
        <v>4394673.9800000004</v>
      </c>
      <c r="H616" s="14">
        <v>4341153.24</v>
      </c>
      <c r="I616" s="14">
        <v>4394673.9800000004</v>
      </c>
      <c r="J616" s="14">
        <v>4341153.24</v>
      </c>
      <c r="K616" s="12">
        <v>6405482</v>
      </c>
      <c r="L616" s="10" t="s">
        <v>101</v>
      </c>
      <c r="M616" s="10" t="s">
        <v>102</v>
      </c>
      <c r="N616" s="124" t="s">
        <v>508</v>
      </c>
      <c r="O616" s="124" t="s">
        <v>508</v>
      </c>
      <c r="P616" s="21">
        <v>30</v>
      </c>
      <c r="Q616" s="10" t="s">
        <v>54</v>
      </c>
      <c r="R616" s="10" t="s">
        <v>28</v>
      </c>
      <c r="S616" s="10"/>
      <c r="T616" s="10"/>
      <c r="U616" s="10" t="s">
        <v>3026</v>
      </c>
      <c r="V616" s="10" t="s">
        <v>3026</v>
      </c>
      <c r="W616" s="50">
        <f>+J616/$W$2</f>
        <v>5.312983669033652E-5</v>
      </c>
    </row>
    <row r="617" spans="1:29">
      <c r="A617" s="10" t="s">
        <v>3573</v>
      </c>
      <c r="B617" s="10" t="s">
        <v>358</v>
      </c>
      <c r="C617" s="124">
        <v>46339</v>
      </c>
      <c r="D617" s="124" t="s">
        <v>471</v>
      </c>
      <c r="E617" s="21">
        <v>0.98782152000000001</v>
      </c>
      <c r="F617" s="10"/>
      <c r="G617" s="14">
        <v>2006000</v>
      </c>
      <c r="H617" s="14">
        <v>1981569.96</v>
      </c>
      <c r="I617" s="14">
        <v>2006000</v>
      </c>
      <c r="J617" s="14">
        <v>1981569.96</v>
      </c>
      <c r="K617" s="12">
        <v>70555842</v>
      </c>
      <c r="L617" s="10" t="s">
        <v>101</v>
      </c>
      <c r="M617" s="10" t="s">
        <v>102</v>
      </c>
      <c r="N617" s="124" t="s">
        <v>451</v>
      </c>
      <c r="O617" s="124" t="s">
        <v>451</v>
      </c>
      <c r="P617" s="21">
        <v>30</v>
      </c>
      <c r="Q617" s="10" t="s">
        <v>54</v>
      </c>
      <c r="R617" s="10" t="s">
        <v>28</v>
      </c>
      <c r="S617" s="10"/>
      <c r="T617" s="10"/>
      <c r="U617" s="10" t="s">
        <v>3538</v>
      </c>
      <c r="V617" s="10" t="s">
        <v>3538</v>
      </c>
      <c r="W617" s="50">
        <f>+J617/$W$2</f>
        <v>2.4251732787317285E-5</v>
      </c>
    </row>
    <row r="618" spans="1:29">
      <c r="A618" s="10" t="s">
        <v>364</v>
      </c>
      <c r="B618" s="10" t="s">
        <v>358</v>
      </c>
      <c r="C618" s="124">
        <v>46339</v>
      </c>
      <c r="D618" s="124" t="s">
        <v>471</v>
      </c>
      <c r="E618" s="21">
        <v>0.98702000999999995</v>
      </c>
      <c r="F618" s="10"/>
      <c r="G618" s="14">
        <v>3742647.36</v>
      </c>
      <c r="H618" s="14">
        <v>3694067.85</v>
      </c>
      <c r="I618" s="14">
        <v>3742647.36</v>
      </c>
      <c r="J618" s="14">
        <v>3694067.85</v>
      </c>
      <c r="K618" s="12">
        <v>10559629</v>
      </c>
      <c r="L618" s="10" t="s">
        <v>101</v>
      </c>
      <c r="M618" s="10" t="s">
        <v>102</v>
      </c>
      <c r="N618" s="124" t="s">
        <v>309</v>
      </c>
      <c r="O618" s="124" t="s">
        <v>309</v>
      </c>
      <c r="P618" s="21">
        <v>32</v>
      </c>
      <c r="Q618" s="10" t="s">
        <v>54</v>
      </c>
      <c r="R618" s="10" t="s">
        <v>28</v>
      </c>
      <c r="S618" s="10"/>
      <c r="T618" s="10"/>
      <c r="U618" s="10" t="s">
        <v>862</v>
      </c>
      <c r="V618" s="10" t="s">
        <v>862</v>
      </c>
      <c r="W618" s="50">
        <f>+J618/$W$2</f>
        <v>4.5210387826236358E-5</v>
      </c>
      <c r="AC618" s="47"/>
    </row>
    <row r="619" spans="1:29">
      <c r="A619" s="10" t="s">
        <v>364</v>
      </c>
      <c r="B619" s="10" t="s">
        <v>358</v>
      </c>
      <c r="C619" s="124">
        <v>46339</v>
      </c>
      <c r="D619" s="124" t="s">
        <v>471</v>
      </c>
      <c r="E619" s="21">
        <v>0.98702002</v>
      </c>
      <c r="F619" s="10"/>
      <c r="G619" s="14">
        <v>11829797.539999999</v>
      </c>
      <c r="H619" s="14">
        <v>11676247.02</v>
      </c>
      <c r="I619" s="14">
        <v>11829797.539999999</v>
      </c>
      <c r="J619" s="14">
        <v>11676247.02</v>
      </c>
      <c r="K619" s="12">
        <v>30896</v>
      </c>
      <c r="L619" s="10" t="s">
        <v>101</v>
      </c>
      <c r="M619" s="10" t="s">
        <v>102</v>
      </c>
      <c r="N619" s="124" t="s">
        <v>309</v>
      </c>
      <c r="O619" s="124" t="s">
        <v>309</v>
      </c>
      <c r="P619" s="21">
        <v>32</v>
      </c>
      <c r="Q619" s="10" t="s">
        <v>54</v>
      </c>
      <c r="R619" s="10" t="s">
        <v>28</v>
      </c>
      <c r="S619" s="10"/>
      <c r="T619" s="10"/>
      <c r="U619" s="10" t="s">
        <v>864</v>
      </c>
      <c r="V619" s="10" t="s">
        <v>864</v>
      </c>
      <c r="W619" s="50">
        <f>+J619/$W$2</f>
        <v>1.4290145107354662E-4</v>
      </c>
    </row>
    <row r="620" spans="1:29">
      <c r="A620" s="10" t="s">
        <v>364</v>
      </c>
      <c r="B620" s="10" t="s">
        <v>358</v>
      </c>
      <c r="C620" s="124">
        <v>46339</v>
      </c>
      <c r="D620" s="124" t="s">
        <v>471</v>
      </c>
      <c r="E620" s="21">
        <v>0.98702002</v>
      </c>
      <c r="F620" s="10"/>
      <c r="G620" s="14">
        <v>11490967.439999999</v>
      </c>
      <c r="H620" s="14">
        <v>11341814.92</v>
      </c>
      <c r="I620" s="14">
        <v>11490967.439999999</v>
      </c>
      <c r="J620" s="14">
        <v>11341814.92</v>
      </c>
      <c r="K620" s="12">
        <v>30906</v>
      </c>
      <c r="L620" s="10" t="s">
        <v>101</v>
      </c>
      <c r="M620" s="10" t="s">
        <v>102</v>
      </c>
      <c r="N620" s="124" t="s">
        <v>309</v>
      </c>
      <c r="O620" s="124" t="s">
        <v>309</v>
      </c>
      <c r="P620" s="21">
        <v>32</v>
      </c>
      <c r="Q620" s="10" t="s">
        <v>54</v>
      </c>
      <c r="R620" s="10" t="s">
        <v>28</v>
      </c>
      <c r="S620" s="10"/>
      <c r="T620" s="10"/>
      <c r="U620" s="10" t="s">
        <v>865</v>
      </c>
      <c r="V620" s="10" t="s">
        <v>865</v>
      </c>
      <c r="W620" s="50">
        <f>+J620/$W$2</f>
        <v>1.3880845507117416E-4</v>
      </c>
    </row>
    <row r="621" spans="1:29">
      <c r="A621" s="10" t="s">
        <v>364</v>
      </c>
      <c r="B621" s="10" t="s">
        <v>358</v>
      </c>
      <c r="C621" s="124">
        <v>46339</v>
      </c>
      <c r="D621" s="124" t="s">
        <v>471</v>
      </c>
      <c r="E621" s="21">
        <v>0.98702002</v>
      </c>
      <c r="F621" s="10"/>
      <c r="G621" s="14">
        <v>11229494.109999999</v>
      </c>
      <c r="H621" s="14">
        <v>11083735.52</v>
      </c>
      <c r="I621" s="14">
        <v>11229494.109999999</v>
      </c>
      <c r="J621" s="14">
        <v>11083735.52</v>
      </c>
      <c r="K621" s="12">
        <v>30919</v>
      </c>
      <c r="L621" s="10" t="s">
        <v>101</v>
      </c>
      <c r="M621" s="10" t="s">
        <v>102</v>
      </c>
      <c r="N621" s="124" t="s">
        <v>309</v>
      </c>
      <c r="O621" s="124" t="s">
        <v>309</v>
      </c>
      <c r="P621" s="21">
        <v>32</v>
      </c>
      <c r="Q621" s="10" t="s">
        <v>54</v>
      </c>
      <c r="R621" s="10" t="s">
        <v>28</v>
      </c>
      <c r="S621" s="10"/>
      <c r="T621" s="10"/>
      <c r="U621" s="10" t="s">
        <v>866</v>
      </c>
      <c r="V621" s="10" t="s">
        <v>866</v>
      </c>
      <c r="W621" s="50">
        <f>+J621/$W$2</f>
        <v>1.3564991271685265E-4</v>
      </c>
    </row>
    <row r="622" spans="1:29">
      <c r="A622" s="10" t="s">
        <v>3891</v>
      </c>
      <c r="B622" s="10" t="s">
        <v>358</v>
      </c>
      <c r="C622" s="124">
        <v>46339</v>
      </c>
      <c r="D622" s="124" t="s">
        <v>471</v>
      </c>
      <c r="E622" s="21">
        <v>0.98822264000000004</v>
      </c>
      <c r="F622" s="10"/>
      <c r="G622" s="14">
        <v>3388903.56</v>
      </c>
      <c r="H622" s="14">
        <v>3348991.21</v>
      </c>
      <c r="I622" s="14">
        <v>3388903.56</v>
      </c>
      <c r="J622" s="14">
        <v>3348991.21</v>
      </c>
      <c r="K622" s="12">
        <v>10174818</v>
      </c>
      <c r="L622" s="10" t="s">
        <v>101</v>
      </c>
      <c r="M622" s="10" t="s">
        <v>102</v>
      </c>
      <c r="N622" s="124" t="s">
        <v>474</v>
      </c>
      <c r="O622" s="124" t="s">
        <v>474</v>
      </c>
      <c r="P622" s="21">
        <v>29</v>
      </c>
      <c r="Q622" s="10" t="s">
        <v>54</v>
      </c>
      <c r="R622" s="10" t="s">
        <v>28</v>
      </c>
      <c r="S622" s="10"/>
      <c r="T622" s="10"/>
      <c r="U622" s="10" t="s">
        <v>3868</v>
      </c>
      <c r="V622" s="10" t="s">
        <v>3868</v>
      </c>
      <c r="W622" s="50">
        <f>+J622/$W$2</f>
        <v>4.0987117069535305E-5</v>
      </c>
    </row>
    <row r="623" spans="1:29">
      <c r="A623" s="10" t="s">
        <v>4172</v>
      </c>
      <c r="B623" s="10" t="s">
        <v>358</v>
      </c>
      <c r="C623" s="124">
        <v>46339</v>
      </c>
      <c r="D623" s="124" t="s">
        <v>471</v>
      </c>
      <c r="E623" s="21">
        <v>0.9866201</v>
      </c>
      <c r="F623" s="10"/>
      <c r="G623" s="14">
        <v>13514592</v>
      </c>
      <c r="H623" s="14">
        <v>13333768.1</v>
      </c>
      <c r="I623" s="14">
        <v>13514592</v>
      </c>
      <c r="J623" s="14">
        <v>13333768.1</v>
      </c>
      <c r="K623" s="12">
        <v>420</v>
      </c>
      <c r="L623" s="10" t="s">
        <v>101</v>
      </c>
      <c r="M623" s="10" t="s">
        <v>102</v>
      </c>
      <c r="N623" s="124" t="s">
        <v>471</v>
      </c>
      <c r="O623" s="124" t="s">
        <v>471</v>
      </c>
      <c r="P623" s="21">
        <v>33</v>
      </c>
      <c r="Q623" s="10" t="s">
        <v>54</v>
      </c>
      <c r="R623" s="10" t="s">
        <v>28</v>
      </c>
      <c r="S623" s="10"/>
      <c r="T623" s="10"/>
      <c r="U623" s="10" t="s">
        <v>4147</v>
      </c>
      <c r="V623" s="10" t="s">
        <v>4147</v>
      </c>
      <c r="W623" s="50">
        <f>+J623/$W$2</f>
        <v>1.6318726440991025E-4</v>
      </c>
    </row>
    <row r="624" spans="1:29">
      <c r="A624" s="10" t="s">
        <v>1089</v>
      </c>
      <c r="B624" s="10" t="s">
        <v>358</v>
      </c>
      <c r="C624" s="124">
        <v>46339</v>
      </c>
      <c r="D624" s="124" t="s">
        <v>471</v>
      </c>
      <c r="E624" s="21">
        <v>0.98661984000000003</v>
      </c>
      <c r="F624" s="10"/>
      <c r="G624" s="14">
        <v>100071435.06999999</v>
      </c>
      <c r="H624" s="14">
        <v>98732463.049999997</v>
      </c>
      <c r="I624" s="14">
        <v>100071435.06999999</v>
      </c>
      <c r="J624" s="14">
        <v>98732463.049999997</v>
      </c>
      <c r="K624" s="12">
        <v>10434104</v>
      </c>
      <c r="L624" s="10" t="s">
        <v>101</v>
      </c>
      <c r="M624" s="10" t="s">
        <v>102</v>
      </c>
      <c r="N624" s="124" t="s">
        <v>161</v>
      </c>
      <c r="O624" s="124" t="s">
        <v>161</v>
      </c>
      <c r="P624" s="21">
        <v>33</v>
      </c>
      <c r="Q624" s="10" t="s">
        <v>54</v>
      </c>
      <c r="R624" s="10" t="s">
        <v>28</v>
      </c>
      <c r="S624" s="10"/>
      <c r="T624" s="10"/>
      <c r="U624" s="10" t="s">
        <v>1088</v>
      </c>
      <c r="V624" s="10" t="s">
        <v>1088</v>
      </c>
      <c r="W624" s="50">
        <f>+J624/$W$2</f>
        <v>1.2083516401925458E-3</v>
      </c>
    </row>
    <row r="625" spans="1:29">
      <c r="A625" s="10" t="s">
        <v>164</v>
      </c>
      <c r="B625" s="10" t="s">
        <v>358</v>
      </c>
      <c r="C625" s="124">
        <v>46339</v>
      </c>
      <c r="D625" s="124" t="s">
        <v>471</v>
      </c>
      <c r="E625" s="21">
        <v>0.98462373000000003</v>
      </c>
      <c r="F625" s="10"/>
      <c r="G625" s="14">
        <v>315500000</v>
      </c>
      <c r="H625" s="14">
        <v>310648787.67000002</v>
      </c>
      <c r="I625" s="14">
        <v>315500000</v>
      </c>
      <c r="J625" s="14">
        <v>310648787.67000002</v>
      </c>
      <c r="K625" s="12">
        <v>70418828</v>
      </c>
      <c r="L625" s="10" t="s">
        <v>101</v>
      </c>
      <c r="M625" s="10" t="s">
        <v>102</v>
      </c>
      <c r="N625" s="124" t="s">
        <v>577</v>
      </c>
      <c r="O625" s="124" t="s">
        <v>577</v>
      </c>
      <c r="P625" s="21">
        <v>38</v>
      </c>
      <c r="Q625" s="10" t="s">
        <v>54</v>
      </c>
      <c r="R625" s="10" t="s">
        <v>28</v>
      </c>
      <c r="S625" s="10"/>
      <c r="T625" s="10"/>
      <c r="U625" s="10" t="s">
        <v>2461</v>
      </c>
      <c r="V625" s="10" t="s">
        <v>2461</v>
      </c>
      <c r="W625" s="50">
        <f>+J625/$W$2</f>
        <v>3.8019204677875239E-3</v>
      </c>
    </row>
    <row r="626" spans="1:29">
      <c r="A626" s="10" t="s">
        <v>377</v>
      </c>
      <c r="B626" s="10" t="s">
        <v>358</v>
      </c>
      <c r="C626" s="124">
        <v>46339</v>
      </c>
      <c r="D626" s="124" t="s">
        <v>471</v>
      </c>
      <c r="E626" s="21">
        <v>0.98702005000000004</v>
      </c>
      <c r="F626" s="10"/>
      <c r="G626" s="14">
        <v>30000000</v>
      </c>
      <c r="H626" s="14">
        <v>29610601.600000001</v>
      </c>
      <c r="I626" s="14">
        <v>30000000</v>
      </c>
      <c r="J626" s="14">
        <v>29610601.600000001</v>
      </c>
      <c r="K626" s="12">
        <v>697</v>
      </c>
      <c r="L626" s="10" t="s">
        <v>101</v>
      </c>
      <c r="M626" s="10" t="s">
        <v>102</v>
      </c>
      <c r="N626" s="124" t="s">
        <v>408</v>
      </c>
      <c r="O626" s="124" t="s">
        <v>408</v>
      </c>
      <c r="P626" s="21">
        <v>32</v>
      </c>
      <c r="Q626" s="10" t="s">
        <v>54</v>
      </c>
      <c r="R626" s="10" t="s">
        <v>28</v>
      </c>
      <c r="S626" s="10"/>
      <c r="T626" s="10"/>
      <c r="U626" s="10" t="s">
        <v>2037</v>
      </c>
      <c r="V626" s="10" t="s">
        <v>2037</v>
      </c>
      <c r="W626" s="50">
        <f>+J626/$W$2</f>
        <v>3.6239366369628941E-4</v>
      </c>
    </row>
    <row r="627" spans="1:29">
      <c r="A627" s="10" t="s">
        <v>377</v>
      </c>
      <c r="B627" s="10" t="s">
        <v>358</v>
      </c>
      <c r="C627" s="124">
        <v>46339</v>
      </c>
      <c r="D627" s="124" t="s">
        <v>471</v>
      </c>
      <c r="E627" s="21">
        <v>0.98702005000000004</v>
      </c>
      <c r="F627" s="10"/>
      <c r="G627" s="14">
        <v>30000000</v>
      </c>
      <c r="H627" s="14">
        <v>29610601.600000001</v>
      </c>
      <c r="I627" s="14">
        <v>30000000</v>
      </c>
      <c r="J627" s="14">
        <v>29610601.600000001</v>
      </c>
      <c r="K627" s="12">
        <v>693</v>
      </c>
      <c r="L627" s="10" t="s">
        <v>101</v>
      </c>
      <c r="M627" s="10" t="s">
        <v>102</v>
      </c>
      <c r="N627" s="124" t="s">
        <v>408</v>
      </c>
      <c r="O627" s="124" t="s">
        <v>408</v>
      </c>
      <c r="P627" s="21">
        <v>32</v>
      </c>
      <c r="Q627" s="10" t="s">
        <v>54</v>
      </c>
      <c r="R627" s="10" t="s">
        <v>28</v>
      </c>
      <c r="S627" s="10"/>
      <c r="T627" s="10"/>
      <c r="U627" s="10" t="s">
        <v>2039</v>
      </c>
      <c r="V627" s="10" t="s">
        <v>2039</v>
      </c>
      <c r="W627" s="50">
        <f>+J627/$W$2</f>
        <v>3.6239366369628941E-4</v>
      </c>
    </row>
    <row r="628" spans="1:29">
      <c r="A628" s="10" t="s">
        <v>433</v>
      </c>
      <c r="B628" s="10" t="s">
        <v>358</v>
      </c>
      <c r="C628" s="124">
        <v>46339</v>
      </c>
      <c r="D628" s="124" t="s">
        <v>471</v>
      </c>
      <c r="E628" s="21">
        <v>0.98661984999999996</v>
      </c>
      <c r="F628" s="10"/>
      <c r="G628" s="14">
        <v>25000000</v>
      </c>
      <c r="H628" s="14">
        <v>24665496.27</v>
      </c>
      <c r="I628" s="14">
        <v>25000000</v>
      </c>
      <c r="J628" s="14">
        <v>24665496.27</v>
      </c>
      <c r="K628" s="12">
        <v>14422655</v>
      </c>
      <c r="L628" s="10" t="s">
        <v>101</v>
      </c>
      <c r="M628" s="10" t="s">
        <v>102</v>
      </c>
      <c r="N628" s="124" t="s">
        <v>396</v>
      </c>
      <c r="O628" s="124" t="s">
        <v>396</v>
      </c>
      <c r="P628" s="21">
        <v>33</v>
      </c>
      <c r="Q628" s="10" t="s">
        <v>54</v>
      </c>
      <c r="R628" s="10" t="s">
        <v>28</v>
      </c>
      <c r="S628" s="10"/>
      <c r="T628" s="10"/>
      <c r="U628" s="10" t="s">
        <v>1382</v>
      </c>
      <c r="V628" s="10" t="s">
        <v>1382</v>
      </c>
      <c r="W628" s="50">
        <f>+J628/$W$2</f>
        <v>3.0187227132097378E-4</v>
      </c>
    </row>
    <row r="629" spans="1:29">
      <c r="A629" s="10" t="s">
        <v>433</v>
      </c>
      <c r="B629" s="10" t="s">
        <v>358</v>
      </c>
      <c r="C629" s="124">
        <v>46339</v>
      </c>
      <c r="D629" s="124" t="s">
        <v>471</v>
      </c>
      <c r="E629" s="21">
        <v>0.98702003000000005</v>
      </c>
      <c r="F629" s="10"/>
      <c r="G629" s="14">
        <v>11000000</v>
      </c>
      <c r="H629" s="14">
        <v>10857220.380000001</v>
      </c>
      <c r="I629" s="14">
        <v>11000000</v>
      </c>
      <c r="J629" s="14">
        <v>10857220.380000001</v>
      </c>
      <c r="K629" s="12">
        <v>14651797</v>
      </c>
      <c r="L629" s="10" t="s">
        <v>101</v>
      </c>
      <c r="M629" s="10" t="s">
        <v>102</v>
      </c>
      <c r="N629" s="124" t="s">
        <v>603</v>
      </c>
      <c r="O629" s="124" t="s">
        <v>603</v>
      </c>
      <c r="P629" s="21">
        <v>32</v>
      </c>
      <c r="Q629" s="10" t="s">
        <v>54</v>
      </c>
      <c r="R629" s="10" t="s">
        <v>28</v>
      </c>
      <c r="S629" s="10"/>
      <c r="T629" s="10"/>
      <c r="U629" s="10" t="s">
        <v>2587</v>
      </c>
      <c r="V629" s="10" t="s">
        <v>2587</v>
      </c>
      <c r="W629" s="50">
        <f>+J629/$W$2</f>
        <v>1.3287767415931935E-4</v>
      </c>
    </row>
    <row r="630" spans="1:29">
      <c r="A630" s="10" t="s">
        <v>433</v>
      </c>
      <c r="B630" s="10" t="s">
        <v>358</v>
      </c>
      <c r="C630" s="124">
        <v>46339</v>
      </c>
      <c r="D630" s="124" t="s">
        <v>471</v>
      </c>
      <c r="E630" s="21">
        <v>0.98702018999999996</v>
      </c>
      <c r="F630" s="10"/>
      <c r="G630" s="14">
        <v>10000000</v>
      </c>
      <c r="H630" s="14">
        <v>9870201.9100000001</v>
      </c>
      <c r="I630" s="14">
        <v>10000000</v>
      </c>
      <c r="J630" s="14">
        <v>9870201.9100000001</v>
      </c>
      <c r="K630" s="12">
        <v>14822644</v>
      </c>
      <c r="L630" s="10" t="s">
        <v>101</v>
      </c>
      <c r="M630" s="10" t="s">
        <v>102</v>
      </c>
      <c r="N630" s="124" t="s">
        <v>469</v>
      </c>
      <c r="O630" s="124" t="s">
        <v>469</v>
      </c>
      <c r="P630" s="21">
        <v>32</v>
      </c>
      <c r="Q630" s="10" t="s">
        <v>54</v>
      </c>
      <c r="R630" s="10" t="s">
        <v>28</v>
      </c>
      <c r="S630" s="10"/>
      <c r="T630" s="10"/>
      <c r="U630" s="10" t="s">
        <v>3991</v>
      </c>
      <c r="V630" s="10" t="s">
        <v>3991</v>
      </c>
      <c r="W630" s="50">
        <f>+J630/$W$2</f>
        <v>1.207979047472988E-4</v>
      </c>
    </row>
    <row r="631" spans="1:29">
      <c r="A631" s="10" t="s">
        <v>3584</v>
      </c>
      <c r="B631" s="10" t="s">
        <v>358</v>
      </c>
      <c r="C631" s="124">
        <v>46339</v>
      </c>
      <c r="D631" s="124" t="s">
        <v>471</v>
      </c>
      <c r="E631" s="21">
        <v>0.98782150999999996</v>
      </c>
      <c r="F631" s="10"/>
      <c r="G631" s="14">
        <v>2700000</v>
      </c>
      <c r="H631" s="14">
        <v>2667118.08</v>
      </c>
      <c r="I631" s="14">
        <v>2700000</v>
      </c>
      <c r="J631" s="14">
        <v>2667118.08</v>
      </c>
      <c r="K631" s="12">
        <v>333</v>
      </c>
      <c r="L631" s="10" t="s">
        <v>101</v>
      </c>
      <c r="M631" s="10" t="s">
        <v>102</v>
      </c>
      <c r="N631" s="124" t="s">
        <v>451</v>
      </c>
      <c r="O631" s="124" t="s">
        <v>451</v>
      </c>
      <c r="P631" s="21">
        <v>30</v>
      </c>
      <c r="Q631" s="10" t="s">
        <v>54</v>
      </c>
      <c r="R631" s="10" t="s">
        <v>28</v>
      </c>
      <c r="S631" s="10"/>
      <c r="T631" s="10"/>
      <c r="U631" s="10" t="s">
        <v>3521</v>
      </c>
      <c r="V631" s="10" t="s">
        <v>3521</v>
      </c>
      <c r="W631" s="50">
        <f>+J631/$W$2</f>
        <v>3.2641913378815413E-5</v>
      </c>
    </row>
    <row r="632" spans="1:29">
      <c r="A632" s="10" t="s">
        <v>217</v>
      </c>
      <c r="B632" s="10" t="s">
        <v>358</v>
      </c>
      <c r="C632" s="124">
        <v>46339</v>
      </c>
      <c r="D632" s="124" t="s">
        <v>471</v>
      </c>
      <c r="E632" s="21">
        <v>0.98702002</v>
      </c>
      <c r="F632" s="10"/>
      <c r="G632" s="14">
        <v>50000000</v>
      </c>
      <c r="H632" s="14">
        <v>49351000.979999997</v>
      </c>
      <c r="I632" s="14">
        <v>50000000</v>
      </c>
      <c r="J632" s="14">
        <v>49351000.979999997</v>
      </c>
      <c r="K632" s="12">
        <v>5359</v>
      </c>
      <c r="L632" s="10" t="s">
        <v>101</v>
      </c>
      <c r="M632" s="10" t="s">
        <v>102</v>
      </c>
      <c r="N632" s="124" t="s">
        <v>395</v>
      </c>
      <c r="O632" s="124" t="s">
        <v>395</v>
      </c>
      <c r="P632" s="21">
        <v>32</v>
      </c>
      <c r="Q632" s="10" t="s">
        <v>54</v>
      </c>
      <c r="R632" s="10" t="s">
        <v>28</v>
      </c>
      <c r="S632" s="10"/>
      <c r="T632" s="10"/>
      <c r="U632" s="10" t="s">
        <v>1806</v>
      </c>
      <c r="V632" s="10" t="s">
        <v>1806</v>
      </c>
      <c r="W632" s="50">
        <f>+J632/$W$2</f>
        <v>6.0398941885129976E-4</v>
      </c>
    </row>
    <row r="633" spans="1:29">
      <c r="A633" s="10" t="s">
        <v>217</v>
      </c>
      <c r="B633" s="10" t="s">
        <v>358</v>
      </c>
      <c r="C633" s="124">
        <v>46339</v>
      </c>
      <c r="D633" s="124" t="s">
        <v>471</v>
      </c>
      <c r="E633" s="21">
        <v>0.98702003999999999</v>
      </c>
      <c r="F633" s="10"/>
      <c r="G633" s="14">
        <v>50000000</v>
      </c>
      <c r="H633" s="14">
        <v>49351001.840000004</v>
      </c>
      <c r="I633" s="14">
        <v>50000000</v>
      </c>
      <c r="J633" s="14">
        <v>49351001.840000004</v>
      </c>
      <c r="K633" s="12">
        <v>5165</v>
      </c>
      <c r="L633" s="10" t="s">
        <v>101</v>
      </c>
      <c r="M633" s="10" t="s">
        <v>102</v>
      </c>
      <c r="N633" s="124" t="s">
        <v>389</v>
      </c>
      <c r="O633" s="124" t="s">
        <v>389</v>
      </c>
      <c r="P633" s="21">
        <v>32</v>
      </c>
      <c r="Q633" s="10" t="s">
        <v>54</v>
      </c>
      <c r="R633" s="10" t="s">
        <v>28</v>
      </c>
      <c r="S633" s="10"/>
      <c r="T633" s="10"/>
      <c r="U633" s="10" t="s">
        <v>971</v>
      </c>
      <c r="V633" s="10" t="s">
        <v>971</v>
      </c>
      <c r="W633" s="50">
        <f>+J633/$W$2</f>
        <v>6.0398942937653528E-4</v>
      </c>
    </row>
    <row r="634" spans="1:29">
      <c r="A634" s="10" t="s">
        <v>217</v>
      </c>
      <c r="B634" s="10" t="s">
        <v>358</v>
      </c>
      <c r="C634" s="124">
        <v>46339</v>
      </c>
      <c r="D634" s="124" t="s">
        <v>471</v>
      </c>
      <c r="E634" s="21">
        <v>0.98702007999999997</v>
      </c>
      <c r="F634" s="10"/>
      <c r="G634" s="14">
        <v>50000000</v>
      </c>
      <c r="H634" s="14">
        <v>49351004.030000001</v>
      </c>
      <c r="I634" s="14">
        <v>50000000</v>
      </c>
      <c r="J634" s="14">
        <v>49351004.030000001</v>
      </c>
      <c r="K634" s="12">
        <v>5405</v>
      </c>
      <c r="L634" s="10" t="s">
        <v>101</v>
      </c>
      <c r="M634" s="10" t="s">
        <v>102</v>
      </c>
      <c r="N634" s="124" t="s">
        <v>452</v>
      </c>
      <c r="O634" s="124" t="s">
        <v>452</v>
      </c>
      <c r="P634" s="21">
        <v>32</v>
      </c>
      <c r="Q634" s="10" t="s">
        <v>54</v>
      </c>
      <c r="R634" s="10" t="s">
        <v>28</v>
      </c>
      <c r="S634" s="10"/>
      <c r="T634" s="10"/>
      <c r="U634" s="10" t="s">
        <v>2515</v>
      </c>
      <c r="V634" s="10" t="s">
        <v>2515</v>
      </c>
      <c r="W634" s="50">
        <f>+J634/$W$2</f>
        <v>6.039894561791694E-4</v>
      </c>
    </row>
    <row r="635" spans="1:29">
      <c r="A635" s="10" t="s">
        <v>2211</v>
      </c>
      <c r="B635" s="10" t="s">
        <v>358</v>
      </c>
      <c r="C635" s="124">
        <v>46339</v>
      </c>
      <c r="D635" s="124" t="s">
        <v>471</v>
      </c>
      <c r="E635" s="21">
        <v>0.98661988</v>
      </c>
      <c r="F635" s="10"/>
      <c r="G635" s="14">
        <v>2500000</v>
      </c>
      <c r="H635" s="14">
        <v>2466549.71</v>
      </c>
      <c r="I635" s="14">
        <v>2500000</v>
      </c>
      <c r="J635" s="14">
        <v>2466549.71</v>
      </c>
      <c r="K635" s="12">
        <v>83</v>
      </c>
      <c r="L635" s="10" t="s">
        <v>101</v>
      </c>
      <c r="M635" s="10" t="s">
        <v>102</v>
      </c>
      <c r="N635" s="124" t="s">
        <v>478</v>
      </c>
      <c r="O635" s="124" t="s">
        <v>478</v>
      </c>
      <c r="P635" s="21">
        <v>33</v>
      </c>
      <c r="Q635" s="10" t="s">
        <v>54</v>
      </c>
      <c r="R635" s="10" t="s">
        <v>28</v>
      </c>
      <c r="S635" s="10"/>
      <c r="T635" s="10"/>
      <c r="U635" s="10" t="s">
        <v>2178</v>
      </c>
      <c r="V635" s="10" t="s">
        <v>2178</v>
      </c>
      <c r="W635" s="50">
        <f>+J635/$W$2</f>
        <v>3.0187228147904978E-5</v>
      </c>
    </row>
    <row r="636" spans="1:29">
      <c r="A636" s="10" t="s">
        <v>3409</v>
      </c>
      <c r="B636" s="10" t="s">
        <v>358</v>
      </c>
      <c r="C636" s="124">
        <v>46339</v>
      </c>
      <c r="D636" s="124" t="s">
        <v>471</v>
      </c>
      <c r="E636" s="21">
        <v>0.98702003999999999</v>
      </c>
      <c r="F636" s="10"/>
      <c r="G636" s="14">
        <v>4996789.67</v>
      </c>
      <c r="H636" s="14">
        <v>4931931.53</v>
      </c>
      <c r="I636" s="14">
        <v>4996789.67</v>
      </c>
      <c r="J636" s="14">
        <v>4931931.53</v>
      </c>
      <c r="K636" s="12">
        <v>40981973</v>
      </c>
      <c r="L636" s="10" t="s">
        <v>101</v>
      </c>
      <c r="M636" s="10" t="s">
        <v>102</v>
      </c>
      <c r="N636" s="124" t="s">
        <v>475</v>
      </c>
      <c r="O636" s="124" t="s">
        <v>475</v>
      </c>
      <c r="P636" s="21">
        <v>32</v>
      </c>
      <c r="Q636" s="10" t="s">
        <v>54</v>
      </c>
      <c r="R636" s="10" t="s">
        <v>28</v>
      </c>
      <c r="S636" s="10"/>
      <c r="T636" s="10"/>
      <c r="U636" s="10" t="s">
        <v>3369</v>
      </c>
      <c r="V636" s="10" t="s">
        <v>3369</v>
      </c>
      <c r="W636" s="50">
        <f>+J636/$W$2</f>
        <v>6.0360162903814365E-5</v>
      </c>
      <c r="AC636" s="47"/>
    </row>
    <row r="637" spans="1:29">
      <c r="A637" s="10" t="s">
        <v>685</v>
      </c>
      <c r="B637" s="10" t="s">
        <v>358</v>
      </c>
      <c r="C637" s="124">
        <v>46339</v>
      </c>
      <c r="D637" s="124" t="s">
        <v>471</v>
      </c>
      <c r="E637" s="21">
        <v>0.98782139999999996</v>
      </c>
      <c r="F637" s="10"/>
      <c r="G637" s="14">
        <v>1500000</v>
      </c>
      <c r="H637" s="14">
        <v>1481732.1</v>
      </c>
      <c r="I637" s="14">
        <v>1500000</v>
      </c>
      <c r="J637" s="14">
        <v>1481732.1</v>
      </c>
      <c r="K637" s="12">
        <v>10793612</v>
      </c>
      <c r="L637" s="10" t="s">
        <v>101</v>
      </c>
      <c r="M637" s="10" t="s">
        <v>102</v>
      </c>
      <c r="N637" s="124" t="s">
        <v>475</v>
      </c>
      <c r="O637" s="124" t="s">
        <v>475</v>
      </c>
      <c r="P637" s="21">
        <v>30</v>
      </c>
      <c r="Q637" s="10" t="s">
        <v>54</v>
      </c>
      <c r="R637" s="10" t="s">
        <v>28</v>
      </c>
      <c r="S637" s="10"/>
      <c r="T637" s="10"/>
      <c r="U637" s="10" t="s">
        <v>3328</v>
      </c>
      <c r="V637" s="10" t="s">
        <v>3328</v>
      </c>
      <c r="W637" s="50">
        <f>+J637/$W$2</f>
        <v>1.8134394281789827E-5</v>
      </c>
    </row>
    <row r="638" spans="1:29">
      <c r="A638" s="10" t="s">
        <v>604</v>
      </c>
      <c r="B638" s="10" t="s">
        <v>358</v>
      </c>
      <c r="C638" s="124">
        <v>46339</v>
      </c>
      <c r="D638" s="124" t="s">
        <v>471</v>
      </c>
      <c r="E638" s="21">
        <v>0.98782139999999996</v>
      </c>
      <c r="F638" s="10"/>
      <c r="G638" s="14">
        <v>5852286</v>
      </c>
      <c r="H638" s="14">
        <v>5781013.3300000001</v>
      </c>
      <c r="I638" s="14">
        <v>5852286</v>
      </c>
      <c r="J638" s="14">
        <v>5781013.3300000001</v>
      </c>
      <c r="K638" s="12">
        <v>90045243</v>
      </c>
      <c r="L638" s="10" t="s">
        <v>101</v>
      </c>
      <c r="M638" s="10" t="s">
        <v>102</v>
      </c>
      <c r="N638" s="124" t="s">
        <v>411</v>
      </c>
      <c r="O638" s="124" t="s">
        <v>411</v>
      </c>
      <c r="P638" s="21">
        <v>30</v>
      </c>
      <c r="Q638" s="10" t="s">
        <v>54</v>
      </c>
      <c r="R638" s="10" t="s">
        <v>28</v>
      </c>
      <c r="S638" s="10"/>
      <c r="T638" s="10"/>
      <c r="U638" s="10" t="s">
        <v>2907</v>
      </c>
      <c r="V638" s="10" t="s">
        <v>2907</v>
      </c>
      <c r="W638" s="50">
        <f>+J638/$W$2</f>
        <v>7.0751774274514784E-5</v>
      </c>
    </row>
    <row r="639" spans="1:29">
      <c r="A639" s="10" t="s">
        <v>604</v>
      </c>
      <c r="B639" s="10" t="s">
        <v>358</v>
      </c>
      <c r="C639" s="124">
        <v>46339</v>
      </c>
      <c r="D639" s="124" t="s">
        <v>471</v>
      </c>
      <c r="E639" s="21">
        <v>0.98782141999999995</v>
      </c>
      <c r="F639" s="10"/>
      <c r="G639" s="14">
        <v>5359454</v>
      </c>
      <c r="H639" s="14">
        <v>5294183.4400000004</v>
      </c>
      <c r="I639" s="14">
        <v>5359454</v>
      </c>
      <c r="J639" s="14">
        <v>5294183.4400000004</v>
      </c>
      <c r="K639" s="12">
        <v>90045196</v>
      </c>
      <c r="L639" s="10" t="s">
        <v>101</v>
      </c>
      <c r="M639" s="10" t="s">
        <v>102</v>
      </c>
      <c r="N639" s="124" t="s">
        <v>412</v>
      </c>
      <c r="O639" s="124" t="s">
        <v>412</v>
      </c>
      <c r="P639" s="21">
        <v>30</v>
      </c>
      <c r="Q639" s="10" t="s">
        <v>54</v>
      </c>
      <c r="R639" s="10" t="s">
        <v>28</v>
      </c>
      <c r="S639" s="10"/>
      <c r="T639" s="10"/>
      <c r="U639" s="10" t="s">
        <v>2797</v>
      </c>
      <c r="V639" s="10" t="s">
        <v>2797</v>
      </c>
      <c r="W639" s="50">
        <f>+J639/$W$2</f>
        <v>6.4793635705862342E-5</v>
      </c>
      <c r="AC639" s="47"/>
    </row>
    <row r="640" spans="1:29">
      <c r="A640" s="10" t="s">
        <v>3054</v>
      </c>
      <c r="B640" s="10" t="s">
        <v>358</v>
      </c>
      <c r="C640" s="124">
        <v>46339</v>
      </c>
      <c r="D640" s="124" t="s">
        <v>471</v>
      </c>
      <c r="E640" s="21">
        <v>0.98782144999999999</v>
      </c>
      <c r="F640" s="10"/>
      <c r="G640" s="14">
        <v>42421940.549999997</v>
      </c>
      <c r="H640" s="14">
        <v>41905302.909999996</v>
      </c>
      <c r="I640" s="14">
        <v>42421940.549999997</v>
      </c>
      <c r="J640" s="14">
        <v>41905302.909999996</v>
      </c>
      <c r="K640" s="12">
        <v>3883497</v>
      </c>
      <c r="L640" s="10" t="s">
        <v>101</v>
      </c>
      <c r="M640" s="10" t="s">
        <v>102</v>
      </c>
      <c r="N640" s="124" t="s">
        <v>508</v>
      </c>
      <c r="O640" s="124" t="s">
        <v>508</v>
      </c>
      <c r="P640" s="21">
        <v>30</v>
      </c>
      <c r="Q640" s="10" t="s">
        <v>54</v>
      </c>
      <c r="R640" s="10" t="s">
        <v>28</v>
      </c>
      <c r="S640" s="10"/>
      <c r="T640" s="10"/>
      <c r="U640" s="10" t="s">
        <v>2996</v>
      </c>
      <c r="V640" s="10" t="s">
        <v>2996</v>
      </c>
      <c r="W640" s="50">
        <f>+J640/$W$2</f>
        <v>5.1286415774334272E-4</v>
      </c>
    </row>
    <row r="641" spans="1:29">
      <c r="A641" s="10" t="s">
        <v>438</v>
      </c>
      <c r="B641" s="10" t="s">
        <v>358</v>
      </c>
      <c r="C641" s="124">
        <v>46339</v>
      </c>
      <c r="D641" s="124" t="s">
        <v>471</v>
      </c>
      <c r="E641" s="21">
        <v>0.98902592</v>
      </c>
      <c r="F641" s="10"/>
      <c r="G641" s="14">
        <v>2500000</v>
      </c>
      <c r="H641" s="14">
        <v>2472564.79</v>
      </c>
      <c r="I641" s="14">
        <v>2500000</v>
      </c>
      <c r="J641" s="14">
        <v>2472564.79</v>
      </c>
      <c r="K641" s="12">
        <v>53553934</v>
      </c>
      <c r="L641" s="10" t="s">
        <v>101</v>
      </c>
      <c r="M641" s="10" t="s">
        <v>102</v>
      </c>
      <c r="N641" s="124" t="s">
        <v>477</v>
      </c>
      <c r="O641" s="124" t="s">
        <v>477</v>
      </c>
      <c r="P641" s="21">
        <v>27</v>
      </c>
      <c r="Q641" s="10" t="s">
        <v>54</v>
      </c>
      <c r="R641" s="10" t="s">
        <v>28</v>
      </c>
      <c r="S641" s="10"/>
      <c r="T641" s="10"/>
      <c r="U641" s="10" t="s">
        <v>2371</v>
      </c>
      <c r="V641" s="10" t="s">
        <v>2371</v>
      </c>
      <c r="W641" s="50">
        <f>+J641/$W$2</f>
        <v>3.0260844581237637E-5</v>
      </c>
    </row>
    <row r="642" spans="1:29">
      <c r="A642" s="10" t="s">
        <v>359</v>
      </c>
      <c r="B642" s="10" t="s">
        <v>358</v>
      </c>
      <c r="C642" s="124">
        <v>46339</v>
      </c>
      <c r="D642" s="124" t="s">
        <v>471</v>
      </c>
      <c r="E642" s="21">
        <v>0.98782143</v>
      </c>
      <c r="F642" s="10"/>
      <c r="G642" s="14">
        <v>8000000</v>
      </c>
      <c r="H642" s="14">
        <v>7902571.4500000002</v>
      </c>
      <c r="I642" s="14">
        <v>8000000</v>
      </c>
      <c r="J642" s="14">
        <v>7902571.4500000002</v>
      </c>
      <c r="K642" s="12">
        <v>1428</v>
      </c>
      <c r="L642" s="10" t="s">
        <v>101</v>
      </c>
      <c r="M642" s="10" t="s">
        <v>102</v>
      </c>
      <c r="N642" s="124" t="s">
        <v>467</v>
      </c>
      <c r="O642" s="124" t="s">
        <v>467</v>
      </c>
      <c r="P642" s="21">
        <v>30</v>
      </c>
      <c r="Q642" s="10" t="s">
        <v>54</v>
      </c>
      <c r="R642" s="10" t="s">
        <v>28</v>
      </c>
      <c r="S642" s="10"/>
      <c r="T642" s="10"/>
      <c r="U642" s="10" t="s">
        <v>3701</v>
      </c>
      <c r="V642" s="10" t="s">
        <v>3701</v>
      </c>
      <c r="W642" s="50">
        <f>+J642/$W$2</f>
        <v>9.6716772562540512E-5</v>
      </c>
    </row>
    <row r="643" spans="1:29">
      <c r="A643" s="10" t="s">
        <v>359</v>
      </c>
      <c r="B643" s="10" t="s">
        <v>358</v>
      </c>
      <c r="C643" s="124">
        <v>46339</v>
      </c>
      <c r="D643" s="124" t="s">
        <v>471</v>
      </c>
      <c r="E643" s="21">
        <v>0.98782143</v>
      </c>
      <c r="F643" s="10"/>
      <c r="G643" s="14">
        <v>12500000</v>
      </c>
      <c r="H643" s="14">
        <v>12347767.91</v>
      </c>
      <c r="I643" s="14">
        <v>12500000</v>
      </c>
      <c r="J643" s="14">
        <v>12347767.91</v>
      </c>
      <c r="K643" s="12">
        <v>1380</v>
      </c>
      <c r="L643" s="10" t="s">
        <v>101</v>
      </c>
      <c r="M643" s="10" t="s">
        <v>102</v>
      </c>
      <c r="N643" s="124" t="s">
        <v>465</v>
      </c>
      <c r="O643" s="124" t="s">
        <v>465</v>
      </c>
      <c r="P643" s="21">
        <v>30</v>
      </c>
      <c r="Q643" s="10" t="s">
        <v>54</v>
      </c>
      <c r="R643" s="10" t="s">
        <v>28</v>
      </c>
      <c r="S643" s="10"/>
      <c r="T643" s="10"/>
      <c r="U643" s="10" t="s">
        <v>2980</v>
      </c>
      <c r="V643" s="10" t="s">
        <v>2980</v>
      </c>
      <c r="W643" s="50">
        <f>+J643/$W$2</f>
        <v>1.5111995736609332E-4</v>
      </c>
    </row>
    <row r="644" spans="1:29">
      <c r="A644" s="10" t="s">
        <v>359</v>
      </c>
      <c r="B644" s="10" t="s">
        <v>358</v>
      </c>
      <c r="C644" s="124">
        <v>46339</v>
      </c>
      <c r="D644" s="124" t="s">
        <v>471</v>
      </c>
      <c r="E644" s="21">
        <v>0.98782144999999999</v>
      </c>
      <c r="F644" s="10"/>
      <c r="G644" s="14">
        <v>6000000</v>
      </c>
      <c r="H644" s="14">
        <v>5926928.6799999997</v>
      </c>
      <c r="I644" s="14">
        <v>6000000</v>
      </c>
      <c r="J644" s="14">
        <v>5926928.6799999997</v>
      </c>
      <c r="K644" s="12">
        <v>1366</v>
      </c>
      <c r="L644" s="10" t="s">
        <v>101</v>
      </c>
      <c r="M644" s="10" t="s">
        <v>102</v>
      </c>
      <c r="N644" s="124" t="s">
        <v>445</v>
      </c>
      <c r="O644" s="124" t="s">
        <v>445</v>
      </c>
      <c r="P644" s="21">
        <v>30</v>
      </c>
      <c r="Q644" s="10" t="s">
        <v>54</v>
      </c>
      <c r="R644" s="10" t="s">
        <v>28</v>
      </c>
      <c r="S644" s="10"/>
      <c r="T644" s="10"/>
      <c r="U644" s="10" t="s">
        <v>2852</v>
      </c>
      <c r="V644" s="10" t="s">
        <v>2852</v>
      </c>
      <c r="W644" s="50">
        <f>+J644/$W$2</f>
        <v>7.2537580553980107E-5</v>
      </c>
    </row>
    <row r="645" spans="1:29">
      <c r="A645" s="10" t="s">
        <v>359</v>
      </c>
      <c r="B645" s="10" t="s">
        <v>358</v>
      </c>
      <c r="C645" s="124">
        <v>46339</v>
      </c>
      <c r="D645" s="124" t="s">
        <v>471</v>
      </c>
      <c r="E645" s="21">
        <v>0.98782148000000003</v>
      </c>
      <c r="F645" s="10"/>
      <c r="G645" s="14">
        <v>5000000</v>
      </c>
      <c r="H645" s="14">
        <v>4939107.42</v>
      </c>
      <c r="I645" s="14">
        <v>5000000</v>
      </c>
      <c r="J645" s="14">
        <v>4939107.42</v>
      </c>
      <c r="K645" s="12">
        <v>1369</v>
      </c>
      <c r="L645" s="10" t="s">
        <v>101</v>
      </c>
      <c r="M645" s="10" t="s">
        <v>102</v>
      </c>
      <c r="N645" s="124" t="s">
        <v>413</v>
      </c>
      <c r="O645" s="124" t="s">
        <v>413</v>
      </c>
      <c r="P645" s="21">
        <v>30</v>
      </c>
      <c r="Q645" s="10" t="s">
        <v>54</v>
      </c>
      <c r="R645" s="10" t="s">
        <v>28</v>
      </c>
      <c r="S645" s="10"/>
      <c r="T645" s="10"/>
      <c r="U645" s="10" t="s">
        <v>2881</v>
      </c>
      <c r="V645" s="10" t="s">
        <v>2881</v>
      </c>
      <c r="W645" s="50">
        <f>+J645/$W$2</f>
        <v>6.0447986079530637E-5</v>
      </c>
    </row>
    <row r="646" spans="1:29">
      <c r="A646" s="10" t="s">
        <v>359</v>
      </c>
      <c r="B646" s="10" t="s">
        <v>358</v>
      </c>
      <c r="C646" s="124">
        <v>46339</v>
      </c>
      <c r="D646" s="124" t="s">
        <v>471</v>
      </c>
      <c r="E646" s="21">
        <v>0.98782148000000003</v>
      </c>
      <c r="F646" s="10"/>
      <c r="G646" s="14">
        <v>5000000</v>
      </c>
      <c r="H646" s="14">
        <v>4939107.42</v>
      </c>
      <c r="I646" s="14">
        <v>5000000</v>
      </c>
      <c r="J646" s="14">
        <v>4939107.42</v>
      </c>
      <c r="K646" s="12">
        <v>1370</v>
      </c>
      <c r="L646" s="10" t="s">
        <v>101</v>
      </c>
      <c r="M646" s="10" t="s">
        <v>102</v>
      </c>
      <c r="N646" s="124" t="s">
        <v>413</v>
      </c>
      <c r="O646" s="124" t="s">
        <v>413</v>
      </c>
      <c r="P646" s="21">
        <v>30</v>
      </c>
      <c r="Q646" s="10" t="s">
        <v>54</v>
      </c>
      <c r="R646" s="10" t="s">
        <v>28</v>
      </c>
      <c r="S646" s="10"/>
      <c r="T646" s="10"/>
      <c r="U646" s="10" t="s">
        <v>2882</v>
      </c>
      <c r="V646" s="10" t="s">
        <v>2882</v>
      </c>
      <c r="W646" s="50">
        <f>+J646/$W$2</f>
        <v>6.0447986079530637E-5</v>
      </c>
    </row>
    <row r="647" spans="1:29">
      <c r="A647" s="10" t="s">
        <v>359</v>
      </c>
      <c r="B647" s="10" t="s">
        <v>358</v>
      </c>
      <c r="C647" s="124">
        <v>46339</v>
      </c>
      <c r="D647" s="124" t="s">
        <v>471</v>
      </c>
      <c r="E647" s="21">
        <v>0.98782143</v>
      </c>
      <c r="F647" s="10"/>
      <c r="G647" s="14">
        <v>5000000</v>
      </c>
      <c r="H647" s="14">
        <v>4939107.16</v>
      </c>
      <c r="I647" s="14">
        <v>5000000</v>
      </c>
      <c r="J647" s="14">
        <v>4939107.16</v>
      </c>
      <c r="K647" s="12">
        <v>1352</v>
      </c>
      <c r="L647" s="10" t="s">
        <v>101</v>
      </c>
      <c r="M647" s="10" t="s">
        <v>102</v>
      </c>
      <c r="N647" s="124" t="s">
        <v>440</v>
      </c>
      <c r="O647" s="124" t="s">
        <v>440</v>
      </c>
      <c r="P647" s="21">
        <v>30</v>
      </c>
      <c r="Q647" s="10" t="s">
        <v>54</v>
      </c>
      <c r="R647" s="10" t="s">
        <v>28</v>
      </c>
      <c r="S647" s="10"/>
      <c r="T647" s="10"/>
      <c r="U647" s="10" t="s">
        <v>2687</v>
      </c>
      <c r="V647" s="10" t="s">
        <v>2687</v>
      </c>
      <c r="W647" s="50">
        <f>+J647/$W$2</f>
        <v>6.0447982897482743E-5</v>
      </c>
    </row>
    <row r="648" spans="1:29">
      <c r="A648" s="10" t="s">
        <v>359</v>
      </c>
      <c r="B648" s="10" t="s">
        <v>358</v>
      </c>
      <c r="C648" s="124">
        <v>46339</v>
      </c>
      <c r="D648" s="124" t="s">
        <v>471</v>
      </c>
      <c r="E648" s="21">
        <v>0.98782141999999995</v>
      </c>
      <c r="F648" s="10"/>
      <c r="G648" s="14">
        <v>6000000</v>
      </c>
      <c r="H648" s="14">
        <v>5926928.4900000002</v>
      </c>
      <c r="I648" s="14">
        <v>6000000</v>
      </c>
      <c r="J648" s="14">
        <v>5926928.4900000002</v>
      </c>
      <c r="K648" s="12">
        <v>1357</v>
      </c>
      <c r="L648" s="10" t="s">
        <v>101</v>
      </c>
      <c r="M648" s="10" t="s">
        <v>102</v>
      </c>
      <c r="N648" s="124" t="s">
        <v>412</v>
      </c>
      <c r="O648" s="124" t="s">
        <v>412</v>
      </c>
      <c r="P648" s="21">
        <v>30</v>
      </c>
      <c r="Q648" s="10" t="s">
        <v>54</v>
      </c>
      <c r="R648" s="10" t="s">
        <v>28</v>
      </c>
      <c r="S648" s="10"/>
      <c r="T648" s="10"/>
      <c r="U648" s="10" t="s">
        <v>2763</v>
      </c>
      <c r="V648" s="10" t="s">
        <v>2763</v>
      </c>
      <c r="W648" s="50">
        <f>+J648/$W$2</f>
        <v>7.253757822863743E-5</v>
      </c>
    </row>
    <row r="649" spans="1:29">
      <c r="A649" s="10" t="s">
        <v>359</v>
      </c>
      <c r="B649" s="10" t="s">
        <v>358</v>
      </c>
      <c r="C649" s="124">
        <v>46339</v>
      </c>
      <c r="D649" s="124" t="s">
        <v>471</v>
      </c>
      <c r="E649" s="21">
        <v>0.98782144999999999</v>
      </c>
      <c r="F649" s="10"/>
      <c r="G649" s="14">
        <v>5000000</v>
      </c>
      <c r="H649" s="14">
        <v>4939107.2300000004</v>
      </c>
      <c r="I649" s="14">
        <v>5000000</v>
      </c>
      <c r="J649" s="14">
        <v>4939107.2300000004</v>
      </c>
      <c r="K649" s="12">
        <v>1309</v>
      </c>
      <c r="L649" s="10" t="s">
        <v>101</v>
      </c>
      <c r="M649" s="10" t="s">
        <v>102</v>
      </c>
      <c r="N649" s="124" t="s">
        <v>452</v>
      </c>
      <c r="O649" s="124" t="s">
        <v>452</v>
      </c>
      <c r="P649" s="21">
        <v>30</v>
      </c>
      <c r="Q649" s="10" t="s">
        <v>54</v>
      </c>
      <c r="R649" s="10" t="s">
        <v>28</v>
      </c>
      <c r="S649" s="10"/>
      <c r="T649" s="10"/>
      <c r="U649" s="10" t="s">
        <v>2503</v>
      </c>
      <c r="V649" s="10" t="s">
        <v>2503</v>
      </c>
      <c r="W649" s="50">
        <f>+J649/$W$2</f>
        <v>6.0447983754187953E-5</v>
      </c>
    </row>
    <row r="650" spans="1:29">
      <c r="A650" s="10" t="s">
        <v>359</v>
      </c>
      <c r="B650" s="10" t="s">
        <v>358</v>
      </c>
      <c r="C650" s="124">
        <v>46339</v>
      </c>
      <c r="D650" s="124" t="s">
        <v>471</v>
      </c>
      <c r="E650" s="21">
        <v>0.98782144999999999</v>
      </c>
      <c r="F650" s="10"/>
      <c r="G650" s="14">
        <v>5000000</v>
      </c>
      <c r="H650" s="14">
        <v>4939107.2300000004</v>
      </c>
      <c r="I650" s="14">
        <v>5000000</v>
      </c>
      <c r="J650" s="14">
        <v>4939107.2300000004</v>
      </c>
      <c r="K650" s="12">
        <v>1310</v>
      </c>
      <c r="L650" s="10" t="s">
        <v>101</v>
      </c>
      <c r="M650" s="10" t="s">
        <v>102</v>
      </c>
      <c r="N650" s="124" t="s">
        <v>452</v>
      </c>
      <c r="O650" s="124" t="s">
        <v>452</v>
      </c>
      <c r="P650" s="21">
        <v>30</v>
      </c>
      <c r="Q650" s="10" t="s">
        <v>54</v>
      </c>
      <c r="R650" s="10" t="s">
        <v>28</v>
      </c>
      <c r="S650" s="10"/>
      <c r="T650" s="10"/>
      <c r="U650" s="10" t="s">
        <v>2504</v>
      </c>
      <c r="V650" s="10" t="s">
        <v>2504</v>
      </c>
      <c r="W650" s="50">
        <f>+J650/$W$2</f>
        <v>6.0447983754187953E-5</v>
      </c>
      <c r="AC650" s="47"/>
    </row>
    <row r="651" spans="1:29">
      <c r="A651" s="10" t="s">
        <v>2753</v>
      </c>
      <c r="B651" s="10" t="s">
        <v>358</v>
      </c>
      <c r="C651" s="124">
        <v>46339</v>
      </c>
      <c r="D651" s="124" t="s">
        <v>471</v>
      </c>
      <c r="E651" s="21">
        <v>0.98702007000000003</v>
      </c>
      <c r="F651" s="10"/>
      <c r="G651" s="14">
        <v>3635465.26</v>
      </c>
      <c r="H651" s="14">
        <v>3588277.16</v>
      </c>
      <c r="I651" s="14">
        <v>3635465.26</v>
      </c>
      <c r="J651" s="14">
        <v>3588277.16</v>
      </c>
      <c r="K651" s="12">
        <v>70158536</v>
      </c>
      <c r="L651" s="10" t="s">
        <v>101</v>
      </c>
      <c r="M651" s="10" t="s">
        <v>102</v>
      </c>
      <c r="N651" s="124" t="s">
        <v>440</v>
      </c>
      <c r="O651" s="124" t="s">
        <v>440</v>
      </c>
      <c r="P651" s="21">
        <v>32</v>
      </c>
      <c r="Q651" s="10" t="s">
        <v>54</v>
      </c>
      <c r="R651" s="10" t="s">
        <v>28</v>
      </c>
      <c r="S651" s="10"/>
      <c r="T651" s="10"/>
      <c r="U651" s="10" t="s">
        <v>2729</v>
      </c>
      <c r="V651" s="10" t="s">
        <v>2729</v>
      </c>
      <c r="W651" s="50">
        <f>+J651/$W$2</f>
        <v>4.3915653046715421E-5</v>
      </c>
    </row>
    <row r="652" spans="1:29">
      <c r="A652" s="10" t="s">
        <v>2755</v>
      </c>
      <c r="B652" s="10" t="s">
        <v>358</v>
      </c>
      <c r="C652" s="124">
        <v>46339</v>
      </c>
      <c r="D652" s="124" t="s">
        <v>471</v>
      </c>
      <c r="E652" s="21">
        <v>0.98702007000000003</v>
      </c>
      <c r="F652" s="10"/>
      <c r="G652" s="14">
        <v>1000000</v>
      </c>
      <c r="H652" s="14">
        <v>987020.07</v>
      </c>
      <c r="I652" s="14">
        <v>1000000</v>
      </c>
      <c r="J652" s="14">
        <v>987020.07</v>
      </c>
      <c r="K652" s="12">
        <v>70162079</v>
      </c>
      <c r="L652" s="10" t="s">
        <v>101</v>
      </c>
      <c r="M652" s="10" t="s">
        <v>102</v>
      </c>
      <c r="N652" s="124" t="s">
        <v>440</v>
      </c>
      <c r="O652" s="124" t="s">
        <v>440</v>
      </c>
      <c r="P652" s="21">
        <v>32</v>
      </c>
      <c r="Q652" s="10" t="s">
        <v>54</v>
      </c>
      <c r="R652" s="10" t="s">
        <v>28</v>
      </c>
      <c r="S652" s="10"/>
      <c r="T652" s="10"/>
      <c r="U652" s="10" t="s">
        <v>2731</v>
      </c>
      <c r="V652" s="10" t="s">
        <v>2731</v>
      </c>
      <c r="W652" s="50">
        <f>+J652/$W$2</f>
        <v>1.2079788993853743E-5</v>
      </c>
      <c r="AC652" s="47"/>
    </row>
    <row r="653" spans="1:29">
      <c r="A653" s="10" t="s">
        <v>2755</v>
      </c>
      <c r="B653" s="10" t="s">
        <v>358</v>
      </c>
      <c r="C653" s="124">
        <v>46339</v>
      </c>
      <c r="D653" s="124" t="s">
        <v>471</v>
      </c>
      <c r="E653" s="21">
        <v>0.98702007000000003</v>
      </c>
      <c r="F653" s="10"/>
      <c r="G653" s="14">
        <v>1000000</v>
      </c>
      <c r="H653" s="14">
        <v>987020.07</v>
      </c>
      <c r="I653" s="14">
        <v>1000000</v>
      </c>
      <c r="J653" s="14">
        <v>987020.07</v>
      </c>
      <c r="K653" s="12">
        <v>70162066</v>
      </c>
      <c r="L653" s="10" t="s">
        <v>101</v>
      </c>
      <c r="M653" s="10" t="s">
        <v>102</v>
      </c>
      <c r="N653" s="124" t="s">
        <v>440</v>
      </c>
      <c r="O653" s="124" t="s">
        <v>440</v>
      </c>
      <c r="P653" s="21">
        <v>32</v>
      </c>
      <c r="Q653" s="10" t="s">
        <v>54</v>
      </c>
      <c r="R653" s="10" t="s">
        <v>28</v>
      </c>
      <c r="S653" s="10"/>
      <c r="T653" s="10"/>
      <c r="U653" s="10" t="s">
        <v>2732</v>
      </c>
      <c r="V653" s="10" t="s">
        <v>2732</v>
      </c>
      <c r="W653" s="50">
        <f>+J653/$W$2</f>
        <v>1.2079788993853743E-5</v>
      </c>
    </row>
    <row r="654" spans="1:29">
      <c r="A654" s="10" t="s">
        <v>2757</v>
      </c>
      <c r="B654" s="10" t="s">
        <v>358</v>
      </c>
      <c r="C654" s="124">
        <v>46339</v>
      </c>
      <c r="D654" s="124" t="s">
        <v>471</v>
      </c>
      <c r="E654" s="21">
        <v>0.98702005999999998</v>
      </c>
      <c r="F654" s="10"/>
      <c r="G654" s="14">
        <v>3145244.05</v>
      </c>
      <c r="H654" s="14">
        <v>3104418.98</v>
      </c>
      <c r="I654" s="14">
        <v>3145244.05</v>
      </c>
      <c r="J654" s="14">
        <v>3104418.98</v>
      </c>
      <c r="K654" s="12">
        <v>353</v>
      </c>
      <c r="L654" s="10" t="s">
        <v>101</v>
      </c>
      <c r="M654" s="10" t="s">
        <v>102</v>
      </c>
      <c r="N654" s="124" t="s">
        <v>440</v>
      </c>
      <c r="O654" s="124" t="s">
        <v>440</v>
      </c>
      <c r="P654" s="21">
        <v>32</v>
      </c>
      <c r="Q654" s="10" t="s">
        <v>54</v>
      </c>
      <c r="R654" s="10" t="s">
        <v>28</v>
      </c>
      <c r="S654" s="10"/>
      <c r="T654" s="10"/>
      <c r="U654" s="10" t="s">
        <v>2735</v>
      </c>
      <c r="V654" s="10" t="s">
        <v>2735</v>
      </c>
      <c r="W654" s="50">
        <f>+J654/$W$2</f>
        <v>3.799388418405176E-5</v>
      </c>
    </row>
    <row r="655" spans="1:29">
      <c r="A655" s="10" t="s">
        <v>2900</v>
      </c>
      <c r="B655" s="10" t="s">
        <v>358</v>
      </c>
      <c r="C655" s="124">
        <v>46339</v>
      </c>
      <c r="D655" s="124" t="s">
        <v>471</v>
      </c>
      <c r="E655" s="21">
        <v>0.98742063999999996</v>
      </c>
      <c r="F655" s="10"/>
      <c r="G655" s="14">
        <v>16948758.629999999</v>
      </c>
      <c r="H655" s="14">
        <v>16735554.08</v>
      </c>
      <c r="I655" s="14">
        <v>16948758.629999999</v>
      </c>
      <c r="J655" s="14">
        <v>16735554.08</v>
      </c>
      <c r="K655" s="12">
        <v>2020</v>
      </c>
      <c r="L655" s="10" t="s">
        <v>101</v>
      </c>
      <c r="M655" s="10" t="s">
        <v>102</v>
      </c>
      <c r="N655" s="124" t="s">
        <v>413</v>
      </c>
      <c r="O655" s="124" t="s">
        <v>413</v>
      </c>
      <c r="P655" s="21">
        <v>31</v>
      </c>
      <c r="Q655" s="10" t="s">
        <v>54</v>
      </c>
      <c r="R655" s="10" t="s">
        <v>28</v>
      </c>
      <c r="S655" s="10"/>
      <c r="T655" s="10"/>
      <c r="U655" s="10" t="s">
        <v>2878</v>
      </c>
      <c r="V655" s="10" t="s">
        <v>2878</v>
      </c>
      <c r="W655" s="50">
        <f>+J655/$W$2</f>
        <v>2.0482051796740883E-4</v>
      </c>
    </row>
    <row r="656" spans="1:29">
      <c r="A656" s="10" t="s">
        <v>3065</v>
      </c>
      <c r="B656" s="10" t="s">
        <v>358</v>
      </c>
      <c r="C656" s="124">
        <v>46339</v>
      </c>
      <c r="D656" s="124" t="s">
        <v>471</v>
      </c>
      <c r="E656" s="21">
        <v>0.98782144999999999</v>
      </c>
      <c r="F656" s="10"/>
      <c r="G656" s="14">
        <v>485700</v>
      </c>
      <c r="H656" s="14">
        <v>479784.88</v>
      </c>
      <c r="I656" s="14">
        <v>485700</v>
      </c>
      <c r="J656" s="14">
        <v>479784.88</v>
      </c>
      <c r="K656" s="12">
        <v>388</v>
      </c>
      <c r="L656" s="10" t="s">
        <v>101</v>
      </c>
      <c r="M656" s="10" t="s">
        <v>102</v>
      </c>
      <c r="N656" s="124" t="s">
        <v>508</v>
      </c>
      <c r="O656" s="124" t="s">
        <v>508</v>
      </c>
      <c r="P656" s="21">
        <v>30</v>
      </c>
      <c r="Q656" s="10" t="s">
        <v>54</v>
      </c>
      <c r="R656" s="10" t="s">
        <v>28</v>
      </c>
      <c r="S656" s="10"/>
      <c r="T656" s="10"/>
      <c r="U656" s="10" t="s">
        <v>3000</v>
      </c>
      <c r="V656" s="10" t="s">
        <v>3000</v>
      </c>
      <c r="W656" s="50">
        <f>+J656/$W$2</f>
        <v>5.8719171868931081E-6</v>
      </c>
      <c r="AC656"/>
    </row>
    <row r="657" spans="1:23">
      <c r="A657" s="10" t="s">
        <v>3066</v>
      </c>
      <c r="B657" s="10" t="s">
        <v>358</v>
      </c>
      <c r="C657" s="124">
        <v>46339</v>
      </c>
      <c r="D657" s="124" t="s">
        <v>471</v>
      </c>
      <c r="E657" s="21">
        <v>0.98782146000000004</v>
      </c>
      <c r="F657" s="10"/>
      <c r="G657" s="14">
        <v>2624182.96</v>
      </c>
      <c r="H657" s="14">
        <v>2592224.23</v>
      </c>
      <c r="I657" s="14">
        <v>2624182.96</v>
      </c>
      <c r="J657" s="14">
        <v>2592224.23</v>
      </c>
      <c r="K657" s="12">
        <v>13908034</v>
      </c>
      <c r="L657" s="10" t="s">
        <v>101</v>
      </c>
      <c r="M657" s="10" t="s">
        <v>102</v>
      </c>
      <c r="N657" s="124" t="s">
        <v>508</v>
      </c>
      <c r="O657" s="124" t="s">
        <v>508</v>
      </c>
      <c r="P657" s="21">
        <v>30</v>
      </c>
      <c r="Q657" s="10" t="s">
        <v>54</v>
      </c>
      <c r="R657" s="10" t="s">
        <v>28</v>
      </c>
      <c r="S657" s="10"/>
      <c r="T657" s="10"/>
      <c r="U657" s="10" t="s">
        <v>3002</v>
      </c>
      <c r="V657" s="10" t="s">
        <v>3002</v>
      </c>
      <c r="W657" s="50">
        <f>+J657/$W$2</f>
        <v>3.172531407913012E-5</v>
      </c>
    </row>
    <row r="658" spans="1:23">
      <c r="A658" s="10" t="s">
        <v>3173</v>
      </c>
      <c r="B658" s="10" t="s">
        <v>358</v>
      </c>
      <c r="C658" s="124">
        <v>46339</v>
      </c>
      <c r="D658" s="124" t="s">
        <v>471</v>
      </c>
      <c r="E658" s="21">
        <v>0.98782139000000002</v>
      </c>
      <c r="F658" s="10"/>
      <c r="G658" s="14">
        <v>4000000</v>
      </c>
      <c r="H658" s="14">
        <v>3951285.55</v>
      </c>
      <c r="I658" s="14">
        <v>4000000</v>
      </c>
      <c r="J658" s="14">
        <v>3951285.55</v>
      </c>
      <c r="K658" s="12">
        <v>971</v>
      </c>
      <c r="L658" s="10" t="s">
        <v>101</v>
      </c>
      <c r="M658" s="10" t="s">
        <v>102</v>
      </c>
      <c r="N658" s="124" t="s">
        <v>448</v>
      </c>
      <c r="O658" s="124" t="s">
        <v>448</v>
      </c>
      <c r="P658" s="21">
        <v>30</v>
      </c>
      <c r="Q658" s="10" t="s">
        <v>54</v>
      </c>
      <c r="R658" s="10" t="s">
        <v>28</v>
      </c>
      <c r="S658" s="10"/>
      <c r="T658" s="10"/>
      <c r="U658" s="10" t="s">
        <v>3160</v>
      </c>
      <c r="V658" s="10" t="s">
        <v>3160</v>
      </c>
      <c r="W658" s="50">
        <f>+J658/$W$2</f>
        <v>4.8358384139507245E-5</v>
      </c>
    </row>
    <row r="659" spans="1:23">
      <c r="A659" s="10" t="s">
        <v>143</v>
      </c>
      <c r="B659" s="10" t="s">
        <v>358</v>
      </c>
      <c r="C659" s="124">
        <v>46339</v>
      </c>
      <c r="D659" s="124" t="s">
        <v>471</v>
      </c>
      <c r="E659" s="21">
        <v>0.98782139999999996</v>
      </c>
      <c r="F659" s="10"/>
      <c r="G659" s="14">
        <v>100000000</v>
      </c>
      <c r="H659" s="14">
        <v>98782139.709999993</v>
      </c>
      <c r="I659" s="14">
        <v>100000000</v>
      </c>
      <c r="J659" s="14">
        <v>98782139.709999993</v>
      </c>
      <c r="K659" s="12">
        <v>90004134</v>
      </c>
      <c r="L659" s="10" t="s">
        <v>101</v>
      </c>
      <c r="M659" s="10" t="s">
        <v>102</v>
      </c>
      <c r="N659" s="124" t="s">
        <v>365</v>
      </c>
      <c r="O659" s="124" t="s">
        <v>365</v>
      </c>
      <c r="P659" s="21">
        <v>30</v>
      </c>
      <c r="Q659" s="10" t="s">
        <v>54</v>
      </c>
      <c r="R659" s="10" t="s">
        <v>28</v>
      </c>
      <c r="S659" s="10"/>
      <c r="T659" s="10"/>
      <c r="U659" s="10" t="s">
        <v>1361</v>
      </c>
      <c r="V659" s="10" t="s">
        <v>1361</v>
      </c>
      <c r="W659" s="50">
        <f>+J659/$W$2</f>
        <v>1.2089596152367811E-3</v>
      </c>
    </row>
    <row r="660" spans="1:23">
      <c r="A660" s="10" t="s">
        <v>271</v>
      </c>
      <c r="B660" s="10" t="s">
        <v>358</v>
      </c>
      <c r="C660" s="124">
        <v>46339</v>
      </c>
      <c r="D660" s="124" t="s">
        <v>471</v>
      </c>
      <c r="E660" s="21">
        <v>0.98742057999999999</v>
      </c>
      <c r="F660" s="10"/>
      <c r="G660" s="14">
        <v>5000000</v>
      </c>
      <c r="H660" s="14">
        <v>4937102.8899999997</v>
      </c>
      <c r="I660" s="14">
        <v>5000000</v>
      </c>
      <c r="J660" s="14">
        <v>4937102.8899999997</v>
      </c>
      <c r="K660" s="12">
        <v>8806</v>
      </c>
      <c r="L660" s="10" t="s">
        <v>101</v>
      </c>
      <c r="M660" s="10" t="s">
        <v>102</v>
      </c>
      <c r="N660" s="124" t="s">
        <v>486</v>
      </c>
      <c r="O660" s="124" t="s">
        <v>486</v>
      </c>
      <c r="P660" s="21">
        <v>31</v>
      </c>
      <c r="Q660" s="10" t="s">
        <v>54</v>
      </c>
      <c r="R660" s="10" t="s">
        <v>28</v>
      </c>
      <c r="S660" s="10"/>
      <c r="T660" s="10"/>
      <c r="U660" s="10" t="s">
        <v>1442</v>
      </c>
      <c r="V660" s="10" t="s">
        <v>1442</v>
      </c>
      <c r="W660" s="50">
        <f>+J660/$W$2</f>
        <v>6.0423453346947141E-5</v>
      </c>
    </row>
    <row r="661" spans="1:23">
      <c r="A661" s="10" t="s">
        <v>271</v>
      </c>
      <c r="B661" s="10" t="s">
        <v>358</v>
      </c>
      <c r="C661" s="124">
        <v>46339</v>
      </c>
      <c r="D661" s="124" t="s">
        <v>471</v>
      </c>
      <c r="E661" s="21">
        <v>0.98942803999999995</v>
      </c>
      <c r="F661" s="10"/>
      <c r="G661" s="14">
        <v>15000000</v>
      </c>
      <c r="H661" s="14">
        <v>14841420.630000001</v>
      </c>
      <c r="I661" s="14">
        <v>15000000</v>
      </c>
      <c r="J661" s="14">
        <v>14841420.630000001</v>
      </c>
      <c r="K661" s="12">
        <v>9621094</v>
      </c>
      <c r="L661" s="10" t="s">
        <v>101</v>
      </c>
      <c r="M661" s="10" t="s">
        <v>102</v>
      </c>
      <c r="N661" s="124" t="s">
        <v>308</v>
      </c>
      <c r="O661" s="124" t="s">
        <v>308</v>
      </c>
      <c r="P661" s="21">
        <v>26</v>
      </c>
      <c r="Q661" s="10" t="s">
        <v>54</v>
      </c>
      <c r="R661" s="10" t="s">
        <v>28</v>
      </c>
      <c r="S661" s="10"/>
      <c r="T661" s="10"/>
      <c r="U661" s="10" t="s">
        <v>745</v>
      </c>
      <c r="V661" s="10" t="s">
        <v>745</v>
      </c>
      <c r="W661" s="50">
        <f>+J661/$W$2</f>
        <v>1.8163888965239369E-4</v>
      </c>
    </row>
    <row r="662" spans="1:23">
      <c r="A662" s="10" t="s">
        <v>359</v>
      </c>
      <c r="B662" s="10" t="s">
        <v>358</v>
      </c>
      <c r="C662" s="124">
        <v>46339</v>
      </c>
      <c r="D662" s="124" t="s">
        <v>471</v>
      </c>
      <c r="E662" s="21">
        <v>0.98702002</v>
      </c>
      <c r="F662" s="10"/>
      <c r="G662" s="14">
        <v>3000000</v>
      </c>
      <c r="H662" s="14">
        <v>2961060.06</v>
      </c>
      <c r="I662" s="14">
        <v>3000000</v>
      </c>
      <c r="J662" s="14">
        <v>2961060.06</v>
      </c>
      <c r="K662" s="12">
        <v>1055</v>
      </c>
      <c r="L662" s="10" t="s">
        <v>101</v>
      </c>
      <c r="M662" s="10" t="s">
        <v>102</v>
      </c>
      <c r="N662" s="124" t="s">
        <v>373</v>
      </c>
      <c r="O662" s="124" t="s">
        <v>373</v>
      </c>
      <c r="P662" s="21">
        <v>32</v>
      </c>
      <c r="Q662" s="10" t="s">
        <v>54</v>
      </c>
      <c r="R662" s="10" t="s">
        <v>28</v>
      </c>
      <c r="S662" s="10"/>
      <c r="T662" s="10"/>
      <c r="U662" s="10" t="s">
        <v>1146</v>
      </c>
      <c r="V662" s="10" t="s">
        <v>1146</v>
      </c>
      <c r="W662" s="50">
        <f>+J662/$W$2</f>
        <v>3.6239365145764363E-5</v>
      </c>
    </row>
    <row r="663" spans="1:23">
      <c r="A663" s="10" t="s">
        <v>359</v>
      </c>
      <c r="B663" s="10" t="s">
        <v>358</v>
      </c>
      <c r="C663" s="124">
        <v>46339</v>
      </c>
      <c r="D663" s="124" t="s">
        <v>471</v>
      </c>
      <c r="E663" s="21">
        <v>0.98661984000000003</v>
      </c>
      <c r="F663" s="10"/>
      <c r="G663" s="14">
        <v>2500000</v>
      </c>
      <c r="H663" s="14">
        <v>2466549.6</v>
      </c>
      <c r="I663" s="14">
        <v>2500000</v>
      </c>
      <c r="J663" s="14">
        <v>2466549.6</v>
      </c>
      <c r="K663" s="12">
        <v>1018</v>
      </c>
      <c r="L663" s="10" t="s">
        <v>101</v>
      </c>
      <c r="M663" s="10" t="s">
        <v>102</v>
      </c>
      <c r="N663" s="124" t="s">
        <v>161</v>
      </c>
      <c r="O663" s="124" t="s">
        <v>161</v>
      </c>
      <c r="P663" s="21">
        <v>33</v>
      </c>
      <c r="Q663" s="10" t="s">
        <v>54</v>
      </c>
      <c r="R663" s="10" t="s">
        <v>28</v>
      </c>
      <c r="S663" s="10"/>
      <c r="T663" s="10"/>
      <c r="U663" s="10" t="s">
        <v>1071</v>
      </c>
      <c r="V663" s="10" t="s">
        <v>1071</v>
      </c>
      <c r="W663" s="50">
        <f>+J663/$W$2</f>
        <v>3.0187226801653946E-5</v>
      </c>
    </row>
    <row r="664" spans="1:23">
      <c r="A664" s="10" t="s">
        <v>2486</v>
      </c>
      <c r="B664" s="10" t="s">
        <v>358</v>
      </c>
      <c r="C664" s="124">
        <v>46339</v>
      </c>
      <c r="D664" s="124" t="s">
        <v>471</v>
      </c>
      <c r="E664" s="21">
        <v>0.98702022</v>
      </c>
      <c r="F664" s="10"/>
      <c r="G664" s="14">
        <v>75000000</v>
      </c>
      <c r="H664" s="14">
        <v>74026516.310000002</v>
      </c>
      <c r="I664" s="14">
        <v>75000000</v>
      </c>
      <c r="J664" s="14">
        <v>74026516.310000002</v>
      </c>
      <c r="K664" s="12">
        <v>21574</v>
      </c>
      <c r="L664" s="10" t="s">
        <v>101</v>
      </c>
      <c r="M664" s="10" t="s">
        <v>102</v>
      </c>
      <c r="N664" s="124" t="s">
        <v>466</v>
      </c>
      <c r="O664" s="124" t="s">
        <v>466</v>
      </c>
      <c r="P664" s="21">
        <v>32</v>
      </c>
      <c r="Q664" s="10" t="s">
        <v>54</v>
      </c>
      <c r="R664" s="10" t="s">
        <v>28</v>
      </c>
      <c r="S664" s="10"/>
      <c r="T664" s="10"/>
      <c r="U664" s="10" t="s">
        <v>3636</v>
      </c>
      <c r="V664" s="10" t="s">
        <v>3636</v>
      </c>
      <c r="W664" s="50">
        <f>+J664/$W$2</f>
        <v>9.0598430989845291E-4</v>
      </c>
    </row>
    <row r="665" spans="1:23">
      <c r="A665" s="10" t="s">
        <v>2536</v>
      </c>
      <c r="B665" s="10" t="s">
        <v>358</v>
      </c>
      <c r="C665" s="124">
        <v>46339</v>
      </c>
      <c r="D665" s="124" t="s">
        <v>471</v>
      </c>
      <c r="E665" s="21">
        <v>0.98661989000000005</v>
      </c>
      <c r="F665" s="10"/>
      <c r="G665" s="14">
        <v>65000000</v>
      </c>
      <c r="H665" s="14">
        <v>64130292.560000002</v>
      </c>
      <c r="I665" s="14">
        <v>65000000</v>
      </c>
      <c r="J665" s="14">
        <v>64130292.560000002</v>
      </c>
      <c r="K665" s="12">
        <v>38498314</v>
      </c>
      <c r="L665" s="10" t="s">
        <v>101</v>
      </c>
      <c r="M665" s="10" t="s">
        <v>102</v>
      </c>
      <c r="N665" s="124" t="s">
        <v>452</v>
      </c>
      <c r="O665" s="124" t="s">
        <v>452</v>
      </c>
      <c r="P665" s="21">
        <v>33</v>
      </c>
      <c r="Q665" s="10" t="s">
        <v>54</v>
      </c>
      <c r="R665" s="10" t="s">
        <v>28</v>
      </c>
      <c r="S665" s="10"/>
      <c r="T665" s="10"/>
      <c r="U665" s="10" t="s">
        <v>2500</v>
      </c>
      <c r="V665" s="10" t="s">
        <v>2500</v>
      </c>
      <c r="W665" s="50">
        <f>+J665/$W$2</f>
        <v>7.8486793306939407E-4</v>
      </c>
    </row>
    <row r="666" spans="1:23">
      <c r="A666" s="10" t="s">
        <v>2540</v>
      </c>
      <c r="B666" s="10" t="s">
        <v>358</v>
      </c>
      <c r="C666" s="124">
        <v>46339</v>
      </c>
      <c r="D666" s="124" t="s">
        <v>471</v>
      </c>
      <c r="E666" s="21">
        <v>0.98782143</v>
      </c>
      <c r="F666" s="10"/>
      <c r="G666" s="14">
        <v>409929.9</v>
      </c>
      <c r="H666" s="14">
        <v>404937.54</v>
      </c>
      <c r="I666" s="14">
        <v>409929.9</v>
      </c>
      <c r="J666" s="14">
        <v>404937.54</v>
      </c>
      <c r="K666" s="12">
        <v>229</v>
      </c>
      <c r="L666" s="10" t="s">
        <v>101</v>
      </c>
      <c r="M666" s="10" t="s">
        <v>102</v>
      </c>
      <c r="N666" s="124" t="s">
        <v>452</v>
      </c>
      <c r="O666" s="124" t="s">
        <v>452</v>
      </c>
      <c r="P666" s="21">
        <v>30</v>
      </c>
      <c r="Q666" s="10" t="s">
        <v>54</v>
      </c>
      <c r="R666" s="10" t="s">
        <v>28</v>
      </c>
      <c r="S666" s="10"/>
      <c r="T666" s="10"/>
      <c r="U666" s="10" t="s">
        <v>2523</v>
      </c>
      <c r="V666" s="10" t="s">
        <v>2523</v>
      </c>
      <c r="W666" s="50">
        <f>+J666/$W$2</f>
        <v>4.9558871066220668E-6</v>
      </c>
    </row>
    <row r="667" spans="1:23">
      <c r="A667" s="10" t="s">
        <v>2745</v>
      </c>
      <c r="B667" s="10" t="s">
        <v>358</v>
      </c>
      <c r="C667" s="124">
        <v>46339</v>
      </c>
      <c r="D667" s="124" t="s">
        <v>471</v>
      </c>
      <c r="E667" s="21">
        <v>0.98702007000000003</v>
      </c>
      <c r="F667" s="10"/>
      <c r="G667" s="14">
        <v>1500000</v>
      </c>
      <c r="H667" s="14">
        <v>1480530.1</v>
      </c>
      <c r="I667" s="14">
        <v>1500000</v>
      </c>
      <c r="J667" s="14">
        <v>1480530.1</v>
      </c>
      <c r="K667" s="12">
        <v>11212949</v>
      </c>
      <c r="L667" s="10" t="s">
        <v>101</v>
      </c>
      <c r="M667" s="10" t="s">
        <v>102</v>
      </c>
      <c r="N667" s="124" t="s">
        <v>440</v>
      </c>
      <c r="O667" s="124" t="s">
        <v>603</v>
      </c>
      <c r="P667" s="21">
        <v>32</v>
      </c>
      <c r="Q667" s="10" t="s">
        <v>54</v>
      </c>
      <c r="R667" s="10" t="s">
        <v>28</v>
      </c>
      <c r="S667" s="10"/>
      <c r="T667" s="10"/>
      <c r="U667" s="10" t="s">
        <v>2714</v>
      </c>
      <c r="V667" s="10" t="s">
        <v>2714</v>
      </c>
      <c r="W667" s="50">
        <f>+J667/$W$2</f>
        <v>1.8119683429587388E-5</v>
      </c>
    </row>
    <row r="668" spans="1:23">
      <c r="A668" s="10" t="s">
        <v>2750</v>
      </c>
      <c r="B668" s="10" t="s">
        <v>358</v>
      </c>
      <c r="C668" s="124">
        <v>46339</v>
      </c>
      <c r="D668" s="124" t="s">
        <v>471</v>
      </c>
      <c r="E668" s="21">
        <v>0.98702007000000003</v>
      </c>
      <c r="F668" s="10"/>
      <c r="G668" s="14">
        <v>8338377.5999999996</v>
      </c>
      <c r="H668" s="14">
        <v>8230146.0099999998</v>
      </c>
      <c r="I668" s="14">
        <v>8338377.5999999996</v>
      </c>
      <c r="J668" s="14">
        <v>8230146.0099999998</v>
      </c>
      <c r="K668" s="12">
        <v>437</v>
      </c>
      <c r="L668" s="10" t="s">
        <v>101</v>
      </c>
      <c r="M668" s="10" t="s">
        <v>102</v>
      </c>
      <c r="N668" s="124" t="s">
        <v>440</v>
      </c>
      <c r="O668" s="124" t="s">
        <v>440</v>
      </c>
      <c r="P668" s="21">
        <v>32</v>
      </c>
      <c r="Q668" s="10" t="s">
        <v>54</v>
      </c>
      <c r="R668" s="10" t="s">
        <v>28</v>
      </c>
      <c r="S668" s="10"/>
      <c r="T668" s="10"/>
      <c r="U668" s="10" t="s">
        <v>2719</v>
      </c>
      <c r="V668" s="10" t="s">
        <v>2719</v>
      </c>
      <c r="W668" s="50">
        <f>+J668/$W$2</f>
        <v>1.0072584156207411E-4</v>
      </c>
    </row>
    <row r="669" spans="1:23">
      <c r="A669" s="10" t="s">
        <v>2752</v>
      </c>
      <c r="B669" s="10" t="s">
        <v>358</v>
      </c>
      <c r="C669" s="124">
        <v>46339</v>
      </c>
      <c r="D669" s="124" t="s">
        <v>471</v>
      </c>
      <c r="E669" s="21">
        <v>0.98702000000000001</v>
      </c>
      <c r="F669" s="10"/>
      <c r="G669" s="14">
        <v>75141</v>
      </c>
      <c r="H669" s="14">
        <v>74165.67</v>
      </c>
      <c r="I669" s="14">
        <v>75141</v>
      </c>
      <c r="J669" s="14">
        <v>74165.67</v>
      </c>
      <c r="K669" s="12">
        <v>423</v>
      </c>
      <c r="L669" s="10" t="s">
        <v>101</v>
      </c>
      <c r="M669" s="10" t="s">
        <v>102</v>
      </c>
      <c r="N669" s="124" t="s">
        <v>440</v>
      </c>
      <c r="O669" s="124" t="s">
        <v>440</v>
      </c>
      <c r="P669" s="21">
        <v>32</v>
      </c>
      <c r="Q669" s="10" t="s">
        <v>54</v>
      </c>
      <c r="R669" s="10" t="s">
        <v>28</v>
      </c>
      <c r="S669" s="10"/>
      <c r="T669" s="10"/>
      <c r="U669" s="10" t="s">
        <v>2721</v>
      </c>
      <c r="V669" s="10" t="s">
        <v>2721</v>
      </c>
      <c r="W669" s="50">
        <f>+J669/$W$2</f>
        <v>9.076873626164347E-7</v>
      </c>
    </row>
    <row r="670" spans="1:23">
      <c r="A670" s="10" t="s">
        <v>2016</v>
      </c>
      <c r="B670" s="10" t="s">
        <v>358</v>
      </c>
      <c r="C670" s="124">
        <v>46342</v>
      </c>
      <c r="D670" s="124" t="s">
        <v>471</v>
      </c>
      <c r="E670" s="21">
        <v>0.98590049000000002</v>
      </c>
      <c r="F670" s="10"/>
      <c r="G670" s="14">
        <v>4000000</v>
      </c>
      <c r="H670" s="14">
        <v>3943601.95</v>
      </c>
      <c r="I670" s="14">
        <v>4000000</v>
      </c>
      <c r="J670" s="14">
        <v>3943601.95</v>
      </c>
      <c r="K670" s="12">
        <v>90005006</v>
      </c>
      <c r="L670" s="10" t="s">
        <v>101</v>
      </c>
      <c r="M670" s="10" t="s">
        <v>102</v>
      </c>
      <c r="N670" s="124" t="s">
        <v>469</v>
      </c>
      <c r="O670" s="124" t="s">
        <v>469</v>
      </c>
      <c r="P670" s="21">
        <v>29</v>
      </c>
      <c r="Q670" s="10" t="s">
        <v>54</v>
      </c>
      <c r="R670" s="10" t="s">
        <v>28</v>
      </c>
      <c r="S670" s="10"/>
      <c r="T670" s="10"/>
      <c r="U670" s="10" t="s">
        <v>3926</v>
      </c>
      <c r="V670" s="10" t="s">
        <v>3926</v>
      </c>
      <c r="W670" s="50">
        <f>+J670/$W$2</f>
        <v>4.8264347280952616E-5</v>
      </c>
    </row>
    <row r="671" spans="1:23">
      <c r="A671" s="10" t="s">
        <v>334</v>
      </c>
      <c r="B671" s="10" t="s">
        <v>358</v>
      </c>
      <c r="C671" s="124">
        <v>46342</v>
      </c>
      <c r="D671" s="124" t="s">
        <v>471</v>
      </c>
      <c r="E671" s="21">
        <v>0.98303260000000003</v>
      </c>
      <c r="F671" s="10"/>
      <c r="G671" s="14">
        <v>3625698.78</v>
      </c>
      <c r="H671" s="14">
        <v>3564180.11</v>
      </c>
      <c r="I671" s="14">
        <v>3625698.78</v>
      </c>
      <c r="J671" s="14">
        <v>3564180.11</v>
      </c>
      <c r="K671" s="12">
        <v>3356</v>
      </c>
      <c r="L671" s="10" t="s">
        <v>101</v>
      </c>
      <c r="M671" s="10" t="s">
        <v>102</v>
      </c>
      <c r="N671" s="124" t="s">
        <v>162</v>
      </c>
      <c r="O671" s="124" t="s">
        <v>162</v>
      </c>
      <c r="P671" s="21">
        <v>35</v>
      </c>
      <c r="Q671" s="10" t="s">
        <v>54</v>
      </c>
      <c r="R671" s="10" t="s">
        <v>28</v>
      </c>
      <c r="S671" s="10"/>
      <c r="T671" s="10"/>
      <c r="U671" s="10" t="s">
        <v>1256</v>
      </c>
      <c r="V671" s="10" t="s">
        <v>1256</v>
      </c>
      <c r="W671" s="50">
        <f>+J671/$W$2</f>
        <v>4.3620737787926055E-5</v>
      </c>
    </row>
    <row r="672" spans="1:23">
      <c r="A672" s="10" t="s">
        <v>2078</v>
      </c>
      <c r="B672" s="10" t="s">
        <v>358</v>
      </c>
      <c r="C672" s="124">
        <v>46342</v>
      </c>
      <c r="D672" s="124" t="s">
        <v>471</v>
      </c>
      <c r="E672" s="21">
        <v>0.98398669000000005</v>
      </c>
      <c r="F672" s="10"/>
      <c r="G672" s="14">
        <v>3600000</v>
      </c>
      <c r="H672" s="14">
        <v>3542352.09</v>
      </c>
      <c r="I672" s="14">
        <v>3600000</v>
      </c>
      <c r="J672" s="14">
        <v>3542352.09</v>
      </c>
      <c r="K672" s="12">
        <v>13870045</v>
      </c>
      <c r="L672" s="10" t="s">
        <v>101</v>
      </c>
      <c r="M672" s="10" t="s">
        <v>102</v>
      </c>
      <c r="N672" s="124" t="s">
        <v>408</v>
      </c>
      <c r="O672" s="124" t="s">
        <v>408</v>
      </c>
      <c r="P672" s="21">
        <v>33</v>
      </c>
      <c r="Q672" s="10" t="s">
        <v>54</v>
      </c>
      <c r="R672" s="10" t="s">
        <v>28</v>
      </c>
      <c r="S672" s="10"/>
      <c r="T672" s="10"/>
      <c r="U672" s="10" t="s">
        <v>2042</v>
      </c>
      <c r="V672" s="10" t="s">
        <v>2042</v>
      </c>
      <c r="W672" s="50">
        <f>+J672/$W$2</f>
        <v>4.335359238352347E-5</v>
      </c>
    </row>
    <row r="673" spans="1:23">
      <c r="A673" s="10" t="s">
        <v>1605</v>
      </c>
      <c r="B673" s="10" t="s">
        <v>358</v>
      </c>
      <c r="C673" s="124">
        <v>46342</v>
      </c>
      <c r="D673" s="124" t="s">
        <v>471</v>
      </c>
      <c r="E673" s="21">
        <v>0.98542123999999998</v>
      </c>
      <c r="F673" s="10"/>
      <c r="G673" s="14">
        <v>5925436.6100000003</v>
      </c>
      <c r="H673" s="14">
        <v>5839051.0899999999</v>
      </c>
      <c r="I673" s="14">
        <v>5925436.6100000003</v>
      </c>
      <c r="J673" s="14">
        <v>5839051.0899999999</v>
      </c>
      <c r="K673" s="12">
        <v>694</v>
      </c>
      <c r="L673" s="10" t="s">
        <v>101</v>
      </c>
      <c r="M673" s="10" t="s">
        <v>102</v>
      </c>
      <c r="N673" s="124" t="s">
        <v>487</v>
      </c>
      <c r="O673" s="124" t="s">
        <v>487</v>
      </c>
      <c r="P673" s="21">
        <v>30</v>
      </c>
      <c r="Q673" s="10" t="s">
        <v>54</v>
      </c>
      <c r="R673" s="10" t="s">
        <v>28</v>
      </c>
      <c r="S673" s="10"/>
      <c r="T673" s="10"/>
      <c r="U673" s="10" t="s">
        <v>1593</v>
      </c>
      <c r="V673" s="10" t="s">
        <v>1593</v>
      </c>
      <c r="W673" s="50">
        <f>+J673/$W$2</f>
        <v>7.1462077859806535E-5</v>
      </c>
    </row>
    <row r="674" spans="1:23">
      <c r="A674" s="10" t="s">
        <v>1744</v>
      </c>
      <c r="B674" s="10" t="s">
        <v>358</v>
      </c>
      <c r="C674" s="124">
        <v>46342</v>
      </c>
      <c r="D674" s="124" t="s">
        <v>471</v>
      </c>
      <c r="E674" s="21">
        <v>0.98398662999999997</v>
      </c>
      <c r="F674" s="10"/>
      <c r="G674" s="14">
        <v>5300000</v>
      </c>
      <c r="H674" s="14">
        <v>5215129.13</v>
      </c>
      <c r="I674" s="14">
        <v>5300000</v>
      </c>
      <c r="J674" s="14">
        <v>5215129.13</v>
      </c>
      <c r="K674" s="12">
        <v>8175681</v>
      </c>
      <c r="L674" s="10" t="s">
        <v>101</v>
      </c>
      <c r="M674" s="10" t="s">
        <v>102</v>
      </c>
      <c r="N674" s="124" t="s">
        <v>398</v>
      </c>
      <c r="O674" s="124" t="s">
        <v>398</v>
      </c>
      <c r="P674" s="21">
        <v>33</v>
      </c>
      <c r="Q674" s="10" t="s">
        <v>54</v>
      </c>
      <c r="R674" s="10" t="s">
        <v>28</v>
      </c>
      <c r="S674" s="10"/>
      <c r="T674" s="10"/>
      <c r="U674" s="10" t="s">
        <v>1650</v>
      </c>
      <c r="V674" s="10" t="s">
        <v>1650</v>
      </c>
      <c r="W674" s="50">
        <f>+J674/$W$2</f>
        <v>6.3826118010042136E-5</v>
      </c>
    </row>
    <row r="675" spans="1:23">
      <c r="A675" s="10" t="s">
        <v>1750</v>
      </c>
      <c r="B675" s="10" t="s">
        <v>358</v>
      </c>
      <c r="C675" s="124">
        <v>46342</v>
      </c>
      <c r="D675" s="124" t="s">
        <v>471</v>
      </c>
      <c r="E675" s="21">
        <v>0.98446434999999999</v>
      </c>
      <c r="F675" s="10"/>
      <c r="G675" s="14">
        <v>1869225</v>
      </c>
      <c r="H675" s="14">
        <v>1840185.38</v>
      </c>
      <c r="I675" s="14">
        <v>1869225</v>
      </c>
      <c r="J675" s="14">
        <v>1840185.38</v>
      </c>
      <c r="K675" s="12">
        <v>5</v>
      </c>
      <c r="L675" s="10" t="s">
        <v>101</v>
      </c>
      <c r="M675" s="10" t="s">
        <v>102</v>
      </c>
      <c r="N675" s="124" t="s">
        <v>398</v>
      </c>
      <c r="O675" s="124" t="s">
        <v>398</v>
      </c>
      <c r="P675" s="21">
        <v>32</v>
      </c>
      <c r="Q675" s="10" t="s">
        <v>54</v>
      </c>
      <c r="R675" s="10" t="s">
        <v>28</v>
      </c>
      <c r="S675" s="10"/>
      <c r="T675" s="10"/>
      <c r="U675" s="10" t="s">
        <v>1692</v>
      </c>
      <c r="V675" s="10" t="s">
        <v>1692</v>
      </c>
      <c r="W675" s="50">
        <f>+J675/$W$2</f>
        <v>2.2521376996897913E-5</v>
      </c>
    </row>
    <row r="676" spans="1:23">
      <c r="A676" s="10" t="s">
        <v>453</v>
      </c>
      <c r="B676" s="10" t="s">
        <v>358</v>
      </c>
      <c r="C676" s="124">
        <v>46342</v>
      </c>
      <c r="D676" s="124" t="s">
        <v>471</v>
      </c>
      <c r="E676" s="21">
        <v>0.98686001999999995</v>
      </c>
      <c r="F676" s="10"/>
      <c r="G676" s="14">
        <v>60000000</v>
      </c>
      <c r="H676" s="14">
        <v>59211600.950000003</v>
      </c>
      <c r="I676" s="14">
        <v>60000000</v>
      </c>
      <c r="J676" s="14">
        <v>59211600.950000003</v>
      </c>
      <c r="K676" s="12">
        <v>116</v>
      </c>
      <c r="L676" s="10" t="s">
        <v>101</v>
      </c>
      <c r="M676" s="10" t="s">
        <v>102</v>
      </c>
      <c r="N676" s="124" t="s">
        <v>474</v>
      </c>
      <c r="O676" s="124" t="s">
        <v>474</v>
      </c>
      <c r="P676" s="21">
        <v>27</v>
      </c>
      <c r="Q676" s="10" t="s">
        <v>54</v>
      </c>
      <c r="R676" s="10" t="s">
        <v>28</v>
      </c>
      <c r="S676" s="10"/>
      <c r="T676" s="10"/>
      <c r="U676" s="10" t="s">
        <v>3885</v>
      </c>
      <c r="V676" s="10" t="s">
        <v>3885</v>
      </c>
      <c r="W676" s="50">
        <f>+J676/$W$2</f>
        <v>7.2466980885633851E-4</v>
      </c>
    </row>
    <row r="677" spans="1:23">
      <c r="A677" s="10" t="s">
        <v>818</v>
      </c>
      <c r="B677" s="10" t="s">
        <v>358</v>
      </c>
      <c r="C677" s="124">
        <v>46342</v>
      </c>
      <c r="D677" s="124" t="s">
        <v>471</v>
      </c>
      <c r="E677" s="21">
        <v>0.98398666000000001</v>
      </c>
      <c r="F677" s="10"/>
      <c r="G677" s="14">
        <v>5468322.6299999999</v>
      </c>
      <c r="H677" s="14">
        <v>5380756.5</v>
      </c>
      <c r="I677" s="14">
        <v>5468322.6299999999</v>
      </c>
      <c r="J677" s="14">
        <v>5380756.5</v>
      </c>
      <c r="K677" s="12">
        <v>762870</v>
      </c>
      <c r="L677" s="10" t="s">
        <v>101</v>
      </c>
      <c r="M677" s="10" t="s">
        <v>102</v>
      </c>
      <c r="N677" s="124" t="s">
        <v>347</v>
      </c>
      <c r="O677" s="124" t="s">
        <v>347</v>
      </c>
      <c r="P677" s="21">
        <v>33</v>
      </c>
      <c r="Q677" s="10" t="s">
        <v>54</v>
      </c>
      <c r="R677" s="10" t="s">
        <v>28</v>
      </c>
      <c r="S677" s="10"/>
      <c r="T677" s="10"/>
      <c r="U677" s="10" t="s">
        <v>811</v>
      </c>
      <c r="V677" s="10" t="s">
        <v>811</v>
      </c>
      <c r="W677" s="50">
        <f>+J677/$W$2</f>
        <v>6.5853172719483797E-5</v>
      </c>
    </row>
    <row r="678" spans="1:23">
      <c r="A678" s="10" t="s">
        <v>206</v>
      </c>
      <c r="B678" s="10" t="s">
        <v>358</v>
      </c>
      <c r="C678" s="124">
        <v>46342</v>
      </c>
      <c r="D678" s="124" t="s">
        <v>471</v>
      </c>
      <c r="E678" s="21">
        <v>0.98398669000000005</v>
      </c>
      <c r="F678" s="10"/>
      <c r="G678" s="14">
        <v>2170000</v>
      </c>
      <c r="H678" s="14">
        <v>2135251.11</v>
      </c>
      <c r="I678" s="14">
        <v>2170000</v>
      </c>
      <c r="J678" s="14">
        <v>2135251.11</v>
      </c>
      <c r="K678" s="12">
        <v>260731</v>
      </c>
      <c r="L678" s="10" t="s">
        <v>101</v>
      </c>
      <c r="M678" s="10" t="s">
        <v>102</v>
      </c>
      <c r="N678" s="124" t="s">
        <v>479</v>
      </c>
      <c r="O678" s="124" t="s">
        <v>479</v>
      </c>
      <c r="P678" s="21">
        <v>33</v>
      </c>
      <c r="Q678" s="10" t="s">
        <v>54</v>
      </c>
      <c r="R678" s="10" t="s">
        <v>28</v>
      </c>
      <c r="S678" s="10"/>
      <c r="T678" s="10"/>
      <c r="U678" s="10" t="s">
        <v>1201</v>
      </c>
      <c r="V678" s="10" t="s">
        <v>1201</v>
      </c>
      <c r="W678" s="50">
        <f>+J678/$W$2</f>
        <v>2.6132581942018652E-5</v>
      </c>
    </row>
    <row r="679" spans="1:23">
      <c r="A679" s="10" t="s">
        <v>789</v>
      </c>
      <c r="B679" s="10" t="s">
        <v>358</v>
      </c>
      <c r="C679" s="124">
        <v>46342</v>
      </c>
      <c r="D679" s="124" t="s">
        <v>471</v>
      </c>
      <c r="E679" s="21">
        <v>0.98255630000000005</v>
      </c>
      <c r="F679" s="10"/>
      <c r="G679" s="14">
        <v>3140560.45</v>
      </c>
      <c r="H679" s="14">
        <v>3085777.45</v>
      </c>
      <c r="I679" s="14">
        <v>3140560.45</v>
      </c>
      <c r="J679" s="14">
        <v>3085777.45</v>
      </c>
      <c r="K679" s="12">
        <v>1120</v>
      </c>
      <c r="L679" s="10" t="s">
        <v>101</v>
      </c>
      <c r="M679" s="10" t="s">
        <v>102</v>
      </c>
      <c r="N679" s="124" t="s">
        <v>365</v>
      </c>
      <c r="O679" s="124" t="s">
        <v>365</v>
      </c>
      <c r="P679" s="21">
        <v>36</v>
      </c>
      <c r="Q679" s="10" t="s">
        <v>54</v>
      </c>
      <c r="R679" s="10" t="s">
        <v>28</v>
      </c>
      <c r="S679" s="10"/>
      <c r="T679" s="10"/>
      <c r="U679" s="10" t="s">
        <v>1332</v>
      </c>
      <c r="V679" s="10" t="s">
        <v>1332</v>
      </c>
      <c r="W679" s="50">
        <f>+J679/$W$2</f>
        <v>3.7765737101974098E-5</v>
      </c>
    </row>
    <row r="680" spans="1:23">
      <c r="A680" s="10" t="s">
        <v>910</v>
      </c>
      <c r="B680" s="10" t="s">
        <v>358</v>
      </c>
      <c r="C680" s="124">
        <v>46342</v>
      </c>
      <c r="D680" s="124" t="s">
        <v>471</v>
      </c>
      <c r="E680" s="21">
        <v>0.98398669999999999</v>
      </c>
      <c r="F680" s="10"/>
      <c r="G680" s="14">
        <v>7500000</v>
      </c>
      <c r="H680" s="14">
        <v>7379900.2199999997</v>
      </c>
      <c r="I680" s="14">
        <v>7500000</v>
      </c>
      <c r="J680" s="14">
        <v>7379900.2199999997</v>
      </c>
      <c r="K680" s="12">
        <v>14437226</v>
      </c>
      <c r="L680" s="10" t="s">
        <v>101</v>
      </c>
      <c r="M680" s="10" t="s">
        <v>102</v>
      </c>
      <c r="N680" s="124" t="s">
        <v>447</v>
      </c>
      <c r="O680" s="124" t="s">
        <v>447</v>
      </c>
      <c r="P680" s="21">
        <v>33</v>
      </c>
      <c r="Q680" s="10" t="s">
        <v>54</v>
      </c>
      <c r="R680" s="10" t="s">
        <v>28</v>
      </c>
      <c r="S680" s="10"/>
      <c r="T680" s="10"/>
      <c r="U680" s="10" t="s">
        <v>1628</v>
      </c>
      <c r="V680" s="10" t="s">
        <v>1628</v>
      </c>
      <c r="W680" s="50">
        <f>+J680/$W$2</f>
        <v>9.0319984530096555E-5</v>
      </c>
    </row>
    <row r="681" spans="1:23">
      <c r="A681" s="10" t="s">
        <v>1000</v>
      </c>
      <c r="B681" s="10" t="s">
        <v>358</v>
      </c>
      <c r="C681" s="124">
        <v>46342</v>
      </c>
      <c r="D681" s="124" t="s">
        <v>471</v>
      </c>
      <c r="E681" s="21">
        <v>0.98398664000000002</v>
      </c>
      <c r="F681" s="10"/>
      <c r="G681" s="14">
        <v>25000000</v>
      </c>
      <c r="H681" s="14">
        <v>24599666.100000001</v>
      </c>
      <c r="I681" s="14">
        <v>25000000</v>
      </c>
      <c r="J681" s="14">
        <v>24599666.100000001</v>
      </c>
      <c r="K681" s="12">
        <v>90016069</v>
      </c>
      <c r="L681" s="10" t="s">
        <v>101</v>
      </c>
      <c r="M681" s="10" t="s">
        <v>102</v>
      </c>
      <c r="N681" s="124" t="s">
        <v>310</v>
      </c>
      <c r="O681" s="124" t="s">
        <v>310</v>
      </c>
      <c r="P681" s="21">
        <v>33</v>
      </c>
      <c r="Q681" s="10" t="s">
        <v>54</v>
      </c>
      <c r="R681" s="10" t="s">
        <v>28</v>
      </c>
      <c r="S681" s="10"/>
      <c r="T681" s="10"/>
      <c r="U681" s="10" t="s">
        <v>1002</v>
      </c>
      <c r="V681" s="10" t="s">
        <v>1002</v>
      </c>
      <c r="W681" s="50">
        <f>+J681/$W$2</f>
        <v>3.0106659919008238E-4</v>
      </c>
    </row>
    <row r="682" spans="1:23">
      <c r="A682" s="10" t="s">
        <v>1421</v>
      </c>
      <c r="B682" s="10" t="s">
        <v>358</v>
      </c>
      <c r="C682" s="124">
        <v>46342</v>
      </c>
      <c r="D682" s="124" t="s">
        <v>471</v>
      </c>
      <c r="E682" s="21">
        <v>0.98494261999999999</v>
      </c>
      <c r="F682" s="10"/>
      <c r="G682" s="14">
        <v>1638560052.79</v>
      </c>
      <c r="H682" s="14">
        <v>1613887628.47</v>
      </c>
      <c r="I682" s="14">
        <v>1638560052.79</v>
      </c>
      <c r="J682" s="14">
        <v>1613887628.47</v>
      </c>
      <c r="K682" s="12">
        <v>90</v>
      </c>
      <c r="L682" s="10" t="s">
        <v>101</v>
      </c>
      <c r="M682" s="10" t="s">
        <v>102</v>
      </c>
      <c r="N682" s="124" t="s">
        <v>467</v>
      </c>
      <c r="O682" s="124" t="s">
        <v>467</v>
      </c>
      <c r="P682" s="21">
        <v>31</v>
      </c>
      <c r="Q682" s="10" t="s">
        <v>54</v>
      </c>
      <c r="R682" s="10" t="s">
        <v>28</v>
      </c>
      <c r="S682" s="10"/>
      <c r="T682" s="10"/>
      <c r="U682" s="10" t="s">
        <v>3661</v>
      </c>
      <c r="V682" s="10" t="s">
        <v>3661</v>
      </c>
      <c r="W682" s="50">
        <f>+J682/$W$2</f>
        <v>1.9751798979841032E-2</v>
      </c>
    </row>
    <row r="683" spans="1:23">
      <c r="A683" s="10" t="s">
        <v>1177</v>
      </c>
      <c r="B683" s="10" t="s">
        <v>833</v>
      </c>
      <c r="C683" s="124">
        <v>46342</v>
      </c>
      <c r="D683" s="124" t="s">
        <v>471</v>
      </c>
      <c r="E683" s="21">
        <v>0.98975009999999997</v>
      </c>
      <c r="F683" s="10" t="s">
        <v>3851</v>
      </c>
      <c r="G683" s="14">
        <v>136308.70000000001</v>
      </c>
      <c r="H683" s="14">
        <v>134911.54999999999</v>
      </c>
      <c r="I683" s="14">
        <v>212641585.61000001</v>
      </c>
      <c r="J683" s="14">
        <v>210462031.47</v>
      </c>
      <c r="K683" s="12">
        <v>60</v>
      </c>
      <c r="L683" s="10" t="s">
        <v>101</v>
      </c>
      <c r="M683" s="10" t="s">
        <v>102</v>
      </c>
      <c r="N683" s="124" t="s">
        <v>417</v>
      </c>
      <c r="O683" s="124" t="s">
        <v>417</v>
      </c>
      <c r="P683" s="21">
        <v>21</v>
      </c>
      <c r="Q683" s="10" t="s">
        <v>54</v>
      </c>
      <c r="R683" s="10" t="s">
        <v>28</v>
      </c>
      <c r="S683" s="10"/>
      <c r="T683" s="10"/>
      <c r="U683" s="10" t="s">
        <v>3303</v>
      </c>
      <c r="V683" s="10" t="s">
        <v>3303</v>
      </c>
      <c r="W683" s="50">
        <f>+J683/$W$2</f>
        <v>2.5757702489022398E-3</v>
      </c>
    </row>
    <row r="684" spans="1:23">
      <c r="A684" s="10" t="s">
        <v>178</v>
      </c>
      <c r="B684" s="10" t="s">
        <v>358</v>
      </c>
      <c r="C684" s="124">
        <v>46342</v>
      </c>
      <c r="D684" s="124" t="s">
        <v>471</v>
      </c>
      <c r="E684" s="21">
        <v>0.98782144999999999</v>
      </c>
      <c r="F684" s="10"/>
      <c r="G684" s="14">
        <v>3915102.27</v>
      </c>
      <c r="H684" s="14">
        <v>3867421.99</v>
      </c>
      <c r="I684" s="14">
        <v>3915102.27</v>
      </c>
      <c r="J684" s="14">
        <v>3867421.99</v>
      </c>
      <c r="K684" s="12">
        <v>681630</v>
      </c>
      <c r="L684" s="10" t="s">
        <v>101</v>
      </c>
      <c r="M684" s="10" t="s">
        <v>102</v>
      </c>
      <c r="N684" s="124" t="s">
        <v>449</v>
      </c>
      <c r="O684" s="124" t="s">
        <v>449</v>
      </c>
      <c r="P684" s="21">
        <v>25</v>
      </c>
      <c r="Q684" s="10" t="s">
        <v>54</v>
      </c>
      <c r="R684" s="10" t="s">
        <v>28</v>
      </c>
      <c r="S684" s="10"/>
      <c r="T684" s="10"/>
      <c r="U684" s="10" t="s">
        <v>1986</v>
      </c>
      <c r="V684" s="10" t="s">
        <v>1986</v>
      </c>
      <c r="W684" s="50">
        <f>+J684/$W$2</f>
        <v>4.7332007736570079E-5</v>
      </c>
    </row>
    <row r="685" spans="1:23">
      <c r="A685" s="10" t="s">
        <v>178</v>
      </c>
      <c r="B685" s="10" t="s">
        <v>358</v>
      </c>
      <c r="C685" s="124">
        <v>46342</v>
      </c>
      <c r="D685" s="124" t="s">
        <v>471</v>
      </c>
      <c r="E685" s="21">
        <v>0.98782144999999999</v>
      </c>
      <c r="F685" s="10"/>
      <c r="G685" s="14">
        <v>973870.43</v>
      </c>
      <c r="H685" s="14">
        <v>962010.1</v>
      </c>
      <c r="I685" s="14">
        <v>973870.43</v>
      </c>
      <c r="J685" s="14">
        <v>962010.1</v>
      </c>
      <c r="K685" s="12">
        <v>681511</v>
      </c>
      <c r="L685" s="10" t="s">
        <v>101</v>
      </c>
      <c r="M685" s="10" t="s">
        <v>102</v>
      </c>
      <c r="N685" s="124" t="s">
        <v>449</v>
      </c>
      <c r="O685" s="124" t="s">
        <v>449</v>
      </c>
      <c r="P685" s="21">
        <v>25</v>
      </c>
      <c r="Q685" s="10" t="s">
        <v>54</v>
      </c>
      <c r="R685" s="10" t="s">
        <v>28</v>
      </c>
      <c r="S685" s="10"/>
      <c r="T685" s="10"/>
      <c r="U685" s="10" t="s">
        <v>1987</v>
      </c>
      <c r="V685" s="10" t="s">
        <v>1987</v>
      </c>
      <c r="W685" s="50">
        <f>+J685/$W$2</f>
        <v>1.1773700830577983E-5</v>
      </c>
    </row>
    <row r="686" spans="1:23">
      <c r="A686" s="10" t="s">
        <v>178</v>
      </c>
      <c r="B686" s="10" t="s">
        <v>358</v>
      </c>
      <c r="C686" s="124">
        <v>46342</v>
      </c>
      <c r="D686" s="124" t="s">
        <v>471</v>
      </c>
      <c r="E686" s="21">
        <v>0.98782144000000005</v>
      </c>
      <c r="F686" s="10"/>
      <c r="G686" s="14">
        <v>1029426.04</v>
      </c>
      <c r="H686" s="14">
        <v>1016889.11</v>
      </c>
      <c r="I686" s="14">
        <v>1029426.04</v>
      </c>
      <c r="J686" s="14">
        <v>1016889.11</v>
      </c>
      <c r="K686" s="12">
        <v>681498</v>
      </c>
      <c r="L686" s="10" t="s">
        <v>101</v>
      </c>
      <c r="M686" s="10" t="s">
        <v>102</v>
      </c>
      <c r="N686" s="124" t="s">
        <v>449</v>
      </c>
      <c r="O686" s="124" t="s">
        <v>449</v>
      </c>
      <c r="P686" s="21">
        <v>25</v>
      </c>
      <c r="Q686" s="10" t="s">
        <v>54</v>
      </c>
      <c r="R686" s="10" t="s">
        <v>28</v>
      </c>
      <c r="S686" s="10"/>
      <c r="T686" s="10"/>
      <c r="U686" s="10" t="s">
        <v>1991</v>
      </c>
      <c r="V686" s="10" t="s">
        <v>1991</v>
      </c>
      <c r="W686" s="50">
        <f>+J686/$W$2</f>
        <v>1.2445345593578181E-5</v>
      </c>
    </row>
    <row r="687" spans="1:23">
      <c r="A687" s="10" t="s">
        <v>178</v>
      </c>
      <c r="B687" s="10" t="s">
        <v>358</v>
      </c>
      <c r="C687" s="124">
        <v>46342</v>
      </c>
      <c r="D687" s="124" t="s">
        <v>471</v>
      </c>
      <c r="E687" s="21">
        <v>0.98782143</v>
      </c>
      <c r="F687" s="10"/>
      <c r="G687" s="14">
        <v>1351574.42</v>
      </c>
      <c r="H687" s="14">
        <v>1335114.18</v>
      </c>
      <c r="I687" s="14">
        <v>1351574.42</v>
      </c>
      <c r="J687" s="14">
        <v>1335114.18</v>
      </c>
      <c r="K687" s="12">
        <v>681634</v>
      </c>
      <c r="L687" s="10" t="s">
        <v>101</v>
      </c>
      <c r="M687" s="10" t="s">
        <v>102</v>
      </c>
      <c r="N687" s="124" t="s">
        <v>449</v>
      </c>
      <c r="O687" s="124" t="s">
        <v>449</v>
      </c>
      <c r="P687" s="21">
        <v>25</v>
      </c>
      <c r="Q687" s="10" t="s">
        <v>54</v>
      </c>
      <c r="R687" s="10" t="s">
        <v>28</v>
      </c>
      <c r="S687" s="10"/>
      <c r="T687" s="10"/>
      <c r="U687" s="10" t="s">
        <v>1992</v>
      </c>
      <c r="V687" s="10" t="s">
        <v>1992</v>
      </c>
      <c r="W687" s="50">
        <f>+J687/$W$2</f>
        <v>1.6339989496973515E-5</v>
      </c>
    </row>
    <row r="688" spans="1:23">
      <c r="A688" s="10" t="s">
        <v>178</v>
      </c>
      <c r="B688" s="10" t="s">
        <v>358</v>
      </c>
      <c r="C688" s="124">
        <v>46342</v>
      </c>
      <c r="D688" s="124" t="s">
        <v>471</v>
      </c>
      <c r="E688" s="21">
        <v>0.98782135000000004</v>
      </c>
      <c r="F688" s="10"/>
      <c r="G688" s="14">
        <v>188938.02</v>
      </c>
      <c r="H688" s="14">
        <v>186637.01</v>
      </c>
      <c r="I688" s="14">
        <v>188938.02</v>
      </c>
      <c r="J688" s="14">
        <v>186637.01</v>
      </c>
      <c r="K688" s="12">
        <v>681548</v>
      </c>
      <c r="L688" s="10" t="s">
        <v>101</v>
      </c>
      <c r="M688" s="10" t="s">
        <v>102</v>
      </c>
      <c r="N688" s="124" t="s">
        <v>449</v>
      </c>
      <c r="O688" s="124" t="s">
        <v>449</v>
      </c>
      <c r="P688" s="21">
        <v>25</v>
      </c>
      <c r="Q688" s="10" t="s">
        <v>54</v>
      </c>
      <c r="R688" s="10" t="s">
        <v>28</v>
      </c>
      <c r="S688" s="10"/>
      <c r="T688" s="10"/>
      <c r="U688" s="10" t="s">
        <v>1993</v>
      </c>
      <c r="V688" s="10" t="s">
        <v>1993</v>
      </c>
      <c r="W688" s="50">
        <f>+J688/$W$2</f>
        <v>2.2841842509279177E-6</v>
      </c>
    </row>
    <row r="689" spans="1:29">
      <c r="A689" s="10" t="s">
        <v>178</v>
      </c>
      <c r="B689" s="10" t="s">
        <v>358</v>
      </c>
      <c r="C689" s="124">
        <v>46342</v>
      </c>
      <c r="D689" s="124" t="s">
        <v>471</v>
      </c>
      <c r="E689" s="21">
        <v>0.98782143</v>
      </c>
      <c r="F689" s="10"/>
      <c r="G689" s="14">
        <v>1351574.42</v>
      </c>
      <c r="H689" s="14">
        <v>1335114.18</v>
      </c>
      <c r="I689" s="14">
        <v>1351574.42</v>
      </c>
      <c r="J689" s="14">
        <v>1335114.18</v>
      </c>
      <c r="K689" s="12">
        <v>681632</v>
      </c>
      <c r="L689" s="10" t="s">
        <v>101</v>
      </c>
      <c r="M689" s="10" t="s">
        <v>102</v>
      </c>
      <c r="N689" s="124" t="s">
        <v>449</v>
      </c>
      <c r="O689" s="124" t="s">
        <v>449</v>
      </c>
      <c r="P689" s="21">
        <v>25</v>
      </c>
      <c r="Q689" s="10" t="s">
        <v>54</v>
      </c>
      <c r="R689" s="10" t="s">
        <v>28</v>
      </c>
      <c r="S689" s="10"/>
      <c r="T689" s="10"/>
      <c r="U689" s="10" t="s">
        <v>1994</v>
      </c>
      <c r="V689" s="10" t="s">
        <v>1994</v>
      </c>
      <c r="W689" s="50">
        <f>+J689/$W$2</f>
        <v>1.6339989496973515E-5</v>
      </c>
    </row>
    <row r="690" spans="1:29">
      <c r="A690" s="10" t="s">
        <v>3573</v>
      </c>
      <c r="B690" s="10" t="s">
        <v>358</v>
      </c>
      <c r="C690" s="124">
        <v>46342</v>
      </c>
      <c r="D690" s="124" t="s">
        <v>471</v>
      </c>
      <c r="E690" s="21">
        <v>0.98542134999999997</v>
      </c>
      <c r="F690" s="10"/>
      <c r="G690" s="14">
        <v>2006000</v>
      </c>
      <c r="H690" s="14">
        <v>1976755.22</v>
      </c>
      <c r="I690" s="14">
        <v>2006000</v>
      </c>
      <c r="J690" s="14">
        <v>1976755.22</v>
      </c>
      <c r="K690" s="12">
        <v>70555885</v>
      </c>
      <c r="L690" s="10" t="s">
        <v>101</v>
      </c>
      <c r="M690" s="10" t="s">
        <v>102</v>
      </c>
      <c r="N690" s="124" t="s">
        <v>451</v>
      </c>
      <c r="O690" s="124" t="s">
        <v>451</v>
      </c>
      <c r="P690" s="21">
        <v>30</v>
      </c>
      <c r="Q690" s="10" t="s">
        <v>54</v>
      </c>
      <c r="R690" s="10" t="s">
        <v>28</v>
      </c>
      <c r="S690" s="10"/>
      <c r="T690" s="10"/>
      <c r="U690" s="10" t="s">
        <v>3536</v>
      </c>
      <c r="V690" s="10" t="s">
        <v>3536</v>
      </c>
      <c r="W690" s="50">
        <f>+J690/$W$2</f>
        <v>2.4192806890035109E-5</v>
      </c>
    </row>
    <row r="691" spans="1:29">
      <c r="A691" s="10" t="s">
        <v>1765</v>
      </c>
      <c r="B691" s="10" t="s">
        <v>358</v>
      </c>
      <c r="C691" s="124">
        <v>46342</v>
      </c>
      <c r="D691" s="124" t="s">
        <v>471</v>
      </c>
      <c r="E691" s="21">
        <v>0.98398662000000003</v>
      </c>
      <c r="F691" s="10"/>
      <c r="G691" s="14">
        <v>686128.26</v>
      </c>
      <c r="H691" s="14">
        <v>675141.03</v>
      </c>
      <c r="I691" s="14">
        <v>686128.26</v>
      </c>
      <c r="J691" s="14">
        <v>675141.03</v>
      </c>
      <c r="K691" s="12">
        <v>19384</v>
      </c>
      <c r="L691" s="10" t="s">
        <v>101</v>
      </c>
      <c r="M691" s="10" t="s">
        <v>102</v>
      </c>
      <c r="N691" s="124" t="s">
        <v>398</v>
      </c>
      <c r="O691" s="124" t="s">
        <v>398</v>
      </c>
      <c r="P691" s="21">
        <v>33</v>
      </c>
      <c r="Q691" s="10" t="s">
        <v>54</v>
      </c>
      <c r="R691" s="10" t="s">
        <v>28</v>
      </c>
      <c r="S691" s="10"/>
      <c r="T691" s="10"/>
      <c r="U691" s="10" t="s">
        <v>1657</v>
      </c>
      <c r="V691" s="10" t="s">
        <v>1657</v>
      </c>
      <c r="W691" s="50">
        <f>+J691/$W$2</f>
        <v>8.2628119036050411E-6</v>
      </c>
      <c r="AC691" s="47"/>
    </row>
    <row r="692" spans="1:29">
      <c r="A692" s="10" t="s">
        <v>884</v>
      </c>
      <c r="B692" s="10" t="s">
        <v>358</v>
      </c>
      <c r="C692" s="124">
        <v>46342</v>
      </c>
      <c r="D692" s="124" t="s">
        <v>471</v>
      </c>
      <c r="E692" s="21">
        <v>0.98542125999999997</v>
      </c>
      <c r="F692" s="10"/>
      <c r="G692" s="14">
        <v>19275533.640000001</v>
      </c>
      <c r="H692" s="14">
        <v>18994520.629999999</v>
      </c>
      <c r="I692" s="14">
        <v>19275533.640000001</v>
      </c>
      <c r="J692" s="14">
        <v>18994520.629999999</v>
      </c>
      <c r="K692" s="12">
        <v>40800772</v>
      </c>
      <c r="L692" s="10" t="s">
        <v>101</v>
      </c>
      <c r="M692" s="10" t="s">
        <v>102</v>
      </c>
      <c r="N692" s="124" t="s">
        <v>467</v>
      </c>
      <c r="O692" s="124" t="s">
        <v>467</v>
      </c>
      <c r="P692" s="21">
        <v>30</v>
      </c>
      <c r="Q692" s="10" t="s">
        <v>54</v>
      </c>
      <c r="R692" s="10" t="s">
        <v>28</v>
      </c>
      <c r="S692" s="10"/>
      <c r="T692" s="10"/>
      <c r="U692" s="10" t="s">
        <v>3742</v>
      </c>
      <c r="V692" s="10" t="s">
        <v>3742</v>
      </c>
      <c r="W692" s="50">
        <f>+J692/$W$2</f>
        <v>2.3246720935451886E-4</v>
      </c>
    </row>
    <row r="693" spans="1:29">
      <c r="A693" s="10" t="s">
        <v>884</v>
      </c>
      <c r="B693" s="10" t="s">
        <v>358</v>
      </c>
      <c r="C693" s="124">
        <v>46342</v>
      </c>
      <c r="D693" s="124" t="s">
        <v>471</v>
      </c>
      <c r="E693" s="21">
        <v>0.98542125999999997</v>
      </c>
      <c r="F693" s="10"/>
      <c r="G693" s="14">
        <v>20775704.66</v>
      </c>
      <c r="H693" s="14">
        <v>20472821.039999999</v>
      </c>
      <c r="I693" s="14">
        <v>20775704.66</v>
      </c>
      <c r="J693" s="14">
        <v>20472821.039999999</v>
      </c>
      <c r="K693" s="12">
        <v>40298602</v>
      </c>
      <c r="L693" s="10" t="s">
        <v>101</v>
      </c>
      <c r="M693" s="10" t="s">
        <v>102</v>
      </c>
      <c r="N693" s="124" t="s">
        <v>467</v>
      </c>
      <c r="O693" s="124" t="s">
        <v>467</v>
      </c>
      <c r="P693" s="21">
        <v>30</v>
      </c>
      <c r="Q693" s="10" t="s">
        <v>54</v>
      </c>
      <c r="R693" s="10" t="s">
        <v>28</v>
      </c>
      <c r="S693" s="10"/>
      <c r="T693" s="10"/>
      <c r="U693" s="10" t="s">
        <v>3743</v>
      </c>
      <c r="V693" s="10" t="s">
        <v>3743</v>
      </c>
      <c r="W693" s="50">
        <f>+J693/$W$2</f>
        <v>2.5055960439804363E-4</v>
      </c>
    </row>
    <row r="694" spans="1:29">
      <c r="A694" s="10" t="s">
        <v>364</v>
      </c>
      <c r="B694" s="10" t="s">
        <v>358</v>
      </c>
      <c r="C694" s="124">
        <v>46342</v>
      </c>
      <c r="D694" s="124" t="s">
        <v>471</v>
      </c>
      <c r="E694" s="21">
        <v>0.98446436999999998</v>
      </c>
      <c r="F694" s="10"/>
      <c r="G694" s="14">
        <v>11829797.539999999</v>
      </c>
      <c r="H694" s="14">
        <v>11646014.140000001</v>
      </c>
      <c r="I694" s="14">
        <v>11829797.539999999</v>
      </c>
      <c r="J694" s="14">
        <v>11646014.140000001</v>
      </c>
      <c r="K694" s="12">
        <v>30897</v>
      </c>
      <c r="L694" s="10" t="s">
        <v>101</v>
      </c>
      <c r="M694" s="10" t="s">
        <v>102</v>
      </c>
      <c r="N694" s="124" t="s">
        <v>309</v>
      </c>
      <c r="O694" s="124" t="s">
        <v>309</v>
      </c>
      <c r="P694" s="21">
        <v>32</v>
      </c>
      <c r="Q694" s="10" t="s">
        <v>54</v>
      </c>
      <c r="R694" s="10" t="s">
        <v>28</v>
      </c>
      <c r="S694" s="10"/>
      <c r="T694" s="10"/>
      <c r="U694" s="10" t="s">
        <v>867</v>
      </c>
      <c r="V694" s="10" t="s">
        <v>867</v>
      </c>
      <c r="W694" s="50">
        <f>+J694/$W$2</f>
        <v>1.425314415649492E-4</v>
      </c>
    </row>
    <row r="695" spans="1:29">
      <c r="A695" s="10" t="s">
        <v>364</v>
      </c>
      <c r="B695" s="10" t="s">
        <v>358</v>
      </c>
      <c r="C695" s="124">
        <v>46342</v>
      </c>
      <c r="D695" s="124" t="s">
        <v>471</v>
      </c>
      <c r="E695" s="21">
        <v>0.98446436999999998</v>
      </c>
      <c r="F695" s="10"/>
      <c r="G695" s="14">
        <v>11229494.109999999</v>
      </c>
      <c r="H695" s="14">
        <v>11055036.789999999</v>
      </c>
      <c r="I695" s="14">
        <v>11229494.109999999</v>
      </c>
      <c r="J695" s="14">
        <v>11055036.789999999</v>
      </c>
      <c r="K695" s="12">
        <v>30920</v>
      </c>
      <c r="L695" s="10" t="s">
        <v>101</v>
      </c>
      <c r="M695" s="10" t="s">
        <v>102</v>
      </c>
      <c r="N695" s="124" t="s">
        <v>309</v>
      </c>
      <c r="O695" s="124" t="s">
        <v>309</v>
      </c>
      <c r="P695" s="21">
        <v>32</v>
      </c>
      <c r="Q695" s="10" t="s">
        <v>54</v>
      </c>
      <c r="R695" s="10" t="s">
        <v>28</v>
      </c>
      <c r="S695" s="10"/>
      <c r="T695" s="10"/>
      <c r="U695" s="10" t="s">
        <v>868</v>
      </c>
      <c r="V695" s="10" t="s">
        <v>868</v>
      </c>
      <c r="W695" s="50">
        <f>+J695/$W$2</f>
        <v>1.3529867912664653E-4</v>
      </c>
    </row>
    <row r="696" spans="1:29">
      <c r="A696" s="10" t="s">
        <v>364</v>
      </c>
      <c r="B696" s="10" t="s">
        <v>358</v>
      </c>
      <c r="C696" s="124">
        <v>46342</v>
      </c>
      <c r="D696" s="124" t="s">
        <v>471</v>
      </c>
      <c r="E696" s="21">
        <v>0.98446436000000004</v>
      </c>
      <c r="F696" s="10"/>
      <c r="G696" s="14">
        <v>11490967.439999999</v>
      </c>
      <c r="H696" s="14">
        <v>11312447.960000001</v>
      </c>
      <c r="I696" s="14">
        <v>11490967.439999999</v>
      </c>
      <c r="J696" s="14">
        <v>11312447.960000001</v>
      </c>
      <c r="K696" s="12">
        <v>30907</v>
      </c>
      <c r="L696" s="10" t="s">
        <v>101</v>
      </c>
      <c r="M696" s="10" t="s">
        <v>102</v>
      </c>
      <c r="N696" s="124" t="s">
        <v>309</v>
      </c>
      <c r="O696" s="124" t="s">
        <v>309</v>
      </c>
      <c r="P696" s="21">
        <v>32</v>
      </c>
      <c r="Q696" s="10" t="s">
        <v>54</v>
      </c>
      <c r="R696" s="10" t="s">
        <v>28</v>
      </c>
      <c r="S696" s="10"/>
      <c r="T696" s="10"/>
      <c r="U696" s="10" t="s">
        <v>869</v>
      </c>
      <c r="V696" s="10" t="s">
        <v>869</v>
      </c>
      <c r="W696" s="50">
        <f>+J696/$W$2</f>
        <v>1.3844904325071246E-4</v>
      </c>
    </row>
    <row r="697" spans="1:29">
      <c r="A697" s="10" t="s">
        <v>520</v>
      </c>
      <c r="B697" s="10" t="s">
        <v>358</v>
      </c>
      <c r="C697" s="124">
        <v>46342</v>
      </c>
      <c r="D697" s="124" t="s">
        <v>471</v>
      </c>
      <c r="E697" s="21">
        <v>0.98113006999999997</v>
      </c>
      <c r="F697" s="10"/>
      <c r="G697" s="14">
        <v>3750000</v>
      </c>
      <c r="H697" s="14">
        <v>3679237.78</v>
      </c>
      <c r="I697" s="14">
        <v>3750000</v>
      </c>
      <c r="J697" s="14">
        <v>3679237.78</v>
      </c>
      <c r="K697" s="12">
        <v>66918897</v>
      </c>
      <c r="L697" s="10" t="s">
        <v>101</v>
      </c>
      <c r="M697" s="10" t="s">
        <v>102</v>
      </c>
      <c r="N697" s="124" t="s">
        <v>296</v>
      </c>
      <c r="O697" s="124" t="s">
        <v>296</v>
      </c>
      <c r="P697" s="21">
        <v>39</v>
      </c>
      <c r="Q697" s="10" t="s">
        <v>54</v>
      </c>
      <c r="R697" s="10" t="s">
        <v>28</v>
      </c>
      <c r="S697" s="10"/>
      <c r="T697" s="10"/>
      <c r="U697" s="10" t="s">
        <v>512</v>
      </c>
      <c r="V697" s="10" t="s">
        <v>512</v>
      </c>
      <c r="W697" s="50">
        <f>+J697/$W$2</f>
        <v>4.5028887852923678E-5</v>
      </c>
    </row>
    <row r="698" spans="1:29">
      <c r="A698" s="10" t="s">
        <v>1241</v>
      </c>
      <c r="B698" s="10" t="s">
        <v>358</v>
      </c>
      <c r="C698" s="124">
        <v>46342</v>
      </c>
      <c r="D698" s="124" t="s">
        <v>471</v>
      </c>
      <c r="E698" s="21">
        <v>0.98446434999999999</v>
      </c>
      <c r="F698" s="10"/>
      <c r="G698" s="14">
        <v>30000000</v>
      </c>
      <c r="H698" s="14">
        <v>29533930.48</v>
      </c>
      <c r="I698" s="14">
        <v>30000000</v>
      </c>
      <c r="J698" s="14">
        <v>29533930.48</v>
      </c>
      <c r="K698" s="12">
        <v>10505</v>
      </c>
      <c r="L698" s="10" t="s">
        <v>101</v>
      </c>
      <c r="M698" s="10" t="s">
        <v>102</v>
      </c>
      <c r="N698" s="124" t="s">
        <v>331</v>
      </c>
      <c r="O698" s="124" t="s">
        <v>331</v>
      </c>
      <c r="P698" s="21">
        <v>32</v>
      </c>
      <c r="Q698" s="10" t="s">
        <v>54</v>
      </c>
      <c r="R698" s="10" t="s">
        <v>28</v>
      </c>
      <c r="S698" s="10"/>
      <c r="T698" s="10"/>
      <c r="U698" s="10" t="s">
        <v>1227</v>
      </c>
      <c r="V698" s="10" t="s">
        <v>1227</v>
      </c>
      <c r="W698" s="50">
        <f>+J698/$W$2</f>
        <v>3.6145531301865586E-4</v>
      </c>
    </row>
    <row r="699" spans="1:29">
      <c r="A699" s="10" t="s">
        <v>1089</v>
      </c>
      <c r="B699" s="10" t="s">
        <v>358</v>
      </c>
      <c r="C699" s="124">
        <v>46342</v>
      </c>
      <c r="D699" s="124" t="s">
        <v>471</v>
      </c>
      <c r="E699" s="21">
        <v>0.98446436000000004</v>
      </c>
      <c r="F699" s="10"/>
      <c r="G699" s="14">
        <v>38054448.590000004</v>
      </c>
      <c r="H699" s="14">
        <v>37463248.420000002</v>
      </c>
      <c r="I699" s="14">
        <v>38054448.590000004</v>
      </c>
      <c r="J699" s="14">
        <v>37463248.420000002</v>
      </c>
      <c r="K699" s="12">
        <v>10434108</v>
      </c>
      <c r="L699" s="10" t="s">
        <v>101</v>
      </c>
      <c r="M699" s="10" t="s">
        <v>102</v>
      </c>
      <c r="N699" s="124" t="s">
        <v>373</v>
      </c>
      <c r="O699" s="124" t="s">
        <v>373</v>
      </c>
      <c r="P699" s="21">
        <v>32</v>
      </c>
      <c r="Q699" s="10" t="s">
        <v>54</v>
      </c>
      <c r="R699" s="10" t="s">
        <v>28</v>
      </c>
      <c r="S699" s="10"/>
      <c r="T699" s="10"/>
      <c r="U699" s="10" t="s">
        <v>1170</v>
      </c>
      <c r="V699" s="10" t="s">
        <v>1170</v>
      </c>
      <c r="W699" s="50">
        <f>+J699/$W$2</f>
        <v>4.5849942639760572E-4</v>
      </c>
    </row>
    <row r="700" spans="1:29">
      <c r="A700" s="10" t="s">
        <v>377</v>
      </c>
      <c r="B700" s="10" t="s">
        <v>358</v>
      </c>
      <c r="C700" s="124">
        <v>46342</v>
      </c>
      <c r="D700" s="124" t="s">
        <v>471</v>
      </c>
      <c r="E700" s="21">
        <v>0.98446440999999996</v>
      </c>
      <c r="F700" s="10"/>
      <c r="G700" s="14">
        <v>20000000</v>
      </c>
      <c r="H700" s="14">
        <v>19689288.18</v>
      </c>
      <c r="I700" s="14">
        <v>20000000</v>
      </c>
      <c r="J700" s="14">
        <v>19689288.18</v>
      </c>
      <c r="K700" s="12">
        <v>742</v>
      </c>
      <c r="L700" s="10" t="s">
        <v>101</v>
      </c>
      <c r="M700" s="10" t="s">
        <v>102</v>
      </c>
      <c r="N700" s="124" t="s">
        <v>408</v>
      </c>
      <c r="O700" s="124" t="s">
        <v>408</v>
      </c>
      <c r="P700" s="21">
        <v>32</v>
      </c>
      <c r="Q700" s="10" t="s">
        <v>54</v>
      </c>
      <c r="R700" s="10" t="s">
        <v>28</v>
      </c>
      <c r="S700" s="10"/>
      <c r="T700" s="10"/>
      <c r="U700" s="10" t="s">
        <v>2040</v>
      </c>
      <c r="V700" s="10" t="s">
        <v>2040</v>
      </c>
      <c r="W700" s="50">
        <f>+J700/$W$2</f>
        <v>2.4097022328388782E-4</v>
      </c>
    </row>
    <row r="701" spans="1:29">
      <c r="A701" s="10" t="s">
        <v>433</v>
      </c>
      <c r="B701" s="10" t="s">
        <v>358</v>
      </c>
      <c r="C701" s="124">
        <v>46342</v>
      </c>
      <c r="D701" s="124" t="s">
        <v>471</v>
      </c>
      <c r="E701" s="21">
        <v>0.98446436000000004</v>
      </c>
      <c r="F701" s="10"/>
      <c r="G701" s="14">
        <v>10000000</v>
      </c>
      <c r="H701" s="14">
        <v>9844643.5700000003</v>
      </c>
      <c r="I701" s="14">
        <v>10000000</v>
      </c>
      <c r="J701" s="14">
        <v>9844643.5700000003</v>
      </c>
      <c r="K701" s="12">
        <v>14422575</v>
      </c>
      <c r="L701" s="10" t="s">
        <v>101</v>
      </c>
      <c r="M701" s="10" t="s">
        <v>102</v>
      </c>
      <c r="N701" s="124" t="s">
        <v>162</v>
      </c>
      <c r="O701" s="124" t="s">
        <v>162</v>
      </c>
      <c r="P701" s="21">
        <v>32</v>
      </c>
      <c r="Q701" s="10" t="s">
        <v>54</v>
      </c>
      <c r="R701" s="10" t="s">
        <v>28</v>
      </c>
      <c r="S701" s="10"/>
      <c r="T701" s="10"/>
      <c r="U701" s="10" t="s">
        <v>1271</v>
      </c>
      <c r="V701" s="10" t="s">
        <v>1271</v>
      </c>
      <c r="W701" s="50">
        <f>+J701/$W$2</f>
        <v>1.2048510527784812E-4</v>
      </c>
    </row>
    <row r="702" spans="1:29">
      <c r="A702" s="10" t="s">
        <v>433</v>
      </c>
      <c r="B702" s="10" t="s">
        <v>358</v>
      </c>
      <c r="C702" s="124">
        <v>46342</v>
      </c>
      <c r="D702" s="124" t="s">
        <v>471</v>
      </c>
      <c r="E702" s="21">
        <v>0.98398669999999999</v>
      </c>
      <c r="F702" s="10"/>
      <c r="G702" s="14">
        <v>36666666</v>
      </c>
      <c r="H702" s="14">
        <v>36079511.530000001</v>
      </c>
      <c r="I702" s="14">
        <v>36666666</v>
      </c>
      <c r="J702" s="14">
        <v>36079511.530000001</v>
      </c>
      <c r="K702" s="12">
        <v>14537770</v>
      </c>
      <c r="L702" s="10" t="s">
        <v>101</v>
      </c>
      <c r="M702" s="10" t="s">
        <v>102</v>
      </c>
      <c r="N702" s="124" t="s">
        <v>447</v>
      </c>
      <c r="O702" s="124" t="s">
        <v>447</v>
      </c>
      <c r="P702" s="21">
        <v>33</v>
      </c>
      <c r="Q702" s="10" t="s">
        <v>54</v>
      </c>
      <c r="R702" s="10" t="s">
        <v>28</v>
      </c>
      <c r="S702" s="10"/>
      <c r="T702" s="10"/>
      <c r="U702" s="10" t="s">
        <v>1627</v>
      </c>
      <c r="V702" s="10" t="s">
        <v>1627</v>
      </c>
      <c r="W702" s="50">
        <f>+J702/$W$2</f>
        <v>4.415643607770947E-4</v>
      </c>
    </row>
    <row r="703" spans="1:29">
      <c r="A703" s="10" t="s">
        <v>435</v>
      </c>
      <c r="B703" s="10" t="s">
        <v>358</v>
      </c>
      <c r="C703" s="124">
        <v>46342</v>
      </c>
      <c r="D703" s="124" t="s">
        <v>471</v>
      </c>
      <c r="E703" s="21">
        <v>0.98398662999999997</v>
      </c>
      <c r="F703" s="10"/>
      <c r="G703" s="14">
        <v>4069364.15</v>
      </c>
      <c r="H703" s="14">
        <v>4004199.93</v>
      </c>
      <c r="I703" s="14">
        <v>4069364.15</v>
      </c>
      <c r="J703" s="14">
        <v>4004199.93</v>
      </c>
      <c r="K703" s="12">
        <v>39543</v>
      </c>
      <c r="L703" s="10" t="s">
        <v>101</v>
      </c>
      <c r="M703" s="10" t="s">
        <v>102</v>
      </c>
      <c r="N703" s="124" t="s">
        <v>409</v>
      </c>
      <c r="O703" s="124" t="s">
        <v>409</v>
      </c>
      <c r="P703" s="21">
        <v>33</v>
      </c>
      <c r="Q703" s="10" t="s">
        <v>54</v>
      </c>
      <c r="R703" s="10" t="s">
        <v>28</v>
      </c>
      <c r="S703" s="10"/>
      <c r="T703" s="10"/>
      <c r="U703" s="10" t="s">
        <v>890</v>
      </c>
      <c r="V703" s="10" t="s">
        <v>890</v>
      </c>
      <c r="W703" s="50">
        <f>+J703/$W$2</f>
        <v>4.9005984491889747E-5</v>
      </c>
    </row>
    <row r="704" spans="1:29">
      <c r="A704" s="10" t="s">
        <v>3588</v>
      </c>
      <c r="B704" s="10" t="s">
        <v>358</v>
      </c>
      <c r="C704" s="124">
        <v>46342</v>
      </c>
      <c r="D704" s="124" t="s">
        <v>471</v>
      </c>
      <c r="E704" s="21">
        <v>0.98542134000000003</v>
      </c>
      <c r="F704" s="10"/>
      <c r="G704" s="14">
        <v>671045.38</v>
      </c>
      <c r="H704" s="14">
        <v>661262.43999999994</v>
      </c>
      <c r="I704" s="14">
        <v>671045.38</v>
      </c>
      <c r="J704" s="14">
        <v>661262.43999999994</v>
      </c>
      <c r="K704" s="12">
        <v>635</v>
      </c>
      <c r="L704" s="10" t="s">
        <v>101</v>
      </c>
      <c r="M704" s="10" t="s">
        <v>102</v>
      </c>
      <c r="N704" s="124" t="s">
        <v>451</v>
      </c>
      <c r="O704" s="124" t="s">
        <v>451</v>
      </c>
      <c r="P704" s="21">
        <v>30</v>
      </c>
      <c r="Q704" s="10" t="s">
        <v>54</v>
      </c>
      <c r="R704" s="10" t="s">
        <v>28</v>
      </c>
      <c r="S704" s="10"/>
      <c r="T704" s="10"/>
      <c r="U704" s="10" t="s">
        <v>3532</v>
      </c>
      <c r="V704" s="10" t="s">
        <v>3532</v>
      </c>
      <c r="W704" s="50">
        <f>+J704/$W$2</f>
        <v>8.0929567569592281E-6</v>
      </c>
    </row>
    <row r="705" spans="1:29">
      <c r="A705" s="10" t="s">
        <v>621</v>
      </c>
      <c r="B705" s="10" t="s">
        <v>358</v>
      </c>
      <c r="C705" s="124">
        <v>46342</v>
      </c>
      <c r="D705" s="124" t="s">
        <v>471</v>
      </c>
      <c r="E705" s="21">
        <v>0.98685993999999999</v>
      </c>
      <c r="F705" s="10"/>
      <c r="G705" s="14">
        <v>3000000</v>
      </c>
      <c r="H705" s="14">
        <v>2960579.82</v>
      </c>
      <c r="I705" s="14">
        <v>3000000</v>
      </c>
      <c r="J705" s="14">
        <v>2960579.82</v>
      </c>
      <c r="K705" s="12">
        <v>90023131</v>
      </c>
      <c r="L705" s="10" t="s">
        <v>101</v>
      </c>
      <c r="M705" s="10" t="s">
        <v>102</v>
      </c>
      <c r="N705" s="124" t="s">
        <v>576</v>
      </c>
      <c r="O705" s="124" t="s">
        <v>576</v>
      </c>
      <c r="P705" s="21">
        <v>27</v>
      </c>
      <c r="Q705" s="10" t="s">
        <v>54</v>
      </c>
      <c r="R705" s="10" t="s">
        <v>28</v>
      </c>
      <c r="S705" s="10"/>
      <c r="T705" s="10"/>
      <c r="U705" s="10" t="s">
        <v>2325</v>
      </c>
      <c r="V705" s="10" t="s">
        <v>2325</v>
      </c>
      <c r="W705" s="50">
        <f>+J705/$W$2</f>
        <v>3.6233487658525015E-5</v>
      </c>
    </row>
    <row r="706" spans="1:29">
      <c r="A706" s="10" t="s">
        <v>359</v>
      </c>
      <c r="B706" s="10" t="s">
        <v>358</v>
      </c>
      <c r="C706" s="124">
        <v>46342</v>
      </c>
      <c r="D706" s="124" t="s">
        <v>471</v>
      </c>
      <c r="E706" s="21">
        <v>0.98542125000000003</v>
      </c>
      <c r="F706" s="10"/>
      <c r="G706" s="14">
        <v>12500000</v>
      </c>
      <c r="H706" s="14">
        <v>12317765.59</v>
      </c>
      <c r="I706" s="14">
        <v>12500000</v>
      </c>
      <c r="J706" s="14">
        <v>12317765.59</v>
      </c>
      <c r="K706" s="12">
        <v>1381</v>
      </c>
      <c r="L706" s="10" t="s">
        <v>101</v>
      </c>
      <c r="M706" s="10" t="s">
        <v>102</v>
      </c>
      <c r="N706" s="124" t="s">
        <v>465</v>
      </c>
      <c r="O706" s="124" t="s">
        <v>465</v>
      </c>
      <c r="P706" s="21">
        <v>30</v>
      </c>
      <c r="Q706" s="10" t="s">
        <v>54</v>
      </c>
      <c r="R706" s="10" t="s">
        <v>28</v>
      </c>
      <c r="S706" s="10"/>
      <c r="T706" s="10"/>
      <c r="U706" s="10" t="s">
        <v>2981</v>
      </c>
      <c r="V706" s="10" t="s">
        <v>2981</v>
      </c>
      <c r="W706" s="50">
        <f>+J706/$W$2</f>
        <v>1.5075276959966211E-4</v>
      </c>
      <c r="AC706" s="47"/>
    </row>
    <row r="707" spans="1:29">
      <c r="A707" s="10" t="s">
        <v>359</v>
      </c>
      <c r="B707" s="10" t="s">
        <v>358</v>
      </c>
      <c r="C707" s="124">
        <v>46342</v>
      </c>
      <c r="D707" s="124" t="s">
        <v>471</v>
      </c>
      <c r="E707" s="21">
        <v>0.98542116999999996</v>
      </c>
      <c r="F707" s="10"/>
      <c r="G707" s="14">
        <v>5000000</v>
      </c>
      <c r="H707" s="14">
        <v>4927105.8600000003</v>
      </c>
      <c r="I707" s="14">
        <v>5000000</v>
      </c>
      <c r="J707" s="14">
        <v>4927105.8600000003</v>
      </c>
      <c r="K707" s="12">
        <v>1371</v>
      </c>
      <c r="L707" s="10" t="s">
        <v>101</v>
      </c>
      <c r="M707" s="10" t="s">
        <v>102</v>
      </c>
      <c r="N707" s="124" t="s">
        <v>413</v>
      </c>
      <c r="O707" s="124" t="s">
        <v>413</v>
      </c>
      <c r="P707" s="21">
        <v>30</v>
      </c>
      <c r="Q707" s="10" t="s">
        <v>54</v>
      </c>
      <c r="R707" s="10" t="s">
        <v>28</v>
      </c>
      <c r="S707" s="10"/>
      <c r="T707" s="10"/>
      <c r="U707" s="10" t="s">
        <v>2883</v>
      </c>
      <c r="V707" s="10" t="s">
        <v>2883</v>
      </c>
      <c r="W707" s="50">
        <f>+J707/$W$2</f>
        <v>6.0301103238134036E-5</v>
      </c>
    </row>
    <row r="708" spans="1:29">
      <c r="A708" s="10" t="s">
        <v>359</v>
      </c>
      <c r="B708" s="10" t="s">
        <v>358</v>
      </c>
      <c r="C708" s="124">
        <v>46342</v>
      </c>
      <c r="D708" s="124" t="s">
        <v>471</v>
      </c>
      <c r="E708" s="21">
        <v>0.98542123000000004</v>
      </c>
      <c r="F708" s="10"/>
      <c r="G708" s="14">
        <v>6000000</v>
      </c>
      <c r="H708" s="14">
        <v>5912527.3700000001</v>
      </c>
      <c r="I708" s="14">
        <v>6000000</v>
      </c>
      <c r="J708" s="14">
        <v>5912527.3700000001</v>
      </c>
      <c r="K708" s="12">
        <v>1358</v>
      </c>
      <c r="L708" s="10" t="s">
        <v>101</v>
      </c>
      <c r="M708" s="10" t="s">
        <v>102</v>
      </c>
      <c r="N708" s="124" t="s">
        <v>412</v>
      </c>
      <c r="O708" s="124" t="s">
        <v>412</v>
      </c>
      <c r="P708" s="21">
        <v>30</v>
      </c>
      <c r="Q708" s="10" t="s">
        <v>54</v>
      </c>
      <c r="R708" s="10" t="s">
        <v>28</v>
      </c>
      <c r="S708" s="10"/>
      <c r="T708" s="10"/>
      <c r="U708" s="10" t="s">
        <v>2764</v>
      </c>
      <c r="V708" s="10" t="s">
        <v>2764</v>
      </c>
      <c r="W708" s="50">
        <f>+J708/$W$2</f>
        <v>7.2361328022423115E-5</v>
      </c>
    </row>
    <row r="709" spans="1:29">
      <c r="A709" s="10" t="s">
        <v>359</v>
      </c>
      <c r="B709" s="10" t="s">
        <v>358</v>
      </c>
      <c r="C709" s="124">
        <v>46342</v>
      </c>
      <c r="D709" s="124" t="s">
        <v>471</v>
      </c>
      <c r="E709" s="21">
        <v>0.98542125999999997</v>
      </c>
      <c r="F709" s="10"/>
      <c r="G709" s="14">
        <v>5000000</v>
      </c>
      <c r="H709" s="14">
        <v>4927106.28</v>
      </c>
      <c r="I709" s="14">
        <v>5000000</v>
      </c>
      <c r="J709" s="14">
        <v>4927106.28</v>
      </c>
      <c r="K709" s="12">
        <v>1311</v>
      </c>
      <c r="L709" s="10" t="s">
        <v>101</v>
      </c>
      <c r="M709" s="10" t="s">
        <v>102</v>
      </c>
      <c r="N709" s="124" t="s">
        <v>452</v>
      </c>
      <c r="O709" s="124" t="s">
        <v>452</v>
      </c>
      <c r="P709" s="21">
        <v>30</v>
      </c>
      <c r="Q709" s="10" t="s">
        <v>54</v>
      </c>
      <c r="R709" s="10" t="s">
        <v>28</v>
      </c>
      <c r="S709" s="10"/>
      <c r="T709" s="10"/>
      <c r="U709" s="10" t="s">
        <v>2505</v>
      </c>
      <c r="V709" s="10" t="s">
        <v>2505</v>
      </c>
      <c r="W709" s="50">
        <f>+J709/$W$2</f>
        <v>6.030110837836526E-5</v>
      </c>
    </row>
    <row r="710" spans="1:29">
      <c r="A710" s="10" t="s">
        <v>363</v>
      </c>
      <c r="B710" s="10" t="s">
        <v>358</v>
      </c>
      <c r="C710" s="124">
        <v>46342</v>
      </c>
      <c r="D710" s="124" t="s">
        <v>471</v>
      </c>
      <c r="E710" s="21">
        <v>0.98160502999999999</v>
      </c>
      <c r="F710" s="10"/>
      <c r="G710" s="14">
        <v>42000000</v>
      </c>
      <c r="H710" s="14">
        <v>41227411.310000002</v>
      </c>
      <c r="I710" s="14">
        <v>42000000</v>
      </c>
      <c r="J710" s="14">
        <v>41227411.310000002</v>
      </c>
      <c r="K710" s="12">
        <v>163277</v>
      </c>
      <c r="L710" s="10" t="s">
        <v>101</v>
      </c>
      <c r="M710" s="10" t="s">
        <v>102</v>
      </c>
      <c r="N710" s="124" t="s">
        <v>365</v>
      </c>
      <c r="O710" s="124" t="s">
        <v>365</v>
      </c>
      <c r="P710" s="21">
        <v>38</v>
      </c>
      <c r="Q710" s="10" t="s">
        <v>54</v>
      </c>
      <c r="R710" s="10" t="s">
        <v>28</v>
      </c>
      <c r="S710" s="10"/>
      <c r="T710" s="10"/>
      <c r="U710" s="10" t="s">
        <v>1363</v>
      </c>
      <c r="V710" s="10" t="s">
        <v>1363</v>
      </c>
      <c r="W710" s="50">
        <f>+J710/$W$2</f>
        <v>5.0456768258787211E-4</v>
      </c>
    </row>
    <row r="711" spans="1:29">
      <c r="A711" s="10" t="s">
        <v>3170</v>
      </c>
      <c r="B711" s="10" t="s">
        <v>358</v>
      </c>
      <c r="C711" s="124">
        <v>46342</v>
      </c>
      <c r="D711" s="124" t="s">
        <v>471</v>
      </c>
      <c r="E711" s="21">
        <v>0.9854212</v>
      </c>
      <c r="F711" s="10"/>
      <c r="G711" s="14">
        <v>5320358.03</v>
      </c>
      <c r="H711" s="14">
        <v>5242793.62</v>
      </c>
      <c r="I711" s="14">
        <v>5320358.03</v>
      </c>
      <c r="J711" s="14">
        <v>5242793.62</v>
      </c>
      <c r="K711" s="12">
        <v>2921</v>
      </c>
      <c r="L711" s="10" t="s">
        <v>101</v>
      </c>
      <c r="M711" s="10" t="s">
        <v>102</v>
      </c>
      <c r="N711" s="124" t="s">
        <v>448</v>
      </c>
      <c r="O711" s="124" t="s">
        <v>448</v>
      </c>
      <c r="P711" s="21">
        <v>30</v>
      </c>
      <c r="Q711" s="10" t="s">
        <v>54</v>
      </c>
      <c r="R711" s="10" t="s">
        <v>28</v>
      </c>
      <c r="S711" s="10"/>
      <c r="T711" s="10"/>
      <c r="U711" s="10" t="s">
        <v>3147</v>
      </c>
      <c r="V711" s="10" t="s">
        <v>3147</v>
      </c>
      <c r="W711" s="50">
        <f>+J711/$W$2</f>
        <v>6.4164693903258344E-5</v>
      </c>
    </row>
    <row r="712" spans="1:29">
      <c r="A712" s="10" t="s">
        <v>271</v>
      </c>
      <c r="B712" s="10" t="s">
        <v>358</v>
      </c>
      <c r="C712" s="124">
        <v>46342</v>
      </c>
      <c r="D712" s="124" t="s">
        <v>471</v>
      </c>
      <c r="E712" s="21">
        <v>0.98542118000000001</v>
      </c>
      <c r="F712" s="10"/>
      <c r="G712" s="14">
        <v>40000000</v>
      </c>
      <c r="H712" s="14">
        <v>39416847.210000001</v>
      </c>
      <c r="I712" s="14">
        <v>40000000</v>
      </c>
      <c r="J712" s="14">
        <v>39416847.210000001</v>
      </c>
      <c r="K712" s="12">
        <v>4374</v>
      </c>
      <c r="L712" s="10" t="s">
        <v>101</v>
      </c>
      <c r="M712" s="10" t="s">
        <v>102</v>
      </c>
      <c r="N712" s="124" t="s">
        <v>310</v>
      </c>
      <c r="O712" s="124" t="s">
        <v>310</v>
      </c>
      <c r="P712" s="21">
        <v>30</v>
      </c>
      <c r="Q712" s="10" t="s">
        <v>54</v>
      </c>
      <c r="R712" s="10" t="s">
        <v>28</v>
      </c>
      <c r="S712" s="10"/>
      <c r="T712" s="10"/>
      <c r="U712" s="10" t="s">
        <v>1026</v>
      </c>
      <c r="V712" s="10" t="s">
        <v>1026</v>
      </c>
      <c r="W712" s="50">
        <f>+J712/$W$2</f>
        <v>4.824088299438254E-4</v>
      </c>
    </row>
    <row r="713" spans="1:29">
      <c r="A713" s="10" t="s">
        <v>271</v>
      </c>
      <c r="B713" s="10" t="s">
        <v>358</v>
      </c>
      <c r="C713" s="124">
        <v>46342</v>
      </c>
      <c r="D713" s="124" t="s">
        <v>471</v>
      </c>
      <c r="E713" s="21">
        <v>0.98734047999999996</v>
      </c>
      <c r="F713" s="10"/>
      <c r="G713" s="14">
        <v>4000000</v>
      </c>
      <c r="H713" s="14">
        <v>3949361.92</v>
      </c>
      <c r="I713" s="14">
        <v>4000000</v>
      </c>
      <c r="J713" s="14">
        <v>3949361.92</v>
      </c>
      <c r="K713" s="12">
        <v>90002236</v>
      </c>
      <c r="L713" s="10" t="s">
        <v>101</v>
      </c>
      <c r="M713" s="10" t="s">
        <v>102</v>
      </c>
      <c r="N713" s="124" t="s">
        <v>478</v>
      </c>
      <c r="O713" s="124" t="s">
        <v>478</v>
      </c>
      <c r="P713" s="21">
        <v>26</v>
      </c>
      <c r="Q713" s="10" t="s">
        <v>54</v>
      </c>
      <c r="R713" s="10" t="s">
        <v>28</v>
      </c>
      <c r="S713" s="10"/>
      <c r="T713" s="10"/>
      <c r="U713" s="10" t="s">
        <v>2117</v>
      </c>
      <c r="V713" s="10" t="s">
        <v>2117</v>
      </c>
      <c r="W713" s="50">
        <f>+J713/$W$2</f>
        <v>4.8334841513365665E-5</v>
      </c>
    </row>
    <row r="714" spans="1:29">
      <c r="A714" s="10" t="s">
        <v>359</v>
      </c>
      <c r="B714" s="10" t="s">
        <v>358</v>
      </c>
      <c r="C714" s="124">
        <v>46342</v>
      </c>
      <c r="D714" s="124" t="s">
        <v>471</v>
      </c>
      <c r="E714" s="21">
        <v>0.98446436000000004</v>
      </c>
      <c r="F714" s="10"/>
      <c r="G714" s="14">
        <v>3000000</v>
      </c>
      <c r="H714" s="14">
        <v>2953393.08</v>
      </c>
      <c r="I714" s="14">
        <v>3000000</v>
      </c>
      <c r="J714" s="14">
        <v>2953393.08</v>
      </c>
      <c r="K714" s="12">
        <v>1056</v>
      </c>
      <c r="L714" s="10" t="s">
        <v>101</v>
      </c>
      <c r="M714" s="10" t="s">
        <v>102</v>
      </c>
      <c r="N714" s="124" t="s">
        <v>373</v>
      </c>
      <c r="O714" s="124" t="s">
        <v>373</v>
      </c>
      <c r="P714" s="21">
        <v>32</v>
      </c>
      <c r="Q714" s="10" t="s">
        <v>54</v>
      </c>
      <c r="R714" s="10" t="s">
        <v>28</v>
      </c>
      <c r="S714" s="10"/>
      <c r="T714" s="10"/>
      <c r="U714" s="10" t="s">
        <v>1147</v>
      </c>
      <c r="V714" s="10" t="s">
        <v>1147</v>
      </c>
      <c r="W714" s="50">
        <f>+J714/$W$2</f>
        <v>3.6145531693502248E-5</v>
      </c>
    </row>
    <row r="715" spans="1:29">
      <c r="A715" s="10" t="s">
        <v>359</v>
      </c>
      <c r="B715" s="10" t="s">
        <v>358</v>
      </c>
      <c r="C715" s="124">
        <v>46342</v>
      </c>
      <c r="D715" s="124" t="s">
        <v>471</v>
      </c>
      <c r="E715" s="21">
        <v>0.98398666999999995</v>
      </c>
      <c r="F715" s="10"/>
      <c r="G715" s="14">
        <v>2500000</v>
      </c>
      <c r="H715" s="14">
        <v>2459966.67</v>
      </c>
      <c r="I715" s="14">
        <v>2500000</v>
      </c>
      <c r="J715" s="14">
        <v>2459966.67</v>
      </c>
      <c r="K715" s="12">
        <v>1019</v>
      </c>
      <c r="L715" s="10" t="s">
        <v>101</v>
      </c>
      <c r="M715" s="10" t="s">
        <v>102</v>
      </c>
      <c r="N715" s="124" t="s">
        <v>161</v>
      </c>
      <c r="O715" s="124" t="s">
        <v>161</v>
      </c>
      <c r="P715" s="21">
        <v>33</v>
      </c>
      <c r="Q715" s="10" t="s">
        <v>54</v>
      </c>
      <c r="R715" s="10" t="s">
        <v>28</v>
      </c>
      <c r="S715" s="10"/>
      <c r="T715" s="10"/>
      <c r="U715" s="10" t="s">
        <v>1072</v>
      </c>
      <c r="V715" s="10" t="s">
        <v>1072</v>
      </c>
      <c r="W715" s="50">
        <f>+J715/$W$2</f>
        <v>3.010666065332698E-5</v>
      </c>
    </row>
    <row r="716" spans="1:29">
      <c r="A716" s="10" t="s">
        <v>359</v>
      </c>
      <c r="B716" s="10" t="s">
        <v>358</v>
      </c>
      <c r="C716" s="124">
        <v>46342</v>
      </c>
      <c r="D716" s="124" t="s">
        <v>471</v>
      </c>
      <c r="E716" s="21">
        <v>0.98542116999999996</v>
      </c>
      <c r="F716" s="10"/>
      <c r="G716" s="14">
        <v>2500000</v>
      </c>
      <c r="H716" s="14">
        <v>2463552.92</v>
      </c>
      <c r="I716" s="14">
        <v>2500000</v>
      </c>
      <c r="J716" s="14">
        <v>2463552.92</v>
      </c>
      <c r="K716" s="12">
        <v>889</v>
      </c>
      <c r="L716" s="10" t="s">
        <v>101</v>
      </c>
      <c r="M716" s="10" t="s">
        <v>102</v>
      </c>
      <c r="N716" s="124" t="s">
        <v>409</v>
      </c>
      <c r="O716" s="124" t="s">
        <v>409</v>
      </c>
      <c r="P716" s="21">
        <v>30</v>
      </c>
      <c r="Q716" s="10" t="s">
        <v>54</v>
      </c>
      <c r="R716" s="10" t="s">
        <v>28</v>
      </c>
      <c r="S716" s="10"/>
      <c r="T716" s="10"/>
      <c r="U716" s="10" t="s">
        <v>902</v>
      </c>
      <c r="V716" s="10" t="s">
        <v>902</v>
      </c>
      <c r="W716" s="50">
        <f>+J716/$W$2</f>
        <v>3.0150551496680559E-5</v>
      </c>
    </row>
    <row r="717" spans="1:29">
      <c r="A717" s="10" t="s">
        <v>2486</v>
      </c>
      <c r="B717" s="10" t="s">
        <v>358</v>
      </c>
      <c r="C717" s="124">
        <v>46342</v>
      </c>
      <c r="D717" s="124" t="s">
        <v>471</v>
      </c>
      <c r="E717" s="21">
        <v>0.98398669999999999</v>
      </c>
      <c r="F717" s="10"/>
      <c r="G717" s="14">
        <v>60000000</v>
      </c>
      <c r="H717" s="14">
        <v>59039201.75</v>
      </c>
      <c r="I717" s="14">
        <v>60000000</v>
      </c>
      <c r="J717" s="14">
        <v>59039201.75</v>
      </c>
      <c r="K717" s="12">
        <v>20866</v>
      </c>
      <c r="L717" s="10" t="s">
        <v>101</v>
      </c>
      <c r="M717" s="10" t="s">
        <v>102</v>
      </c>
      <c r="N717" s="124" t="s">
        <v>577</v>
      </c>
      <c r="O717" s="124" t="s">
        <v>577</v>
      </c>
      <c r="P717" s="21">
        <v>33</v>
      </c>
      <c r="Q717" s="10" t="s">
        <v>54</v>
      </c>
      <c r="R717" s="10" t="s">
        <v>28</v>
      </c>
      <c r="S717" s="10"/>
      <c r="T717" s="10"/>
      <c r="U717" s="10" t="s">
        <v>2467</v>
      </c>
      <c r="V717" s="10" t="s">
        <v>2467</v>
      </c>
      <c r="W717" s="50">
        <f>+J717/$W$2</f>
        <v>7.2255987611838596E-4</v>
      </c>
    </row>
    <row r="718" spans="1:29">
      <c r="A718" s="10" t="s">
        <v>2541</v>
      </c>
      <c r="B718" s="10" t="s">
        <v>358</v>
      </c>
      <c r="C718" s="124">
        <v>46342</v>
      </c>
      <c r="D718" s="124" t="s">
        <v>471</v>
      </c>
      <c r="E718" s="21">
        <v>0.98542125999999997</v>
      </c>
      <c r="F718" s="10"/>
      <c r="G718" s="14">
        <v>5920000</v>
      </c>
      <c r="H718" s="14">
        <v>5833693.8499999996</v>
      </c>
      <c r="I718" s="14">
        <v>5920000</v>
      </c>
      <c r="J718" s="14">
        <v>5833693.8499999996</v>
      </c>
      <c r="K718" s="12">
        <v>1026</v>
      </c>
      <c r="L718" s="10" t="s">
        <v>101</v>
      </c>
      <c r="M718" s="10" t="s">
        <v>102</v>
      </c>
      <c r="N718" s="124" t="s">
        <v>452</v>
      </c>
      <c r="O718" s="124" t="s">
        <v>452</v>
      </c>
      <c r="P718" s="21">
        <v>30</v>
      </c>
      <c r="Q718" s="10" t="s">
        <v>54</v>
      </c>
      <c r="R718" s="10" t="s">
        <v>28</v>
      </c>
      <c r="S718" s="10"/>
      <c r="T718" s="10"/>
      <c r="U718" s="10" t="s">
        <v>2525</v>
      </c>
      <c r="V718" s="10" t="s">
        <v>2525</v>
      </c>
      <c r="W718" s="50">
        <f>+J718/$W$2</f>
        <v>7.1396512497200052E-5</v>
      </c>
      <c r="AC718" s="47"/>
    </row>
    <row r="719" spans="1:29">
      <c r="A719" s="10" t="s">
        <v>2016</v>
      </c>
      <c r="B719" s="10" t="s">
        <v>358</v>
      </c>
      <c r="C719" s="124">
        <v>46343</v>
      </c>
      <c r="D719" s="124" t="s">
        <v>471</v>
      </c>
      <c r="E719" s="21">
        <v>0.98512873999999995</v>
      </c>
      <c r="F719" s="10"/>
      <c r="G719" s="14">
        <v>4000000</v>
      </c>
      <c r="H719" s="14">
        <v>3940514.98</v>
      </c>
      <c r="I719" s="14">
        <v>4000000</v>
      </c>
      <c r="J719" s="14">
        <v>3940514.98</v>
      </c>
      <c r="K719" s="12">
        <v>90005007</v>
      </c>
      <c r="L719" s="10" t="s">
        <v>101</v>
      </c>
      <c r="M719" s="10" t="s">
        <v>102</v>
      </c>
      <c r="N719" s="124" t="s">
        <v>469</v>
      </c>
      <c r="O719" s="124" t="s">
        <v>469</v>
      </c>
      <c r="P719" s="21">
        <v>29</v>
      </c>
      <c r="Q719" s="10" t="s">
        <v>54</v>
      </c>
      <c r="R719" s="10" t="s">
        <v>28</v>
      </c>
      <c r="S719" s="10"/>
      <c r="T719" s="10"/>
      <c r="U719" s="10" t="s">
        <v>3928</v>
      </c>
      <c r="V719" s="10" t="s">
        <v>3928</v>
      </c>
      <c r="W719" s="50">
        <f>+J719/$W$2</f>
        <v>4.8226566948653642E-5</v>
      </c>
    </row>
    <row r="720" spans="1:29">
      <c r="A720" s="10" t="s">
        <v>375</v>
      </c>
      <c r="B720" s="10" t="s">
        <v>358</v>
      </c>
      <c r="C720" s="124">
        <v>46343</v>
      </c>
      <c r="D720" s="124" t="s">
        <v>471</v>
      </c>
      <c r="E720" s="21">
        <v>0.98160501</v>
      </c>
      <c r="F720" s="10"/>
      <c r="G720" s="14">
        <v>9450000</v>
      </c>
      <c r="H720" s="14">
        <v>9276167.3599999994</v>
      </c>
      <c r="I720" s="14">
        <v>9450000</v>
      </c>
      <c r="J720" s="14">
        <v>9276167.3599999994</v>
      </c>
      <c r="K720" s="12">
        <v>66335143</v>
      </c>
      <c r="L720" s="10" t="s">
        <v>101</v>
      </c>
      <c r="M720" s="10" t="s">
        <v>102</v>
      </c>
      <c r="N720" s="124" t="s">
        <v>274</v>
      </c>
      <c r="O720" s="124" t="s">
        <v>274</v>
      </c>
      <c r="P720" s="21">
        <v>36</v>
      </c>
      <c r="Q720" s="10" t="s">
        <v>54</v>
      </c>
      <c r="R720" s="10" t="s">
        <v>28</v>
      </c>
      <c r="S720" s="10"/>
      <c r="T720" s="10"/>
      <c r="U720" s="10" t="s">
        <v>457</v>
      </c>
      <c r="V720" s="10" t="s">
        <v>457</v>
      </c>
      <c r="W720" s="50">
        <f>+J720/$W$2</f>
        <v>1.1352772632118142E-4</v>
      </c>
    </row>
    <row r="721" spans="1:29">
      <c r="A721" s="10" t="s">
        <v>334</v>
      </c>
      <c r="B721" s="10" t="s">
        <v>358</v>
      </c>
      <c r="C721" s="124">
        <v>46343</v>
      </c>
      <c r="D721" s="124" t="s">
        <v>471</v>
      </c>
      <c r="E721" s="21">
        <v>0.9821069</v>
      </c>
      <c r="F721" s="10"/>
      <c r="G721" s="14">
        <v>3625698.78</v>
      </c>
      <c r="H721" s="14">
        <v>3560823.78</v>
      </c>
      <c r="I721" s="14">
        <v>3625698.78</v>
      </c>
      <c r="J721" s="14">
        <v>3560823.78</v>
      </c>
      <c r="K721" s="12">
        <v>3357</v>
      </c>
      <c r="L721" s="10" t="s">
        <v>101</v>
      </c>
      <c r="M721" s="10" t="s">
        <v>102</v>
      </c>
      <c r="N721" s="124" t="s">
        <v>162</v>
      </c>
      <c r="O721" s="124" t="s">
        <v>162</v>
      </c>
      <c r="P721" s="21">
        <v>35</v>
      </c>
      <c r="Q721" s="10" t="s">
        <v>54</v>
      </c>
      <c r="R721" s="10" t="s">
        <v>28</v>
      </c>
      <c r="S721" s="10"/>
      <c r="T721" s="10"/>
      <c r="U721" s="10" t="s">
        <v>1257</v>
      </c>
      <c r="V721" s="10" t="s">
        <v>1257</v>
      </c>
      <c r="W721" s="50">
        <f>+J721/$W$2</f>
        <v>4.3579660854005414E-5</v>
      </c>
    </row>
    <row r="722" spans="1:29">
      <c r="A722" s="10" t="s">
        <v>334</v>
      </c>
      <c r="B722" s="10" t="s">
        <v>358</v>
      </c>
      <c r="C722" s="124">
        <v>46343</v>
      </c>
      <c r="D722" s="124" t="s">
        <v>471</v>
      </c>
      <c r="E722" s="21">
        <v>0.98160506999999997</v>
      </c>
      <c r="F722" s="10"/>
      <c r="G722" s="14">
        <v>2874176.47</v>
      </c>
      <c r="H722" s="14">
        <v>2821306.2</v>
      </c>
      <c r="I722" s="14">
        <v>2874176.47</v>
      </c>
      <c r="J722" s="14">
        <v>2821306.2</v>
      </c>
      <c r="K722" s="12">
        <v>3427</v>
      </c>
      <c r="L722" s="10" t="s">
        <v>101</v>
      </c>
      <c r="M722" s="10" t="s">
        <v>102</v>
      </c>
      <c r="N722" s="124" t="s">
        <v>405</v>
      </c>
      <c r="O722" s="124" t="s">
        <v>405</v>
      </c>
      <c r="P722" s="21">
        <v>36</v>
      </c>
      <c r="Q722" s="10" t="s">
        <v>54</v>
      </c>
      <c r="R722" s="10" t="s">
        <v>28</v>
      </c>
      <c r="S722" s="10"/>
      <c r="T722" s="10"/>
      <c r="U722" s="10" t="s">
        <v>1510</v>
      </c>
      <c r="V722" s="10" t="s">
        <v>1510</v>
      </c>
      <c r="W722" s="50">
        <f>+J722/$W$2</f>
        <v>3.4528967159757275E-5</v>
      </c>
    </row>
    <row r="723" spans="1:29">
      <c r="A723" s="10" t="s">
        <v>2078</v>
      </c>
      <c r="B723" s="10" t="s">
        <v>358</v>
      </c>
      <c r="C723" s="124">
        <v>46343</v>
      </c>
      <c r="D723" s="124" t="s">
        <v>471</v>
      </c>
      <c r="E723" s="21">
        <v>0.98311207</v>
      </c>
      <c r="F723" s="10"/>
      <c r="G723" s="14">
        <v>3600000</v>
      </c>
      <c r="H723" s="14">
        <v>3539203.44</v>
      </c>
      <c r="I723" s="14">
        <v>3600000</v>
      </c>
      <c r="J723" s="14">
        <v>3539203.44</v>
      </c>
      <c r="K723" s="12">
        <v>13870046</v>
      </c>
      <c r="L723" s="10" t="s">
        <v>101</v>
      </c>
      <c r="M723" s="10" t="s">
        <v>102</v>
      </c>
      <c r="N723" s="124" t="s">
        <v>408</v>
      </c>
      <c r="O723" s="124" t="s">
        <v>408</v>
      </c>
      <c r="P723" s="21">
        <v>33</v>
      </c>
      <c r="Q723" s="10" t="s">
        <v>54</v>
      </c>
      <c r="R723" s="10" t="s">
        <v>28</v>
      </c>
      <c r="S723" s="10"/>
      <c r="T723" s="10"/>
      <c r="U723" s="10" t="s">
        <v>2043</v>
      </c>
      <c r="V723" s="10" t="s">
        <v>2043</v>
      </c>
      <c r="W723" s="50">
        <f>+J723/$W$2</f>
        <v>4.3315057171554073E-5</v>
      </c>
    </row>
    <row r="724" spans="1:29">
      <c r="A724" s="10" t="s">
        <v>1486</v>
      </c>
      <c r="B724" s="10" t="s">
        <v>358</v>
      </c>
      <c r="C724" s="124">
        <v>46343</v>
      </c>
      <c r="D724" s="124" t="s">
        <v>471</v>
      </c>
      <c r="E724" s="21">
        <v>0.98311210000000004</v>
      </c>
      <c r="F724" s="10"/>
      <c r="G724" s="14">
        <v>2169517.4900000002</v>
      </c>
      <c r="H724" s="14">
        <v>2132878.89</v>
      </c>
      <c r="I724" s="14">
        <v>2169517.4900000002</v>
      </c>
      <c r="J724" s="14">
        <v>2132878.89</v>
      </c>
      <c r="K724" s="12">
        <v>90000461</v>
      </c>
      <c r="L724" s="10" t="s">
        <v>101</v>
      </c>
      <c r="M724" s="10" t="s">
        <v>102</v>
      </c>
      <c r="N724" s="124" t="s">
        <v>478</v>
      </c>
      <c r="O724" s="124" t="s">
        <v>478</v>
      </c>
      <c r="P724" s="21">
        <v>33</v>
      </c>
      <c r="Q724" s="10" t="s">
        <v>54</v>
      </c>
      <c r="R724" s="10" t="s">
        <v>28</v>
      </c>
      <c r="S724" s="10"/>
      <c r="T724" s="10"/>
      <c r="U724" s="10" t="s">
        <v>2202</v>
      </c>
      <c r="V724" s="10" t="s">
        <v>2202</v>
      </c>
      <c r="W724" s="50">
        <f>+J724/$W$2</f>
        <v>2.6103549181776E-5</v>
      </c>
    </row>
    <row r="725" spans="1:29">
      <c r="A725" s="10" t="s">
        <v>1634</v>
      </c>
      <c r="B725" s="10" t="s">
        <v>358</v>
      </c>
      <c r="C725" s="124">
        <v>46343</v>
      </c>
      <c r="D725" s="124" t="s">
        <v>471</v>
      </c>
      <c r="E725" s="21">
        <v>0.98361544000000001</v>
      </c>
      <c r="F725" s="10"/>
      <c r="G725" s="14">
        <v>4000000</v>
      </c>
      <c r="H725" s="14">
        <v>3934461.75</v>
      </c>
      <c r="I725" s="14">
        <v>4000000</v>
      </c>
      <c r="J725" s="14">
        <v>3934461.75</v>
      </c>
      <c r="K725" s="12">
        <v>723</v>
      </c>
      <c r="L725" s="10" t="s">
        <v>101</v>
      </c>
      <c r="M725" s="10" t="s">
        <v>102</v>
      </c>
      <c r="N725" s="124" t="s">
        <v>447</v>
      </c>
      <c r="O725" s="124" t="s">
        <v>447</v>
      </c>
      <c r="P725" s="21">
        <v>32</v>
      </c>
      <c r="Q725" s="10" t="s">
        <v>54</v>
      </c>
      <c r="R725" s="10" t="s">
        <v>28</v>
      </c>
      <c r="S725" s="10"/>
      <c r="T725" s="10"/>
      <c r="U725" s="10" t="s">
        <v>1621</v>
      </c>
      <c r="V725" s="10" t="s">
        <v>1621</v>
      </c>
      <c r="W725" s="50">
        <f>+J725/$W$2</f>
        <v>4.8152483610985272E-5</v>
      </c>
    </row>
    <row r="726" spans="1:29">
      <c r="A726" s="10" t="s">
        <v>1744</v>
      </c>
      <c r="B726" s="10" t="s">
        <v>358</v>
      </c>
      <c r="C726" s="124">
        <v>46343</v>
      </c>
      <c r="D726" s="124" t="s">
        <v>471</v>
      </c>
      <c r="E726" s="21">
        <v>0.98311208999999999</v>
      </c>
      <c r="F726" s="10"/>
      <c r="G726" s="14">
        <v>5300000</v>
      </c>
      <c r="H726" s="14">
        <v>5210494.08</v>
      </c>
      <c r="I726" s="14">
        <v>5300000</v>
      </c>
      <c r="J726" s="14">
        <v>5210494.08</v>
      </c>
      <c r="K726" s="12">
        <v>8175682</v>
      </c>
      <c r="L726" s="10" t="s">
        <v>101</v>
      </c>
      <c r="M726" s="10" t="s">
        <v>102</v>
      </c>
      <c r="N726" s="124" t="s">
        <v>398</v>
      </c>
      <c r="O726" s="124" t="s">
        <v>398</v>
      </c>
      <c r="P726" s="21">
        <v>33</v>
      </c>
      <c r="Q726" s="10" t="s">
        <v>54</v>
      </c>
      <c r="R726" s="10" t="s">
        <v>28</v>
      </c>
      <c r="S726" s="10"/>
      <c r="T726" s="10"/>
      <c r="U726" s="10" t="s">
        <v>1639</v>
      </c>
      <c r="V726" s="10" t="s">
        <v>1639</v>
      </c>
      <c r="W726" s="50">
        <f>+J726/$W$2</f>
        <v>6.3769391275016407E-5</v>
      </c>
    </row>
    <row r="727" spans="1:29">
      <c r="A727" s="10" t="s">
        <v>819</v>
      </c>
      <c r="B727" s="10" t="s">
        <v>358</v>
      </c>
      <c r="C727" s="124">
        <v>46343</v>
      </c>
      <c r="D727" s="124" t="s">
        <v>471</v>
      </c>
      <c r="E727" s="21">
        <v>0.98311203999999996</v>
      </c>
      <c r="F727" s="10"/>
      <c r="G727" s="14">
        <v>25000000</v>
      </c>
      <c r="H727" s="14">
        <v>24577800.949999999</v>
      </c>
      <c r="I727" s="14">
        <v>25000000</v>
      </c>
      <c r="J727" s="14">
        <v>24577800.949999999</v>
      </c>
      <c r="K727" s="12">
        <v>68636415</v>
      </c>
      <c r="L727" s="10" t="s">
        <v>101</v>
      </c>
      <c r="M727" s="10" t="s">
        <v>102</v>
      </c>
      <c r="N727" s="124" t="s">
        <v>347</v>
      </c>
      <c r="O727" s="124" t="s">
        <v>347</v>
      </c>
      <c r="P727" s="21">
        <v>33</v>
      </c>
      <c r="Q727" s="10" t="s">
        <v>54</v>
      </c>
      <c r="R727" s="10" t="s">
        <v>28</v>
      </c>
      <c r="S727" s="10"/>
      <c r="T727" s="10"/>
      <c r="U727" s="10" t="s">
        <v>812</v>
      </c>
      <c r="V727" s="10" t="s">
        <v>812</v>
      </c>
      <c r="W727" s="50">
        <f>+J727/$W$2</f>
        <v>3.0079899936476273E-4</v>
      </c>
    </row>
    <row r="728" spans="1:29">
      <c r="A728" s="10" t="s">
        <v>453</v>
      </c>
      <c r="B728" s="10" t="s">
        <v>358</v>
      </c>
      <c r="C728" s="124">
        <v>46343</v>
      </c>
      <c r="D728" s="124" t="s">
        <v>471</v>
      </c>
      <c r="E728" s="21">
        <v>0.98715348000000003</v>
      </c>
      <c r="F728" s="10"/>
      <c r="G728" s="14">
        <v>32000000</v>
      </c>
      <c r="H728" s="14">
        <v>31588911.460000001</v>
      </c>
      <c r="I728" s="14">
        <v>32000000</v>
      </c>
      <c r="J728" s="14">
        <v>31588911.460000001</v>
      </c>
      <c r="K728" s="12">
        <v>5314</v>
      </c>
      <c r="L728" s="10" t="s">
        <v>101</v>
      </c>
      <c r="M728" s="10" t="s">
        <v>102</v>
      </c>
      <c r="N728" s="124" t="s">
        <v>313</v>
      </c>
      <c r="O728" s="124" t="s">
        <v>313</v>
      </c>
      <c r="P728" s="21">
        <v>25</v>
      </c>
      <c r="Q728" s="10" t="s">
        <v>54</v>
      </c>
      <c r="R728" s="10" t="s">
        <v>28</v>
      </c>
      <c r="S728" s="10"/>
      <c r="T728" s="10"/>
      <c r="U728" s="10" t="s">
        <v>735</v>
      </c>
      <c r="V728" s="10" t="s">
        <v>735</v>
      </c>
      <c r="W728" s="50">
        <f>+J728/$W$2</f>
        <v>3.8660549727456749E-4</v>
      </c>
    </row>
    <row r="729" spans="1:29">
      <c r="A729" s="10" t="s">
        <v>453</v>
      </c>
      <c r="B729" s="10" t="s">
        <v>358</v>
      </c>
      <c r="C729" s="124">
        <v>46343</v>
      </c>
      <c r="D729" s="124" t="s">
        <v>471</v>
      </c>
      <c r="E729" s="21">
        <v>0.98512862999999995</v>
      </c>
      <c r="F729" s="10"/>
      <c r="G729" s="14">
        <v>35000000</v>
      </c>
      <c r="H729" s="14">
        <v>34479502.18</v>
      </c>
      <c r="I729" s="14">
        <v>35000000</v>
      </c>
      <c r="J729" s="14">
        <v>34479502.18</v>
      </c>
      <c r="K729" s="12">
        <v>66</v>
      </c>
      <c r="L729" s="10" t="s">
        <v>101</v>
      </c>
      <c r="M729" s="10" t="s">
        <v>102</v>
      </c>
      <c r="N729" s="124" t="s">
        <v>268</v>
      </c>
      <c r="O729" s="124" t="s">
        <v>268</v>
      </c>
      <c r="P729" s="21">
        <v>29</v>
      </c>
      <c r="Q729" s="10" t="s">
        <v>54</v>
      </c>
      <c r="R729" s="10" t="s">
        <v>28</v>
      </c>
      <c r="S729" s="10"/>
      <c r="T729" s="10"/>
      <c r="U729" s="10" t="s">
        <v>530</v>
      </c>
      <c r="V729" s="10" t="s">
        <v>530</v>
      </c>
      <c r="W729" s="50">
        <f>+J729/$W$2</f>
        <v>4.2198241313119413E-4</v>
      </c>
    </row>
    <row r="730" spans="1:29">
      <c r="A730" s="10" t="s">
        <v>206</v>
      </c>
      <c r="B730" s="10" t="s">
        <v>358</v>
      </c>
      <c r="C730" s="124">
        <v>46343</v>
      </c>
      <c r="D730" s="124" t="s">
        <v>471</v>
      </c>
      <c r="E730" s="21">
        <v>0.98311205999999995</v>
      </c>
      <c r="F730" s="10"/>
      <c r="G730" s="14">
        <v>2170000</v>
      </c>
      <c r="H730" s="14">
        <v>2133353.1800000002</v>
      </c>
      <c r="I730" s="14">
        <v>2170000</v>
      </c>
      <c r="J730" s="14">
        <v>2133353.1800000002</v>
      </c>
      <c r="K730" s="12">
        <v>260732</v>
      </c>
      <c r="L730" s="10" t="s">
        <v>101</v>
      </c>
      <c r="M730" s="10" t="s">
        <v>102</v>
      </c>
      <c r="N730" s="124" t="s">
        <v>479</v>
      </c>
      <c r="O730" s="124" t="s">
        <v>479</v>
      </c>
      <c r="P730" s="21">
        <v>33</v>
      </c>
      <c r="Q730" s="10" t="s">
        <v>54</v>
      </c>
      <c r="R730" s="10" t="s">
        <v>28</v>
      </c>
      <c r="S730" s="10"/>
      <c r="T730" s="10"/>
      <c r="U730" s="10" t="s">
        <v>1202</v>
      </c>
      <c r="V730" s="10" t="s">
        <v>1202</v>
      </c>
      <c r="W730" s="50">
        <f>+J730/$W$2</f>
        <v>2.6109353849073083E-5</v>
      </c>
      <c r="AC730" s="47"/>
    </row>
    <row r="731" spans="1:29">
      <c r="A731" s="10" t="s">
        <v>141</v>
      </c>
      <c r="B731" s="10" t="s">
        <v>358</v>
      </c>
      <c r="C731" s="124">
        <v>46343</v>
      </c>
      <c r="D731" s="124" t="s">
        <v>471</v>
      </c>
      <c r="E731" s="21">
        <v>0.98210686999999997</v>
      </c>
      <c r="F731" s="10"/>
      <c r="G731" s="14">
        <v>25000000</v>
      </c>
      <c r="H731" s="14">
        <v>24552671.690000001</v>
      </c>
      <c r="I731" s="14">
        <v>25000000</v>
      </c>
      <c r="J731" s="14">
        <v>24552671.690000001</v>
      </c>
      <c r="K731" s="12">
        <v>123</v>
      </c>
      <c r="L731" s="10" t="s">
        <v>101</v>
      </c>
      <c r="M731" s="10" t="s">
        <v>102</v>
      </c>
      <c r="N731" s="124" t="s">
        <v>442</v>
      </c>
      <c r="O731" s="124" t="s">
        <v>442</v>
      </c>
      <c r="P731" s="21">
        <v>35</v>
      </c>
      <c r="Q731" s="10" t="s">
        <v>54</v>
      </c>
      <c r="R731" s="10" t="s">
        <v>28</v>
      </c>
      <c r="S731" s="10"/>
      <c r="T731" s="10"/>
      <c r="U731" s="10" t="s">
        <v>987</v>
      </c>
      <c r="V731" s="10" t="s">
        <v>987</v>
      </c>
      <c r="W731" s="50">
        <f>+J731/$W$2</f>
        <v>3.0049145125343437E-4</v>
      </c>
    </row>
    <row r="732" spans="1:29">
      <c r="A732" s="10" t="s">
        <v>983</v>
      </c>
      <c r="B732" s="10" t="s">
        <v>358</v>
      </c>
      <c r="C732" s="124">
        <v>46343</v>
      </c>
      <c r="D732" s="124" t="s">
        <v>471</v>
      </c>
      <c r="E732" s="21">
        <v>0.98563407000000003</v>
      </c>
      <c r="F732" s="10"/>
      <c r="G732" s="14">
        <v>150000000</v>
      </c>
      <c r="H732" s="14">
        <v>147845110.34999999</v>
      </c>
      <c r="I732" s="14">
        <v>150000000</v>
      </c>
      <c r="J732" s="14">
        <v>147845110.34999999</v>
      </c>
      <c r="K732" s="12">
        <v>79</v>
      </c>
      <c r="L732" s="10" t="s">
        <v>101</v>
      </c>
      <c r="M732" s="10" t="s">
        <v>102</v>
      </c>
      <c r="N732" s="124" t="s">
        <v>389</v>
      </c>
      <c r="O732" s="124" t="s">
        <v>389</v>
      </c>
      <c r="P732" s="21">
        <v>28</v>
      </c>
      <c r="Q732" s="10" t="s">
        <v>54</v>
      </c>
      <c r="R732" s="10" t="s">
        <v>28</v>
      </c>
      <c r="S732" s="10"/>
      <c r="T732" s="10"/>
      <c r="U732" s="10" t="s">
        <v>978</v>
      </c>
      <c r="V732" s="10" t="s">
        <v>978</v>
      </c>
      <c r="W732" s="50">
        <f>+J732/$W$2</f>
        <v>1.8094239327889473E-3</v>
      </c>
    </row>
    <row r="733" spans="1:29">
      <c r="A733" s="10" t="s">
        <v>1127</v>
      </c>
      <c r="B733" s="10" t="s">
        <v>358</v>
      </c>
      <c r="C733" s="124">
        <v>46343</v>
      </c>
      <c r="D733" s="124" t="s">
        <v>471</v>
      </c>
      <c r="E733" s="21">
        <v>0.98210688000000002</v>
      </c>
      <c r="F733" s="10"/>
      <c r="G733" s="14">
        <v>3087576.27</v>
      </c>
      <c r="H733" s="14">
        <v>3032329.89</v>
      </c>
      <c r="I733" s="14">
        <v>3087576.27</v>
      </c>
      <c r="J733" s="14">
        <v>3032329.89</v>
      </c>
      <c r="K733" s="12">
        <v>1507</v>
      </c>
      <c r="L733" s="10" t="s">
        <v>101</v>
      </c>
      <c r="M733" s="10" t="s">
        <v>102</v>
      </c>
      <c r="N733" s="124" t="s">
        <v>399</v>
      </c>
      <c r="O733" s="124" t="s">
        <v>399</v>
      </c>
      <c r="P733" s="21">
        <v>35</v>
      </c>
      <c r="Q733" s="10" t="s">
        <v>54</v>
      </c>
      <c r="R733" s="10" t="s">
        <v>28</v>
      </c>
      <c r="S733" s="10"/>
      <c r="T733" s="10"/>
      <c r="U733" s="10" t="s">
        <v>1122</v>
      </c>
      <c r="V733" s="10" t="s">
        <v>1122</v>
      </c>
      <c r="W733" s="50">
        <f>+J733/$W$2</f>
        <v>3.7111611348445762E-5</v>
      </c>
    </row>
    <row r="734" spans="1:29">
      <c r="A734" s="10" t="s">
        <v>1395</v>
      </c>
      <c r="B734" s="10" t="s">
        <v>358</v>
      </c>
      <c r="C734" s="124">
        <v>46343</v>
      </c>
      <c r="D734" s="124" t="s">
        <v>471</v>
      </c>
      <c r="E734" s="21">
        <v>0.98210686000000003</v>
      </c>
      <c r="F734" s="10"/>
      <c r="G734" s="14">
        <v>35000000</v>
      </c>
      <c r="H734" s="14">
        <v>34373740.090000004</v>
      </c>
      <c r="I734" s="14">
        <v>35000000</v>
      </c>
      <c r="J734" s="14">
        <v>34373740.090000004</v>
      </c>
      <c r="K734" s="12">
        <v>324</v>
      </c>
      <c r="L734" s="10" t="s">
        <v>101</v>
      </c>
      <c r="M734" s="10" t="s">
        <v>102</v>
      </c>
      <c r="N734" s="124" t="s">
        <v>396</v>
      </c>
      <c r="O734" s="124" t="s">
        <v>396</v>
      </c>
      <c r="P734" s="21">
        <v>35</v>
      </c>
      <c r="Q734" s="10" t="s">
        <v>54</v>
      </c>
      <c r="R734" s="10" t="s">
        <v>28</v>
      </c>
      <c r="S734" s="10"/>
      <c r="T734" s="10"/>
      <c r="U734" s="10" t="s">
        <v>1390</v>
      </c>
      <c r="V734" s="10" t="s">
        <v>1390</v>
      </c>
      <c r="W734" s="50">
        <f>+J734/$W$2</f>
        <v>4.2068802837694192E-4</v>
      </c>
    </row>
    <row r="735" spans="1:29">
      <c r="A735" s="10" t="s">
        <v>3166</v>
      </c>
      <c r="B735" s="10" t="s">
        <v>358</v>
      </c>
      <c r="C735" s="124">
        <v>46343</v>
      </c>
      <c r="D735" s="124" t="s">
        <v>471</v>
      </c>
      <c r="E735" s="21">
        <v>0.98462384000000003</v>
      </c>
      <c r="F735" s="10"/>
      <c r="G735" s="14">
        <v>4175312.5</v>
      </c>
      <c r="H735" s="14">
        <v>4111112.23</v>
      </c>
      <c r="I735" s="14">
        <v>4175312.5</v>
      </c>
      <c r="J735" s="14">
        <v>4111112.23</v>
      </c>
      <c r="K735" s="12">
        <v>40952707</v>
      </c>
      <c r="L735" s="10" t="s">
        <v>101</v>
      </c>
      <c r="M735" s="10" t="s">
        <v>102</v>
      </c>
      <c r="N735" s="124" t="s">
        <v>448</v>
      </c>
      <c r="O735" s="124" t="s">
        <v>448</v>
      </c>
      <c r="P735" s="21">
        <v>30</v>
      </c>
      <c r="Q735" s="10" t="s">
        <v>54</v>
      </c>
      <c r="R735" s="10" t="s">
        <v>28</v>
      </c>
      <c r="S735" s="10"/>
      <c r="T735" s="10"/>
      <c r="U735" s="10" t="s">
        <v>3121</v>
      </c>
      <c r="V735" s="10" t="s">
        <v>3121</v>
      </c>
      <c r="W735" s="50">
        <f>+J735/$W$2</f>
        <v>5.031444625888055E-5</v>
      </c>
    </row>
    <row r="736" spans="1:29">
      <c r="A736" s="10" t="s">
        <v>832</v>
      </c>
      <c r="B736" s="10" t="s">
        <v>358</v>
      </c>
      <c r="C736" s="124">
        <v>46343</v>
      </c>
      <c r="D736" s="124" t="s">
        <v>471</v>
      </c>
      <c r="E736" s="21">
        <v>0.98210679000000001</v>
      </c>
      <c r="F736" s="10"/>
      <c r="G736" s="14">
        <v>29431.84</v>
      </c>
      <c r="H736" s="14">
        <v>28905.21</v>
      </c>
      <c r="I736" s="14">
        <v>29431.84</v>
      </c>
      <c r="J736" s="14">
        <v>28905.21</v>
      </c>
      <c r="K736" s="12">
        <v>30099837</v>
      </c>
      <c r="L736" s="10" t="s">
        <v>101</v>
      </c>
      <c r="M736" s="10" t="s">
        <v>102</v>
      </c>
      <c r="N736" s="124" t="s">
        <v>395</v>
      </c>
      <c r="O736" s="124" t="s">
        <v>395</v>
      </c>
      <c r="P736" s="21">
        <v>35</v>
      </c>
      <c r="Q736" s="10" t="s">
        <v>54</v>
      </c>
      <c r="R736" s="10" t="s">
        <v>28</v>
      </c>
      <c r="S736" s="10"/>
      <c r="T736" s="10"/>
      <c r="U736" s="10" t="s">
        <v>1785</v>
      </c>
      <c r="V736" s="10" t="s">
        <v>1785</v>
      </c>
      <c r="W736" s="50">
        <f>+J736/$W$2</f>
        <v>3.5376062578244346E-7</v>
      </c>
    </row>
    <row r="737" spans="1:29">
      <c r="A737" s="10" t="s">
        <v>1765</v>
      </c>
      <c r="B737" s="10" t="s">
        <v>358</v>
      </c>
      <c r="C737" s="124">
        <v>46343</v>
      </c>
      <c r="D737" s="124" t="s">
        <v>471</v>
      </c>
      <c r="E737" s="21">
        <v>0.98311208000000005</v>
      </c>
      <c r="F737" s="10"/>
      <c r="G737" s="14">
        <v>686128.26</v>
      </c>
      <c r="H737" s="14">
        <v>674540.98</v>
      </c>
      <c r="I737" s="14">
        <v>686128.26</v>
      </c>
      <c r="J737" s="14">
        <v>674540.98</v>
      </c>
      <c r="K737" s="12">
        <v>19385</v>
      </c>
      <c r="L737" s="10" t="s">
        <v>101</v>
      </c>
      <c r="M737" s="10" t="s">
        <v>102</v>
      </c>
      <c r="N737" s="124" t="s">
        <v>398</v>
      </c>
      <c r="O737" s="124" t="s">
        <v>398</v>
      </c>
      <c r="P737" s="21">
        <v>33</v>
      </c>
      <c r="Q737" s="10" t="s">
        <v>54</v>
      </c>
      <c r="R737" s="10" t="s">
        <v>28</v>
      </c>
      <c r="S737" s="10"/>
      <c r="T737" s="10"/>
      <c r="U737" s="10" t="s">
        <v>1658</v>
      </c>
      <c r="V737" s="10" t="s">
        <v>1658</v>
      </c>
      <c r="W737" s="50">
        <f>+J737/$W$2</f>
        <v>8.2554681042172905E-6</v>
      </c>
    </row>
    <row r="738" spans="1:29">
      <c r="A738" s="10" t="s">
        <v>1765</v>
      </c>
      <c r="B738" s="10" t="s">
        <v>358</v>
      </c>
      <c r="C738" s="124">
        <v>46343</v>
      </c>
      <c r="D738" s="124" t="s">
        <v>471</v>
      </c>
      <c r="E738" s="21">
        <v>0.98311210000000004</v>
      </c>
      <c r="F738" s="10"/>
      <c r="G738" s="14">
        <v>685128.94</v>
      </c>
      <c r="H738" s="14">
        <v>673558.55</v>
      </c>
      <c r="I738" s="14">
        <v>685128.94</v>
      </c>
      <c r="J738" s="14">
        <v>673558.55</v>
      </c>
      <c r="K738" s="12">
        <v>19401</v>
      </c>
      <c r="L738" s="10" t="s">
        <v>101</v>
      </c>
      <c r="M738" s="10" t="s">
        <v>102</v>
      </c>
      <c r="N738" s="124" t="s">
        <v>398</v>
      </c>
      <c r="O738" s="124" t="s">
        <v>398</v>
      </c>
      <c r="P738" s="21">
        <v>33</v>
      </c>
      <c r="Q738" s="10" t="s">
        <v>54</v>
      </c>
      <c r="R738" s="10" t="s">
        <v>28</v>
      </c>
      <c r="S738" s="10"/>
      <c r="T738" s="10"/>
      <c r="U738" s="10" t="s">
        <v>1659</v>
      </c>
      <c r="V738" s="10" t="s">
        <v>1659</v>
      </c>
      <c r="W738" s="50">
        <f>+J738/$W$2</f>
        <v>8.2434444914641777E-6</v>
      </c>
    </row>
    <row r="739" spans="1:29">
      <c r="A739" s="10" t="s">
        <v>582</v>
      </c>
      <c r="B739" s="10" t="s">
        <v>358</v>
      </c>
      <c r="C739" s="124">
        <v>46343</v>
      </c>
      <c r="D739" s="124" t="s">
        <v>471</v>
      </c>
      <c r="E739" s="21">
        <v>0.98361542000000002</v>
      </c>
      <c r="F739" s="10"/>
      <c r="G739" s="14">
        <v>15000000</v>
      </c>
      <c r="H739" s="14">
        <v>14754231.32</v>
      </c>
      <c r="I739" s="14">
        <v>15000000</v>
      </c>
      <c r="J739" s="14">
        <v>14754231.32</v>
      </c>
      <c r="K739" s="12">
        <v>67449055</v>
      </c>
      <c r="L739" s="10" t="s">
        <v>101</v>
      </c>
      <c r="M739" s="10" t="s">
        <v>102</v>
      </c>
      <c r="N739" s="124" t="s">
        <v>288</v>
      </c>
      <c r="O739" s="124" t="s">
        <v>288</v>
      </c>
      <c r="P739" s="21">
        <v>32</v>
      </c>
      <c r="Q739" s="10" t="s">
        <v>54</v>
      </c>
      <c r="R739" s="10" t="s">
        <v>28</v>
      </c>
      <c r="S739" s="10"/>
      <c r="T739" s="10"/>
      <c r="U739" s="10" t="s">
        <v>580</v>
      </c>
      <c r="V739" s="10" t="s">
        <v>580</v>
      </c>
      <c r="W739" s="50">
        <f>+J739/$W$2</f>
        <v>1.8057181057332317E-4</v>
      </c>
    </row>
    <row r="740" spans="1:29">
      <c r="A740" s="10" t="s">
        <v>2437</v>
      </c>
      <c r="B740" s="10" t="s">
        <v>358</v>
      </c>
      <c r="C740" s="124">
        <v>46343</v>
      </c>
      <c r="D740" s="124" t="s">
        <v>471</v>
      </c>
      <c r="E740" s="21">
        <v>0.98462373999999997</v>
      </c>
      <c r="F740" s="10"/>
      <c r="G740" s="14">
        <v>2500000</v>
      </c>
      <c r="H740" s="14">
        <v>2461559.35</v>
      </c>
      <c r="I740" s="14">
        <v>2500000</v>
      </c>
      <c r="J740" s="14">
        <v>2461559.35</v>
      </c>
      <c r="K740" s="12">
        <v>362</v>
      </c>
      <c r="L740" s="10" t="s">
        <v>101</v>
      </c>
      <c r="M740" s="10" t="s">
        <v>102</v>
      </c>
      <c r="N740" s="124" t="s">
        <v>477</v>
      </c>
      <c r="O740" s="124" t="s">
        <v>477</v>
      </c>
      <c r="P740" s="21">
        <v>30</v>
      </c>
      <c r="Q740" s="10" t="s">
        <v>54</v>
      </c>
      <c r="R740" s="10" t="s">
        <v>28</v>
      </c>
      <c r="S740" s="10"/>
      <c r="T740" s="10"/>
      <c r="U740" s="10" t="s">
        <v>2418</v>
      </c>
      <c r="V740" s="10" t="s">
        <v>2418</v>
      </c>
      <c r="W740" s="50">
        <f>+J740/$W$2</f>
        <v>3.012615289965459E-5</v>
      </c>
    </row>
    <row r="741" spans="1:29">
      <c r="A741" s="10" t="s">
        <v>164</v>
      </c>
      <c r="B741" s="10" t="s">
        <v>358</v>
      </c>
      <c r="C741" s="124">
        <v>46343</v>
      </c>
      <c r="D741" s="124" t="s">
        <v>471</v>
      </c>
      <c r="E741" s="21">
        <v>0.98060290000000006</v>
      </c>
      <c r="F741" s="10"/>
      <c r="G741" s="14">
        <v>162500000</v>
      </c>
      <c r="H741" s="14">
        <v>159347972.03</v>
      </c>
      <c r="I741" s="14">
        <v>162500000</v>
      </c>
      <c r="J741" s="14">
        <v>159347972.03</v>
      </c>
      <c r="K741" s="12">
        <v>70418882</v>
      </c>
      <c r="L741" s="10" t="s">
        <v>101</v>
      </c>
      <c r="M741" s="10" t="s">
        <v>102</v>
      </c>
      <c r="N741" s="124" t="s">
        <v>412</v>
      </c>
      <c r="O741" s="124" t="s">
        <v>412</v>
      </c>
      <c r="P741" s="21">
        <v>38</v>
      </c>
      <c r="Q741" s="10" t="s">
        <v>54</v>
      </c>
      <c r="R741" s="10" t="s">
        <v>28</v>
      </c>
      <c r="S741" s="10"/>
      <c r="T741" s="10"/>
      <c r="U741" s="10" t="s">
        <v>2814</v>
      </c>
      <c r="V741" s="10" t="s">
        <v>2814</v>
      </c>
      <c r="W741" s="50">
        <f>+J741/$W$2</f>
        <v>1.9502033821064127E-3</v>
      </c>
    </row>
    <row r="742" spans="1:29">
      <c r="A742" s="10" t="s">
        <v>1537</v>
      </c>
      <c r="B742" s="10" t="s">
        <v>358</v>
      </c>
      <c r="C742" s="124">
        <v>46343</v>
      </c>
      <c r="D742" s="124" t="s">
        <v>471</v>
      </c>
      <c r="E742" s="21">
        <v>0.98462380000000005</v>
      </c>
      <c r="F742" s="10"/>
      <c r="G742" s="14">
        <v>50000000</v>
      </c>
      <c r="H742" s="14">
        <v>49231189.829999998</v>
      </c>
      <c r="I742" s="14">
        <v>50000000</v>
      </c>
      <c r="J742" s="14">
        <v>49231189.829999998</v>
      </c>
      <c r="K742" s="12">
        <v>16836871</v>
      </c>
      <c r="L742" s="10" t="s">
        <v>101</v>
      </c>
      <c r="M742" s="10" t="s">
        <v>102</v>
      </c>
      <c r="N742" s="124" t="s">
        <v>446</v>
      </c>
      <c r="O742" s="124" t="s">
        <v>446</v>
      </c>
      <c r="P742" s="21">
        <v>30</v>
      </c>
      <c r="Q742" s="10" t="s">
        <v>54</v>
      </c>
      <c r="R742" s="10" t="s">
        <v>28</v>
      </c>
      <c r="S742" s="10"/>
      <c r="T742" s="10"/>
      <c r="U742" s="10" t="s">
        <v>3118</v>
      </c>
      <c r="V742" s="10" t="s">
        <v>3118</v>
      </c>
      <c r="W742" s="50">
        <f>+J742/$W$2</f>
        <v>6.0252309262845926E-4</v>
      </c>
    </row>
    <row r="743" spans="1:29">
      <c r="A743" s="10" t="s">
        <v>432</v>
      </c>
      <c r="B743" s="10" t="s">
        <v>125</v>
      </c>
      <c r="C743" s="124">
        <v>46343</v>
      </c>
      <c r="D743" s="124" t="s">
        <v>471</v>
      </c>
      <c r="E743" s="21">
        <v>0.99585409000000003</v>
      </c>
      <c r="F743" s="10" t="s">
        <v>4162</v>
      </c>
      <c r="G743" s="14">
        <v>18230</v>
      </c>
      <c r="H743" s="14">
        <v>18154.419999999998</v>
      </c>
      <c r="I743" s="14">
        <v>28066780.77</v>
      </c>
      <c r="J743" s="14">
        <v>27950418.329999998</v>
      </c>
      <c r="K743" s="12">
        <v>146446</v>
      </c>
      <c r="L743" s="10" t="s">
        <v>101</v>
      </c>
      <c r="M743" s="10" t="s">
        <v>102</v>
      </c>
      <c r="N743" s="124" t="s">
        <v>294</v>
      </c>
      <c r="O743" s="124" t="s">
        <v>294</v>
      </c>
      <c r="P743" s="21">
        <v>8</v>
      </c>
      <c r="Q743" s="10" t="s">
        <v>54</v>
      </c>
      <c r="R743" s="10" t="s">
        <v>28</v>
      </c>
      <c r="S743" s="10"/>
      <c r="T743" s="10"/>
      <c r="U743" s="10" t="s">
        <v>414</v>
      </c>
      <c r="V743" s="10" t="s">
        <v>414</v>
      </c>
      <c r="W743" s="50">
        <f>+J743/$W$2</f>
        <v>3.4207526875957233E-4</v>
      </c>
      <c r="AC743"/>
    </row>
    <row r="744" spans="1:29">
      <c r="A744" s="10" t="s">
        <v>433</v>
      </c>
      <c r="B744" s="10" t="s">
        <v>358</v>
      </c>
      <c r="C744" s="124">
        <v>46343</v>
      </c>
      <c r="D744" s="124" t="s">
        <v>471</v>
      </c>
      <c r="E744" s="21">
        <v>0.98260921999999995</v>
      </c>
      <c r="F744" s="10"/>
      <c r="G744" s="14">
        <v>10000000</v>
      </c>
      <c r="H744" s="14">
        <v>9826092.1699999999</v>
      </c>
      <c r="I744" s="14">
        <v>10000000</v>
      </c>
      <c r="J744" s="14">
        <v>9826092.1699999999</v>
      </c>
      <c r="K744" s="12">
        <v>14284515</v>
      </c>
      <c r="L744" s="10" t="s">
        <v>101</v>
      </c>
      <c r="M744" s="10" t="s">
        <v>102</v>
      </c>
      <c r="N744" s="124" t="s">
        <v>399</v>
      </c>
      <c r="O744" s="124" t="s">
        <v>399</v>
      </c>
      <c r="P744" s="21">
        <v>34</v>
      </c>
      <c r="Q744" s="10" t="s">
        <v>54</v>
      </c>
      <c r="R744" s="10" t="s">
        <v>28</v>
      </c>
      <c r="S744" s="10"/>
      <c r="T744" s="10"/>
      <c r="U744" s="10" t="s">
        <v>1101</v>
      </c>
      <c r="V744" s="10" t="s">
        <v>1101</v>
      </c>
      <c r="W744" s="50">
        <f>+J744/$W$2</f>
        <v>1.2025806126491273E-4</v>
      </c>
      <c r="AC744" s="47"/>
    </row>
    <row r="745" spans="1:29">
      <c r="A745" s="10" t="s">
        <v>217</v>
      </c>
      <c r="B745" s="10" t="s">
        <v>358</v>
      </c>
      <c r="C745" s="124">
        <v>46343</v>
      </c>
      <c r="D745" s="124" t="s">
        <v>471</v>
      </c>
      <c r="E745" s="21">
        <v>0.98361538999999998</v>
      </c>
      <c r="F745" s="10"/>
      <c r="G745" s="14">
        <v>50000000</v>
      </c>
      <c r="H745" s="14">
        <v>49180769.719999999</v>
      </c>
      <c r="I745" s="14">
        <v>50000000</v>
      </c>
      <c r="J745" s="14">
        <v>49180769.719999999</v>
      </c>
      <c r="K745" s="12">
        <v>5360</v>
      </c>
      <c r="L745" s="10" t="s">
        <v>101</v>
      </c>
      <c r="M745" s="10" t="s">
        <v>102</v>
      </c>
      <c r="N745" s="124" t="s">
        <v>395</v>
      </c>
      <c r="O745" s="124" t="s">
        <v>395</v>
      </c>
      <c r="P745" s="21">
        <v>32</v>
      </c>
      <c r="Q745" s="10" t="s">
        <v>54</v>
      </c>
      <c r="R745" s="10" t="s">
        <v>28</v>
      </c>
      <c r="S745" s="10"/>
      <c r="T745" s="10"/>
      <c r="U745" s="10" t="s">
        <v>1807</v>
      </c>
      <c r="V745" s="10" t="s">
        <v>1807</v>
      </c>
      <c r="W745" s="50">
        <f>+J745/$W$2</f>
        <v>6.0190601876303435E-4</v>
      </c>
    </row>
    <row r="746" spans="1:29">
      <c r="A746" s="10" t="s">
        <v>454</v>
      </c>
      <c r="B746" s="10" t="s">
        <v>358</v>
      </c>
      <c r="C746" s="124">
        <v>46343</v>
      </c>
      <c r="D746" s="124" t="s">
        <v>471</v>
      </c>
      <c r="E746" s="21">
        <v>0.97960283000000004</v>
      </c>
      <c r="F746" s="10"/>
      <c r="G746" s="14">
        <v>197500000</v>
      </c>
      <c r="H746" s="14">
        <v>193471558.56999999</v>
      </c>
      <c r="I746" s="14">
        <v>197500000</v>
      </c>
      <c r="J746" s="14">
        <v>193471558.56999999</v>
      </c>
      <c r="K746" s="12">
        <v>70408191</v>
      </c>
      <c r="L746" s="10" t="s">
        <v>101</v>
      </c>
      <c r="M746" s="10" t="s">
        <v>102</v>
      </c>
      <c r="N746" s="124" t="s">
        <v>412</v>
      </c>
      <c r="O746" s="124" t="s">
        <v>412</v>
      </c>
      <c r="P746" s="21">
        <v>40</v>
      </c>
      <c r="Q746" s="10" t="s">
        <v>54</v>
      </c>
      <c r="R746" s="10" t="s">
        <v>28</v>
      </c>
      <c r="S746" s="10"/>
      <c r="T746" s="10"/>
      <c r="U746" s="10" t="s">
        <v>2816</v>
      </c>
      <c r="V746" s="10" t="s">
        <v>2816</v>
      </c>
      <c r="W746" s="50">
        <f>+J746/$W$2</f>
        <v>2.3678298697995225E-3</v>
      </c>
    </row>
    <row r="747" spans="1:29">
      <c r="A747" s="10" t="s">
        <v>2211</v>
      </c>
      <c r="B747" s="10" t="s">
        <v>358</v>
      </c>
      <c r="C747" s="124">
        <v>46343</v>
      </c>
      <c r="D747" s="124" t="s">
        <v>471</v>
      </c>
      <c r="E747" s="21">
        <v>0.98311210000000004</v>
      </c>
      <c r="F747" s="10"/>
      <c r="G747" s="14">
        <v>2500000</v>
      </c>
      <c r="H747" s="14">
        <v>2457780.25</v>
      </c>
      <c r="I747" s="14">
        <v>2500000</v>
      </c>
      <c r="J747" s="14">
        <v>2457780.25</v>
      </c>
      <c r="K747" s="12">
        <v>98</v>
      </c>
      <c r="L747" s="10" t="s">
        <v>101</v>
      </c>
      <c r="M747" s="10" t="s">
        <v>102</v>
      </c>
      <c r="N747" s="124" t="s">
        <v>478</v>
      </c>
      <c r="O747" s="124" t="s">
        <v>478</v>
      </c>
      <c r="P747" s="21">
        <v>33</v>
      </c>
      <c r="Q747" s="10" t="s">
        <v>54</v>
      </c>
      <c r="R747" s="10" t="s">
        <v>28</v>
      </c>
      <c r="S747" s="10"/>
      <c r="T747" s="10"/>
      <c r="U747" s="10" t="s">
        <v>2179</v>
      </c>
      <c r="V747" s="10" t="s">
        <v>2179</v>
      </c>
      <c r="W747" s="50">
        <f>+J747/$W$2</f>
        <v>3.0079901833466365E-5</v>
      </c>
    </row>
    <row r="748" spans="1:29">
      <c r="A748" s="10" t="s">
        <v>359</v>
      </c>
      <c r="B748" s="10" t="s">
        <v>358</v>
      </c>
      <c r="C748" s="124">
        <v>46343</v>
      </c>
      <c r="D748" s="124" t="s">
        <v>471</v>
      </c>
      <c r="E748" s="21">
        <v>0.98462380000000005</v>
      </c>
      <c r="F748" s="10"/>
      <c r="G748" s="14">
        <v>3500000</v>
      </c>
      <c r="H748" s="14">
        <v>3446183.29</v>
      </c>
      <c r="I748" s="14">
        <v>3500000</v>
      </c>
      <c r="J748" s="14">
        <v>3446183.29</v>
      </c>
      <c r="K748" s="12">
        <v>1387</v>
      </c>
      <c r="L748" s="10" t="s">
        <v>101</v>
      </c>
      <c r="M748" s="10" t="s">
        <v>102</v>
      </c>
      <c r="N748" s="124" t="s">
        <v>446</v>
      </c>
      <c r="O748" s="124" t="s">
        <v>446</v>
      </c>
      <c r="P748" s="21">
        <v>30</v>
      </c>
      <c r="Q748" s="10" t="s">
        <v>54</v>
      </c>
      <c r="R748" s="10" t="s">
        <v>28</v>
      </c>
      <c r="S748" s="10"/>
      <c r="T748" s="10"/>
      <c r="U748" s="10" t="s">
        <v>3117</v>
      </c>
      <c r="V748" s="10" t="s">
        <v>3117</v>
      </c>
      <c r="W748" s="50">
        <f>+J748/$W$2</f>
        <v>4.2176616507245575E-5</v>
      </c>
    </row>
    <row r="749" spans="1:29">
      <c r="A749" s="10" t="s">
        <v>359</v>
      </c>
      <c r="B749" s="10" t="s">
        <v>358</v>
      </c>
      <c r="C749" s="124">
        <v>46343</v>
      </c>
      <c r="D749" s="124" t="s">
        <v>471</v>
      </c>
      <c r="E749" s="21">
        <v>0.98462384999999997</v>
      </c>
      <c r="F749" s="10"/>
      <c r="G749" s="14">
        <v>7500000</v>
      </c>
      <c r="H749" s="14">
        <v>7384678.8399999999</v>
      </c>
      <c r="I749" s="14">
        <v>7500000</v>
      </c>
      <c r="J749" s="14">
        <v>7384678.8399999999</v>
      </c>
      <c r="K749" s="12">
        <v>1388</v>
      </c>
      <c r="L749" s="10" t="s">
        <v>101</v>
      </c>
      <c r="M749" s="10" t="s">
        <v>102</v>
      </c>
      <c r="N749" s="124" t="s">
        <v>448</v>
      </c>
      <c r="O749" s="124" t="s">
        <v>448</v>
      </c>
      <c r="P749" s="21">
        <v>30</v>
      </c>
      <c r="Q749" s="10" t="s">
        <v>54</v>
      </c>
      <c r="R749" s="10" t="s">
        <v>28</v>
      </c>
      <c r="S749" s="10"/>
      <c r="T749" s="10"/>
      <c r="U749" s="10" t="s">
        <v>3136</v>
      </c>
      <c r="V749" s="10" t="s">
        <v>3136</v>
      </c>
      <c r="W749" s="50">
        <f>+J749/$W$2</f>
        <v>9.0378468367493912E-5</v>
      </c>
    </row>
    <row r="750" spans="1:29">
      <c r="A750" s="10" t="s">
        <v>359</v>
      </c>
      <c r="B750" s="10" t="s">
        <v>358</v>
      </c>
      <c r="C750" s="124">
        <v>46343</v>
      </c>
      <c r="D750" s="124" t="s">
        <v>471</v>
      </c>
      <c r="E750" s="21">
        <v>0.98462375000000002</v>
      </c>
      <c r="F750" s="10"/>
      <c r="G750" s="14">
        <v>6500000</v>
      </c>
      <c r="H750" s="14">
        <v>6400054.3799999999</v>
      </c>
      <c r="I750" s="14">
        <v>6500000</v>
      </c>
      <c r="J750" s="14">
        <v>6400054.3799999999</v>
      </c>
      <c r="K750" s="12">
        <v>1383</v>
      </c>
      <c r="L750" s="10" t="s">
        <v>101</v>
      </c>
      <c r="M750" s="10" t="s">
        <v>102</v>
      </c>
      <c r="N750" s="124" t="s">
        <v>508</v>
      </c>
      <c r="O750" s="124" t="s">
        <v>508</v>
      </c>
      <c r="P750" s="21">
        <v>30</v>
      </c>
      <c r="Q750" s="10" t="s">
        <v>54</v>
      </c>
      <c r="R750" s="10" t="s">
        <v>28</v>
      </c>
      <c r="S750" s="10"/>
      <c r="T750" s="10"/>
      <c r="U750" s="10" t="s">
        <v>2994</v>
      </c>
      <c r="V750" s="10" t="s">
        <v>2994</v>
      </c>
      <c r="W750" s="50">
        <f>+J750/$W$2</f>
        <v>7.8327998395807133E-5</v>
      </c>
    </row>
    <row r="751" spans="1:29">
      <c r="A751" s="10" t="s">
        <v>359</v>
      </c>
      <c r="B751" s="10" t="s">
        <v>358</v>
      </c>
      <c r="C751" s="124">
        <v>46343</v>
      </c>
      <c r="D751" s="124" t="s">
        <v>471</v>
      </c>
      <c r="E751" s="21">
        <v>0.98462369999999999</v>
      </c>
      <c r="F751" s="10"/>
      <c r="G751" s="14">
        <v>5000000</v>
      </c>
      <c r="H751" s="14">
        <v>4923118.5</v>
      </c>
      <c r="I751" s="14">
        <v>5000000</v>
      </c>
      <c r="J751" s="14">
        <v>4923118.5</v>
      </c>
      <c r="K751" s="12">
        <v>1349</v>
      </c>
      <c r="L751" s="10" t="s">
        <v>101</v>
      </c>
      <c r="M751" s="10" t="s">
        <v>102</v>
      </c>
      <c r="N751" s="124" t="s">
        <v>603</v>
      </c>
      <c r="O751" s="124" t="s">
        <v>603</v>
      </c>
      <c r="P751" s="21">
        <v>30</v>
      </c>
      <c r="Q751" s="10" t="s">
        <v>54</v>
      </c>
      <c r="R751" s="10" t="s">
        <v>28</v>
      </c>
      <c r="S751" s="10"/>
      <c r="T751" s="10"/>
      <c r="U751" s="10" t="s">
        <v>2627</v>
      </c>
      <c r="V751" s="10" t="s">
        <v>2627</v>
      </c>
      <c r="W751" s="50">
        <f>+J751/$W$2</f>
        <v>6.0252303351580026E-5</v>
      </c>
    </row>
    <row r="752" spans="1:29">
      <c r="A752" s="10" t="s">
        <v>359</v>
      </c>
      <c r="B752" s="10" t="s">
        <v>358</v>
      </c>
      <c r="C752" s="124">
        <v>46343</v>
      </c>
      <c r="D752" s="124" t="s">
        <v>471</v>
      </c>
      <c r="E752" s="21">
        <v>0.98462377999999995</v>
      </c>
      <c r="F752" s="10"/>
      <c r="G752" s="14">
        <v>4250000</v>
      </c>
      <c r="H752" s="14">
        <v>4184651.06</v>
      </c>
      <c r="I752" s="14">
        <v>4250000</v>
      </c>
      <c r="J752" s="14">
        <v>4184651.06</v>
      </c>
      <c r="K752" s="12">
        <v>1331</v>
      </c>
      <c r="L752" s="10" t="s">
        <v>101</v>
      </c>
      <c r="M752" s="10" t="s">
        <v>102</v>
      </c>
      <c r="N752" s="124" t="s">
        <v>464</v>
      </c>
      <c r="O752" s="124" t="s">
        <v>464</v>
      </c>
      <c r="P752" s="21">
        <v>30</v>
      </c>
      <c r="Q752" s="10" t="s">
        <v>54</v>
      </c>
      <c r="R752" s="10" t="s">
        <v>28</v>
      </c>
      <c r="S752" s="10"/>
      <c r="T752" s="10"/>
      <c r="U752" s="10" t="s">
        <v>2555</v>
      </c>
      <c r="V752" s="10" t="s">
        <v>2555</v>
      </c>
      <c r="W752" s="50">
        <f>+J752/$W$2</f>
        <v>5.1214461948789349E-5</v>
      </c>
    </row>
    <row r="753" spans="1:29">
      <c r="A753" s="10" t="s">
        <v>363</v>
      </c>
      <c r="B753" s="10" t="s">
        <v>358</v>
      </c>
      <c r="C753" s="124">
        <v>46343</v>
      </c>
      <c r="D753" s="124" t="s">
        <v>471</v>
      </c>
      <c r="E753" s="21">
        <v>0.98060294000000003</v>
      </c>
      <c r="F753" s="10"/>
      <c r="G753" s="14">
        <v>45200000</v>
      </c>
      <c r="H753" s="14">
        <v>44323252.770000003</v>
      </c>
      <c r="I753" s="14">
        <v>45200000</v>
      </c>
      <c r="J753" s="14">
        <v>44323252.770000003</v>
      </c>
      <c r="K753" s="12">
        <v>163278</v>
      </c>
      <c r="L753" s="10" t="s">
        <v>101</v>
      </c>
      <c r="M753" s="10" t="s">
        <v>102</v>
      </c>
      <c r="N753" s="124" t="s">
        <v>391</v>
      </c>
      <c r="O753" s="124" t="s">
        <v>391</v>
      </c>
      <c r="P753" s="21">
        <v>38</v>
      </c>
      <c r="Q753" s="10" t="s">
        <v>54</v>
      </c>
      <c r="R753" s="10" t="s">
        <v>28</v>
      </c>
      <c r="S753" s="10"/>
      <c r="T753" s="10"/>
      <c r="U753" s="10" t="s">
        <v>1419</v>
      </c>
      <c r="V753" s="10" t="s">
        <v>1419</v>
      </c>
      <c r="W753" s="50">
        <f>+J753/$W$2</f>
        <v>5.4245658954315233E-4</v>
      </c>
    </row>
    <row r="754" spans="1:29">
      <c r="A754" s="10" t="s">
        <v>363</v>
      </c>
      <c r="B754" s="10" t="s">
        <v>358</v>
      </c>
      <c r="C754" s="124">
        <v>46343</v>
      </c>
      <c r="D754" s="124" t="s">
        <v>471</v>
      </c>
      <c r="E754" s="21">
        <v>0.98060294000000003</v>
      </c>
      <c r="F754" s="10"/>
      <c r="G754" s="14">
        <v>25000000</v>
      </c>
      <c r="H754" s="14">
        <v>24515073.43</v>
      </c>
      <c r="I754" s="14">
        <v>25000000</v>
      </c>
      <c r="J754" s="14">
        <v>24515073.43</v>
      </c>
      <c r="K754" s="12">
        <v>163279</v>
      </c>
      <c r="L754" s="10" t="s">
        <v>101</v>
      </c>
      <c r="M754" s="10" t="s">
        <v>102</v>
      </c>
      <c r="N754" s="124" t="s">
        <v>391</v>
      </c>
      <c r="O754" s="124" t="s">
        <v>391</v>
      </c>
      <c r="P754" s="21">
        <v>38</v>
      </c>
      <c r="Q754" s="10" t="s">
        <v>54</v>
      </c>
      <c r="R754" s="10" t="s">
        <v>28</v>
      </c>
      <c r="S754" s="10"/>
      <c r="T754" s="10"/>
      <c r="U754" s="10" t="s">
        <v>1420</v>
      </c>
      <c r="V754" s="10" t="s">
        <v>1420</v>
      </c>
      <c r="W754" s="50">
        <f>+J754/$W$2</f>
        <v>3.0003129946813576E-4</v>
      </c>
    </row>
    <row r="755" spans="1:29">
      <c r="A755" s="10" t="s">
        <v>2822</v>
      </c>
      <c r="B755" s="10" t="s">
        <v>358</v>
      </c>
      <c r="C755" s="124">
        <v>46343</v>
      </c>
      <c r="D755" s="124" t="s">
        <v>471</v>
      </c>
      <c r="E755" s="21">
        <v>0.98361542999999996</v>
      </c>
      <c r="F755" s="10"/>
      <c r="G755" s="14">
        <v>1858362</v>
      </c>
      <c r="H755" s="14">
        <v>1827913.53</v>
      </c>
      <c r="I755" s="14">
        <v>1858362</v>
      </c>
      <c r="J755" s="14">
        <v>1827913.53</v>
      </c>
      <c r="K755" s="12">
        <v>1484</v>
      </c>
      <c r="L755" s="10" t="s">
        <v>101</v>
      </c>
      <c r="M755" s="10" t="s">
        <v>102</v>
      </c>
      <c r="N755" s="124" t="s">
        <v>412</v>
      </c>
      <c r="O755" s="124" t="s">
        <v>412</v>
      </c>
      <c r="P755" s="21">
        <v>32</v>
      </c>
      <c r="Q755" s="10" t="s">
        <v>54</v>
      </c>
      <c r="R755" s="10" t="s">
        <v>28</v>
      </c>
      <c r="S755" s="10"/>
      <c r="T755" s="10"/>
      <c r="U755" s="10" t="s">
        <v>2773</v>
      </c>
      <c r="V755" s="10" t="s">
        <v>2773</v>
      </c>
      <c r="W755" s="50">
        <f>+J755/$W$2</f>
        <v>2.2371186171939081E-5</v>
      </c>
      <c r="AC755" s="47"/>
    </row>
    <row r="756" spans="1:29">
      <c r="A756" s="10" t="s">
        <v>3093</v>
      </c>
      <c r="B756" s="10" t="s">
        <v>358</v>
      </c>
      <c r="C756" s="124">
        <v>46343</v>
      </c>
      <c r="D756" s="124" t="s">
        <v>471</v>
      </c>
      <c r="E756" s="21">
        <v>0.98462379</v>
      </c>
      <c r="F756" s="10"/>
      <c r="G756" s="14">
        <v>3930000</v>
      </c>
      <c r="H756" s="14">
        <v>3869571.51</v>
      </c>
      <c r="I756" s="14">
        <v>3930000</v>
      </c>
      <c r="J756" s="14">
        <v>3869571.51</v>
      </c>
      <c r="K756" s="12">
        <v>90000101</v>
      </c>
      <c r="L756" s="10" t="s">
        <v>101</v>
      </c>
      <c r="M756" s="10" t="s">
        <v>102</v>
      </c>
      <c r="N756" s="124" t="s">
        <v>446</v>
      </c>
      <c r="O756" s="124" t="s">
        <v>446</v>
      </c>
      <c r="P756" s="21">
        <v>30</v>
      </c>
      <c r="Q756" s="10" t="s">
        <v>54</v>
      </c>
      <c r="R756" s="10" t="s">
        <v>28</v>
      </c>
      <c r="S756" s="10"/>
      <c r="T756" s="10"/>
      <c r="U756" s="10" t="s">
        <v>3094</v>
      </c>
      <c r="V756" s="10" t="s">
        <v>3094</v>
      </c>
      <c r="W756" s="50">
        <f>+J756/$W$2</f>
        <v>4.735831495040218E-5</v>
      </c>
    </row>
    <row r="757" spans="1:29">
      <c r="A757" s="10" t="s">
        <v>379</v>
      </c>
      <c r="B757" s="10" t="s">
        <v>358</v>
      </c>
      <c r="C757" s="124">
        <v>46343</v>
      </c>
      <c r="D757" s="124" t="s">
        <v>471</v>
      </c>
      <c r="E757" s="21">
        <v>0.98614005999999998</v>
      </c>
      <c r="F757" s="10"/>
      <c r="G757" s="14">
        <v>7411283.71</v>
      </c>
      <c r="H757" s="14">
        <v>7308563.79</v>
      </c>
      <c r="I757" s="14">
        <v>7411283.71</v>
      </c>
      <c r="J757" s="14">
        <v>7308563.79</v>
      </c>
      <c r="K757" s="12">
        <v>23242</v>
      </c>
      <c r="L757" s="10" t="s">
        <v>101</v>
      </c>
      <c r="M757" s="10" t="s">
        <v>102</v>
      </c>
      <c r="N757" s="124" t="s">
        <v>478</v>
      </c>
      <c r="O757" s="124" t="s">
        <v>478</v>
      </c>
      <c r="P757" s="21">
        <v>27</v>
      </c>
      <c r="Q757" s="10" t="s">
        <v>54</v>
      </c>
      <c r="R757" s="10" t="s">
        <v>28</v>
      </c>
      <c r="S757" s="10"/>
      <c r="T757" s="10"/>
      <c r="U757" s="10" t="s">
        <v>2109</v>
      </c>
      <c r="V757" s="10" t="s">
        <v>2109</v>
      </c>
      <c r="W757" s="50">
        <f>+J757/$W$2</f>
        <v>8.9446923233607603E-5</v>
      </c>
      <c r="AC757" s="47"/>
    </row>
    <row r="758" spans="1:29">
      <c r="A758" s="10" t="s">
        <v>379</v>
      </c>
      <c r="B758" s="10" t="s">
        <v>358</v>
      </c>
      <c r="C758" s="124">
        <v>46343</v>
      </c>
      <c r="D758" s="124" t="s">
        <v>471</v>
      </c>
      <c r="E758" s="21">
        <v>0.98614005999999998</v>
      </c>
      <c r="F758" s="10"/>
      <c r="G758" s="14">
        <v>7869664.6799999997</v>
      </c>
      <c r="H758" s="14">
        <v>7760591.6200000001</v>
      </c>
      <c r="I758" s="14">
        <v>7869664.6799999997</v>
      </c>
      <c r="J758" s="14">
        <v>7760591.6200000001</v>
      </c>
      <c r="K758" s="12">
        <v>23267</v>
      </c>
      <c r="L758" s="10" t="s">
        <v>101</v>
      </c>
      <c r="M758" s="10" t="s">
        <v>102</v>
      </c>
      <c r="N758" s="124" t="s">
        <v>478</v>
      </c>
      <c r="O758" s="124" t="s">
        <v>478</v>
      </c>
      <c r="P758" s="21">
        <v>27</v>
      </c>
      <c r="Q758" s="10" t="s">
        <v>54</v>
      </c>
      <c r="R758" s="10" t="s">
        <v>28</v>
      </c>
      <c r="S758" s="10"/>
      <c r="T758" s="10"/>
      <c r="U758" s="10" t="s">
        <v>2106</v>
      </c>
      <c r="V758" s="10" t="s">
        <v>2106</v>
      </c>
      <c r="W758" s="50">
        <f>+J758/$W$2</f>
        <v>9.4979131718233041E-5</v>
      </c>
    </row>
    <row r="759" spans="1:29">
      <c r="A759" s="10" t="s">
        <v>271</v>
      </c>
      <c r="B759" s="10" t="s">
        <v>358</v>
      </c>
      <c r="C759" s="124">
        <v>46343</v>
      </c>
      <c r="D759" s="124" t="s">
        <v>471</v>
      </c>
      <c r="E759" s="21">
        <v>0.98462373999999997</v>
      </c>
      <c r="F759" s="10"/>
      <c r="G759" s="14">
        <v>25000000</v>
      </c>
      <c r="H759" s="14">
        <v>24615593.539999999</v>
      </c>
      <c r="I759" s="14">
        <v>25000000</v>
      </c>
      <c r="J759" s="14">
        <v>24615593.539999999</v>
      </c>
      <c r="K759" s="12">
        <v>12742280</v>
      </c>
      <c r="L759" s="10" t="s">
        <v>101</v>
      </c>
      <c r="M759" s="10" t="s">
        <v>102</v>
      </c>
      <c r="N759" s="124" t="s">
        <v>310</v>
      </c>
      <c r="O759" s="124" t="s">
        <v>310</v>
      </c>
      <c r="P759" s="21">
        <v>30</v>
      </c>
      <c r="Q759" s="10" t="s">
        <v>54</v>
      </c>
      <c r="R759" s="10" t="s">
        <v>28</v>
      </c>
      <c r="S759" s="10"/>
      <c r="T759" s="10"/>
      <c r="U759" s="10" t="s">
        <v>1019</v>
      </c>
      <c r="V759" s="10" t="s">
        <v>1019</v>
      </c>
      <c r="W759" s="50">
        <f>+J759/$W$2</f>
        <v>3.0126152948609168E-4</v>
      </c>
    </row>
    <row r="760" spans="1:29">
      <c r="A760" s="10" t="s">
        <v>271</v>
      </c>
      <c r="B760" s="10" t="s">
        <v>358</v>
      </c>
      <c r="C760" s="124">
        <v>46343</v>
      </c>
      <c r="D760" s="124" t="s">
        <v>471</v>
      </c>
      <c r="E760" s="21">
        <v>0.98361544000000001</v>
      </c>
      <c r="F760" s="10"/>
      <c r="G760" s="14">
        <v>10000000</v>
      </c>
      <c r="H760" s="14">
        <v>9836154.3699999992</v>
      </c>
      <c r="I760" s="14">
        <v>10000000</v>
      </c>
      <c r="J760" s="14">
        <v>9836154.3699999992</v>
      </c>
      <c r="K760" s="12">
        <v>2198</v>
      </c>
      <c r="L760" s="10" t="s">
        <v>101</v>
      </c>
      <c r="M760" s="10" t="s">
        <v>102</v>
      </c>
      <c r="N760" s="124" t="s">
        <v>486</v>
      </c>
      <c r="O760" s="124" t="s">
        <v>486</v>
      </c>
      <c r="P760" s="21">
        <v>32</v>
      </c>
      <c r="Q760" s="10" t="s">
        <v>54</v>
      </c>
      <c r="R760" s="10" t="s">
        <v>28</v>
      </c>
      <c r="S760" s="10"/>
      <c r="T760" s="10"/>
      <c r="U760" s="10" t="s">
        <v>1431</v>
      </c>
      <c r="V760" s="10" t="s">
        <v>1431</v>
      </c>
      <c r="W760" s="50">
        <f>+J760/$W$2</f>
        <v>1.2038120896626995E-4</v>
      </c>
    </row>
    <row r="761" spans="1:29">
      <c r="A761" s="10" t="s">
        <v>271</v>
      </c>
      <c r="B761" s="10" t="s">
        <v>358</v>
      </c>
      <c r="C761" s="124">
        <v>46343</v>
      </c>
      <c r="D761" s="124" t="s">
        <v>471</v>
      </c>
      <c r="E761" s="21">
        <v>0.98664653999999996</v>
      </c>
      <c r="F761" s="10"/>
      <c r="G761" s="14">
        <v>4000000</v>
      </c>
      <c r="H761" s="14">
        <v>3946586.15</v>
      </c>
      <c r="I761" s="14">
        <v>4000000</v>
      </c>
      <c r="J761" s="14">
        <v>3946586.15</v>
      </c>
      <c r="K761" s="12">
        <v>90002235</v>
      </c>
      <c r="L761" s="10" t="s">
        <v>101</v>
      </c>
      <c r="M761" s="10" t="s">
        <v>102</v>
      </c>
      <c r="N761" s="124" t="s">
        <v>478</v>
      </c>
      <c r="O761" s="124" t="s">
        <v>478</v>
      </c>
      <c r="P761" s="21">
        <v>26</v>
      </c>
      <c r="Q761" s="10" t="s">
        <v>54</v>
      </c>
      <c r="R761" s="10" t="s">
        <v>28</v>
      </c>
      <c r="S761" s="10"/>
      <c r="T761" s="10"/>
      <c r="U761" s="10" t="s">
        <v>2118</v>
      </c>
      <c r="V761" s="10" t="s">
        <v>2118</v>
      </c>
      <c r="W761" s="50">
        <f>+J761/$W$2</f>
        <v>4.8300869847626926E-5</v>
      </c>
    </row>
    <row r="762" spans="1:29">
      <c r="A762" s="10" t="s">
        <v>696</v>
      </c>
      <c r="B762" s="10" t="s">
        <v>358</v>
      </c>
      <c r="C762" s="124">
        <v>46343</v>
      </c>
      <c r="D762" s="124" t="s">
        <v>471</v>
      </c>
      <c r="E762" s="21">
        <v>0.98311214000000002</v>
      </c>
      <c r="F762" s="10"/>
      <c r="G762" s="14">
        <v>13000000</v>
      </c>
      <c r="H762" s="14">
        <v>12780457.85</v>
      </c>
      <c r="I762" s="14">
        <v>13000000</v>
      </c>
      <c r="J762" s="14">
        <v>12780457.85</v>
      </c>
      <c r="K762" s="12">
        <v>169213</v>
      </c>
      <c r="L762" s="10" t="s">
        <v>101</v>
      </c>
      <c r="M762" s="10" t="s">
        <v>102</v>
      </c>
      <c r="N762" s="124" t="s">
        <v>446</v>
      </c>
      <c r="O762" s="124" t="s">
        <v>446</v>
      </c>
      <c r="P762" s="21">
        <v>33</v>
      </c>
      <c r="Q762" s="10" t="s">
        <v>54</v>
      </c>
      <c r="R762" s="10" t="s">
        <v>28</v>
      </c>
      <c r="S762" s="10"/>
      <c r="T762" s="10"/>
      <c r="U762" s="10" t="s">
        <v>3070</v>
      </c>
      <c r="V762" s="10" t="s">
        <v>3070</v>
      </c>
      <c r="W762" s="50">
        <f>+J762/$W$2</f>
        <v>1.5641549626528028E-4</v>
      </c>
    </row>
    <row r="763" spans="1:29">
      <c r="A763" s="10" t="s">
        <v>359</v>
      </c>
      <c r="B763" s="10" t="s">
        <v>358</v>
      </c>
      <c r="C763" s="124">
        <v>46343</v>
      </c>
      <c r="D763" s="124" t="s">
        <v>471</v>
      </c>
      <c r="E763" s="21">
        <v>0.98361546</v>
      </c>
      <c r="F763" s="10"/>
      <c r="G763" s="14">
        <v>3000000</v>
      </c>
      <c r="H763" s="14">
        <v>2950846.38</v>
      </c>
      <c r="I763" s="14">
        <v>3000000</v>
      </c>
      <c r="J763" s="14">
        <v>2950846.38</v>
      </c>
      <c r="K763" s="12">
        <v>1057</v>
      </c>
      <c r="L763" s="10" t="s">
        <v>101</v>
      </c>
      <c r="M763" s="10" t="s">
        <v>102</v>
      </c>
      <c r="N763" s="124" t="s">
        <v>373</v>
      </c>
      <c r="O763" s="124" t="s">
        <v>373</v>
      </c>
      <c r="P763" s="21">
        <v>32</v>
      </c>
      <c r="Q763" s="10" t="s">
        <v>54</v>
      </c>
      <c r="R763" s="10" t="s">
        <v>28</v>
      </c>
      <c r="S763" s="10"/>
      <c r="T763" s="10"/>
      <c r="U763" s="10" t="s">
        <v>1138</v>
      </c>
      <c r="V763" s="10" t="s">
        <v>1138</v>
      </c>
      <c r="W763" s="50">
        <f>+J763/$W$2</f>
        <v>3.6114363534347543E-5</v>
      </c>
      <c r="AC763" s="47"/>
    </row>
    <row r="764" spans="1:29">
      <c r="A764" s="10" t="s">
        <v>359</v>
      </c>
      <c r="B764" s="10" t="s">
        <v>358</v>
      </c>
      <c r="C764" s="124">
        <v>46343</v>
      </c>
      <c r="D764" s="124" t="s">
        <v>471</v>
      </c>
      <c r="E764" s="21">
        <v>0.98311205000000002</v>
      </c>
      <c r="F764" s="10"/>
      <c r="G764" s="14">
        <v>2500000</v>
      </c>
      <c r="H764" s="14">
        <v>2457780.12</v>
      </c>
      <c r="I764" s="14">
        <v>2500000</v>
      </c>
      <c r="J764" s="14">
        <v>2457780.12</v>
      </c>
      <c r="K764" s="12">
        <v>1020</v>
      </c>
      <c r="L764" s="10" t="s">
        <v>101</v>
      </c>
      <c r="M764" s="10" t="s">
        <v>102</v>
      </c>
      <c r="N764" s="124" t="s">
        <v>161</v>
      </c>
      <c r="O764" s="124" t="s">
        <v>161</v>
      </c>
      <c r="P764" s="21">
        <v>33</v>
      </c>
      <c r="Q764" s="10" t="s">
        <v>54</v>
      </c>
      <c r="R764" s="10" t="s">
        <v>28</v>
      </c>
      <c r="S764" s="10"/>
      <c r="T764" s="10"/>
      <c r="U764" s="10" t="s">
        <v>1073</v>
      </c>
      <c r="V764" s="10" t="s">
        <v>1073</v>
      </c>
      <c r="W764" s="50">
        <f>+J764/$W$2</f>
        <v>3.0079900242442418E-5</v>
      </c>
    </row>
    <row r="765" spans="1:29">
      <c r="A765" s="10" t="s">
        <v>2486</v>
      </c>
      <c r="B765" s="10" t="s">
        <v>358</v>
      </c>
      <c r="C765" s="124">
        <v>46343</v>
      </c>
      <c r="D765" s="124" t="s">
        <v>471</v>
      </c>
      <c r="E765" s="21">
        <v>0.98311212999999997</v>
      </c>
      <c r="F765" s="10"/>
      <c r="G765" s="14">
        <v>80000000</v>
      </c>
      <c r="H765" s="14">
        <v>78648970.25</v>
      </c>
      <c r="I765" s="14">
        <v>80000000</v>
      </c>
      <c r="J765" s="14">
        <v>78648970.25</v>
      </c>
      <c r="K765" s="12">
        <v>20884</v>
      </c>
      <c r="L765" s="10" t="s">
        <v>101</v>
      </c>
      <c r="M765" s="10" t="s">
        <v>102</v>
      </c>
      <c r="N765" s="124" t="s">
        <v>464</v>
      </c>
      <c r="O765" s="124" t="s">
        <v>464</v>
      </c>
      <c r="P765" s="21">
        <v>33</v>
      </c>
      <c r="Q765" s="10" t="s">
        <v>54</v>
      </c>
      <c r="R765" s="10" t="s">
        <v>28</v>
      </c>
      <c r="S765" s="10"/>
      <c r="T765" s="10"/>
      <c r="U765" s="10" t="s">
        <v>2544</v>
      </c>
      <c r="V765" s="10" t="s">
        <v>2544</v>
      </c>
      <c r="W765" s="50">
        <f>+J765/$W$2</f>
        <v>9.6255688620787666E-4</v>
      </c>
    </row>
    <row r="766" spans="1:29">
      <c r="A766" s="10" t="s">
        <v>2016</v>
      </c>
      <c r="B766" s="10" t="s">
        <v>358</v>
      </c>
      <c r="C766" s="124">
        <v>46344</v>
      </c>
      <c r="D766" s="124" t="s">
        <v>471</v>
      </c>
      <c r="E766" s="21">
        <v>0.98435821000000001</v>
      </c>
      <c r="F766" s="10"/>
      <c r="G766" s="14">
        <v>4490893.1100000003</v>
      </c>
      <c r="H766" s="14">
        <v>4420647.51</v>
      </c>
      <c r="I766" s="14">
        <v>4490893.1100000003</v>
      </c>
      <c r="J766" s="14">
        <v>4420647.51</v>
      </c>
      <c r="K766" s="12">
        <v>9808133</v>
      </c>
      <c r="L766" s="10" t="s">
        <v>101</v>
      </c>
      <c r="M766" s="10" t="s">
        <v>102</v>
      </c>
      <c r="N766" s="124" t="s">
        <v>469</v>
      </c>
      <c r="O766" s="124" t="s">
        <v>469</v>
      </c>
      <c r="P766" s="21">
        <v>29</v>
      </c>
      <c r="Q766" s="10" t="s">
        <v>54</v>
      </c>
      <c r="R766" s="10" t="s">
        <v>28</v>
      </c>
      <c r="S766" s="10"/>
      <c r="T766" s="10"/>
      <c r="U766" s="10" t="s">
        <v>3938</v>
      </c>
      <c r="V766" s="10" t="s">
        <v>3938</v>
      </c>
      <c r="W766" s="50">
        <f>+J766/$W$2</f>
        <v>5.4102738900744896E-5</v>
      </c>
    </row>
    <row r="767" spans="1:29">
      <c r="A767" s="10" t="s">
        <v>375</v>
      </c>
      <c r="B767" s="10" t="s">
        <v>358</v>
      </c>
      <c r="C767" s="124">
        <v>46344</v>
      </c>
      <c r="D767" s="124" t="s">
        <v>471</v>
      </c>
      <c r="E767" s="21">
        <v>0.98065557999999997</v>
      </c>
      <c r="F767" s="10"/>
      <c r="G767" s="14">
        <v>9450000</v>
      </c>
      <c r="H767" s="14">
        <v>9267195.1999999993</v>
      </c>
      <c r="I767" s="14">
        <v>9450000</v>
      </c>
      <c r="J767" s="14">
        <v>9267195.1999999993</v>
      </c>
      <c r="K767" s="12">
        <v>66335193</v>
      </c>
      <c r="L767" s="10" t="s">
        <v>101</v>
      </c>
      <c r="M767" s="10" t="s">
        <v>102</v>
      </c>
      <c r="N767" s="124" t="s">
        <v>274</v>
      </c>
      <c r="O767" s="124" t="s">
        <v>274</v>
      </c>
      <c r="P767" s="21">
        <v>36</v>
      </c>
      <c r="Q767" s="10" t="s">
        <v>54</v>
      </c>
      <c r="R767" s="10" t="s">
        <v>28</v>
      </c>
      <c r="S767" s="10"/>
      <c r="T767" s="10"/>
      <c r="U767" s="10" t="s">
        <v>458</v>
      </c>
      <c r="V767" s="10" t="s">
        <v>458</v>
      </c>
      <c r="W767" s="50">
        <f>+J767/$W$2</f>
        <v>1.1341791923324744E-4</v>
      </c>
    </row>
    <row r="768" spans="1:29">
      <c r="A768" s="10" t="s">
        <v>400</v>
      </c>
      <c r="B768" s="10" t="s">
        <v>358</v>
      </c>
      <c r="C768" s="124">
        <v>46344</v>
      </c>
      <c r="D768" s="124" t="s">
        <v>471</v>
      </c>
      <c r="E768" s="21">
        <v>0.98329743999999997</v>
      </c>
      <c r="F768" s="10"/>
      <c r="G768" s="14">
        <v>2500000</v>
      </c>
      <c r="H768" s="14">
        <v>2458243.6</v>
      </c>
      <c r="I768" s="14">
        <v>2500000</v>
      </c>
      <c r="J768" s="14">
        <v>2458243.6</v>
      </c>
      <c r="K768" s="12">
        <v>90003663</v>
      </c>
      <c r="L768" s="10" t="s">
        <v>101</v>
      </c>
      <c r="M768" s="10" t="s">
        <v>102</v>
      </c>
      <c r="N768" s="124" t="s">
        <v>297</v>
      </c>
      <c r="O768" s="124" t="s">
        <v>297</v>
      </c>
      <c r="P768" s="21">
        <v>31</v>
      </c>
      <c r="Q768" s="10" t="s">
        <v>54</v>
      </c>
      <c r="R768" s="10" t="s">
        <v>28</v>
      </c>
      <c r="S768" s="10"/>
      <c r="T768" s="10"/>
      <c r="U768" s="10" t="s">
        <v>620</v>
      </c>
      <c r="V768" s="10" t="s">
        <v>620</v>
      </c>
      <c r="W768" s="50">
        <f>+J768/$W$2</f>
        <v>3.0085572609978846E-5</v>
      </c>
    </row>
    <row r="769" spans="1:23">
      <c r="A769" s="10" t="s">
        <v>400</v>
      </c>
      <c r="B769" s="10" t="s">
        <v>358</v>
      </c>
      <c r="C769" s="124">
        <v>46344</v>
      </c>
      <c r="D769" s="124" t="s">
        <v>471</v>
      </c>
      <c r="E769" s="21">
        <v>0.98382751999999996</v>
      </c>
      <c r="F769" s="10"/>
      <c r="G769" s="14">
        <v>5580000</v>
      </c>
      <c r="H769" s="14">
        <v>5489757.5599999996</v>
      </c>
      <c r="I769" s="14">
        <v>5580000</v>
      </c>
      <c r="J769" s="14">
        <v>5489757.5599999996</v>
      </c>
      <c r="K769" s="12">
        <v>11415150</v>
      </c>
      <c r="L769" s="10" t="s">
        <v>101</v>
      </c>
      <c r="M769" s="10" t="s">
        <v>102</v>
      </c>
      <c r="N769" s="124" t="s">
        <v>449</v>
      </c>
      <c r="O769" s="124" t="s">
        <v>449</v>
      </c>
      <c r="P769" s="21">
        <v>30</v>
      </c>
      <c r="Q769" s="10" t="s">
        <v>54</v>
      </c>
      <c r="R769" s="10" t="s">
        <v>28</v>
      </c>
      <c r="S769" s="10"/>
      <c r="T769" s="10"/>
      <c r="U769" s="10" t="s">
        <v>1927</v>
      </c>
      <c r="V769" s="10" t="s">
        <v>1927</v>
      </c>
      <c r="W769" s="50">
        <f>+J769/$W$2</f>
        <v>6.7187198080190385E-5</v>
      </c>
    </row>
    <row r="770" spans="1:23">
      <c r="A770" s="10" t="s">
        <v>1825</v>
      </c>
      <c r="B770" s="10" t="s">
        <v>358</v>
      </c>
      <c r="C770" s="124">
        <v>46344</v>
      </c>
      <c r="D770" s="124" t="s">
        <v>471</v>
      </c>
      <c r="E770" s="21">
        <v>0.98276797999999999</v>
      </c>
      <c r="F770" s="10"/>
      <c r="G770" s="14">
        <v>1027513.96</v>
      </c>
      <c r="H770" s="14">
        <v>1009807.82</v>
      </c>
      <c r="I770" s="14">
        <v>1027513.96</v>
      </c>
      <c r="J770" s="14">
        <v>1009807.82</v>
      </c>
      <c r="K770" s="12">
        <v>3585515</v>
      </c>
      <c r="L770" s="10" t="s">
        <v>101</v>
      </c>
      <c r="M770" s="10" t="s">
        <v>102</v>
      </c>
      <c r="N770" s="124" t="s">
        <v>395</v>
      </c>
      <c r="O770" s="124" t="s">
        <v>395</v>
      </c>
      <c r="P770" s="21">
        <v>32</v>
      </c>
      <c r="Q770" s="10" t="s">
        <v>54</v>
      </c>
      <c r="R770" s="10" t="s">
        <v>28</v>
      </c>
      <c r="S770" s="10"/>
      <c r="T770" s="10"/>
      <c r="U770" s="10" t="s">
        <v>1791</v>
      </c>
      <c r="V770" s="10" t="s">
        <v>1791</v>
      </c>
      <c r="W770" s="50">
        <f>+J770/$W$2</f>
        <v>1.2358680193750712E-5</v>
      </c>
    </row>
    <row r="771" spans="1:23">
      <c r="A771" s="10" t="s">
        <v>2079</v>
      </c>
      <c r="B771" s="10" t="s">
        <v>358</v>
      </c>
      <c r="C771" s="124">
        <v>46344</v>
      </c>
      <c r="D771" s="124" t="s">
        <v>471</v>
      </c>
      <c r="E771" s="21">
        <v>0.98382767000000004</v>
      </c>
      <c r="F771" s="10"/>
      <c r="G771" s="14">
        <v>25000000</v>
      </c>
      <c r="H771" s="14">
        <v>24595691.73</v>
      </c>
      <c r="I771" s="14">
        <v>25000000</v>
      </c>
      <c r="J771" s="14">
        <v>24595691.73</v>
      </c>
      <c r="K771" s="12">
        <v>52835</v>
      </c>
      <c r="L771" s="10" t="s">
        <v>101</v>
      </c>
      <c r="M771" s="10" t="s">
        <v>102</v>
      </c>
      <c r="N771" s="124" t="s">
        <v>468</v>
      </c>
      <c r="O771" s="124" t="s">
        <v>468</v>
      </c>
      <c r="P771" s="21">
        <v>30</v>
      </c>
      <c r="Q771" s="10" t="s">
        <v>54</v>
      </c>
      <c r="R771" s="10" t="s">
        <v>28</v>
      </c>
      <c r="S771" s="10"/>
      <c r="T771" s="10"/>
      <c r="U771" s="10" t="s">
        <v>3830</v>
      </c>
      <c r="V771" s="10" t="s">
        <v>3830</v>
      </c>
      <c r="W771" s="50">
        <f>+J771/$W$2</f>
        <v>3.0101795828353677E-4</v>
      </c>
    </row>
    <row r="772" spans="1:23">
      <c r="A772" s="10" t="s">
        <v>2215</v>
      </c>
      <c r="B772" s="10" t="s">
        <v>358</v>
      </c>
      <c r="C772" s="124">
        <v>46344</v>
      </c>
      <c r="D772" s="124" t="s">
        <v>471</v>
      </c>
      <c r="E772" s="21">
        <v>0.98223901000000002</v>
      </c>
      <c r="F772" s="10"/>
      <c r="G772" s="14">
        <v>8574172.7400000002</v>
      </c>
      <c r="H772" s="14">
        <v>8421886.9299999997</v>
      </c>
      <c r="I772" s="14">
        <v>8574172.7400000002</v>
      </c>
      <c r="J772" s="14">
        <v>8421886.9299999997</v>
      </c>
      <c r="K772" s="12">
        <v>81454508</v>
      </c>
      <c r="L772" s="10" t="s">
        <v>101</v>
      </c>
      <c r="M772" s="10" t="s">
        <v>102</v>
      </c>
      <c r="N772" s="124" t="s">
        <v>478</v>
      </c>
      <c r="O772" s="124" t="s">
        <v>478</v>
      </c>
      <c r="P772" s="21">
        <v>33</v>
      </c>
      <c r="Q772" s="10" t="s">
        <v>54</v>
      </c>
      <c r="R772" s="10" t="s">
        <v>28</v>
      </c>
      <c r="S772" s="10"/>
      <c r="T772" s="10"/>
      <c r="U772" s="10" t="s">
        <v>2191</v>
      </c>
      <c r="V772" s="10" t="s">
        <v>2191</v>
      </c>
      <c r="W772" s="50">
        <f>+J772/$W$2</f>
        <v>1.0307249075947836E-4</v>
      </c>
    </row>
    <row r="773" spans="1:23">
      <c r="A773" s="10" t="s">
        <v>2218</v>
      </c>
      <c r="B773" s="10" t="s">
        <v>358</v>
      </c>
      <c r="C773" s="124">
        <v>46344</v>
      </c>
      <c r="D773" s="124" t="s">
        <v>471</v>
      </c>
      <c r="E773" s="21">
        <v>0.98223901000000002</v>
      </c>
      <c r="F773" s="10"/>
      <c r="G773" s="14">
        <v>1885862.4</v>
      </c>
      <c r="H773" s="14">
        <v>1852367.61</v>
      </c>
      <c r="I773" s="14">
        <v>1885862.4</v>
      </c>
      <c r="J773" s="14">
        <v>1852367.61</v>
      </c>
      <c r="K773" s="12">
        <v>565</v>
      </c>
      <c r="L773" s="10" t="s">
        <v>101</v>
      </c>
      <c r="M773" s="10" t="s">
        <v>102</v>
      </c>
      <c r="N773" s="124" t="s">
        <v>478</v>
      </c>
      <c r="O773" s="124" t="s">
        <v>478</v>
      </c>
      <c r="P773" s="21">
        <v>33</v>
      </c>
      <c r="Q773" s="10" t="s">
        <v>54</v>
      </c>
      <c r="R773" s="10" t="s">
        <v>28</v>
      </c>
      <c r="S773" s="10"/>
      <c r="T773" s="10"/>
      <c r="U773" s="10" t="s">
        <v>2196</v>
      </c>
      <c r="V773" s="10" t="s">
        <v>2196</v>
      </c>
      <c r="W773" s="50">
        <f>+J773/$W$2</f>
        <v>2.2670470994423816E-5</v>
      </c>
    </row>
    <row r="774" spans="1:23">
      <c r="A774" s="10" t="s">
        <v>443</v>
      </c>
      <c r="B774" s="10" t="s">
        <v>358</v>
      </c>
      <c r="C774" s="124">
        <v>46344</v>
      </c>
      <c r="D774" s="124" t="s">
        <v>471</v>
      </c>
      <c r="E774" s="21">
        <v>0.98488936999999999</v>
      </c>
      <c r="F774" s="10"/>
      <c r="G774" s="14">
        <v>8000000</v>
      </c>
      <c r="H774" s="14">
        <v>7879114.96</v>
      </c>
      <c r="I774" s="14">
        <v>8000000</v>
      </c>
      <c r="J774" s="14">
        <v>7879114.96</v>
      </c>
      <c r="K774" s="12">
        <v>6491</v>
      </c>
      <c r="L774" s="10" t="s">
        <v>101</v>
      </c>
      <c r="M774" s="10" t="s">
        <v>102</v>
      </c>
      <c r="N774" s="124" t="s">
        <v>397</v>
      </c>
      <c r="O774" s="124" t="s">
        <v>397</v>
      </c>
      <c r="P774" s="21">
        <v>28</v>
      </c>
      <c r="Q774" s="10" t="s">
        <v>54</v>
      </c>
      <c r="R774" s="10" t="s">
        <v>28</v>
      </c>
      <c r="S774" s="10"/>
      <c r="T774" s="10"/>
      <c r="U774" s="10" t="s">
        <v>1851</v>
      </c>
      <c r="V774" s="10" t="s">
        <v>1851</v>
      </c>
      <c r="W774" s="50">
        <f>+J774/$W$2</f>
        <v>9.6429696890678595E-5</v>
      </c>
    </row>
    <row r="775" spans="1:23">
      <c r="A775" s="10" t="s">
        <v>1636</v>
      </c>
      <c r="B775" s="10" t="s">
        <v>358</v>
      </c>
      <c r="C775" s="124">
        <v>46344</v>
      </c>
      <c r="D775" s="124" t="s">
        <v>471</v>
      </c>
      <c r="E775" s="21">
        <v>0.98223908000000004</v>
      </c>
      <c r="F775" s="10"/>
      <c r="G775" s="14">
        <v>11255045.75</v>
      </c>
      <c r="H775" s="14">
        <v>11055145.77</v>
      </c>
      <c r="I775" s="14">
        <v>11255045.75</v>
      </c>
      <c r="J775" s="14">
        <v>11055145.77</v>
      </c>
      <c r="K775" s="12">
        <v>90001622</v>
      </c>
      <c r="L775" s="10" t="s">
        <v>101</v>
      </c>
      <c r="M775" s="10" t="s">
        <v>102</v>
      </c>
      <c r="N775" s="124" t="s">
        <v>603</v>
      </c>
      <c r="O775" s="124" t="s">
        <v>603</v>
      </c>
      <c r="P775" s="21">
        <v>33</v>
      </c>
      <c r="Q775" s="10" t="s">
        <v>54</v>
      </c>
      <c r="R775" s="10" t="s">
        <v>28</v>
      </c>
      <c r="S775" s="10"/>
      <c r="T775" s="10"/>
      <c r="U775" s="10" t="s">
        <v>2604</v>
      </c>
      <c r="V775" s="10" t="s">
        <v>2604</v>
      </c>
      <c r="W775" s="50">
        <f>+J775/$W$2</f>
        <v>1.3530001289426138E-4</v>
      </c>
    </row>
    <row r="776" spans="1:23">
      <c r="A776" s="10" t="s">
        <v>1744</v>
      </c>
      <c r="B776" s="10" t="s">
        <v>358</v>
      </c>
      <c r="C776" s="124">
        <v>46344</v>
      </c>
      <c r="D776" s="124" t="s">
        <v>471</v>
      </c>
      <c r="E776" s="21">
        <v>0.98223901999999996</v>
      </c>
      <c r="F776" s="10"/>
      <c r="G776" s="14">
        <v>5300000</v>
      </c>
      <c r="H776" s="14">
        <v>5205866.78</v>
      </c>
      <c r="I776" s="14">
        <v>5300000</v>
      </c>
      <c r="J776" s="14">
        <v>5205866.78</v>
      </c>
      <c r="K776" s="12">
        <v>8175683</v>
      </c>
      <c r="L776" s="10" t="s">
        <v>101</v>
      </c>
      <c r="M776" s="10" t="s">
        <v>102</v>
      </c>
      <c r="N776" s="124" t="s">
        <v>398</v>
      </c>
      <c r="O776" s="124" t="s">
        <v>398</v>
      </c>
      <c r="P776" s="21">
        <v>33</v>
      </c>
      <c r="Q776" s="10" t="s">
        <v>54</v>
      </c>
      <c r="R776" s="10" t="s">
        <v>28</v>
      </c>
      <c r="S776" s="10"/>
      <c r="T776" s="10"/>
      <c r="U776" s="10" t="s">
        <v>1640</v>
      </c>
      <c r="V776" s="10" t="s">
        <v>1640</v>
      </c>
      <c r="W776" s="50">
        <f>+J776/$W$2</f>
        <v>6.3712759389495326E-5</v>
      </c>
    </row>
    <row r="777" spans="1:23">
      <c r="A777" s="10" t="s">
        <v>1756</v>
      </c>
      <c r="B777" s="10" t="s">
        <v>358</v>
      </c>
      <c r="C777" s="124">
        <v>46344</v>
      </c>
      <c r="D777" s="124" t="s">
        <v>471</v>
      </c>
      <c r="E777" s="21">
        <v>0.98276796</v>
      </c>
      <c r="F777" s="10"/>
      <c r="G777" s="14">
        <v>2112204.7400000002</v>
      </c>
      <c r="H777" s="14">
        <v>2075807.14</v>
      </c>
      <c r="I777" s="14">
        <v>2112204.7400000002</v>
      </c>
      <c r="J777" s="14">
        <v>2075807.14</v>
      </c>
      <c r="K777" s="12">
        <v>213</v>
      </c>
      <c r="L777" s="10" t="s">
        <v>101</v>
      </c>
      <c r="M777" s="10" t="s">
        <v>102</v>
      </c>
      <c r="N777" s="124" t="s">
        <v>398</v>
      </c>
      <c r="O777" s="124" t="s">
        <v>398</v>
      </c>
      <c r="P777" s="21">
        <v>32</v>
      </c>
      <c r="Q777" s="10" t="s">
        <v>54</v>
      </c>
      <c r="R777" s="10" t="s">
        <v>28</v>
      </c>
      <c r="S777" s="10"/>
      <c r="T777" s="10"/>
      <c r="U777" s="10" t="s">
        <v>1716</v>
      </c>
      <c r="V777" s="10" t="s">
        <v>1716</v>
      </c>
      <c r="W777" s="50">
        <f>+J777/$W$2</f>
        <v>2.5405068250673984E-5</v>
      </c>
    </row>
    <row r="778" spans="1:23">
      <c r="A778" s="10" t="s">
        <v>1760</v>
      </c>
      <c r="B778" s="10" t="s">
        <v>358</v>
      </c>
      <c r="C778" s="124">
        <v>46344</v>
      </c>
      <c r="D778" s="124" t="s">
        <v>471</v>
      </c>
      <c r="E778" s="21">
        <v>0.98276794000000001</v>
      </c>
      <c r="F778" s="10"/>
      <c r="G778" s="14">
        <v>1566916.35</v>
      </c>
      <c r="H778" s="14">
        <v>1539915.15</v>
      </c>
      <c r="I778" s="14">
        <v>1566916.35</v>
      </c>
      <c r="J778" s="14">
        <v>1539915.15</v>
      </c>
      <c r="K778" s="12">
        <v>1181</v>
      </c>
      <c r="L778" s="10" t="s">
        <v>101</v>
      </c>
      <c r="M778" s="10" t="s">
        <v>102</v>
      </c>
      <c r="N778" s="124" t="s">
        <v>398</v>
      </c>
      <c r="O778" s="124" t="s">
        <v>398</v>
      </c>
      <c r="P778" s="21">
        <v>32</v>
      </c>
      <c r="Q778" s="10" t="s">
        <v>54</v>
      </c>
      <c r="R778" s="10" t="s">
        <v>28</v>
      </c>
      <c r="S778" s="10"/>
      <c r="T778" s="10"/>
      <c r="U778" s="10" t="s">
        <v>1729</v>
      </c>
      <c r="V778" s="10" t="s">
        <v>1729</v>
      </c>
      <c r="W778" s="50">
        <f>+J778/$W$2</f>
        <v>1.8846476019923927E-5</v>
      </c>
    </row>
    <row r="779" spans="1:23">
      <c r="A779" s="10" t="s">
        <v>1762</v>
      </c>
      <c r="B779" s="10" t="s">
        <v>358</v>
      </c>
      <c r="C779" s="124">
        <v>46344</v>
      </c>
      <c r="D779" s="124" t="s">
        <v>471</v>
      </c>
      <c r="E779" s="21">
        <v>0.98276794999999995</v>
      </c>
      <c r="F779" s="10"/>
      <c r="G779" s="14">
        <v>5000000</v>
      </c>
      <c r="H779" s="14">
        <v>4913839.75</v>
      </c>
      <c r="I779" s="14">
        <v>5000000</v>
      </c>
      <c r="J779" s="14">
        <v>4913839.75</v>
      </c>
      <c r="K779" s="12">
        <v>1268</v>
      </c>
      <c r="L779" s="10" t="s">
        <v>101</v>
      </c>
      <c r="M779" s="10" t="s">
        <v>102</v>
      </c>
      <c r="N779" s="124" t="s">
        <v>398</v>
      </c>
      <c r="O779" s="124" t="s">
        <v>398</v>
      </c>
      <c r="P779" s="21">
        <v>32</v>
      </c>
      <c r="Q779" s="10" t="s">
        <v>54</v>
      </c>
      <c r="R779" s="10" t="s">
        <v>28</v>
      </c>
      <c r="S779" s="10"/>
      <c r="T779" s="10"/>
      <c r="U779" s="10" t="s">
        <v>1733</v>
      </c>
      <c r="V779" s="10" t="s">
        <v>1733</v>
      </c>
      <c r="W779" s="50">
        <f>+J779/$W$2</f>
        <v>6.0138744017242759E-5</v>
      </c>
    </row>
    <row r="780" spans="1:23">
      <c r="A780" s="10" t="s">
        <v>1764</v>
      </c>
      <c r="B780" s="10" t="s">
        <v>358</v>
      </c>
      <c r="C780" s="124">
        <v>46344</v>
      </c>
      <c r="D780" s="124" t="s">
        <v>471</v>
      </c>
      <c r="E780" s="21">
        <v>0.98223901000000002</v>
      </c>
      <c r="F780" s="10"/>
      <c r="G780" s="14">
        <v>375000000</v>
      </c>
      <c r="H780" s="14">
        <v>368339629.94999999</v>
      </c>
      <c r="I780" s="14">
        <v>375000000</v>
      </c>
      <c r="J780" s="14">
        <v>368339629.94999999</v>
      </c>
      <c r="K780" s="12">
        <v>91648903</v>
      </c>
      <c r="L780" s="10" t="s">
        <v>101</v>
      </c>
      <c r="M780" s="10" t="s">
        <v>102</v>
      </c>
      <c r="N780" s="124" t="s">
        <v>398</v>
      </c>
      <c r="O780" s="124" t="s">
        <v>398</v>
      </c>
      <c r="P780" s="21">
        <v>33</v>
      </c>
      <c r="Q780" s="10" t="s">
        <v>54</v>
      </c>
      <c r="R780" s="10" t="s">
        <v>28</v>
      </c>
      <c r="S780" s="10"/>
      <c r="T780" s="10"/>
      <c r="U780" s="10" t="s">
        <v>1739</v>
      </c>
      <c r="V780" s="10" t="s">
        <v>1739</v>
      </c>
      <c r="W780" s="50">
        <f>+J780/$W$2</f>
        <v>4.5079782499966494E-3</v>
      </c>
    </row>
    <row r="781" spans="1:23">
      <c r="A781" s="10" t="s">
        <v>2758</v>
      </c>
      <c r="B781" s="10" t="s">
        <v>358</v>
      </c>
      <c r="C781" s="124">
        <v>46344</v>
      </c>
      <c r="D781" s="124" t="s">
        <v>471</v>
      </c>
      <c r="E781" s="21">
        <v>0.98489483</v>
      </c>
      <c r="F781" s="10"/>
      <c r="G781" s="14">
        <v>621969.84</v>
      </c>
      <c r="H781" s="14">
        <v>612574.88</v>
      </c>
      <c r="I781" s="14">
        <v>621969.84</v>
      </c>
      <c r="J781" s="14">
        <v>612574.88</v>
      </c>
      <c r="K781" s="12">
        <v>34</v>
      </c>
      <c r="L781" s="10" t="s">
        <v>101</v>
      </c>
      <c r="M781" s="10" t="s">
        <v>102</v>
      </c>
      <c r="N781" s="124" t="s">
        <v>417</v>
      </c>
      <c r="O781" s="124" t="s">
        <v>417</v>
      </c>
      <c r="P781" s="21">
        <v>27.99</v>
      </c>
      <c r="Q781" s="10" t="s">
        <v>54</v>
      </c>
      <c r="R781" s="10" t="s">
        <v>28</v>
      </c>
      <c r="S781" s="10"/>
      <c r="T781" s="10"/>
      <c r="U781" s="10" t="s">
        <v>3179</v>
      </c>
      <c r="V781" s="10" t="s">
        <v>3179</v>
      </c>
      <c r="W781" s="50">
        <f>+J781/$W$2</f>
        <v>7.4970869572442205E-6</v>
      </c>
    </row>
    <row r="782" spans="1:23">
      <c r="A782" s="10" t="s">
        <v>2758</v>
      </c>
      <c r="B782" s="10" t="s">
        <v>358</v>
      </c>
      <c r="C782" s="124">
        <v>46344</v>
      </c>
      <c r="D782" s="124" t="s">
        <v>471</v>
      </c>
      <c r="E782" s="21">
        <v>0.98489483</v>
      </c>
      <c r="F782" s="10"/>
      <c r="G782" s="14">
        <v>534217</v>
      </c>
      <c r="H782" s="14">
        <v>526147.56000000006</v>
      </c>
      <c r="I782" s="14">
        <v>534217</v>
      </c>
      <c r="J782" s="14">
        <v>526147.56000000006</v>
      </c>
      <c r="K782" s="12">
        <v>70434854</v>
      </c>
      <c r="L782" s="10" t="s">
        <v>101</v>
      </c>
      <c r="M782" s="10" t="s">
        <v>102</v>
      </c>
      <c r="N782" s="124" t="s">
        <v>417</v>
      </c>
      <c r="O782" s="124" t="s">
        <v>417</v>
      </c>
      <c r="P782" s="21">
        <v>27.99</v>
      </c>
      <c r="Q782" s="10" t="s">
        <v>54</v>
      </c>
      <c r="R782" s="10" t="s">
        <v>28</v>
      </c>
      <c r="S782" s="10"/>
      <c r="T782" s="10"/>
      <c r="U782" s="10" t="s">
        <v>3186</v>
      </c>
      <c r="V782" s="10" t="s">
        <v>3186</v>
      </c>
      <c r="W782" s="50">
        <f>+J782/$W$2</f>
        <v>6.4393336038556976E-6</v>
      </c>
    </row>
    <row r="783" spans="1:23">
      <c r="A783" s="10" t="s">
        <v>453</v>
      </c>
      <c r="B783" s="10" t="s">
        <v>358</v>
      </c>
      <c r="C783" s="124">
        <v>46344</v>
      </c>
      <c r="D783" s="124" t="s">
        <v>471</v>
      </c>
      <c r="E783" s="21">
        <v>0.98542118999999995</v>
      </c>
      <c r="F783" s="10"/>
      <c r="G783" s="14">
        <v>26231345.640000001</v>
      </c>
      <c r="H783" s="14">
        <v>25848923.73</v>
      </c>
      <c r="I783" s="14">
        <v>26231345.640000001</v>
      </c>
      <c r="J783" s="14">
        <v>25848923.73</v>
      </c>
      <c r="K783" s="12">
        <v>14072118</v>
      </c>
      <c r="L783" s="10" t="s">
        <v>101</v>
      </c>
      <c r="M783" s="10" t="s">
        <v>102</v>
      </c>
      <c r="N783" s="124" t="s">
        <v>477</v>
      </c>
      <c r="O783" s="124" t="s">
        <v>477</v>
      </c>
      <c r="P783" s="21">
        <v>27</v>
      </c>
      <c r="Q783" s="10" t="s">
        <v>54</v>
      </c>
      <c r="R783" s="10" t="s">
        <v>28</v>
      </c>
      <c r="S783" s="10"/>
      <c r="T783" s="10"/>
      <c r="U783" s="10" t="s">
        <v>2389</v>
      </c>
      <c r="V783" s="10" t="s">
        <v>2389</v>
      </c>
      <c r="W783" s="50">
        <f>+J783/$W$2</f>
        <v>3.1635582078550726E-4</v>
      </c>
    </row>
    <row r="784" spans="1:23">
      <c r="A784" s="10" t="s">
        <v>453</v>
      </c>
      <c r="B784" s="10" t="s">
        <v>358</v>
      </c>
      <c r="C784" s="124">
        <v>46344</v>
      </c>
      <c r="D784" s="124" t="s">
        <v>471</v>
      </c>
      <c r="E784" s="21">
        <v>0.98542116999999996</v>
      </c>
      <c r="F784" s="10"/>
      <c r="G784" s="14">
        <v>25000000</v>
      </c>
      <c r="H784" s="14">
        <v>24635529.190000001</v>
      </c>
      <c r="I784" s="14">
        <v>25000000</v>
      </c>
      <c r="J784" s="14">
        <v>24635529.190000001</v>
      </c>
      <c r="K784" s="12">
        <v>895</v>
      </c>
      <c r="L784" s="10" t="s">
        <v>101</v>
      </c>
      <c r="M784" s="10" t="s">
        <v>102</v>
      </c>
      <c r="N784" s="124" t="s">
        <v>397</v>
      </c>
      <c r="O784" s="124" t="s">
        <v>397</v>
      </c>
      <c r="P784" s="21">
        <v>27</v>
      </c>
      <c r="Q784" s="10" t="s">
        <v>54</v>
      </c>
      <c r="R784" s="10" t="s">
        <v>28</v>
      </c>
      <c r="S784" s="10"/>
      <c r="T784" s="10"/>
      <c r="U784" s="10" t="s">
        <v>1880</v>
      </c>
      <c r="V784" s="10" t="s">
        <v>1880</v>
      </c>
      <c r="W784" s="50">
        <f>+J784/$W$2</f>
        <v>3.0150551484441914E-4</v>
      </c>
    </row>
    <row r="785" spans="1:29">
      <c r="A785" s="10" t="s">
        <v>453</v>
      </c>
      <c r="B785" s="10" t="s">
        <v>358</v>
      </c>
      <c r="C785" s="124">
        <v>46344</v>
      </c>
      <c r="D785" s="124" t="s">
        <v>471</v>
      </c>
      <c r="E785" s="21">
        <v>0.98542116999999996</v>
      </c>
      <c r="F785" s="10"/>
      <c r="G785" s="14">
        <v>25000000</v>
      </c>
      <c r="H785" s="14">
        <v>24635529.190000001</v>
      </c>
      <c r="I785" s="14">
        <v>25000000</v>
      </c>
      <c r="J785" s="14">
        <v>24635529.190000001</v>
      </c>
      <c r="K785" s="12">
        <v>894</v>
      </c>
      <c r="L785" s="10" t="s">
        <v>101</v>
      </c>
      <c r="M785" s="10" t="s">
        <v>102</v>
      </c>
      <c r="N785" s="124" t="s">
        <v>397</v>
      </c>
      <c r="O785" s="124" t="s">
        <v>397</v>
      </c>
      <c r="P785" s="21">
        <v>27</v>
      </c>
      <c r="Q785" s="10" t="s">
        <v>54</v>
      </c>
      <c r="R785" s="10" t="s">
        <v>28</v>
      </c>
      <c r="S785" s="10"/>
      <c r="T785" s="10"/>
      <c r="U785" s="10" t="s">
        <v>1882</v>
      </c>
      <c r="V785" s="10" t="s">
        <v>1882</v>
      </c>
      <c r="W785" s="50">
        <f>+J785/$W$2</f>
        <v>3.0150551484441914E-4</v>
      </c>
      <c r="AC785" s="47"/>
    </row>
    <row r="786" spans="1:29">
      <c r="A786" s="10" t="s">
        <v>1608</v>
      </c>
      <c r="B786" s="10" t="s">
        <v>358</v>
      </c>
      <c r="C786" s="124">
        <v>46344</v>
      </c>
      <c r="D786" s="124" t="s">
        <v>471</v>
      </c>
      <c r="E786" s="21">
        <v>0.98223899999999997</v>
      </c>
      <c r="F786" s="10"/>
      <c r="G786" s="14">
        <v>24730000</v>
      </c>
      <c r="H786" s="14">
        <v>24290770.510000002</v>
      </c>
      <c r="I786" s="14">
        <v>24730000</v>
      </c>
      <c r="J786" s="14">
        <v>24290770.510000002</v>
      </c>
      <c r="K786" s="12">
        <v>195</v>
      </c>
      <c r="L786" s="10" t="s">
        <v>101</v>
      </c>
      <c r="M786" s="10" t="s">
        <v>102</v>
      </c>
      <c r="N786" s="124" t="s">
        <v>487</v>
      </c>
      <c r="O786" s="124" t="s">
        <v>487</v>
      </c>
      <c r="P786" s="21">
        <v>33</v>
      </c>
      <c r="Q786" s="10" t="s">
        <v>54</v>
      </c>
      <c r="R786" s="10" t="s">
        <v>28</v>
      </c>
      <c r="S786" s="10"/>
      <c r="T786" s="10"/>
      <c r="U786" s="10" t="s">
        <v>1573</v>
      </c>
      <c r="V786" s="10" t="s">
        <v>1573</v>
      </c>
      <c r="W786" s="50">
        <f>+J786/$W$2</f>
        <v>2.9728613548752367E-4</v>
      </c>
    </row>
    <row r="787" spans="1:29">
      <c r="A787" s="10" t="s">
        <v>815</v>
      </c>
      <c r="B787" s="10" t="s">
        <v>358</v>
      </c>
      <c r="C787" s="124">
        <v>46344</v>
      </c>
      <c r="D787" s="124" t="s">
        <v>471</v>
      </c>
      <c r="E787" s="21">
        <v>0.98223895000000006</v>
      </c>
      <c r="F787" s="10"/>
      <c r="G787" s="14">
        <v>735765</v>
      </c>
      <c r="H787" s="14">
        <v>722697.04</v>
      </c>
      <c r="I787" s="14">
        <v>735765</v>
      </c>
      <c r="J787" s="14">
        <v>722697.04</v>
      </c>
      <c r="K787" s="12">
        <v>262870</v>
      </c>
      <c r="L787" s="10" t="s">
        <v>101</v>
      </c>
      <c r="M787" s="10" t="s">
        <v>102</v>
      </c>
      <c r="N787" s="124" t="s">
        <v>347</v>
      </c>
      <c r="O787" s="124" t="s">
        <v>347</v>
      </c>
      <c r="P787" s="21">
        <v>33</v>
      </c>
      <c r="Q787" s="10" t="s">
        <v>54</v>
      </c>
      <c r="R787" s="10" t="s">
        <v>28</v>
      </c>
      <c r="S787" s="10"/>
      <c r="T787" s="10"/>
      <c r="U787" s="10" t="s">
        <v>806</v>
      </c>
      <c r="V787" s="10" t="s">
        <v>806</v>
      </c>
      <c r="W787" s="50">
        <f>+J787/$W$2</f>
        <v>8.8448330637113372E-6</v>
      </c>
    </row>
    <row r="788" spans="1:29">
      <c r="A788" s="10" t="s">
        <v>453</v>
      </c>
      <c r="B788" s="10" t="s">
        <v>358</v>
      </c>
      <c r="C788" s="124">
        <v>46344</v>
      </c>
      <c r="D788" s="124" t="s">
        <v>471</v>
      </c>
      <c r="E788" s="21">
        <v>0.98542116999999996</v>
      </c>
      <c r="F788" s="10"/>
      <c r="G788" s="14">
        <v>25000000</v>
      </c>
      <c r="H788" s="14">
        <v>24635529.190000001</v>
      </c>
      <c r="I788" s="14">
        <v>25000000</v>
      </c>
      <c r="J788" s="14">
        <v>24635529.190000001</v>
      </c>
      <c r="K788" s="12">
        <v>896</v>
      </c>
      <c r="L788" s="10" t="s">
        <v>101</v>
      </c>
      <c r="M788" s="10" t="s">
        <v>102</v>
      </c>
      <c r="N788" s="124" t="s">
        <v>397</v>
      </c>
      <c r="O788" s="124" t="s">
        <v>397</v>
      </c>
      <c r="P788" s="21">
        <v>27</v>
      </c>
      <c r="Q788" s="10" t="s">
        <v>54</v>
      </c>
      <c r="R788" s="10" t="s">
        <v>28</v>
      </c>
      <c r="S788" s="10"/>
      <c r="T788" s="10"/>
      <c r="U788" s="10" t="s">
        <v>1883</v>
      </c>
      <c r="V788" s="10" t="s">
        <v>1883</v>
      </c>
      <c r="W788" s="50">
        <f>+J788/$W$2</f>
        <v>3.0150551484441914E-4</v>
      </c>
    </row>
    <row r="789" spans="1:29">
      <c r="A789" s="10" t="s">
        <v>206</v>
      </c>
      <c r="B789" s="10" t="s">
        <v>358</v>
      </c>
      <c r="C789" s="124">
        <v>46344</v>
      </c>
      <c r="D789" s="124" t="s">
        <v>471</v>
      </c>
      <c r="E789" s="21">
        <v>0.98223899000000003</v>
      </c>
      <c r="F789" s="10"/>
      <c r="G789" s="14">
        <v>2170000</v>
      </c>
      <c r="H789" s="14">
        <v>2131458.6</v>
      </c>
      <c r="I789" s="14">
        <v>2170000</v>
      </c>
      <c r="J789" s="14">
        <v>2131458.6</v>
      </c>
      <c r="K789" s="12">
        <v>260733</v>
      </c>
      <c r="L789" s="10" t="s">
        <v>101</v>
      </c>
      <c r="M789" s="10" t="s">
        <v>102</v>
      </c>
      <c r="N789" s="124" t="s">
        <v>479</v>
      </c>
      <c r="O789" s="124" t="s">
        <v>479</v>
      </c>
      <c r="P789" s="21">
        <v>33</v>
      </c>
      <c r="Q789" s="10" t="s">
        <v>54</v>
      </c>
      <c r="R789" s="10" t="s">
        <v>28</v>
      </c>
      <c r="S789" s="10"/>
      <c r="T789" s="10"/>
      <c r="U789" s="10" t="s">
        <v>1216</v>
      </c>
      <c r="V789" s="10" t="s">
        <v>1216</v>
      </c>
      <c r="W789" s="50">
        <f>+J789/$W$2</f>
        <v>2.6086166755590805E-5</v>
      </c>
    </row>
    <row r="790" spans="1:29">
      <c r="A790" s="10" t="s">
        <v>141</v>
      </c>
      <c r="B790" s="10" t="s">
        <v>358</v>
      </c>
      <c r="C790" s="124">
        <v>46344</v>
      </c>
      <c r="D790" s="124" t="s">
        <v>471</v>
      </c>
      <c r="E790" s="21">
        <v>0.98118280000000002</v>
      </c>
      <c r="F790" s="10"/>
      <c r="G790" s="14">
        <v>15000000</v>
      </c>
      <c r="H790" s="14">
        <v>14717742.01</v>
      </c>
      <c r="I790" s="14">
        <v>15000000</v>
      </c>
      <c r="J790" s="14">
        <v>14717742.01</v>
      </c>
      <c r="K790" s="12">
        <v>148</v>
      </c>
      <c r="L790" s="10" t="s">
        <v>101</v>
      </c>
      <c r="M790" s="10" t="s">
        <v>102</v>
      </c>
      <c r="N790" s="124" t="s">
        <v>161</v>
      </c>
      <c r="O790" s="124" t="s">
        <v>161</v>
      </c>
      <c r="P790" s="21">
        <v>35</v>
      </c>
      <c r="Q790" s="10" t="s">
        <v>54</v>
      </c>
      <c r="R790" s="10" t="s">
        <v>28</v>
      </c>
      <c r="S790" s="10"/>
      <c r="T790" s="10"/>
      <c r="U790" s="10" t="s">
        <v>1049</v>
      </c>
      <c r="V790" s="10" t="s">
        <v>1049</v>
      </c>
      <c r="W790" s="50">
        <f>+J790/$W$2</f>
        <v>1.8012523083423912E-4</v>
      </c>
    </row>
    <row r="791" spans="1:29">
      <c r="A791" s="10" t="s">
        <v>2487</v>
      </c>
      <c r="B791" s="10" t="s">
        <v>358</v>
      </c>
      <c r="C791" s="124">
        <v>46344</v>
      </c>
      <c r="D791" s="124" t="s">
        <v>471</v>
      </c>
      <c r="E791" s="21">
        <v>0.98276803999999995</v>
      </c>
      <c r="F791" s="10"/>
      <c r="G791" s="14">
        <v>75000000</v>
      </c>
      <c r="H791" s="14">
        <v>73707603.260000005</v>
      </c>
      <c r="I791" s="14">
        <v>75000000</v>
      </c>
      <c r="J791" s="14">
        <v>73707603.260000005</v>
      </c>
      <c r="K791" s="12">
        <v>3500</v>
      </c>
      <c r="L791" s="10" t="s">
        <v>101</v>
      </c>
      <c r="M791" s="10" t="s">
        <v>102</v>
      </c>
      <c r="N791" s="124" t="s">
        <v>466</v>
      </c>
      <c r="O791" s="124" t="s">
        <v>466</v>
      </c>
      <c r="P791" s="21">
        <v>32</v>
      </c>
      <c r="Q791" s="10" t="s">
        <v>54</v>
      </c>
      <c r="R791" s="10" t="s">
        <v>28</v>
      </c>
      <c r="S791" s="10"/>
      <c r="T791" s="10"/>
      <c r="U791" s="10" t="s">
        <v>3657</v>
      </c>
      <c r="V791" s="10" t="s">
        <v>3657</v>
      </c>
      <c r="W791" s="50">
        <f>+J791/$W$2</f>
        <v>9.0208124605154817E-4</v>
      </c>
    </row>
    <row r="792" spans="1:29">
      <c r="A792" s="10" t="s">
        <v>1175</v>
      </c>
      <c r="B792" s="10" t="s">
        <v>358</v>
      </c>
      <c r="C792" s="124">
        <v>46344</v>
      </c>
      <c r="D792" s="124" t="s">
        <v>471</v>
      </c>
      <c r="E792" s="21">
        <v>0.98171065000000002</v>
      </c>
      <c r="F792" s="10"/>
      <c r="G792" s="14">
        <v>13000000</v>
      </c>
      <c r="H792" s="14">
        <v>12762238.48</v>
      </c>
      <c r="I792" s="14">
        <v>13000000</v>
      </c>
      <c r="J792" s="14">
        <v>12762238.48</v>
      </c>
      <c r="K792" s="12">
        <v>14330928</v>
      </c>
      <c r="L792" s="10" t="s">
        <v>101</v>
      </c>
      <c r="M792" s="10" t="s">
        <v>102</v>
      </c>
      <c r="N792" s="124" t="s">
        <v>373</v>
      </c>
      <c r="O792" s="124" t="s">
        <v>373</v>
      </c>
      <c r="P792" s="21">
        <v>34</v>
      </c>
      <c r="Q792" s="10" t="s">
        <v>54</v>
      </c>
      <c r="R792" s="10" t="s">
        <v>28</v>
      </c>
      <c r="S792" s="10"/>
      <c r="T792" s="10"/>
      <c r="U792" s="10" t="s">
        <v>1158</v>
      </c>
      <c r="V792" s="10" t="s">
        <v>1158</v>
      </c>
      <c r="W792" s="50">
        <f>+J792/$W$2</f>
        <v>1.5619251584989628E-4</v>
      </c>
    </row>
    <row r="793" spans="1:29">
      <c r="A793" s="10" t="s">
        <v>3398</v>
      </c>
      <c r="B793" s="10" t="s">
        <v>358</v>
      </c>
      <c r="C793" s="124">
        <v>46344</v>
      </c>
      <c r="D793" s="124" t="s">
        <v>471</v>
      </c>
      <c r="E793" s="21">
        <v>0.98276806999999999</v>
      </c>
      <c r="F793" s="10"/>
      <c r="G793" s="14">
        <v>1807987.1</v>
      </c>
      <c r="H793" s="14">
        <v>1776831.99</v>
      </c>
      <c r="I793" s="14">
        <v>1807987.1</v>
      </c>
      <c r="J793" s="14">
        <v>1776831.99</v>
      </c>
      <c r="K793" s="12">
        <v>5900410</v>
      </c>
      <c r="L793" s="10" t="s">
        <v>101</v>
      </c>
      <c r="M793" s="10" t="s">
        <v>102</v>
      </c>
      <c r="N793" s="124" t="s">
        <v>475</v>
      </c>
      <c r="O793" s="124" t="s">
        <v>475</v>
      </c>
      <c r="P793" s="21">
        <v>32</v>
      </c>
      <c r="Q793" s="10" t="s">
        <v>54</v>
      </c>
      <c r="R793" s="10" t="s">
        <v>28</v>
      </c>
      <c r="S793" s="10"/>
      <c r="T793" s="10"/>
      <c r="U793" s="10" t="s">
        <v>3362</v>
      </c>
      <c r="V793" s="10" t="s">
        <v>3362</v>
      </c>
      <c r="W793" s="50">
        <f>+J793/$W$2</f>
        <v>2.17460172990497E-5</v>
      </c>
    </row>
    <row r="794" spans="1:29">
      <c r="A794" s="10" t="s">
        <v>178</v>
      </c>
      <c r="B794" s="10" t="s">
        <v>358</v>
      </c>
      <c r="C794" s="124">
        <v>46344</v>
      </c>
      <c r="D794" s="124" t="s">
        <v>471</v>
      </c>
      <c r="E794" s="21">
        <v>0.98382753000000001</v>
      </c>
      <c r="F794" s="10"/>
      <c r="G794" s="14">
        <v>98736.93</v>
      </c>
      <c r="H794" s="14">
        <v>97140.11</v>
      </c>
      <c r="I794" s="14">
        <v>98736.93</v>
      </c>
      <c r="J794" s="14">
        <v>97140.11</v>
      </c>
      <c r="K794" s="12">
        <v>692212</v>
      </c>
      <c r="L794" s="10" t="s">
        <v>101</v>
      </c>
      <c r="M794" s="10" t="s">
        <v>102</v>
      </c>
      <c r="N794" s="124" t="s">
        <v>508</v>
      </c>
      <c r="O794" s="124" t="s">
        <v>508</v>
      </c>
      <c r="P794" s="21">
        <v>30</v>
      </c>
      <c r="Q794" s="10" t="s">
        <v>54</v>
      </c>
      <c r="R794" s="10" t="s">
        <v>28</v>
      </c>
      <c r="S794" s="10"/>
      <c r="T794" s="10"/>
      <c r="U794" s="10" t="s">
        <v>3047</v>
      </c>
      <c r="V794" s="10" t="s">
        <v>3047</v>
      </c>
      <c r="W794" s="50">
        <f>+J794/$W$2</f>
        <v>1.1888633952901707E-6</v>
      </c>
    </row>
    <row r="795" spans="1:29">
      <c r="A795" s="10" t="s">
        <v>178</v>
      </c>
      <c r="B795" s="10" t="s">
        <v>358</v>
      </c>
      <c r="C795" s="124">
        <v>46344</v>
      </c>
      <c r="D795" s="124" t="s">
        <v>471</v>
      </c>
      <c r="E795" s="21">
        <v>0.98382753000000001</v>
      </c>
      <c r="F795" s="10"/>
      <c r="G795" s="14">
        <v>98736.93</v>
      </c>
      <c r="H795" s="14">
        <v>97140.11</v>
      </c>
      <c r="I795" s="14">
        <v>98736.93</v>
      </c>
      <c r="J795" s="14">
        <v>97140.11</v>
      </c>
      <c r="K795" s="12">
        <v>692186</v>
      </c>
      <c r="L795" s="10" t="s">
        <v>101</v>
      </c>
      <c r="M795" s="10" t="s">
        <v>102</v>
      </c>
      <c r="N795" s="124" t="s">
        <v>508</v>
      </c>
      <c r="O795" s="124" t="s">
        <v>508</v>
      </c>
      <c r="P795" s="21">
        <v>30</v>
      </c>
      <c r="Q795" s="10" t="s">
        <v>54</v>
      </c>
      <c r="R795" s="10" t="s">
        <v>28</v>
      </c>
      <c r="S795" s="10"/>
      <c r="T795" s="10"/>
      <c r="U795" s="10" t="s">
        <v>3048</v>
      </c>
      <c r="V795" s="10" t="s">
        <v>3048</v>
      </c>
      <c r="W795" s="50">
        <f>+J795/$W$2</f>
        <v>1.1888633952901707E-6</v>
      </c>
    </row>
    <row r="796" spans="1:29">
      <c r="A796" s="10" t="s">
        <v>178</v>
      </c>
      <c r="B796" s="10" t="s">
        <v>358</v>
      </c>
      <c r="C796" s="124">
        <v>46344</v>
      </c>
      <c r="D796" s="124" t="s">
        <v>471</v>
      </c>
      <c r="E796" s="21">
        <v>0.98382753000000001</v>
      </c>
      <c r="F796" s="10"/>
      <c r="G796" s="14">
        <v>98736.93</v>
      </c>
      <c r="H796" s="14">
        <v>97140.11</v>
      </c>
      <c r="I796" s="14">
        <v>98736.93</v>
      </c>
      <c r="J796" s="14">
        <v>97140.11</v>
      </c>
      <c r="K796" s="12">
        <v>692221</v>
      </c>
      <c r="L796" s="10" t="s">
        <v>101</v>
      </c>
      <c r="M796" s="10" t="s">
        <v>102</v>
      </c>
      <c r="N796" s="124" t="s">
        <v>508</v>
      </c>
      <c r="O796" s="124" t="s">
        <v>508</v>
      </c>
      <c r="P796" s="21">
        <v>30</v>
      </c>
      <c r="Q796" s="10" t="s">
        <v>54</v>
      </c>
      <c r="R796" s="10" t="s">
        <v>28</v>
      </c>
      <c r="S796" s="10"/>
      <c r="T796" s="10"/>
      <c r="U796" s="10" t="s">
        <v>3049</v>
      </c>
      <c r="V796" s="10" t="s">
        <v>3049</v>
      </c>
      <c r="W796" s="50">
        <f>+J796/$W$2</f>
        <v>1.1888633952901707E-6</v>
      </c>
    </row>
    <row r="797" spans="1:29">
      <c r="A797" s="10" t="s">
        <v>178</v>
      </c>
      <c r="B797" s="10" t="s">
        <v>358</v>
      </c>
      <c r="C797" s="124">
        <v>46344</v>
      </c>
      <c r="D797" s="124" t="s">
        <v>471</v>
      </c>
      <c r="E797" s="21">
        <v>0.98382753000000001</v>
      </c>
      <c r="F797" s="10"/>
      <c r="G797" s="14">
        <v>98736.93</v>
      </c>
      <c r="H797" s="14">
        <v>97140.11</v>
      </c>
      <c r="I797" s="14">
        <v>98736.93</v>
      </c>
      <c r="J797" s="14">
        <v>97140.11</v>
      </c>
      <c r="K797" s="12">
        <v>692197</v>
      </c>
      <c r="L797" s="10" t="s">
        <v>101</v>
      </c>
      <c r="M797" s="10" t="s">
        <v>102</v>
      </c>
      <c r="N797" s="124" t="s">
        <v>508</v>
      </c>
      <c r="O797" s="124" t="s">
        <v>508</v>
      </c>
      <c r="P797" s="21">
        <v>30</v>
      </c>
      <c r="Q797" s="10" t="s">
        <v>54</v>
      </c>
      <c r="R797" s="10" t="s">
        <v>28</v>
      </c>
      <c r="S797" s="10"/>
      <c r="T797" s="10"/>
      <c r="U797" s="10" t="s">
        <v>3050</v>
      </c>
      <c r="V797" s="10" t="s">
        <v>3050</v>
      </c>
      <c r="W797" s="50">
        <f>+J797/$W$2</f>
        <v>1.1888633952901707E-6</v>
      </c>
    </row>
    <row r="798" spans="1:29">
      <c r="A798" s="10" t="s">
        <v>178</v>
      </c>
      <c r="B798" s="10" t="s">
        <v>358</v>
      </c>
      <c r="C798" s="124">
        <v>46344</v>
      </c>
      <c r="D798" s="124" t="s">
        <v>471</v>
      </c>
      <c r="E798" s="21">
        <v>0.98542118000000001</v>
      </c>
      <c r="F798" s="10"/>
      <c r="G798" s="14">
        <v>918585.17</v>
      </c>
      <c r="H798" s="14">
        <v>905193.28</v>
      </c>
      <c r="I798" s="14">
        <v>918585.17</v>
      </c>
      <c r="J798" s="14">
        <v>905193.28</v>
      </c>
      <c r="K798" s="12">
        <v>677250</v>
      </c>
      <c r="L798" s="10" t="s">
        <v>101</v>
      </c>
      <c r="M798" s="10" t="s">
        <v>102</v>
      </c>
      <c r="N798" s="124" t="s">
        <v>486</v>
      </c>
      <c r="O798" s="124" t="s">
        <v>486</v>
      </c>
      <c r="P798" s="21">
        <v>27</v>
      </c>
      <c r="Q798" s="10" t="s">
        <v>54</v>
      </c>
      <c r="R798" s="10" t="s">
        <v>28</v>
      </c>
      <c r="S798" s="10"/>
      <c r="T798" s="10"/>
      <c r="U798" s="10" t="s">
        <v>1456</v>
      </c>
      <c r="V798" s="10" t="s">
        <v>1456</v>
      </c>
      <c r="W798" s="50">
        <f>+J798/$W$2</f>
        <v>1.107833989743934E-5</v>
      </c>
    </row>
    <row r="799" spans="1:29">
      <c r="A799" s="10" t="s">
        <v>178</v>
      </c>
      <c r="B799" s="10" t="s">
        <v>358</v>
      </c>
      <c r="C799" s="124">
        <v>46344</v>
      </c>
      <c r="D799" s="124" t="s">
        <v>471</v>
      </c>
      <c r="E799" s="21">
        <v>0.98542118000000001</v>
      </c>
      <c r="F799" s="10"/>
      <c r="G799" s="14">
        <v>918585.17</v>
      </c>
      <c r="H799" s="14">
        <v>905193.28</v>
      </c>
      <c r="I799" s="14">
        <v>918585.17</v>
      </c>
      <c r="J799" s="14">
        <v>905193.28</v>
      </c>
      <c r="K799" s="12">
        <v>677264</v>
      </c>
      <c r="L799" s="10" t="s">
        <v>101</v>
      </c>
      <c r="M799" s="10" t="s">
        <v>102</v>
      </c>
      <c r="N799" s="124" t="s">
        <v>486</v>
      </c>
      <c r="O799" s="124" t="s">
        <v>486</v>
      </c>
      <c r="P799" s="21">
        <v>27</v>
      </c>
      <c r="Q799" s="10" t="s">
        <v>54</v>
      </c>
      <c r="R799" s="10" t="s">
        <v>28</v>
      </c>
      <c r="S799" s="10"/>
      <c r="T799" s="10"/>
      <c r="U799" s="10" t="s">
        <v>1459</v>
      </c>
      <c r="V799" s="10" t="s">
        <v>1459</v>
      </c>
      <c r="W799" s="50">
        <f>+J799/$W$2</f>
        <v>1.107833989743934E-5</v>
      </c>
    </row>
    <row r="800" spans="1:29">
      <c r="A800" s="10" t="s">
        <v>178</v>
      </c>
      <c r="B800" s="10" t="s">
        <v>358</v>
      </c>
      <c r="C800" s="124">
        <v>46344</v>
      </c>
      <c r="D800" s="124" t="s">
        <v>471</v>
      </c>
      <c r="E800" s="21">
        <v>0.98542118000000001</v>
      </c>
      <c r="F800" s="10"/>
      <c r="G800" s="14">
        <v>918585.17</v>
      </c>
      <c r="H800" s="14">
        <v>905193.28</v>
      </c>
      <c r="I800" s="14">
        <v>918585.17</v>
      </c>
      <c r="J800" s="14">
        <v>905193.28</v>
      </c>
      <c r="K800" s="12">
        <v>670020</v>
      </c>
      <c r="L800" s="10" t="s">
        <v>101</v>
      </c>
      <c r="M800" s="10" t="s">
        <v>102</v>
      </c>
      <c r="N800" s="124" t="s">
        <v>486</v>
      </c>
      <c r="O800" s="124" t="s">
        <v>486</v>
      </c>
      <c r="P800" s="21">
        <v>27</v>
      </c>
      <c r="Q800" s="10" t="s">
        <v>54</v>
      </c>
      <c r="R800" s="10" t="s">
        <v>28</v>
      </c>
      <c r="S800" s="10"/>
      <c r="T800" s="10"/>
      <c r="U800" s="10" t="s">
        <v>1464</v>
      </c>
      <c r="V800" s="10" t="s">
        <v>1464</v>
      </c>
      <c r="W800" s="50">
        <f>+J800/$W$2</f>
        <v>1.107833989743934E-5</v>
      </c>
    </row>
    <row r="801" spans="1:29">
      <c r="A801" s="10" t="s">
        <v>178</v>
      </c>
      <c r="B801" s="10" t="s">
        <v>358</v>
      </c>
      <c r="C801" s="124">
        <v>46344</v>
      </c>
      <c r="D801" s="124" t="s">
        <v>471</v>
      </c>
      <c r="E801" s="21">
        <v>0.98542118000000001</v>
      </c>
      <c r="F801" s="10"/>
      <c r="G801" s="14">
        <v>918585.17</v>
      </c>
      <c r="H801" s="14">
        <v>905193.28</v>
      </c>
      <c r="I801" s="14">
        <v>918585.17</v>
      </c>
      <c r="J801" s="14">
        <v>905193.28</v>
      </c>
      <c r="K801" s="12">
        <v>677274</v>
      </c>
      <c r="L801" s="10" t="s">
        <v>101</v>
      </c>
      <c r="M801" s="10" t="s">
        <v>102</v>
      </c>
      <c r="N801" s="124" t="s">
        <v>486</v>
      </c>
      <c r="O801" s="124" t="s">
        <v>486</v>
      </c>
      <c r="P801" s="21">
        <v>27</v>
      </c>
      <c r="Q801" s="10" t="s">
        <v>54</v>
      </c>
      <c r="R801" s="10" t="s">
        <v>28</v>
      </c>
      <c r="S801" s="10"/>
      <c r="T801" s="10"/>
      <c r="U801" s="10" t="s">
        <v>1465</v>
      </c>
      <c r="V801" s="10" t="s">
        <v>1465</v>
      </c>
      <c r="W801" s="50">
        <f>+J801/$W$2</f>
        <v>1.107833989743934E-5</v>
      </c>
    </row>
    <row r="802" spans="1:29">
      <c r="A802" s="10" t="s">
        <v>178</v>
      </c>
      <c r="B802" s="10" t="s">
        <v>358</v>
      </c>
      <c r="C802" s="124">
        <v>46344</v>
      </c>
      <c r="D802" s="124" t="s">
        <v>471</v>
      </c>
      <c r="E802" s="21">
        <v>0.98488940000000003</v>
      </c>
      <c r="F802" s="10"/>
      <c r="G802" s="14">
        <v>16797939.449999999</v>
      </c>
      <c r="H802" s="14">
        <v>16544112.529999999</v>
      </c>
      <c r="I802" s="14">
        <v>16797939.449999999</v>
      </c>
      <c r="J802" s="14">
        <v>16544112.529999999</v>
      </c>
      <c r="K802" s="12">
        <v>598437</v>
      </c>
      <c r="L802" s="10" t="s">
        <v>101</v>
      </c>
      <c r="M802" s="10" t="s">
        <v>102</v>
      </c>
      <c r="N802" s="124" t="s">
        <v>485</v>
      </c>
      <c r="O802" s="124" t="s">
        <v>485</v>
      </c>
      <c r="P802" s="21">
        <v>28</v>
      </c>
      <c r="Q802" s="10" t="s">
        <v>54</v>
      </c>
      <c r="R802" s="10" t="s">
        <v>28</v>
      </c>
      <c r="S802" s="10"/>
      <c r="T802" s="10"/>
      <c r="U802" s="10" t="s">
        <v>937</v>
      </c>
      <c r="V802" s="10" t="s">
        <v>937</v>
      </c>
      <c r="W802" s="50">
        <f>+J802/$W$2</f>
        <v>2.0247753265338546E-4</v>
      </c>
    </row>
    <row r="803" spans="1:29">
      <c r="A803" s="10" t="s">
        <v>178</v>
      </c>
      <c r="B803" s="10" t="s">
        <v>358</v>
      </c>
      <c r="C803" s="124">
        <v>46344</v>
      </c>
      <c r="D803" s="124" t="s">
        <v>471</v>
      </c>
      <c r="E803" s="21">
        <v>0.98488940000000003</v>
      </c>
      <c r="F803" s="10"/>
      <c r="G803" s="14">
        <v>7158904.5</v>
      </c>
      <c r="H803" s="14">
        <v>7050729.1600000001</v>
      </c>
      <c r="I803" s="14">
        <v>7158904.5</v>
      </c>
      <c r="J803" s="14">
        <v>7050729.1600000001</v>
      </c>
      <c r="K803" s="12">
        <v>654496</v>
      </c>
      <c r="L803" s="10" t="s">
        <v>101</v>
      </c>
      <c r="M803" s="10" t="s">
        <v>102</v>
      </c>
      <c r="N803" s="124" t="s">
        <v>485</v>
      </c>
      <c r="O803" s="124" t="s">
        <v>485</v>
      </c>
      <c r="P803" s="21">
        <v>28</v>
      </c>
      <c r="Q803" s="10" t="s">
        <v>54</v>
      </c>
      <c r="R803" s="10" t="s">
        <v>28</v>
      </c>
      <c r="S803" s="10"/>
      <c r="T803" s="10"/>
      <c r="U803" s="10" t="s">
        <v>932</v>
      </c>
      <c r="V803" s="10" t="s">
        <v>932</v>
      </c>
      <c r="W803" s="50">
        <f>+J803/$W$2</f>
        <v>8.629137653260855E-5</v>
      </c>
    </row>
    <row r="804" spans="1:29">
      <c r="A804" s="10" t="s">
        <v>178</v>
      </c>
      <c r="B804" s="10" t="s">
        <v>358</v>
      </c>
      <c r="C804" s="124">
        <v>46344</v>
      </c>
      <c r="D804" s="124" t="s">
        <v>471</v>
      </c>
      <c r="E804" s="21">
        <v>0.98488940000000003</v>
      </c>
      <c r="F804" s="10"/>
      <c r="G804" s="14">
        <v>15011972.220000001</v>
      </c>
      <c r="H804" s="14">
        <v>14785132.34</v>
      </c>
      <c r="I804" s="14">
        <v>15011972.220000001</v>
      </c>
      <c r="J804" s="14">
        <v>14785132.34</v>
      </c>
      <c r="K804" s="12">
        <v>654215</v>
      </c>
      <c r="L804" s="10" t="s">
        <v>101</v>
      </c>
      <c r="M804" s="10" t="s">
        <v>102</v>
      </c>
      <c r="N804" s="124" t="s">
        <v>485</v>
      </c>
      <c r="O804" s="124" t="s">
        <v>485</v>
      </c>
      <c r="P804" s="21">
        <v>28</v>
      </c>
      <c r="Q804" s="10" t="s">
        <v>54</v>
      </c>
      <c r="R804" s="10" t="s">
        <v>28</v>
      </c>
      <c r="S804" s="10"/>
      <c r="T804" s="10"/>
      <c r="U804" s="10" t="s">
        <v>933</v>
      </c>
      <c r="V804" s="10" t="s">
        <v>933</v>
      </c>
      <c r="W804" s="50">
        <f>+J804/$W$2</f>
        <v>1.809499972106981E-4</v>
      </c>
    </row>
    <row r="805" spans="1:29">
      <c r="A805" s="10" t="s">
        <v>178</v>
      </c>
      <c r="B805" s="10" t="s">
        <v>358</v>
      </c>
      <c r="C805" s="124">
        <v>46344</v>
      </c>
      <c r="D805" s="124" t="s">
        <v>471</v>
      </c>
      <c r="E805" s="21">
        <v>0.98488940000000003</v>
      </c>
      <c r="F805" s="10"/>
      <c r="G805" s="14">
        <v>8829623.3000000007</v>
      </c>
      <c r="H805" s="14">
        <v>8696202.4100000001</v>
      </c>
      <c r="I805" s="14">
        <v>8829623.3000000007</v>
      </c>
      <c r="J805" s="14">
        <v>8696202.4100000001</v>
      </c>
      <c r="K805" s="12">
        <v>636510</v>
      </c>
      <c r="L805" s="10" t="s">
        <v>101</v>
      </c>
      <c r="M805" s="10" t="s">
        <v>102</v>
      </c>
      <c r="N805" s="124" t="s">
        <v>485</v>
      </c>
      <c r="O805" s="124" t="s">
        <v>485</v>
      </c>
      <c r="P805" s="21">
        <v>28</v>
      </c>
      <c r="Q805" s="10" t="s">
        <v>54</v>
      </c>
      <c r="R805" s="10" t="s">
        <v>28</v>
      </c>
      <c r="S805" s="10"/>
      <c r="T805" s="10"/>
      <c r="U805" s="10" t="s">
        <v>934</v>
      </c>
      <c r="V805" s="10" t="s">
        <v>934</v>
      </c>
      <c r="W805" s="50">
        <f>+J805/$W$2</f>
        <v>1.0642974074543631E-4</v>
      </c>
    </row>
    <row r="806" spans="1:29">
      <c r="A806" s="10" t="s">
        <v>506</v>
      </c>
      <c r="B806" s="10" t="s">
        <v>358</v>
      </c>
      <c r="C806" s="124">
        <v>46344</v>
      </c>
      <c r="D806" s="124" t="s">
        <v>471</v>
      </c>
      <c r="E806" s="21">
        <v>0.98382751000000002</v>
      </c>
      <c r="F806" s="10"/>
      <c r="G806" s="14">
        <v>50000000</v>
      </c>
      <c r="H806" s="14">
        <v>49191375.490000002</v>
      </c>
      <c r="I806" s="14">
        <v>50000000</v>
      </c>
      <c r="J806" s="14">
        <v>49191375.490000002</v>
      </c>
      <c r="K806" s="12">
        <v>68016</v>
      </c>
      <c r="L806" s="10" t="s">
        <v>101</v>
      </c>
      <c r="M806" s="10" t="s">
        <v>102</v>
      </c>
      <c r="N806" s="124" t="s">
        <v>344</v>
      </c>
      <c r="O806" s="124" t="s">
        <v>344</v>
      </c>
      <c r="P806" s="21">
        <v>30</v>
      </c>
      <c r="Q806" s="10" t="s">
        <v>54</v>
      </c>
      <c r="R806" s="10" t="s">
        <v>28</v>
      </c>
      <c r="S806" s="10"/>
      <c r="T806" s="10"/>
      <c r="U806" s="10" t="s">
        <v>828</v>
      </c>
      <c r="V806" s="10" t="s">
        <v>828</v>
      </c>
      <c r="W806" s="50">
        <f>+J806/$W$2</f>
        <v>6.0203581902506685E-4</v>
      </c>
    </row>
    <row r="807" spans="1:29">
      <c r="A807" s="10" t="s">
        <v>832</v>
      </c>
      <c r="B807" s="10" t="s">
        <v>358</v>
      </c>
      <c r="C807" s="124">
        <v>46344</v>
      </c>
      <c r="D807" s="124" t="s">
        <v>471</v>
      </c>
      <c r="E807" s="21">
        <v>0.98223864999999999</v>
      </c>
      <c r="F807" s="10"/>
      <c r="G807" s="14">
        <v>12839.68</v>
      </c>
      <c r="H807" s="14">
        <v>12611.63</v>
      </c>
      <c r="I807" s="14">
        <v>12839.68</v>
      </c>
      <c r="J807" s="14">
        <v>12611.63</v>
      </c>
      <c r="K807" s="12">
        <v>30101604</v>
      </c>
      <c r="L807" s="10" t="s">
        <v>101</v>
      </c>
      <c r="M807" s="10" t="s">
        <v>102</v>
      </c>
      <c r="N807" s="124" t="s">
        <v>408</v>
      </c>
      <c r="O807" s="124" t="s">
        <v>408</v>
      </c>
      <c r="P807" s="21">
        <v>33</v>
      </c>
      <c r="Q807" s="10" t="s">
        <v>54</v>
      </c>
      <c r="R807" s="10" t="s">
        <v>28</v>
      </c>
      <c r="S807" s="10"/>
      <c r="T807" s="10"/>
      <c r="U807" s="10" t="s">
        <v>2047</v>
      </c>
      <c r="V807" s="10" t="s">
        <v>2047</v>
      </c>
      <c r="W807" s="50">
        <f>+J807/$W$2</f>
        <v>1.5434927201485951E-7</v>
      </c>
    </row>
    <row r="808" spans="1:29">
      <c r="A808" s="10" t="s">
        <v>832</v>
      </c>
      <c r="B808" s="10" t="s">
        <v>358</v>
      </c>
      <c r="C808" s="124">
        <v>46344</v>
      </c>
      <c r="D808" s="124" t="s">
        <v>471</v>
      </c>
      <c r="E808" s="21">
        <v>0.98223890000000003</v>
      </c>
      <c r="F808" s="10"/>
      <c r="G808" s="14">
        <v>165489.23000000001</v>
      </c>
      <c r="H808" s="14">
        <v>162549.96</v>
      </c>
      <c r="I808" s="14">
        <v>165489.23000000001</v>
      </c>
      <c r="J808" s="14">
        <v>162549.96</v>
      </c>
      <c r="K808" s="12">
        <v>30101248</v>
      </c>
      <c r="L808" s="10" t="s">
        <v>101</v>
      </c>
      <c r="M808" s="10" t="s">
        <v>102</v>
      </c>
      <c r="N808" s="124" t="s">
        <v>397</v>
      </c>
      <c r="O808" s="124" t="s">
        <v>397</v>
      </c>
      <c r="P808" s="21">
        <v>33</v>
      </c>
      <c r="Q808" s="10" t="s">
        <v>54</v>
      </c>
      <c r="R808" s="10" t="s">
        <v>28</v>
      </c>
      <c r="S808" s="10"/>
      <c r="T808" s="10"/>
      <c r="U808" s="10" t="s">
        <v>1889</v>
      </c>
      <c r="V808" s="10" t="s">
        <v>1889</v>
      </c>
      <c r="W808" s="50">
        <f>+J808/$W$2</f>
        <v>1.9893913785961475E-6</v>
      </c>
    </row>
    <row r="809" spans="1:29">
      <c r="A809" s="10" t="s">
        <v>286</v>
      </c>
      <c r="B809" s="10" t="s">
        <v>358</v>
      </c>
      <c r="C809" s="124">
        <v>46344</v>
      </c>
      <c r="D809" s="124" t="s">
        <v>471</v>
      </c>
      <c r="E809" s="21">
        <v>0.98223899000000003</v>
      </c>
      <c r="F809" s="10"/>
      <c r="G809" s="14">
        <v>6500000</v>
      </c>
      <c r="H809" s="14">
        <v>6384553.4100000001</v>
      </c>
      <c r="I809" s="14">
        <v>6500000</v>
      </c>
      <c r="J809" s="14">
        <v>6384553.4100000001</v>
      </c>
      <c r="K809" s="12">
        <v>50791</v>
      </c>
      <c r="L809" s="10" t="s">
        <v>101</v>
      </c>
      <c r="M809" s="10" t="s">
        <v>102</v>
      </c>
      <c r="N809" s="124" t="s">
        <v>447</v>
      </c>
      <c r="O809" s="124" t="s">
        <v>447</v>
      </c>
      <c r="P809" s="21">
        <v>33</v>
      </c>
      <c r="Q809" s="10" t="s">
        <v>54</v>
      </c>
      <c r="R809" s="10" t="s">
        <v>28</v>
      </c>
      <c r="S809" s="10"/>
      <c r="T809" s="10"/>
      <c r="U809" s="10" t="s">
        <v>1612</v>
      </c>
      <c r="V809" s="10" t="s">
        <v>1612</v>
      </c>
      <c r="W809" s="50">
        <f>+J809/$W$2</f>
        <v>7.8138287515054668E-5</v>
      </c>
    </row>
    <row r="810" spans="1:29">
      <c r="A810" s="10" t="s">
        <v>220</v>
      </c>
      <c r="B810" s="10" t="s">
        <v>358</v>
      </c>
      <c r="C810" s="124">
        <v>46344</v>
      </c>
      <c r="D810" s="124" t="s">
        <v>471</v>
      </c>
      <c r="E810" s="21">
        <v>0.98223901000000002</v>
      </c>
      <c r="F810" s="10"/>
      <c r="G810" s="14">
        <v>25000000</v>
      </c>
      <c r="H810" s="14">
        <v>24555975.370000001</v>
      </c>
      <c r="I810" s="14">
        <v>25000000</v>
      </c>
      <c r="J810" s="14">
        <v>24555975.370000001</v>
      </c>
      <c r="K810" s="12">
        <v>475884</v>
      </c>
      <c r="L810" s="10" t="s">
        <v>101</v>
      </c>
      <c r="M810" s="10" t="s">
        <v>102</v>
      </c>
      <c r="N810" s="124" t="s">
        <v>332</v>
      </c>
      <c r="O810" s="124" t="s">
        <v>332</v>
      </c>
      <c r="P810" s="21">
        <v>33</v>
      </c>
      <c r="Q810" s="10" t="s">
        <v>54</v>
      </c>
      <c r="R810" s="10" t="s">
        <v>28</v>
      </c>
      <c r="S810" s="10"/>
      <c r="T810" s="10"/>
      <c r="U810" s="10" t="s">
        <v>921</v>
      </c>
      <c r="V810" s="10" t="s">
        <v>921</v>
      </c>
      <c r="W810" s="50">
        <f>+J810/$W$2</f>
        <v>3.0053188382265584E-4</v>
      </c>
    </row>
    <row r="811" spans="1:29">
      <c r="A811" s="10" t="s">
        <v>1765</v>
      </c>
      <c r="B811" s="10" t="s">
        <v>358</v>
      </c>
      <c r="C811" s="124">
        <v>46344</v>
      </c>
      <c r="D811" s="124" t="s">
        <v>471</v>
      </c>
      <c r="E811" s="21">
        <v>0.98223901000000002</v>
      </c>
      <c r="F811" s="10"/>
      <c r="G811" s="14">
        <v>685128.94</v>
      </c>
      <c r="H811" s="14">
        <v>672960.37</v>
      </c>
      <c r="I811" s="14">
        <v>685128.94</v>
      </c>
      <c r="J811" s="14">
        <v>672960.37</v>
      </c>
      <c r="K811" s="12">
        <v>19403</v>
      </c>
      <c r="L811" s="10" t="s">
        <v>101</v>
      </c>
      <c r="M811" s="10" t="s">
        <v>102</v>
      </c>
      <c r="N811" s="124" t="s">
        <v>398</v>
      </c>
      <c r="O811" s="124" t="s">
        <v>398</v>
      </c>
      <c r="P811" s="21">
        <v>33</v>
      </c>
      <c r="Q811" s="10" t="s">
        <v>54</v>
      </c>
      <c r="R811" s="10" t="s">
        <v>28</v>
      </c>
      <c r="S811" s="10"/>
      <c r="T811" s="10"/>
      <c r="U811" s="10" t="s">
        <v>1653</v>
      </c>
      <c r="V811" s="10" t="s">
        <v>1653</v>
      </c>
      <c r="W811" s="50">
        <f>+J811/$W$2</f>
        <v>8.2361235783439966E-6</v>
      </c>
    </row>
    <row r="812" spans="1:29">
      <c r="A812" s="10" t="s">
        <v>1765</v>
      </c>
      <c r="B812" s="10" t="s">
        <v>358</v>
      </c>
      <c r="C812" s="124">
        <v>46344</v>
      </c>
      <c r="D812" s="124" t="s">
        <v>471</v>
      </c>
      <c r="E812" s="21">
        <v>0.98223901000000002</v>
      </c>
      <c r="F812" s="10"/>
      <c r="G812" s="14">
        <v>685128.94</v>
      </c>
      <c r="H812" s="14">
        <v>672960.37</v>
      </c>
      <c r="I812" s="14">
        <v>685128.94</v>
      </c>
      <c r="J812" s="14">
        <v>672960.37</v>
      </c>
      <c r="K812" s="12">
        <v>19402</v>
      </c>
      <c r="L812" s="10" t="s">
        <v>101</v>
      </c>
      <c r="M812" s="10" t="s">
        <v>102</v>
      </c>
      <c r="N812" s="124" t="s">
        <v>398</v>
      </c>
      <c r="O812" s="124" t="s">
        <v>398</v>
      </c>
      <c r="P812" s="21">
        <v>33</v>
      </c>
      <c r="Q812" s="10" t="s">
        <v>54</v>
      </c>
      <c r="R812" s="10" t="s">
        <v>28</v>
      </c>
      <c r="S812" s="10"/>
      <c r="T812" s="10"/>
      <c r="U812" s="10" t="s">
        <v>1654</v>
      </c>
      <c r="V812" s="10" t="s">
        <v>1654</v>
      </c>
      <c r="W812" s="50">
        <f>+J812/$W$2</f>
        <v>8.2361235783439966E-6</v>
      </c>
      <c r="AC812" s="47"/>
    </row>
    <row r="813" spans="1:29">
      <c r="A813" s="10" t="s">
        <v>1765</v>
      </c>
      <c r="B813" s="10" t="s">
        <v>358</v>
      </c>
      <c r="C813" s="124">
        <v>46344</v>
      </c>
      <c r="D813" s="124" t="s">
        <v>471</v>
      </c>
      <c r="E813" s="21">
        <v>0.98223899000000003</v>
      </c>
      <c r="F813" s="10"/>
      <c r="G813" s="14">
        <v>686128.26</v>
      </c>
      <c r="H813" s="14">
        <v>673941.93</v>
      </c>
      <c r="I813" s="14">
        <v>686128.26</v>
      </c>
      <c r="J813" s="14">
        <v>673941.93</v>
      </c>
      <c r="K813" s="12">
        <v>19386</v>
      </c>
      <c r="L813" s="10" t="s">
        <v>101</v>
      </c>
      <c r="M813" s="10" t="s">
        <v>102</v>
      </c>
      <c r="N813" s="124" t="s">
        <v>398</v>
      </c>
      <c r="O813" s="124" t="s">
        <v>398</v>
      </c>
      <c r="P813" s="21">
        <v>33</v>
      </c>
      <c r="Q813" s="10" t="s">
        <v>54</v>
      </c>
      <c r="R813" s="10" t="s">
        <v>28</v>
      </c>
      <c r="S813" s="10"/>
      <c r="T813" s="10"/>
      <c r="U813" s="10" t="s">
        <v>1655</v>
      </c>
      <c r="V813" s="10" t="s">
        <v>1655</v>
      </c>
      <c r="W813" s="50">
        <f>+J813/$W$2</f>
        <v>8.2481365434753023E-6</v>
      </c>
    </row>
    <row r="814" spans="1:29">
      <c r="A814" s="10" t="s">
        <v>1765</v>
      </c>
      <c r="B814" s="10" t="s">
        <v>358</v>
      </c>
      <c r="C814" s="124">
        <v>46344</v>
      </c>
      <c r="D814" s="124" t="s">
        <v>471</v>
      </c>
      <c r="E814" s="21">
        <v>0.98223899000000003</v>
      </c>
      <c r="F814" s="10"/>
      <c r="G814" s="14">
        <v>686128.26</v>
      </c>
      <c r="H814" s="14">
        <v>673941.93</v>
      </c>
      <c r="I814" s="14">
        <v>686128.26</v>
      </c>
      <c r="J814" s="14">
        <v>673941.93</v>
      </c>
      <c r="K814" s="12">
        <v>19387</v>
      </c>
      <c r="L814" s="10" t="s">
        <v>101</v>
      </c>
      <c r="M814" s="10" t="s">
        <v>102</v>
      </c>
      <c r="N814" s="124" t="s">
        <v>398</v>
      </c>
      <c r="O814" s="124" t="s">
        <v>398</v>
      </c>
      <c r="P814" s="21">
        <v>33</v>
      </c>
      <c r="Q814" s="10" t="s">
        <v>54</v>
      </c>
      <c r="R814" s="10" t="s">
        <v>28</v>
      </c>
      <c r="S814" s="10"/>
      <c r="T814" s="10"/>
      <c r="U814" s="10" t="s">
        <v>1656</v>
      </c>
      <c r="V814" s="10" t="s">
        <v>1656</v>
      </c>
      <c r="W814" s="50">
        <f>+J814/$W$2</f>
        <v>8.2481365434753023E-6</v>
      </c>
    </row>
    <row r="815" spans="1:29">
      <c r="A815" s="10" t="s">
        <v>1310</v>
      </c>
      <c r="B815" s="10" t="s">
        <v>358</v>
      </c>
      <c r="C815" s="124">
        <v>46344</v>
      </c>
      <c r="D815" s="124" t="s">
        <v>471</v>
      </c>
      <c r="E815" s="21">
        <v>0.98065561999999995</v>
      </c>
      <c r="F815" s="10"/>
      <c r="G815" s="14">
        <v>30000000</v>
      </c>
      <c r="H815" s="14">
        <v>29419668.52</v>
      </c>
      <c r="I815" s="14">
        <v>30000000</v>
      </c>
      <c r="J815" s="14">
        <v>29419668.52</v>
      </c>
      <c r="K815" s="12">
        <v>10978198</v>
      </c>
      <c r="L815" s="10" t="s">
        <v>101</v>
      </c>
      <c r="M815" s="10" t="s">
        <v>102</v>
      </c>
      <c r="N815" s="124" t="s">
        <v>162</v>
      </c>
      <c r="O815" s="124" t="s">
        <v>162</v>
      </c>
      <c r="P815" s="21">
        <v>36</v>
      </c>
      <c r="Q815" s="10" t="s">
        <v>54</v>
      </c>
      <c r="R815" s="10" t="s">
        <v>28</v>
      </c>
      <c r="S815" s="10"/>
      <c r="T815" s="10"/>
      <c r="U815" s="10" t="s">
        <v>1297</v>
      </c>
      <c r="V815" s="10" t="s">
        <v>1297</v>
      </c>
      <c r="W815" s="50">
        <f>+J815/$W$2</f>
        <v>3.600569013664752E-4</v>
      </c>
      <c r="AC815" s="47"/>
    </row>
    <row r="816" spans="1:29">
      <c r="A816" s="10" t="s">
        <v>583</v>
      </c>
      <c r="B816" s="10" t="s">
        <v>358</v>
      </c>
      <c r="C816" s="124">
        <v>46344</v>
      </c>
      <c r="D816" s="124" t="s">
        <v>471</v>
      </c>
      <c r="E816" s="21">
        <v>0.97960283999999997</v>
      </c>
      <c r="F816" s="10"/>
      <c r="G816" s="14">
        <v>42000000</v>
      </c>
      <c r="H816" s="14">
        <v>41143319.460000001</v>
      </c>
      <c r="I816" s="14">
        <v>42000000</v>
      </c>
      <c r="J816" s="14">
        <v>41143319.460000001</v>
      </c>
      <c r="K816" s="12">
        <v>163282</v>
      </c>
      <c r="L816" s="10" t="s">
        <v>101</v>
      </c>
      <c r="M816" s="10" t="s">
        <v>102</v>
      </c>
      <c r="N816" s="124" t="s">
        <v>398</v>
      </c>
      <c r="O816" s="124" t="s">
        <v>398</v>
      </c>
      <c r="P816" s="21">
        <v>38</v>
      </c>
      <c r="Q816" s="10" t="s">
        <v>54</v>
      </c>
      <c r="R816" s="10" t="s">
        <v>28</v>
      </c>
      <c r="S816" s="10"/>
      <c r="T816" s="10"/>
      <c r="U816" s="10" t="s">
        <v>1676</v>
      </c>
      <c r="V816" s="10" t="s">
        <v>1676</v>
      </c>
      <c r="W816" s="50">
        <f>+J816/$W$2</f>
        <v>5.0353851222449458E-4</v>
      </c>
    </row>
    <row r="817" spans="1:29">
      <c r="A817" s="10" t="s">
        <v>1537</v>
      </c>
      <c r="B817" s="10" t="s">
        <v>358</v>
      </c>
      <c r="C817" s="124">
        <v>46344</v>
      </c>
      <c r="D817" s="124" t="s">
        <v>471</v>
      </c>
      <c r="E817" s="21">
        <v>0.98382760999999996</v>
      </c>
      <c r="F817" s="10"/>
      <c r="G817" s="14">
        <v>50000000</v>
      </c>
      <c r="H817" s="14">
        <v>49191380.530000001</v>
      </c>
      <c r="I817" s="14">
        <v>50000000</v>
      </c>
      <c r="J817" s="14">
        <v>49191380.530000001</v>
      </c>
      <c r="K817" s="12">
        <v>16836872</v>
      </c>
      <c r="L817" s="10" t="s">
        <v>101</v>
      </c>
      <c r="M817" s="10" t="s">
        <v>102</v>
      </c>
      <c r="N817" s="124" t="s">
        <v>448</v>
      </c>
      <c r="O817" s="124" t="s">
        <v>448</v>
      </c>
      <c r="P817" s="21">
        <v>30</v>
      </c>
      <c r="Q817" s="10" t="s">
        <v>54</v>
      </c>
      <c r="R817" s="10" t="s">
        <v>28</v>
      </c>
      <c r="S817" s="10"/>
      <c r="T817" s="10"/>
      <c r="U817" s="10" t="s">
        <v>3162</v>
      </c>
      <c r="V817" s="10" t="s">
        <v>3162</v>
      </c>
      <c r="W817" s="50">
        <f>+J817/$W$2</f>
        <v>6.020358807078414E-4</v>
      </c>
    </row>
    <row r="818" spans="1:29">
      <c r="A818" s="10" t="s">
        <v>433</v>
      </c>
      <c r="B818" s="10" t="s">
        <v>358</v>
      </c>
      <c r="C818" s="124">
        <v>46344</v>
      </c>
      <c r="D818" s="124" t="s">
        <v>471</v>
      </c>
      <c r="E818" s="21">
        <v>0.98223903999999995</v>
      </c>
      <c r="F818" s="10"/>
      <c r="G818" s="14">
        <v>25000000</v>
      </c>
      <c r="H818" s="14">
        <v>24555976.030000001</v>
      </c>
      <c r="I818" s="14">
        <v>25000000</v>
      </c>
      <c r="J818" s="14">
        <v>24555976.030000001</v>
      </c>
      <c r="K818" s="12">
        <v>14422595</v>
      </c>
      <c r="L818" s="10" t="s">
        <v>101</v>
      </c>
      <c r="M818" s="10" t="s">
        <v>102</v>
      </c>
      <c r="N818" s="124" t="s">
        <v>365</v>
      </c>
      <c r="O818" s="124" t="s">
        <v>365</v>
      </c>
      <c r="P818" s="21">
        <v>33</v>
      </c>
      <c r="Q818" s="10" t="s">
        <v>54</v>
      </c>
      <c r="R818" s="10" t="s">
        <v>28</v>
      </c>
      <c r="S818" s="10"/>
      <c r="T818" s="10"/>
      <c r="U818" s="10" t="s">
        <v>1344</v>
      </c>
      <c r="V818" s="10" t="s">
        <v>1344</v>
      </c>
      <c r="W818" s="50">
        <f>+J818/$W$2</f>
        <v>3.00531891900162E-4</v>
      </c>
      <c r="AC818"/>
    </row>
    <row r="819" spans="1:29">
      <c r="A819" s="10" t="s">
        <v>433</v>
      </c>
      <c r="B819" s="10" t="s">
        <v>358</v>
      </c>
      <c r="C819" s="124">
        <v>46344</v>
      </c>
      <c r="D819" s="124" t="s">
        <v>471</v>
      </c>
      <c r="E819" s="21">
        <v>0.98276796</v>
      </c>
      <c r="F819" s="10"/>
      <c r="G819" s="14">
        <v>10000000</v>
      </c>
      <c r="H819" s="14">
        <v>9827679.5600000005</v>
      </c>
      <c r="I819" s="14">
        <v>10000000</v>
      </c>
      <c r="J819" s="14">
        <v>9827679.5600000005</v>
      </c>
      <c r="K819" s="12">
        <v>14422576</v>
      </c>
      <c r="L819" s="10" t="s">
        <v>101</v>
      </c>
      <c r="M819" s="10" t="s">
        <v>102</v>
      </c>
      <c r="N819" s="124" t="s">
        <v>162</v>
      </c>
      <c r="O819" s="124" t="s">
        <v>162</v>
      </c>
      <c r="P819" s="21">
        <v>32</v>
      </c>
      <c r="Q819" s="10" t="s">
        <v>54</v>
      </c>
      <c r="R819" s="10" t="s">
        <v>28</v>
      </c>
      <c r="S819" s="10"/>
      <c r="T819" s="10"/>
      <c r="U819" s="10" t="s">
        <v>1272</v>
      </c>
      <c r="V819" s="10" t="s">
        <v>1272</v>
      </c>
      <c r="W819" s="50">
        <f>+J819/$W$2</f>
        <v>1.2027748876880427E-4</v>
      </c>
    </row>
    <row r="820" spans="1:29">
      <c r="A820" s="10" t="s">
        <v>433</v>
      </c>
      <c r="B820" s="10" t="s">
        <v>358</v>
      </c>
      <c r="C820" s="124">
        <v>46344</v>
      </c>
      <c r="D820" s="124" t="s">
        <v>471</v>
      </c>
      <c r="E820" s="21">
        <v>0.98223908000000004</v>
      </c>
      <c r="F820" s="10"/>
      <c r="G820" s="14">
        <v>12500000</v>
      </c>
      <c r="H820" s="14">
        <v>12277988.5</v>
      </c>
      <c r="I820" s="14">
        <v>12500000</v>
      </c>
      <c r="J820" s="14">
        <v>12277988.5</v>
      </c>
      <c r="K820" s="12">
        <v>14651810</v>
      </c>
      <c r="L820" s="10" t="s">
        <v>101</v>
      </c>
      <c r="M820" s="10" t="s">
        <v>102</v>
      </c>
      <c r="N820" s="124" t="s">
        <v>603</v>
      </c>
      <c r="O820" s="124" t="s">
        <v>603</v>
      </c>
      <c r="P820" s="21">
        <v>33</v>
      </c>
      <c r="Q820" s="10" t="s">
        <v>54</v>
      </c>
      <c r="R820" s="10" t="s">
        <v>28</v>
      </c>
      <c r="S820" s="10"/>
      <c r="T820" s="10"/>
      <c r="U820" s="10" t="s">
        <v>2647</v>
      </c>
      <c r="V820" s="10" t="s">
        <v>2647</v>
      </c>
      <c r="W820" s="50">
        <f>+J820/$W$2</f>
        <v>1.5026595188582419E-4</v>
      </c>
    </row>
    <row r="821" spans="1:29">
      <c r="A821" s="10" t="s">
        <v>3399</v>
      </c>
      <c r="B821" s="10" t="s">
        <v>358</v>
      </c>
      <c r="C821" s="124">
        <v>46344</v>
      </c>
      <c r="D821" s="124" t="s">
        <v>471</v>
      </c>
      <c r="E821" s="21">
        <v>0.98382764</v>
      </c>
      <c r="F821" s="10"/>
      <c r="G821" s="14">
        <v>5345228.12</v>
      </c>
      <c r="H821" s="14">
        <v>5258783.1900000004</v>
      </c>
      <c r="I821" s="14">
        <v>5345228.12</v>
      </c>
      <c r="J821" s="14">
        <v>5258783.1900000004</v>
      </c>
      <c r="K821" s="12">
        <v>70489489</v>
      </c>
      <c r="L821" s="10" t="s">
        <v>101</v>
      </c>
      <c r="M821" s="10" t="s">
        <v>102</v>
      </c>
      <c r="N821" s="124" t="s">
        <v>475</v>
      </c>
      <c r="O821" s="124" t="s">
        <v>475</v>
      </c>
      <c r="P821" s="21">
        <v>30</v>
      </c>
      <c r="Q821" s="10" t="s">
        <v>54</v>
      </c>
      <c r="R821" s="10" t="s">
        <v>28</v>
      </c>
      <c r="S821" s="10"/>
      <c r="T821" s="10"/>
      <c r="U821" s="10" t="s">
        <v>3338</v>
      </c>
      <c r="V821" s="10" t="s">
        <v>3338</v>
      </c>
      <c r="W821" s="50">
        <f>+J821/$W$2</f>
        <v>6.4360384586328713E-5</v>
      </c>
    </row>
    <row r="822" spans="1:29">
      <c r="A822" s="10" t="s">
        <v>3407</v>
      </c>
      <c r="B822" s="10" t="s">
        <v>358</v>
      </c>
      <c r="C822" s="124">
        <v>46344</v>
      </c>
      <c r="D822" s="124" t="s">
        <v>471</v>
      </c>
      <c r="E822" s="21">
        <v>0.98276806999999999</v>
      </c>
      <c r="F822" s="10"/>
      <c r="G822" s="14">
        <v>1300000</v>
      </c>
      <c r="H822" s="14">
        <v>1277598.49</v>
      </c>
      <c r="I822" s="14">
        <v>1300000</v>
      </c>
      <c r="J822" s="14">
        <v>1277598.49</v>
      </c>
      <c r="K822" s="12">
        <v>70470919</v>
      </c>
      <c r="L822" s="10" t="s">
        <v>101</v>
      </c>
      <c r="M822" s="10" t="s">
        <v>102</v>
      </c>
      <c r="N822" s="124" t="s">
        <v>475</v>
      </c>
      <c r="O822" s="124" t="s">
        <v>475</v>
      </c>
      <c r="P822" s="21">
        <v>32</v>
      </c>
      <c r="Q822" s="10" t="s">
        <v>54</v>
      </c>
      <c r="R822" s="10" t="s">
        <v>28</v>
      </c>
      <c r="S822" s="10"/>
      <c r="T822" s="10"/>
      <c r="U822" s="10" t="s">
        <v>3363</v>
      </c>
      <c r="V822" s="10" t="s">
        <v>3363</v>
      </c>
      <c r="W822" s="50">
        <f>+J822/$W$2</f>
        <v>1.5636075341473211E-5</v>
      </c>
    </row>
    <row r="823" spans="1:29">
      <c r="A823" s="10" t="s">
        <v>3596</v>
      </c>
      <c r="B823" s="10" t="s">
        <v>358</v>
      </c>
      <c r="C823" s="124">
        <v>46344</v>
      </c>
      <c r="D823" s="124" t="s">
        <v>471</v>
      </c>
      <c r="E823" s="21">
        <v>0.98171067999999995</v>
      </c>
      <c r="F823" s="10"/>
      <c r="G823" s="14">
        <v>1260746.6599999999</v>
      </c>
      <c r="H823" s="14">
        <v>1237688.46</v>
      </c>
      <c r="I823" s="14">
        <v>1260746.6599999999</v>
      </c>
      <c r="J823" s="14">
        <v>1237688.46</v>
      </c>
      <c r="K823" s="12">
        <v>70472499</v>
      </c>
      <c r="L823" s="10" t="s">
        <v>101</v>
      </c>
      <c r="M823" s="10" t="s">
        <v>102</v>
      </c>
      <c r="N823" s="124" t="s">
        <v>451</v>
      </c>
      <c r="O823" s="124" t="s">
        <v>451</v>
      </c>
      <c r="P823" s="21">
        <v>34</v>
      </c>
      <c r="Q823" s="10" t="s">
        <v>54</v>
      </c>
      <c r="R823" s="10" t="s">
        <v>28</v>
      </c>
      <c r="S823" s="10"/>
      <c r="T823" s="10"/>
      <c r="U823" s="10" t="s">
        <v>3457</v>
      </c>
      <c r="V823" s="10" t="s">
        <v>3457</v>
      </c>
      <c r="W823" s="50">
        <f>+J823/$W$2</f>
        <v>1.5147630622068089E-5</v>
      </c>
    </row>
    <row r="824" spans="1:29">
      <c r="A824" s="10" t="s">
        <v>3599</v>
      </c>
      <c r="B824" s="10" t="s">
        <v>358</v>
      </c>
      <c r="C824" s="124">
        <v>46344</v>
      </c>
      <c r="D824" s="124" t="s">
        <v>471</v>
      </c>
      <c r="E824" s="21">
        <v>0.98171065999999996</v>
      </c>
      <c r="F824" s="10"/>
      <c r="G824" s="14">
        <v>1416494.71</v>
      </c>
      <c r="H824" s="14">
        <v>1390587.96</v>
      </c>
      <c r="I824" s="14">
        <v>1416494.71</v>
      </c>
      <c r="J824" s="14">
        <v>1390587.96</v>
      </c>
      <c r="K824" s="12">
        <v>254</v>
      </c>
      <c r="L824" s="10" t="s">
        <v>101</v>
      </c>
      <c r="M824" s="10" t="s">
        <v>102</v>
      </c>
      <c r="N824" s="124" t="s">
        <v>451</v>
      </c>
      <c r="O824" s="124" t="s">
        <v>451</v>
      </c>
      <c r="P824" s="21">
        <v>34</v>
      </c>
      <c r="Q824" s="10" t="s">
        <v>54</v>
      </c>
      <c r="R824" s="10" t="s">
        <v>28</v>
      </c>
      <c r="S824" s="10"/>
      <c r="T824" s="10"/>
      <c r="U824" s="10" t="s">
        <v>3472</v>
      </c>
      <c r="V824" s="10" t="s">
        <v>3472</v>
      </c>
      <c r="W824" s="50">
        <f>+J824/$W$2</f>
        <v>1.7018913439311855E-5</v>
      </c>
    </row>
    <row r="825" spans="1:29">
      <c r="A825" s="10" t="s">
        <v>3601</v>
      </c>
      <c r="B825" s="10" t="s">
        <v>358</v>
      </c>
      <c r="C825" s="124">
        <v>46344</v>
      </c>
      <c r="D825" s="124" t="s">
        <v>471</v>
      </c>
      <c r="E825" s="21">
        <v>0.98171065999999996</v>
      </c>
      <c r="F825" s="10"/>
      <c r="G825" s="14">
        <v>618696.5</v>
      </c>
      <c r="H825" s="14">
        <v>607380.94999999995</v>
      </c>
      <c r="I825" s="14">
        <v>618696.5</v>
      </c>
      <c r="J825" s="14">
        <v>607380.94999999995</v>
      </c>
      <c r="K825" s="12">
        <v>70496669</v>
      </c>
      <c r="L825" s="10" t="s">
        <v>101</v>
      </c>
      <c r="M825" s="10" t="s">
        <v>102</v>
      </c>
      <c r="N825" s="124" t="s">
        <v>451</v>
      </c>
      <c r="O825" s="124" t="s">
        <v>451</v>
      </c>
      <c r="P825" s="21">
        <v>34</v>
      </c>
      <c r="Q825" s="10" t="s">
        <v>54</v>
      </c>
      <c r="R825" s="10" t="s">
        <v>28</v>
      </c>
      <c r="S825" s="10"/>
      <c r="T825" s="10"/>
      <c r="U825" s="10" t="s">
        <v>3486</v>
      </c>
      <c r="V825" s="10" t="s">
        <v>3486</v>
      </c>
      <c r="W825" s="50">
        <f>+J825/$W$2</f>
        <v>7.4335202878766491E-6</v>
      </c>
    </row>
    <row r="826" spans="1:29">
      <c r="A826" s="10" t="s">
        <v>685</v>
      </c>
      <c r="B826" s="10" t="s">
        <v>358</v>
      </c>
      <c r="C826" s="124">
        <v>46344</v>
      </c>
      <c r="D826" s="124" t="s">
        <v>471</v>
      </c>
      <c r="E826" s="21">
        <v>0.98382765000000005</v>
      </c>
      <c r="F826" s="10"/>
      <c r="G826" s="14">
        <v>1500000</v>
      </c>
      <c r="H826" s="14">
        <v>1475741.47</v>
      </c>
      <c r="I826" s="14">
        <v>1500000</v>
      </c>
      <c r="J826" s="14">
        <v>1475741.47</v>
      </c>
      <c r="K826" s="12">
        <v>10793611</v>
      </c>
      <c r="L826" s="10" t="s">
        <v>101</v>
      </c>
      <c r="M826" s="10" t="s">
        <v>102</v>
      </c>
      <c r="N826" s="124" t="s">
        <v>475</v>
      </c>
      <c r="O826" s="124" t="s">
        <v>475</v>
      </c>
      <c r="P826" s="21">
        <v>30</v>
      </c>
      <c r="Q826" s="10" t="s">
        <v>54</v>
      </c>
      <c r="R826" s="10" t="s">
        <v>28</v>
      </c>
      <c r="S826" s="10"/>
      <c r="T826" s="10"/>
      <c r="U826" s="10" t="s">
        <v>3329</v>
      </c>
      <c r="V826" s="10" t="s">
        <v>3329</v>
      </c>
      <c r="W826" s="50">
        <f>+J826/$W$2</f>
        <v>1.8061077083345978E-5</v>
      </c>
    </row>
    <row r="827" spans="1:29">
      <c r="A827" s="10" t="s">
        <v>359</v>
      </c>
      <c r="B827" s="10" t="s">
        <v>358</v>
      </c>
      <c r="C827" s="124">
        <v>46344</v>
      </c>
      <c r="D827" s="124" t="s">
        <v>471</v>
      </c>
      <c r="E827" s="21">
        <v>0.98382756000000005</v>
      </c>
      <c r="F827" s="10"/>
      <c r="G827" s="14">
        <v>3500000</v>
      </c>
      <c r="H827" s="14">
        <v>3443396.46</v>
      </c>
      <c r="I827" s="14">
        <v>3500000</v>
      </c>
      <c r="J827" s="14">
        <v>3443396.46</v>
      </c>
      <c r="K827" s="12">
        <v>1386</v>
      </c>
      <c r="L827" s="10" t="s">
        <v>101</v>
      </c>
      <c r="M827" s="10" t="s">
        <v>102</v>
      </c>
      <c r="N827" s="124" t="s">
        <v>446</v>
      </c>
      <c r="O827" s="124" t="s">
        <v>446</v>
      </c>
      <c r="P827" s="21">
        <v>30</v>
      </c>
      <c r="Q827" s="10" t="s">
        <v>54</v>
      </c>
      <c r="R827" s="10" t="s">
        <v>28</v>
      </c>
      <c r="S827" s="10"/>
      <c r="T827" s="10"/>
      <c r="U827" s="10" t="s">
        <v>3116</v>
      </c>
      <c r="V827" s="10" t="s">
        <v>3116</v>
      </c>
      <c r="W827" s="50">
        <f>+J827/$W$2</f>
        <v>4.2142509482084739E-5</v>
      </c>
    </row>
    <row r="828" spans="1:29">
      <c r="A828" s="10" t="s">
        <v>359</v>
      </c>
      <c r="B828" s="10" t="s">
        <v>358</v>
      </c>
      <c r="C828" s="124">
        <v>46344</v>
      </c>
      <c r="D828" s="124" t="s">
        <v>471</v>
      </c>
      <c r="E828" s="21">
        <v>0.98382760999999996</v>
      </c>
      <c r="F828" s="10"/>
      <c r="G828" s="14">
        <v>7500000</v>
      </c>
      <c r="H828" s="14">
        <v>7378707.0899999999</v>
      </c>
      <c r="I828" s="14">
        <v>7500000</v>
      </c>
      <c r="J828" s="14">
        <v>7378707.0899999999</v>
      </c>
      <c r="K828" s="12">
        <v>1389</v>
      </c>
      <c r="L828" s="10" t="s">
        <v>101</v>
      </c>
      <c r="M828" s="10" t="s">
        <v>102</v>
      </c>
      <c r="N828" s="124" t="s">
        <v>448</v>
      </c>
      <c r="O828" s="124" t="s">
        <v>448</v>
      </c>
      <c r="P828" s="21">
        <v>30</v>
      </c>
      <c r="Q828" s="10" t="s">
        <v>54</v>
      </c>
      <c r="R828" s="10" t="s">
        <v>28</v>
      </c>
      <c r="S828" s="10"/>
      <c r="T828" s="10"/>
      <c r="U828" s="10" t="s">
        <v>3137</v>
      </c>
      <c r="V828" s="10" t="s">
        <v>3137</v>
      </c>
      <c r="W828" s="50">
        <f>+J828/$W$2</f>
        <v>9.0305382234682E-5</v>
      </c>
    </row>
    <row r="829" spans="1:29">
      <c r="A829" s="10" t="s">
        <v>359</v>
      </c>
      <c r="B829" s="10" t="s">
        <v>358</v>
      </c>
      <c r="C829" s="124">
        <v>46344</v>
      </c>
      <c r="D829" s="124" t="s">
        <v>471</v>
      </c>
      <c r="E829" s="21">
        <v>0.98382751000000002</v>
      </c>
      <c r="F829" s="10"/>
      <c r="G829" s="14">
        <v>5000000</v>
      </c>
      <c r="H829" s="14">
        <v>4919137.54</v>
      </c>
      <c r="I829" s="14">
        <v>5000000</v>
      </c>
      <c r="J829" s="14">
        <v>4919137.54</v>
      </c>
      <c r="K829" s="12">
        <v>1353</v>
      </c>
      <c r="L829" s="10" t="s">
        <v>101</v>
      </c>
      <c r="M829" s="10" t="s">
        <v>102</v>
      </c>
      <c r="N829" s="124" t="s">
        <v>440</v>
      </c>
      <c r="O829" s="124" t="s">
        <v>440</v>
      </c>
      <c r="P829" s="21">
        <v>30</v>
      </c>
      <c r="Q829" s="10" t="s">
        <v>54</v>
      </c>
      <c r="R829" s="10" t="s">
        <v>28</v>
      </c>
      <c r="S829" s="10"/>
      <c r="T829" s="10"/>
      <c r="U829" s="10" t="s">
        <v>2688</v>
      </c>
      <c r="V829" s="10" t="s">
        <v>2688</v>
      </c>
      <c r="W829" s="50">
        <f>+J829/$W$2</f>
        <v>6.020358179235887E-5</v>
      </c>
    </row>
    <row r="830" spans="1:29">
      <c r="A830" s="10" t="s">
        <v>359</v>
      </c>
      <c r="B830" s="10" t="s">
        <v>358</v>
      </c>
      <c r="C830" s="124">
        <v>46344</v>
      </c>
      <c r="D830" s="124" t="s">
        <v>471</v>
      </c>
      <c r="E830" s="21">
        <v>0.98382756000000005</v>
      </c>
      <c r="F830" s="10"/>
      <c r="G830" s="14">
        <v>4250000</v>
      </c>
      <c r="H830" s="14">
        <v>4181267.14</v>
      </c>
      <c r="I830" s="14">
        <v>4250000</v>
      </c>
      <c r="J830" s="14">
        <v>4181267.14</v>
      </c>
      <c r="K830" s="12">
        <v>1332</v>
      </c>
      <c r="L830" s="10" t="s">
        <v>101</v>
      </c>
      <c r="M830" s="10" t="s">
        <v>102</v>
      </c>
      <c r="N830" s="124" t="s">
        <v>464</v>
      </c>
      <c r="O830" s="124" t="s">
        <v>464</v>
      </c>
      <c r="P830" s="21">
        <v>30</v>
      </c>
      <c r="Q830" s="10" t="s">
        <v>54</v>
      </c>
      <c r="R830" s="10" t="s">
        <v>28</v>
      </c>
      <c r="S830" s="10"/>
      <c r="T830" s="10"/>
      <c r="U830" s="10" t="s">
        <v>2553</v>
      </c>
      <c r="V830" s="10" t="s">
        <v>2553</v>
      </c>
      <c r="W830" s="50">
        <f>+J830/$W$2</f>
        <v>5.117304735063221E-5</v>
      </c>
    </row>
    <row r="831" spans="1:29">
      <c r="A831" s="10" t="s">
        <v>367</v>
      </c>
      <c r="B831" s="10" t="s">
        <v>358</v>
      </c>
      <c r="C831" s="124">
        <v>46344</v>
      </c>
      <c r="D831" s="124" t="s">
        <v>471</v>
      </c>
      <c r="E831" s="21">
        <v>0.98118280999999996</v>
      </c>
      <c r="F831" s="10"/>
      <c r="G831" s="14">
        <v>1500000</v>
      </c>
      <c r="H831" s="14">
        <v>1471774.22</v>
      </c>
      <c r="I831" s="14">
        <v>1500000</v>
      </c>
      <c r="J831" s="14">
        <v>1471774.22</v>
      </c>
      <c r="K831" s="12">
        <v>5</v>
      </c>
      <c r="L831" s="10" t="s">
        <v>101</v>
      </c>
      <c r="M831" s="10" t="s">
        <v>102</v>
      </c>
      <c r="N831" s="124" t="s">
        <v>315</v>
      </c>
      <c r="O831" s="124" t="s">
        <v>315</v>
      </c>
      <c r="P831" s="21">
        <v>35</v>
      </c>
      <c r="Q831" s="10" t="s">
        <v>54</v>
      </c>
      <c r="R831" s="10" t="s">
        <v>28</v>
      </c>
      <c r="S831" s="10"/>
      <c r="T831" s="10"/>
      <c r="U831" s="10" t="s">
        <v>483</v>
      </c>
      <c r="V831" s="10" t="s">
        <v>483</v>
      </c>
      <c r="W831" s="50">
        <f>+J831/$W$2</f>
        <v>1.8012523315958184E-5</v>
      </c>
    </row>
    <row r="832" spans="1:29">
      <c r="A832" s="10" t="s">
        <v>2757</v>
      </c>
      <c r="B832" s="10" t="s">
        <v>358</v>
      </c>
      <c r="C832" s="124">
        <v>46344</v>
      </c>
      <c r="D832" s="124" t="s">
        <v>471</v>
      </c>
      <c r="E832" s="21">
        <v>0.98276806999999999</v>
      </c>
      <c r="F832" s="10"/>
      <c r="G832" s="14">
        <v>8000000</v>
      </c>
      <c r="H832" s="14">
        <v>7862144.5199999996</v>
      </c>
      <c r="I832" s="14">
        <v>8000000</v>
      </c>
      <c r="J832" s="14">
        <v>7862144.5199999996</v>
      </c>
      <c r="K832" s="12">
        <v>358</v>
      </c>
      <c r="L832" s="10" t="s">
        <v>101</v>
      </c>
      <c r="M832" s="10" t="s">
        <v>102</v>
      </c>
      <c r="N832" s="124" t="s">
        <v>475</v>
      </c>
      <c r="O832" s="124" t="s">
        <v>475</v>
      </c>
      <c r="P832" s="21">
        <v>32</v>
      </c>
      <c r="Q832" s="10" t="s">
        <v>54</v>
      </c>
      <c r="R832" s="10" t="s">
        <v>28</v>
      </c>
      <c r="S832" s="10"/>
      <c r="T832" s="10"/>
      <c r="U832" s="10" t="s">
        <v>3371</v>
      </c>
      <c r="V832" s="10" t="s">
        <v>3371</v>
      </c>
      <c r="W832" s="50">
        <f>+J832/$W$2</f>
        <v>9.6222001687142506E-5</v>
      </c>
    </row>
    <row r="833" spans="1:23">
      <c r="A833" s="10" t="s">
        <v>3056</v>
      </c>
      <c r="B833" s="10" t="s">
        <v>358</v>
      </c>
      <c r="C833" s="124">
        <v>46344</v>
      </c>
      <c r="D833" s="124" t="s">
        <v>471</v>
      </c>
      <c r="E833" s="21">
        <v>0.98382751999999996</v>
      </c>
      <c r="F833" s="10"/>
      <c r="G833" s="14">
        <v>239396.87</v>
      </c>
      <c r="H833" s="14">
        <v>235525.23</v>
      </c>
      <c r="I833" s="14">
        <v>239396.87</v>
      </c>
      <c r="J833" s="14">
        <v>235525.23</v>
      </c>
      <c r="K833" s="12">
        <v>40821344</v>
      </c>
      <c r="L833" s="10" t="s">
        <v>101</v>
      </c>
      <c r="M833" s="10" t="s">
        <v>102</v>
      </c>
      <c r="N833" s="124" t="s">
        <v>508</v>
      </c>
      <c r="O833" s="124" t="s">
        <v>508</v>
      </c>
      <c r="P833" s="21">
        <v>30</v>
      </c>
      <c r="Q833" s="10" t="s">
        <v>54</v>
      </c>
      <c r="R833" s="10" t="s">
        <v>28</v>
      </c>
      <c r="S833" s="10"/>
      <c r="T833" s="10"/>
      <c r="U833" s="10" t="s">
        <v>3005</v>
      </c>
      <c r="V833" s="10" t="s">
        <v>3005</v>
      </c>
      <c r="W833" s="50">
        <f>+J833/$W$2</f>
        <v>2.8825098573009478E-6</v>
      </c>
    </row>
    <row r="834" spans="1:23">
      <c r="A834" s="10" t="s">
        <v>3058</v>
      </c>
      <c r="B834" s="10" t="s">
        <v>358</v>
      </c>
      <c r="C834" s="124">
        <v>46344</v>
      </c>
      <c r="D834" s="124" t="s">
        <v>471</v>
      </c>
      <c r="E834" s="21">
        <v>0.98223899000000003</v>
      </c>
      <c r="F834" s="10"/>
      <c r="G834" s="14">
        <v>388235.2</v>
      </c>
      <c r="H834" s="14">
        <v>381339.75</v>
      </c>
      <c r="I834" s="14">
        <v>388235.2</v>
      </c>
      <c r="J834" s="14">
        <v>381339.75</v>
      </c>
      <c r="K834" s="12">
        <v>4322</v>
      </c>
      <c r="L834" s="10" t="s">
        <v>101</v>
      </c>
      <c r="M834" s="10" t="s">
        <v>102</v>
      </c>
      <c r="N834" s="124" t="s">
        <v>508</v>
      </c>
      <c r="O834" s="124" t="s">
        <v>508</v>
      </c>
      <c r="P834" s="21">
        <v>33</v>
      </c>
      <c r="Q834" s="10" t="s">
        <v>54</v>
      </c>
      <c r="R834" s="10" t="s">
        <v>28</v>
      </c>
      <c r="S834" s="10"/>
      <c r="T834" s="10"/>
      <c r="U834" s="10" t="s">
        <v>3024</v>
      </c>
      <c r="V834" s="10" t="s">
        <v>3024</v>
      </c>
      <c r="W834" s="50">
        <f>+J834/$W$2</f>
        <v>4.6670821141143951E-6</v>
      </c>
    </row>
    <row r="835" spans="1:23">
      <c r="A835" s="10" t="s">
        <v>3104</v>
      </c>
      <c r="B835" s="10" t="s">
        <v>358</v>
      </c>
      <c r="C835" s="124">
        <v>46344</v>
      </c>
      <c r="D835" s="124" t="s">
        <v>471</v>
      </c>
      <c r="E835" s="21">
        <v>0.98223903999999995</v>
      </c>
      <c r="F835" s="10"/>
      <c r="G835" s="14">
        <v>5000000</v>
      </c>
      <c r="H835" s="14">
        <v>4911195.21</v>
      </c>
      <c r="I835" s="14">
        <v>5000000</v>
      </c>
      <c r="J835" s="14">
        <v>4911195.21</v>
      </c>
      <c r="K835" s="12">
        <v>367</v>
      </c>
      <c r="L835" s="10" t="s">
        <v>101</v>
      </c>
      <c r="M835" s="10" t="s">
        <v>102</v>
      </c>
      <c r="N835" s="124" t="s">
        <v>446</v>
      </c>
      <c r="O835" s="124" t="s">
        <v>446</v>
      </c>
      <c r="P835" s="21">
        <v>33</v>
      </c>
      <c r="Q835" s="10" t="s">
        <v>54</v>
      </c>
      <c r="R835" s="10" t="s">
        <v>28</v>
      </c>
      <c r="S835" s="10"/>
      <c r="T835" s="10"/>
      <c r="U835" s="10" t="s">
        <v>3105</v>
      </c>
      <c r="V835" s="10" t="s">
        <v>3105</v>
      </c>
      <c r="W835" s="50">
        <f>+J835/$W$2</f>
        <v>6.0106378428986983E-5</v>
      </c>
    </row>
    <row r="836" spans="1:23">
      <c r="A836" s="10" t="s">
        <v>3108</v>
      </c>
      <c r="B836" s="10" t="s">
        <v>358</v>
      </c>
      <c r="C836" s="124">
        <v>46344</v>
      </c>
      <c r="D836" s="124" t="s">
        <v>471</v>
      </c>
      <c r="E836" s="21">
        <v>0.98223903999999995</v>
      </c>
      <c r="F836" s="10"/>
      <c r="G836" s="14">
        <v>31830956.550000001</v>
      </c>
      <c r="H836" s="14">
        <v>31265608.260000002</v>
      </c>
      <c r="I836" s="14">
        <v>31830956.550000001</v>
      </c>
      <c r="J836" s="14">
        <v>31265608.260000002</v>
      </c>
      <c r="K836" s="12">
        <v>6193</v>
      </c>
      <c r="L836" s="10" t="s">
        <v>101</v>
      </c>
      <c r="M836" s="10" t="s">
        <v>102</v>
      </c>
      <c r="N836" s="124" t="s">
        <v>446</v>
      </c>
      <c r="O836" s="124" t="s">
        <v>446</v>
      </c>
      <c r="P836" s="21">
        <v>33</v>
      </c>
      <c r="Q836" s="10" t="s">
        <v>54</v>
      </c>
      <c r="R836" s="10" t="s">
        <v>28</v>
      </c>
      <c r="S836" s="10"/>
      <c r="T836" s="10"/>
      <c r="U836" s="10" t="s">
        <v>3109</v>
      </c>
      <c r="V836" s="10" t="s">
        <v>3109</v>
      </c>
      <c r="W836" s="50">
        <f>+J836/$W$2</f>
        <v>3.8264870393698349E-4</v>
      </c>
    </row>
    <row r="837" spans="1:23">
      <c r="A837" s="10" t="s">
        <v>3168</v>
      </c>
      <c r="B837" s="10" t="s">
        <v>358</v>
      </c>
      <c r="C837" s="124">
        <v>46344</v>
      </c>
      <c r="D837" s="124" t="s">
        <v>471</v>
      </c>
      <c r="E837" s="21">
        <v>0.98382760999999996</v>
      </c>
      <c r="F837" s="10"/>
      <c r="G837" s="14">
        <v>2872100</v>
      </c>
      <c r="H837" s="14">
        <v>2825651.28</v>
      </c>
      <c r="I837" s="14">
        <v>2872100</v>
      </c>
      <c r="J837" s="14">
        <v>2825651.28</v>
      </c>
      <c r="K837" s="12">
        <v>70425772</v>
      </c>
      <c r="L837" s="10" t="s">
        <v>101</v>
      </c>
      <c r="M837" s="10" t="s">
        <v>102</v>
      </c>
      <c r="N837" s="124" t="s">
        <v>448</v>
      </c>
      <c r="O837" s="124" t="s">
        <v>448</v>
      </c>
      <c r="P837" s="21">
        <v>30</v>
      </c>
      <c r="Q837" s="10" t="s">
        <v>54</v>
      </c>
      <c r="R837" s="10" t="s">
        <v>28</v>
      </c>
      <c r="S837" s="10"/>
      <c r="T837" s="10"/>
      <c r="U837" s="10" t="s">
        <v>3130</v>
      </c>
      <c r="V837" s="10" t="s">
        <v>3130</v>
      </c>
      <c r="W837" s="50">
        <f>+J837/$W$2</f>
        <v>3.4582145054672228E-5</v>
      </c>
    </row>
    <row r="838" spans="1:23">
      <c r="A838" s="10" t="s">
        <v>3309</v>
      </c>
      <c r="B838" s="10" t="s">
        <v>358</v>
      </c>
      <c r="C838" s="124">
        <v>46344</v>
      </c>
      <c r="D838" s="124" t="s">
        <v>471</v>
      </c>
      <c r="E838" s="21">
        <v>0.98382765999999999</v>
      </c>
      <c r="F838" s="10"/>
      <c r="G838" s="14">
        <v>37500000</v>
      </c>
      <c r="H838" s="14">
        <v>36893537.32</v>
      </c>
      <c r="I838" s="14">
        <v>37500000</v>
      </c>
      <c r="J838" s="14">
        <v>36893537.32</v>
      </c>
      <c r="K838" s="12">
        <v>70430900</v>
      </c>
      <c r="L838" s="10" t="s">
        <v>101</v>
      </c>
      <c r="M838" s="10" t="s">
        <v>102</v>
      </c>
      <c r="N838" s="124" t="s">
        <v>417</v>
      </c>
      <c r="O838" s="124" t="s">
        <v>417</v>
      </c>
      <c r="P838" s="21">
        <v>30</v>
      </c>
      <c r="Q838" s="10" t="s">
        <v>54</v>
      </c>
      <c r="R838" s="10" t="s">
        <v>28</v>
      </c>
      <c r="S838" s="10"/>
      <c r="T838" s="10"/>
      <c r="U838" s="10" t="s">
        <v>3207</v>
      </c>
      <c r="V838" s="10" t="s">
        <v>3207</v>
      </c>
      <c r="W838" s="50">
        <f>+J838/$W$2</f>
        <v>4.5152693405967753E-4</v>
      </c>
    </row>
    <row r="839" spans="1:23">
      <c r="A839" s="10" t="s">
        <v>3309</v>
      </c>
      <c r="B839" s="10" t="s">
        <v>358</v>
      </c>
      <c r="C839" s="124">
        <v>46344</v>
      </c>
      <c r="D839" s="124" t="s">
        <v>471</v>
      </c>
      <c r="E839" s="21">
        <v>0.98382765999999999</v>
      </c>
      <c r="F839" s="10"/>
      <c r="G839" s="14">
        <v>37500000</v>
      </c>
      <c r="H839" s="14">
        <v>36893537.32</v>
      </c>
      <c r="I839" s="14">
        <v>37500000</v>
      </c>
      <c r="J839" s="14">
        <v>36893537.32</v>
      </c>
      <c r="K839" s="12">
        <v>70430905</v>
      </c>
      <c r="L839" s="10" t="s">
        <v>101</v>
      </c>
      <c r="M839" s="10" t="s">
        <v>102</v>
      </c>
      <c r="N839" s="124" t="s">
        <v>417</v>
      </c>
      <c r="O839" s="124" t="s">
        <v>417</v>
      </c>
      <c r="P839" s="21">
        <v>30</v>
      </c>
      <c r="Q839" s="10" t="s">
        <v>54</v>
      </c>
      <c r="R839" s="10" t="s">
        <v>28</v>
      </c>
      <c r="S839" s="10"/>
      <c r="T839" s="10"/>
      <c r="U839" s="10" t="s">
        <v>3208</v>
      </c>
      <c r="V839" s="10" t="s">
        <v>3208</v>
      </c>
      <c r="W839" s="50">
        <f>+J839/$W$2</f>
        <v>4.5152693405967753E-4</v>
      </c>
    </row>
    <row r="840" spans="1:23">
      <c r="A840" s="10" t="s">
        <v>3309</v>
      </c>
      <c r="B840" s="10" t="s">
        <v>358</v>
      </c>
      <c r="C840" s="124">
        <v>46344</v>
      </c>
      <c r="D840" s="124" t="s">
        <v>471</v>
      </c>
      <c r="E840" s="21">
        <v>0.98382765999999999</v>
      </c>
      <c r="F840" s="10"/>
      <c r="G840" s="14">
        <v>37500000</v>
      </c>
      <c r="H840" s="14">
        <v>36893537.32</v>
      </c>
      <c r="I840" s="14">
        <v>37500000</v>
      </c>
      <c r="J840" s="14">
        <v>36893537.32</v>
      </c>
      <c r="K840" s="12">
        <v>70430902</v>
      </c>
      <c r="L840" s="10" t="s">
        <v>101</v>
      </c>
      <c r="M840" s="10" t="s">
        <v>102</v>
      </c>
      <c r="N840" s="124" t="s">
        <v>417</v>
      </c>
      <c r="O840" s="124" t="s">
        <v>417</v>
      </c>
      <c r="P840" s="21">
        <v>30</v>
      </c>
      <c r="Q840" s="10" t="s">
        <v>54</v>
      </c>
      <c r="R840" s="10" t="s">
        <v>28</v>
      </c>
      <c r="S840" s="10"/>
      <c r="T840" s="10"/>
      <c r="U840" s="10" t="s">
        <v>3209</v>
      </c>
      <c r="V840" s="10" t="s">
        <v>3209</v>
      </c>
      <c r="W840" s="50">
        <f>+J840/$W$2</f>
        <v>4.5152693405967753E-4</v>
      </c>
    </row>
    <row r="841" spans="1:23">
      <c r="A841" s="10" t="s">
        <v>3309</v>
      </c>
      <c r="B841" s="10" t="s">
        <v>358</v>
      </c>
      <c r="C841" s="124">
        <v>46344</v>
      </c>
      <c r="D841" s="124" t="s">
        <v>471</v>
      </c>
      <c r="E841" s="21">
        <v>0.98382765999999999</v>
      </c>
      <c r="F841" s="10"/>
      <c r="G841" s="14">
        <v>37500000</v>
      </c>
      <c r="H841" s="14">
        <v>36893537.32</v>
      </c>
      <c r="I841" s="14">
        <v>37500000</v>
      </c>
      <c r="J841" s="14">
        <v>36893537.32</v>
      </c>
      <c r="K841" s="12">
        <v>70430904</v>
      </c>
      <c r="L841" s="10" t="s">
        <v>101</v>
      </c>
      <c r="M841" s="10" t="s">
        <v>102</v>
      </c>
      <c r="N841" s="124" t="s">
        <v>417</v>
      </c>
      <c r="O841" s="124" t="s">
        <v>417</v>
      </c>
      <c r="P841" s="21">
        <v>30</v>
      </c>
      <c r="Q841" s="10" t="s">
        <v>54</v>
      </c>
      <c r="R841" s="10" t="s">
        <v>28</v>
      </c>
      <c r="S841" s="10"/>
      <c r="T841" s="10"/>
      <c r="U841" s="10" t="s">
        <v>3210</v>
      </c>
      <c r="V841" s="10" t="s">
        <v>3210</v>
      </c>
      <c r="W841" s="50">
        <f>+J841/$W$2</f>
        <v>4.5152693405967753E-4</v>
      </c>
    </row>
    <row r="842" spans="1:23">
      <c r="A842" s="10" t="s">
        <v>379</v>
      </c>
      <c r="B842" s="10" t="s">
        <v>358</v>
      </c>
      <c r="C842" s="124">
        <v>46344</v>
      </c>
      <c r="D842" s="124" t="s">
        <v>471</v>
      </c>
      <c r="E842" s="21">
        <v>0.98488938000000004</v>
      </c>
      <c r="F842" s="10"/>
      <c r="G842" s="14">
        <v>12983989.119999999</v>
      </c>
      <c r="H842" s="14">
        <v>12787792.98</v>
      </c>
      <c r="I842" s="14">
        <v>12983989.119999999</v>
      </c>
      <c r="J842" s="14">
        <v>12787792.98</v>
      </c>
      <c r="K842" s="12">
        <v>652703</v>
      </c>
      <c r="L842" s="10" t="s">
        <v>101</v>
      </c>
      <c r="M842" s="10" t="s">
        <v>102</v>
      </c>
      <c r="N842" s="124" t="s">
        <v>408</v>
      </c>
      <c r="O842" s="124" t="s">
        <v>408</v>
      </c>
      <c r="P842" s="21">
        <v>28</v>
      </c>
      <c r="Q842" s="10" t="s">
        <v>54</v>
      </c>
      <c r="R842" s="10" t="s">
        <v>28</v>
      </c>
      <c r="S842" s="10"/>
      <c r="T842" s="10"/>
      <c r="U842" s="10" t="s">
        <v>2072</v>
      </c>
      <c r="V842" s="10" t="s">
        <v>2072</v>
      </c>
      <c r="W842" s="50">
        <f>+J842/$W$2</f>
        <v>1.5650526832294723E-4</v>
      </c>
    </row>
    <row r="843" spans="1:23">
      <c r="A843" s="10" t="s">
        <v>379</v>
      </c>
      <c r="B843" s="10" t="s">
        <v>358</v>
      </c>
      <c r="C843" s="124">
        <v>46344</v>
      </c>
      <c r="D843" s="124" t="s">
        <v>471</v>
      </c>
      <c r="E843" s="21">
        <v>0.9854212</v>
      </c>
      <c r="F843" s="10"/>
      <c r="G843" s="14">
        <v>40000000</v>
      </c>
      <c r="H843" s="14">
        <v>39416848.060000002</v>
      </c>
      <c r="I843" s="14">
        <v>40000000</v>
      </c>
      <c r="J843" s="14">
        <v>39416848.060000002</v>
      </c>
      <c r="K843" s="12">
        <v>42635</v>
      </c>
      <c r="L843" s="10" t="s">
        <v>101</v>
      </c>
      <c r="M843" s="10" t="s">
        <v>102</v>
      </c>
      <c r="N843" s="124" t="s">
        <v>478</v>
      </c>
      <c r="O843" s="124" t="s">
        <v>478</v>
      </c>
      <c r="P843" s="21">
        <v>27</v>
      </c>
      <c r="Q843" s="10" t="s">
        <v>54</v>
      </c>
      <c r="R843" s="10" t="s">
        <v>28</v>
      </c>
      <c r="S843" s="10"/>
      <c r="T843" s="10"/>
      <c r="U843" s="10" t="s">
        <v>2142</v>
      </c>
      <c r="V843" s="10" t="s">
        <v>2142</v>
      </c>
      <c r="W843" s="50">
        <f>+J843/$W$2</f>
        <v>4.8240884034667428E-4</v>
      </c>
    </row>
    <row r="844" spans="1:23">
      <c r="A844" s="10" t="s">
        <v>271</v>
      </c>
      <c r="B844" s="10" t="s">
        <v>358</v>
      </c>
      <c r="C844" s="124">
        <v>46344</v>
      </c>
      <c r="D844" s="124" t="s">
        <v>471</v>
      </c>
      <c r="E844" s="21">
        <v>0.98329745999999996</v>
      </c>
      <c r="F844" s="10"/>
      <c r="G844" s="14">
        <v>15000000</v>
      </c>
      <c r="H844" s="14">
        <v>14749461.859999999</v>
      </c>
      <c r="I844" s="14">
        <v>15000000</v>
      </c>
      <c r="J844" s="14">
        <v>14749461.859999999</v>
      </c>
      <c r="K844" s="12">
        <v>2438</v>
      </c>
      <c r="L844" s="10" t="s">
        <v>101</v>
      </c>
      <c r="M844" s="10" t="s">
        <v>102</v>
      </c>
      <c r="N844" s="124" t="s">
        <v>310</v>
      </c>
      <c r="O844" s="124" t="s">
        <v>310</v>
      </c>
      <c r="P844" s="21">
        <v>31</v>
      </c>
      <c r="Q844" s="10" t="s">
        <v>54</v>
      </c>
      <c r="R844" s="10" t="s">
        <v>28</v>
      </c>
      <c r="S844" s="10"/>
      <c r="T844" s="10"/>
      <c r="U844" s="10" t="s">
        <v>1014</v>
      </c>
      <c r="V844" s="10" t="s">
        <v>1014</v>
      </c>
      <c r="W844" s="50">
        <f>+J844/$W$2</f>
        <v>1.8051343884192096E-4</v>
      </c>
    </row>
    <row r="845" spans="1:23">
      <c r="A845" s="10" t="s">
        <v>271</v>
      </c>
      <c r="B845" s="10" t="s">
        <v>358</v>
      </c>
      <c r="C845" s="124">
        <v>46344</v>
      </c>
      <c r="D845" s="124" t="s">
        <v>471</v>
      </c>
      <c r="E845" s="21">
        <v>0.98382753999999994</v>
      </c>
      <c r="F845" s="10"/>
      <c r="G845" s="14">
        <v>3000000</v>
      </c>
      <c r="H845" s="14">
        <v>2951482.62</v>
      </c>
      <c r="I845" s="14">
        <v>3000000</v>
      </c>
      <c r="J845" s="14">
        <v>2951482.62</v>
      </c>
      <c r="K845" s="12">
        <v>12759461</v>
      </c>
      <c r="L845" s="10" t="s">
        <v>101</v>
      </c>
      <c r="M845" s="10" t="s">
        <v>102</v>
      </c>
      <c r="N845" s="124" t="s">
        <v>310</v>
      </c>
      <c r="O845" s="124" t="s">
        <v>310</v>
      </c>
      <c r="P845" s="21">
        <v>30</v>
      </c>
      <c r="Q845" s="10" t="s">
        <v>54</v>
      </c>
      <c r="R845" s="10" t="s">
        <v>28</v>
      </c>
      <c r="S845" s="10"/>
      <c r="T845" s="10"/>
      <c r="U845" s="10" t="s">
        <v>1017</v>
      </c>
      <c r="V845" s="10" t="s">
        <v>1017</v>
      </c>
      <c r="W845" s="50">
        <f>+J845/$W$2</f>
        <v>3.6122150250325315E-5</v>
      </c>
    </row>
    <row r="846" spans="1:23">
      <c r="A846" s="10" t="s">
        <v>271</v>
      </c>
      <c r="B846" s="10" t="s">
        <v>358</v>
      </c>
      <c r="C846" s="124">
        <v>46344</v>
      </c>
      <c r="D846" s="124" t="s">
        <v>471</v>
      </c>
      <c r="E846" s="21">
        <v>0.98595354000000002</v>
      </c>
      <c r="F846" s="10"/>
      <c r="G846" s="14">
        <v>15000000</v>
      </c>
      <c r="H846" s="14">
        <v>14789303.1</v>
      </c>
      <c r="I846" s="14">
        <v>15000000</v>
      </c>
      <c r="J846" s="14">
        <v>14789303.1</v>
      </c>
      <c r="K846" s="12">
        <v>9621095</v>
      </c>
      <c r="L846" s="10" t="s">
        <v>101</v>
      </c>
      <c r="M846" s="10" t="s">
        <v>102</v>
      </c>
      <c r="N846" s="124" t="s">
        <v>308</v>
      </c>
      <c r="O846" s="124" t="s">
        <v>308</v>
      </c>
      <c r="P846" s="21">
        <v>26</v>
      </c>
      <c r="Q846" s="10" t="s">
        <v>54</v>
      </c>
      <c r="R846" s="10" t="s">
        <v>28</v>
      </c>
      <c r="S846" s="10"/>
      <c r="T846" s="10"/>
      <c r="U846" s="10" t="s">
        <v>747</v>
      </c>
      <c r="V846" s="10" t="s">
        <v>747</v>
      </c>
      <c r="W846" s="50">
        <f>+J846/$W$2</f>
        <v>1.8100104166488432E-4</v>
      </c>
    </row>
    <row r="847" spans="1:23">
      <c r="A847" s="10" t="s">
        <v>2320</v>
      </c>
      <c r="B847" s="10" t="s">
        <v>358</v>
      </c>
      <c r="C847" s="124">
        <v>46344</v>
      </c>
      <c r="D847" s="124" t="s">
        <v>471</v>
      </c>
      <c r="E847" s="21">
        <v>0.98595359999999999</v>
      </c>
      <c r="F847" s="10"/>
      <c r="G847" s="14">
        <v>150000000</v>
      </c>
      <c r="H847" s="14">
        <v>147893039.66999999</v>
      </c>
      <c r="I847" s="14">
        <v>150000000</v>
      </c>
      <c r="J847" s="14">
        <v>147893039.66999999</v>
      </c>
      <c r="K847" s="12">
        <v>360</v>
      </c>
      <c r="L847" s="10" t="s">
        <v>101</v>
      </c>
      <c r="M847" s="10" t="s">
        <v>102</v>
      </c>
      <c r="N847" s="124" t="s">
        <v>439</v>
      </c>
      <c r="O847" s="124" t="s">
        <v>439</v>
      </c>
      <c r="P847" s="21">
        <v>26</v>
      </c>
      <c r="Q847" s="10" t="s">
        <v>54</v>
      </c>
      <c r="R847" s="10" t="s">
        <v>28</v>
      </c>
      <c r="S847" s="10"/>
      <c r="T847" s="10"/>
      <c r="U847" s="10" t="s">
        <v>2242</v>
      </c>
      <c r="V847" s="10" t="s">
        <v>2242</v>
      </c>
      <c r="W847" s="50">
        <f>+J847/$W$2</f>
        <v>1.8100105227579018E-3</v>
      </c>
    </row>
    <row r="848" spans="1:23">
      <c r="A848" s="10" t="s">
        <v>597</v>
      </c>
      <c r="B848" s="10" t="s">
        <v>358</v>
      </c>
      <c r="C848" s="124">
        <v>46344</v>
      </c>
      <c r="D848" s="124" t="s">
        <v>471</v>
      </c>
      <c r="E848" s="21">
        <v>0.98382753000000001</v>
      </c>
      <c r="F848" s="10"/>
      <c r="G848" s="14">
        <v>2700000</v>
      </c>
      <c r="H848" s="14">
        <v>2656334.3199999998</v>
      </c>
      <c r="I848" s="14">
        <v>2700000</v>
      </c>
      <c r="J848" s="14">
        <v>2656334.3199999998</v>
      </c>
      <c r="K848" s="12">
        <v>6913</v>
      </c>
      <c r="L848" s="10" t="s">
        <v>101</v>
      </c>
      <c r="M848" s="10" t="s">
        <v>102</v>
      </c>
      <c r="N848" s="124" t="s">
        <v>487</v>
      </c>
      <c r="O848" s="124" t="s">
        <v>487</v>
      </c>
      <c r="P848" s="21">
        <v>30</v>
      </c>
      <c r="Q848" s="10" t="s">
        <v>54</v>
      </c>
      <c r="R848" s="10" t="s">
        <v>28</v>
      </c>
      <c r="S848" s="10"/>
      <c r="T848" s="10"/>
      <c r="U848" s="10" t="s">
        <v>1585</v>
      </c>
      <c r="V848" s="10" t="s">
        <v>1585</v>
      </c>
      <c r="W848" s="50">
        <f>+J848/$W$2</f>
        <v>3.2509934760224245E-5</v>
      </c>
    </row>
    <row r="849" spans="1:29">
      <c r="A849" s="10" t="s">
        <v>677</v>
      </c>
      <c r="B849" s="10" t="s">
        <v>358</v>
      </c>
      <c r="C849" s="124">
        <v>46344</v>
      </c>
      <c r="D849" s="124" t="s">
        <v>471</v>
      </c>
      <c r="E849" s="21">
        <v>0.98012893000000001</v>
      </c>
      <c r="F849" s="10"/>
      <c r="G849" s="14">
        <v>25000000</v>
      </c>
      <c r="H849" s="14">
        <v>24503223.25</v>
      </c>
      <c r="I849" s="14">
        <v>25000000</v>
      </c>
      <c r="J849" s="14">
        <v>24503223.25</v>
      </c>
      <c r="K849" s="12">
        <v>2659</v>
      </c>
      <c r="L849" s="10" t="s">
        <v>101</v>
      </c>
      <c r="M849" s="10" t="s">
        <v>102</v>
      </c>
      <c r="N849" s="124" t="s">
        <v>399</v>
      </c>
      <c r="O849" s="124" t="s">
        <v>399</v>
      </c>
      <c r="P849" s="21">
        <v>37</v>
      </c>
      <c r="Q849" s="10" t="s">
        <v>54</v>
      </c>
      <c r="R849" s="10" t="s">
        <v>28</v>
      </c>
      <c r="S849" s="10"/>
      <c r="T849" s="10"/>
      <c r="U849" s="10" t="s">
        <v>1118</v>
      </c>
      <c r="V849" s="10" t="s">
        <v>1118</v>
      </c>
      <c r="W849" s="50">
        <f>+J849/$W$2</f>
        <v>2.9988626931293417E-4</v>
      </c>
    </row>
    <row r="850" spans="1:29">
      <c r="A850" s="10" t="s">
        <v>359</v>
      </c>
      <c r="B850" s="10" t="s">
        <v>358</v>
      </c>
      <c r="C850" s="124">
        <v>46344</v>
      </c>
      <c r="D850" s="124" t="s">
        <v>471</v>
      </c>
      <c r="E850" s="21">
        <v>0.98276796</v>
      </c>
      <c r="F850" s="10"/>
      <c r="G850" s="14">
        <v>3000000</v>
      </c>
      <c r="H850" s="14">
        <v>2948303.87</v>
      </c>
      <c r="I850" s="14">
        <v>3000000</v>
      </c>
      <c r="J850" s="14">
        <v>2948303.87</v>
      </c>
      <c r="K850" s="12">
        <v>1058</v>
      </c>
      <c r="L850" s="10" t="s">
        <v>101</v>
      </c>
      <c r="M850" s="10" t="s">
        <v>102</v>
      </c>
      <c r="N850" s="124" t="s">
        <v>373</v>
      </c>
      <c r="O850" s="124" t="s">
        <v>373</v>
      </c>
      <c r="P850" s="21">
        <v>32</v>
      </c>
      <c r="Q850" s="10" t="s">
        <v>54</v>
      </c>
      <c r="R850" s="10" t="s">
        <v>28</v>
      </c>
      <c r="S850" s="10"/>
      <c r="T850" s="10"/>
      <c r="U850" s="10" t="s">
        <v>1139</v>
      </c>
      <c r="V850" s="10" t="s">
        <v>1139</v>
      </c>
      <c r="W850" s="50">
        <f>+J850/$W$2</f>
        <v>3.6083246655118571E-5</v>
      </c>
    </row>
    <row r="851" spans="1:29">
      <c r="A851" s="10" t="s">
        <v>359</v>
      </c>
      <c r="B851" s="10" t="s">
        <v>358</v>
      </c>
      <c r="C851" s="124">
        <v>46344</v>
      </c>
      <c r="D851" s="124" t="s">
        <v>471</v>
      </c>
      <c r="E851" s="21">
        <v>0.98223897999999998</v>
      </c>
      <c r="F851" s="10"/>
      <c r="G851" s="14">
        <v>2500000</v>
      </c>
      <c r="H851" s="14">
        <v>2455597.44</v>
      </c>
      <c r="I851" s="14">
        <v>2500000</v>
      </c>
      <c r="J851" s="14">
        <v>2455597.44</v>
      </c>
      <c r="K851" s="12">
        <v>1021</v>
      </c>
      <c r="L851" s="10" t="s">
        <v>101</v>
      </c>
      <c r="M851" s="10" t="s">
        <v>102</v>
      </c>
      <c r="N851" s="124" t="s">
        <v>161</v>
      </c>
      <c r="O851" s="124" t="s">
        <v>161</v>
      </c>
      <c r="P851" s="21">
        <v>33</v>
      </c>
      <c r="Q851" s="10" t="s">
        <v>54</v>
      </c>
      <c r="R851" s="10" t="s">
        <v>28</v>
      </c>
      <c r="S851" s="10"/>
      <c r="T851" s="10"/>
      <c r="U851" s="10" t="s">
        <v>1074</v>
      </c>
      <c r="V851" s="10" t="s">
        <v>1074</v>
      </c>
      <c r="W851" s="50">
        <f>+J851/$W$2</f>
        <v>3.005318719511694E-5</v>
      </c>
    </row>
    <row r="852" spans="1:29">
      <c r="A852" s="10" t="s">
        <v>2444</v>
      </c>
      <c r="B852" s="10" t="s">
        <v>358</v>
      </c>
      <c r="C852" s="124">
        <v>46344</v>
      </c>
      <c r="D852" s="124" t="s">
        <v>471</v>
      </c>
      <c r="E852" s="21">
        <v>0.98382751000000002</v>
      </c>
      <c r="F852" s="10"/>
      <c r="G852" s="14">
        <v>9087933.1199999992</v>
      </c>
      <c r="H852" s="14">
        <v>8940958.6400000006</v>
      </c>
      <c r="I852" s="14">
        <v>9087933.1199999992</v>
      </c>
      <c r="J852" s="14">
        <v>8940958.6400000006</v>
      </c>
      <c r="K852" s="12">
        <v>20619376</v>
      </c>
      <c r="L852" s="10" t="s">
        <v>101</v>
      </c>
      <c r="M852" s="10" t="s">
        <v>102</v>
      </c>
      <c r="N852" s="124" t="s">
        <v>477</v>
      </c>
      <c r="O852" s="124" t="s">
        <v>477</v>
      </c>
      <c r="P852" s="21">
        <v>30</v>
      </c>
      <c r="Q852" s="10" t="s">
        <v>54</v>
      </c>
      <c r="R852" s="10" t="s">
        <v>28</v>
      </c>
      <c r="S852" s="10"/>
      <c r="T852" s="10"/>
      <c r="U852" s="10" t="s">
        <v>2428</v>
      </c>
      <c r="V852" s="10" t="s">
        <v>2428</v>
      </c>
      <c r="W852" s="50">
        <f>+J852/$W$2</f>
        <v>1.0942522554173953E-4</v>
      </c>
    </row>
    <row r="853" spans="1:29">
      <c r="A853" s="10" t="s">
        <v>2438</v>
      </c>
      <c r="B853" s="10" t="s">
        <v>358</v>
      </c>
      <c r="C853" s="124">
        <v>46344</v>
      </c>
      <c r="D853" s="124" t="s">
        <v>471</v>
      </c>
      <c r="E853" s="21">
        <v>0.98223899000000003</v>
      </c>
      <c r="F853" s="10"/>
      <c r="G853" s="14">
        <v>13250000</v>
      </c>
      <c r="H853" s="14">
        <v>13014666.619999999</v>
      </c>
      <c r="I853" s="14">
        <v>13250000</v>
      </c>
      <c r="J853" s="14">
        <v>13014666.619999999</v>
      </c>
      <c r="K853" s="12">
        <v>70007297</v>
      </c>
      <c r="L853" s="10" t="s">
        <v>101</v>
      </c>
      <c r="M853" s="10" t="s">
        <v>102</v>
      </c>
      <c r="N853" s="124" t="s">
        <v>477</v>
      </c>
      <c r="O853" s="124" t="s">
        <v>477</v>
      </c>
      <c r="P853" s="21">
        <v>33</v>
      </c>
      <c r="Q853" s="10" t="s">
        <v>54</v>
      </c>
      <c r="R853" s="10" t="s">
        <v>28</v>
      </c>
      <c r="S853" s="10"/>
      <c r="T853" s="10"/>
      <c r="U853" s="10" t="s">
        <v>2431</v>
      </c>
      <c r="V853" s="10" t="s">
        <v>2431</v>
      </c>
      <c r="W853" s="50">
        <f>+J853/$W$2</f>
        <v>1.5928189443498519E-4</v>
      </c>
    </row>
    <row r="854" spans="1:29">
      <c r="A854" s="10" t="s">
        <v>2486</v>
      </c>
      <c r="B854" s="10" t="s">
        <v>358</v>
      </c>
      <c r="C854" s="124">
        <v>46344</v>
      </c>
      <c r="D854" s="124" t="s">
        <v>471</v>
      </c>
      <c r="E854" s="21">
        <v>0.98276806999999999</v>
      </c>
      <c r="F854" s="10"/>
      <c r="G854" s="14">
        <v>50000000</v>
      </c>
      <c r="H854" s="14">
        <v>49138403.310000002</v>
      </c>
      <c r="I854" s="14">
        <v>50000000</v>
      </c>
      <c r="J854" s="14">
        <v>49138403.310000002</v>
      </c>
      <c r="K854" s="12">
        <v>21554</v>
      </c>
      <c r="L854" s="10" t="s">
        <v>101</v>
      </c>
      <c r="M854" s="10" t="s">
        <v>102</v>
      </c>
      <c r="N854" s="124" t="s">
        <v>475</v>
      </c>
      <c r="O854" s="124" t="s">
        <v>475</v>
      </c>
      <c r="P854" s="21">
        <v>32</v>
      </c>
      <c r="Q854" s="10" t="s">
        <v>54</v>
      </c>
      <c r="R854" s="10" t="s">
        <v>28</v>
      </c>
      <c r="S854" s="10"/>
      <c r="T854" s="10"/>
      <c r="U854" s="10" t="s">
        <v>3391</v>
      </c>
      <c r="V854" s="10" t="s">
        <v>3391</v>
      </c>
      <c r="W854" s="50">
        <f>+J854/$W$2</f>
        <v>6.0138751127895948E-4</v>
      </c>
    </row>
    <row r="855" spans="1:29">
      <c r="A855" s="10" t="s">
        <v>2486</v>
      </c>
      <c r="B855" s="10" t="s">
        <v>358</v>
      </c>
      <c r="C855" s="124">
        <v>46344</v>
      </c>
      <c r="D855" s="124" t="s">
        <v>471</v>
      </c>
      <c r="E855" s="21">
        <v>0.98276803999999995</v>
      </c>
      <c r="F855" s="10"/>
      <c r="G855" s="14">
        <v>75000000</v>
      </c>
      <c r="H855" s="14">
        <v>73707603.260000005</v>
      </c>
      <c r="I855" s="14">
        <v>75000000</v>
      </c>
      <c r="J855" s="14">
        <v>73707603.260000005</v>
      </c>
      <c r="K855" s="12">
        <v>21571</v>
      </c>
      <c r="L855" s="10" t="s">
        <v>101</v>
      </c>
      <c r="M855" s="10" t="s">
        <v>102</v>
      </c>
      <c r="N855" s="124" t="s">
        <v>466</v>
      </c>
      <c r="O855" s="124" t="s">
        <v>466</v>
      </c>
      <c r="P855" s="21">
        <v>32</v>
      </c>
      <c r="Q855" s="10" t="s">
        <v>54</v>
      </c>
      <c r="R855" s="10" t="s">
        <v>28</v>
      </c>
      <c r="S855" s="10"/>
      <c r="T855" s="10"/>
      <c r="U855" s="10" t="s">
        <v>3631</v>
      </c>
      <c r="V855" s="10" t="s">
        <v>3631</v>
      </c>
      <c r="W855" s="50">
        <f>+J855/$W$2</f>
        <v>9.0208124605154817E-4</v>
      </c>
    </row>
    <row r="856" spans="1:29">
      <c r="A856" s="10" t="s">
        <v>2674</v>
      </c>
      <c r="B856" s="10" t="s">
        <v>358</v>
      </c>
      <c r="C856" s="124">
        <v>46344</v>
      </c>
      <c r="D856" s="124" t="s">
        <v>471</v>
      </c>
      <c r="E856" s="21">
        <v>0.98276803999999995</v>
      </c>
      <c r="F856" s="10"/>
      <c r="G856" s="14">
        <v>62500000</v>
      </c>
      <c r="H856" s="14">
        <v>61423002.710000001</v>
      </c>
      <c r="I856" s="14">
        <v>62500000</v>
      </c>
      <c r="J856" s="14">
        <v>61423002.710000001</v>
      </c>
      <c r="K856" s="12">
        <v>5766</v>
      </c>
      <c r="L856" s="10" t="s">
        <v>101</v>
      </c>
      <c r="M856" s="10" t="s">
        <v>102</v>
      </c>
      <c r="N856" s="124" t="s">
        <v>466</v>
      </c>
      <c r="O856" s="124" t="s">
        <v>466</v>
      </c>
      <c r="P856" s="21">
        <v>32</v>
      </c>
      <c r="Q856" s="10" t="s">
        <v>54</v>
      </c>
      <c r="R856" s="10" t="s">
        <v>28</v>
      </c>
      <c r="S856" s="10"/>
      <c r="T856" s="10"/>
      <c r="U856" s="10" t="s">
        <v>3645</v>
      </c>
      <c r="V856" s="10" t="s">
        <v>3645</v>
      </c>
      <c r="W856" s="50">
        <f>+J856/$W$2</f>
        <v>7.5173437162803249E-4</v>
      </c>
    </row>
    <row r="857" spans="1:29">
      <c r="A857" s="10" t="s">
        <v>375</v>
      </c>
      <c r="B857" s="10" t="s">
        <v>358</v>
      </c>
      <c r="C857" s="124">
        <v>46345</v>
      </c>
      <c r="D857" s="124" t="s">
        <v>471</v>
      </c>
      <c r="E857" s="21">
        <v>0.98470347000000003</v>
      </c>
      <c r="F857" s="10"/>
      <c r="G857" s="14">
        <v>8000000</v>
      </c>
      <c r="H857" s="14">
        <v>7877627.7400000002</v>
      </c>
      <c r="I857" s="14">
        <v>8000000</v>
      </c>
      <c r="J857" s="14">
        <v>7877627.7400000002</v>
      </c>
      <c r="K857" s="12">
        <v>761093</v>
      </c>
      <c r="L857" s="10" t="s">
        <v>101</v>
      </c>
      <c r="M857" s="10" t="s">
        <v>102</v>
      </c>
      <c r="N857" s="124" t="s">
        <v>477</v>
      </c>
      <c r="O857" s="124" t="s">
        <v>477</v>
      </c>
      <c r="P857" s="21">
        <v>27</v>
      </c>
      <c r="Q857" s="10" t="s">
        <v>54</v>
      </c>
      <c r="R857" s="10" t="s">
        <v>28</v>
      </c>
      <c r="S857" s="10"/>
      <c r="T857" s="10"/>
      <c r="U857" s="10" t="s">
        <v>2387</v>
      </c>
      <c r="V857" s="10" t="s">
        <v>2387</v>
      </c>
      <c r="W857" s="50">
        <f>+J857/$W$2</f>
        <v>9.6411495331932747E-5</v>
      </c>
    </row>
    <row r="858" spans="1:29">
      <c r="A858" s="10" t="s">
        <v>379</v>
      </c>
      <c r="B858" s="10" t="s">
        <v>358</v>
      </c>
      <c r="C858" s="124">
        <v>46345</v>
      </c>
      <c r="D858" s="124" t="s">
        <v>471</v>
      </c>
      <c r="E858" s="21">
        <v>0.98303262999999996</v>
      </c>
      <c r="F858" s="10"/>
      <c r="G858" s="14">
        <v>10000000</v>
      </c>
      <c r="H858" s="14">
        <v>9830326.3300000001</v>
      </c>
      <c r="I858" s="14">
        <v>10000000</v>
      </c>
      <c r="J858" s="14">
        <v>9830326.3300000001</v>
      </c>
      <c r="K858" s="12">
        <v>8229</v>
      </c>
      <c r="L858" s="10" t="s">
        <v>101</v>
      </c>
      <c r="M858" s="10" t="s">
        <v>102</v>
      </c>
      <c r="N858" s="124" t="s">
        <v>395</v>
      </c>
      <c r="O858" s="124" t="s">
        <v>395</v>
      </c>
      <c r="P858" s="21">
        <v>30</v>
      </c>
      <c r="Q858" s="10" t="s">
        <v>54</v>
      </c>
      <c r="R858" s="10" t="s">
        <v>28</v>
      </c>
      <c r="S858" s="10"/>
      <c r="T858" s="10"/>
      <c r="U858" s="10" t="s">
        <v>1774</v>
      </c>
      <c r="V858" s="10" t="s">
        <v>1774</v>
      </c>
      <c r="W858" s="50">
        <f>+J858/$W$2</f>
        <v>1.2030988164924008E-4</v>
      </c>
    </row>
    <row r="859" spans="1:29">
      <c r="A859" s="10" t="s">
        <v>379</v>
      </c>
      <c r="B859" s="10" t="s">
        <v>358</v>
      </c>
      <c r="C859" s="124">
        <v>46345</v>
      </c>
      <c r="D859" s="124" t="s">
        <v>471</v>
      </c>
      <c r="E859" s="21">
        <v>0.98470338000000002</v>
      </c>
      <c r="F859" s="10"/>
      <c r="G859" s="14">
        <v>2500000</v>
      </c>
      <c r="H859" s="14">
        <v>2461758.4500000002</v>
      </c>
      <c r="I859" s="14">
        <v>2500000</v>
      </c>
      <c r="J859" s="14">
        <v>2461758.4500000002</v>
      </c>
      <c r="K859" s="12">
        <v>69814724</v>
      </c>
      <c r="L859" s="10" t="s">
        <v>101</v>
      </c>
      <c r="M859" s="10" t="s">
        <v>102</v>
      </c>
      <c r="N859" s="124" t="s">
        <v>449</v>
      </c>
      <c r="O859" s="124" t="s">
        <v>449</v>
      </c>
      <c r="P859" s="21">
        <v>27</v>
      </c>
      <c r="Q859" s="10" t="s">
        <v>54</v>
      </c>
      <c r="R859" s="10" t="s">
        <v>28</v>
      </c>
      <c r="S859" s="10"/>
      <c r="T859" s="10"/>
      <c r="U859" s="10" t="s">
        <v>1949</v>
      </c>
      <c r="V859" s="10" t="s">
        <v>1949</v>
      </c>
      <c r="W859" s="50">
        <f>+J859/$W$2</f>
        <v>3.0128589614025227E-5</v>
      </c>
    </row>
    <row r="860" spans="1:29">
      <c r="A860" s="10" t="s">
        <v>334</v>
      </c>
      <c r="B860" s="10" t="s">
        <v>358</v>
      </c>
      <c r="C860" s="124">
        <v>46345</v>
      </c>
      <c r="D860" s="124" t="s">
        <v>471</v>
      </c>
      <c r="E860" s="21">
        <v>0.98026053999999996</v>
      </c>
      <c r="F860" s="10"/>
      <c r="G860" s="14">
        <v>3625698.78</v>
      </c>
      <c r="H860" s="14">
        <v>3554129.45</v>
      </c>
      <c r="I860" s="14">
        <v>3625698.78</v>
      </c>
      <c r="J860" s="14">
        <v>3554129.45</v>
      </c>
      <c r="K860" s="12">
        <v>3358</v>
      </c>
      <c r="L860" s="10" t="s">
        <v>101</v>
      </c>
      <c r="M860" s="10" t="s">
        <v>102</v>
      </c>
      <c r="N860" s="124" t="s">
        <v>162</v>
      </c>
      <c r="O860" s="124" t="s">
        <v>162</v>
      </c>
      <c r="P860" s="21">
        <v>35</v>
      </c>
      <c r="Q860" s="10" t="s">
        <v>54</v>
      </c>
      <c r="R860" s="10" t="s">
        <v>28</v>
      </c>
      <c r="S860" s="10"/>
      <c r="T860" s="10"/>
      <c r="U860" s="10" t="s">
        <v>1260</v>
      </c>
      <c r="V860" s="10" t="s">
        <v>1260</v>
      </c>
      <c r="W860" s="50">
        <f>+J860/$W$2</f>
        <v>4.3497731320540889E-5</v>
      </c>
    </row>
    <row r="861" spans="1:29">
      <c r="A861" s="10" t="s">
        <v>334</v>
      </c>
      <c r="B861" s="10" t="s">
        <v>358</v>
      </c>
      <c r="C861" s="124">
        <v>46345</v>
      </c>
      <c r="D861" s="124" t="s">
        <v>471</v>
      </c>
      <c r="E861" s="21">
        <v>0.98026058999999999</v>
      </c>
      <c r="F861" s="10"/>
      <c r="G861" s="14">
        <v>3256800.5</v>
      </c>
      <c r="H861" s="14">
        <v>3192513.18</v>
      </c>
      <c r="I861" s="14">
        <v>3256800.5</v>
      </c>
      <c r="J861" s="14">
        <v>3192513.18</v>
      </c>
      <c r="K861" s="12">
        <v>3587</v>
      </c>
      <c r="L861" s="10" t="s">
        <v>101</v>
      </c>
      <c r="M861" s="10" t="s">
        <v>102</v>
      </c>
      <c r="N861" s="124" t="s">
        <v>397</v>
      </c>
      <c r="O861" s="124" t="s">
        <v>397</v>
      </c>
      <c r="P861" s="21">
        <v>35</v>
      </c>
      <c r="Q861" s="10" t="s">
        <v>54</v>
      </c>
      <c r="R861" s="10" t="s">
        <v>28</v>
      </c>
      <c r="S861" s="10"/>
      <c r="T861" s="10"/>
      <c r="U861" s="10" t="s">
        <v>1866</v>
      </c>
      <c r="V861" s="10" t="s">
        <v>1866</v>
      </c>
      <c r="W861" s="50">
        <f>+J861/$W$2</f>
        <v>3.9072037891283218E-5</v>
      </c>
      <c r="AC861" s="47"/>
    </row>
    <row r="862" spans="1:29">
      <c r="A862" s="10" t="s">
        <v>2220</v>
      </c>
      <c r="B862" s="10" t="s">
        <v>358</v>
      </c>
      <c r="C862" s="124">
        <v>46345</v>
      </c>
      <c r="D862" s="124" t="s">
        <v>471</v>
      </c>
      <c r="E862" s="21">
        <v>0.98136747999999996</v>
      </c>
      <c r="F862" s="10"/>
      <c r="G862" s="14">
        <v>574285.71</v>
      </c>
      <c r="H862" s="14">
        <v>563585.31999999995</v>
      </c>
      <c r="I862" s="14">
        <v>574285.71</v>
      </c>
      <c r="J862" s="14">
        <v>563585.31999999995</v>
      </c>
      <c r="K862" s="12">
        <v>30018579</v>
      </c>
      <c r="L862" s="10" t="s">
        <v>101</v>
      </c>
      <c r="M862" s="10" t="s">
        <v>102</v>
      </c>
      <c r="N862" s="124" t="s">
        <v>478</v>
      </c>
      <c r="O862" s="124" t="s">
        <v>478</v>
      </c>
      <c r="P862" s="21">
        <v>33</v>
      </c>
      <c r="Q862" s="10" t="s">
        <v>54</v>
      </c>
      <c r="R862" s="10" t="s">
        <v>28</v>
      </c>
      <c r="S862" s="10"/>
      <c r="T862" s="10"/>
      <c r="U862" s="10" t="s">
        <v>2200</v>
      </c>
      <c r="V862" s="10" t="s">
        <v>2200</v>
      </c>
      <c r="W862" s="50">
        <f>+J862/$W$2</f>
        <v>6.8975210865099622E-6</v>
      </c>
    </row>
    <row r="863" spans="1:29">
      <c r="A863" s="10" t="s">
        <v>2439</v>
      </c>
      <c r="B863" s="10" t="s">
        <v>358</v>
      </c>
      <c r="C863" s="124">
        <v>46345</v>
      </c>
      <c r="D863" s="124" t="s">
        <v>471</v>
      </c>
      <c r="E863" s="21">
        <v>0.98303266</v>
      </c>
      <c r="F863" s="10"/>
      <c r="G863" s="14">
        <v>7357016.4500000002</v>
      </c>
      <c r="H863" s="14">
        <v>7232187.4400000004</v>
      </c>
      <c r="I863" s="14">
        <v>7357016.4500000002</v>
      </c>
      <c r="J863" s="14">
        <v>7232187.4400000004</v>
      </c>
      <c r="K863" s="12">
        <v>3832</v>
      </c>
      <c r="L863" s="10" t="s">
        <v>101</v>
      </c>
      <c r="M863" s="10" t="s">
        <v>102</v>
      </c>
      <c r="N863" s="124" t="s">
        <v>448</v>
      </c>
      <c r="O863" s="124" t="s">
        <v>448</v>
      </c>
      <c r="P863" s="21">
        <v>30</v>
      </c>
      <c r="Q863" s="10" t="s">
        <v>54</v>
      </c>
      <c r="R863" s="10" t="s">
        <v>28</v>
      </c>
      <c r="S863" s="10"/>
      <c r="T863" s="10"/>
      <c r="U863" s="10" t="s">
        <v>3143</v>
      </c>
      <c r="V863" s="10" t="s">
        <v>3143</v>
      </c>
      <c r="W863" s="50">
        <f>+J863/$W$2</f>
        <v>8.8512180141584438E-5</v>
      </c>
    </row>
    <row r="864" spans="1:29">
      <c r="A864" s="10" t="s">
        <v>1425</v>
      </c>
      <c r="B864" s="10" t="s">
        <v>358</v>
      </c>
      <c r="C864" s="124">
        <v>46345</v>
      </c>
      <c r="D864" s="124" t="s">
        <v>471</v>
      </c>
      <c r="E864" s="21">
        <v>0.98192188999999996</v>
      </c>
      <c r="F864" s="10"/>
      <c r="G864" s="14">
        <v>2188623.9300000002</v>
      </c>
      <c r="H864" s="14">
        <v>2149057.75</v>
      </c>
      <c r="I864" s="14">
        <v>2188623.9300000002</v>
      </c>
      <c r="J864" s="14">
        <v>2149057.75</v>
      </c>
      <c r="K864" s="12">
        <v>30000397</v>
      </c>
      <c r="L864" s="10" t="s">
        <v>101</v>
      </c>
      <c r="M864" s="10" t="s">
        <v>102</v>
      </c>
      <c r="N864" s="124" t="s">
        <v>398</v>
      </c>
      <c r="O864" s="124" t="s">
        <v>398</v>
      </c>
      <c r="P864" s="21">
        <v>32</v>
      </c>
      <c r="Q864" s="10" t="s">
        <v>54</v>
      </c>
      <c r="R864" s="10" t="s">
        <v>28</v>
      </c>
      <c r="S864" s="10"/>
      <c r="T864" s="10"/>
      <c r="U864" s="10" t="s">
        <v>1717</v>
      </c>
      <c r="V864" s="10" t="s">
        <v>1717</v>
      </c>
      <c r="W864" s="50">
        <f>+J864/$W$2</f>
        <v>2.6301556518102097E-5</v>
      </c>
    </row>
    <row r="865" spans="1:23">
      <c r="A865" s="10" t="s">
        <v>1744</v>
      </c>
      <c r="B865" s="10" t="s">
        <v>358</v>
      </c>
      <c r="C865" s="124">
        <v>46345</v>
      </c>
      <c r="D865" s="124" t="s">
        <v>471</v>
      </c>
      <c r="E865" s="21">
        <v>0.98136747999999996</v>
      </c>
      <c r="F865" s="10"/>
      <c r="G865" s="14">
        <v>5687804.6399999997</v>
      </c>
      <c r="H865" s="14">
        <v>5581826.5199999996</v>
      </c>
      <c r="I865" s="14">
        <v>5687804.6399999997</v>
      </c>
      <c r="J865" s="14">
        <v>5581826.5199999996</v>
      </c>
      <c r="K865" s="12">
        <v>8175684</v>
      </c>
      <c r="L865" s="10" t="s">
        <v>101</v>
      </c>
      <c r="M865" s="10" t="s">
        <v>102</v>
      </c>
      <c r="N865" s="124" t="s">
        <v>398</v>
      </c>
      <c r="O865" s="124" t="s">
        <v>398</v>
      </c>
      <c r="P865" s="21">
        <v>33</v>
      </c>
      <c r="Q865" s="10" t="s">
        <v>54</v>
      </c>
      <c r="R865" s="10" t="s">
        <v>28</v>
      </c>
      <c r="S865" s="10"/>
      <c r="T865" s="10"/>
      <c r="U865" s="10" t="s">
        <v>1641</v>
      </c>
      <c r="V865" s="10" t="s">
        <v>1641</v>
      </c>
      <c r="W865" s="50">
        <f>+J865/$W$2</f>
        <v>6.8313997467039285E-5</v>
      </c>
    </row>
    <row r="866" spans="1:23">
      <c r="A866" s="10" t="s">
        <v>2758</v>
      </c>
      <c r="B866" s="10" t="s">
        <v>358</v>
      </c>
      <c r="C866" s="124">
        <v>46345</v>
      </c>
      <c r="D866" s="124" t="s">
        <v>471</v>
      </c>
      <c r="E866" s="21">
        <v>0.98415153</v>
      </c>
      <c r="F866" s="10"/>
      <c r="G866" s="14">
        <v>534218.82999999996</v>
      </c>
      <c r="H866" s="14">
        <v>525752.28</v>
      </c>
      <c r="I866" s="14">
        <v>534218.82999999996</v>
      </c>
      <c r="J866" s="14">
        <v>525752.28</v>
      </c>
      <c r="K866" s="12">
        <v>70434905</v>
      </c>
      <c r="L866" s="10" t="s">
        <v>101</v>
      </c>
      <c r="M866" s="10" t="s">
        <v>102</v>
      </c>
      <c r="N866" s="124" t="s">
        <v>417</v>
      </c>
      <c r="O866" s="124" t="s">
        <v>417</v>
      </c>
      <c r="P866" s="21">
        <v>27.99</v>
      </c>
      <c r="Q866" s="10" t="s">
        <v>54</v>
      </c>
      <c r="R866" s="10" t="s">
        <v>28</v>
      </c>
      <c r="S866" s="10"/>
      <c r="T866" s="10"/>
      <c r="U866" s="10" t="s">
        <v>3187</v>
      </c>
      <c r="V866" s="10" t="s">
        <v>3187</v>
      </c>
      <c r="W866" s="50">
        <f>+J866/$W$2</f>
        <v>6.4344959119600391E-6</v>
      </c>
    </row>
    <row r="867" spans="1:23">
      <c r="A867" s="10" t="s">
        <v>453</v>
      </c>
      <c r="B867" s="10" t="s">
        <v>358</v>
      </c>
      <c r="C867" s="124">
        <v>46345</v>
      </c>
      <c r="D867" s="124" t="s">
        <v>471</v>
      </c>
      <c r="E867" s="21">
        <v>0.98470343999999999</v>
      </c>
      <c r="F867" s="10"/>
      <c r="G867" s="14">
        <v>25000000</v>
      </c>
      <c r="H867" s="14">
        <v>24617585.989999998</v>
      </c>
      <c r="I867" s="14">
        <v>25000000</v>
      </c>
      <c r="J867" s="14">
        <v>24617585.989999998</v>
      </c>
      <c r="K867" s="12">
        <v>893</v>
      </c>
      <c r="L867" s="10" t="s">
        <v>101</v>
      </c>
      <c r="M867" s="10" t="s">
        <v>102</v>
      </c>
      <c r="N867" s="124" t="s">
        <v>397</v>
      </c>
      <c r="O867" s="124" t="s">
        <v>397</v>
      </c>
      <c r="P867" s="21">
        <v>27</v>
      </c>
      <c r="Q867" s="10" t="s">
        <v>54</v>
      </c>
      <c r="R867" s="10" t="s">
        <v>28</v>
      </c>
      <c r="S867" s="10"/>
      <c r="T867" s="10"/>
      <c r="U867" s="10" t="s">
        <v>1881</v>
      </c>
      <c r="V867" s="10" t="s">
        <v>1881</v>
      </c>
      <c r="W867" s="50">
        <f>+J867/$W$2</f>
        <v>3.0128591437583442E-4</v>
      </c>
    </row>
    <row r="868" spans="1:23">
      <c r="A868" s="10" t="s">
        <v>206</v>
      </c>
      <c r="B868" s="10" t="s">
        <v>358</v>
      </c>
      <c r="C868" s="124">
        <v>46345</v>
      </c>
      <c r="D868" s="124" t="s">
        <v>471</v>
      </c>
      <c r="E868" s="21">
        <v>0.98136754000000004</v>
      </c>
      <c r="F868" s="10"/>
      <c r="G868" s="14">
        <v>2170000</v>
      </c>
      <c r="H868" s="14">
        <v>2129567.56</v>
      </c>
      <c r="I868" s="14">
        <v>2170000</v>
      </c>
      <c r="J868" s="14">
        <v>2129567.56</v>
      </c>
      <c r="K868" s="12">
        <v>260734</v>
      </c>
      <c r="L868" s="10" t="s">
        <v>101</v>
      </c>
      <c r="M868" s="10" t="s">
        <v>102</v>
      </c>
      <c r="N868" s="124" t="s">
        <v>479</v>
      </c>
      <c r="O868" s="124" t="s">
        <v>479</v>
      </c>
      <c r="P868" s="21">
        <v>33</v>
      </c>
      <c r="Q868" s="10" t="s">
        <v>54</v>
      </c>
      <c r="R868" s="10" t="s">
        <v>28</v>
      </c>
      <c r="S868" s="10"/>
      <c r="T868" s="10"/>
      <c r="U868" s="10" t="s">
        <v>1203</v>
      </c>
      <c r="V868" s="10" t="s">
        <v>1203</v>
      </c>
      <c r="W868" s="50">
        <f>+J868/$W$2</f>
        <v>2.6063022986914514E-5</v>
      </c>
    </row>
    <row r="869" spans="1:23">
      <c r="A869" s="10" t="s">
        <v>2487</v>
      </c>
      <c r="B869" s="10" t="s">
        <v>358</v>
      </c>
      <c r="C869" s="124">
        <v>46345</v>
      </c>
      <c r="D869" s="124" t="s">
        <v>471</v>
      </c>
      <c r="E869" s="21">
        <v>0.98136756000000003</v>
      </c>
      <c r="F869" s="10"/>
      <c r="G869" s="14">
        <v>80000000</v>
      </c>
      <c r="H869" s="14">
        <v>78509404.689999998</v>
      </c>
      <c r="I869" s="14">
        <v>80000000</v>
      </c>
      <c r="J869" s="14">
        <v>78509404.689999998</v>
      </c>
      <c r="K869" s="12">
        <v>3036</v>
      </c>
      <c r="L869" s="10" t="s">
        <v>101</v>
      </c>
      <c r="M869" s="10" t="s">
        <v>102</v>
      </c>
      <c r="N869" s="124" t="s">
        <v>577</v>
      </c>
      <c r="O869" s="124" t="s">
        <v>577</v>
      </c>
      <c r="P869" s="21">
        <v>33</v>
      </c>
      <c r="Q869" s="10" t="s">
        <v>54</v>
      </c>
      <c r="R869" s="10" t="s">
        <v>28</v>
      </c>
      <c r="S869" s="10"/>
      <c r="T869" s="10"/>
      <c r="U869" s="10" t="s">
        <v>2475</v>
      </c>
      <c r="V869" s="10" t="s">
        <v>2475</v>
      </c>
      <c r="W869" s="50">
        <f>+J869/$W$2</f>
        <v>9.6084879275886597E-4</v>
      </c>
    </row>
    <row r="870" spans="1:23">
      <c r="A870" s="10" t="s">
        <v>1367</v>
      </c>
      <c r="B870" s="10" t="s">
        <v>358</v>
      </c>
      <c r="C870" s="124">
        <v>46345</v>
      </c>
      <c r="D870" s="124" t="s">
        <v>471</v>
      </c>
      <c r="E870" s="21">
        <v>0.98247697000000001</v>
      </c>
      <c r="F870" s="10"/>
      <c r="G870" s="14">
        <v>482400</v>
      </c>
      <c r="H870" s="14">
        <v>473946.89</v>
      </c>
      <c r="I870" s="14">
        <v>482400</v>
      </c>
      <c r="J870" s="14">
        <v>473946.89</v>
      </c>
      <c r="K870" s="12">
        <v>3978</v>
      </c>
      <c r="L870" s="10" t="s">
        <v>101</v>
      </c>
      <c r="M870" s="10" t="s">
        <v>102</v>
      </c>
      <c r="N870" s="124" t="s">
        <v>365</v>
      </c>
      <c r="O870" s="124" t="s">
        <v>365</v>
      </c>
      <c r="P870" s="21">
        <v>31</v>
      </c>
      <c r="Q870" s="10" t="s">
        <v>54</v>
      </c>
      <c r="R870" s="10" t="s">
        <v>28</v>
      </c>
      <c r="S870" s="10"/>
      <c r="T870" s="10"/>
      <c r="U870" s="10" t="s">
        <v>1351</v>
      </c>
      <c r="V870" s="10" t="s">
        <v>1351</v>
      </c>
      <c r="W870" s="50">
        <f>+J870/$W$2</f>
        <v>5.8004680953379303E-6</v>
      </c>
    </row>
    <row r="871" spans="1:23">
      <c r="A871" s="10" t="s">
        <v>318</v>
      </c>
      <c r="B871" s="10" t="s">
        <v>358</v>
      </c>
      <c r="C871" s="124">
        <v>46345</v>
      </c>
      <c r="D871" s="124" t="s">
        <v>471</v>
      </c>
      <c r="E871" s="21">
        <v>0.98192190999999995</v>
      </c>
      <c r="F871" s="10"/>
      <c r="G871" s="14">
        <v>10000000</v>
      </c>
      <c r="H871" s="14">
        <v>9819219.1199999992</v>
      </c>
      <c r="I871" s="14">
        <v>10000000</v>
      </c>
      <c r="J871" s="14">
        <v>9819219.1199999992</v>
      </c>
      <c r="K871" s="12">
        <v>13953469</v>
      </c>
      <c r="L871" s="10" t="s">
        <v>101</v>
      </c>
      <c r="M871" s="10" t="s">
        <v>102</v>
      </c>
      <c r="N871" s="124" t="s">
        <v>309</v>
      </c>
      <c r="O871" s="124" t="s">
        <v>309</v>
      </c>
      <c r="P871" s="21">
        <v>32</v>
      </c>
      <c r="Q871" s="10" t="s">
        <v>54</v>
      </c>
      <c r="R871" s="10" t="s">
        <v>28</v>
      </c>
      <c r="S871" s="10"/>
      <c r="T871" s="10"/>
      <c r="U871" s="10" t="s">
        <v>860</v>
      </c>
      <c r="V871" s="10" t="s">
        <v>860</v>
      </c>
      <c r="W871" s="50">
        <f>+J871/$W$2</f>
        <v>1.2017394444067812E-4</v>
      </c>
    </row>
    <row r="872" spans="1:23">
      <c r="A872" s="10" t="s">
        <v>178</v>
      </c>
      <c r="B872" s="10" t="s">
        <v>358</v>
      </c>
      <c r="C872" s="124">
        <v>46345</v>
      </c>
      <c r="D872" s="124" t="s">
        <v>471</v>
      </c>
      <c r="E872" s="21">
        <v>0.98750070999999995</v>
      </c>
      <c r="F872" s="10"/>
      <c r="G872" s="14">
        <v>2753548.09</v>
      </c>
      <c r="H872" s="14">
        <v>2719130.68</v>
      </c>
      <c r="I872" s="14">
        <v>2753548.09</v>
      </c>
      <c r="J872" s="14">
        <v>2719130.68</v>
      </c>
      <c r="K872" s="12">
        <v>646175</v>
      </c>
      <c r="L872" s="10" t="s">
        <v>101</v>
      </c>
      <c r="M872" s="10" t="s">
        <v>102</v>
      </c>
      <c r="N872" s="124" t="s">
        <v>309</v>
      </c>
      <c r="O872" s="124" t="s">
        <v>309</v>
      </c>
      <c r="P872" s="21">
        <v>22</v>
      </c>
      <c r="Q872" s="10" t="s">
        <v>54</v>
      </c>
      <c r="R872" s="10" t="s">
        <v>28</v>
      </c>
      <c r="S872" s="10"/>
      <c r="T872" s="10"/>
      <c r="U872" s="10" t="s">
        <v>846</v>
      </c>
      <c r="V872" s="10" t="s">
        <v>846</v>
      </c>
      <c r="W872" s="50">
        <f>+J872/$W$2</f>
        <v>3.3278477165225269E-5</v>
      </c>
    </row>
    <row r="873" spans="1:23">
      <c r="A873" s="10" t="s">
        <v>178</v>
      </c>
      <c r="B873" s="10" t="s">
        <v>358</v>
      </c>
      <c r="C873" s="124">
        <v>46345</v>
      </c>
      <c r="D873" s="124" t="s">
        <v>471</v>
      </c>
      <c r="E873" s="21">
        <v>0.98750070000000001</v>
      </c>
      <c r="F873" s="10"/>
      <c r="G873" s="14">
        <v>13824514.550000001</v>
      </c>
      <c r="H873" s="14">
        <v>13651717.800000001</v>
      </c>
      <c r="I873" s="14">
        <v>13824514.550000001</v>
      </c>
      <c r="J873" s="14">
        <v>13651717.800000001</v>
      </c>
      <c r="K873" s="12">
        <v>646107</v>
      </c>
      <c r="L873" s="10" t="s">
        <v>101</v>
      </c>
      <c r="M873" s="10" t="s">
        <v>102</v>
      </c>
      <c r="N873" s="124" t="s">
        <v>309</v>
      </c>
      <c r="O873" s="124" t="s">
        <v>309</v>
      </c>
      <c r="P873" s="21">
        <v>22</v>
      </c>
      <c r="Q873" s="10" t="s">
        <v>54</v>
      </c>
      <c r="R873" s="10" t="s">
        <v>28</v>
      </c>
      <c r="S873" s="10"/>
      <c r="T873" s="10"/>
      <c r="U873" s="10" t="s">
        <v>847</v>
      </c>
      <c r="V873" s="10" t="s">
        <v>847</v>
      </c>
      <c r="W873" s="50">
        <f>+J873/$W$2</f>
        <v>1.6707853815742292E-4</v>
      </c>
    </row>
    <row r="874" spans="1:23">
      <c r="A874" s="10" t="s">
        <v>178</v>
      </c>
      <c r="B874" s="10" t="s">
        <v>358</v>
      </c>
      <c r="C874" s="124">
        <v>46345</v>
      </c>
      <c r="D874" s="124" t="s">
        <v>471</v>
      </c>
      <c r="E874" s="21">
        <v>0.98750070000000001</v>
      </c>
      <c r="F874" s="10"/>
      <c r="G874" s="14">
        <v>4118494.87</v>
      </c>
      <c r="H874" s="14">
        <v>4067016.56</v>
      </c>
      <c r="I874" s="14">
        <v>4118494.87</v>
      </c>
      <c r="J874" s="14">
        <v>4067016.56</v>
      </c>
      <c r="K874" s="12">
        <v>646126</v>
      </c>
      <c r="L874" s="10" t="s">
        <v>101</v>
      </c>
      <c r="M874" s="10" t="s">
        <v>102</v>
      </c>
      <c r="N874" s="124" t="s">
        <v>309</v>
      </c>
      <c r="O874" s="124" t="s">
        <v>309</v>
      </c>
      <c r="P874" s="21">
        <v>22</v>
      </c>
      <c r="Q874" s="10" t="s">
        <v>54</v>
      </c>
      <c r="R874" s="10" t="s">
        <v>28</v>
      </c>
      <c r="S874" s="10"/>
      <c r="T874" s="10"/>
      <c r="U874" s="10" t="s">
        <v>848</v>
      </c>
      <c r="V874" s="10" t="s">
        <v>848</v>
      </c>
      <c r="W874" s="50">
        <f>+J874/$W$2</f>
        <v>4.97747749742403E-5</v>
      </c>
    </row>
    <row r="875" spans="1:23">
      <c r="A875" s="10" t="s">
        <v>178</v>
      </c>
      <c r="B875" s="10" t="s">
        <v>358</v>
      </c>
      <c r="C875" s="124">
        <v>46345</v>
      </c>
      <c r="D875" s="124" t="s">
        <v>471</v>
      </c>
      <c r="E875" s="21">
        <v>0.98750070999999995</v>
      </c>
      <c r="F875" s="10"/>
      <c r="G875" s="14">
        <v>2994215.75</v>
      </c>
      <c r="H875" s="14">
        <v>2956790.17</v>
      </c>
      <c r="I875" s="14">
        <v>2994215.75</v>
      </c>
      <c r="J875" s="14">
        <v>2956790.17</v>
      </c>
      <c r="K875" s="12">
        <v>646250</v>
      </c>
      <c r="L875" s="10" t="s">
        <v>101</v>
      </c>
      <c r="M875" s="10" t="s">
        <v>102</v>
      </c>
      <c r="N875" s="124" t="s">
        <v>309</v>
      </c>
      <c r="O875" s="124" t="s">
        <v>309</v>
      </c>
      <c r="P875" s="21">
        <v>22</v>
      </c>
      <c r="Q875" s="10" t="s">
        <v>54</v>
      </c>
      <c r="R875" s="10" t="s">
        <v>28</v>
      </c>
      <c r="S875" s="10"/>
      <c r="T875" s="10"/>
      <c r="U875" s="10" t="s">
        <v>850</v>
      </c>
      <c r="V875" s="10" t="s">
        <v>850</v>
      </c>
      <c r="W875" s="50">
        <f>+J875/$W$2</f>
        <v>3.6187107474624033E-5</v>
      </c>
    </row>
    <row r="876" spans="1:23">
      <c r="A876" s="10" t="s">
        <v>178</v>
      </c>
      <c r="B876" s="10" t="s">
        <v>358</v>
      </c>
      <c r="C876" s="124">
        <v>46345</v>
      </c>
      <c r="D876" s="124" t="s">
        <v>471</v>
      </c>
      <c r="E876" s="21">
        <v>0.98750070000000001</v>
      </c>
      <c r="F876" s="10"/>
      <c r="G876" s="14">
        <v>6602649.0700000003</v>
      </c>
      <c r="H876" s="14">
        <v>6520120.5800000001</v>
      </c>
      <c r="I876" s="14">
        <v>6602649.0700000003</v>
      </c>
      <c r="J876" s="14">
        <v>6520120.5800000001</v>
      </c>
      <c r="K876" s="12">
        <v>646185</v>
      </c>
      <c r="L876" s="10" t="s">
        <v>101</v>
      </c>
      <c r="M876" s="10" t="s">
        <v>102</v>
      </c>
      <c r="N876" s="124" t="s">
        <v>309</v>
      </c>
      <c r="O876" s="124" t="s">
        <v>309</v>
      </c>
      <c r="P876" s="21">
        <v>22</v>
      </c>
      <c r="Q876" s="10" t="s">
        <v>54</v>
      </c>
      <c r="R876" s="10" t="s">
        <v>28</v>
      </c>
      <c r="S876" s="10"/>
      <c r="T876" s="10"/>
      <c r="U876" s="10" t="s">
        <v>851</v>
      </c>
      <c r="V876" s="10" t="s">
        <v>851</v>
      </c>
      <c r="W876" s="50">
        <f>+J876/$W$2</f>
        <v>7.9797446085248583E-5</v>
      </c>
    </row>
    <row r="877" spans="1:23">
      <c r="A877" s="10" t="s">
        <v>178</v>
      </c>
      <c r="B877" s="10" t="s">
        <v>358</v>
      </c>
      <c r="C877" s="124">
        <v>46345</v>
      </c>
      <c r="D877" s="124" t="s">
        <v>471</v>
      </c>
      <c r="E877" s="21">
        <v>0.98750070000000001</v>
      </c>
      <c r="F877" s="10"/>
      <c r="G877" s="14">
        <v>3715219.33</v>
      </c>
      <c r="H877" s="14">
        <v>3668781.69</v>
      </c>
      <c r="I877" s="14">
        <v>3715219.33</v>
      </c>
      <c r="J877" s="14">
        <v>3668781.69</v>
      </c>
      <c r="K877" s="12">
        <v>646200</v>
      </c>
      <c r="L877" s="10" t="s">
        <v>101</v>
      </c>
      <c r="M877" s="10" t="s">
        <v>102</v>
      </c>
      <c r="N877" s="124" t="s">
        <v>309</v>
      </c>
      <c r="O877" s="124" t="s">
        <v>309</v>
      </c>
      <c r="P877" s="21">
        <v>22</v>
      </c>
      <c r="Q877" s="10" t="s">
        <v>54</v>
      </c>
      <c r="R877" s="10" t="s">
        <v>28</v>
      </c>
      <c r="S877" s="10"/>
      <c r="T877" s="10"/>
      <c r="U877" s="10" t="s">
        <v>852</v>
      </c>
      <c r="V877" s="10" t="s">
        <v>852</v>
      </c>
      <c r="W877" s="50">
        <f>+J877/$W$2</f>
        <v>4.4900919471388392E-5</v>
      </c>
    </row>
    <row r="878" spans="1:23">
      <c r="A878" s="10" t="s">
        <v>178</v>
      </c>
      <c r="B878" s="10" t="s">
        <v>358</v>
      </c>
      <c r="C878" s="124">
        <v>46345</v>
      </c>
      <c r="D878" s="124" t="s">
        <v>471</v>
      </c>
      <c r="E878" s="21">
        <v>0.98750070000000001</v>
      </c>
      <c r="F878" s="10"/>
      <c r="G878" s="14">
        <v>4405109.3099999996</v>
      </c>
      <c r="H878" s="14">
        <v>4350048.51</v>
      </c>
      <c r="I878" s="14">
        <v>4405109.3099999996</v>
      </c>
      <c r="J878" s="14">
        <v>4350048.51</v>
      </c>
      <c r="K878" s="12">
        <v>646238</v>
      </c>
      <c r="L878" s="10" t="s">
        <v>101</v>
      </c>
      <c r="M878" s="10" t="s">
        <v>102</v>
      </c>
      <c r="N878" s="124" t="s">
        <v>309</v>
      </c>
      <c r="O878" s="124" t="s">
        <v>309</v>
      </c>
      <c r="P878" s="21">
        <v>22</v>
      </c>
      <c r="Q878" s="10" t="s">
        <v>54</v>
      </c>
      <c r="R878" s="10" t="s">
        <v>28</v>
      </c>
      <c r="S878" s="10"/>
      <c r="T878" s="10"/>
      <c r="U878" s="10" t="s">
        <v>853</v>
      </c>
      <c r="V878" s="10" t="s">
        <v>853</v>
      </c>
      <c r="W878" s="50">
        <f>+J878/$W$2</f>
        <v>5.3238702748798079E-5</v>
      </c>
    </row>
    <row r="879" spans="1:23">
      <c r="A879" s="10" t="s">
        <v>2435</v>
      </c>
      <c r="B879" s="10" t="s">
        <v>358</v>
      </c>
      <c r="C879" s="124">
        <v>46345</v>
      </c>
      <c r="D879" s="124" t="s">
        <v>471</v>
      </c>
      <c r="E879" s="21">
        <v>0.98358913000000003</v>
      </c>
      <c r="F879" s="10"/>
      <c r="G879" s="14">
        <v>339500.68</v>
      </c>
      <c r="H879" s="14">
        <v>333929.18</v>
      </c>
      <c r="I879" s="14">
        <v>339500.68</v>
      </c>
      <c r="J879" s="14">
        <v>333929.18</v>
      </c>
      <c r="K879" s="12">
        <v>11456514</v>
      </c>
      <c r="L879" s="10" t="s">
        <v>101</v>
      </c>
      <c r="M879" s="10" t="s">
        <v>102</v>
      </c>
      <c r="N879" s="124" t="s">
        <v>469</v>
      </c>
      <c r="O879" s="124" t="s">
        <v>469</v>
      </c>
      <c r="P879" s="21">
        <v>29</v>
      </c>
      <c r="Q879" s="10" t="s">
        <v>54</v>
      </c>
      <c r="R879" s="10" t="s">
        <v>28</v>
      </c>
      <c r="S879" s="10"/>
      <c r="T879" s="10"/>
      <c r="U879" s="10" t="s">
        <v>4035</v>
      </c>
      <c r="V879" s="10" t="s">
        <v>4035</v>
      </c>
      <c r="W879" s="50">
        <f>+J879/$W$2</f>
        <v>4.0868409426473018E-6</v>
      </c>
    </row>
    <row r="880" spans="1:23">
      <c r="A880" s="10" t="s">
        <v>768</v>
      </c>
      <c r="B880" s="10" t="s">
        <v>358</v>
      </c>
      <c r="C880" s="124">
        <v>46345</v>
      </c>
      <c r="D880" s="124" t="s">
        <v>471</v>
      </c>
      <c r="E880" s="21">
        <v>0.98136751</v>
      </c>
      <c r="F880" s="10"/>
      <c r="G880" s="14">
        <v>15040535.109999999</v>
      </c>
      <c r="H880" s="14">
        <v>14760292.470000001</v>
      </c>
      <c r="I880" s="14">
        <v>15040535.109999999</v>
      </c>
      <c r="J880" s="14">
        <v>14760292.470000001</v>
      </c>
      <c r="K880" s="12">
        <v>29717251</v>
      </c>
      <c r="L880" s="10" t="s">
        <v>101</v>
      </c>
      <c r="M880" s="10" t="s">
        <v>102</v>
      </c>
      <c r="N880" s="124" t="s">
        <v>154</v>
      </c>
      <c r="O880" s="124" t="s">
        <v>154</v>
      </c>
      <c r="P880" s="21">
        <v>33</v>
      </c>
      <c r="Q880" s="10" t="s">
        <v>54</v>
      </c>
      <c r="R880" s="10" t="s">
        <v>28</v>
      </c>
      <c r="S880" s="10"/>
      <c r="T880" s="10"/>
      <c r="U880" s="10" t="s">
        <v>763</v>
      </c>
      <c r="V880" s="10" t="s">
        <v>763</v>
      </c>
      <c r="W880" s="50">
        <f>+J880/$W$2</f>
        <v>1.8064599084106596E-4</v>
      </c>
    </row>
    <row r="881" spans="1:29">
      <c r="A881" s="10" t="s">
        <v>832</v>
      </c>
      <c r="B881" s="10" t="s">
        <v>358</v>
      </c>
      <c r="C881" s="124">
        <v>46345</v>
      </c>
      <c r="D881" s="124" t="s">
        <v>471</v>
      </c>
      <c r="E881" s="21">
        <v>0.98136760000000001</v>
      </c>
      <c r="F881" s="10"/>
      <c r="G881" s="14">
        <v>204051.5</v>
      </c>
      <c r="H881" s="14">
        <v>200249.53</v>
      </c>
      <c r="I881" s="14">
        <v>204051.5</v>
      </c>
      <c r="J881" s="14">
        <v>200249.53</v>
      </c>
      <c r="K881" s="12">
        <v>30101906</v>
      </c>
      <c r="L881" s="10" t="s">
        <v>101</v>
      </c>
      <c r="M881" s="10" t="s">
        <v>102</v>
      </c>
      <c r="N881" s="124" t="s">
        <v>408</v>
      </c>
      <c r="O881" s="124" t="s">
        <v>408</v>
      </c>
      <c r="P881" s="21">
        <v>33</v>
      </c>
      <c r="Q881" s="10" t="s">
        <v>54</v>
      </c>
      <c r="R881" s="10" t="s">
        <v>28</v>
      </c>
      <c r="S881" s="10"/>
      <c r="T881" s="10"/>
      <c r="U881" s="10" t="s">
        <v>2049</v>
      </c>
      <c r="V881" s="10" t="s">
        <v>2049</v>
      </c>
      <c r="W881" s="50">
        <f>+J881/$W$2</f>
        <v>2.4507830610966047E-6</v>
      </c>
    </row>
    <row r="882" spans="1:29">
      <c r="A882" s="10" t="s">
        <v>832</v>
      </c>
      <c r="B882" s="10" t="s">
        <v>358</v>
      </c>
      <c r="C882" s="124">
        <v>46345</v>
      </c>
      <c r="D882" s="124" t="s">
        <v>471</v>
      </c>
      <c r="E882" s="21">
        <v>0.98026055000000001</v>
      </c>
      <c r="F882" s="10"/>
      <c r="G882" s="14">
        <v>278508.32</v>
      </c>
      <c r="H882" s="14">
        <v>273010.71999999997</v>
      </c>
      <c r="I882" s="14">
        <v>278508.32</v>
      </c>
      <c r="J882" s="14">
        <v>273010.71999999997</v>
      </c>
      <c r="K882" s="12">
        <v>30100623</v>
      </c>
      <c r="L882" s="10" t="s">
        <v>101</v>
      </c>
      <c r="M882" s="10" t="s">
        <v>102</v>
      </c>
      <c r="N882" s="124" t="s">
        <v>395</v>
      </c>
      <c r="O882" s="124" t="s">
        <v>395</v>
      </c>
      <c r="P882" s="21">
        <v>35</v>
      </c>
      <c r="Q882" s="10" t="s">
        <v>54</v>
      </c>
      <c r="R882" s="10" t="s">
        <v>28</v>
      </c>
      <c r="S882" s="10"/>
      <c r="T882" s="10"/>
      <c r="U882" s="10" t="s">
        <v>1786</v>
      </c>
      <c r="V882" s="10" t="s">
        <v>1786</v>
      </c>
      <c r="W882" s="50">
        <f>+J882/$W$2</f>
        <v>3.3412814905172958E-6</v>
      </c>
    </row>
    <row r="883" spans="1:29">
      <c r="A883" s="10" t="s">
        <v>942</v>
      </c>
      <c r="B883" s="10" t="s">
        <v>358</v>
      </c>
      <c r="C883" s="124">
        <v>46345</v>
      </c>
      <c r="D883" s="124" t="s">
        <v>471</v>
      </c>
      <c r="E883" s="21">
        <v>0.98247695000000002</v>
      </c>
      <c r="F883" s="10"/>
      <c r="G883" s="14">
        <v>17265963.219999999</v>
      </c>
      <c r="H883" s="14">
        <v>16963410.829999998</v>
      </c>
      <c r="I883" s="14">
        <v>17265963.219999999</v>
      </c>
      <c r="J883" s="14">
        <v>16963410.829999998</v>
      </c>
      <c r="K883" s="12">
        <v>31835604</v>
      </c>
      <c r="L883" s="10" t="s">
        <v>101</v>
      </c>
      <c r="M883" s="10" t="s">
        <v>102</v>
      </c>
      <c r="N883" s="124" t="s">
        <v>162</v>
      </c>
      <c r="O883" s="124" t="s">
        <v>162</v>
      </c>
      <c r="P883" s="21">
        <v>31</v>
      </c>
      <c r="Q883" s="10" t="s">
        <v>54</v>
      </c>
      <c r="R883" s="10" t="s">
        <v>28</v>
      </c>
      <c r="S883" s="10"/>
      <c r="T883" s="10"/>
      <c r="U883" s="10" t="s">
        <v>1305</v>
      </c>
      <c r="V883" s="10" t="s">
        <v>1305</v>
      </c>
      <c r="W883" s="50">
        <f>+J883/$W$2</f>
        <v>2.0760917601447899E-4</v>
      </c>
    </row>
    <row r="884" spans="1:29">
      <c r="A884" s="10" t="s">
        <v>520</v>
      </c>
      <c r="B884" s="10" t="s">
        <v>358</v>
      </c>
      <c r="C884" s="124">
        <v>46345</v>
      </c>
      <c r="D884" s="124" t="s">
        <v>471</v>
      </c>
      <c r="E884" s="21">
        <v>0.97805412000000003</v>
      </c>
      <c r="F884" s="10"/>
      <c r="G884" s="14">
        <v>3750000</v>
      </c>
      <c r="H884" s="14">
        <v>3667702.95</v>
      </c>
      <c r="I884" s="14">
        <v>3750000</v>
      </c>
      <c r="J884" s="14">
        <v>3667702.95</v>
      </c>
      <c r="K884" s="12">
        <v>66918963</v>
      </c>
      <c r="L884" s="10" t="s">
        <v>101</v>
      </c>
      <c r="M884" s="10" t="s">
        <v>102</v>
      </c>
      <c r="N884" s="124" t="s">
        <v>296</v>
      </c>
      <c r="O884" s="124" t="s">
        <v>296</v>
      </c>
      <c r="P884" s="21">
        <v>39</v>
      </c>
      <c r="Q884" s="10" t="s">
        <v>54</v>
      </c>
      <c r="R884" s="10" t="s">
        <v>28</v>
      </c>
      <c r="S884" s="10"/>
      <c r="T884" s="10"/>
      <c r="U884" s="10" t="s">
        <v>509</v>
      </c>
      <c r="V884" s="10" t="s">
        <v>509</v>
      </c>
      <c r="W884" s="50">
        <f>+J884/$W$2</f>
        <v>4.488771715466222E-5</v>
      </c>
    </row>
    <row r="885" spans="1:29">
      <c r="A885" s="10" t="s">
        <v>3575</v>
      </c>
      <c r="B885" s="10" t="s">
        <v>358</v>
      </c>
      <c r="C885" s="124">
        <v>46345</v>
      </c>
      <c r="D885" s="124" t="s">
        <v>471</v>
      </c>
      <c r="E885" s="21">
        <v>0.98303260000000003</v>
      </c>
      <c r="F885" s="10"/>
      <c r="G885" s="14">
        <v>8060110.0800000001</v>
      </c>
      <c r="H885" s="14">
        <v>7923350.9699999997</v>
      </c>
      <c r="I885" s="14">
        <v>8060110.0800000001</v>
      </c>
      <c r="J885" s="14">
        <v>7923350.9699999997</v>
      </c>
      <c r="K885" s="12">
        <v>70</v>
      </c>
      <c r="L885" s="10" t="s">
        <v>101</v>
      </c>
      <c r="M885" s="10" t="s">
        <v>102</v>
      </c>
      <c r="N885" s="124" t="s">
        <v>451</v>
      </c>
      <c r="O885" s="124" t="s">
        <v>451</v>
      </c>
      <c r="P885" s="21">
        <v>30</v>
      </c>
      <c r="Q885" s="10" t="s">
        <v>54</v>
      </c>
      <c r="R885" s="10" t="s">
        <v>28</v>
      </c>
      <c r="S885" s="10"/>
      <c r="T885" s="10"/>
      <c r="U885" s="10" t="s">
        <v>3545</v>
      </c>
      <c r="V885" s="10" t="s">
        <v>3545</v>
      </c>
      <c r="W885" s="50">
        <f>+J885/$W$2</f>
        <v>9.6971085746864677E-5</v>
      </c>
    </row>
    <row r="886" spans="1:29">
      <c r="A886" s="10" t="s">
        <v>1537</v>
      </c>
      <c r="B886" s="10" t="s">
        <v>358</v>
      </c>
      <c r="C886" s="124">
        <v>46345</v>
      </c>
      <c r="D886" s="124" t="s">
        <v>471</v>
      </c>
      <c r="E886" s="21">
        <v>0.98303271000000003</v>
      </c>
      <c r="F886" s="10"/>
      <c r="G886" s="14">
        <v>50000000</v>
      </c>
      <c r="H886" s="14">
        <v>49151635.560000002</v>
      </c>
      <c r="I886" s="14">
        <v>50000000</v>
      </c>
      <c r="J886" s="14">
        <v>49151635.560000002</v>
      </c>
      <c r="K886" s="12">
        <v>16836873</v>
      </c>
      <c r="L886" s="10" t="s">
        <v>101</v>
      </c>
      <c r="M886" s="10" t="s">
        <v>102</v>
      </c>
      <c r="N886" s="124" t="s">
        <v>417</v>
      </c>
      <c r="O886" s="124" t="s">
        <v>417</v>
      </c>
      <c r="P886" s="21">
        <v>30</v>
      </c>
      <c r="Q886" s="10" t="s">
        <v>54</v>
      </c>
      <c r="R886" s="10" t="s">
        <v>28</v>
      </c>
      <c r="S886" s="10"/>
      <c r="T886" s="10"/>
      <c r="U886" s="10" t="s">
        <v>3300</v>
      </c>
      <c r="V886" s="10" t="s">
        <v>3300</v>
      </c>
      <c r="W886" s="50">
        <f>+J886/$W$2</f>
        <v>6.0154945609930529E-4</v>
      </c>
      <c r="AC886" s="47"/>
    </row>
    <row r="887" spans="1:29">
      <c r="A887" s="10" t="s">
        <v>433</v>
      </c>
      <c r="B887" s="10" t="s">
        <v>358</v>
      </c>
      <c r="C887" s="124">
        <v>46345</v>
      </c>
      <c r="D887" s="124" t="s">
        <v>471</v>
      </c>
      <c r="E887" s="21">
        <v>0.98081368999999996</v>
      </c>
      <c r="F887" s="10"/>
      <c r="G887" s="14">
        <v>10000000</v>
      </c>
      <c r="H887" s="14">
        <v>9808136.8699999992</v>
      </c>
      <c r="I887" s="14">
        <v>10000000</v>
      </c>
      <c r="J887" s="14">
        <v>9808136.8699999992</v>
      </c>
      <c r="K887" s="12">
        <v>14284516</v>
      </c>
      <c r="L887" s="10" t="s">
        <v>101</v>
      </c>
      <c r="M887" s="10" t="s">
        <v>102</v>
      </c>
      <c r="N887" s="124" t="s">
        <v>399</v>
      </c>
      <c r="O887" s="124" t="s">
        <v>399</v>
      </c>
      <c r="P887" s="21">
        <v>34</v>
      </c>
      <c r="Q887" s="10" t="s">
        <v>54</v>
      </c>
      <c r="R887" s="10" t="s">
        <v>28</v>
      </c>
      <c r="S887" s="10"/>
      <c r="T887" s="10"/>
      <c r="U887" s="10" t="s">
        <v>1104</v>
      </c>
      <c r="V887" s="10" t="s">
        <v>1104</v>
      </c>
      <c r="W887" s="50">
        <f>+J887/$W$2</f>
        <v>1.2003831270871432E-4</v>
      </c>
    </row>
    <row r="888" spans="1:29">
      <c r="A888" s="10" t="s">
        <v>3587</v>
      </c>
      <c r="B888" s="10" t="s">
        <v>358</v>
      </c>
      <c r="C888" s="124">
        <v>46345</v>
      </c>
      <c r="D888" s="124" t="s">
        <v>471</v>
      </c>
      <c r="E888" s="21">
        <v>0.98303260000000003</v>
      </c>
      <c r="F888" s="10"/>
      <c r="G888" s="14">
        <v>5392373.7199999997</v>
      </c>
      <c r="H888" s="14">
        <v>5300879.1500000004</v>
      </c>
      <c r="I888" s="14">
        <v>5392373.7199999997</v>
      </c>
      <c r="J888" s="14">
        <v>5300879.1500000004</v>
      </c>
      <c r="K888" s="12">
        <v>12700532</v>
      </c>
      <c r="L888" s="10" t="s">
        <v>101</v>
      </c>
      <c r="M888" s="10" t="s">
        <v>102</v>
      </c>
      <c r="N888" s="124" t="s">
        <v>451</v>
      </c>
      <c r="O888" s="124" t="s">
        <v>451</v>
      </c>
      <c r="P888" s="21">
        <v>30</v>
      </c>
      <c r="Q888" s="10" t="s">
        <v>54</v>
      </c>
      <c r="R888" s="10" t="s">
        <v>28</v>
      </c>
      <c r="S888" s="10"/>
      <c r="T888" s="10"/>
      <c r="U888" s="10" t="s">
        <v>3528</v>
      </c>
      <c r="V888" s="10" t="s">
        <v>3528</v>
      </c>
      <c r="W888" s="50">
        <f>+J888/$W$2</f>
        <v>6.4875582128658027E-5</v>
      </c>
    </row>
    <row r="889" spans="1:29">
      <c r="A889" s="10" t="s">
        <v>2211</v>
      </c>
      <c r="B889" s="10" t="s">
        <v>358</v>
      </c>
      <c r="C889" s="124">
        <v>46345</v>
      </c>
      <c r="D889" s="124" t="s">
        <v>471</v>
      </c>
      <c r="E889" s="21">
        <v>0.98136747999999996</v>
      </c>
      <c r="F889" s="10"/>
      <c r="G889" s="14">
        <v>2500000</v>
      </c>
      <c r="H889" s="14">
        <v>2453418.69</v>
      </c>
      <c r="I889" s="14">
        <v>2500000</v>
      </c>
      <c r="J889" s="14">
        <v>2453418.69</v>
      </c>
      <c r="K889" s="12">
        <v>94</v>
      </c>
      <c r="L889" s="10" t="s">
        <v>101</v>
      </c>
      <c r="M889" s="10" t="s">
        <v>102</v>
      </c>
      <c r="N889" s="124" t="s">
        <v>478</v>
      </c>
      <c r="O889" s="124" t="s">
        <v>478</v>
      </c>
      <c r="P889" s="21">
        <v>33</v>
      </c>
      <c r="Q889" s="10" t="s">
        <v>54</v>
      </c>
      <c r="R889" s="10" t="s">
        <v>28</v>
      </c>
      <c r="S889" s="10"/>
      <c r="T889" s="10"/>
      <c r="U889" s="10" t="s">
        <v>2182</v>
      </c>
      <c r="V889" s="10" t="s">
        <v>2182</v>
      </c>
      <c r="W889" s="50">
        <f>+J889/$W$2</f>
        <v>3.0026522245669297E-5</v>
      </c>
    </row>
    <row r="890" spans="1:29">
      <c r="A890" s="10" t="s">
        <v>949</v>
      </c>
      <c r="B890" s="10" t="s">
        <v>358</v>
      </c>
      <c r="C890" s="124">
        <v>46345</v>
      </c>
      <c r="D890" s="124" t="s">
        <v>471</v>
      </c>
      <c r="E890" s="21">
        <v>0.98414583</v>
      </c>
      <c r="F890" s="10"/>
      <c r="G890" s="14">
        <v>20279181.25</v>
      </c>
      <c r="H890" s="14">
        <v>19957671.739999998</v>
      </c>
      <c r="I890" s="14">
        <v>20279181.25</v>
      </c>
      <c r="J890" s="14">
        <v>19957671.739999998</v>
      </c>
      <c r="K890" s="12">
        <v>99803231</v>
      </c>
      <c r="L890" s="10" t="s">
        <v>101</v>
      </c>
      <c r="M890" s="10" t="s">
        <v>102</v>
      </c>
      <c r="N890" s="124" t="s">
        <v>485</v>
      </c>
      <c r="O890" s="124" t="s">
        <v>485</v>
      </c>
      <c r="P890" s="21">
        <v>28</v>
      </c>
      <c r="Q890" s="10" t="s">
        <v>54</v>
      </c>
      <c r="R890" s="10" t="s">
        <v>28</v>
      </c>
      <c r="S890" s="10"/>
      <c r="T890" s="10"/>
      <c r="U890" s="10" t="s">
        <v>938</v>
      </c>
      <c r="V890" s="10" t="s">
        <v>938</v>
      </c>
      <c r="W890" s="50">
        <f>+J890/$W$2</f>
        <v>2.4425487460229441E-4</v>
      </c>
    </row>
    <row r="891" spans="1:29">
      <c r="A891" s="10" t="s">
        <v>359</v>
      </c>
      <c r="B891" s="10" t="s">
        <v>358</v>
      </c>
      <c r="C891" s="124">
        <v>46345</v>
      </c>
      <c r="D891" s="124" t="s">
        <v>471</v>
      </c>
      <c r="E891" s="21">
        <v>0.98303271000000003</v>
      </c>
      <c r="F891" s="10"/>
      <c r="G891" s="14">
        <v>10000000</v>
      </c>
      <c r="H891" s="14">
        <v>9830327.0899999999</v>
      </c>
      <c r="I891" s="14">
        <v>10000000</v>
      </c>
      <c r="J891" s="14">
        <v>9830327.0899999999</v>
      </c>
      <c r="K891" s="12">
        <v>1391</v>
      </c>
      <c r="L891" s="10" t="s">
        <v>101</v>
      </c>
      <c r="M891" s="10" t="s">
        <v>102</v>
      </c>
      <c r="N891" s="124" t="s">
        <v>417</v>
      </c>
      <c r="O891" s="124" t="s">
        <v>417</v>
      </c>
      <c r="P891" s="21">
        <v>30</v>
      </c>
      <c r="Q891" s="10" t="s">
        <v>54</v>
      </c>
      <c r="R891" s="10" t="s">
        <v>28</v>
      </c>
      <c r="S891" s="10"/>
      <c r="T891" s="10"/>
      <c r="U891" s="10" t="s">
        <v>3205</v>
      </c>
      <c r="V891" s="10" t="s">
        <v>3205</v>
      </c>
      <c r="W891" s="50">
        <f>+J891/$W$2</f>
        <v>1.2030989095061086E-4</v>
      </c>
    </row>
    <row r="892" spans="1:29">
      <c r="A892" s="10" t="s">
        <v>359</v>
      </c>
      <c r="B892" s="10" t="s">
        <v>358</v>
      </c>
      <c r="C892" s="124">
        <v>46345</v>
      </c>
      <c r="D892" s="124" t="s">
        <v>471</v>
      </c>
      <c r="E892" s="21">
        <v>0.98303266</v>
      </c>
      <c r="F892" s="10"/>
      <c r="G892" s="14">
        <v>8000000</v>
      </c>
      <c r="H892" s="14">
        <v>7864261.2699999996</v>
      </c>
      <c r="I892" s="14">
        <v>8000000</v>
      </c>
      <c r="J892" s="14">
        <v>7864261.2699999996</v>
      </c>
      <c r="K892" s="12">
        <v>1390</v>
      </c>
      <c r="L892" s="10" t="s">
        <v>101</v>
      </c>
      <c r="M892" s="10" t="s">
        <v>102</v>
      </c>
      <c r="N892" s="124" t="s">
        <v>448</v>
      </c>
      <c r="O892" s="124" t="s">
        <v>448</v>
      </c>
      <c r="P892" s="21">
        <v>30</v>
      </c>
      <c r="Q892" s="10" t="s">
        <v>54</v>
      </c>
      <c r="R892" s="10" t="s">
        <v>28</v>
      </c>
      <c r="S892" s="10"/>
      <c r="T892" s="10"/>
      <c r="U892" s="10" t="s">
        <v>3138</v>
      </c>
      <c r="V892" s="10" t="s">
        <v>3138</v>
      </c>
      <c r="W892" s="50">
        <f>+J892/$W$2</f>
        <v>9.6247907840553087E-5</v>
      </c>
    </row>
    <row r="893" spans="1:29">
      <c r="A893" s="10" t="s">
        <v>359</v>
      </c>
      <c r="B893" s="10" t="s">
        <v>358</v>
      </c>
      <c r="C893" s="124">
        <v>46345</v>
      </c>
      <c r="D893" s="124" t="s">
        <v>471</v>
      </c>
      <c r="E893" s="21">
        <v>0.98303273000000002</v>
      </c>
      <c r="F893" s="10"/>
      <c r="G893" s="14">
        <v>6500000</v>
      </c>
      <c r="H893" s="14">
        <v>6389712.75</v>
      </c>
      <c r="I893" s="14">
        <v>6500000</v>
      </c>
      <c r="J893" s="14">
        <v>6389712.75</v>
      </c>
      <c r="K893" s="12">
        <v>1384</v>
      </c>
      <c r="L893" s="10" t="s">
        <v>101</v>
      </c>
      <c r="M893" s="10" t="s">
        <v>102</v>
      </c>
      <c r="N893" s="124" t="s">
        <v>508</v>
      </c>
      <c r="O893" s="124" t="s">
        <v>508</v>
      </c>
      <c r="P893" s="21">
        <v>30</v>
      </c>
      <c r="Q893" s="10" t="s">
        <v>54</v>
      </c>
      <c r="R893" s="10" t="s">
        <v>28</v>
      </c>
      <c r="S893" s="10"/>
      <c r="T893" s="10"/>
      <c r="U893" s="10" t="s">
        <v>2995</v>
      </c>
      <c r="V893" s="10" t="s">
        <v>2995</v>
      </c>
      <c r="W893" s="50">
        <f>+J893/$W$2</f>
        <v>7.8201430849665426E-5</v>
      </c>
    </row>
    <row r="894" spans="1:29">
      <c r="A894" s="10" t="s">
        <v>271</v>
      </c>
      <c r="B894" s="10" t="s">
        <v>358</v>
      </c>
      <c r="C894" s="124">
        <v>46345</v>
      </c>
      <c r="D894" s="124" t="s">
        <v>471</v>
      </c>
      <c r="E894" s="21">
        <v>0.98526157999999997</v>
      </c>
      <c r="F894" s="10"/>
      <c r="G894" s="14">
        <v>4000000</v>
      </c>
      <c r="H894" s="14">
        <v>3941046.3</v>
      </c>
      <c r="I894" s="14">
        <v>4000000</v>
      </c>
      <c r="J894" s="14">
        <v>3941046.3</v>
      </c>
      <c r="K894" s="12">
        <v>90002234</v>
      </c>
      <c r="L894" s="10" t="s">
        <v>101</v>
      </c>
      <c r="M894" s="10" t="s">
        <v>102</v>
      </c>
      <c r="N894" s="124" t="s">
        <v>478</v>
      </c>
      <c r="O894" s="124" t="s">
        <v>478</v>
      </c>
      <c r="P894" s="21">
        <v>26</v>
      </c>
      <c r="Q894" s="10" t="s">
        <v>54</v>
      </c>
      <c r="R894" s="10" t="s">
        <v>28</v>
      </c>
      <c r="S894" s="10"/>
      <c r="T894" s="10"/>
      <c r="U894" s="10" t="s">
        <v>2119</v>
      </c>
      <c r="V894" s="10" t="s">
        <v>2119</v>
      </c>
      <c r="W894" s="50">
        <f>+J894/$W$2</f>
        <v>4.8233069585918364E-5</v>
      </c>
      <c r="AC894" s="47"/>
    </row>
    <row r="895" spans="1:29">
      <c r="A895" s="10" t="s">
        <v>677</v>
      </c>
      <c r="B895" s="10" t="s">
        <v>358</v>
      </c>
      <c r="C895" s="124">
        <v>46345</v>
      </c>
      <c r="D895" s="124" t="s">
        <v>471</v>
      </c>
      <c r="E895" s="21">
        <v>0.97915605999999999</v>
      </c>
      <c r="F895" s="10"/>
      <c r="G895" s="14">
        <v>25000000</v>
      </c>
      <c r="H895" s="14">
        <v>24478901.550000001</v>
      </c>
      <c r="I895" s="14">
        <v>25000000</v>
      </c>
      <c r="J895" s="14">
        <v>24478901.550000001</v>
      </c>
      <c r="K895" s="12">
        <v>2660</v>
      </c>
      <c r="L895" s="10" t="s">
        <v>101</v>
      </c>
      <c r="M895" s="10" t="s">
        <v>102</v>
      </c>
      <c r="N895" s="124" t="s">
        <v>399</v>
      </c>
      <c r="O895" s="124" t="s">
        <v>399</v>
      </c>
      <c r="P895" s="21">
        <v>37</v>
      </c>
      <c r="Q895" s="10" t="s">
        <v>54</v>
      </c>
      <c r="R895" s="10" t="s">
        <v>28</v>
      </c>
      <c r="S895" s="10"/>
      <c r="T895" s="10"/>
      <c r="U895" s="10" t="s">
        <v>1114</v>
      </c>
      <c r="V895" s="10" t="s">
        <v>1114</v>
      </c>
      <c r="W895" s="50">
        <f>+J895/$W$2</f>
        <v>2.9958860464237506E-4</v>
      </c>
    </row>
    <row r="896" spans="1:29">
      <c r="A896" s="10" t="s">
        <v>359</v>
      </c>
      <c r="B896" s="10" t="s">
        <v>358</v>
      </c>
      <c r="C896" s="124">
        <v>46345</v>
      </c>
      <c r="D896" s="124" t="s">
        <v>471</v>
      </c>
      <c r="E896" s="21">
        <v>0.98192192</v>
      </c>
      <c r="F896" s="10"/>
      <c r="G896" s="14">
        <v>3000000</v>
      </c>
      <c r="H896" s="14">
        <v>2945765.75</v>
      </c>
      <c r="I896" s="14">
        <v>3000000</v>
      </c>
      <c r="J896" s="14">
        <v>2945765.75</v>
      </c>
      <c r="K896" s="12">
        <v>1059</v>
      </c>
      <c r="L896" s="10" t="s">
        <v>101</v>
      </c>
      <c r="M896" s="10" t="s">
        <v>102</v>
      </c>
      <c r="N896" s="124" t="s">
        <v>373</v>
      </c>
      <c r="O896" s="124" t="s">
        <v>373</v>
      </c>
      <c r="P896" s="21">
        <v>32</v>
      </c>
      <c r="Q896" s="10" t="s">
        <v>54</v>
      </c>
      <c r="R896" s="10" t="s">
        <v>28</v>
      </c>
      <c r="S896" s="10"/>
      <c r="T896" s="10"/>
      <c r="U896" s="10" t="s">
        <v>1148</v>
      </c>
      <c r="V896" s="10" t="s">
        <v>1148</v>
      </c>
      <c r="W896" s="50">
        <f>+J896/$W$2</f>
        <v>3.6052183503544479E-5</v>
      </c>
    </row>
    <row r="897" spans="1:23">
      <c r="A897" s="10" t="s">
        <v>359</v>
      </c>
      <c r="B897" s="10" t="s">
        <v>358</v>
      </c>
      <c r="C897" s="124">
        <v>46345</v>
      </c>
      <c r="D897" s="124" t="s">
        <v>471</v>
      </c>
      <c r="E897" s="21">
        <v>0.98136752000000005</v>
      </c>
      <c r="F897" s="10"/>
      <c r="G897" s="14">
        <v>2500000</v>
      </c>
      <c r="H897" s="14">
        <v>2453418.79</v>
      </c>
      <c r="I897" s="14">
        <v>2500000</v>
      </c>
      <c r="J897" s="14">
        <v>2453418.79</v>
      </c>
      <c r="K897" s="12">
        <v>1022</v>
      </c>
      <c r="L897" s="10" t="s">
        <v>101</v>
      </c>
      <c r="M897" s="10" t="s">
        <v>102</v>
      </c>
      <c r="N897" s="124" t="s">
        <v>161</v>
      </c>
      <c r="O897" s="124" t="s">
        <v>161</v>
      </c>
      <c r="P897" s="21">
        <v>33</v>
      </c>
      <c r="Q897" s="10" t="s">
        <v>54</v>
      </c>
      <c r="R897" s="10" t="s">
        <v>28</v>
      </c>
      <c r="S897" s="10"/>
      <c r="T897" s="10"/>
      <c r="U897" s="10" t="s">
        <v>1075</v>
      </c>
      <c r="V897" s="10" t="s">
        <v>1075</v>
      </c>
      <c r="W897" s="50">
        <f>+J897/$W$2</f>
        <v>3.0026523469533874E-5</v>
      </c>
    </row>
    <row r="898" spans="1:23">
      <c r="A898" s="10" t="s">
        <v>359</v>
      </c>
      <c r="B898" s="10" t="s">
        <v>358</v>
      </c>
      <c r="C898" s="124">
        <v>46345</v>
      </c>
      <c r="D898" s="124" t="s">
        <v>471</v>
      </c>
      <c r="E898" s="21">
        <v>0.98303260000000003</v>
      </c>
      <c r="F898" s="10"/>
      <c r="G898" s="14">
        <v>2500000</v>
      </c>
      <c r="H898" s="14">
        <v>2457581.5099999998</v>
      </c>
      <c r="I898" s="14">
        <v>2500000</v>
      </c>
      <c r="J898" s="14">
        <v>2457581.5099999998</v>
      </c>
      <c r="K898" s="12">
        <v>890</v>
      </c>
      <c r="L898" s="10" t="s">
        <v>101</v>
      </c>
      <c r="M898" s="10" t="s">
        <v>102</v>
      </c>
      <c r="N898" s="124" t="s">
        <v>409</v>
      </c>
      <c r="O898" s="124" t="s">
        <v>409</v>
      </c>
      <c r="P898" s="21">
        <v>30</v>
      </c>
      <c r="Q898" s="10" t="s">
        <v>54</v>
      </c>
      <c r="R898" s="10" t="s">
        <v>28</v>
      </c>
      <c r="S898" s="10"/>
      <c r="T898" s="10"/>
      <c r="U898" s="10" t="s">
        <v>899</v>
      </c>
      <c r="V898" s="10" t="s">
        <v>899</v>
      </c>
      <c r="W898" s="50">
        <f>+J898/$W$2</f>
        <v>3.0077469525008198E-5</v>
      </c>
    </row>
    <row r="899" spans="1:23">
      <c r="A899" s="10" t="s">
        <v>2674</v>
      </c>
      <c r="B899" s="10" t="s">
        <v>358</v>
      </c>
      <c r="C899" s="124">
        <v>46345</v>
      </c>
      <c r="D899" s="124" t="s">
        <v>471</v>
      </c>
      <c r="E899" s="21">
        <v>0.98192199000000002</v>
      </c>
      <c r="F899" s="10"/>
      <c r="G899" s="14">
        <v>50000000</v>
      </c>
      <c r="H899" s="14">
        <v>49096099.579999998</v>
      </c>
      <c r="I899" s="14">
        <v>50000000</v>
      </c>
      <c r="J899" s="14">
        <v>49096099.579999998</v>
      </c>
      <c r="K899" s="12">
        <v>5466</v>
      </c>
      <c r="L899" s="10" t="s">
        <v>101</v>
      </c>
      <c r="M899" s="10" t="s">
        <v>102</v>
      </c>
      <c r="N899" s="124" t="s">
        <v>440</v>
      </c>
      <c r="O899" s="124" t="s">
        <v>440</v>
      </c>
      <c r="P899" s="21">
        <v>32</v>
      </c>
      <c r="Q899" s="10" t="s">
        <v>54</v>
      </c>
      <c r="R899" s="10" t="s">
        <v>28</v>
      </c>
      <c r="S899" s="10"/>
      <c r="T899" s="10"/>
      <c r="U899" s="10" t="s">
        <v>2701</v>
      </c>
      <c r="V899" s="10" t="s">
        <v>2701</v>
      </c>
      <c r="W899" s="50">
        <f>+J899/$W$2</f>
        <v>6.0086977091320076E-4</v>
      </c>
    </row>
    <row r="900" spans="1:23">
      <c r="A900" s="10" t="s">
        <v>375</v>
      </c>
      <c r="B900" s="10" t="s">
        <v>358</v>
      </c>
      <c r="C900" s="124">
        <v>46346</v>
      </c>
      <c r="D900" s="124" t="s">
        <v>471</v>
      </c>
      <c r="E900" s="21">
        <v>0.98398669999999999</v>
      </c>
      <c r="F900" s="10"/>
      <c r="G900" s="14">
        <v>8000000</v>
      </c>
      <c r="H900" s="14">
        <v>7871893.5899999999</v>
      </c>
      <c r="I900" s="14">
        <v>8000000</v>
      </c>
      <c r="J900" s="14">
        <v>7871893.5899999999</v>
      </c>
      <c r="K900" s="12">
        <v>761094</v>
      </c>
      <c r="L900" s="10" t="s">
        <v>101</v>
      </c>
      <c r="M900" s="10" t="s">
        <v>102</v>
      </c>
      <c r="N900" s="124" t="s">
        <v>477</v>
      </c>
      <c r="O900" s="124" t="s">
        <v>477</v>
      </c>
      <c r="P900" s="21">
        <v>27</v>
      </c>
      <c r="Q900" s="10" t="s">
        <v>54</v>
      </c>
      <c r="R900" s="10" t="s">
        <v>28</v>
      </c>
      <c r="S900" s="10"/>
      <c r="T900" s="10"/>
      <c r="U900" s="10" t="s">
        <v>2386</v>
      </c>
      <c r="V900" s="10" t="s">
        <v>2386</v>
      </c>
      <c r="W900" s="50">
        <f>+J900/$W$2</f>
        <v>9.6341317101353196E-5</v>
      </c>
    </row>
    <row r="901" spans="1:23">
      <c r="A901" s="10" t="s">
        <v>379</v>
      </c>
      <c r="B901" s="10" t="s">
        <v>358</v>
      </c>
      <c r="C901" s="124">
        <v>46346</v>
      </c>
      <c r="D901" s="124" t="s">
        <v>471</v>
      </c>
      <c r="E901" s="21">
        <v>0.98223899000000003</v>
      </c>
      <c r="F901" s="10"/>
      <c r="G901" s="14">
        <v>10000000</v>
      </c>
      <c r="H901" s="14">
        <v>9822389.8499999996</v>
      </c>
      <c r="I901" s="14">
        <v>10000000</v>
      </c>
      <c r="J901" s="14">
        <v>9822389.8499999996</v>
      </c>
      <c r="K901" s="12">
        <v>8230</v>
      </c>
      <c r="L901" s="10" t="s">
        <v>101</v>
      </c>
      <c r="M901" s="10" t="s">
        <v>102</v>
      </c>
      <c r="N901" s="124" t="s">
        <v>395</v>
      </c>
      <c r="O901" s="124" t="s">
        <v>395</v>
      </c>
      <c r="P901" s="21">
        <v>30</v>
      </c>
      <c r="Q901" s="10" t="s">
        <v>54</v>
      </c>
      <c r="R901" s="10" t="s">
        <v>28</v>
      </c>
      <c r="S901" s="10"/>
      <c r="T901" s="10"/>
      <c r="U901" s="10" t="s">
        <v>1773</v>
      </c>
      <c r="V901" s="10" t="s">
        <v>1773</v>
      </c>
      <c r="W901" s="50">
        <f>+J901/$W$2</f>
        <v>1.2021274988194588E-4</v>
      </c>
    </row>
    <row r="902" spans="1:23">
      <c r="A902" s="10" t="s">
        <v>334</v>
      </c>
      <c r="B902" s="10" t="s">
        <v>358</v>
      </c>
      <c r="C902" s="124">
        <v>46346</v>
      </c>
      <c r="D902" s="124" t="s">
        <v>471</v>
      </c>
      <c r="E902" s="21">
        <v>0.97933994999999996</v>
      </c>
      <c r="F902" s="10"/>
      <c r="G902" s="14">
        <v>3625698.78</v>
      </c>
      <c r="H902" s="14">
        <v>3550791.67</v>
      </c>
      <c r="I902" s="14">
        <v>3625698.78</v>
      </c>
      <c r="J902" s="14">
        <v>3550791.67</v>
      </c>
      <c r="K902" s="12">
        <v>3359</v>
      </c>
      <c r="L902" s="10" t="s">
        <v>101</v>
      </c>
      <c r="M902" s="10" t="s">
        <v>102</v>
      </c>
      <c r="N902" s="124" t="s">
        <v>162</v>
      </c>
      <c r="O902" s="124" t="s">
        <v>162</v>
      </c>
      <c r="P902" s="21">
        <v>35</v>
      </c>
      <c r="Q902" s="10" t="s">
        <v>54</v>
      </c>
      <c r="R902" s="10" t="s">
        <v>28</v>
      </c>
      <c r="S902" s="10"/>
      <c r="T902" s="10"/>
      <c r="U902" s="10" t="s">
        <v>1258</v>
      </c>
      <c r="V902" s="10" t="s">
        <v>1258</v>
      </c>
      <c r="W902" s="50">
        <f>+J902/$W$2</f>
        <v>4.3456881413499071E-5</v>
      </c>
    </row>
    <row r="903" spans="1:23">
      <c r="A903" s="10" t="s">
        <v>334</v>
      </c>
      <c r="B903" s="10" t="s">
        <v>358</v>
      </c>
      <c r="C903" s="124">
        <v>46346</v>
      </c>
      <c r="D903" s="124" t="s">
        <v>471</v>
      </c>
      <c r="E903" s="21">
        <v>0.97876220000000003</v>
      </c>
      <c r="F903" s="10"/>
      <c r="G903" s="14">
        <v>2874176.47</v>
      </c>
      <c r="H903" s="14">
        <v>2813135.28</v>
      </c>
      <c r="I903" s="14">
        <v>2874176.47</v>
      </c>
      <c r="J903" s="14">
        <v>2813135.28</v>
      </c>
      <c r="K903" s="12">
        <v>3429</v>
      </c>
      <c r="L903" s="10" t="s">
        <v>101</v>
      </c>
      <c r="M903" s="10" t="s">
        <v>102</v>
      </c>
      <c r="N903" s="124" t="s">
        <v>405</v>
      </c>
      <c r="O903" s="124" t="s">
        <v>405</v>
      </c>
      <c r="P903" s="21">
        <v>36</v>
      </c>
      <c r="Q903" s="10" t="s">
        <v>54</v>
      </c>
      <c r="R903" s="10" t="s">
        <v>28</v>
      </c>
      <c r="S903" s="10"/>
      <c r="T903" s="10"/>
      <c r="U903" s="10" t="s">
        <v>1511</v>
      </c>
      <c r="V903" s="10" t="s">
        <v>1511</v>
      </c>
      <c r="W903" s="50">
        <f>+J903/$W$2</f>
        <v>3.4428966164351313E-5</v>
      </c>
    </row>
    <row r="904" spans="1:23">
      <c r="A904" s="10" t="s">
        <v>334</v>
      </c>
      <c r="B904" s="10" t="s">
        <v>358</v>
      </c>
      <c r="C904" s="124">
        <v>46346</v>
      </c>
      <c r="D904" s="124" t="s">
        <v>471</v>
      </c>
      <c r="E904" s="21">
        <v>0.97934001000000004</v>
      </c>
      <c r="F904" s="10"/>
      <c r="G904" s="14">
        <v>1555000.5</v>
      </c>
      <c r="H904" s="14">
        <v>1522874.2</v>
      </c>
      <c r="I904" s="14">
        <v>1555000.5</v>
      </c>
      <c r="J904" s="14">
        <v>1522874.2</v>
      </c>
      <c r="K904" s="12">
        <v>3588</v>
      </c>
      <c r="L904" s="10" t="s">
        <v>101</v>
      </c>
      <c r="M904" s="10" t="s">
        <v>102</v>
      </c>
      <c r="N904" s="124" t="s">
        <v>397</v>
      </c>
      <c r="O904" s="124" t="s">
        <v>397</v>
      </c>
      <c r="P904" s="21">
        <v>35</v>
      </c>
      <c r="Q904" s="10" t="s">
        <v>54</v>
      </c>
      <c r="R904" s="10" t="s">
        <v>28</v>
      </c>
      <c r="S904" s="10"/>
      <c r="T904" s="10"/>
      <c r="U904" s="10" t="s">
        <v>1864</v>
      </c>
      <c r="V904" s="10" t="s">
        <v>1864</v>
      </c>
      <c r="W904" s="50">
        <f>+J904/$W$2</f>
        <v>1.8637917869475363E-5</v>
      </c>
    </row>
    <row r="905" spans="1:23">
      <c r="A905" s="10" t="s">
        <v>334</v>
      </c>
      <c r="B905" s="10" t="s">
        <v>358</v>
      </c>
      <c r="C905" s="124">
        <v>46346</v>
      </c>
      <c r="D905" s="124" t="s">
        <v>471</v>
      </c>
      <c r="E905" s="21">
        <v>0.97933999999999999</v>
      </c>
      <c r="F905" s="10"/>
      <c r="G905" s="14">
        <v>1250300.6499999999</v>
      </c>
      <c r="H905" s="14">
        <v>1224469.44</v>
      </c>
      <c r="I905" s="14">
        <v>1250300.6499999999</v>
      </c>
      <c r="J905" s="14">
        <v>1224469.44</v>
      </c>
      <c r="K905" s="12">
        <v>3589</v>
      </c>
      <c r="L905" s="10" t="s">
        <v>101</v>
      </c>
      <c r="M905" s="10" t="s">
        <v>102</v>
      </c>
      <c r="N905" s="124" t="s">
        <v>397</v>
      </c>
      <c r="O905" s="124" t="s">
        <v>397</v>
      </c>
      <c r="P905" s="21">
        <v>35</v>
      </c>
      <c r="Q905" s="10" t="s">
        <v>54</v>
      </c>
      <c r="R905" s="10" t="s">
        <v>28</v>
      </c>
      <c r="S905" s="10"/>
      <c r="T905" s="10"/>
      <c r="U905" s="10" t="s">
        <v>1865</v>
      </c>
      <c r="V905" s="10" t="s">
        <v>1865</v>
      </c>
      <c r="W905" s="50">
        <f>+J905/$W$2</f>
        <v>1.4985847719005608E-5</v>
      </c>
    </row>
    <row r="906" spans="1:23">
      <c r="A906" s="10" t="s">
        <v>443</v>
      </c>
      <c r="B906" s="10" t="s">
        <v>358</v>
      </c>
      <c r="C906" s="124">
        <v>46346</v>
      </c>
      <c r="D906" s="124" t="s">
        <v>471</v>
      </c>
      <c r="E906" s="21">
        <v>0.98340342999999997</v>
      </c>
      <c r="F906" s="10"/>
      <c r="G906" s="14">
        <v>8000000</v>
      </c>
      <c r="H906" s="14">
        <v>7867227.4199999999</v>
      </c>
      <c r="I906" s="14">
        <v>8000000</v>
      </c>
      <c r="J906" s="14">
        <v>7867227.4199999999</v>
      </c>
      <c r="K906" s="12">
        <v>6492</v>
      </c>
      <c r="L906" s="10" t="s">
        <v>101</v>
      </c>
      <c r="M906" s="10" t="s">
        <v>102</v>
      </c>
      <c r="N906" s="124" t="s">
        <v>397</v>
      </c>
      <c r="O906" s="124" t="s">
        <v>397</v>
      </c>
      <c r="P906" s="21">
        <v>28</v>
      </c>
      <c r="Q906" s="10" t="s">
        <v>54</v>
      </c>
      <c r="R906" s="10" t="s">
        <v>28</v>
      </c>
      <c r="S906" s="10"/>
      <c r="T906" s="10"/>
      <c r="U906" s="10" t="s">
        <v>1849</v>
      </c>
      <c r="V906" s="10" t="s">
        <v>1849</v>
      </c>
      <c r="W906" s="50">
        <f>+J906/$W$2</f>
        <v>9.6284209499671451E-5</v>
      </c>
    </row>
    <row r="907" spans="1:23">
      <c r="A907" s="10" t="s">
        <v>1746</v>
      </c>
      <c r="B907" s="10" t="s">
        <v>358</v>
      </c>
      <c r="C907" s="124">
        <v>46346</v>
      </c>
      <c r="D907" s="124" t="s">
        <v>471</v>
      </c>
      <c r="E907" s="21">
        <v>0.98049759999999997</v>
      </c>
      <c r="F907" s="10"/>
      <c r="G907" s="14">
        <v>3581660.97</v>
      </c>
      <c r="H907" s="14">
        <v>3511809.97</v>
      </c>
      <c r="I907" s="14">
        <v>3581660.97</v>
      </c>
      <c r="J907" s="14">
        <v>3511809.97</v>
      </c>
      <c r="K907" s="12">
        <v>14100643</v>
      </c>
      <c r="L907" s="10" t="s">
        <v>101</v>
      </c>
      <c r="M907" s="10" t="s">
        <v>102</v>
      </c>
      <c r="N907" s="124" t="s">
        <v>398</v>
      </c>
      <c r="O907" s="124" t="s">
        <v>398</v>
      </c>
      <c r="P907" s="21">
        <v>33</v>
      </c>
      <c r="Q907" s="10" t="s">
        <v>54</v>
      </c>
      <c r="R907" s="10" t="s">
        <v>28</v>
      </c>
      <c r="S907" s="10"/>
      <c r="T907" s="10"/>
      <c r="U907" s="10" t="s">
        <v>1666</v>
      </c>
      <c r="V907" s="10" t="s">
        <v>1666</v>
      </c>
      <c r="W907" s="50">
        <f>+J907/$W$2</f>
        <v>4.2979798196111498E-5</v>
      </c>
    </row>
    <row r="908" spans="1:23">
      <c r="A908" s="10" t="s">
        <v>2758</v>
      </c>
      <c r="B908" s="10" t="s">
        <v>358</v>
      </c>
      <c r="C908" s="124">
        <v>46346</v>
      </c>
      <c r="D908" s="124" t="s">
        <v>471</v>
      </c>
      <c r="E908" s="21">
        <v>0.98340925999999995</v>
      </c>
      <c r="F908" s="10"/>
      <c r="G908" s="14">
        <v>265110</v>
      </c>
      <c r="H908" s="14">
        <v>260711.63</v>
      </c>
      <c r="I908" s="14">
        <v>265110</v>
      </c>
      <c r="J908" s="14">
        <v>260711.63</v>
      </c>
      <c r="K908" s="12">
        <v>11019636</v>
      </c>
      <c r="L908" s="10" t="s">
        <v>101</v>
      </c>
      <c r="M908" s="10" t="s">
        <v>102</v>
      </c>
      <c r="N908" s="124" t="s">
        <v>417</v>
      </c>
      <c r="O908" s="124" t="s">
        <v>417</v>
      </c>
      <c r="P908" s="21">
        <v>27.99</v>
      </c>
      <c r="Q908" s="10" t="s">
        <v>54</v>
      </c>
      <c r="R908" s="10" t="s">
        <v>28</v>
      </c>
      <c r="S908" s="10"/>
      <c r="T908" s="10"/>
      <c r="U908" s="10" t="s">
        <v>3180</v>
      </c>
      <c r="V908" s="10" t="s">
        <v>3180</v>
      </c>
      <c r="W908" s="50">
        <f>+J908/$W$2</f>
        <v>3.1907572848479863E-6</v>
      </c>
    </row>
    <row r="909" spans="1:23">
      <c r="A909" s="10" t="s">
        <v>206</v>
      </c>
      <c r="B909" s="10" t="s">
        <v>358</v>
      </c>
      <c r="C909" s="124">
        <v>46346</v>
      </c>
      <c r="D909" s="124" t="s">
        <v>471</v>
      </c>
      <c r="E909" s="21">
        <v>0.98049755999999999</v>
      </c>
      <c r="F909" s="10"/>
      <c r="G909" s="14">
        <v>2170000</v>
      </c>
      <c r="H909" s="14">
        <v>2127679.7000000002</v>
      </c>
      <c r="I909" s="14">
        <v>2170000</v>
      </c>
      <c r="J909" s="14">
        <v>2127679.7000000002</v>
      </c>
      <c r="K909" s="12">
        <v>260735</v>
      </c>
      <c r="L909" s="10" t="s">
        <v>101</v>
      </c>
      <c r="M909" s="10" t="s">
        <v>102</v>
      </c>
      <c r="N909" s="124" t="s">
        <v>479</v>
      </c>
      <c r="O909" s="124" t="s">
        <v>479</v>
      </c>
      <c r="P909" s="21">
        <v>33</v>
      </c>
      <c r="Q909" s="10" t="s">
        <v>54</v>
      </c>
      <c r="R909" s="10" t="s">
        <v>28</v>
      </c>
      <c r="S909" s="10"/>
      <c r="T909" s="10"/>
      <c r="U909" s="10" t="s">
        <v>1204</v>
      </c>
      <c r="V909" s="10" t="s">
        <v>1204</v>
      </c>
      <c r="W909" s="50">
        <f>+J909/$W$2</f>
        <v>2.6039918137131738E-5</v>
      </c>
    </row>
    <row r="910" spans="1:23">
      <c r="A910" s="10" t="s">
        <v>318</v>
      </c>
      <c r="B910" s="10" t="s">
        <v>358</v>
      </c>
      <c r="C910" s="124">
        <v>46346</v>
      </c>
      <c r="D910" s="124" t="s">
        <v>471</v>
      </c>
      <c r="E910" s="21">
        <v>0.98107732000000003</v>
      </c>
      <c r="F910" s="10"/>
      <c r="G910" s="14">
        <v>10000000</v>
      </c>
      <c r="H910" s="14">
        <v>9810773.2400000002</v>
      </c>
      <c r="I910" s="14">
        <v>10000000</v>
      </c>
      <c r="J910" s="14">
        <v>9810773.2400000002</v>
      </c>
      <c r="K910" s="12">
        <v>13953470</v>
      </c>
      <c r="L910" s="10" t="s">
        <v>101</v>
      </c>
      <c r="M910" s="10" t="s">
        <v>102</v>
      </c>
      <c r="N910" s="124" t="s">
        <v>309</v>
      </c>
      <c r="O910" s="124" t="s">
        <v>309</v>
      </c>
      <c r="P910" s="21">
        <v>32</v>
      </c>
      <c r="Q910" s="10" t="s">
        <v>54</v>
      </c>
      <c r="R910" s="10" t="s">
        <v>28</v>
      </c>
      <c r="S910" s="10"/>
      <c r="T910" s="10"/>
      <c r="U910" s="10" t="s">
        <v>859</v>
      </c>
      <c r="V910" s="10" t="s">
        <v>859</v>
      </c>
      <c r="W910" s="50">
        <f>+J910/$W$2</f>
        <v>1.2007057830723425E-4</v>
      </c>
    </row>
    <row r="911" spans="1:23">
      <c r="A911" s="10" t="s">
        <v>1742</v>
      </c>
      <c r="B911" s="10" t="s">
        <v>358</v>
      </c>
      <c r="C911" s="124">
        <v>46346</v>
      </c>
      <c r="D911" s="124" t="s">
        <v>471</v>
      </c>
      <c r="E911" s="21">
        <v>0.98049759999999997</v>
      </c>
      <c r="F911" s="10"/>
      <c r="G911" s="14">
        <v>14295769.460000001</v>
      </c>
      <c r="H911" s="14">
        <v>14016967.619999999</v>
      </c>
      <c r="I911" s="14">
        <v>14295769.460000001</v>
      </c>
      <c r="J911" s="14">
        <v>14016967.619999999</v>
      </c>
      <c r="K911" s="12">
        <v>46404</v>
      </c>
      <c r="L911" s="10" t="s">
        <v>101</v>
      </c>
      <c r="M911" s="10" t="s">
        <v>102</v>
      </c>
      <c r="N911" s="124" t="s">
        <v>398</v>
      </c>
      <c r="O911" s="124" t="s">
        <v>398</v>
      </c>
      <c r="P911" s="21">
        <v>33</v>
      </c>
      <c r="Q911" s="10" t="s">
        <v>54</v>
      </c>
      <c r="R911" s="10" t="s">
        <v>28</v>
      </c>
      <c r="S911" s="10"/>
      <c r="T911" s="10"/>
      <c r="U911" s="10" t="s">
        <v>1674</v>
      </c>
      <c r="V911" s="10" t="s">
        <v>1674</v>
      </c>
      <c r="W911" s="50">
        <f>+J911/$W$2</f>
        <v>1.7154870131797856E-4</v>
      </c>
    </row>
    <row r="912" spans="1:23">
      <c r="A912" s="10" t="s">
        <v>1310</v>
      </c>
      <c r="B912" s="10" t="s">
        <v>358</v>
      </c>
      <c r="C912" s="124">
        <v>46346</v>
      </c>
      <c r="D912" s="124" t="s">
        <v>471</v>
      </c>
      <c r="E912" s="21">
        <v>0.97876220999999997</v>
      </c>
      <c r="F912" s="10"/>
      <c r="G912" s="14">
        <v>30000000</v>
      </c>
      <c r="H912" s="14">
        <v>29362866.260000002</v>
      </c>
      <c r="I912" s="14">
        <v>30000000</v>
      </c>
      <c r="J912" s="14">
        <v>29362866.260000002</v>
      </c>
      <c r="K912" s="12">
        <v>10978199</v>
      </c>
      <c r="L912" s="10" t="s">
        <v>101</v>
      </c>
      <c r="M912" s="10" t="s">
        <v>102</v>
      </c>
      <c r="N912" s="124" t="s">
        <v>162</v>
      </c>
      <c r="O912" s="124" t="s">
        <v>162</v>
      </c>
      <c r="P912" s="21">
        <v>36</v>
      </c>
      <c r="Q912" s="10" t="s">
        <v>54</v>
      </c>
      <c r="R912" s="10" t="s">
        <v>28</v>
      </c>
      <c r="S912" s="10"/>
      <c r="T912" s="10"/>
      <c r="U912" s="10" t="s">
        <v>1295</v>
      </c>
      <c r="V912" s="10" t="s">
        <v>1295</v>
      </c>
      <c r="W912" s="50">
        <f>+J912/$W$2</f>
        <v>3.5936171862801884E-4</v>
      </c>
    </row>
    <row r="913" spans="1:29">
      <c r="A913" s="10" t="s">
        <v>524</v>
      </c>
      <c r="B913" s="10" t="s">
        <v>358</v>
      </c>
      <c r="C913" s="124">
        <v>46346</v>
      </c>
      <c r="D913" s="124" t="s">
        <v>471</v>
      </c>
      <c r="E913" s="21">
        <v>0.97876224999999994</v>
      </c>
      <c r="F913" s="10"/>
      <c r="G913" s="14">
        <v>1555000.5</v>
      </c>
      <c r="H913" s="14">
        <v>1521975.79</v>
      </c>
      <c r="I913" s="14">
        <v>1555000.5</v>
      </c>
      <c r="J913" s="14">
        <v>1521975.79</v>
      </c>
      <c r="K913" s="12">
        <v>509</v>
      </c>
      <c r="L913" s="10" t="s">
        <v>101</v>
      </c>
      <c r="M913" s="10" t="s">
        <v>102</v>
      </c>
      <c r="N913" s="124" t="s">
        <v>161</v>
      </c>
      <c r="O913" s="124" t="s">
        <v>161</v>
      </c>
      <c r="P913" s="21">
        <v>36</v>
      </c>
      <c r="Q913" s="10" t="s">
        <v>54</v>
      </c>
      <c r="R913" s="10" t="s">
        <v>28</v>
      </c>
      <c r="S913" s="10"/>
      <c r="T913" s="10"/>
      <c r="U913" s="10" t="s">
        <v>1052</v>
      </c>
      <c r="V913" s="10" t="s">
        <v>1052</v>
      </c>
      <c r="W913" s="50">
        <f>+J913/$W$2</f>
        <v>1.862692254773893E-5</v>
      </c>
    </row>
    <row r="914" spans="1:29">
      <c r="A914" s="10" t="s">
        <v>524</v>
      </c>
      <c r="B914" s="10" t="s">
        <v>358</v>
      </c>
      <c r="C914" s="124">
        <v>46346</v>
      </c>
      <c r="D914" s="124" t="s">
        <v>471</v>
      </c>
      <c r="E914" s="21">
        <v>0.97991839000000003</v>
      </c>
      <c r="F914" s="10"/>
      <c r="G914" s="14">
        <v>5000300.25</v>
      </c>
      <c r="H914" s="14">
        <v>4899886.18</v>
      </c>
      <c r="I914" s="14">
        <v>5000300.25</v>
      </c>
      <c r="J914" s="14">
        <v>4899886.18</v>
      </c>
      <c r="K914" s="12">
        <v>359</v>
      </c>
      <c r="L914" s="10" t="s">
        <v>101</v>
      </c>
      <c r="M914" s="10" t="s">
        <v>102</v>
      </c>
      <c r="N914" s="124" t="s">
        <v>313</v>
      </c>
      <c r="O914" s="124" t="s">
        <v>313</v>
      </c>
      <c r="P914" s="21">
        <v>34</v>
      </c>
      <c r="Q914" s="10" t="s">
        <v>54</v>
      </c>
      <c r="R914" s="10" t="s">
        <v>28</v>
      </c>
      <c r="S914" s="10"/>
      <c r="T914" s="10"/>
      <c r="U914" s="10" t="s">
        <v>715</v>
      </c>
      <c r="V914" s="10" t="s">
        <v>715</v>
      </c>
      <c r="W914" s="50">
        <f>+J914/$W$2</f>
        <v>5.9967971216937924E-5</v>
      </c>
    </row>
    <row r="915" spans="1:29">
      <c r="A915" s="10" t="s">
        <v>3575</v>
      </c>
      <c r="B915" s="10" t="s">
        <v>358</v>
      </c>
      <c r="C915" s="124">
        <v>46346</v>
      </c>
      <c r="D915" s="124" t="s">
        <v>471</v>
      </c>
      <c r="E915" s="21">
        <v>0.98164147000000002</v>
      </c>
      <c r="F915" s="10"/>
      <c r="G915" s="14">
        <v>18.52</v>
      </c>
      <c r="H915" s="14">
        <v>18.18</v>
      </c>
      <c r="I915" s="14">
        <v>18.52</v>
      </c>
      <c r="J915" s="14">
        <v>18.18</v>
      </c>
      <c r="K915" s="12">
        <v>80</v>
      </c>
      <c r="L915" s="10" t="s">
        <v>101</v>
      </c>
      <c r="M915" s="10" t="s">
        <v>102</v>
      </c>
      <c r="N915" s="124" t="s">
        <v>466</v>
      </c>
      <c r="O915" s="124" t="s">
        <v>466</v>
      </c>
      <c r="P915" s="21">
        <v>30</v>
      </c>
      <c r="Q915" s="10" t="s">
        <v>54</v>
      </c>
      <c r="R915" s="10" t="s">
        <v>28</v>
      </c>
      <c r="S915" s="10"/>
      <c r="T915" s="10"/>
      <c r="U915" s="10" t="s">
        <v>3616</v>
      </c>
      <c r="V915" s="10" t="s">
        <v>3616</v>
      </c>
      <c r="W915" s="50">
        <f>+J915/$W$2</f>
        <v>2.2249857990046853E-10</v>
      </c>
    </row>
    <row r="916" spans="1:29">
      <c r="A916" s="10" t="s">
        <v>3575</v>
      </c>
      <c r="B916" s="10" t="s">
        <v>358</v>
      </c>
      <c r="C916" s="124">
        <v>46346</v>
      </c>
      <c r="D916" s="124" t="s">
        <v>471</v>
      </c>
      <c r="E916" s="21">
        <v>0.98223897999999998</v>
      </c>
      <c r="F916" s="10"/>
      <c r="G916" s="14">
        <v>9164094.7200000007</v>
      </c>
      <c r="H916" s="14">
        <v>9001331.0399999991</v>
      </c>
      <c r="I916" s="14">
        <v>9164094.7200000007</v>
      </c>
      <c r="J916" s="14">
        <v>9001331.0399999991</v>
      </c>
      <c r="K916" s="12">
        <v>81</v>
      </c>
      <c r="L916" s="10" t="s">
        <v>101</v>
      </c>
      <c r="M916" s="10" t="s">
        <v>102</v>
      </c>
      <c r="N916" s="124" t="s">
        <v>466</v>
      </c>
      <c r="O916" s="124" t="s">
        <v>466</v>
      </c>
      <c r="P916" s="21">
        <v>30</v>
      </c>
      <c r="Q916" s="10" t="s">
        <v>54</v>
      </c>
      <c r="R916" s="10" t="s">
        <v>28</v>
      </c>
      <c r="S916" s="10"/>
      <c r="T916" s="10"/>
      <c r="U916" s="10" t="s">
        <v>3617</v>
      </c>
      <c r="V916" s="10" t="s">
        <v>3617</v>
      </c>
      <c r="W916" s="50">
        <f>+J916/$W$2</f>
        <v>1.1016410195896631E-4</v>
      </c>
    </row>
    <row r="917" spans="1:29">
      <c r="A917" s="10" t="s">
        <v>589</v>
      </c>
      <c r="B917" s="10" t="s">
        <v>358</v>
      </c>
      <c r="C917" s="124">
        <v>46346</v>
      </c>
      <c r="D917" s="124" t="s">
        <v>471</v>
      </c>
      <c r="E917" s="21">
        <v>0.98049757000000004</v>
      </c>
      <c r="F917" s="10"/>
      <c r="G917" s="14">
        <v>20000000</v>
      </c>
      <c r="H917" s="14">
        <v>19609951.379999999</v>
      </c>
      <c r="I917" s="14">
        <v>20000000</v>
      </c>
      <c r="J917" s="14">
        <v>19609951.379999999</v>
      </c>
      <c r="K917" s="12">
        <v>395</v>
      </c>
      <c r="L917" s="10" t="s">
        <v>101</v>
      </c>
      <c r="M917" s="10" t="s">
        <v>102</v>
      </c>
      <c r="N917" s="124" t="s">
        <v>447</v>
      </c>
      <c r="O917" s="124" t="s">
        <v>447</v>
      </c>
      <c r="P917" s="21">
        <v>33</v>
      </c>
      <c r="Q917" s="10" t="s">
        <v>54</v>
      </c>
      <c r="R917" s="10" t="s">
        <v>28</v>
      </c>
      <c r="S917" s="10"/>
      <c r="T917" s="10"/>
      <c r="U917" s="10" t="s">
        <v>1610</v>
      </c>
      <c r="V917" s="10" t="s">
        <v>1610</v>
      </c>
      <c r="W917" s="50">
        <f>+J917/$W$2</f>
        <v>2.3999924829302711E-4</v>
      </c>
    </row>
    <row r="918" spans="1:29">
      <c r="A918" s="10" t="s">
        <v>589</v>
      </c>
      <c r="B918" s="10" t="s">
        <v>358</v>
      </c>
      <c r="C918" s="124">
        <v>46346</v>
      </c>
      <c r="D918" s="124" t="s">
        <v>471</v>
      </c>
      <c r="E918" s="21">
        <v>0.98049757000000004</v>
      </c>
      <c r="F918" s="10"/>
      <c r="G918" s="14">
        <v>40000000</v>
      </c>
      <c r="H918" s="14">
        <v>39219902.759999998</v>
      </c>
      <c r="I918" s="14">
        <v>40000000</v>
      </c>
      <c r="J918" s="14">
        <v>39219902.759999998</v>
      </c>
      <c r="K918" s="12">
        <v>396</v>
      </c>
      <c r="L918" s="10" t="s">
        <v>101</v>
      </c>
      <c r="M918" s="10" t="s">
        <v>102</v>
      </c>
      <c r="N918" s="124" t="s">
        <v>447</v>
      </c>
      <c r="O918" s="124" t="s">
        <v>447</v>
      </c>
      <c r="P918" s="21">
        <v>33</v>
      </c>
      <c r="Q918" s="10" t="s">
        <v>54</v>
      </c>
      <c r="R918" s="10" t="s">
        <v>28</v>
      </c>
      <c r="S918" s="10"/>
      <c r="T918" s="10"/>
      <c r="U918" s="10" t="s">
        <v>1611</v>
      </c>
      <c r="V918" s="10" t="s">
        <v>1611</v>
      </c>
      <c r="W918" s="50">
        <f>+J918/$W$2</f>
        <v>4.7999849658605421E-4</v>
      </c>
    </row>
    <row r="919" spans="1:29">
      <c r="A919" s="10" t="s">
        <v>295</v>
      </c>
      <c r="B919" s="10" t="s">
        <v>358</v>
      </c>
      <c r="C919" s="124">
        <v>46346</v>
      </c>
      <c r="D919" s="124" t="s">
        <v>471</v>
      </c>
      <c r="E919" s="21">
        <v>0.98515520999999995</v>
      </c>
      <c r="F919" s="10"/>
      <c r="G919" s="14">
        <v>12000000</v>
      </c>
      <c r="H919" s="14">
        <v>11821862.529999999</v>
      </c>
      <c r="I919" s="14">
        <v>12000000</v>
      </c>
      <c r="J919" s="14">
        <v>11821862.529999999</v>
      </c>
      <c r="K919" s="12">
        <v>34563</v>
      </c>
      <c r="L919" s="10" t="s">
        <v>101</v>
      </c>
      <c r="M919" s="10" t="s">
        <v>102</v>
      </c>
      <c r="N919" s="124" t="s">
        <v>309</v>
      </c>
      <c r="O919" s="124" t="s">
        <v>309</v>
      </c>
      <c r="P919" s="21">
        <v>25</v>
      </c>
      <c r="Q919" s="10" t="s">
        <v>54</v>
      </c>
      <c r="R919" s="10" t="s">
        <v>28</v>
      </c>
      <c r="S919" s="10"/>
      <c r="T919" s="10"/>
      <c r="U919" s="10" t="s">
        <v>856</v>
      </c>
      <c r="V919" s="10" t="s">
        <v>856</v>
      </c>
      <c r="W919" s="50">
        <f>+J919/$W$2</f>
        <v>1.4468358771746754E-4</v>
      </c>
    </row>
    <row r="920" spans="1:29">
      <c r="A920" s="10" t="s">
        <v>1537</v>
      </c>
      <c r="B920" s="10" t="s">
        <v>358</v>
      </c>
      <c r="C920" s="124">
        <v>46346</v>
      </c>
      <c r="D920" s="124" t="s">
        <v>471</v>
      </c>
      <c r="E920" s="21">
        <v>0.98223901000000002</v>
      </c>
      <c r="F920" s="10"/>
      <c r="G920" s="14">
        <v>50000000</v>
      </c>
      <c r="H920" s="14">
        <v>49111950.659999996</v>
      </c>
      <c r="I920" s="14">
        <v>50000000</v>
      </c>
      <c r="J920" s="14">
        <v>49111950.659999996</v>
      </c>
      <c r="K920" s="12">
        <v>16836874</v>
      </c>
      <c r="L920" s="10" t="s">
        <v>101</v>
      </c>
      <c r="M920" s="10" t="s">
        <v>102</v>
      </c>
      <c r="N920" s="124" t="s">
        <v>475</v>
      </c>
      <c r="O920" s="124" t="s">
        <v>475</v>
      </c>
      <c r="P920" s="21">
        <v>30</v>
      </c>
      <c r="Q920" s="10" t="s">
        <v>54</v>
      </c>
      <c r="R920" s="10" t="s">
        <v>28</v>
      </c>
      <c r="S920" s="10"/>
      <c r="T920" s="10"/>
      <c r="U920" s="10" t="s">
        <v>3377</v>
      </c>
      <c r="V920" s="10" t="s">
        <v>3377</v>
      </c>
      <c r="W920" s="50">
        <f>+J920/$W$2</f>
        <v>6.0106376666621986E-4</v>
      </c>
    </row>
    <row r="921" spans="1:29">
      <c r="A921" s="10" t="s">
        <v>377</v>
      </c>
      <c r="B921" s="10" t="s">
        <v>358</v>
      </c>
      <c r="C921" s="124">
        <v>46346</v>
      </c>
      <c r="D921" s="124" t="s">
        <v>471</v>
      </c>
      <c r="E921" s="21">
        <v>0.98107732999999997</v>
      </c>
      <c r="F921" s="10"/>
      <c r="G921" s="14">
        <v>10000000</v>
      </c>
      <c r="H921" s="14">
        <v>9810773.2599999998</v>
      </c>
      <c r="I921" s="14">
        <v>10000000</v>
      </c>
      <c r="J921" s="14">
        <v>9810773.2599999998</v>
      </c>
      <c r="K921" s="12">
        <v>698</v>
      </c>
      <c r="L921" s="10" t="s">
        <v>101</v>
      </c>
      <c r="M921" s="10" t="s">
        <v>102</v>
      </c>
      <c r="N921" s="124" t="s">
        <v>395</v>
      </c>
      <c r="O921" s="124" t="s">
        <v>395</v>
      </c>
      <c r="P921" s="21">
        <v>32</v>
      </c>
      <c r="Q921" s="10" t="s">
        <v>54</v>
      </c>
      <c r="R921" s="10" t="s">
        <v>28</v>
      </c>
      <c r="S921" s="10"/>
      <c r="T921" s="10"/>
      <c r="U921" s="10" t="s">
        <v>1788</v>
      </c>
      <c r="V921" s="10" t="s">
        <v>1788</v>
      </c>
      <c r="W921" s="50">
        <f>+J921/$W$2</f>
        <v>1.2007057855200716E-4</v>
      </c>
    </row>
    <row r="922" spans="1:29">
      <c r="A922" s="10" t="s">
        <v>377</v>
      </c>
      <c r="B922" s="10" t="s">
        <v>358</v>
      </c>
      <c r="C922" s="124">
        <v>46346</v>
      </c>
      <c r="D922" s="124" t="s">
        <v>471</v>
      </c>
      <c r="E922" s="21">
        <v>0.98049759999999997</v>
      </c>
      <c r="F922" s="10"/>
      <c r="G922" s="14">
        <v>20000000</v>
      </c>
      <c r="H922" s="14">
        <v>19609951.969999999</v>
      </c>
      <c r="I922" s="14">
        <v>20000000</v>
      </c>
      <c r="J922" s="14">
        <v>19609951.969999999</v>
      </c>
      <c r="K922" s="12">
        <v>694</v>
      </c>
      <c r="L922" s="10" t="s">
        <v>101</v>
      </c>
      <c r="M922" s="10" t="s">
        <v>102</v>
      </c>
      <c r="N922" s="124" t="s">
        <v>398</v>
      </c>
      <c r="O922" s="124" t="s">
        <v>398</v>
      </c>
      <c r="P922" s="21">
        <v>33</v>
      </c>
      <c r="Q922" s="10" t="s">
        <v>54</v>
      </c>
      <c r="R922" s="10" t="s">
        <v>28</v>
      </c>
      <c r="S922" s="10"/>
      <c r="T922" s="10"/>
      <c r="U922" s="10" t="s">
        <v>1737</v>
      </c>
      <c r="V922" s="10" t="s">
        <v>1737</v>
      </c>
      <c r="W922" s="50">
        <f>+J922/$W$2</f>
        <v>2.399992555138281E-4</v>
      </c>
    </row>
    <row r="923" spans="1:29">
      <c r="A923" s="10" t="s">
        <v>433</v>
      </c>
      <c r="B923" s="10" t="s">
        <v>358</v>
      </c>
      <c r="C923" s="124">
        <v>46346</v>
      </c>
      <c r="D923" s="124" t="s">
        <v>471</v>
      </c>
      <c r="E923" s="21">
        <v>0.98049755999999999</v>
      </c>
      <c r="F923" s="10"/>
      <c r="G923" s="14">
        <v>25000000</v>
      </c>
      <c r="H923" s="14">
        <v>24512438.949999999</v>
      </c>
      <c r="I923" s="14">
        <v>25000000</v>
      </c>
      <c r="J923" s="14">
        <v>24512438.949999999</v>
      </c>
      <c r="K923" s="12">
        <v>14422656</v>
      </c>
      <c r="L923" s="10" t="s">
        <v>101</v>
      </c>
      <c r="M923" s="10" t="s">
        <v>102</v>
      </c>
      <c r="N923" s="124" t="s">
        <v>396</v>
      </c>
      <c r="O923" s="124" t="s">
        <v>396</v>
      </c>
      <c r="P923" s="21">
        <v>33</v>
      </c>
      <c r="Q923" s="10" t="s">
        <v>54</v>
      </c>
      <c r="R923" s="10" t="s">
        <v>28</v>
      </c>
      <c r="S923" s="10"/>
      <c r="T923" s="10"/>
      <c r="U923" s="10" t="s">
        <v>1384</v>
      </c>
      <c r="V923" s="10" t="s">
        <v>1384</v>
      </c>
      <c r="W923" s="50">
        <f>+J923/$W$2</f>
        <v>2.9999905700065632E-4</v>
      </c>
    </row>
    <row r="924" spans="1:29">
      <c r="A924" s="10" t="s">
        <v>433</v>
      </c>
      <c r="B924" s="10" t="s">
        <v>358</v>
      </c>
      <c r="C924" s="124">
        <v>46346</v>
      </c>
      <c r="D924" s="124" t="s">
        <v>471</v>
      </c>
      <c r="E924" s="21">
        <v>0.98107730999999998</v>
      </c>
      <c r="F924" s="10"/>
      <c r="G924" s="14">
        <v>10000000</v>
      </c>
      <c r="H924" s="14">
        <v>9810773.1099999994</v>
      </c>
      <c r="I924" s="14">
        <v>10000000</v>
      </c>
      <c r="J924" s="14">
        <v>9810773.1099999994</v>
      </c>
      <c r="K924" s="12">
        <v>14422577</v>
      </c>
      <c r="L924" s="10" t="s">
        <v>101</v>
      </c>
      <c r="M924" s="10" t="s">
        <v>102</v>
      </c>
      <c r="N924" s="124" t="s">
        <v>162</v>
      </c>
      <c r="O924" s="124" t="s">
        <v>162</v>
      </c>
      <c r="P924" s="21">
        <v>32</v>
      </c>
      <c r="Q924" s="10" t="s">
        <v>54</v>
      </c>
      <c r="R924" s="10" t="s">
        <v>28</v>
      </c>
      <c r="S924" s="10"/>
      <c r="T924" s="10"/>
      <c r="U924" s="10" t="s">
        <v>1273</v>
      </c>
      <c r="V924" s="10" t="s">
        <v>1273</v>
      </c>
      <c r="W924" s="50">
        <f>+J924/$W$2</f>
        <v>1.2007057671621029E-4</v>
      </c>
      <c r="AC924" s="47"/>
    </row>
    <row r="925" spans="1:29">
      <c r="A925" s="10" t="s">
        <v>433</v>
      </c>
      <c r="B925" s="10" t="s">
        <v>358</v>
      </c>
      <c r="C925" s="124">
        <v>46346</v>
      </c>
      <c r="D925" s="124" t="s">
        <v>471</v>
      </c>
      <c r="E925" s="21">
        <v>0.98107734000000002</v>
      </c>
      <c r="F925" s="10"/>
      <c r="G925" s="14">
        <v>11000000</v>
      </c>
      <c r="H925" s="14">
        <v>10791850.789999999</v>
      </c>
      <c r="I925" s="14">
        <v>11000000</v>
      </c>
      <c r="J925" s="14">
        <v>10791850.789999999</v>
      </c>
      <c r="K925" s="12">
        <v>14651798</v>
      </c>
      <c r="L925" s="10" t="s">
        <v>101</v>
      </c>
      <c r="M925" s="10" t="s">
        <v>102</v>
      </c>
      <c r="N925" s="124" t="s">
        <v>603</v>
      </c>
      <c r="O925" s="124" t="s">
        <v>603</v>
      </c>
      <c r="P925" s="21">
        <v>32</v>
      </c>
      <c r="Q925" s="10" t="s">
        <v>54</v>
      </c>
      <c r="R925" s="10" t="s">
        <v>28</v>
      </c>
      <c r="S925" s="10"/>
      <c r="T925" s="10"/>
      <c r="U925" s="10" t="s">
        <v>2582</v>
      </c>
      <c r="V925" s="10" t="s">
        <v>2582</v>
      </c>
      <c r="W925" s="50">
        <f>+J925/$W$2</f>
        <v>1.320776389038916E-4</v>
      </c>
      <c r="AC925" s="47"/>
    </row>
    <row r="926" spans="1:29">
      <c r="A926" s="10" t="s">
        <v>376</v>
      </c>
      <c r="B926" s="10" t="s">
        <v>358</v>
      </c>
      <c r="C926" s="124">
        <v>46346</v>
      </c>
      <c r="D926" s="124" t="s">
        <v>471</v>
      </c>
      <c r="E926" s="21">
        <v>0.97991839999999997</v>
      </c>
      <c r="F926" s="10"/>
      <c r="G926" s="14">
        <v>100000000</v>
      </c>
      <c r="H926" s="14">
        <v>97991839.590000004</v>
      </c>
      <c r="I926" s="14">
        <v>100000000</v>
      </c>
      <c r="J926" s="14">
        <v>97991839.590000004</v>
      </c>
      <c r="K926" s="12">
        <v>2210</v>
      </c>
      <c r="L926" s="10" t="s">
        <v>101</v>
      </c>
      <c r="M926" s="10" t="s">
        <v>102</v>
      </c>
      <c r="N926" s="124" t="s">
        <v>310</v>
      </c>
      <c r="O926" s="124" t="s">
        <v>310</v>
      </c>
      <c r="P926" s="21">
        <v>34</v>
      </c>
      <c r="Q926" s="10" t="s">
        <v>54</v>
      </c>
      <c r="R926" s="10" t="s">
        <v>28</v>
      </c>
      <c r="S926" s="10"/>
      <c r="T926" s="10"/>
      <c r="U926" s="10" t="s">
        <v>999</v>
      </c>
      <c r="V926" s="10" t="s">
        <v>999</v>
      </c>
      <c r="W926" s="50">
        <f>+J926/$W$2</f>
        <v>1.1992874120247256E-3</v>
      </c>
      <c r="AC926" s="47"/>
    </row>
    <row r="927" spans="1:29">
      <c r="A927" s="10" t="s">
        <v>604</v>
      </c>
      <c r="B927" s="10" t="s">
        <v>358</v>
      </c>
      <c r="C927" s="124">
        <v>46346</v>
      </c>
      <c r="D927" s="124" t="s">
        <v>471</v>
      </c>
      <c r="E927" s="21">
        <v>0.98223899999999997</v>
      </c>
      <c r="F927" s="10"/>
      <c r="G927" s="14">
        <v>5907273</v>
      </c>
      <c r="H927" s="14">
        <v>5802353.9199999999</v>
      </c>
      <c r="I927" s="14">
        <v>5907273</v>
      </c>
      <c r="J927" s="14">
        <v>5802353.9199999999</v>
      </c>
      <c r="K927" s="12">
        <v>90045256</v>
      </c>
      <c r="L927" s="10" t="s">
        <v>101</v>
      </c>
      <c r="M927" s="10" t="s">
        <v>102</v>
      </c>
      <c r="N927" s="124" t="s">
        <v>411</v>
      </c>
      <c r="O927" s="124" t="s">
        <v>411</v>
      </c>
      <c r="P927" s="21">
        <v>30</v>
      </c>
      <c r="Q927" s="10" t="s">
        <v>54</v>
      </c>
      <c r="R927" s="10" t="s">
        <v>28</v>
      </c>
      <c r="S927" s="10"/>
      <c r="T927" s="10"/>
      <c r="U927" s="10" t="s">
        <v>2906</v>
      </c>
      <c r="V927" s="10" t="s">
        <v>2906</v>
      </c>
      <c r="W927" s="50">
        <f>+J927/$W$2</f>
        <v>7.1012954195815003E-5</v>
      </c>
    </row>
    <row r="928" spans="1:29">
      <c r="A928" s="10" t="s">
        <v>359</v>
      </c>
      <c r="B928" s="10" t="s">
        <v>358</v>
      </c>
      <c r="C928" s="124">
        <v>46346</v>
      </c>
      <c r="D928" s="124" t="s">
        <v>471</v>
      </c>
      <c r="E928" s="21">
        <v>0.98223912999999996</v>
      </c>
      <c r="F928" s="10"/>
      <c r="G928" s="14">
        <v>8000000</v>
      </c>
      <c r="H928" s="14">
        <v>7857913.0499999998</v>
      </c>
      <c r="I928" s="14">
        <v>8000000</v>
      </c>
      <c r="J928" s="14">
        <v>7857913.0499999998</v>
      </c>
      <c r="K928" s="12">
        <v>1406</v>
      </c>
      <c r="L928" s="10" t="s">
        <v>101</v>
      </c>
      <c r="M928" s="10" t="s">
        <v>102</v>
      </c>
      <c r="N928" s="124" t="s">
        <v>451</v>
      </c>
      <c r="O928" s="124" t="s">
        <v>451</v>
      </c>
      <c r="P928" s="21">
        <v>30</v>
      </c>
      <c r="Q928" s="10" t="s">
        <v>54</v>
      </c>
      <c r="R928" s="10" t="s">
        <v>28</v>
      </c>
      <c r="S928" s="10"/>
      <c r="T928" s="10"/>
      <c r="U928" s="10" t="s">
        <v>3504</v>
      </c>
      <c r="V928" s="10" t="s">
        <v>3504</v>
      </c>
      <c r="W928" s="50">
        <f>+J928/$W$2</f>
        <v>9.6170214224772249E-5</v>
      </c>
    </row>
    <row r="929" spans="1:29">
      <c r="A929" s="10" t="s">
        <v>359</v>
      </c>
      <c r="B929" s="10" t="s">
        <v>358</v>
      </c>
      <c r="C929" s="124">
        <v>46346</v>
      </c>
      <c r="D929" s="124" t="s">
        <v>471</v>
      </c>
      <c r="E929" s="21">
        <v>0.98223906999999999</v>
      </c>
      <c r="F929" s="10"/>
      <c r="G929" s="14">
        <v>9000000</v>
      </c>
      <c r="H929" s="14">
        <v>8840151.6400000006</v>
      </c>
      <c r="I929" s="14">
        <v>9000000</v>
      </c>
      <c r="J929" s="14">
        <v>8840151.6400000006</v>
      </c>
      <c r="K929" s="12">
        <v>1403</v>
      </c>
      <c r="L929" s="10" t="s">
        <v>101</v>
      </c>
      <c r="M929" s="10" t="s">
        <v>102</v>
      </c>
      <c r="N929" s="124" t="s">
        <v>450</v>
      </c>
      <c r="O929" s="124" t="s">
        <v>450</v>
      </c>
      <c r="P929" s="21">
        <v>30</v>
      </c>
      <c r="Q929" s="10" t="s">
        <v>54</v>
      </c>
      <c r="R929" s="10" t="s">
        <v>28</v>
      </c>
      <c r="S929" s="10"/>
      <c r="T929" s="10"/>
      <c r="U929" s="10" t="s">
        <v>3424</v>
      </c>
      <c r="V929" s="10" t="s">
        <v>3424</v>
      </c>
      <c r="W929" s="50">
        <f>+J929/$W$2</f>
        <v>1.0819148437870176E-4</v>
      </c>
    </row>
    <row r="930" spans="1:29">
      <c r="A930" s="10" t="s">
        <v>359</v>
      </c>
      <c r="B930" s="10" t="s">
        <v>358</v>
      </c>
      <c r="C930" s="124">
        <v>46346</v>
      </c>
      <c r="D930" s="124" t="s">
        <v>471</v>
      </c>
      <c r="E930" s="21">
        <v>0.98223901000000002</v>
      </c>
      <c r="F930" s="10"/>
      <c r="G930" s="14">
        <v>10000000</v>
      </c>
      <c r="H930" s="14">
        <v>9822390.1400000006</v>
      </c>
      <c r="I930" s="14">
        <v>10000000</v>
      </c>
      <c r="J930" s="14">
        <v>9822390.1400000006</v>
      </c>
      <c r="K930" s="12">
        <v>1400</v>
      </c>
      <c r="L930" s="10" t="s">
        <v>101</v>
      </c>
      <c r="M930" s="10" t="s">
        <v>102</v>
      </c>
      <c r="N930" s="124" t="s">
        <v>475</v>
      </c>
      <c r="O930" s="124" t="s">
        <v>475</v>
      </c>
      <c r="P930" s="21">
        <v>30</v>
      </c>
      <c r="Q930" s="10" t="s">
        <v>54</v>
      </c>
      <c r="R930" s="10" t="s">
        <v>28</v>
      </c>
      <c r="S930" s="10"/>
      <c r="T930" s="10"/>
      <c r="U930" s="10" t="s">
        <v>3345</v>
      </c>
      <c r="V930" s="10" t="s">
        <v>3345</v>
      </c>
      <c r="W930" s="50">
        <f>+J930/$W$2</f>
        <v>1.2021275343115317E-4</v>
      </c>
    </row>
    <row r="931" spans="1:29">
      <c r="A931" s="10" t="s">
        <v>359</v>
      </c>
      <c r="B931" s="10" t="s">
        <v>358</v>
      </c>
      <c r="C931" s="124">
        <v>46346</v>
      </c>
      <c r="D931" s="124" t="s">
        <v>471</v>
      </c>
      <c r="E931" s="21">
        <v>0.98223903999999995</v>
      </c>
      <c r="F931" s="10"/>
      <c r="G931" s="14">
        <v>10000000</v>
      </c>
      <c r="H931" s="14">
        <v>9822390.4199999999</v>
      </c>
      <c r="I931" s="14">
        <v>10000000</v>
      </c>
      <c r="J931" s="14">
        <v>9822390.4199999999</v>
      </c>
      <c r="K931" s="12">
        <v>1392</v>
      </c>
      <c r="L931" s="10" t="s">
        <v>101</v>
      </c>
      <c r="M931" s="10" t="s">
        <v>102</v>
      </c>
      <c r="N931" s="124" t="s">
        <v>417</v>
      </c>
      <c r="O931" s="124" t="s">
        <v>417</v>
      </c>
      <c r="P931" s="21">
        <v>30</v>
      </c>
      <c r="Q931" s="10" t="s">
        <v>54</v>
      </c>
      <c r="R931" s="10" t="s">
        <v>28</v>
      </c>
      <c r="S931" s="10"/>
      <c r="T931" s="10"/>
      <c r="U931" s="10" t="s">
        <v>3206</v>
      </c>
      <c r="V931" s="10" t="s">
        <v>3206</v>
      </c>
      <c r="W931" s="50">
        <f>+J931/$W$2</f>
        <v>1.2021275685797397E-4</v>
      </c>
    </row>
    <row r="932" spans="1:29">
      <c r="A932" s="10" t="s">
        <v>271</v>
      </c>
      <c r="B932" s="10" t="s">
        <v>358</v>
      </c>
      <c r="C932" s="124">
        <v>46346</v>
      </c>
      <c r="D932" s="124" t="s">
        <v>471</v>
      </c>
      <c r="E932" s="21">
        <v>0.98223897999999998</v>
      </c>
      <c r="F932" s="10"/>
      <c r="G932" s="14">
        <v>10000000</v>
      </c>
      <c r="H932" s="14">
        <v>9822389.7599999998</v>
      </c>
      <c r="I932" s="14">
        <v>10000000</v>
      </c>
      <c r="J932" s="14">
        <v>9822389.7599999998</v>
      </c>
      <c r="K932" s="12">
        <v>109</v>
      </c>
      <c r="L932" s="10" t="s">
        <v>101</v>
      </c>
      <c r="M932" s="10" t="s">
        <v>102</v>
      </c>
      <c r="N932" s="124" t="s">
        <v>310</v>
      </c>
      <c r="O932" s="124" t="s">
        <v>310</v>
      </c>
      <c r="P932" s="21">
        <v>30</v>
      </c>
      <c r="Q932" s="10" t="s">
        <v>54</v>
      </c>
      <c r="R932" s="10" t="s">
        <v>28</v>
      </c>
      <c r="S932" s="10"/>
      <c r="T932" s="10"/>
      <c r="U932" s="10" t="s">
        <v>1011</v>
      </c>
      <c r="V932" s="10" t="s">
        <v>1011</v>
      </c>
      <c r="W932" s="50">
        <f>+J932/$W$2</f>
        <v>1.2021274878046776E-4</v>
      </c>
      <c r="AC932" s="47"/>
    </row>
    <row r="933" spans="1:29">
      <c r="A933" s="10" t="s">
        <v>271</v>
      </c>
      <c r="B933" s="10" t="s">
        <v>358</v>
      </c>
      <c r="C933" s="124">
        <v>46346</v>
      </c>
      <c r="D933" s="124" t="s">
        <v>471</v>
      </c>
      <c r="E933" s="21">
        <v>0.98165780000000002</v>
      </c>
      <c r="F933" s="10"/>
      <c r="G933" s="14">
        <v>15000000</v>
      </c>
      <c r="H933" s="14">
        <v>14724867.02</v>
      </c>
      <c r="I933" s="14">
        <v>15000000</v>
      </c>
      <c r="J933" s="14">
        <v>14724867.02</v>
      </c>
      <c r="K933" s="12">
        <v>2439</v>
      </c>
      <c r="L933" s="10" t="s">
        <v>101</v>
      </c>
      <c r="M933" s="10" t="s">
        <v>102</v>
      </c>
      <c r="N933" s="124" t="s">
        <v>310</v>
      </c>
      <c r="O933" s="124" t="s">
        <v>310</v>
      </c>
      <c r="P933" s="21">
        <v>31</v>
      </c>
      <c r="Q933" s="10" t="s">
        <v>54</v>
      </c>
      <c r="R933" s="10" t="s">
        <v>28</v>
      </c>
      <c r="S933" s="10"/>
      <c r="T933" s="10"/>
      <c r="U933" s="10" t="s">
        <v>1012</v>
      </c>
      <c r="V933" s="10" t="s">
        <v>1012</v>
      </c>
      <c r="W933" s="50">
        <f>+J933/$W$2</f>
        <v>1.8021243130765917E-4</v>
      </c>
    </row>
    <row r="934" spans="1:29">
      <c r="A934" s="10" t="s">
        <v>271</v>
      </c>
      <c r="B934" s="10" t="s">
        <v>358</v>
      </c>
      <c r="C934" s="124">
        <v>46346</v>
      </c>
      <c r="D934" s="124" t="s">
        <v>471</v>
      </c>
      <c r="E934" s="21">
        <v>0.98457059000000002</v>
      </c>
      <c r="F934" s="10"/>
      <c r="G934" s="14">
        <v>15000000</v>
      </c>
      <c r="H934" s="14">
        <v>14768558.800000001</v>
      </c>
      <c r="I934" s="14">
        <v>15000000</v>
      </c>
      <c r="J934" s="14">
        <v>14768558.800000001</v>
      </c>
      <c r="K934" s="12">
        <v>9621096</v>
      </c>
      <c r="L934" s="10" t="s">
        <v>101</v>
      </c>
      <c r="M934" s="10" t="s">
        <v>102</v>
      </c>
      <c r="N934" s="124" t="s">
        <v>308</v>
      </c>
      <c r="O934" s="124" t="s">
        <v>308</v>
      </c>
      <c r="P934" s="21">
        <v>26</v>
      </c>
      <c r="Q934" s="10" t="s">
        <v>54</v>
      </c>
      <c r="R934" s="10" t="s">
        <v>28</v>
      </c>
      <c r="S934" s="10"/>
      <c r="T934" s="10"/>
      <c r="U934" s="10" t="s">
        <v>749</v>
      </c>
      <c r="V934" s="10" t="s">
        <v>749</v>
      </c>
      <c r="W934" s="50">
        <f>+J934/$W$2</f>
        <v>1.8074715952566379E-4</v>
      </c>
    </row>
    <row r="935" spans="1:29">
      <c r="A935" s="10" t="s">
        <v>2320</v>
      </c>
      <c r="B935" s="10" t="s">
        <v>358</v>
      </c>
      <c r="C935" s="124">
        <v>46346</v>
      </c>
      <c r="D935" s="124" t="s">
        <v>471</v>
      </c>
      <c r="E935" s="21">
        <v>0.98340344999999996</v>
      </c>
      <c r="F935" s="10"/>
      <c r="G935" s="14">
        <v>70000000</v>
      </c>
      <c r="H935" s="14">
        <v>68838241.769999996</v>
      </c>
      <c r="I935" s="14">
        <v>70000000</v>
      </c>
      <c r="J935" s="14">
        <v>68838241.769999996</v>
      </c>
      <c r="K935" s="12">
        <v>83299236</v>
      </c>
      <c r="L935" s="10" t="s">
        <v>101</v>
      </c>
      <c r="M935" s="10" t="s">
        <v>102</v>
      </c>
      <c r="N935" s="124" t="s">
        <v>477</v>
      </c>
      <c r="O935" s="124" t="s">
        <v>477</v>
      </c>
      <c r="P935" s="21">
        <v>28</v>
      </c>
      <c r="Q935" s="10" t="s">
        <v>54</v>
      </c>
      <c r="R935" s="10" t="s">
        <v>28</v>
      </c>
      <c r="S935" s="10"/>
      <c r="T935" s="10"/>
      <c r="U935" s="10" t="s">
        <v>2376</v>
      </c>
      <c r="V935" s="10" t="s">
        <v>2376</v>
      </c>
      <c r="W935" s="50">
        <f>+J935/$W$2</f>
        <v>8.424868557024266E-4</v>
      </c>
    </row>
    <row r="936" spans="1:29">
      <c r="A936" s="10" t="s">
        <v>677</v>
      </c>
      <c r="B936" s="10" t="s">
        <v>358</v>
      </c>
      <c r="C936" s="124">
        <v>46346</v>
      </c>
      <c r="D936" s="124" t="s">
        <v>471</v>
      </c>
      <c r="E936" s="21">
        <v>0.97818521000000003</v>
      </c>
      <c r="F936" s="10"/>
      <c r="G936" s="14">
        <v>25000000</v>
      </c>
      <c r="H936" s="14">
        <v>24454630.27</v>
      </c>
      <c r="I936" s="14">
        <v>25000000</v>
      </c>
      <c r="J936" s="14">
        <v>24454630.27</v>
      </c>
      <c r="K936" s="12">
        <v>2661</v>
      </c>
      <c r="L936" s="10" t="s">
        <v>101</v>
      </c>
      <c r="M936" s="10" t="s">
        <v>102</v>
      </c>
      <c r="N936" s="124" t="s">
        <v>399</v>
      </c>
      <c r="O936" s="124" t="s">
        <v>399</v>
      </c>
      <c r="P936" s="21">
        <v>37</v>
      </c>
      <c r="Q936" s="10" t="s">
        <v>54</v>
      </c>
      <c r="R936" s="10" t="s">
        <v>28</v>
      </c>
      <c r="S936" s="10"/>
      <c r="T936" s="10"/>
      <c r="U936" s="10" t="s">
        <v>1115</v>
      </c>
      <c r="V936" s="10" t="s">
        <v>1115</v>
      </c>
      <c r="W936" s="50">
        <f>+J936/$W$2</f>
        <v>2.9929155704433506E-4</v>
      </c>
    </row>
    <row r="937" spans="1:29">
      <c r="A937" s="10" t="s">
        <v>359</v>
      </c>
      <c r="B937" s="10" t="s">
        <v>358</v>
      </c>
      <c r="C937" s="124">
        <v>46346</v>
      </c>
      <c r="D937" s="124" t="s">
        <v>471</v>
      </c>
      <c r="E937" s="21">
        <v>0.98107732000000003</v>
      </c>
      <c r="F937" s="10"/>
      <c r="G937" s="14">
        <v>3000000</v>
      </c>
      <c r="H937" s="14">
        <v>2943231.97</v>
      </c>
      <c r="I937" s="14">
        <v>3000000</v>
      </c>
      <c r="J937" s="14">
        <v>2943231.97</v>
      </c>
      <c r="K937" s="12">
        <v>1060</v>
      </c>
      <c r="L937" s="10" t="s">
        <v>101</v>
      </c>
      <c r="M937" s="10" t="s">
        <v>102</v>
      </c>
      <c r="N937" s="124" t="s">
        <v>373</v>
      </c>
      <c r="O937" s="124" t="s">
        <v>373</v>
      </c>
      <c r="P937" s="21">
        <v>32</v>
      </c>
      <c r="Q937" s="10" t="s">
        <v>54</v>
      </c>
      <c r="R937" s="10" t="s">
        <v>28</v>
      </c>
      <c r="S937" s="10"/>
      <c r="T937" s="10"/>
      <c r="U937" s="10" t="s">
        <v>1149</v>
      </c>
      <c r="V937" s="10" t="s">
        <v>1149</v>
      </c>
      <c r="W937" s="50">
        <f>+J937/$W$2</f>
        <v>3.6021173467692982E-5</v>
      </c>
    </row>
    <row r="938" spans="1:29">
      <c r="A938" s="10" t="s">
        <v>359</v>
      </c>
      <c r="B938" s="10" t="s">
        <v>358</v>
      </c>
      <c r="C938" s="124">
        <v>46346</v>
      </c>
      <c r="D938" s="124" t="s">
        <v>471</v>
      </c>
      <c r="E938" s="21">
        <v>0.98049754</v>
      </c>
      <c r="F938" s="10"/>
      <c r="G938" s="14">
        <v>2500000</v>
      </c>
      <c r="H938" s="14">
        <v>2451243.86</v>
      </c>
      <c r="I938" s="14">
        <v>2500000</v>
      </c>
      <c r="J938" s="14">
        <v>2451243.86</v>
      </c>
      <c r="K938" s="12">
        <v>1023</v>
      </c>
      <c r="L938" s="10" t="s">
        <v>101</v>
      </c>
      <c r="M938" s="10" t="s">
        <v>102</v>
      </c>
      <c r="N938" s="124" t="s">
        <v>161</v>
      </c>
      <c r="O938" s="124" t="s">
        <v>161</v>
      </c>
      <c r="P938" s="21">
        <v>33</v>
      </c>
      <c r="Q938" s="10" t="s">
        <v>54</v>
      </c>
      <c r="R938" s="10" t="s">
        <v>28</v>
      </c>
      <c r="S938" s="10"/>
      <c r="T938" s="10"/>
      <c r="U938" s="10" t="s">
        <v>1076</v>
      </c>
      <c r="V938" s="10" t="s">
        <v>1076</v>
      </c>
      <c r="W938" s="50">
        <f>+J938/$W$2</f>
        <v>2.9999905271713029E-5</v>
      </c>
    </row>
    <row r="939" spans="1:29">
      <c r="A939" s="10" t="s">
        <v>359</v>
      </c>
      <c r="B939" s="10" t="s">
        <v>358</v>
      </c>
      <c r="C939" s="124">
        <v>46346</v>
      </c>
      <c r="D939" s="124" t="s">
        <v>471</v>
      </c>
      <c r="E939" s="21">
        <v>0.98223903000000001</v>
      </c>
      <c r="F939" s="10"/>
      <c r="G939" s="14">
        <v>2500000</v>
      </c>
      <c r="H939" s="14">
        <v>2455597.5699999998</v>
      </c>
      <c r="I939" s="14">
        <v>2500000</v>
      </c>
      <c r="J939" s="14">
        <v>2455597.5699999998</v>
      </c>
      <c r="K939" s="12">
        <v>899</v>
      </c>
      <c r="L939" s="10" t="s">
        <v>101</v>
      </c>
      <c r="M939" s="10" t="s">
        <v>102</v>
      </c>
      <c r="N939" s="124" t="s">
        <v>409</v>
      </c>
      <c r="O939" s="124" t="s">
        <v>409</v>
      </c>
      <c r="P939" s="21">
        <v>30</v>
      </c>
      <c r="Q939" s="10" t="s">
        <v>54</v>
      </c>
      <c r="R939" s="10" t="s">
        <v>28</v>
      </c>
      <c r="S939" s="10"/>
      <c r="T939" s="10"/>
      <c r="U939" s="10" t="s">
        <v>903</v>
      </c>
      <c r="V939" s="10" t="s">
        <v>903</v>
      </c>
      <c r="W939" s="50">
        <f>+J939/$W$2</f>
        <v>3.005318878614089E-5</v>
      </c>
    </row>
    <row r="940" spans="1:29">
      <c r="A940" s="10" t="s">
        <v>2440</v>
      </c>
      <c r="B940" s="10" t="s">
        <v>358</v>
      </c>
      <c r="C940" s="124">
        <v>46346</v>
      </c>
      <c r="D940" s="124" t="s">
        <v>471</v>
      </c>
      <c r="E940" s="21">
        <v>0.98223903999999995</v>
      </c>
      <c r="F940" s="10"/>
      <c r="G940" s="14">
        <v>1059989.51</v>
      </c>
      <c r="H940" s="14">
        <v>1041163.08</v>
      </c>
      <c r="I940" s="14">
        <v>1059989.51</v>
      </c>
      <c r="J940" s="14">
        <v>1041163.08</v>
      </c>
      <c r="K940" s="12">
        <v>11204209</v>
      </c>
      <c r="L940" s="10" t="s">
        <v>101</v>
      </c>
      <c r="M940" s="10" t="s">
        <v>102</v>
      </c>
      <c r="N940" s="124" t="s">
        <v>477</v>
      </c>
      <c r="O940" s="124" t="s">
        <v>477</v>
      </c>
      <c r="P940" s="21">
        <v>30</v>
      </c>
      <c r="Q940" s="10" t="s">
        <v>54</v>
      </c>
      <c r="R940" s="10" t="s">
        <v>28</v>
      </c>
      <c r="S940" s="10"/>
      <c r="T940" s="10"/>
      <c r="U940" s="10" t="s">
        <v>2414</v>
      </c>
      <c r="V940" s="10" t="s">
        <v>2414</v>
      </c>
      <c r="W940" s="50">
        <f>+J940/$W$2</f>
        <v>1.2742426113575242E-5</v>
      </c>
    </row>
    <row r="941" spans="1:29">
      <c r="A941" s="10" t="s">
        <v>2442</v>
      </c>
      <c r="B941" s="10" t="s">
        <v>358</v>
      </c>
      <c r="C941" s="124">
        <v>46346</v>
      </c>
      <c r="D941" s="124" t="s">
        <v>471</v>
      </c>
      <c r="E941" s="21">
        <v>0.98223903999999995</v>
      </c>
      <c r="F941" s="10"/>
      <c r="G941" s="14">
        <v>2269565.34</v>
      </c>
      <c r="H941" s="14">
        <v>2229255.6800000002</v>
      </c>
      <c r="I941" s="14">
        <v>2269565.34</v>
      </c>
      <c r="J941" s="14">
        <v>2229255.6800000002</v>
      </c>
      <c r="K941" s="12">
        <v>10287266</v>
      </c>
      <c r="L941" s="10" t="s">
        <v>101</v>
      </c>
      <c r="M941" s="10" t="s">
        <v>102</v>
      </c>
      <c r="N941" s="124" t="s">
        <v>477</v>
      </c>
      <c r="O941" s="124" t="s">
        <v>477</v>
      </c>
      <c r="P941" s="21">
        <v>30</v>
      </c>
      <c r="Q941" s="10" t="s">
        <v>54</v>
      </c>
      <c r="R941" s="10" t="s">
        <v>28</v>
      </c>
      <c r="S941" s="10"/>
      <c r="T941" s="10"/>
      <c r="U941" s="10" t="s">
        <v>2422</v>
      </c>
      <c r="V941" s="10" t="s">
        <v>2422</v>
      </c>
      <c r="W941" s="50">
        <f>+J941/$W$2</f>
        <v>2.7283070573985332E-5</v>
      </c>
    </row>
    <row r="942" spans="1:29">
      <c r="A942" s="10" t="s">
        <v>2485</v>
      </c>
      <c r="B942" s="10" t="s">
        <v>358</v>
      </c>
      <c r="C942" s="124">
        <v>46346</v>
      </c>
      <c r="D942" s="124" t="s">
        <v>471</v>
      </c>
      <c r="E942" s="21">
        <v>0.98049757000000004</v>
      </c>
      <c r="F942" s="10"/>
      <c r="G942" s="14">
        <v>6355928.2400000002</v>
      </c>
      <c r="H942" s="14">
        <v>6231972.1699999999</v>
      </c>
      <c r="I942" s="14">
        <v>6355928.2400000002</v>
      </c>
      <c r="J942" s="14">
        <v>6231972.1699999999</v>
      </c>
      <c r="K942" s="12">
        <v>11543</v>
      </c>
      <c r="L942" s="10" t="s">
        <v>101</v>
      </c>
      <c r="M942" s="10" t="s">
        <v>102</v>
      </c>
      <c r="N942" s="124" t="s">
        <v>577</v>
      </c>
      <c r="O942" s="124" t="s">
        <v>577</v>
      </c>
      <c r="P942" s="21">
        <v>33</v>
      </c>
      <c r="Q942" s="10" t="s">
        <v>54</v>
      </c>
      <c r="R942" s="10" t="s">
        <v>28</v>
      </c>
      <c r="S942" s="10"/>
      <c r="T942" s="10"/>
      <c r="U942" s="10" t="s">
        <v>2462</v>
      </c>
      <c r="V942" s="10" t="s">
        <v>2462</v>
      </c>
      <c r="W942" s="50">
        <f>+J942/$W$2</f>
        <v>7.6270899769210188E-5</v>
      </c>
    </row>
    <row r="943" spans="1:29">
      <c r="A943" s="10" t="s">
        <v>2485</v>
      </c>
      <c r="B943" s="10" t="s">
        <v>358</v>
      </c>
      <c r="C943" s="124">
        <v>46346</v>
      </c>
      <c r="D943" s="124" t="s">
        <v>471</v>
      </c>
      <c r="E943" s="21">
        <v>0.98049757000000004</v>
      </c>
      <c r="F943" s="10"/>
      <c r="G943" s="14">
        <v>6355928.2400000002</v>
      </c>
      <c r="H943" s="14">
        <v>6231972.1699999999</v>
      </c>
      <c r="I943" s="14">
        <v>6355928.2400000002</v>
      </c>
      <c r="J943" s="14">
        <v>6231972.1699999999</v>
      </c>
      <c r="K943" s="12">
        <v>11542</v>
      </c>
      <c r="L943" s="10" t="s">
        <v>101</v>
      </c>
      <c r="M943" s="10" t="s">
        <v>102</v>
      </c>
      <c r="N943" s="124" t="s">
        <v>577</v>
      </c>
      <c r="O943" s="124" t="s">
        <v>577</v>
      </c>
      <c r="P943" s="21">
        <v>33</v>
      </c>
      <c r="Q943" s="10" t="s">
        <v>54</v>
      </c>
      <c r="R943" s="10" t="s">
        <v>28</v>
      </c>
      <c r="S943" s="10"/>
      <c r="T943" s="10"/>
      <c r="U943" s="10" t="s">
        <v>2464</v>
      </c>
      <c r="V943" s="10" t="s">
        <v>2464</v>
      </c>
      <c r="W943" s="50">
        <f>+J943/$W$2</f>
        <v>7.6270899769210188E-5</v>
      </c>
      <c r="AC943" s="47"/>
    </row>
    <row r="944" spans="1:29">
      <c r="A944" s="10" t="s">
        <v>2486</v>
      </c>
      <c r="B944" s="10" t="s">
        <v>358</v>
      </c>
      <c r="C944" s="124">
        <v>46346</v>
      </c>
      <c r="D944" s="124" t="s">
        <v>471</v>
      </c>
      <c r="E944" s="21">
        <v>0.98107734999999996</v>
      </c>
      <c r="F944" s="10"/>
      <c r="G944" s="14">
        <v>50000000</v>
      </c>
      <c r="H944" s="14">
        <v>49053867.640000001</v>
      </c>
      <c r="I944" s="14">
        <v>50000000</v>
      </c>
      <c r="J944" s="14">
        <v>49053867.640000001</v>
      </c>
      <c r="K944" s="12">
        <v>21551</v>
      </c>
      <c r="L944" s="10" t="s">
        <v>101</v>
      </c>
      <c r="M944" s="10" t="s">
        <v>102</v>
      </c>
      <c r="N944" s="124" t="s">
        <v>475</v>
      </c>
      <c r="O944" s="124" t="s">
        <v>475</v>
      </c>
      <c r="P944" s="21">
        <v>32</v>
      </c>
      <c r="Q944" s="10" t="s">
        <v>54</v>
      </c>
      <c r="R944" s="10" t="s">
        <v>28</v>
      </c>
      <c r="S944" s="10"/>
      <c r="T944" s="10"/>
      <c r="U944" s="10" t="s">
        <v>3388</v>
      </c>
      <c r="V944" s="10" t="s">
        <v>3388</v>
      </c>
      <c r="W944" s="50">
        <f>+J944/$W$2</f>
        <v>6.0035290915982117E-4</v>
      </c>
    </row>
    <row r="945" spans="1:23">
      <c r="A945" s="10" t="s">
        <v>2741</v>
      </c>
      <c r="B945" s="10" t="s">
        <v>358</v>
      </c>
      <c r="C945" s="124">
        <v>46346</v>
      </c>
      <c r="D945" s="124" t="s">
        <v>471</v>
      </c>
      <c r="E945" s="21">
        <v>0.98107732000000003</v>
      </c>
      <c r="F945" s="10"/>
      <c r="G945" s="14">
        <v>75000000</v>
      </c>
      <c r="H945" s="14">
        <v>73580798.719999999</v>
      </c>
      <c r="I945" s="14">
        <v>75000000</v>
      </c>
      <c r="J945" s="14">
        <v>73580798.719999999</v>
      </c>
      <c r="K945" s="12">
        <v>584</v>
      </c>
      <c r="L945" s="10" t="s">
        <v>101</v>
      </c>
      <c r="M945" s="10" t="s">
        <v>102</v>
      </c>
      <c r="N945" s="124" t="s">
        <v>466</v>
      </c>
      <c r="O945" s="124" t="s">
        <v>466</v>
      </c>
      <c r="P945" s="21">
        <v>32</v>
      </c>
      <c r="Q945" s="10" t="s">
        <v>54</v>
      </c>
      <c r="R945" s="10" t="s">
        <v>28</v>
      </c>
      <c r="S945" s="10"/>
      <c r="T945" s="10"/>
      <c r="U945" s="10" t="s">
        <v>3652</v>
      </c>
      <c r="V945" s="10" t="s">
        <v>3652</v>
      </c>
      <c r="W945" s="50">
        <f>+J945/$W$2</f>
        <v>9.0052933020584233E-4</v>
      </c>
    </row>
    <row r="946" spans="1:23">
      <c r="A946" s="10" t="s">
        <v>334</v>
      </c>
      <c r="B946" s="10" t="s">
        <v>358</v>
      </c>
      <c r="C946" s="124">
        <v>46350</v>
      </c>
      <c r="D946" s="124" t="s">
        <v>471</v>
      </c>
      <c r="E946" s="21">
        <v>0.97567506000000004</v>
      </c>
      <c r="F946" s="10"/>
      <c r="G946" s="14">
        <v>3625698.78</v>
      </c>
      <c r="H946" s="14">
        <v>3537503.86</v>
      </c>
      <c r="I946" s="14">
        <v>3625698.78</v>
      </c>
      <c r="J946" s="14">
        <v>3537503.86</v>
      </c>
      <c r="K946" s="12">
        <v>3360</v>
      </c>
      <c r="L946" s="10" t="s">
        <v>101</v>
      </c>
      <c r="M946" s="10" t="s">
        <v>102</v>
      </c>
      <c r="N946" s="124" t="s">
        <v>162</v>
      </c>
      <c r="O946" s="124" t="s">
        <v>162</v>
      </c>
      <c r="P946" s="21">
        <v>35</v>
      </c>
      <c r="Q946" s="10" t="s">
        <v>54</v>
      </c>
      <c r="R946" s="10" t="s">
        <v>28</v>
      </c>
      <c r="S946" s="10"/>
      <c r="T946" s="10"/>
      <c r="U946" s="10" t="s">
        <v>1259</v>
      </c>
      <c r="V946" s="10" t="s">
        <v>1259</v>
      </c>
      <c r="W946" s="50">
        <f>+J946/$W$2</f>
        <v>4.329425661399482E-5</v>
      </c>
    </row>
    <row r="947" spans="1:23">
      <c r="A947" s="10" t="s">
        <v>334</v>
      </c>
      <c r="B947" s="10" t="s">
        <v>358</v>
      </c>
      <c r="C947" s="124">
        <v>46350</v>
      </c>
      <c r="D947" s="124" t="s">
        <v>471</v>
      </c>
      <c r="E947" s="21">
        <v>0.97499736999999997</v>
      </c>
      <c r="F947" s="10"/>
      <c r="G947" s="14">
        <v>3789564.21</v>
      </c>
      <c r="H947" s="14">
        <v>3694815.14</v>
      </c>
      <c r="I947" s="14">
        <v>3789564.21</v>
      </c>
      <c r="J947" s="14">
        <v>3694815.14</v>
      </c>
      <c r="K947" s="12">
        <v>3278</v>
      </c>
      <c r="L947" s="10" t="s">
        <v>101</v>
      </c>
      <c r="M947" s="10" t="s">
        <v>102</v>
      </c>
      <c r="N947" s="124" t="s">
        <v>161</v>
      </c>
      <c r="O947" s="124" t="s">
        <v>161</v>
      </c>
      <c r="P947" s="21">
        <v>36</v>
      </c>
      <c r="Q947" s="10" t="s">
        <v>54</v>
      </c>
      <c r="R947" s="10" t="s">
        <v>28</v>
      </c>
      <c r="S947" s="10"/>
      <c r="T947" s="10"/>
      <c r="U947" s="10" t="s">
        <v>1061</v>
      </c>
      <c r="V947" s="10" t="s">
        <v>1061</v>
      </c>
      <c r="W947" s="50">
        <f>+J947/$W$2</f>
        <v>4.5219533643825684E-5</v>
      </c>
    </row>
    <row r="948" spans="1:23">
      <c r="A948" s="10" t="s">
        <v>334</v>
      </c>
      <c r="B948" s="10" t="s">
        <v>358</v>
      </c>
      <c r="C948" s="124">
        <v>46350</v>
      </c>
      <c r="D948" s="124" t="s">
        <v>471</v>
      </c>
      <c r="E948" s="21">
        <v>0.97567499999999996</v>
      </c>
      <c r="F948" s="10"/>
      <c r="G948" s="14">
        <v>1555000.5</v>
      </c>
      <c r="H948" s="14">
        <v>1517175.12</v>
      </c>
      <c r="I948" s="14">
        <v>1555000.5</v>
      </c>
      <c r="J948" s="14">
        <v>1517175.12</v>
      </c>
      <c r="K948" s="12">
        <v>3590</v>
      </c>
      <c r="L948" s="10" t="s">
        <v>101</v>
      </c>
      <c r="M948" s="10" t="s">
        <v>102</v>
      </c>
      <c r="N948" s="124" t="s">
        <v>397</v>
      </c>
      <c r="O948" s="124" t="s">
        <v>397</v>
      </c>
      <c r="P948" s="21">
        <v>35</v>
      </c>
      <c r="Q948" s="10" t="s">
        <v>54</v>
      </c>
      <c r="R948" s="10" t="s">
        <v>28</v>
      </c>
      <c r="S948" s="10"/>
      <c r="T948" s="10"/>
      <c r="U948" s="10" t="s">
        <v>1863</v>
      </c>
      <c r="V948" s="10" t="s">
        <v>1863</v>
      </c>
      <c r="W948" s="50">
        <f>+J948/$W$2</f>
        <v>1.8568168848202583E-5</v>
      </c>
    </row>
    <row r="949" spans="1:23">
      <c r="A949" s="10" t="s">
        <v>334</v>
      </c>
      <c r="B949" s="10" t="s">
        <v>358</v>
      </c>
      <c r="C949" s="124">
        <v>46350</v>
      </c>
      <c r="D949" s="124" t="s">
        <v>471</v>
      </c>
      <c r="E949" s="21">
        <v>0.97567499000000002</v>
      </c>
      <c r="F949" s="10"/>
      <c r="G949" s="14">
        <v>1250300.6499999999</v>
      </c>
      <c r="H949" s="14">
        <v>1219887.08</v>
      </c>
      <c r="I949" s="14">
        <v>1250300.6499999999</v>
      </c>
      <c r="J949" s="14">
        <v>1219887.08</v>
      </c>
      <c r="K949" s="12">
        <v>3591</v>
      </c>
      <c r="L949" s="10" t="s">
        <v>101</v>
      </c>
      <c r="M949" s="10" t="s">
        <v>102</v>
      </c>
      <c r="N949" s="124" t="s">
        <v>397</v>
      </c>
      <c r="O949" s="124" t="s">
        <v>397</v>
      </c>
      <c r="P949" s="21">
        <v>35</v>
      </c>
      <c r="Q949" s="10" t="s">
        <v>54</v>
      </c>
      <c r="R949" s="10" t="s">
        <v>28</v>
      </c>
      <c r="S949" s="10"/>
      <c r="T949" s="10"/>
      <c r="U949" s="10" t="s">
        <v>1870</v>
      </c>
      <c r="V949" s="10" t="s">
        <v>1870</v>
      </c>
      <c r="W949" s="50">
        <f>+J949/$W$2</f>
        <v>1.4929765838224933E-5</v>
      </c>
    </row>
    <row r="950" spans="1:23">
      <c r="A950" s="10" t="s">
        <v>401</v>
      </c>
      <c r="B950" s="10" t="s">
        <v>358</v>
      </c>
      <c r="C950" s="124">
        <v>46350</v>
      </c>
      <c r="D950" s="124" t="s">
        <v>471</v>
      </c>
      <c r="E950" s="21">
        <v>0.98044489000000001</v>
      </c>
      <c r="F950" s="10"/>
      <c r="G950" s="14">
        <v>3000000</v>
      </c>
      <c r="H950" s="14">
        <v>2941334.68</v>
      </c>
      <c r="I950" s="14">
        <v>3000000</v>
      </c>
      <c r="J950" s="14">
        <v>2941334.68</v>
      </c>
      <c r="K950" s="12">
        <v>14315894</v>
      </c>
      <c r="L950" s="10" t="s">
        <v>101</v>
      </c>
      <c r="M950" s="10" t="s">
        <v>102</v>
      </c>
      <c r="N950" s="124" t="s">
        <v>449</v>
      </c>
      <c r="O950" s="124" t="s">
        <v>449</v>
      </c>
      <c r="P950" s="21">
        <v>28</v>
      </c>
      <c r="Q950" s="10" t="s">
        <v>54</v>
      </c>
      <c r="R950" s="10" t="s">
        <v>28</v>
      </c>
      <c r="S950" s="10"/>
      <c r="T950" s="10"/>
      <c r="U950" s="10" t="s">
        <v>1900</v>
      </c>
      <c r="V950" s="10" t="s">
        <v>1900</v>
      </c>
      <c r="W950" s="50">
        <f>+J950/$W$2</f>
        <v>3.5997953207480701E-5</v>
      </c>
    </row>
    <row r="951" spans="1:23">
      <c r="A951" s="10" t="s">
        <v>453</v>
      </c>
      <c r="B951" s="10" t="s">
        <v>358</v>
      </c>
      <c r="C951" s="124">
        <v>46350</v>
      </c>
      <c r="D951" s="124" t="s">
        <v>471</v>
      </c>
      <c r="E951" s="21">
        <v>0.98113011000000006</v>
      </c>
      <c r="F951" s="10"/>
      <c r="G951" s="14">
        <v>8000000</v>
      </c>
      <c r="H951" s="14">
        <v>7849040.9000000004</v>
      </c>
      <c r="I951" s="14">
        <v>8000000</v>
      </c>
      <c r="J951" s="14">
        <v>7849040.9000000004</v>
      </c>
      <c r="K951" s="12">
        <v>69815983</v>
      </c>
      <c r="L951" s="10" t="s">
        <v>101</v>
      </c>
      <c r="M951" s="10" t="s">
        <v>102</v>
      </c>
      <c r="N951" s="124" t="s">
        <v>449</v>
      </c>
      <c r="O951" s="124" t="s">
        <v>449</v>
      </c>
      <c r="P951" s="21">
        <v>27</v>
      </c>
      <c r="Q951" s="10" t="s">
        <v>54</v>
      </c>
      <c r="R951" s="10" t="s">
        <v>28</v>
      </c>
      <c r="S951" s="10"/>
      <c r="T951" s="10"/>
      <c r="U951" s="10" t="s">
        <v>1965</v>
      </c>
      <c r="V951" s="10" t="s">
        <v>1965</v>
      </c>
      <c r="W951" s="50">
        <f>+J951/$W$2</f>
        <v>9.6061631123800642E-5</v>
      </c>
    </row>
    <row r="952" spans="1:23">
      <c r="A952" s="10" t="s">
        <v>206</v>
      </c>
      <c r="B952" s="10" t="s">
        <v>358</v>
      </c>
      <c r="C952" s="124">
        <v>46350</v>
      </c>
      <c r="D952" s="124" t="s">
        <v>471</v>
      </c>
      <c r="E952" s="21">
        <v>0.97703309999999999</v>
      </c>
      <c r="F952" s="10"/>
      <c r="G952" s="14">
        <v>2170000</v>
      </c>
      <c r="H952" s="14">
        <v>2120161.8199999998</v>
      </c>
      <c r="I952" s="14">
        <v>2170000</v>
      </c>
      <c r="J952" s="14">
        <v>2120161.8199999998</v>
      </c>
      <c r="K952" s="12">
        <v>260736</v>
      </c>
      <c r="L952" s="10" t="s">
        <v>101</v>
      </c>
      <c r="M952" s="10" t="s">
        <v>102</v>
      </c>
      <c r="N952" s="124" t="s">
        <v>479</v>
      </c>
      <c r="O952" s="124" t="s">
        <v>479</v>
      </c>
      <c r="P952" s="21">
        <v>33</v>
      </c>
      <c r="Q952" s="10" t="s">
        <v>54</v>
      </c>
      <c r="R952" s="10" t="s">
        <v>28</v>
      </c>
      <c r="S952" s="10"/>
      <c r="T952" s="10"/>
      <c r="U952" s="10" t="s">
        <v>1205</v>
      </c>
      <c r="V952" s="10" t="s">
        <v>1205</v>
      </c>
      <c r="W952" s="50">
        <f>+J952/$W$2</f>
        <v>2.5947909466952297E-5</v>
      </c>
    </row>
    <row r="953" spans="1:23">
      <c r="A953" s="10" t="s">
        <v>2971</v>
      </c>
      <c r="B953" s="10" t="s">
        <v>358</v>
      </c>
      <c r="C953" s="124">
        <v>46350</v>
      </c>
      <c r="D953" s="124" t="s">
        <v>471</v>
      </c>
      <c r="E953" s="21">
        <v>0.97907727</v>
      </c>
      <c r="F953" s="10"/>
      <c r="G953" s="14">
        <v>1404156.6</v>
      </c>
      <c r="H953" s="14">
        <v>1374777.81</v>
      </c>
      <c r="I953" s="14">
        <v>1404156.6</v>
      </c>
      <c r="J953" s="14">
        <v>1374777.81</v>
      </c>
      <c r="K953" s="12">
        <v>90007543</v>
      </c>
      <c r="L953" s="10" t="s">
        <v>101</v>
      </c>
      <c r="M953" s="10" t="s">
        <v>102</v>
      </c>
      <c r="N953" s="124" t="s">
        <v>411</v>
      </c>
      <c r="O953" s="124" t="s">
        <v>411</v>
      </c>
      <c r="P953" s="21">
        <v>30</v>
      </c>
      <c r="Q953" s="10" t="s">
        <v>54</v>
      </c>
      <c r="R953" s="10" t="s">
        <v>28</v>
      </c>
      <c r="S953" s="10"/>
      <c r="T953" s="10"/>
      <c r="U953" s="10" t="s">
        <v>2919</v>
      </c>
      <c r="V953" s="10" t="s">
        <v>2919</v>
      </c>
      <c r="W953" s="50">
        <f>+J953/$W$2</f>
        <v>1.6825418614063595E-5</v>
      </c>
    </row>
    <row r="954" spans="1:23">
      <c r="A954" s="10" t="s">
        <v>141</v>
      </c>
      <c r="B954" s="10" t="s">
        <v>358</v>
      </c>
      <c r="C954" s="124">
        <v>46350</v>
      </c>
      <c r="D954" s="124" t="s">
        <v>471</v>
      </c>
      <c r="E954" s="21">
        <v>0.97567499000000002</v>
      </c>
      <c r="F954" s="10"/>
      <c r="G954" s="14">
        <v>20000000</v>
      </c>
      <c r="H954" s="14">
        <v>19513499.82</v>
      </c>
      <c r="I954" s="14">
        <v>20000000</v>
      </c>
      <c r="J954" s="14">
        <v>19513499.82</v>
      </c>
      <c r="K954" s="12">
        <v>147</v>
      </c>
      <c r="L954" s="10" t="s">
        <v>101</v>
      </c>
      <c r="M954" s="10" t="s">
        <v>102</v>
      </c>
      <c r="N954" s="124" t="s">
        <v>161</v>
      </c>
      <c r="O954" s="124" t="s">
        <v>161</v>
      </c>
      <c r="P954" s="21">
        <v>35</v>
      </c>
      <c r="Q954" s="10" t="s">
        <v>54</v>
      </c>
      <c r="R954" s="10" t="s">
        <v>28</v>
      </c>
      <c r="S954" s="10"/>
      <c r="T954" s="10"/>
      <c r="U954" s="10" t="s">
        <v>1050</v>
      </c>
      <c r="V954" s="10" t="s">
        <v>1050</v>
      </c>
      <c r="W954" s="50">
        <f>+J954/$W$2</f>
        <v>2.3881881181727439E-4</v>
      </c>
    </row>
    <row r="955" spans="1:23">
      <c r="A955" s="10" t="s">
        <v>575</v>
      </c>
      <c r="B955" s="10" t="s">
        <v>358</v>
      </c>
      <c r="C955" s="124">
        <v>46350</v>
      </c>
      <c r="D955" s="124" t="s">
        <v>471</v>
      </c>
      <c r="E955" s="21">
        <v>0.97703311999999998</v>
      </c>
      <c r="F955" s="10"/>
      <c r="G955" s="14">
        <v>5800000</v>
      </c>
      <c r="H955" s="14">
        <v>5666792.0800000001</v>
      </c>
      <c r="I955" s="14">
        <v>5800000</v>
      </c>
      <c r="J955" s="14">
        <v>5666792.0800000001</v>
      </c>
      <c r="K955" s="12">
        <v>6581</v>
      </c>
      <c r="L955" s="10" t="s">
        <v>101</v>
      </c>
      <c r="M955" s="10" t="s">
        <v>102</v>
      </c>
      <c r="N955" s="124" t="s">
        <v>392</v>
      </c>
      <c r="O955" s="124" t="s">
        <v>392</v>
      </c>
      <c r="P955" s="21">
        <v>33</v>
      </c>
      <c r="Q955" s="10" t="s">
        <v>54</v>
      </c>
      <c r="R955" s="10" t="s">
        <v>28</v>
      </c>
      <c r="S955" s="10"/>
      <c r="T955" s="10"/>
      <c r="U955" s="10" t="s">
        <v>1096</v>
      </c>
      <c r="V955" s="10" t="s">
        <v>1096</v>
      </c>
      <c r="W955" s="50">
        <f>+J955/$W$2</f>
        <v>6.9353860857602987E-5</v>
      </c>
    </row>
    <row r="956" spans="1:23">
      <c r="A956" s="10" t="s">
        <v>1310</v>
      </c>
      <c r="B956" s="10" t="s">
        <v>358</v>
      </c>
      <c r="C956" s="124">
        <v>46350</v>
      </c>
      <c r="D956" s="124" t="s">
        <v>471</v>
      </c>
      <c r="E956" s="21">
        <v>0.97499743000000005</v>
      </c>
      <c r="F956" s="10"/>
      <c r="G956" s="14">
        <v>30000000</v>
      </c>
      <c r="H956" s="14">
        <v>29249922.989999998</v>
      </c>
      <c r="I956" s="14">
        <v>30000000</v>
      </c>
      <c r="J956" s="14">
        <v>29249922.989999998</v>
      </c>
      <c r="K956" s="12">
        <v>10978200</v>
      </c>
      <c r="L956" s="10" t="s">
        <v>101</v>
      </c>
      <c r="M956" s="10" t="s">
        <v>102</v>
      </c>
      <c r="N956" s="124" t="s">
        <v>162</v>
      </c>
      <c r="O956" s="124" t="s">
        <v>162</v>
      </c>
      <c r="P956" s="21">
        <v>36</v>
      </c>
      <c r="Q956" s="10" t="s">
        <v>54</v>
      </c>
      <c r="R956" s="10" t="s">
        <v>28</v>
      </c>
      <c r="S956" s="10"/>
      <c r="T956" s="10"/>
      <c r="U956" s="10" t="s">
        <v>1296</v>
      </c>
      <c r="V956" s="10" t="s">
        <v>1296</v>
      </c>
      <c r="W956" s="50">
        <f>+J956/$W$2</f>
        <v>3.579794459556142E-4</v>
      </c>
    </row>
    <row r="957" spans="1:23">
      <c r="A957" s="10" t="s">
        <v>3323</v>
      </c>
      <c r="B957" s="10" t="s">
        <v>358</v>
      </c>
      <c r="C957" s="124">
        <v>46350</v>
      </c>
      <c r="D957" s="124" t="s">
        <v>471</v>
      </c>
      <c r="E957" s="21">
        <v>0.97703309999999999</v>
      </c>
      <c r="F957" s="10"/>
      <c r="G957" s="14">
        <v>2437871.4500000002</v>
      </c>
      <c r="H957" s="14">
        <v>2381881.09</v>
      </c>
      <c r="I957" s="14">
        <v>2437871.4500000002</v>
      </c>
      <c r="J957" s="14">
        <v>2381881.09</v>
      </c>
      <c r="K957" s="12">
        <v>70235090</v>
      </c>
      <c r="L957" s="10" t="s">
        <v>101</v>
      </c>
      <c r="M957" s="10" t="s">
        <v>102</v>
      </c>
      <c r="N957" s="124" t="s">
        <v>417</v>
      </c>
      <c r="O957" s="124" t="s">
        <v>417</v>
      </c>
      <c r="P957" s="21">
        <v>33</v>
      </c>
      <c r="Q957" s="10" t="s">
        <v>54</v>
      </c>
      <c r="R957" s="10" t="s">
        <v>28</v>
      </c>
      <c r="S957" s="10"/>
      <c r="T957" s="10"/>
      <c r="U957" s="10" t="s">
        <v>3216</v>
      </c>
      <c r="V957" s="10" t="s">
        <v>3216</v>
      </c>
      <c r="W957" s="50">
        <f>+J957/$W$2</f>
        <v>2.9150998900812984E-5</v>
      </c>
    </row>
    <row r="958" spans="1:23">
      <c r="A958" s="10" t="s">
        <v>524</v>
      </c>
      <c r="B958" s="10" t="s">
        <v>358</v>
      </c>
      <c r="C958" s="124">
        <v>46350</v>
      </c>
      <c r="D958" s="124" t="s">
        <v>471</v>
      </c>
      <c r="E958" s="21">
        <v>0.97499738000000002</v>
      </c>
      <c r="F958" s="10"/>
      <c r="G958" s="14">
        <v>1555000.5</v>
      </c>
      <c r="H958" s="14">
        <v>1516121.41</v>
      </c>
      <c r="I958" s="14">
        <v>1555000.5</v>
      </c>
      <c r="J958" s="14">
        <v>1516121.41</v>
      </c>
      <c r="K958" s="12">
        <v>510</v>
      </c>
      <c r="L958" s="10" t="s">
        <v>101</v>
      </c>
      <c r="M958" s="10" t="s">
        <v>102</v>
      </c>
      <c r="N958" s="124" t="s">
        <v>161</v>
      </c>
      <c r="O958" s="124" t="s">
        <v>161</v>
      </c>
      <c r="P958" s="21">
        <v>36</v>
      </c>
      <c r="Q958" s="10" t="s">
        <v>54</v>
      </c>
      <c r="R958" s="10" t="s">
        <v>28</v>
      </c>
      <c r="S958" s="10"/>
      <c r="T958" s="10"/>
      <c r="U958" s="10" t="s">
        <v>1053</v>
      </c>
      <c r="V958" s="10" t="s">
        <v>1053</v>
      </c>
      <c r="W958" s="50">
        <f>+J958/$W$2</f>
        <v>1.8555272864779756E-5</v>
      </c>
    </row>
    <row r="959" spans="1:23">
      <c r="A959" s="10" t="s">
        <v>524</v>
      </c>
      <c r="B959" s="10" t="s">
        <v>358</v>
      </c>
      <c r="C959" s="124">
        <v>46350</v>
      </c>
      <c r="D959" s="124" t="s">
        <v>471</v>
      </c>
      <c r="E959" s="21">
        <v>0.97635351999999997</v>
      </c>
      <c r="F959" s="10"/>
      <c r="G959" s="14">
        <v>5000300.25</v>
      </c>
      <c r="H959" s="14">
        <v>4882060.7699999996</v>
      </c>
      <c r="I959" s="14">
        <v>5000300.25</v>
      </c>
      <c r="J959" s="14">
        <v>4882060.7699999996</v>
      </c>
      <c r="K959" s="12">
        <v>360</v>
      </c>
      <c r="L959" s="10" t="s">
        <v>101</v>
      </c>
      <c r="M959" s="10" t="s">
        <v>102</v>
      </c>
      <c r="N959" s="124" t="s">
        <v>313</v>
      </c>
      <c r="O959" s="124" t="s">
        <v>313</v>
      </c>
      <c r="P959" s="21">
        <v>34</v>
      </c>
      <c r="Q959" s="10" t="s">
        <v>54</v>
      </c>
      <c r="R959" s="10" t="s">
        <v>28</v>
      </c>
      <c r="S959" s="10"/>
      <c r="T959" s="10"/>
      <c r="U959" s="10" t="s">
        <v>717</v>
      </c>
      <c r="V959" s="10" t="s">
        <v>717</v>
      </c>
      <c r="W959" s="50">
        <f>+J959/$W$2</f>
        <v>5.9749812338437179E-5</v>
      </c>
    </row>
    <row r="960" spans="1:23">
      <c r="A960" s="10" t="s">
        <v>526</v>
      </c>
      <c r="B960" s="10" t="s">
        <v>358</v>
      </c>
      <c r="C960" s="124">
        <v>46350</v>
      </c>
      <c r="D960" s="124" t="s">
        <v>471</v>
      </c>
      <c r="E960" s="21">
        <v>0.97703304999999996</v>
      </c>
      <c r="F960" s="10"/>
      <c r="G960" s="14">
        <v>185000000</v>
      </c>
      <c r="H960" s="14">
        <v>180751113.77000001</v>
      </c>
      <c r="I960" s="14">
        <v>185000000</v>
      </c>
      <c r="J960" s="14">
        <v>180751113.77000001</v>
      </c>
      <c r="K960" s="12">
        <v>170734</v>
      </c>
      <c r="L960" s="10" t="s">
        <v>101</v>
      </c>
      <c r="M960" s="10" t="s">
        <v>102</v>
      </c>
      <c r="N960" s="124" t="s">
        <v>468</v>
      </c>
      <c r="O960" s="124" t="s">
        <v>468</v>
      </c>
      <c r="P960" s="21">
        <v>33</v>
      </c>
      <c r="Q960" s="10" t="s">
        <v>54</v>
      </c>
      <c r="R960" s="10" t="s">
        <v>28</v>
      </c>
      <c r="S960" s="10"/>
      <c r="T960" s="10"/>
      <c r="U960" s="10" t="s">
        <v>3852</v>
      </c>
      <c r="V960" s="10" t="s">
        <v>3852</v>
      </c>
      <c r="W960" s="50">
        <f>+J960/$W$2</f>
        <v>2.212148851994116E-3</v>
      </c>
    </row>
    <row r="961" spans="1:29">
      <c r="A961" s="10" t="s">
        <v>433</v>
      </c>
      <c r="B961" s="10" t="s">
        <v>358</v>
      </c>
      <c r="C961" s="124">
        <v>46350</v>
      </c>
      <c r="D961" s="124" t="s">
        <v>471</v>
      </c>
      <c r="E961" s="21">
        <v>0.97703306000000001</v>
      </c>
      <c r="F961" s="10"/>
      <c r="G961" s="14">
        <v>12500000</v>
      </c>
      <c r="H961" s="14">
        <v>12212913.289999999</v>
      </c>
      <c r="I961" s="14">
        <v>12500000</v>
      </c>
      <c r="J961" s="14">
        <v>12212913.289999999</v>
      </c>
      <c r="K961" s="12">
        <v>14651811</v>
      </c>
      <c r="L961" s="10" t="s">
        <v>101</v>
      </c>
      <c r="M961" s="10" t="s">
        <v>102</v>
      </c>
      <c r="N961" s="124" t="s">
        <v>603</v>
      </c>
      <c r="O961" s="124" t="s">
        <v>603</v>
      </c>
      <c r="P961" s="21">
        <v>33</v>
      </c>
      <c r="Q961" s="10" t="s">
        <v>54</v>
      </c>
      <c r="R961" s="10" t="s">
        <v>28</v>
      </c>
      <c r="S961" s="10"/>
      <c r="T961" s="10"/>
      <c r="U961" s="10" t="s">
        <v>2650</v>
      </c>
      <c r="V961" s="10" t="s">
        <v>2650</v>
      </c>
      <c r="W961" s="50">
        <f>+J961/$W$2</f>
        <v>1.4946951944293504E-4</v>
      </c>
      <c r="AC961" s="47"/>
    </row>
    <row r="962" spans="1:29">
      <c r="A962" s="10" t="s">
        <v>3585</v>
      </c>
      <c r="B962" s="10" t="s">
        <v>358</v>
      </c>
      <c r="C962" s="124">
        <v>46350</v>
      </c>
      <c r="D962" s="124" t="s">
        <v>471</v>
      </c>
      <c r="E962" s="21">
        <v>0.97907741000000004</v>
      </c>
      <c r="F962" s="10"/>
      <c r="G962" s="14">
        <v>135000</v>
      </c>
      <c r="H962" s="14">
        <v>132175.45000000001</v>
      </c>
      <c r="I962" s="14">
        <v>135000</v>
      </c>
      <c r="J962" s="14">
        <v>132175.45000000001</v>
      </c>
      <c r="K962" s="12">
        <v>90000069</v>
      </c>
      <c r="L962" s="10" t="s">
        <v>101</v>
      </c>
      <c r="M962" s="10" t="s">
        <v>102</v>
      </c>
      <c r="N962" s="124" t="s">
        <v>451</v>
      </c>
      <c r="O962" s="124" t="s">
        <v>451</v>
      </c>
      <c r="P962" s="21">
        <v>30</v>
      </c>
      <c r="Q962" s="10" t="s">
        <v>54</v>
      </c>
      <c r="R962" s="10" t="s">
        <v>28</v>
      </c>
      <c r="S962" s="10"/>
      <c r="T962" s="10"/>
      <c r="U962" s="10" t="s">
        <v>3523</v>
      </c>
      <c r="V962" s="10" t="s">
        <v>3523</v>
      </c>
      <c r="W962" s="50">
        <f>+J962/$W$2</f>
        <v>1.6176485105998562E-6</v>
      </c>
    </row>
    <row r="963" spans="1:29">
      <c r="A963" s="10" t="s">
        <v>2211</v>
      </c>
      <c r="B963" s="10" t="s">
        <v>358</v>
      </c>
      <c r="C963" s="124">
        <v>46350</v>
      </c>
      <c r="D963" s="124" t="s">
        <v>471</v>
      </c>
      <c r="E963" s="21">
        <v>0.97703313999999997</v>
      </c>
      <c r="F963" s="10"/>
      <c r="G963" s="14">
        <v>2500000</v>
      </c>
      <c r="H963" s="14">
        <v>2442582.84</v>
      </c>
      <c r="I963" s="14">
        <v>2500000</v>
      </c>
      <c r="J963" s="14">
        <v>2442582.84</v>
      </c>
      <c r="K963" s="12">
        <v>101</v>
      </c>
      <c r="L963" s="10" t="s">
        <v>101</v>
      </c>
      <c r="M963" s="10" t="s">
        <v>102</v>
      </c>
      <c r="N963" s="124" t="s">
        <v>478</v>
      </c>
      <c r="O963" s="124" t="s">
        <v>478</v>
      </c>
      <c r="P963" s="21">
        <v>33</v>
      </c>
      <c r="Q963" s="10" t="s">
        <v>54</v>
      </c>
      <c r="R963" s="10" t="s">
        <v>28</v>
      </c>
      <c r="S963" s="10"/>
      <c r="T963" s="10"/>
      <c r="U963" s="10" t="s">
        <v>2184</v>
      </c>
      <c r="V963" s="10" t="s">
        <v>2184</v>
      </c>
      <c r="W963" s="50">
        <f>+J963/$W$2</f>
        <v>2.9893906116020534E-5</v>
      </c>
    </row>
    <row r="964" spans="1:29">
      <c r="A964" s="10" t="s">
        <v>3404</v>
      </c>
      <c r="B964" s="10" t="s">
        <v>358</v>
      </c>
      <c r="C964" s="124">
        <v>46350</v>
      </c>
      <c r="D964" s="124" t="s">
        <v>471</v>
      </c>
      <c r="E964" s="21">
        <v>0.97567499000000002</v>
      </c>
      <c r="F964" s="10"/>
      <c r="G964" s="14">
        <v>9500000</v>
      </c>
      <c r="H964" s="14">
        <v>9268912.3699999992</v>
      </c>
      <c r="I964" s="14">
        <v>9500000</v>
      </c>
      <c r="J964" s="14">
        <v>9268912.3699999992</v>
      </c>
      <c r="K964" s="12">
        <v>895</v>
      </c>
      <c r="L964" s="10" t="s">
        <v>101</v>
      </c>
      <c r="M964" s="10" t="s">
        <v>102</v>
      </c>
      <c r="N964" s="124" t="s">
        <v>475</v>
      </c>
      <c r="O964" s="124" t="s">
        <v>475</v>
      </c>
      <c r="P964" s="21">
        <v>35</v>
      </c>
      <c r="Q964" s="10" t="s">
        <v>54</v>
      </c>
      <c r="R964" s="10" t="s">
        <v>28</v>
      </c>
      <c r="S964" s="10"/>
      <c r="T964" s="10"/>
      <c r="U964" s="10" t="s">
        <v>3348</v>
      </c>
      <c r="V964" s="10" t="s">
        <v>3348</v>
      </c>
      <c r="W964" s="50">
        <f>+J964/$W$2</f>
        <v>1.1343893506858558E-4</v>
      </c>
    </row>
    <row r="965" spans="1:29">
      <c r="A965" s="10" t="s">
        <v>135</v>
      </c>
      <c r="B965" s="10" t="s">
        <v>358</v>
      </c>
      <c r="C965" s="124">
        <v>46350</v>
      </c>
      <c r="D965" s="124" t="s">
        <v>471</v>
      </c>
      <c r="E965" s="21">
        <v>0.97567503</v>
      </c>
      <c r="F965" s="10"/>
      <c r="G965" s="14">
        <v>100000000</v>
      </c>
      <c r="H965" s="14">
        <v>97567502.780000001</v>
      </c>
      <c r="I965" s="14">
        <v>100000000</v>
      </c>
      <c r="J965" s="14">
        <v>97567502.780000001</v>
      </c>
      <c r="K965" s="12">
        <v>98</v>
      </c>
      <c r="L965" s="10" t="s">
        <v>101</v>
      </c>
      <c r="M965" s="10" t="s">
        <v>102</v>
      </c>
      <c r="N965" s="124" t="s">
        <v>399</v>
      </c>
      <c r="O965" s="124" t="s">
        <v>399</v>
      </c>
      <c r="P965" s="21">
        <v>35</v>
      </c>
      <c r="Q965" s="10" t="s">
        <v>54</v>
      </c>
      <c r="R965" s="10" t="s">
        <v>28</v>
      </c>
      <c r="S965" s="10"/>
      <c r="T965" s="10"/>
      <c r="U965" s="10" t="s">
        <v>1098</v>
      </c>
      <c r="V965" s="10" t="s">
        <v>1098</v>
      </c>
      <c r="W965" s="50">
        <f>+J965/$W$2</f>
        <v>1.1940941041245884E-3</v>
      </c>
    </row>
    <row r="966" spans="1:29">
      <c r="A966" s="10" t="s">
        <v>604</v>
      </c>
      <c r="B966" s="10" t="s">
        <v>358</v>
      </c>
      <c r="C966" s="124">
        <v>46350</v>
      </c>
      <c r="D966" s="124" t="s">
        <v>471</v>
      </c>
      <c r="E966" s="21">
        <v>0.97907725999999995</v>
      </c>
      <c r="F966" s="10"/>
      <c r="G966" s="14">
        <v>8005239</v>
      </c>
      <c r="H966" s="14">
        <v>7837747.4699999997</v>
      </c>
      <c r="I966" s="14">
        <v>8005239</v>
      </c>
      <c r="J966" s="14">
        <v>7837747.4699999997</v>
      </c>
      <c r="K966" s="12">
        <v>90045282</v>
      </c>
      <c r="L966" s="10" t="s">
        <v>101</v>
      </c>
      <c r="M966" s="10" t="s">
        <v>102</v>
      </c>
      <c r="N966" s="124" t="s">
        <v>448</v>
      </c>
      <c r="O966" s="124" t="s">
        <v>448</v>
      </c>
      <c r="P966" s="21">
        <v>30</v>
      </c>
      <c r="Q966" s="10" t="s">
        <v>54</v>
      </c>
      <c r="R966" s="10" t="s">
        <v>28</v>
      </c>
      <c r="S966" s="10"/>
      <c r="T966" s="10"/>
      <c r="U966" s="10" t="s">
        <v>3165</v>
      </c>
      <c r="V966" s="10" t="s">
        <v>3165</v>
      </c>
      <c r="W966" s="50">
        <f>+J966/$W$2</f>
        <v>9.5923414834625414E-5</v>
      </c>
    </row>
    <row r="967" spans="1:29">
      <c r="A967" s="10" t="s">
        <v>596</v>
      </c>
      <c r="B967" s="10" t="s">
        <v>358</v>
      </c>
      <c r="C967" s="124">
        <v>46350</v>
      </c>
      <c r="D967" s="124" t="s">
        <v>471</v>
      </c>
      <c r="E967" s="21">
        <v>0.97771357999999997</v>
      </c>
      <c r="F967" s="10"/>
      <c r="G967" s="14">
        <v>6691520</v>
      </c>
      <c r="H967" s="14">
        <v>6542390</v>
      </c>
      <c r="I967" s="14">
        <v>6691520</v>
      </c>
      <c r="J967" s="14">
        <v>6542390</v>
      </c>
      <c r="K967" s="12">
        <v>1337</v>
      </c>
      <c r="L967" s="10" t="s">
        <v>101</v>
      </c>
      <c r="M967" s="10" t="s">
        <v>102</v>
      </c>
      <c r="N967" s="124" t="s">
        <v>445</v>
      </c>
      <c r="O967" s="124" t="s">
        <v>445</v>
      </c>
      <c r="P967" s="21">
        <v>32</v>
      </c>
      <c r="Q967" s="10" t="s">
        <v>54</v>
      </c>
      <c r="R967" s="10" t="s">
        <v>28</v>
      </c>
      <c r="S967" s="10"/>
      <c r="T967" s="10"/>
      <c r="U967" s="10" t="s">
        <v>2867</v>
      </c>
      <c r="V967" s="10" t="s">
        <v>2867</v>
      </c>
      <c r="W967" s="50">
        <f>+J967/$W$2</f>
        <v>8.0069993627889232E-5</v>
      </c>
      <c r="AC967" s="47"/>
    </row>
    <row r="968" spans="1:29">
      <c r="A968" s="10" t="s">
        <v>438</v>
      </c>
      <c r="B968" s="10" t="s">
        <v>358</v>
      </c>
      <c r="C968" s="124">
        <v>46350</v>
      </c>
      <c r="D968" s="124" t="s">
        <v>471</v>
      </c>
      <c r="E968" s="21">
        <v>0.98113011000000006</v>
      </c>
      <c r="F968" s="10"/>
      <c r="G968" s="14">
        <v>2500000</v>
      </c>
      <c r="H968" s="14">
        <v>2452825.27</v>
      </c>
      <c r="I968" s="14">
        <v>2500000</v>
      </c>
      <c r="J968" s="14">
        <v>2452825.27</v>
      </c>
      <c r="K968" s="12">
        <v>53553935</v>
      </c>
      <c r="L968" s="10" t="s">
        <v>101</v>
      </c>
      <c r="M968" s="10" t="s">
        <v>102</v>
      </c>
      <c r="N968" s="124" t="s">
        <v>477</v>
      </c>
      <c r="O968" s="124" t="s">
        <v>477</v>
      </c>
      <c r="P968" s="21">
        <v>27</v>
      </c>
      <c r="Q968" s="10" t="s">
        <v>54</v>
      </c>
      <c r="R968" s="10" t="s">
        <v>28</v>
      </c>
      <c r="S968" s="10"/>
      <c r="T968" s="10"/>
      <c r="U968" s="10" t="s">
        <v>2369</v>
      </c>
      <c r="V968" s="10" t="s">
        <v>2369</v>
      </c>
      <c r="W968" s="50">
        <f>+J968/$W$2</f>
        <v>3.0019259588502934E-5</v>
      </c>
    </row>
    <row r="969" spans="1:29">
      <c r="A969" s="10" t="s">
        <v>359</v>
      </c>
      <c r="B969" s="10" t="s">
        <v>358</v>
      </c>
      <c r="C969" s="124">
        <v>46350</v>
      </c>
      <c r="D969" s="124" t="s">
        <v>471</v>
      </c>
      <c r="E969" s="21">
        <v>0.97907728000000005</v>
      </c>
      <c r="F969" s="10"/>
      <c r="G969" s="14">
        <v>10000000</v>
      </c>
      <c r="H969" s="14">
        <v>9790772.8100000005</v>
      </c>
      <c r="I969" s="14">
        <v>10000000</v>
      </c>
      <c r="J969" s="14">
        <v>9790772.8100000005</v>
      </c>
      <c r="K969" s="12">
        <v>1401</v>
      </c>
      <c r="L969" s="10" t="s">
        <v>101</v>
      </c>
      <c r="M969" s="10" t="s">
        <v>102</v>
      </c>
      <c r="N969" s="124" t="s">
        <v>475</v>
      </c>
      <c r="O969" s="124" t="s">
        <v>475</v>
      </c>
      <c r="P969" s="21">
        <v>30</v>
      </c>
      <c r="Q969" s="10" t="s">
        <v>54</v>
      </c>
      <c r="R969" s="10" t="s">
        <v>28</v>
      </c>
      <c r="S969" s="10"/>
      <c r="T969" s="10"/>
      <c r="U969" s="10" t="s">
        <v>3346</v>
      </c>
      <c r="V969" s="10" t="s">
        <v>3346</v>
      </c>
      <c r="W969" s="50">
        <f>+J969/$W$2</f>
        <v>1.1982580012943454E-4</v>
      </c>
    </row>
    <row r="970" spans="1:29">
      <c r="A970" s="10" t="s">
        <v>359</v>
      </c>
      <c r="B970" s="10" t="s">
        <v>358</v>
      </c>
      <c r="C970" s="124">
        <v>46350</v>
      </c>
      <c r="D970" s="124" t="s">
        <v>471</v>
      </c>
      <c r="E970" s="21">
        <v>0.97907730999999998</v>
      </c>
      <c r="F970" s="10"/>
      <c r="G970" s="14">
        <v>10000000</v>
      </c>
      <c r="H970" s="14">
        <v>9790773.1300000008</v>
      </c>
      <c r="I970" s="14">
        <v>10000000</v>
      </c>
      <c r="J970" s="14">
        <v>9790773.1300000008</v>
      </c>
      <c r="K970" s="12">
        <v>1393</v>
      </c>
      <c r="L970" s="10" t="s">
        <v>101</v>
      </c>
      <c r="M970" s="10" t="s">
        <v>102</v>
      </c>
      <c r="N970" s="124" t="s">
        <v>417</v>
      </c>
      <c r="O970" s="124" t="s">
        <v>417</v>
      </c>
      <c r="P970" s="21">
        <v>30</v>
      </c>
      <c r="Q970" s="10" t="s">
        <v>54</v>
      </c>
      <c r="R970" s="10" t="s">
        <v>28</v>
      </c>
      <c r="S970" s="10"/>
      <c r="T970" s="10"/>
      <c r="U970" s="10" t="s">
        <v>3204</v>
      </c>
      <c r="V970" s="10" t="s">
        <v>3204</v>
      </c>
      <c r="W970" s="50">
        <f>+J970/$W$2</f>
        <v>1.1982580404580118E-4</v>
      </c>
    </row>
    <row r="971" spans="1:29">
      <c r="A971" s="10" t="s">
        <v>359</v>
      </c>
      <c r="B971" s="10" t="s">
        <v>358</v>
      </c>
      <c r="C971" s="124">
        <v>46350</v>
      </c>
      <c r="D971" s="124" t="s">
        <v>471</v>
      </c>
      <c r="E971" s="21">
        <v>0.97907732000000003</v>
      </c>
      <c r="F971" s="10"/>
      <c r="G971" s="14">
        <v>4000000</v>
      </c>
      <c r="H971" s="14">
        <v>3916309.28</v>
      </c>
      <c r="I971" s="14">
        <v>4000000</v>
      </c>
      <c r="J971" s="14">
        <v>3916309.28</v>
      </c>
      <c r="K971" s="12">
        <v>1354</v>
      </c>
      <c r="L971" s="10" t="s">
        <v>101</v>
      </c>
      <c r="M971" s="10" t="s">
        <v>102</v>
      </c>
      <c r="N971" s="124" t="s">
        <v>440</v>
      </c>
      <c r="O971" s="124" t="s">
        <v>440</v>
      </c>
      <c r="P971" s="21">
        <v>30</v>
      </c>
      <c r="Q971" s="10" t="s">
        <v>54</v>
      </c>
      <c r="R971" s="10" t="s">
        <v>28</v>
      </c>
      <c r="S971" s="10"/>
      <c r="T971" s="10"/>
      <c r="U971" s="10" t="s">
        <v>2689</v>
      </c>
      <c r="V971" s="10" t="s">
        <v>2689</v>
      </c>
      <c r="W971" s="50">
        <f>+J971/$W$2</f>
        <v>4.7930321961002553E-5</v>
      </c>
    </row>
    <row r="972" spans="1:29">
      <c r="A972" s="10" t="s">
        <v>943</v>
      </c>
      <c r="B972" s="10" t="s">
        <v>358</v>
      </c>
      <c r="C972" s="124">
        <v>46350</v>
      </c>
      <c r="D972" s="124" t="s">
        <v>471</v>
      </c>
      <c r="E972" s="21">
        <v>0.98044489000000001</v>
      </c>
      <c r="F972" s="10"/>
      <c r="G972" s="14">
        <v>7098063.4299999997</v>
      </c>
      <c r="H972" s="14">
        <v>6959260.0199999996</v>
      </c>
      <c r="I972" s="14">
        <v>7098063.4299999997</v>
      </c>
      <c r="J972" s="14">
        <v>6959260.0199999996</v>
      </c>
      <c r="K972" s="12">
        <v>90027050</v>
      </c>
      <c r="L972" s="10" t="s">
        <v>101</v>
      </c>
      <c r="M972" s="10" t="s">
        <v>102</v>
      </c>
      <c r="N972" s="124" t="s">
        <v>485</v>
      </c>
      <c r="O972" s="124" t="s">
        <v>485</v>
      </c>
      <c r="P972" s="21">
        <v>28</v>
      </c>
      <c r="Q972" s="10" t="s">
        <v>54</v>
      </c>
      <c r="R972" s="10" t="s">
        <v>28</v>
      </c>
      <c r="S972" s="10"/>
      <c r="T972" s="10"/>
      <c r="U972" s="10" t="s">
        <v>940</v>
      </c>
      <c r="V972" s="10" t="s">
        <v>940</v>
      </c>
      <c r="W972" s="50">
        <f>+J972/$W$2</f>
        <v>8.5171918130258861E-5</v>
      </c>
    </row>
    <row r="973" spans="1:29">
      <c r="A973" s="10" t="s">
        <v>677</v>
      </c>
      <c r="B973" s="10" t="s">
        <v>358</v>
      </c>
      <c r="C973" s="124">
        <v>46350</v>
      </c>
      <c r="D973" s="124" t="s">
        <v>471</v>
      </c>
      <c r="E973" s="21">
        <v>0.97432072000000003</v>
      </c>
      <c r="F973" s="10"/>
      <c r="G973" s="14">
        <v>25000000</v>
      </c>
      <c r="H973" s="14">
        <v>24358018.100000001</v>
      </c>
      <c r="I973" s="14">
        <v>25000000</v>
      </c>
      <c r="J973" s="14">
        <v>24358018.100000001</v>
      </c>
      <c r="K973" s="12">
        <v>2662</v>
      </c>
      <c r="L973" s="10" t="s">
        <v>101</v>
      </c>
      <c r="M973" s="10" t="s">
        <v>102</v>
      </c>
      <c r="N973" s="124" t="s">
        <v>399</v>
      </c>
      <c r="O973" s="124" t="s">
        <v>399</v>
      </c>
      <c r="P973" s="21">
        <v>37</v>
      </c>
      <c r="Q973" s="10" t="s">
        <v>54</v>
      </c>
      <c r="R973" s="10" t="s">
        <v>28</v>
      </c>
      <c r="S973" s="10"/>
      <c r="T973" s="10"/>
      <c r="U973" s="10" t="s">
        <v>1119</v>
      </c>
      <c r="V973" s="10" t="s">
        <v>1119</v>
      </c>
      <c r="W973" s="50">
        <f>+J973/$W$2</f>
        <v>2.9810915491968696E-4</v>
      </c>
    </row>
    <row r="974" spans="1:29">
      <c r="A974" s="10" t="s">
        <v>359</v>
      </c>
      <c r="B974" s="10" t="s">
        <v>358</v>
      </c>
      <c r="C974" s="124">
        <v>46350</v>
      </c>
      <c r="D974" s="124" t="s">
        <v>471</v>
      </c>
      <c r="E974" s="21">
        <v>0.97771350000000001</v>
      </c>
      <c r="F974" s="10"/>
      <c r="G974" s="14">
        <v>3000000</v>
      </c>
      <c r="H974" s="14">
        <v>2933140.51</v>
      </c>
      <c r="I974" s="14">
        <v>3000000</v>
      </c>
      <c r="J974" s="14">
        <v>2933140.51</v>
      </c>
      <c r="K974" s="12">
        <v>1061</v>
      </c>
      <c r="L974" s="10" t="s">
        <v>101</v>
      </c>
      <c r="M974" s="10" t="s">
        <v>102</v>
      </c>
      <c r="N974" s="124" t="s">
        <v>373</v>
      </c>
      <c r="O974" s="124" t="s">
        <v>373</v>
      </c>
      <c r="P974" s="21">
        <v>32</v>
      </c>
      <c r="Q974" s="10" t="s">
        <v>54</v>
      </c>
      <c r="R974" s="10" t="s">
        <v>28</v>
      </c>
      <c r="S974" s="10"/>
      <c r="T974" s="10"/>
      <c r="U974" s="10" t="s">
        <v>1140</v>
      </c>
      <c r="V974" s="10" t="s">
        <v>1140</v>
      </c>
      <c r="W974" s="50">
        <f>+J974/$W$2</f>
        <v>3.5897667663560837E-5</v>
      </c>
    </row>
    <row r="975" spans="1:29">
      <c r="A975" s="10" t="s">
        <v>359</v>
      </c>
      <c r="B975" s="10" t="s">
        <v>358</v>
      </c>
      <c r="C975" s="124">
        <v>46350</v>
      </c>
      <c r="D975" s="124" t="s">
        <v>471</v>
      </c>
      <c r="E975" s="21">
        <v>0.97703306999999995</v>
      </c>
      <c r="F975" s="10"/>
      <c r="G975" s="14">
        <v>2500000</v>
      </c>
      <c r="H975" s="14">
        <v>2442582.67</v>
      </c>
      <c r="I975" s="14">
        <v>2500000</v>
      </c>
      <c r="J975" s="14">
        <v>2442582.67</v>
      </c>
      <c r="K975" s="12">
        <v>1024</v>
      </c>
      <c r="L975" s="10" t="s">
        <v>101</v>
      </c>
      <c r="M975" s="10" t="s">
        <v>102</v>
      </c>
      <c r="N975" s="124" t="s">
        <v>161</v>
      </c>
      <c r="O975" s="124" t="s">
        <v>161</v>
      </c>
      <c r="P975" s="21">
        <v>33</v>
      </c>
      <c r="Q975" s="10" t="s">
        <v>54</v>
      </c>
      <c r="R975" s="10" t="s">
        <v>28</v>
      </c>
      <c r="S975" s="10"/>
      <c r="T975" s="10"/>
      <c r="U975" s="10" t="s">
        <v>1077</v>
      </c>
      <c r="V975" s="10" t="s">
        <v>1077</v>
      </c>
      <c r="W975" s="50">
        <f>+J975/$W$2</f>
        <v>2.9893904035450758E-5</v>
      </c>
    </row>
    <row r="976" spans="1:29">
      <c r="A976" s="10" t="s">
        <v>359</v>
      </c>
      <c r="B976" s="10" t="s">
        <v>358</v>
      </c>
      <c r="C976" s="124">
        <v>46350</v>
      </c>
      <c r="D976" s="124" t="s">
        <v>471</v>
      </c>
      <c r="E976" s="21">
        <v>0.97907730999999998</v>
      </c>
      <c r="F976" s="10"/>
      <c r="G976" s="14">
        <v>2500000</v>
      </c>
      <c r="H976" s="14">
        <v>2447693.27</v>
      </c>
      <c r="I976" s="14">
        <v>2500000</v>
      </c>
      <c r="J976" s="14">
        <v>2447693.27</v>
      </c>
      <c r="K976" s="12">
        <v>891</v>
      </c>
      <c r="L976" s="10" t="s">
        <v>101</v>
      </c>
      <c r="M976" s="10" t="s">
        <v>102</v>
      </c>
      <c r="N976" s="124" t="s">
        <v>409</v>
      </c>
      <c r="O976" s="124" t="s">
        <v>409</v>
      </c>
      <c r="P976" s="21">
        <v>30</v>
      </c>
      <c r="Q976" s="10" t="s">
        <v>54</v>
      </c>
      <c r="R976" s="10" t="s">
        <v>28</v>
      </c>
      <c r="S976" s="10"/>
      <c r="T976" s="10"/>
      <c r="U976" s="10" t="s">
        <v>904</v>
      </c>
      <c r="V976" s="10" t="s">
        <v>904</v>
      </c>
      <c r="W976" s="50">
        <f>+J976/$W$2</f>
        <v>2.9956450858467225E-5</v>
      </c>
    </row>
    <row r="977" spans="1:29">
      <c r="A977" s="10" t="s">
        <v>2440</v>
      </c>
      <c r="B977" s="10" t="s">
        <v>358</v>
      </c>
      <c r="C977" s="124">
        <v>46350</v>
      </c>
      <c r="D977" s="124" t="s">
        <v>471</v>
      </c>
      <c r="E977" s="21">
        <v>0.97976061000000003</v>
      </c>
      <c r="F977" s="10"/>
      <c r="G977" s="14">
        <v>476000</v>
      </c>
      <c r="H977" s="14">
        <v>466366.05</v>
      </c>
      <c r="I977" s="14">
        <v>476000</v>
      </c>
      <c r="J977" s="14">
        <v>466366.05</v>
      </c>
      <c r="K977" s="12">
        <v>11204217</v>
      </c>
      <c r="L977" s="10" t="s">
        <v>101</v>
      </c>
      <c r="M977" s="10" t="s">
        <v>102</v>
      </c>
      <c r="N977" s="124" t="s">
        <v>467</v>
      </c>
      <c r="O977" s="124" t="s">
        <v>467</v>
      </c>
      <c r="P977" s="21">
        <v>29</v>
      </c>
      <c r="Q977" s="10" t="s">
        <v>54</v>
      </c>
      <c r="R977" s="10" t="s">
        <v>28</v>
      </c>
      <c r="S977" s="10"/>
      <c r="T977" s="10"/>
      <c r="U977" s="10" t="s">
        <v>3731</v>
      </c>
      <c r="V977" s="10" t="s">
        <v>3731</v>
      </c>
      <c r="W977" s="50">
        <f>+J977/$W$2</f>
        <v>5.7076888800215018E-6</v>
      </c>
    </row>
    <row r="978" spans="1:29">
      <c r="A978" s="10" t="s">
        <v>2442</v>
      </c>
      <c r="B978" s="10" t="s">
        <v>358</v>
      </c>
      <c r="C978" s="124">
        <v>46350</v>
      </c>
      <c r="D978" s="124" t="s">
        <v>471</v>
      </c>
      <c r="E978" s="21">
        <v>0.97976059999999998</v>
      </c>
      <c r="F978" s="10"/>
      <c r="G978" s="14">
        <v>209488.44</v>
      </c>
      <c r="H978" s="14">
        <v>205248.52</v>
      </c>
      <c r="I978" s="14">
        <v>209488.44</v>
      </c>
      <c r="J978" s="14">
        <v>205248.52</v>
      </c>
      <c r="K978" s="12">
        <v>10287280</v>
      </c>
      <c r="L978" s="10" t="s">
        <v>101</v>
      </c>
      <c r="M978" s="10" t="s">
        <v>102</v>
      </c>
      <c r="N978" s="124" t="s">
        <v>467</v>
      </c>
      <c r="O978" s="124" t="s">
        <v>467</v>
      </c>
      <c r="P978" s="21">
        <v>29</v>
      </c>
      <c r="Q978" s="10" t="s">
        <v>54</v>
      </c>
      <c r="R978" s="10" t="s">
        <v>28</v>
      </c>
      <c r="S978" s="10"/>
      <c r="T978" s="10"/>
      <c r="U978" s="10" t="s">
        <v>3727</v>
      </c>
      <c r="V978" s="10" t="s">
        <v>3727</v>
      </c>
      <c r="W978" s="50">
        <f>+J978/$W$2</f>
        <v>2.5119639288598963E-6</v>
      </c>
    </row>
    <row r="979" spans="1:29">
      <c r="A979" s="10" t="s">
        <v>2445</v>
      </c>
      <c r="B979" s="10" t="s">
        <v>358</v>
      </c>
      <c r="C979" s="124">
        <v>46350</v>
      </c>
      <c r="D979" s="124" t="s">
        <v>471</v>
      </c>
      <c r="E979" s="21">
        <v>0.97907736999999995</v>
      </c>
      <c r="F979" s="10"/>
      <c r="G979" s="14">
        <v>285000</v>
      </c>
      <c r="H979" s="14">
        <v>279037.05</v>
      </c>
      <c r="I979" s="14">
        <v>285000</v>
      </c>
      <c r="J979" s="14">
        <v>279037.05</v>
      </c>
      <c r="K979" s="12">
        <v>10863715</v>
      </c>
      <c r="L979" s="10" t="s">
        <v>101</v>
      </c>
      <c r="M979" s="10" t="s">
        <v>102</v>
      </c>
      <c r="N979" s="124" t="s">
        <v>477</v>
      </c>
      <c r="O979" s="124" t="s">
        <v>477</v>
      </c>
      <c r="P979" s="21">
        <v>30</v>
      </c>
      <c r="Q979" s="10" t="s">
        <v>54</v>
      </c>
      <c r="R979" s="10" t="s">
        <v>28</v>
      </c>
      <c r="S979" s="10"/>
      <c r="T979" s="10"/>
      <c r="U979" s="10" t="s">
        <v>2429</v>
      </c>
      <c r="V979" s="10" t="s">
        <v>2429</v>
      </c>
      <c r="W979" s="50">
        <f>+J979/$W$2</f>
        <v>3.4150356086147434E-6</v>
      </c>
      <c r="AC979" s="47"/>
    </row>
    <row r="980" spans="1:29">
      <c r="A980" s="10" t="s">
        <v>2016</v>
      </c>
      <c r="B980" s="10" t="s">
        <v>358</v>
      </c>
      <c r="C980" s="124">
        <v>46351</v>
      </c>
      <c r="D980" s="124" t="s">
        <v>471</v>
      </c>
      <c r="E980" s="21">
        <v>0.97899855999999996</v>
      </c>
      <c r="F980" s="10"/>
      <c r="G980" s="14">
        <v>1753089</v>
      </c>
      <c r="H980" s="14">
        <v>1716271.6</v>
      </c>
      <c r="I980" s="14">
        <v>1753089</v>
      </c>
      <c r="J980" s="14">
        <v>1716271.6</v>
      </c>
      <c r="K980" s="12">
        <v>9776782</v>
      </c>
      <c r="L980" s="10" t="s">
        <v>101</v>
      </c>
      <c r="M980" s="10" t="s">
        <v>102</v>
      </c>
      <c r="N980" s="124" t="s">
        <v>469</v>
      </c>
      <c r="O980" s="124" t="s">
        <v>469</v>
      </c>
      <c r="P980" s="21">
        <v>29</v>
      </c>
      <c r="Q980" s="10" t="s">
        <v>54</v>
      </c>
      <c r="R980" s="10" t="s">
        <v>28</v>
      </c>
      <c r="S980" s="10"/>
      <c r="T980" s="10"/>
      <c r="U980" s="10" t="s">
        <v>3918</v>
      </c>
      <c r="V980" s="10" t="s">
        <v>3918</v>
      </c>
      <c r="W980" s="50">
        <f>+J980/$W$2</f>
        <v>2.1004840138806655E-5</v>
      </c>
    </row>
    <row r="981" spans="1:29">
      <c r="A981" s="10" t="s">
        <v>375</v>
      </c>
      <c r="B981" s="10" t="s">
        <v>358</v>
      </c>
      <c r="C981" s="124">
        <v>46351</v>
      </c>
      <c r="D981" s="124" t="s">
        <v>471</v>
      </c>
      <c r="E981" s="21">
        <v>0.97406064999999997</v>
      </c>
      <c r="F981" s="10"/>
      <c r="G981" s="14">
        <v>9450000</v>
      </c>
      <c r="H981" s="14">
        <v>9204873.1799999997</v>
      </c>
      <c r="I981" s="14">
        <v>9450000</v>
      </c>
      <c r="J981" s="14">
        <v>9204873.1799999997</v>
      </c>
      <c r="K981" s="12">
        <v>66335232</v>
      </c>
      <c r="L981" s="10" t="s">
        <v>101</v>
      </c>
      <c r="M981" s="10" t="s">
        <v>102</v>
      </c>
      <c r="N981" s="124" t="s">
        <v>274</v>
      </c>
      <c r="O981" s="124" t="s">
        <v>274</v>
      </c>
      <c r="P981" s="21">
        <v>36</v>
      </c>
      <c r="Q981" s="10" t="s">
        <v>54</v>
      </c>
      <c r="R981" s="10" t="s">
        <v>28</v>
      </c>
      <c r="S981" s="10"/>
      <c r="T981" s="10"/>
      <c r="U981" s="10" t="s">
        <v>460</v>
      </c>
      <c r="V981" s="10" t="s">
        <v>460</v>
      </c>
      <c r="W981" s="50">
        <f>+J981/$W$2</f>
        <v>1.1265518210747578E-4</v>
      </c>
    </row>
    <row r="982" spans="1:29">
      <c r="A982" s="10" t="s">
        <v>379</v>
      </c>
      <c r="B982" s="10" t="s">
        <v>358</v>
      </c>
      <c r="C982" s="124">
        <v>46351</v>
      </c>
      <c r="D982" s="124" t="s">
        <v>471</v>
      </c>
      <c r="E982" s="21">
        <v>0.97829009</v>
      </c>
      <c r="F982" s="10"/>
      <c r="G982" s="14">
        <v>10000000</v>
      </c>
      <c r="H982" s="14">
        <v>9782900.9399999995</v>
      </c>
      <c r="I982" s="14">
        <v>10000000</v>
      </c>
      <c r="J982" s="14">
        <v>9782900.9399999995</v>
      </c>
      <c r="K982" s="12">
        <v>8231</v>
      </c>
      <c r="L982" s="10" t="s">
        <v>101</v>
      </c>
      <c r="M982" s="10" t="s">
        <v>102</v>
      </c>
      <c r="N982" s="124" t="s">
        <v>395</v>
      </c>
      <c r="O982" s="124" t="s">
        <v>395</v>
      </c>
      <c r="P982" s="21">
        <v>30</v>
      </c>
      <c r="Q982" s="10" t="s">
        <v>54</v>
      </c>
      <c r="R982" s="10" t="s">
        <v>28</v>
      </c>
      <c r="S982" s="10"/>
      <c r="T982" s="10"/>
      <c r="U982" s="10" t="s">
        <v>1775</v>
      </c>
      <c r="V982" s="10" t="s">
        <v>1775</v>
      </c>
      <c r="W982" s="50">
        <f>+J982/$W$2</f>
        <v>1.1972945910104283E-4</v>
      </c>
    </row>
    <row r="983" spans="1:29">
      <c r="A983" s="10" t="s">
        <v>334</v>
      </c>
      <c r="B983" s="10" t="s">
        <v>358</v>
      </c>
      <c r="C983" s="124">
        <v>46351</v>
      </c>
      <c r="D983" s="124" t="s">
        <v>471</v>
      </c>
      <c r="E983" s="21">
        <v>0.97476306000000001</v>
      </c>
      <c r="F983" s="10"/>
      <c r="G983" s="14">
        <v>3841101.28</v>
      </c>
      <c r="H983" s="14">
        <v>3744163.64</v>
      </c>
      <c r="I983" s="14">
        <v>3841101.28</v>
      </c>
      <c r="J983" s="14">
        <v>3744163.64</v>
      </c>
      <c r="K983" s="12">
        <v>3361</v>
      </c>
      <c r="L983" s="10" t="s">
        <v>101</v>
      </c>
      <c r="M983" s="10" t="s">
        <v>102</v>
      </c>
      <c r="N983" s="124" t="s">
        <v>162</v>
      </c>
      <c r="O983" s="124" t="s">
        <v>162</v>
      </c>
      <c r="P983" s="21">
        <v>35</v>
      </c>
      <c r="Q983" s="10" t="s">
        <v>54</v>
      </c>
      <c r="R983" s="10" t="s">
        <v>28</v>
      </c>
      <c r="S983" s="10"/>
      <c r="T983" s="10"/>
      <c r="U983" s="10" t="s">
        <v>1253</v>
      </c>
      <c r="V983" s="10" t="s">
        <v>1253</v>
      </c>
      <c r="W983" s="50">
        <f>+J983/$W$2</f>
        <v>4.5823492454068712E-5</v>
      </c>
    </row>
    <row r="984" spans="1:29">
      <c r="A984" s="10" t="s">
        <v>334</v>
      </c>
      <c r="B984" s="10" t="s">
        <v>358</v>
      </c>
      <c r="C984" s="124">
        <v>46351</v>
      </c>
      <c r="D984" s="124" t="s">
        <v>471</v>
      </c>
      <c r="E984" s="21">
        <v>0.97476300000000005</v>
      </c>
      <c r="F984" s="10"/>
      <c r="G984" s="14">
        <v>3256800.5</v>
      </c>
      <c r="H984" s="14">
        <v>3174608.63</v>
      </c>
      <c r="I984" s="14">
        <v>3256800.5</v>
      </c>
      <c r="J984" s="14">
        <v>3174608.63</v>
      </c>
      <c r="K984" s="12">
        <v>3592</v>
      </c>
      <c r="L984" s="10" t="s">
        <v>101</v>
      </c>
      <c r="M984" s="10" t="s">
        <v>102</v>
      </c>
      <c r="N984" s="124" t="s">
        <v>397</v>
      </c>
      <c r="O984" s="124" t="s">
        <v>397</v>
      </c>
      <c r="P984" s="21">
        <v>35</v>
      </c>
      <c r="Q984" s="10" t="s">
        <v>54</v>
      </c>
      <c r="R984" s="10" t="s">
        <v>28</v>
      </c>
      <c r="S984" s="10"/>
      <c r="T984" s="10"/>
      <c r="U984" s="10" t="s">
        <v>1869</v>
      </c>
      <c r="V984" s="10" t="s">
        <v>1869</v>
      </c>
      <c r="W984" s="50">
        <f>+J984/$W$2</f>
        <v>3.8852910446357092E-5</v>
      </c>
    </row>
    <row r="985" spans="1:29">
      <c r="A985" s="10" t="s">
        <v>1827</v>
      </c>
      <c r="B985" s="10" t="s">
        <v>358</v>
      </c>
      <c r="C985" s="124">
        <v>46351</v>
      </c>
      <c r="D985" s="124" t="s">
        <v>471</v>
      </c>
      <c r="E985" s="21">
        <v>0.97617074999999998</v>
      </c>
      <c r="F985" s="10"/>
      <c r="G985" s="14">
        <v>121402.9</v>
      </c>
      <c r="H985" s="14">
        <v>118509.96</v>
      </c>
      <c r="I985" s="14">
        <v>121402.9</v>
      </c>
      <c r="J985" s="14">
        <v>118509.96</v>
      </c>
      <c r="K985" s="12">
        <v>90000511</v>
      </c>
      <c r="L985" s="10" t="s">
        <v>101</v>
      </c>
      <c r="M985" s="10" t="s">
        <v>102</v>
      </c>
      <c r="N985" s="124" t="s">
        <v>395</v>
      </c>
      <c r="O985" s="124" t="s">
        <v>395</v>
      </c>
      <c r="P985" s="21">
        <v>33</v>
      </c>
      <c r="Q985" s="10" t="s">
        <v>54</v>
      </c>
      <c r="R985" s="10" t="s">
        <v>28</v>
      </c>
      <c r="S985" s="10"/>
      <c r="T985" s="10"/>
      <c r="U985" s="10" t="s">
        <v>1798</v>
      </c>
      <c r="V985" s="10" t="s">
        <v>1798</v>
      </c>
      <c r="W985" s="50">
        <f>+J985/$W$2</f>
        <v>1.4504014193653097E-6</v>
      </c>
    </row>
    <row r="986" spans="1:29">
      <c r="A986" s="10" t="s">
        <v>1830</v>
      </c>
      <c r="B986" s="10" t="s">
        <v>358</v>
      </c>
      <c r="C986" s="124">
        <v>46351</v>
      </c>
      <c r="D986" s="124" t="s">
        <v>471</v>
      </c>
      <c r="E986" s="21">
        <v>0.97617087999999996</v>
      </c>
      <c r="F986" s="10"/>
      <c r="G986" s="14">
        <v>281718.78999999998</v>
      </c>
      <c r="H986" s="14">
        <v>275005.68</v>
      </c>
      <c r="I986" s="14">
        <v>281718.78999999998</v>
      </c>
      <c r="J986" s="14">
        <v>275005.68</v>
      </c>
      <c r="K986" s="12">
        <v>315867</v>
      </c>
      <c r="L986" s="10" t="s">
        <v>101</v>
      </c>
      <c r="M986" s="10" t="s">
        <v>102</v>
      </c>
      <c r="N986" s="124" t="s">
        <v>395</v>
      </c>
      <c r="O986" s="124" t="s">
        <v>395</v>
      </c>
      <c r="P986" s="21">
        <v>33</v>
      </c>
      <c r="Q986" s="10" t="s">
        <v>54</v>
      </c>
      <c r="R986" s="10" t="s">
        <v>28</v>
      </c>
      <c r="S986" s="10"/>
      <c r="T986" s="10"/>
      <c r="U986" s="10" t="s">
        <v>1801</v>
      </c>
      <c r="V986" s="10" t="s">
        <v>1801</v>
      </c>
      <c r="W986" s="50">
        <f>+J986/$W$2</f>
        <v>3.3656970992608734E-6</v>
      </c>
    </row>
    <row r="987" spans="1:29">
      <c r="A987" s="10" t="s">
        <v>1896</v>
      </c>
      <c r="B987" s="10" t="s">
        <v>358</v>
      </c>
      <c r="C987" s="124">
        <v>46351</v>
      </c>
      <c r="D987" s="124" t="s">
        <v>471</v>
      </c>
      <c r="E987" s="21">
        <v>0.98084530999999997</v>
      </c>
      <c r="F987" s="10"/>
      <c r="G987" s="14">
        <v>140000000</v>
      </c>
      <c r="H987" s="14">
        <v>137318343.37</v>
      </c>
      <c r="I987" s="14">
        <v>140000000</v>
      </c>
      <c r="J987" s="14">
        <v>137318343.37</v>
      </c>
      <c r="K987" s="12">
        <v>4480</v>
      </c>
      <c r="L987" s="10" t="s">
        <v>101</v>
      </c>
      <c r="M987" s="10" t="s">
        <v>102</v>
      </c>
      <c r="N987" s="124" t="s">
        <v>397</v>
      </c>
      <c r="O987" s="124" t="s">
        <v>397</v>
      </c>
      <c r="P987" s="21">
        <v>26.4</v>
      </c>
      <c r="Q987" s="10" t="s">
        <v>54</v>
      </c>
      <c r="R987" s="10" t="s">
        <v>28</v>
      </c>
      <c r="S987" s="10"/>
      <c r="T987" s="10"/>
      <c r="U987" s="10" t="s">
        <v>1841</v>
      </c>
      <c r="V987" s="10" t="s">
        <v>1841</v>
      </c>
      <c r="W987" s="50">
        <f>+J987/$W$2</f>
        <v>1.6805905607321188E-3</v>
      </c>
      <c r="AC987" s="47"/>
    </row>
    <row r="988" spans="1:29">
      <c r="A988" s="10" t="s">
        <v>2223</v>
      </c>
      <c r="B988" s="10" t="s">
        <v>358</v>
      </c>
      <c r="C988" s="124">
        <v>46351</v>
      </c>
      <c r="D988" s="124" t="s">
        <v>471</v>
      </c>
      <c r="E988" s="21">
        <v>0.97617080000000001</v>
      </c>
      <c r="F988" s="10"/>
      <c r="G988" s="14">
        <v>827834.5</v>
      </c>
      <c r="H988" s="14">
        <v>808107.87</v>
      </c>
      <c r="I988" s="14">
        <v>827834.5</v>
      </c>
      <c r="J988" s="14">
        <v>808107.87</v>
      </c>
      <c r="K988" s="12">
        <v>17414</v>
      </c>
      <c r="L988" s="10" t="s">
        <v>101</v>
      </c>
      <c r="M988" s="10" t="s">
        <v>102</v>
      </c>
      <c r="N988" s="124" t="s">
        <v>478</v>
      </c>
      <c r="O988" s="124" t="s">
        <v>478</v>
      </c>
      <c r="P988" s="21">
        <v>33</v>
      </c>
      <c r="Q988" s="10" t="s">
        <v>54</v>
      </c>
      <c r="R988" s="10" t="s">
        <v>28</v>
      </c>
      <c r="S988" s="10"/>
      <c r="T988" s="10"/>
      <c r="U988" s="10" t="s">
        <v>2204</v>
      </c>
      <c r="V988" s="10" t="s">
        <v>2204</v>
      </c>
      <c r="W988" s="50">
        <f>+J988/$W$2</f>
        <v>9.8901459560721916E-6</v>
      </c>
    </row>
    <row r="989" spans="1:29">
      <c r="A989" s="10" t="s">
        <v>2318</v>
      </c>
      <c r="B989" s="10" t="s">
        <v>358</v>
      </c>
      <c r="C989" s="124">
        <v>46351</v>
      </c>
      <c r="D989" s="124" t="s">
        <v>471</v>
      </c>
      <c r="E989" s="21">
        <v>0.97758263999999995</v>
      </c>
      <c r="F989" s="10"/>
      <c r="G989" s="14">
        <v>619400</v>
      </c>
      <c r="H989" s="14">
        <v>605514.68999999994</v>
      </c>
      <c r="I989" s="14">
        <v>619400</v>
      </c>
      <c r="J989" s="14">
        <v>605514.68999999994</v>
      </c>
      <c r="K989" s="12">
        <v>604</v>
      </c>
      <c r="L989" s="10" t="s">
        <v>101</v>
      </c>
      <c r="M989" s="10" t="s">
        <v>102</v>
      </c>
      <c r="N989" s="124" t="s">
        <v>439</v>
      </c>
      <c r="O989" s="124" t="s">
        <v>439</v>
      </c>
      <c r="P989" s="21">
        <v>31</v>
      </c>
      <c r="Q989" s="10" t="s">
        <v>54</v>
      </c>
      <c r="R989" s="10" t="s">
        <v>28</v>
      </c>
      <c r="S989" s="10"/>
      <c r="T989" s="10"/>
      <c r="U989" s="10" t="s">
        <v>2260</v>
      </c>
      <c r="V989" s="10" t="s">
        <v>2260</v>
      </c>
      <c r="W989" s="50">
        <f>+J989/$W$2</f>
        <v>7.410679792842268E-6</v>
      </c>
    </row>
    <row r="990" spans="1:29">
      <c r="A990" s="10" t="s">
        <v>1746</v>
      </c>
      <c r="B990" s="10" t="s">
        <v>358</v>
      </c>
      <c r="C990" s="124">
        <v>46351</v>
      </c>
      <c r="D990" s="124" t="s">
        <v>471</v>
      </c>
      <c r="E990" s="21">
        <v>0.97617080000000001</v>
      </c>
      <c r="F990" s="10"/>
      <c r="G990" s="14">
        <v>6590432.0999999996</v>
      </c>
      <c r="H990" s="14">
        <v>6433387.3700000001</v>
      </c>
      <c r="I990" s="14">
        <v>6590432.0999999996</v>
      </c>
      <c r="J990" s="14">
        <v>6433387.3700000001</v>
      </c>
      <c r="K990" s="12">
        <v>14100644</v>
      </c>
      <c r="L990" s="10" t="s">
        <v>101</v>
      </c>
      <c r="M990" s="10" t="s">
        <v>102</v>
      </c>
      <c r="N990" s="124" t="s">
        <v>398</v>
      </c>
      <c r="O990" s="124" t="s">
        <v>398</v>
      </c>
      <c r="P990" s="21">
        <v>33</v>
      </c>
      <c r="Q990" s="10" t="s">
        <v>54</v>
      </c>
      <c r="R990" s="10" t="s">
        <v>28</v>
      </c>
      <c r="S990" s="10"/>
      <c r="T990" s="10"/>
      <c r="U990" s="10" t="s">
        <v>1665</v>
      </c>
      <c r="V990" s="10" t="s">
        <v>1665</v>
      </c>
      <c r="W990" s="50">
        <f>+J990/$W$2</f>
        <v>7.8735949052508806E-5</v>
      </c>
    </row>
    <row r="991" spans="1:29">
      <c r="A991" s="10" t="s">
        <v>453</v>
      </c>
      <c r="B991" s="10" t="s">
        <v>358</v>
      </c>
      <c r="C991" s="124">
        <v>46351</v>
      </c>
      <c r="D991" s="124" t="s">
        <v>471</v>
      </c>
      <c r="E991" s="21">
        <v>0.97970802000000001</v>
      </c>
      <c r="F991" s="10"/>
      <c r="G991" s="14">
        <v>25000000</v>
      </c>
      <c r="H991" s="14">
        <v>24492700.48</v>
      </c>
      <c r="I991" s="14">
        <v>25000000</v>
      </c>
      <c r="J991" s="14">
        <v>24492700.48</v>
      </c>
      <c r="K991" s="12">
        <v>69915720</v>
      </c>
      <c r="L991" s="10" t="s">
        <v>101</v>
      </c>
      <c r="M991" s="10" t="s">
        <v>102</v>
      </c>
      <c r="N991" s="124" t="s">
        <v>478</v>
      </c>
      <c r="O991" s="124" t="s">
        <v>478</v>
      </c>
      <c r="P991" s="21">
        <v>28</v>
      </c>
      <c r="Q991" s="10" t="s">
        <v>54</v>
      </c>
      <c r="R991" s="10" t="s">
        <v>28</v>
      </c>
      <c r="S991" s="10"/>
      <c r="T991" s="10"/>
      <c r="U991" s="10" t="s">
        <v>2205</v>
      </c>
      <c r="V991" s="10" t="s">
        <v>2205</v>
      </c>
      <c r="W991" s="50">
        <f>+J991/$W$2</f>
        <v>2.997574848584997E-4</v>
      </c>
    </row>
    <row r="992" spans="1:29">
      <c r="A992" s="10" t="s">
        <v>794</v>
      </c>
      <c r="B992" s="10" t="s">
        <v>358</v>
      </c>
      <c r="C992" s="124">
        <v>46351</v>
      </c>
      <c r="D992" s="124" t="s">
        <v>471</v>
      </c>
      <c r="E992" s="21">
        <v>0.97617074000000004</v>
      </c>
      <c r="F992" s="10"/>
      <c r="G992" s="14">
        <v>5898583.8099999996</v>
      </c>
      <c r="H992" s="14">
        <v>5758024.9000000004</v>
      </c>
      <c r="I992" s="14">
        <v>5898583.8099999996</v>
      </c>
      <c r="J992" s="14">
        <v>5758024.9000000004</v>
      </c>
      <c r="K992" s="12">
        <v>10180817</v>
      </c>
      <c r="L992" s="10" t="s">
        <v>101</v>
      </c>
      <c r="M992" s="10" t="s">
        <v>102</v>
      </c>
      <c r="N992" s="124" t="s">
        <v>343</v>
      </c>
      <c r="O992" s="124" t="s">
        <v>343</v>
      </c>
      <c r="P992" s="21">
        <v>33</v>
      </c>
      <c r="Q992" s="10" t="s">
        <v>54</v>
      </c>
      <c r="R992" s="10" t="s">
        <v>28</v>
      </c>
      <c r="S992" s="10"/>
      <c r="T992" s="10"/>
      <c r="U992" s="10" t="s">
        <v>792</v>
      </c>
      <c r="V992" s="10" t="s">
        <v>792</v>
      </c>
      <c r="W992" s="50">
        <f>+J992/$W$2</f>
        <v>7.0470427023186879E-5</v>
      </c>
    </row>
    <row r="993" spans="1:29">
      <c r="A993" s="10" t="s">
        <v>794</v>
      </c>
      <c r="B993" s="10" t="s">
        <v>358</v>
      </c>
      <c r="C993" s="124">
        <v>46351</v>
      </c>
      <c r="D993" s="124" t="s">
        <v>471</v>
      </c>
      <c r="E993" s="21">
        <v>0.97617074000000004</v>
      </c>
      <c r="F993" s="10"/>
      <c r="G993" s="14">
        <v>2900162.75</v>
      </c>
      <c r="H993" s="14">
        <v>2831054.03</v>
      </c>
      <c r="I993" s="14">
        <v>2900162.75</v>
      </c>
      <c r="J993" s="14">
        <v>2831054.03</v>
      </c>
      <c r="K993" s="12">
        <v>10180818</v>
      </c>
      <c r="L993" s="10" t="s">
        <v>101</v>
      </c>
      <c r="M993" s="10" t="s">
        <v>102</v>
      </c>
      <c r="N993" s="124" t="s">
        <v>347</v>
      </c>
      <c r="O993" s="124" t="s">
        <v>347</v>
      </c>
      <c r="P993" s="21">
        <v>33</v>
      </c>
      <c r="Q993" s="10" t="s">
        <v>54</v>
      </c>
      <c r="R993" s="10" t="s">
        <v>28</v>
      </c>
      <c r="S993" s="10"/>
      <c r="T993" s="10"/>
      <c r="U993" s="10" t="s">
        <v>807</v>
      </c>
      <c r="V993" s="10" t="s">
        <v>807</v>
      </c>
      <c r="W993" s="50">
        <f>+J993/$W$2</f>
        <v>3.4648267398047217E-5</v>
      </c>
    </row>
    <row r="994" spans="1:29">
      <c r="A994" s="10" t="s">
        <v>453</v>
      </c>
      <c r="B994" s="10" t="s">
        <v>358</v>
      </c>
      <c r="C994" s="124">
        <v>46351</v>
      </c>
      <c r="D994" s="124" t="s">
        <v>471</v>
      </c>
      <c r="E994" s="21">
        <v>0.97899849999999999</v>
      </c>
      <c r="F994" s="10"/>
      <c r="G994" s="14">
        <v>30000000</v>
      </c>
      <c r="H994" s="14">
        <v>29369954.989999998</v>
      </c>
      <c r="I994" s="14">
        <v>30000000</v>
      </c>
      <c r="J994" s="14">
        <v>29369954.989999998</v>
      </c>
      <c r="K994" s="12">
        <v>67</v>
      </c>
      <c r="L994" s="10" t="s">
        <v>101</v>
      </c>
      <c r="M994" s="10" t="s">
        <v>102</v>
      </c>
      <c r="N994" s="124" t="s">
        <v>268</v>
      </c>
      <c r="O994" s="124" t="s">
        <v>268</v>
      </c>
      <c r="P994" s="21">
        <v>29</v>
      </c>
      <c r="Q994" s="10" t="s">
        <v>54</v>
      </c>
      <c r="R994" s="10" t="s">
        <v>28</v>
      </c>
      <c r="S994" s="10"/>
      <c r="T994" s="10"/>
      <c r="U994" s="10" t="s">
        <v>531</v>
      </c>
      <c r="V994" s="10" t="s">
        <v>531</v>
      </c>
      <c r="W994" s="50">
        <f>+J994/$W$2</f>
        <v>3.5944847508337071E-4</v>
      </c>
    </row>
    <row r="995" spans="1:29">
      <c r="A995" s="10" t="s">
        <v>206</v>
      </c>
      <c r="B995" s="10" t="s">
        <v>358</v>
      </c>
      <c r="C995" s="124">
        <v>46351</v>
      </c>
      <c r="D995" s="124" t="s">
        <v>471</v>
      </c>
      <c r="E995" s="21">
        <v>0.97617076999999997</v>
      </c>
      <c r="F995" s="10"/>
      <c r="G995" s="14">
        <v>2170000</v>
      </c>
      <c r="H995" s="14">
        <v>2118290.56</v>
      </c>
      <c r="I995" s="14">
        <v>2170000</v>
      </c>
      <c r="J995" s="14">
        <v>2118290.56</v>
      </c>
      <c r="K995" s="12">
        <v>260737</v>
      </c>
      <c r="L995" s="10" t="s">
        <v>101</v>
      </c>
      <c r="M995" s="10" t="s">
        <v>102</v>
      </c>
      <c r="N995" s="124" t="s">
        <v>479</v>
      </c>
      <c r="O995" s="124" t="s">
        <v>479</v>
      </c>
      <c r="P995" s="21">
        <v>33</v>
      </c>
      <c r="Q995" s="10" t="s">
        <v>54</v>
      </c>
      <c r="R995" s="10" t="s">
        <v>28</v>
      </c>
      <c r="S995" s="10"/>
      <c r="T995" s="10"/>
      <c r="U995" s="10" t="s">
        <v>1206</v>
      </c>
      <c r="V995" s="10" t="s">
        <v>1206</v>
      </c>
      <c r="W995" s="50">
        <f>+J995/$W$2</f>
        <v>2.5925007778689124E-5</v>
      </c>
    </row>
    <row r="996" spans="1:29">
      <c r="A996" s="10" t="s">
        <v>983</v>
      </c>
      <c r="B996" s="10" t="s">
        <v>358</v>
      </c>
      <c r="C996" s="124">
        <v>46351</v>
      </c>
      <c r="D996" s="124" t="s">
        <v>471</v>
      </c>
      <c r="E996" s="21">
        <v>0.97970798000000003</v>
      </c>
      <c r="F996" s="10"/>
      <c r="G996" s="14">
        <v>150000000</v>
      </c>
      <c r="H996" s="14">
        <v>146956197.41999999</v>
      </c>
      <c r="I996" s="14">
        <v>150000000</v>
      </c>
      <c r="J996" s="14">
        <v>146956197.41999999</v>
      </c>
      <c r="K996" s="12">
        <v>78</v>
      </c>
      <c r="L996" s="10" t="s">
        <v>101</v>
      </c>
      <c r="M996" s="10" t="s">
        <v>102</v>
      </c>
      <c r="N996" s="124" t="s">
        <v>389</v>
      </c>
      <c r="O996" s="124" t="s">
        <v>389</v>
      </c>
      <c r="P996" s="21">
        <v>28</v>
      </c>
      <c r="Q996" s="10" t="s">
        <v>54</v>
      </c>
      <c r="R996" s="10" t="s">
        <v>28</v>
      </c>
      <c r="S996" s="10"/>
      <c r="T996" s="10"/>
      <c r="U996" s="10" t="s">
        <v>976</v>
      </c>
      <c r="V996" s="10" t="s">
        <v>976</v>
      </c>
      <c r="W996" s="50">
        <f>+J996/$W$2</f>
        <v>1.7985448423279921E-3</v>
      </c>
    </row>
    <row r="997" spans="1:29">
      <c r="A997" s="10" t="s">
        <v>2487</v>
      </c>
      <c r="B997" s="10" t="s">
        <v>358</v>
      </c>
      <c r="C997" s="124">
        <v>46351</v>
      </c>
      <c r="D997" s="124" t="s">
        <v>471</v>
      </c>
      <c r="E997" s="21">
        <v>0.97687630000000003</v>
      </c>
      <c r="F997" s="10"/>
      <c r="G997" s="14">
        <v>75000000</v>
      </c>
      <c r="H997" s="14">
        <v>73265722.75</v>
      </c>
      <c r="I997" s="14">
        <v>75000000</v>
      </c>
      <c r="J997" s="14">
        <v>73265722.75</v>
      </c>
      <c r="K997" s="12">
        <v>3502</v>
      </c>
      <c r="L997" s="10" t="s">
        <v>101</v>
      </c>
      <c r="M997" s="10" t="s">
        <v>102</v>
      </c>
      <c r="N997" s="124" t="s">
        <v>466</v>
      </c>
      <c r="O997" s="124" t="s">
        <v>466</v>
      </c>
      <c r="P997" s="21">
        <v>32</v>
      </c>
      <c r="Q997" s="10" t="s">
        <v>54</v>
      </c>
      <c r="R997" s="10" t="s">
        <v>28</v>
      </c>
      <c r="S997" s="10"/>
      <c r="T997" s="10"/>
      <c r="U997" s="10" t="s">
        <v>3659</v>
      </c>
      <c r="V997" s="10" t="s">
        <v>3659</v>
      </c>
      <c r="W997" s="50">
        <f>+J997/$W$2</f>
        <v>8.9667322702180691E-4</v>
      </c>
    </row>
    <row r="998" spans="1:29">
      <c r="A998" s="10" t="s">
        <v>265</v>
      </c>
      <c r="B998" s="10" t="s">
        <v>358</v>
      </c>
      <c r="C998" s="124">
        <v>46351</v>
      </c>
      <c r="D998" s="124" t="s">
        <v>471</v>
      </c>
      <c r="E998" s="21">
        <v>0.97970796999999998</v>
      </c>
      <c r="F998" s="10"/>
      <c r="G998" s="14">
        <v>50000000</v>
      </c>
      <c r="H998" s="14">
        <v>48985398.719999999</v>
      </c>
      <c r="I998" s="14">
        <v>50000000</v>
      </c>
      <c r="J998" s="14">
        <v>48985398.719999999</v>
      </c>
      <c r="K998" s="12">
        <v>29757440</v>
      </c>
      <c r="L998" s="10" t="s">
        <v>101</v>
      </c>
      <c r="M998" s="10" t="s">
        <v>102</v>
      </c>
      <c r="N998" s="124" t="s">
        <v>347</v>
      </c>
      <c r="O998" s="124" t="s">
        <v>347</v>
      </c>
      <c r="P998" s="21">
        <v>28</v>
      </c>
      <c r="Q998" s="10" t="s">
        <v>54</v>
      </c>
      <c r="R998" s="10" t="s">
        <v>28</v>
      </c>
      <c r="S998" s="10"/>
      <c r="T998" s="10"/>
      <c r="U998" s="10" t="s">
        <v>814</v>
      </c>
      <c r="V998" s="10" t="s">
        <v>814</v>
      </c>
      <c r="W998" s="50">
        <f>+J998/$W$2</f>
        <v>5.995149423024328E-4</v>
      </c>
    </row>
    <row r="999" spans="1:29">
      <c r="A999" s="10" t="s">
        <v>984</v>
      </c>
      <c r="B999" s="10" t="s">
        <v>358</v>
      </c>
      <c r="C999" s="124">
        <v>46351</v>
      </c>
      <c r="D999" s="124" t="s">
        <v>471</v>
      </c>
      <c r="E999" s="21">
        <v>0.97970798000000003</v>
      </c>
      <c r="F999" s="10"/>
      <c r="G999" s="14">
        <v>150000000</v>
      </c>
      <c r="H999" s="14">
        <v>146956197.41999999</v>
      </c>
      <c r="I999" s="14">
        <v>150000000</v>
      </c>
      <c r="J999" s="14">
        <v>146956197.41999999</v>
      </c>
      <c r="K999" s="12">
        <v>90000173</v>
      </c>
      <c r="L999" s="10" t="s">
        <v>101</v>
      </c>
      <c r="M999" s="10" t="s">
        <v>102</v>
      </c>
      <c r="N999" s="124" t="s">
        <v>389</v>
      </c>
      <c r="O999" s="124" t="s">
        <v>389</v>
      </c>
      <c r="P999" s="21">
        <v>28</v>
      </c>
      <c r="Q999" s="10" t="s">
        <v>54</v>
      </c>
      <c r="R999" s="10" t="s">
        <v>28</v>
      </c>
      <c r="S999" s="10"/>
      <c r="T999" s="10"/>
      <c r="U999" s="10" t="s">
        <v>968</v>
      </c>
      <c r="V999" s="10" t="s">
        <v>968</v>
      </c>
      <c r="W999" s="50">
        <f>+J999/$W$2</f>
        <v>1.7985448423279921E-3</v>
      </c>
    </row>
    <row r="1000" spans="1:29">
      <c r="A1000" s="10" t="s">
        <v>1395</v>
      </c>
      <c r="B1000" s="10" t="s">
        <v>358</v>
      </c>
      <c r="C1000" s="124">
        <v>46351</v>
      </c>
      <c r="D1000" s="124" t="s">
        <v>471</v>
      </c>
      <c r="E1000" s="21">
        <v>0.97476300999999999</v>
      </c>
      <c r="F1000" s="10"/>
      <c r="G1000" s="14">
        <v>35000000</v>
      </c>
      <c r="H1000" s="14">
        <v>34116705.479999997</v>
      </c>
      <c r="I1000" s="14">
        <v>35000000</v>
      </c>
      <c r="J1000" s="14">
        <v>34116705.479999997</v>
      </c>
      <c r="K1000" s="12">
        <v>325</v>
      </c>
      <c r="L1000" s="10" t="s">
        <v>101</v>
      </c>
      <c r="M1000" s="10" t="s">
        <v>102</v>
      </c>
      <c r="N1000" s="124" t="s">
        <v>396</v>
      </c>
      <c r="O1000" s="124" t="s">
        <v>396</v>
      </c>
      <c r="P1000" s="21">
        <v>35</v>
      </c>
      <c r="Q1000" s="10" t="s">
        <v>54</v>
      </c>
      <c r="R1000" s="10" t="s">
        <v>28</v>
      </c>
      <c r="S1000" s="10"/>
      <c r="T1000" s="10"/>
      <c r="U1000" s="10" t="s">
        <v>1391</v>
      </c>
      <c r="V1000" s="10" t="s">
        <v>1391</v>
      </c>
      <c r="W1000" s="50">
        <f>+J1000/$W$2</f>
        <v>4.1754227283732301E-4</v>
      </c>
    </row>
    <row r="1001" spans="1:29">
      <c r="A1001" s="10" t="s">
        <v>3166</v>
      </c>
      <c r="B1001" s="10" t="s">
        <v>358</v>
      </c>
      <c r="C1001" s="124">
        <v>46351</v>
      </c>
      <c r="D1001" s="124" t="s">
        <v>471</v>
      </c>
      <c r="E1001" s="21">
        <v>0.97829014999999997</v>
      </c>
      <c r="F1001" s="10"/>
      <c r="G1001" s="14">
        <v>4175312.5</v>
      </c>
      <c r="H1001" s="14">
        <v>4084667.09</v>
      </c>
      <c r="I1001" s="14">
        <v>4175312.5</v>
      </c>
      <c r="J1001" s="14">
        <v>4084667.09</v>
      </c>
      <c r="K1001" s="12">
        <v>40952725</v>
      </c>
      <c r="L1001" s="10" t="s">
        <v>101</v>
      </c>
      <c r="M1001" s="10" t="s">
        <v>102</v>
      </c>
      <c r="N1001" s="124" t="s">
        <v>448</v>
      </c>
      <c r="O1001" s="124" t="s">
        <v>448</v>
      </c>
      <c r="P1001" s="21">
        <v>30</v>
      </c>
      <c r="Q1001" s="10" t="s">
        <v>54</v>
      </c>
      <c r="R1001" s="10" t="s">
        <v>28</v>
      </c>
      <c r="S1001" s="10"/>
      <c r="T1001" s="10"/>
      <c r="U1001" s="10" t="s">
        <v>3122</v>
      </c>
      <c r="V1001" s="10" t="s">
        <v>3122</v>
      </c>
      <c r="W1001" s="50">
        <f>+J1001/$W$2</f>
        <v>4.9990793558370695E-5</v>
      </c>
    </row>
    <row r="1002" spans="1:29">
      <c r="A1002" s="10" t="s">
        <v>2435</v>
      </c>
      <c r="B1002" s="10" t="s">
        <v>358</v>
      </c>
      <c r="C1002" s="124">
        <v>46351</v>
      </c>
      <c r="D1002" s="124" t="s">
        <v>471</v>
      </c>
      <c r="E1002" s="21">
        <v>0.97899857999999995</v>
      </c>
      <c r="F1002" s="10"/>
      <c r="G1002" s="14">
        <v>450000</v>
      </c>
      <c r="H1002" s="14">
        <v>440549.36</v>
      </c>
      <c r="I1002" s="14">
        <v>450000</v>
      </c>
      <c r="J1002" s="14">
        <v>440549.36</v>
      </c>
      <c r="K1002" s="12">
        <v>11456505</v>
      </c>
      <c r="L1002" s="10" t="s">
        <v>101</v>
      </c>
      <c r="M1002" s="10" t="s">
        <v>102</v>
      </c>
      <c r="N1002" s="124" t="s">
        <v>469</v>
      </c>
      <c r="O1002" s="124" t="s">
        <v>469</v>
      </c>
      <c r="P1002" s="21">
        <v>29</v>
      </c>
      <c r="Q1002" s="10" t="s">
        <v>54</v>
      </c>
      <c r="R1002" s="10" t="s">
        <v>28</v>
      </c>
      <c r="S1002" s="10"/>
      <c r="T1002" s="10"/>
      <c r="U1002" s="10" t="s">
        <v>4034</v>
      </c>
      <c r="V1002" s="10" t="s">
        <v>4034</v>
      </c>
      <c r="W1002" s="50">
        <f>+J1002/$W$2</f>
        <v>5.3917275564389587E-6</v>
      </c>
    </row>
    <row r="1003" spans="1:29">
      <c r="A1003" s="10" t="s">
        <v>623</v>
      </c>
      <c r="B1003" s="10" t="s">
        <v>358</v>
      </c>
      <c r="C1003" s="124">
        <v>46351</v>
      </c>
      <c r="D1003" s="124" t="s">
        <v>471</v>
      </c>
      <c r="E1003" s="21">
        <v>0.97687617000000004</v>
      </c>
      <c r="F1003" s="10"/>
      <c r="G1003" s="14">
        <v>5000000</v>
      </c>
      <c r="H1003" s="14">
        <v>4884380.83</v>
      </c>
      <c r="I1003" s="14">
        <v>5000000</v>
      </c>
      <c r="J1003" s="14">
        <v>4884380.83</v>
      </c>
      <c r="K1003" s="12">
        <v>60</v>
      </c>
      <c r="L1003" s="10" t="s">
        <v>101</v>
      </c>
      <c r="M1003" s="10" t="s">
        <v>102</v>
      </c>
      <c r="N1003" s="124" t="s">
        <v>450</v>
      </c>
      <c r="O1003" s="124" t="s">
        <v>450</v>
      </c>
      <c r="P1003" s="21">
        <v>32</v>
      </c>
      <c r="Q1003" s="10" t="s">
        <v>54</v>
      </c>
      <c r="R1003" s="10" t="s">
        <v>28</v>
      </c>
      <c r="S1003" s="10"/>
      <c r="T1003" s="10"/>
      <c r="U1003" s="10" t="s">
        <v>3426</v>
      </c>
      <c r="V1003" s="10" t="s">
        <v>3426</v>
      </c>
      <c r="W1003" s="50">
        <f>+J1003/$W$2</f>
        <v>5.9778206730917042E-5</v>
      </c>
    </row>
    <row r="1004" spans="1:29">
      <c r="A1004" s="10" t="s">
        <v>768</v>
      </c>
      <c r="B1004" s="10" t="s">
        <v>358</v>
      </c>
      <c r="C1004" s="124">
        <v>46351</v>
      </c>
      <c r="D1004" s="124" t="s">
        <v>471</v>
      </c>
      <c r="E1004" s="21">
        <v>0.97617074999999998</v>
      </c>
      <c r="F1004" s="10"/>
      <c r="G1004" s="14">
        <v>15040535.109999999</v>
      </c>
      <c r="H1004" s="14">
        <v>14682130.43</v>
      </c>
      <c r="I1004" s="14">
        <v>15040535.109999999</v>
      </c>
      <c r="J1004" s="14">
        <v>14682130.43</v>
      </c>
      <c r="K1004" s="12">
        <v>29717250</v>
      </c>
      <c r="L1004" s="10" t="s">
        <v>101</v>
      </c>
      <c r="M1004" s="10" t="s">
        <v>102</v>
      </c>
      <c r="N1004" s="124" t="s">
        <v>154</v>
      </c>
      <c r="O1004" s="124" t="s">
        <v>154</v>
      </c>
      <c r="P1004" s="21">
        <v>33</v>
      </c>
      <c r="Q1004" s="10" t="s">
        <v>54</v>
      </c>
      <c r="R1004" s="10" t="s">
        <v>28</v>
      </c>
      <c r="S1004" s="10"/>
      <c r="T1004" s="10"/>
      <c r="U1004" s="10" t="s">
        <v>764</v>
      </c>
      <c r="V1004" s="10" t="s">
        <v>764</v>
      </c>
      <c r="W1004" s="50">
        <f>+J1004/$W$2</f>
        <v>1.7968939332169723E-4</v>
      </c>
    </row>
    <row r="1005" spans="1:29">
      <c r="A1005" s="10" t="s">
        <v>220</v>
      </c>
      <c r="B1005" s="10" t="s">
        <v>358</v>
      </c>
      <c r="C1005" s="124">
        <v>46351</v>
      </c>
      <c r="D1005" s="124" t="s">
        <v>471</v>
      </c>
      <c r="E1005" s="21">
        <v>0.97617080000000001</v>
      </c>
      <c r="F1005" s="10"/>
      <c r="G1005" s="14">
        <v>25000000</v>
      </c>
      <c r="H1005" s="14">
        <v>24404270.059999999</v>
      </c>
      <c r="I1005" s="14">
        <v>25000000</v>
      </c>
      <c r="J1005" s="14">
        <v>24404270.059999999</v>
      </c>
      <c r="K1005" s="12">
        <v>475885</v>
      </c>
      <c r="L1005" s="10" t="s">
        <v>101</v>
      </c>
      <c r="M1005" s="10" t="s">
        <v>102</v>
      </c>
      <c r="N1005" s="124" t="s">
        <v>332</v>
      </c>
      <c r="O1005" s="124" t="s">
        <v>332</v>
      </c>
      <c r="P1005" s="21">
        <v>33</v>
      </c>
      <c r="Q1005" s="10" t="s">
        <v>54</v>
      </c>
      <c r="R1005" s="10" t="s">
        <v>28</v>
      </c>
      <c r="S1005" s="10"/>
      <c r="T1005" s="10"/>
      <c r="U1005" s="10" t="s">
        <v>920</v>
      </c>
      <c r="V1005" s="10" t="s">
        <v>920</v>
      </c>
      <c r="W1005" s="50">
        <f>+J1005/$W$2</f>
        <v>2.9867521627379107E-4</v>
      </c>
    </row>
    <row r="1006" spans="1:29">
      <c r="A1006" s="10" t="s">
        <v>1310</v>
      </c>
      <c r="B1006" s="10" t="s">
        <v>358</v>
      </c>
      <c r="C1006" s="124">
        <v>46351</v>
      </c>
      <c r="D1006" s="124" t="s">
        <v>471</v>
      </c>
      <c r="E1006" s="21">
        <v>0.97406071000000005</v>
      </c>
      <c r="F1006" s="10"/>
      <c r="G1006" s="14">
        <v>30000000</v>
      </c>
      <c r="H1006" s="14">
        <v>29221821.27</v>
      </c>
      <c r="I1006" s="14">
        <v>30000000</v>
      </c>
      <c r="J1006" s="14">
        <v>29221821.27</v>
      </c>
      <c r="K1006" s="12">
        <v>10978201</v>
      </c>
      <c r="L1006" s="10" t="s">
        <v>101</v>
      </c>
      <c r="M1006" s="10" t="s">
        <v>102</v>
      </c>
      <c r="N1006" s="124" t="s">
        <v>162</v>
      </c>
      <c r="O1006" s="124" t="s">
        <v>162</v>
      </c>
      <c r="P1006" s="21">
        <v>36</v>
      </c>
      <c r="Q1006" s="10" t="s">
        <v>54</v>
      </c>
      <c r="R1006" s="10" t="s">
        <v>28</v>
      </c>
      <c r="S1006" s="10"/>
      <c r="T1006" s="10"/>
      <c r="U1006" s="10" t="s">
        <v>1298</v>
      </c>
      <c r="V1006" s="10" t="s">
        <v>1298</v>
      </c>
      <c r="W1006" s="50">
        <f>+J1006/$W$2</f>
        <v>3.5763551895931278E-4</v>
      </c>
      <c r="AC1006" s="47"/>
    </row>
    <row r="1007" spans="1:29">
      <c r="A1007" s="10" t="s">
        <v>507</v>
      </c>
      <c r="B1007" s="10" t="s">
        <v>358</v>
      </c>
      <c r="C1007" s="124">
        <v>46351</v>
      </c>
      <c r="D1007" s="124" t="s">
        <v>471</v>
      </c>
      <c r="E1007" s="21">
        <v>0.97617074000000004</v>
      </c>
      <c r="F1007" s="10"/>
      <c r="G1007" s="14">
        <v>6744589.1799999997</v>
      </c>
      <c r="H1007" s="14">
        <v>6583870.5899999999</v>
      </c>
      <c r="I1007" s="14">
        <v>6744589.1799999997</v>
      </c>
      <c r="J1007" s="14">
        <v>6583870.5899999999</v>
      </c>
      <c r="K1007" s="12">
        <v>14564375</v>
      </c>
      <c r="L1007" s="10" t="s">
        <v>101</v>
      </c>
      <c r="M1007" s="10" t="s">
        <v>102</v>
      </c>
      <c r="N1007" s="124" t="s">
        <v>576</v>
      </c>
      <c r="O1007" s="124" t="s">
        <v>576</v>
      </c>
      <c r="P1007" s="21">
        <v>33</v>
      </c>
      <c r="Q1007" s="10" t="s">
        <v>54</v>
      </c>
      <c r="R1007" s="10" t="s">
        <v>28</v>
      </c>
      <c r="S1007" s="10"/>
      <c r="T1007" s="10"/>
      <c r="U1007" s="10" t="s">
        <v>2340</v>
      </c>
      <c r="V1007" s="10" t="s">
        <v>2340</v>
      </c>
      <c r="W1007" s="50">
        <f>+J1007/$W$2</f>
        <v>8.0577659874777769E-5</v>
      </c>
    </row>
    <row r="1008" spans="1:29">
      <c r="A1008" s="10" t="s">
        <v>507</v>
      </c>
      <c r="B1008" s="10" t="s">
        <v>358</v>
      </c>
      <c r="C1008" s="124">
        <v>46351</v>
      </c>
      <c r="D1008" s="124" t="s">
        <v>471</v>
      </c>
      <c r="E1008" s="21">
        <v>0.97617083000000004</v>
      </c>
      <c r="F1008" s="10"/>
      <c r="G1008" s="14">
        <v>5158240.3899999997</v>
      </c>
      <c r="H1008" s="14">
        <v>5035323.8099999996</v>
      </c>
      <c r="I1008" s="14">
        <v>5158240.3899999997</v>
      </c>
      <c r="J1008" s="14">
        <v>5035323.8099999996</v>
      </c>
      <c r="K1008" s="12">
        <v>14564487</v>
      </c>
      <c r="L1008" s="10" t="s">
        <v>101</v>
      </c>
      <c r="M1008" s="10" t="s">
        <v>102</v>
      </c>
      <c r="N1008" s="124" t="s">
        <v>413</v>
      </c>
      <c r="O1008" s="124" t="s">
        <v>413</v>
      </c>
      <c r="P1008" s="21">
        <v>33</v>
      </c>
      <c r="Q1008" s="10" t="s">
        <v>54</v>
      </c>
      <c r="R1008" s="10" t="s">
        <v>28</v>
      </c>
      <c r="S1008" s="10"/>
      <c r="T1008" s="10"/>
      <c r="U1008" s="10" t="s">
        <v>2898</v>
      </c>
      <c r="V1008" s="10" t="s">
        <v>2898</v>
      </c>
      <c r="W1008" s="50">
        <f>+J1008/$W$2</f>
        <v>6.1625544392960202E-5</v>
      </c>
    </row>
    <row r="1009" spans="1:30">
      <c r="A1009" s="10" t="s">
        <v>524</v>
      </c>
      <c r="B1009" s="10" t="s">
        <v>358</v>
      </c>
      <c r="C1009" s="124">
        <v>46351</v>
      </c>
      <c r="D1009" s="124" t="s">
        <v>471</v>
      </c>
      <c r="E1009" s="21">
        <v>0.97546641000000001</v>
      </c>
      <c r="F1009" s="10"/>
      <c r="G1009" s="14">
        <v>5000300.25</v>
      </c>
      <c r="H1009" s="14">
        <v>4877624.9400000004</v>
      </c>
      <c r="I1009" s="14">
        <v>5000300.25</v>
      </c>
      <c r="J1009" s="14">
        <v>4877624.9400000004</v>
      </c>
      <c r="K1009" s="12">
        <v>361</v>
      </c>
      <c r="L1009" s="10" t="s">
        <v>101</v>
      </c>
      <c r="M1009" s="10" t="s">
        <v>102</v>
      </c>
      <c r="N1009" s="124" t="s">
        <v>313</v>
      </c>
      <c r="O1009" s="124" t="s">
        <v>313</v>
      </c>
      <c r="P1009" s="21">
        <v>34</v>
      </c>
      <c r="Q1009" s="10" t="s">
        <v>54</v>
      </c>
      <c r="R1009" s="10" t="s">
        <v>28</v>
      </c>
      <c r="S1009" s="10"/>
      <c r="T1009" s="10"/>
      <c r="U1009" s="10" t="s">
        <v>724</v>
      </c>
      <c r="V1009" s="10" t="s">
        <v>724</v>
      </c>
      <c r="W1009" s="50">
        <f>+J1009/$W$2</f>
        <v>5.9695523786419589E-5</v>
      </c>
    </row>
    <row r="1010" spans="1:30">
      <c r="A1010" s="10" t="s">
        <v>295</v>
      </c>
      <c r="B1010" s="10" t="s">
        <v>358</v>
      </c>
      <c r="C1010" s="124">
        <v>46351</v>
      </c>
      <c r="D1010" s="124" t="s">
        <v>471</v>
      </c>
      <c r="E1010" s="21">
        <v>0.98542121000000005</v>
      </c>
      <c r="F1010" s="10"/>
      <c r="G1010" s="14">
        <v>8500000</v>
      </c>
      <c r="H1010" s="14">
        <v>8376080.2599999998</v>
      </c>
      <c r="I1010" s="14">
        <v>8500000</v>
      </c>
      <c r="J1010" s="14">
        <v>8376080.2599999998</v>
      </c>
      <c r="K1010" s="12">
        <v>34602</v>
      </c>
      <c r="L1010" s="10" t="s">
        <v>101</v>
      </c>
      <c r="M1010" s="10" t="s">
        <v>102</v>
      </c>
      <c r="N1010" s="124" t="s">
        <v>405</v>
      </c>
      <c r="O1010" s="124" t="s">
        <v>405</v>
      </c>
      <c r="P1010" s="21">
        <v>20</v>
      </c>
      <c r="Q1010" s="10" t="s">
        <v>54</v>
      </c>
      <c r="R1010" s="10" t="s">
        <v>28</v>
      </c>
      <c r="S1010" s="10"/>
      <c r="T1010" s="10"/>
      <c r="U1010" s="10" t="s">
        <v>1489</v>
      </c>
      <c r="V1010" s="10" t="s">
        <v>1489</v>
      </c>
      <c r="W1010" s="50">
        <f>+J1010/$W$2</f>
        <v>1.0251187915194429E-4</v>
      </c>
    </row>
    <row r="1011" spans="1:30">
      <c r="A1011" s="10" t="s">
        <v>433</v>
      </c>
      <c r="B1011" s="10" t="s">
        <v>358</v>
      </c>
      <c r="C1011" s="124">
        <v>46351</v>
      </c>
      <c r="D1011" s="124" t="s">
        <v>471</v>
      </c>
      <c r="E1011" s="21">
        <v>0.97687621000000002</v>
      </c>
      <c r="F1011" s="10"/>
      <c r="G1011" s="14">
        <v>10000000</v>
      </c>
      <c r="H1011" s="14">
        <v>9768762.0600000005</v>
      </c>
      <c r="I1011" s="14">
        <v>10000000</v>
      </c>
      <c r="J1011" s="14">
        <v>9768762.0600000005</v>
      </c>
      <c r="K1011" s="12">
        <v>14422578</v>
      </c>
      <c r="L1011" s="10" t="s">
        <v>101</v>
      </c>
      <c r="M1011" s="10" t="s">
        <v>102</v>
      </c>
      <c r="N1011" s="124" t="s">
        <v>162</v>
      </c>
      <c r="O1011" s="124" t="s">
        <v>162</v>
      </c>
      <c r="P1011" s="21">
        <v>32</v>
      </c>
      <c r="Q1011" s="10" t="s">
        <v>54</v>
      </c>
      <c r="R1011" s="10" t="s">
        <v>28</v>
      </c>
      <c r="S1011" s="10"/>
      <c r="T1011" s="10"/>
      <c r="U1011" s="10" t="s">
        <v>1274</v>
      </c>
      <c r="V1011" s="10" t="s">
        <v>1274</v>
      </c>
      <c r="W1011" s="50">
        <f>+J1011/$W$2</f>
        <v>1.1955641835729239E-4</v>
      </c>
    </row>
    <row r="1012" spans="1:30">
      <c r="A1012" s="10" t="s">
        <v>3587</v>
      </c>
      <c r="B1012" s="10" t="s">
        <v>358</v>
      </c>
      <c r="C1012" s="124">
        <v>46351</v>
      </c>
      <c r="D1012" s="124" t="s">
        <v>471</v>
      </c>
      <c r="E1012" s="21">
        <v>0.97829009</v>
      </c>
      <c r="F1012" s="10"/>
      <c r="G1012" s="14">
        <v>3392865</v>
      </c>
      <c r="H1012" s="14">
        <v>3319206.21</v>
      </c>
      <c r="I1012" s="14">
        <v>3392865</v>
      </c>
      <c r="J1012" s="14">
        <v>3319206.21</v>
      </c>
      <c r="K1012" s="12">
        <v>12700535</v>
      </c>
      <c r="L1012" s="10" t="s">
        <v>101</v>
      </c>
      <c r="M1012" s="10" t="s">
        <v>102</v>
      </c>
      <c r="N1012" s="124" t="s">
        <v>451</v>
      </c>
      <c r="O1012" s="124" t="s">
        <v>451</v>
      </c>
      <c r="P1012" s="21">
        <v>30</v>
      </c>
      <c r="Q1012" s="10" t="s">
        <v>54</v>
      </c>
      <c r="R1012" s="10" t="s">
        <v>28</v>
      </c>
      <c r="S1012" s="10"/>
      <c r="T1012" s="10"/>
      <c r="U1012" s="10" t="s">
        <v>3527</v>
      </c>
      <c r="V1012" s="10" t="s">
        <v>3527</v>
      </c>
      <c r="W1012" s="50">
        <f>+J1012/$W$2</f>
        <v>4.0622589005600456E-5</v>
      </c>
    </row>
    <row r="1013" spans="1:30">
      <c r="A1013" s="10" t="s">
        <v>3442</v>
      </c>
      <c r="B1013" s="10" t="s">
        <v>358</v>
      </c>
      <c r="C1013" s="124">
        <v>46351</v>
      </c>
      <c r="D1013" s="124" t="s">
        <v>471</v>
      </c>
      <c r="E1013" s="21">
        <v>0.97617076999999997</v>
      </c>
      <c r="F1013" s="10"/>
      <c r="G1013" s="14">
        <v>8000000</v>
      </c>
      <c r="H1013" s="14">
        <v>7809366.1600000001</v>
      </c>
      <c r="I1013" s="14">
        <v>8000000</v>
      </c>
      <c r="J1013" s="14">
        <v>7809366.1600000001</v>
      </c>
      <c r="K1013" s="12">
        <v>241</v>
      </c>
      <c r="L1013" s="10" t="s">
        <v>101</v>
      </c>
      <c r="M1013" s="10" t="s">
        <v>102</v>
      </c>
      <c r="N1013" s="124" t="s">
        <v>450</v>
      </c>
      <c r="O1013" s="124" t="s">
        <v>450</v>
      </c>
      <c r="P1013" s="21">
        <v>33</v>
      </c>
      <c r="Q1013" s="10" t="s">
        <v>54</v>
      </c>
      <c r="R1013" s="10" t="s">
        <v>28</v>
      </c>
      <c r="S1013" s="10"/>
      <c r="T1013" s="10"/>
      <c r="U1013" s="10" t="s">
        <v>3415</v>
      </c>
      <c r="V1013" s="10" t="s">
        <v>3415</v>
      </c>
      <c r="W1013" s="50">
        <f>+J1013/$W$2</f>
        <v>9.5576066035356173E-5</v>
      </c>
    </row>
    <row r="1014" spans="1:30">
      <c r="A1014" s="10" t="s">
        <v>454</v>
      </c>
      <c r="B1014" s="10" t="s">
        <v>358</v>
      </c>
      <c r="C1014" s="124">
        <v>46351</v>
      </c>
      <c r="D1014" s="124" t="s">
        <v>471</v>
      </c>
      <c r="E1014" s="21">
        <v>0.97265917999999996</v>
      </c>
      <c r="F1014" s="10"/>
      <c r="G1014" s="14">
        <v>198000000</v>
      </c>
      <c r="H1014" s="14">
        <v>192586518.27000001</v>
      </c>
      <c r="I1014" s="14">
        <v>198000000</v>
      </c>
      <c r="J1014" s="14">
        <v>192586518.27000001</v>
      </c>
      <c r="K1014" s="12">
        <v>70425624</v>
      </c>
      <c r="L1014" s="10" t="s">
        <v>101</v>
      </c>
      <c r="M1014" s="10" t="s">
        <v>102</v>
      </c>
      <c r="N1014" s="124" t="s">
        <v>475</v>
      </c>
      <c r="O1014" s="124" t="s">
        <v>475</v>
      </c>
      <c r="P1014" s="21">
        <v>38</v>
      </c>
      <c r="Q1014" s="10" t="s">
        <v>54</v>
      </c>
      <c r="R1014" s="10" t="s">
        <v>28</v>
      </c>
      <c r="S1014" s="10"/>
      <c r="T1014" s="10"/>
      <c r="U1014" s="10" t="s">
        <v>3397</v>
      </c>
      <c r="V1014" s="10" t="s">
        <v>3397</v>
      </c>
      <c r="W1014" s="50">
        <f>+J1014/$W$2</f>
        <v>2.3569981750852938E-3</v>
      </c>
    </row>
    <row r="1015" spans="1:30">
      <c r="A1015" s="10" t="s">
        <v>438</v>
      </c>
      <c r="B1015" s="10" t="s">
        <v>358</v>
      </c>
      <c r="C1015" s="124">
        <v>46351</v>
      </c>
      <c r="D1015" s="124" t="s">
        <v>471</v>
      </c>
      <c r="E1015" s="21">
        <v>0.97829003000000003</v>
      </c>
      <c r="F1015" s="10"/>
      <c r="G1015" s="14">
        <v>9478811.3499999996</v>
      </c>
      <c r="H1015" s="14">
        <v>9273026.6600000001</v>
      </c>
      <c r="I1015" s="14">
        <v>9478811.3499999996</v>
      </c>
      <c r="J1015" s="14">
        <v>9273026.6600000001</v>
      </c>
      <c r="K1015" s="12">
        <v>90020413</v>
      </c>
      <c r="L1015" s="10" t="s">
        <v>101</v>
      </c>
      <c r="M1015" s="10" t="s">
        <v>102</v>
      </c>
      <c r="N1015" s="124" t="s">
        <v>268</v>
      </c>
      <c r="O1015" s="124" t="s">
        <v>268</v>
      </c>
      <c r="P1015" s="21">
        <v>30</v>
      </c>
      <c r="Q1015" s="10" t="s">
        <v>54</v>
      </c>
      <c r="R1015" s="10" t="s">
        <v>28</v>
      </c>
      <c r="S1015" s="10"/>
      <c r="T1015" s="10"/>
      <c r="U1015" s="10" t="s">
        <v>528</v>
      </c>
      <c r="V1015" s="10" t="s">
        <v>528</v>
      </c>
      <c r="W1015" s="50">
        <f>+J1015/$W$2</f>
        <v>1.1348928840644582E-4</v>
      </c>
    </row>
    <row r="1016" spans="1:30">
      <c r="A1016" s="10" t="s">
        <v>359</v>
      </c>
      <c r="B1016" s="10" t="s">
        <v>358</v>
      </c>
      <c r="C1016" s="124">
        <v>46351</v>
      </c>
      <c r="D1016" s="124" t="s">
        <v>471</v>
      </c>
      <c r="E1016" s="21">
        <v>0.97829003000000003</v>
      </c>
      <c r="F1016" s="10"/>
      <c r="G1016" s="14">
        <v>9000000</v>
      </c>
      <c r="H1016" s="14">
        <v>8804610.2899999991</v>
      </c>
      <c r="I1016" s="14">
        <v>9000000</v>
      </c>
      <c r="J1016" s="14">
        <v>8804610.2899999991</v>
      </c>
      <c r="K1016" s="12">
        <v>1404</v>
      </c>
      <c r="L1016" s="10" t="s">
        <v>101</v>
      </c>
      <c r="M1016" s="10" t="s">
        <v>102</v>
      </c>
      <c r="N1016" s="124" t="s">
        <v>450</v>
      </c>
      <c r="O1016" s="124" t="s">
        <v>450</v>
      </c>
      <c r="P1016" s="21">
        <v>30</v>
      </c>
      <c r="Q1016" s="10" t="s">
        <v>54</v>
      </c>
      <c r="R1016" s="10" t="s">
        <v>28</v>
      </c>
      <c r="S1016" s="10"/>
      <c r="T1016" s="10"/>
      <c r="U1016" s="10" t="s">
        <v>3422</v>
      </c>
      <c r="V1016" s="10" t="s">
        <v>3422</v>
      </c>
      <c r="W1016" s="50">
        <f>+J1016/$W$2</f>
        <v>1.077565063862515E-4</v>
      </c>
    </row>
    <row r="1017" spans="1:30">
      <c r="A1017" s="10" t="s">
        <v>359</v>
      </c>
      <c r="B1017" s="10" t="s">
        <v>358</v>
      </c>
      <c r="C1017" s="124">
        <v>46351</v>
      </c>
      <c r="D1017" s="124" t="s">
        <v>471</v>
      </c>
      <c r="E1017" s="21">
        <v>0.97829018000000001</v>
      </c>
      <c r="F1017" s="10"/>
      <c r="G1017" s="14">
        <v>8000000</v>
      </c>
      <c r="H1017" s="14">
        <v>7826321.4699999997</v>
      </c>
      <c r="I1017" s="14">
        <v>8000000</v>
      </c>
      <c r="J1017" s="14">
        <v>7826321.4699999997</v>
      </c>
      <c r="K1017" s="12">
        <v>1402</v>
      </c>
      <c r="L1017" s="10" t="s">
        <v>101</v>
      </c>
      <c r="M1017" s="10" t="s">
        <v>102</v>
      </c>
      <c r="N1017" s="124" t="s">
        <v>475</v>
      </c>
      <c r="O1017" s="124" t="s">
        <v>475</v>
      </c>
      <c r="P1017" s="21">
        <v>30</v>
      </c>
      <c r="Q1017" s="10" t="s">
        <v>54</v>
      </c>
      <c r="R1017" s="10" t="s">
        <v>28</v>
      </c>
      <c r="S1017" s="10"/>
      <c r="T1017" s="10"/>
      <c r="U1017" s="10" t="s">
        <v>3344</v>
      </c>
      <c r="V1017" s="10" t="s">
        <v>3344</v>
      </c>
      <c r="W1017" s="50">
        <f>+J1017/$W$2</f>
        <v>9.5783576068181927E-5</v>
      </c>
    </row>
    <row r="1018" spans="1:30">
      <c r="A1018" s="10" t="s">
        <v>3062</v>
      </c>
      <c r="B1018" s="10" t="s">
        <v>358</v>
      </c>
      <c r="C1018" s="124">
        <v>46351</v>
      </c>
      <c r="D1018" s="124" t="s">
        <v>471</v>
      </c>
      <c r="E1018" s="21">
        <v>0.97829003999999997</v>
      </c>
      <c r="F1018" s="10"/>
      <c r="G1018" s="14">
        <v>27820501.5</v>
      </c>
      <c r="H1018" s="14">
        <v>27216519.59</v>
      </c>
      <c r="I1018" s="14">
        <v>27820501.5</v>
      </c>
      <c r="J1018" s="14">
        <v>27216519.59</v>
      </c>
      <c r="K1018" s="12">
        <v>90000380</v>
      </c>
      <c r="L1018" s="10" t="s">
        <v>101</v>
      </c>
      <c r="M1018" s="10" t="s">
        <v>102</v>
      </c>
      <c r="N1018" s="124" t="s">
        <v>508</v>
      </c>
      <c r="O1018" s="124" t="s">
        <v>508</v>
      </c>
      <c r="P1018" s="21">
        <v>30</v>
      </c>
      <c r="Q1018" s="10" t="s">
        <v>54</v>
      </c>
      <c r="R1018" s="10" t="s">
        <v>28</v>
      </c>
      <c r="S1018" s="10"/>
      <c r="T1018" s="10"/>
      <c r="U1018" s="10" t="s">
        <v>2997</v>
      </c>
      <c r="V1018" s="10" t="s">
        <v>2997</v>
      </c>
      <c r="W1018" s="50">
        <f>+J1018/$W$2</f>
        <v>3.3309334205766129E-4</v>
      </c>
    </row>
    <row r="1019" spans="1:30">
      <c r="A1019" s="10" t="s">
        <v>3168</v>
      </c>
      <c r="B1019" s="10" t="s">
        <v>358</v>
      </c>
      <c r="C1019" s="124">
        <v>46351</v>
      </c>
      <c r="D1019" s="124" t="s">
        <v>471</v>
      </c>
      <c r="E1019" s="21">
        <v>0.97829014999999997</v>
      </c>
      <c r="F1019" s="10"/>
      <c r="G1019" s="14">
        <v>3017000</v>
      </c>
      <c r="H1019" s="14">
        <v>2951501.38</v>
      </c>
      <c r="I1019" s="14">
        <v>3017000</v>
      </c>
      <c r="J1019" s="14">
        <v>2951501.38</v>
      </c>
      <c r="K1019" s="12">
        <v>70425737</v>
      </c>
      <c r="L1019" s="10" t="s">
        <v>101</v>
      </c>
      <c r="M1019" s="10" t="s">
        <v>102</v>
      </c>
      <c r="N1019" s="124" t="s">
        <v>448</v>
      </c>
      <c r="O1019" s="124" t="s">
        <v>448</v>
      </c>
      <c r="P1019" s="21">
        <v>30</v>
      </c>
      <c r="Q1019" s="10" t="s">
        <v>54</v>
      </c>
      <c r="R1019" s="10" t="s">
        <v>28</v>
      </c>
      <c r="S1019" s="10"/>
      <c r="T1019" s="10"/>
      <c r="U1019" s="10" t="s">
        <v>3132</v>
      </c>
      <c r="V1019" s="10" t="s">
        <v>3132</v>
      </c>
      <c r="W1019" s="50">
        <f>+J1019/$W$2</f>
        <v>3.6122379847319753E-5</v>
      </c>
    </row>
    <row r="1020" spans="1:30">
      <c r="A1020" s="10" t="s">
        <v>3172</v>
      </c>
      <c r="B1020" s="10" t="s">
        <v>358</v>
      </c>
      <c r="C1020" s="124">
        <v>46351</v>
      </c>
      <c r="D1020" s="124" t="s">
        <v>471</v>
      </c>
      <c r="E1020" s="21">
        <v>0.97829014000000003</v>
      </c>
      <c r="F1020" s="10"/>
      <c r="G1020" s="14">
        <v>633302.62</v>
      </c>
      <c r="H1020" s="14">
        <v>619553.71</v>
      </c>
      <c r="I1020" s="14">
        <v>633302.62</v>
      </c>
      <c r="J1020" s="14">
        <v>619553.71</v>
      </c>
      <c r="K1020" s="12">
        <v>11042019</v>
      </c>
      <c r="L1020" s="10" t="s">
        <v>101</v>
      </c>
      <c r="M1020" s="10" t="s">
        <v>102</v>
      </c>
      <c r="N1020" s="124" t="s">
        <v>448</v>
      </c>
      <c r="O1020" s="124" t="s">
        <v>448</v>
      </c>
      <c r="P1020" s="21">
        <v>30</v>
      </c>
      <c r="Q1020" s="10" t="s">
        <v>54</v>
      </c>
      <c r="R1020" s="10" t="s">
        <v>28</v>
      </c>
      <c r="S1020" s="10"/>
      <c r="T1020" s="10"/>
      <c r="U1020" s="10" t="s">
        <v>3149</v>
      </c>
      <c r="V1020" s="10" t="s">
        <v>3149</v>
      </c>
      <c r="W1020" s="50">
        <f>+J1020/$W$2</f>
        <v>7.5824983854272114E-6</v>
      </c>
    </row>
    <row r="1021" spans="1:30">
      <c r="A1021" s="10" t="s">
        <v>3173</v>
      </c>
      <c r="B1021" s="10" t="s">
        <v>358</v>
      </c>
      <c r="C1021" s="124">
        <v>46351</v>
      </c>
      <c r="D1021" s="124" t="s">
        <v>471</v>
      </c>
      <c r="E1021" s="21">
        <v>0.97829014999999997</v>
      </c>
      <c r="F1021" s="10"/>
      <c r="G1021" s="14">
        <v>4932055.16</v>
      </c>
      <c r="H1021" s="14">
        <v>4824980.97</v>
      </c>
      <c r="I1021" s="14">
        <v>4932055.16</v>
      </c>
      <c r="J1021" s="14">
        <v>4824980.97</v>
      </c>
      <c r="K1021" s="12">
        <v>972</v>
      </c>
      <c r="L1021" s="10" t="s">
        <v>101</v>
      </c>
      <c r="M1021" s="10" t="s">
        <v>102</v>
      </c>
      <c r="N1021" s="124" t="s">
        <v>448</v>
      </c>
      <c r="O1021" s="124" t="s">
        <v>448</v>
      </c>
      <c r="P1021" s="21">
        <v>30</v>
      </c>
      <c r="Q1021" s="10" t="s">
        <v>54</v>
      </c>
      <c r="R1021" s="10" t="s">
        <v>28</v>
      </c>
      <c r="S1021" s="10"/>
      <c r="T1021" s="10"/>
      <c r="U1021" s="10" t="s">
        <v>3154</v>
      </c>
      <c r="V1021" s="10" t="s">
        <v>3154</v>
      </c>
      <c r="W1021" s="50">
        <f>+J1021/$W$2</f>
        <v>5.9051232886236806E-5</v>
      </c>
    </row>
    <row r="1022" spans="1:30">
      <c r="A1022" s="10" t="s">
        <v>271</v>
      </c>
      <c r="B1022" s="10" t="s">
        <v>358</v>
      </c>
      <c r="C1022" s="124">
        <v>46351</v>
      </c>
      <c r="D1022" s="124" t="s">
        <v>471</v>
      </c>
      <c r="E1022" s="21">
        <v>0.97758261999999996</v>
      </c>
      <c r="F1022" s="10"/>
      <c r="G1022" s="14">
        <v>15000000</v>
      </c>
      <c r="H1022" s="14">
        <v>14663739.300000001</v>
      </c>
      <c r="I1022" s="14">
        <v>15000000</v>
      </c>
      <c r="J1022" s="14">
        <v>14663739.300000001</v>
      </c>
      <c r="K1022" s="12">
        <v>2440</v>
      </c>
      <c r="L1022" s="10" t="s">
        <v>101</v>
      </c>
      <c r="M1022" s="10" t="s">
        <v>102</v>
      </c>
      <c r="N1022" s="124" t="s">
        <v>310</v>
      </c>
      <c r="O1022" s="124" t="s">
        <v>310</v>
      </c>
      <c r="P1022" s="21">
        <v>31</v>
      </c>
      <c r="Q1022" s="10" t="s">
        <v>54</v>
      </c>
      <c r="R1022" s="10" t="s">
        <v>28</v>
      </c>
      <c r="S1022" s="10"/>
      <c r="T1022" s="10"/>
      <c r="U1022" s="10" t="s">
        <v>1016</v>
      </c>
      <c r="V1022" s="10" t="s">
        <v>1016</v>
      </c>
      <c r="W1022" s="50">
        <f>+J1022/$W$2</f>
        <v>1.7946431079651765E-4</v>
      </c>
    </row>
    <row r="1023" spans="1:30">
      <c r="A1023" s="10" t="s">
        <v>271</v>
      </c>
      <c r="B1023" s="10" t="s">
        <v>358</v>
      </c>
      <c r="C1023" s="124">
        <v>46351</v>
      </c>
      <c r="D1023" s="124" t="s">
        <v>471</v>
      </c>
      <c r="E1023" s="21">
        <v>0.97687617999999998</v>
      </c>
      <c r="F1023" s="10"/>
      <c r="G1023" s="14">
        <v>10000000</v>
      </c>
      <c r="H1023" s="14">
        <v>9768761.7699999996</v>
      </c>
      <c r="I1023" s="14">
        <v>10000000</v>
      </c>
      <c r="J1023" s="14">
        <v>9768761.7699999996</v>
      </c>
      <c r="K1023" s="12">
        <v>2199</v>
      </c>
      <c r="L1023" s="10" t="s">
        <v>101</v>
      </c>
      <c r="M1023" s="10" t="s">
        <v>102</v>
      </c>
      <c r="N1023" s="124" t="s">
        <v>486</v>
      </c>
      <c r="O1023" s="124" t="s">
        <v>486</v>
      </c>
      <c r="P1023" s="21">
        <v>32</v>
      </c>
      <c r="Q1023" s="10" t="s">
        <v>54</v>
      </c>
      <c r="R1023" s="10" t="s">
        <v>28</v>
      </c>
      <c r="S1023" s="10"/>
      <c r="T1023" s="10"/>
      <c r="U1023" s="10" t="s">
        <v>1433</v>
      </c>
      <c r="V1023" s="10" t="s">
        <v>1433</v>
      </c>
      <c r="W1023" s="50">
        <f>+J1023/$W$2</f>
        <v>1.1955641480808512E-4</v>
      </c>
    </row>
    <row r="1024" spans="1:30">
      <c r="A1024" s="10" t="s">
        <v>271</v>
      </c>
      <c r="B1024" s="10" t="s">
        <v>358</v>
      </c>
      <c r="C1024" s="124">
        <v>46351</v>
      </c>
      <c r="D1024" s="124" t="s">
        <v>471</v>
      </c>
      <c r="E1024" s="21">
        <v>0.97758259999999997</v>
      </c>
      <c r="F1024" s="10"/>
      <c r="G1024" s="14">
        <v>5000000</v>
      </c>
      <c r="H1024" s="14">
        <v>4887912.99</v>
      </c>
      <c r="I1024" s="14">
        <v>5000000</v>
      </c>
      <c r="J1024" s="14">
        <v>4887912.99</v>
      </c>
      <c r="K1024" s="12">
        <v>8807</v>
      </c>
      <c r="L1024" s="10" t="s">
        <v>101</v>
      </c>
      <c r="M1024" s="10" t="s">
        <v>102</v>
      </c>
      <c r="N1024" s="124" t="s">
        <v>486</v>
      </c>
      <c r="O1024" s="124" t="s">
        <v>486</v>
      </c>
      <c r="P1024" s="21">
        <v>31</v>
      </c>
      <c r="Q1024" s="10" t="s">
        <v>54</v>
      </c>
      <c r="R1024" s="10" t="s">
        <v>28</v>
      </c>
      <c r="S1024" s="10"/>
      <c r="T1024" s="10"/>
      <c r="U1024" s="10" t="s">
        <v>1441</v>
      </c>
      <c r="V1024" s="10" t="s">
        <v>1441</v>
      </c>
      <c r="W1024" s="50">
        <f>+J1024/$W$2</f>
        <v>5.9821435585921514E-5</v>
      </c>
      <c r="AA1024" s="10"/>
      <c r="AB1024" s="10"/>
      <c r="AC1024" s="17"/>
      <c r="AD1024" s="13"/>
    </row>
    <row r="1025" spans="1:29">
      <c r="A1025" s="10" t="s">
        <v>271</v>
      </c>
      <c r="B1025" s="10" t="s">
        <v>358</v>
      </c>
      <c r="C1025" s="124">
        <v>46351</v>
      </c>
      <c r="D1025" s="124" t="s">
        <v>471</v>
      </c>
      <c r="E1025" s="21">
        <v>0.9811301</v>
      </c>
      <c r="F1025" s="10"/>
      <c r="G1025" s="14">
        <v>4000000</v>
      </c>
      <c r="H1025" s="14">
        <v>3924520.38</v>
      </c>
      <c r="I1025" s="14">
        <v>4000000</v>
      </c>
      <c r="J1025" s="14">
        <v>3924520.38</v>
      </c>
      <c r="K1025" s="12">
        <v>90002233</v>
      </c>
      <c r="L1025" s="10" t="s">
        <v>101</v>
      </c>
      <c r="M1025" s="10" t="s">
        <v>102</v>
      </c>
      <c r="N1025" s="124" t="s">
        <v>478</v>
      </c>
      <c r="O1025" s="124" t="s">
        <v>478</v>
      </c>
      <c r="P1025" s="21">
        <v>26</v>
      </c>
      <c r="Q1025" s="10" t="s">
        <v>54</v>
      </c>
      <c r="R1025" s="10" t="s">
        <v>28</v>
      </c>
      <c r="S1025" s="10"/>
      <c r="T1025" s="10"/>
      <c r="U1025" s="10" t="s">
        <v>2111</v>
      </c>
      <c r="V1025" s="10" t="s">
        <v>2111</v>
      </c>
      <c r="W1025" s="50">
        <f>+J1025/$W$2</f>
        <v>4.8030814705195111E-5</v>
      </c>
    </row>
    <row r="1026" spans="1:29">
      <c r="A1026" s="10" t="s">
        <v>2320</v>
      </c>
      <c r="B1026" s="10" t="s">
        <v>358</v>
      </c>
      <c r="C1026" s="124">
        <v>46351</v>
      </c>
      <c r="D1026" s="124" t="s">
        <v>471</v>
      </c>
      <c r="E1026" s="21">
        <v>0.98113013000000004</v>
      </c>
      <c r="F1026" s="10"/>
      <c r="G1026" s="14">
        <v>150000000</v>
      </c>
      <c r="H1026" s="14">
        <v>147169518.87</v>
      </c>
      <c r="I1026" s="14">
        <v>150000000</v>
      </c>
      <c r="J1026" s="14">
        <v>147169518.87</v>
      </c>
      <c r="K1026" s="12">
        <v>461478</v>
      </c>
      <c r="L1026" s="10" t="s">
        <v>101</v>
      </c>
      <c r="M1026" s="10" t="s">
        <v>102</v>
      </c>
      <c r="N1026" s="124" t="s">
        <v>439</v>
      </c>
      <c r="O1026" s="124" t="s">
        <v>439</v>
      </c>
      <c r="P1026" s="21">
        <v>26</v>
      </c>
      <c r="Q1026" s="10" t="s">
        <v>54</v>
      </c>
      <c r="R1026" s="10" t="s">
        <v>28</v>
      </c>
      <c r="S1026" s="10"/>
      <c r="T1026" s="10"/>
      <c r="U1026" s="10" t="s">
        <v>2241</v>
      </c>
      <c r="V1026" s="10" t="s">
        <v>2241</v>
      </c>
      <c r="W1026" s="50">
        <f>+J1026/$W$2</f>
        <v>1.8011556079873601E-3</v>
      </c>
    </row>
    <row r="1027" spans="1:29">
      <c r="A1027" s="10" t="s">
        <v>597</v>
      </c>
      <c r="B1027" s="10" t="s">
        <v>358</v>
      </c>
      <c r="C1027" s="124">
        <v>46351</v>
      </c>
      <c r="D1027" s="124" t="s">
        <v>471</v>
      </c>
      <c r="E1027" s="21">
        <v>0.97829005000000002</v>
      </c>
      <c r="F1027" s="10"/>
      <c r="G1027" s="14">
        <v>2700000</v>
      </c>
      <c r="H1027" s="14">
        <v>2641383.14</v>
      </c>
      <c r="I1027" s="14">
        <v>2700000</v>
      </c>
      <c r="J1027" s="14">
        <v>2641383.14</v>
      </c>
      <c r="K1027" s="12">
        <v>6914</v>
      </c>
      <c r="L1027" s="10" t="s">
        <v>101</v>
      </c>
      <c r="M1027" s="10" t="s">
        <v>102</v>
      </c>
      <c r="N1027" s="124" t="s">
        <v>487</v>
      </c>
      <c r="O1027" s="124" t="s">
        <v>487</v>
      </c>
      <c r="P1027" s="21">
        <v>30</v>
      </c>
      <c r="Q1027" s="10" t="s">
        <v>54</v>
      </c>
      <c r="R1027" s="10" t="s">
        <v>28</v>
      </c>
      <c r="S1027" s="10"/>
      <c r="T1027" s="10"/>
      <c r="U1027" s="10" t="s">
        <v>1586</v>
      </c>
      <c r="V1027" s="10" t="s">
        <v>1586</v>
      </c>
      <c r="W1027" s="50">
        <f>+J1027/$W$2</f>
        <v>3.2326952564523681E-5</v>
      </c>
    </row>
    <row r="1028" spans="1:29">
      <c r="A1028" s="10" t="s">
        <v>696</v>
      </c>
      <c r="B1028" s="10" t="s">
        <v>358</v>
      </c>
      <c r="C1028" s="124">
        <v>46351</v>
      </c>
      <c r="D1028" s="124" t="s">
        <v>471</v>
      </c>
      <c r="E1028" s="21">
        <v>0.97617076000000003</v>
      </c>
      <c r="F1028" s="10"/>
      <c r="G1028" s="14">
        <v>15000000</v>
      </c>
      <c r="H1028" s="14">
        <v>14642561.369999999</v>
      </c>
      <c r="I1028" s="14">
        <v>15000000</v>
      </c>
      <c r="J1028" s="14">
        <v>14642561.369999999</v>
      </c>
      <c r="K1028" s="12">
        <v>168860</v>
      </c>
      <c r="L1028" s="10" t="s">
        <v>101</v>
      </c>
      <c r="M1028" s="10" t="s">
        <v>102</v>
      </c>
      <c r="N1028" s="124" t="s">
        <v>465</v>
      </c>
      <c r="O1028" s="124" t="s">
        <v>465</v>
      </c>
      <c r="P1028" s="21">
        <v>33</v>
      </c>
      <c r="Q1028" s="10" t="s">
        <v>54</v>
      </c>
      <c r="R1028" s="10" t="s">
        <v>28</v>
      </c>
      <c r="S1028" s="10"/>
      <c r="T1028" s="10"/>
      <c r="U1028" s="10" t="s">
        <v>2974</v>
      </c>
      <c r="V1028" s="10" t="s">
        <v>2974</v>
      </c>
      <c r="W1028" s="50">
        <f>+J1028/$W$2</f>
        <v>1.7920512161333658E-4</v>
      </c>
    </row>
    <row r="1029" spans="1:29">
      <c r="A1029" s="10" t="s">
        <v>677</v>
      </c>
      <c r="B1029" s="10" t="s">
        <v>358</v>
      </c>
      <c r="C1029" s="124">
        <v>46351</v>
      </c>
      <c r="D1029" s="124" t="s">
        <v>471</v>
      </c>
      <c r="E1029" s="21">
        <v>0.97335934000000002</v>
      </c>
      <c r="F1029" s="10"/>
      <c r="G1029" s="14">
        <v>25000000</v>
      </c>
      <c r="H1029" s="14">
        <v>24333983.57</v>
      </c>
      <c r="I1029" s="14">
        <v>25000000</v>
      </c>
      <c r="J1029" s="14">
        <v>24333983.57</v>
      </c>
      <c r="K1029" s="12">
        <v>2663</v>
      </c>
      <c r="L1029" s="10" t="s">
        <v>101</v>
      </c>
      <c r="M1029" s="10" t="s">
        <v>102</v>
      </c>
      <c r="N1029" s="124" t="s">
        <v>399</v>
      </c>
      <c r="O1029" s="124" t="s">
        <v>399</v>
      </c>
      <c r="P1029" s="21">
        <v>37</v>
      </c>
      <c r="Q1029" s="10" t="s">
        <v>54</v>
      </c>
      <c r="R1029" s="10" t="s">
        <v>28</v>
      </c>
      <c r="S1029" s="10"/>
      <c r="T1029" s="10"/>
      <c r="U1029" s="10" t="s">
        <v>1116</v>
      </c>
      <c r="V1029" s="10" t="s">
        <v>1116</v>
      </c>
      <c r="W1029" s="50">
        <f>+J1029/$W$2</f>
        <v>2.9781500482103045E-4</v>
      </c>
    </row>
    <row r="1030" spans="1:29">
      <c r="A1030" s="10" t="s">
        <v>359</v>
      </c>
      <c r="B1030" s="10" t="s">
        <v>358</v>
      </c>
      <c r="C1030" s="124">
        <v>46351</v>
      </c>
      <c r="D1030" s="124" t="s">
        <v>471</v>
      </c>
      <c r="E1030" s="21">
        <v>0.97687621000000002</v>
      </c>
      <c r="F1030" s="10"/>
      <c r="G1030" s="14">
        <v>3000000</v>
      </c>
      <c r="H1030" s="14">
        <v>2930628.62</v>
      </c>
      <c r="I1030" s="14">
        <v>3000000</v>
      </c>
      <c r="J1030" s="14">
        <v>2930628.62</v>
      </c>
      <c r="K1030" s="12">
        <v>1062</v>
      </c>
      <c r="L1030" s="10" t="s">
        <v>101</v>
      </c>
      <c r="M1030" s="10" t="s">
        <v>102</v>
      </c>
      <c r="N1030" s="124" t="s">
        <v>373</v>
      </c>
      <c r="O1030" s="124" t="s">
        <v>373</v>
      </c>
      <c r="P1030" s="21">
        <v>32</v>
      </c>
      <c r="Q1030" s="10" t="s">
        <v>54</v>
      </c>
      <c r="R1030" s="10" t="s">
        <v>28</v>
      </c>
      <c r="S1030" s="10"/>
      <c r="T1030" s="10"/>
      <c r="U1030" s="10" t="s">
        <v>1153</v>
      </c>
      <c r="V1030" s="10" t="s">
        <v>1153</v>
      </c>
      <c r="W1030" s="50">
        <f>+J1030/$W$2</f>
        <v>3.5866925531665012E-5</v>
      </c>
    </row>
    <row r="1031" spans="1:29">
      <c r="A1031" s="10" t="s">
        <v>359</v>
      </c>
      <c r="B1031" s="10" t="s">
        <v>358</v>
      </c>
      <c r="C1031" s="124">
        <v>46351</v>
      </c>
      <c r="D1031" s="124" t="s">
        <v>471</v>
      </c>
      <c r="E1031" s="21">
        <v>0.97617074999999998</v>
      </c>
      <c r="F1031" s="10"/>
      <c r="G1031" s="14">
        <v>2500000</v>
      </c>
      <c r="H1031" s="14">
        <v>2440426.87</v>
      </c>
      <c r="I1031" s="14">
        <v>2500000</v>
      </c>
      <c r="J1031" s="14">
        <v>2440426.87</v>
      </c>
      <c r="K1031" s="12">
        <v>1025</v>
      </c>
      <c r="L1031" s="10" t="s">
        <v>101</v>
      </c>
      <c r="M1031" s="10" t="s">
        <v>102</v>
      </c>
      <c r="N1031" s="124" t="s">
        <v>161</v>
      </c>
      <c r="O1031" s="124" t="s">
        <v>161</v>
      </c>
      <c r="P1031" s="21">
        <v>33</v>
      </c>
      <c r="Q1031" s="10" t="s">
        <v>54</v>
      </c>
      <c r="R1031" s="10" t="s">
        <v>28</v>
      </c>
      <c r="S1031" s="10"/>
      <c r="T1031" s="10"/>
      <c r="U1031" s="10" t="s">
        <v>1078</v>
      </c>
      <c r="V1031" s="10" t="s">
        <v>1078</v>
      </c>
      <c r="W1031" s="50">
        <f>+J1031/$W$2</f>
        <v>2.9867519962923287E-5</v>
      </c>
    </row>
    <row r="1032" spans="1:29">
      <c r="A1032" s="10" t="s">
        <v>2441</v>
      </c>
      <c r="B1032" s="10" t="s">
        <v>358</v>
      </c>
      <c r="C1032" s="124">
        <v>46351</v>
      </c>
      <c r="D1032" s="124" t="s">
        <v>471</v>
      </c>
      <c r="E1032" s="21">
        <v>0.97829003999999997</v>
      </c>
      <c r="F1032" s="10"/>
      <c r="G1032" s="14">
        <v>500000</v>
      </c>
      <c r="H1032" s="14">
        <v>489145.02</v>
      </c>
      <c r="I1032" s="14">
        <v>500000</v>
      </c>
      <c r="J1032" s="14">
        <v>489145.02</v>
      </c>
      <c r="K1032" s="12">
        <v>201</v>
      </c>
      <c r="L1032" s="10" t="s">
        <v>101</v>
      </c>
      <c r="M1032" s="10" t="s">
        <v>102</v>
      </c>
      <c r="N1032" s="124" t="s">
        <v>477</v>
      </c>
      <c r="O1032" s="124" t="s">
        <v>477</v>
      </c>
      <c r="P1032" s="21">
        <v>30</v>
      </c>
      <c r="Q1032" s="10" t="s">
        <v>54</v>
      </c>
      <c r="R1032" s="10" t="s">
        <v>28</v>
      </c>
      <c r="S1032" s="10"/>
      <c r="T1032" s="10"/>
      <c r="U1032" s="10" t="s">
        <v>2415</v>
      </c>
      <c r="V1032" s="10" t="s">
        <v>2415</v>
      </c>
      <c r="W1032" s="50">
        <f>+J1032/$W$2</f>
        <v>5.9864726246087067E-6</v>
      </c>
    </row>
    <row r="1033" spans="1:29">
      <c r="A1033" s="10" t="s">
        <v>2443</v>
      </c>
      <c r="B1033" s="10" t="s">
        <v>358</v>
      </c>
      <c r="C1033" s="124">
        <v>46351</v>
      </c>
      <c r="D1033" s="124" t="s">
        <v>471</v>
      </c>
      <c r="E1033" s="21">
        <v>0.97829001999999998</v>
      </c>
      <c r="F1033" s="10"/>
      <c r="G1033" s="14">
        <v>600000</v>
      </c>
      <c r="H1033" s="14">
        <v>586974.01</v>
      </c>
      <c r="I1033" s="14">
        <v>600000</v>
      </c>
      <c r="J1033" s="14">
        <v>586974.01</v>
      </c>
      <c r="K1033" s="12">
        <v>69995854</v>
      </c>
      <c r="L1033" s="10" t="s">
        <v>101</v>
      </c>
      <c r="M1033" s="10" t="s">
        <v>102</v>
      </c>
      <c r="N1033" s="124" t="s">
        <v>477</v>
      </c>
      <c r="O1033" s="124" t="s">
        <v>477</v>
      </c>
      <c r="P1033" s="21">
        <v>30</v>
      </c>
      <c r="Q1033" s="10" t="s">
        <v>54</v>
      </c>
      <c r="R1033" s="10" t="s">
        <v>28</v>
      </c>
      <c r="S1033" s="10"/>
      <c r="T1033" s="10"/>
      <c r="U1033" s="10" t="s">
        <v>2425</v>
      </c>
      <c r="V1033" s="10" t="s">
        <v>2425</v>
      </c>
      <c r="W1033" s="50">
        <f>+J1033/$W$2</f>
        <v>7.1837669781894067E-6</v>
      </c>
    </row>
    <row r="1034" spans="1:29">
      <c r="A1034" s="10" t="s">
        <v>2486</v>
      </c>
      <c r="B1034" s="10" t="s">
        <v>358</v>
      </c>
      <c r="C1034" s="124">
        <v>46351</v>
      </c>
      <c r="D1034" s="124" t="s">
        <v>471</v>
      </c>
      <c r="E1034" s="21">
        <v>0.97687630000000003</v>
      </c>
      <c r="F1034" s="10"/>
      <c r="G1034" s="14">
        <v>75000000</v>
      </c>
      <c r="H1034" s="14">
        <v>73265722.75</v>
      </c>
      <c r="I1034" s="14">
        <v>75000000</v>
      </c>
      <c r="J1034" s="14">
        <v>73265722.75</v>
      </c>
      <c r="K1034" s="12">
        <v>21576</v>
      </c>
      <c r="L1034" s="10" t="s">
        <v>101</v>
      </c>
      <c r="M1034" s="10" t="s">
        <v>102</v>
      </c>
      <c r="N1034" s="124" t="s">
        <v>466</v>
      </c>
      <c r="O1034" s="124" t="s">
        <v>466</v>
      </c>
      <c r="P1034" s="21">
        <v>32</v>
      </c>
      <c r="Q1034" s="10" t="s">
        <v>54</v>
      </c>
      <c r="R1034" s="10" t="s">
        <v>28</v>
      </c>
      <c r="S1034" s="10"/>
      <c r="T1034" s="10"/>
      <c r="U1034" s="10" t="s">
        <v>3633</v>
      </c>
      <c r="V1034" s="10" t="s">
        <v>3633</v>
      </c>
      <c r="W1034" s="50">
        <f>+J1034/$W$2</f>
        <v>8.9667322702180691E-4</v>
      </c>
    </row>
    <row r="1035" spans="1:29">
      <c r="A1035" s="10" t="s">
        <v>2486</v>
      </c>
      <c r="B1035" s="10" t="s">
        <v>358</v>
      </c>
      <c r="C1035" s="124">
        <v>46351</v>
      </c>
      <c r="D1035" s="124" t="s">
        <v>471</v>
      </c>
      <c r="E1035" s="21">
        <v>0.97687630000000003</v>
      </c>
      <c r="F1035" s="10"/>
      <c r="G1035" s="14">
        <v>75000000</v>
      </c>
      <c r="H1035" s="14">
        <v>73265722.75</v>
      </c>
      <c r="I1035" s="14">
        <v>75000000</v>
      </c>
      <c r="J1035" s="14">
        <v>73265722.75</v>
      </c>
      <c r="K1035" s="12">
        <v>21570</v>
      </c>
      <c r="L1035" s="10" t="s">
        <v>101</v>
      </c>
      <c r="M1035" s="10" t="s">
        <v>102</v>
      </c>
      <c r="N1035" s="124" t="s">
        <v>466</v>
      </c>
      <c r="O1035" s="124" t="s">
        <v>466</v>
      </c>
      <c r="P1035" s="21">
        <v>32</v>
      </c>
      <c r="Q1035" s="10" t="s">
        <v>54</v>
      </c>
      <c r="R1035" s="10" t="s">
        <v>28</v>
      </c>
      <c r="S1035" s="10"/>
      <c r="T1035" s="10"/>
      <c r="U1035" s="10" t="s">
        <v>3635</v>
      </c>
      <c r="V1035" s="10" t="s">
        <v>3635</v>
      </c>
      <c r="W1035" s="50">
        <f>+J1035/$W$2</f>
        <v>8.9667322702180691E-4</v>
      </c>
      <c r="AC1035" s="47"/>
    </row>
    <row r="1036" spans="1:29">
      <c r="A1036" s="10" t="s">
        <v>400</v>
      </c>
      <c r="B1036" s="10" t="s">
        <v>358</v>
      </c>
      <c r="C1036" s="124">
        <v>46352</v>
      </c>
      <c r="D1036" s="124" t="s">
        <v>471</v>
      </c>
      <c r="E1036" s="21">
        <v>0.97787071000000003</v>
      </c>
      <c r="F1036" s="10"/>
      <c r="G1036" s="14">
        <v>5633315</v>
      </c>
      <c r="H1036" s="14">
        <v>5508653.7400000002</v>
      </c>
      <c r="I1036" s="14">
        <v>5633315</v>
      </c>
      <c r="J1036" s="14">
        <v>5508653.7400000002</v>
      </c>
      <c r="K1036" s="12">
        <v>69874605</v>
      </c>
      <c r="L1036" s="10" t="s">
        <v>101</v>
      </c>
      <c r="M1036" s="10" t="s">
        <v>102</v>
      </c>
      <c r="N1036" s="124" t="s">
        <v>439</v>
      </c>
      <c r="O1036" s="124" t="s">
        <v>439</v>
      </c>
      <c r="P1036" s="21">
        <v>29.5</v>
      </c>
      <c r="Q1036" s="10" t="s">
        <v>54</v>
      </c>
      <c r="R1036" s="10" t="s">
        <v>28</v>
      </c>
      <c r="S1036" s="10"/>
      <c r="T1036" s="10"/>
      <c r="U1036" s="10" t="s">
        <v>2226</v>
      </c>
      <c r="V1036" s="10" t="s">
        <v>2226</v>
      </c>
      <c r="W1036" s="50">
        <f>+J1036/$W$2</f>
        <v>6.7418461733410604E-5</v>
      </c>
    </row>
    <row r="1037" spans="1:29">
      <c r="A1037" s="10" t="s">
        <v>379</v>
      </c>
      <c r="B1037" s="10" t="s">
        <v>358</v>
      </c>
      <c r="C1037" s="124">
        <v>46352</v>
      </c>
      <c r="D1037" s="124" t="s">
        <v>471</v>
      </c>
      <c r="E1037" s="21">
        <v>0.97750408</v>
      </c>
      <c r="F1037" s="10"/>
      <c r="G1037" s="14">
        <v>20000000</v>
      </c>
      <c r="H1037" s="14">
        <v>19550081.59</v>
      </c>
      <c r="I1037" s="14">
        <v>20000000</v>
      </c>
      <c r="J1037" s="14">
        <v>19550081.59</v>
      </c>
      <c r="K1037" s="12">
        <v>10508</v>
      </c>
      <c r="L1037" s="10" t="s">
        <v>101</v>
      </c>
      <c r="M1037" s="10" t="s">
        <v>102</v>
      </c>
      <c r="N1037" s="124" t="s">
        <v>395</v>
      </c>
      <c r="O1037" s="124" t="s">
        <v>395</v>
      </c>
      <c r="P1037" s="21">
        <v>30</v>
      </c>
      <c r="Q1037" s="10" t="s">
        <v>54</v>
      </c>
      <c r="R1037" s="10" t="s">
        <v>28</v>
      </c>
      <c r="S1037" s="10"/>
      <c r="T1037" s="10"/>
      <c r="U1037" s="10" t="s">
        <v>1772</v>
      </c>
      <c r="V1037" s="10" t="s">
        <v>1772</v>
      </c>
      <c r="W1037" s="50">
        <f>+J1037/$W$2</f>
        <v>2.3926652314154532E-4</v>
      </c>
      <c r="AC1037" s="47"/>
    </row>
    <row r="1038" spans="1:29">
      <c r="A1038" s="10" t="s">
        <v>334</v>
      </c>
      <c r="B1038" s="10" t="s">
        <v>358</v>
      </c>
      <c r="C1038" s="124">
        <v>46352</v>
      </c>
      <c r="D1038" s="124" t="s">
        <v>471</v>
      </c>
      <c r="E1038" s="21">
        <v>0.97385277000000003</v>
      </c>
      <c r="F1038" s="10"/>
      <c r="G1038" s="14">
        <v>3841101.28</v>
      </c>
      <c r="H1038" s="14">
        <v>3740667.13</v>
      </c>
      <c r="I1038" s="14">
        <v>3841101.28</v>
      </c>
      <c r="J1038" s="14">
        <v>3740667.13</v>
      </c>
      <c r="K1038" s="12">
        <v>3362</v>
      </c>
      <c r="L1038" s="10" t="s">
        <v>101</v>
      </c>
      <c r="M1038" s="10" t="s">
        <v>102</v>
      </c>
      <c r="N1038" s="124" t="s">
        <v>162</v>
      </c>
      <c r="O1038" s="124" t="s">
        <v>162</v>
      </c>
      <c r="P1038" s="21">
        <v>35</v>
      </c>
      <c r="Q1038" s="10" t="s">
        <v>54</v>
      </c>
      <c r="R1038" s="10" t="s">
        <v>28</v>
      </c>
      <c r="S1038" s="10"/>
      <c r="T1038" s="10"/>
      <c r="U1038" s="10" t="s">
        <v>1254</v>
      </c>
      <c r="V1038" s="10" t="s">
        <v>1254</v>
      </c>
      <c r="W1038" s="50">
        <f>+J1038/$W$2</f>
        <v>4.5780699906785549E-5</v>
      </c>
      <c r="AC1038" s="47"/>
    </row>
    <row r="1039" spans="1:29">
      <c r="A1039" s="10" t="s">
        <v>334</v>
      </c>
      <c r="B1039" s="10" t="s">
        <v>358</v>
      </c>
      <c r="C1039" s="124">
        <v>46352</v>
      </c>
      <c r="D1039" s="124" t="s">
        <v>471</v>
      </c>
      <c r="E1039" s="21">
        <v>0.97385273999999999</v>
      </c>
      <c r="F1039" s="10"/>
      <c r="G1039" s="14">
        <v>3102456.89</v>
      </c>
      <c r="H1039" s="14">
        <v>3021336.14</v>
      </c>
      <c r="I1039" s="14">
        <v>3102456.89</v>
      </c>
      <c r="J1039" s="14">
        <v>3021336.14</v>
      </c>
      <c r="K1039" s="12">
        <v>3515</v>
      </c>
      <c r="L1039" s="10" t="s">
        <v>101</v>
      </c>
      <c r="M1039" s="10" t="s">
        <v>102</v>
      </c>
      <c r="N1039" s="124" t="s">
        <v>449</v>
      </c>
      <c r="O1039" s="124" t="s">
        <v>449</v>
      </c>
      <c r="P1039" s="21">
        <v>35</v>
      </c>
      <c r="Q1039" s="10" t="s">
        <v>54</v>
      </c>
      <c r="R1039" s="10" t="s">
        <v>28</v>
      </c>
      <c r="S1039" s="10"/>
      <c r="T1039" s="10"/>
      <c r="U1039" s="10" t="s">
        <v>1953</v>
      </c>
      <c r="V1039" s="10" t="s">
        <v>1953</v>
      </c>
      <c r="W1039" s="50">
        <f>+J1039/$W$2</f>
        <v>3.697706273663164E-5</v>
      </c>
    </row>
    <row r="1040" spans="1:29">
      <c r="A1040" s="10" t="s">
        <v>334</v>
      </c>
      <c r="B1040" s="10" t="s">
        <v>358</v>
      </c>
      <c r="C1040" s="124">
        <v>46352</v>
      </c>
      <c r="D1040" s="124" t="s">
        <v>471</v>
      </c>
      <c r="E1040" s="21">
        <v>0.97385273000000006</v>
      </c>
      <c r="F1040" s="10"/>
      <c r="G1040" s="14">
        <v>4150625.28</v>
      </c>
      <c r="H1040" s="14">
        <v>4042097.77</v>
      </c>
      <c r="I1040" s="14">
        <v>4150625.28</v>
      </c>
      <c r="J1040" s="14">
        <v>4042097.77</v>
      </c>
      <c r="K1040" s="12">
        <v>3483</v>
      </c>
      <c r="L1040" s="10" t="s">
        <v>101</v>
      </c>
      <c r="M1040" s="10" t="s">
        <v>102</v>
      </c>
      <c r="N1040" s="124" t="s">
        <v>449</v>
      </c>
      <c r="O1040" s="124" t="s">
        <v>449</v>
      </c>
      <c r="P1040" s="21">
        <v>35</v>
      </c>
      <c r="Q1040" s="10" t="s">
        <v>54</v>
      </c>
      <c r="R1040" s="10" t="s">
        <v>28</v>
      </c>
      <c r="S1040" s="10"/>
      <c r="T1040" s="10"/>
      <c r="U1040" s="10" t="s">
        <v>1954</v>
      </c>
      <c r="V1040" s="10" t="s">
        <v>1954</v>
      </c>
      <c r="W1040" s="50">
        <f>+J1040/$W$2</f>
        <v>4.9469802730684858E-5</v>
      </c>
    </row>
    <row r="1041" spans="1:29">
      <c r="A1041" s="10" t="s">
        <v>334</v>
      </c>
      <c r="B1041" s="10" t="s">
        <v>358</v>
      </c>
      <c r="C1041" s="124">
        <v>46352</v>
      </c>
      <c r="D1041" s="124" t="s">
        <v>471</v>
      </c>
      <c r="E1041" s="21">
        <v>0.97385273999999999</v>
      </c>
      <c r="F1041" s="10"/>
      <c r="G1041" s="14">
        <v>1555000.5</v>
      </c>
      <c r="H1041" s="14">
        <v>1514341.49</v>
      </c>
      <c r="I1041" s="14">
        <v>1555000.5</v>
      </c>
      <c r="J1041" s="14">
        <v>1514341.49</v>
      </c>
      <c r="K1041" s="12">
        <v>3594</v>
      </c>
      <c r="L1041" s="10" t="s">
        <v>101</v>
      </c>
      <c r="M1041" s="10" t="s">
        <v>102</v>
      </c>
      <c r="N1041" s="124" t="s">
        <v>449</v>
      </c>
      <c r="O1041" s="124" t="s">
        <v>449</v>
      </c>
      <c r="P1041" s="21">
        <v>35</v>
      </c>
      <c r="Q1041" s="10" t="s">
        <v>54</v>
      </c>
      <c r="R1041" s="10" t="s">
        <v>28</v>
      </c>
      <c r="S1041" s="10"/>
      <c r="T1041" s="10"/>
      <c r="U1041" s="10" t="s">
        <v>1956</v>
      </c>
      <c r="V1041" s="10" t="s">
        <v>1956</v>
      </c>
      <c r="W1041" s="50">
        <f>+J1041/$W$2</f>
        <v>1.8533489054420218E-5</v>
      </c>
    </row>
    <row r="1042" spans="1:29">
      <c r="A1042" s="10" t="s">
        <v>334</v>
      </c>
      <c r="B1042" s="10" t="s">
        <v>358</v>
      </c>
      <c r="C1042" s="124">
        <v>46352</v>
      </c>
      <c r="D1042" s="124" t="s">
        <v>471</v>
      </c>
      <c r="E1042" s="21">
        <v>0.97385273999999999</v>
      </c>
      <c r="F1042" s="10"/>
      <c r="G1042" s="14">
        <v>1250300.6499999999</v>
      </c>
      <c r="H1042" s="14">
        <v>1217608.72</v>
      </c>
      <c r="I1042" s="14">
        <v>1250300.6499999999</v>
      </c>
      <c r="J1042" s="14">
        <v>1217608.72</v>
      </c>
      <c r="K1042" s="12">
        <v>3595</v>
      </c>
      <c r="L1042" s="10" t="s">
        <v>101</v>
      </c>
      <c r="M1042" s="10" t="s">
        <v>102</v>
      </c>
      <c r="N1042" s="124" t="s">
        <v>449</v>
      </c>
      <c r="O1042" s="124" t="s">
        <v>449</v>
      </c>
      <c r="P1042" s="21">
        <v>35</v>
      </c>
      <c r="Q1042" s="10" t="s">
        <v>54</v>
      </c>
      <c r="R1042" s="10" t="s">
        <v>28</v>
      </c>
      <c r="S1042" s="10"/>
      <c r="T1042" s="10"/>
      <c r="U1042" s="10" t="s">
        <v>1957</v>
      </c>
      <c r="V1042" s="10" t="s">
        <v>1957</v>
      </c>
      <c r="W1042" s="50">
        <f>+J1042/$W$2</f>
        <v>1.4901881797273224E-5</v>
      </c>
    </row>
    <row r="1043" spans="1:29">
      <c r="A1043" s="10" t="s">
        <v>1894</v>
      </c>
      <c r="B1043" s="10" t="s">
        <v>358</v>
      </c>
      <c r="C1043" s="124">
        <v>46352</v>
      </c>
      <c r="D1043" s="124" t="s">
        <v>471</v>
      </c>
      <c r="E1043" s="21">
        <v>0.97677166999999998</v>
      </c>
      <c r="F1043" s="10"/>
      <c r="G1043" s="14">
        <v>47373027.109999999</v>
      </c>
      <c r="H1043" s="14">
        <v>46272630.640000001</v>
      </c>
      <c r="I1043" s="14">
        <v>47373027.109999999</v>
      </c>
      <c r="J1043" s="14">
        <v>46272630.640000001</v>
      </c>
      <c r="K1043" s="12">
        <v>11412587</v>
      </c>
      <c r="L1043" s="10" t="s">
        <v>101</v>
      </c>
      <c r="M1043" s="10" t="s">
        <v>102</v>
      </c>
      <c r="N1043" s="124" t="s">
        <v>397</v>
      </c>
      <c r="O1043" s="124" t="s">
        <v>397</v>
      </c>
      <c r="P1043" s="21">
        <v>31</v>
      </c>
      <c r="Q1043" s="10" t="s">
        <v>54</v>
      </c>
      <c r="R1043" s="10" t="s">
        <v>28</v>
      </c>
      <c r="S1043" s="10"/>
      <c r="T1043" s="10"/>
      <c r="U1043" s="10" t="s">
        <v>1878</v>
      </c>
      <c r="V1043" s="10" t="s">
        <v>1878</v>
      </c>
      <c r="W1043" s="50">
        <f>+J1043/$W$2</f>
        <v>5.6631433474471442E-4</v>
      </c>
    </row>
    <row r="1044" spans="1:29">
      <c r="A1044" s="10" t="s">
        <v>2079</v>
      </c>
      <c r="B1044" s="10" t="s">
        <v>358</v>
      </c>
      <c r="C1044" s="124">
        <v>46352</v>
      </c>
      <c r="D1044" s="124" t="s">
        <v>471</v>
      </c>
      <c r="E1044" s="21">
        <v>0.97604031999999996</v>
      </c>
      <c r="F1044" s="10"/>
      <c r="G1044" s="14">
        <v>25000000</v>
      </c>
      <c r="H1044" s="14">
        <v>24401007.960000001</v>
      </c>
      <c r="I1044" s="14">
        <v>25000000</v>
      </c>
      <c r="J1044" s="14">
        <v>24401007.960000001</v>
      </c>
      <c r="K1044" s="12">
        <v>51407</v>
      </c>
      <c r="L1044" s="10" t="s">
        <v>101</v>
      </c>
      <c r="M1044" s="10" t="s">
        <v>102</v>
      </c>
      <c r="N1044" s="124" t="s">
        <v>576</v>
      </c>
      <c r="O1044" s="124" t="s">
        <v>576</v>
      </c>
      <c r="P1044" s="21">
        <v>32</v>
      </c>
      <c r="Q1044" s="10" t="s">
        <v>54</v>
      </c>
      <c r="R1044" s="10" t="s">
        <v>28</v>
      </c>
      <c r="S1044" s="10"/>
      <c r="T1044" s="10"/>
      <c r="U1044" s="10" t="s">
        <v>2359</v>
      </c>
      <c r="V1044" s="10" t="s">
        <v>2359</v>
      </c>
      <c r="W1044" s="50">
        <f>+J1044/$W$2</f>
        <v>2.9863529258746034E-4</v>
      </c>
    </row>
    <row r="1045" spans="1:29">
      <c r="A1045" s="10" t="s">
        <v>2219</v>
      </c>
      <c r="B1045" s="10" t="s">
        <v>358</v>
      </c>
      <c r="C1045" s="124">
        <v>46352</v>
      </c>
      <c r="D1045" s="124" t="s">
        <v>471</v>
      </c>
      <c r="E1045" s="21">
        <v>0.97530994999999998</v>
      </c>
      <c r="F1045" s="10"/>
      <c r="G1045" s="14">
        <v>182156</v>
      </c>
      <c r="H1045" s="14">
        <v>177658.56</v>
      </c>
      <c r="I1045" s="14">
        <v>182156</v>
      </c>
      <c r="J1045" s="14">
        <v>177658.56</v>
      </c>
      <c r="K1045" s="12">
        <v>2232882</v>
      </c>
      <c r="L1045" s="10" t="s">
        <v>101</v>
      </c>
      <c r="M1045" s="10" t="s">
        <v>102</v>
      </c>
      <c r="N1045" s="124" t="s">
        <v>478</v>
      </c>
      <c r="O1045" s="124" t="s">
        <v>478</v>
      </c>
      <c r="P1045" s="21">
        <v>33</v>
      </c>
      <c r="Q1045" s="10" t="s">
        <v>54</v>
      </c>
      <c r="R1045" s="10" t="s">
        <v>28</v>
      </c>
      <c r="S1045" s="10"/>
      <c r="T1045" s="10"/>
      <c r="U1045" s="10" t="s">
        <v>2197</v>
      </c>
      <c r="V1045" s="10" t="s">
        <v>2197</v>
      </c>
      <c r="W1045" s="50">
        <f>+J1045/$W$2</f>
        <v>2.1743001819121111E-6</v>
      </c>
    </row>
    <row r="1046" spans="1:29">
      <c r="A1046" s="10" t="s">
        <v>2222</v>
      </c>
      <c r="B1046" s="10" t="s">
        <v>358</v>
      </c>
      <c r="C1046" s="124">
        <v>46352</v>
      </c>
      <c r="D1046" s="124" t="s">
        <v>471</v>
      </c>
      <c r="E1046" s="21">
        <v>0.97530998999999996</v>
      </c>
      <c r="F1046" s="10"/>
      <c r="G1046" s="14">
        <v>6135324.1399999997</v>
      </c>
      <c r="H1046" s="14">
        <v>5983842.9199999999</v>
      </c>
      <c r="I1046" s="14">
        <v>6135324.1399999997</v>
      </c>
      <c r="J1046" s="14">
        <v>5983842.9199999999</v>
      </c>
      <c r="K1046" s="12">
        <v>149440</v>
      </c>
      <c r="L1046" s="10" t="s">
        <v>101</v>
      </c>
      <c r="M1046" s="10" t="s">
        <v>102</v>
      </c>
      <c r="N1046" s="124" t="s">
        <v>478</v>
      </c>
      <c r="O1046" s="124" t="s">
        <v>478</v>
      </c>
      <c r="P1046" s="21">
        <v>33</v>
      </c>
      <c r="Q1046" s="10" t="s">
        <v>54</v>
      </c>
      <c r="R1046" s="10" t="s">
        <v>28</v>
      </c>
      <c r="S1046" s="10"/>
      <c r="T1046" s="10"/>
      <c r="U1046" s="10" t="s">
        <v>2203</v>
      </c>
      <c r="V1046" s="10" t="s">
        <v>2203</v>
      </c>
      <c r="W1046" s="50">
        <f>+J1046/$W$2</f>
        <v>7.3234133775988615E-5</v>
      </c>
    </row>
    <row r="1047" spans="1:29">
      <c r="A1047" s="10" t="s">
        <v>2316</v>
      </c>
      <c r="B1047" s="10" t="s">
        <v>358</v>
      </c>
      <c r="C1047" s="124">
        <v>46352</v>
      </c>
      <c r="D1047" s="124" t="s">
        <v>471</v>
      </c>
      <c r="E1047" s="21">
        <v>0.97677163</v>
      </c>
      <c r="F1047" s="10"/>
      <c r="G1047" s="14">
        <v>1520907</v>
      </c>
      <c r="H1047" s="14">
        <v>1485578.81</v>
      </c>
      <c r="I1047" s="14">
        <v>1520907</v>
      </c>
      <c r="J1047" s="14">
        <v>1485578.81</v>
      </c>
      <c r="K1047" s="12">
        <v>1368988</v>
      </c>
      <c r="L1047" s="10" t="s">
        <v>101</v>
      </c>
      <c r="M1047" s="10" t="s">
        <v>102</v>
      </c>
      <c r="N1047" s="124" t="s">
        <v>439</v>
      </c>
      <c r="O1047" s="124" t="s">
        <v>439</v>
      </c>
      <c r="P1047" s="21">
        <v>31</v>
      </c>
      <c r="Q1047" s="10" t="s">
        <v>54</v>
      </c>
      <c r="R1047" s="10" t="s">
        <v>28</v>
      </c>
      <c r="S1047" s="10"/>
      <c r="T1047" s="10"/>
      <c r="U1047" s="10" t="s">
        <v>2256</v>
      </c>
      <c r="V1047" s="10" t="s">
        <v>2256</v>
      </c>
      <c r="W1047" s="50">
        <f>+J1047/$W$2</f>
        <v>1.8181472802817819E-5</v>
      </c>
    </row>
    <row r="1048" spans="1:29">
      <c r="A1048" s="10" t="s">
        <v>443</v>
      </c>
      <c r="B1048" s="10" t="s">
        <v>358</v>
      </c>
      <c r="C1048" s="124">
        <v>46352</v>
      </c>
      <c r="D1048" s="124" t="s">
        <v>471</v>
      </c>
      <c r="E1048" s="21">
        <v>0.97823758000000005</v>
      </c>
      <c r="F1048" s="10"/>
      <c r="G1048" s="14">
        <v>5000000</v>
      </c>
      <c r="H1048" s="14">
        <v>4891187.88</v>
      </c>
      <c r="I1048" s="14">
        <v>5000000</v>
      </c>
      <c r="J1048" s="14">
        <v>4891187.88</v>
      </c>
      <c r="K1048" s="12">
        <v>11481</v>
      </c>
      <c r="L1048" s="10" t="s">
        <v>101</v>
      </c>
      <c r="M1048" s="10" t="s">
        <v>102</v>
      </c>
      <c r="N1048" s="124" t="s">
        <v>449</v>
      </c>
      <c r="O1048" s="124" t="s">
        <v>449</v>
      </c>
      <c r="P1048" s="21">
        <v>29</v>
      </c>
      <c r="Q1048" s="10" t="s">
        <v>54</v>
      </c>
      <c r="R1048" s="10" t="s">
        <v>28</v>
      </c>
      <c r="S1048" s="10"/>
      <c r="T1048" s="10"/>
      <c r="U1048" s="10" t="s">
        <v>1935</v>
      </c>
      <c r="V1048" s="10" t="s">
        <v>1935</v>
      </c>
      <c r="W1048" s="50">
        <f>+J1048/$W$2</f>
        <v>5.9861515804531535E-5</v>
      </c>
    </row>
    <row r="1049" spans="1:29">
      <c r="A1049" s="10" t="s">
        <v>443</v>
      </c>
      <c r="B1049" s="10" t="s">
        <v>358</v>
      </c>
      <c r="C1049" s="124">
        <v>46352</v>
      </c>
      <c r="D1049" s="124" t="s">
        <v>471</v>
      </c>
      <c r="E1049" s="21">
        <v>0.97823758000000005</v>
      </c>
      <c r="F1049" s="10"/>
      <c r="G1049" s="14">
        <v>5000000</v>
      </c>
      <c r="H1049" s="14">
        <v>4891187.88</v>
      </c>
      <c r="I1049" s="14">
        <v>5000000</v>
      </c>
      <c r="J1049" s="14">
        <v>4891187.88</v>
      </c>
      <c r="K1049" s="12">
        <v>11480</v>
      </c>
      <c r="L1049" s="10" t="s">
        <v>101</v>
      </c>
      <c r="M1049" s="10" t="s">
        <v>102</v>
      </c>
      <c r="N1049" s="124" t="s">
        <v>449</v>
      </c>
      <c r="O1049" s="124" t="s">
        <v>449</v>
      </c>
      <c r="P1049" s="21">
        <v>29</v>
      </c>
      <c r="Q1049" s="10" t="s">
        <v>54</v>
      </c>
      <c r="R1049" s="10" t="s">
        <v>28</v>
      </c>
      <c r="S1049" s="10"/>
      <c r="T1049" s="10"/>
      <c r="U1049" s="10" t="s">
        <v>1936</v>
      </c>
      <c r="V1049" s="10" t="s">
        <v>1936</v>
      </c>
      <c r="W1049" s="50">
        <f>+J1049/$W$2</f>
        <v>5.9861515804531535E-5</v>
      </c>
      <c r="AC1049" s="47"/>
    </row>
    <row r="1050" spans="1:29">
      <c r="A1050" s="10" t="s">
        <v>443</v>
      </c>
      <c r="B1050" s="10" t="s">
        <v>358</v>
      </c>
      <c r="C1050" s="124">
        <v>46352</v>
      </c>
      <c r="D1050" s="124" t="s">
        <v>471</v>
      </c>
      <c r="E1050" s="21">
        <v>0.97823758000000005</v>
      </c>
      <c r="F1050" s="10"/>
      <c r="G1050" s="14">
        <v>5000000</v>
      </c>
      <c r="H1050" s="14">
        <v>4891187.88</v>
      </c>
      <c r="I1050" s="14">
        <v>5000000</v>
      </c>
      <c r="J1050" s="14">
        <v>4891187.88</v>
      </c>
      <c r="K1050" s="12">
        <v>11483</v>
      </c>
      <c r="L1050" s="10" t="s">
        <v>101</v>
      </c>
      <c r="M1050" s="10" t="s">
        <v>102</v>
      </c>
      <c r="N1050" s="124" t="s">
        <v>449</v>
      </c>
      <c r="O1050" s="124" t="s">
        <v>449</v>
      </c>
      <c r="P1050" s="21">
        <v>29</v>
      </c>
      <c r="Q1050" s="10" t="s">
        <v>54</v>
      </c>
      <c r="R1050" s="10" t="s">
        <v>28</v>
      </c>
      <c r="S1050" s="10"/>
      <c r="T1050" s="10"/>
      <c r="U1050" s="10" t="s">
        <v>1937</v>
      </c>
      <c r="V1050" s="10" t="s">
        <v>1937</v>
      </c>
      <c r="W1050" s="50">
        <f>+J1050/$W$2</f>
        <v>5.9861515804531535E-5</v>
      </c>
    </row>
    <row r="1051" spans="1:29">
      <c r="A1051" s="10" t="s">
        <v>443</v>
      </c>
      <c r="B1051" s="10" t="s">
        <v>358</v>
      </c>
      <c r="C1051" s="124">
        <v>46352</v>
      </c>
      <c r="D1051" s="124" t="s">
        <v>471</v>
      </c>
      <c r="E1051" s="21">
        <v>0.97823758000000005</v>
      </c>
      <c r="F1051" s="10"/>
      <c r="G1051" s="14">
        <v>5000000</v>
      </c>
      <c r="H1051" s="14">
        <v>4891187.88</v>
      </c>
      <c r="I1051" s="14">
        <v>5000000</v>
      </c>
      <c r="J1051" s="14">
        <v>4891187.88</v>
      </c>
      <c r="K1051" s="12">
        <v>11482</v>
      </c>
      <c r="L1051" s="10" t="s">
        <v>101</v>
      </c>
      <c r="M1051" s="10" t="s">
        <v>102</v>
      </c>
      <c r="N1051" s="124" t="s">
        <v>449</v>
      </c>
      <c r="O1051" s="124" t="s">
        <v>449</v>
      </c>
      <c r="P1051" s="21">
        <v>29</v>
      </c>
      <c r="Q1051" s="10" t="s">
        <v>54</v>
      </c>
      <c r="R1051" s="10" t="s">
        <v>28</v>
      </c>
      <c r="S1051" s="10"/>
      <c r="T1051" s="10"/>
      <c r="U1051" s="10" t="s">
        <v>1938</v>
      </c>
      <c r="V1051" s="10" t="s">
        <v>1938</v>
      </c>
      <c r="W1051" s="50">
        <f>+J1051/$W$2</f>
        <v>5.9861515804531535E-5</v>
      </c>
    </row>
    <row r="1052" spans="1:29">
      <c r="A1052" s="10" t="s">
        <v>443</v>
      </c>
      <c r="B1052" s="10" t="s">
        <v>358</v>
      </c>
      <c r="C1052" s="124">
        <v>46352</v>
      </c>
      <c r="D1052" s="124" t="s">
        <v>471</v>
      </c>
      <c r="E1052" s="21">
        <v>0.97970796999999998</v>
      </c>
      <c r="F1052" s="10"/>
      <c r="G1052" s="14">
        <v>20000000</v>
      </c>
      <c r="H1052" s="14">
        <v>19594159.359999999</v>
      </c>
      <c r="I1052" s="14">
        <v>20000000</v>
      </c>
      <c r="J1052" s="14">
        <v>19594159.359999999</v>
      </c>
      <c r="K1052" s="12">
        <v>1355</v>
      </c>
      <c r="L1052" s="10" t="s">
        <v>101</v>
      </c>
      <c r="M1052" s="10" t="s">
        <v>102</v>
      </c>
      <c r="N1052" s="124" t="s">
        <v>477</v>
      </c>
      <c r="O1052" s="124" t="s">
        <v>477</v>
      </c>
      <c r="P1052" s="21">
        <v>27</v>
      </c>
      <c r="Q1052" s="10" t="s">
        <v>54</v>
      </c>
      <c r="R1052" s="10" t="s">
        <v>28</v>
      </c>
      <c r="S1052" s="10"/>
      <c r="T1052" s="10"/>
      <c r="U1052" s="10" t="s">
        <v>2382</v>
      </c>
      <c r="V1052" s="10" t="s">
        <v>2382</v>
      </c>
      <c r="W1052" s="50">
        <f>+J1052/$W$2</f>
        <v>2.3980597535442648E-4</v>
      </c>
      <c r="AC1052" s="47"/>
    </row>
    <row r="1053" spans="1:29">
      <c r="A1053" s="10" t="s">
        <v>443</v>
      </c>
      <c r="B1053" s="10" t="s">
        <v>358</v>
      </c>
      <c r="C1053" s="124">
        <v>46352</v>
      </c>
      <c r="D1053" s="124" t="s">
        <v>471</v>
      </c>
      <c r="E1053" s="21">
        <v>0.97897226999999998</v>
      </c>
      <c r="F1053" s="10"/>
      <c r="G1053" s="14">
        <v>32500000</v>
      </c>
      <c r="H1053" s="14">
        <v>31816598.699999999</v>
      </c>
      <c r="I1053" s="14">
        <v>32500000</v>
      </c>
      <c r="J1053" s="14">
        <v>31816598.699999999</v>
      </c>
      <c r="K1053" s="12">
        <v>1367869</v>
      </c>
      <c r="L1053" s="10" t="s">
        <v>101</v>
      </c>
      <c r="M1053" s="10" t="s">
        <v>102</v>
      </c>
      <c r="N1053" s="124" t="s">
        <v>439</v>
      </c>
      <c r="O1053" s="124" t="s">
        <v>439</v>
      </c>
      <c r="P1053" s="21">
        <v>28</v>
      </c>
      <c r="Q1053" s="10" t="s">
        <v>54</v>
      </c>
      <c r="R1053" s="10" t="s">
        <v>28</v>
      </c>
      <c r="S1053" s="10"/>
      <c r="T1053" s="10"/>
      <c r="U1053" s="10" t="s">
        <v>2237</v>
      </c>
      <c r="V1053" s="10" t="s">
        <v>2237</v>
      </c>
      <c r="W1053" s="50">
        <f>+J1053/$W$2</f>
        <v>3.8939208074879504E-4</v>
      </c>
    </row>
    <row r="1054" spans="1:29">
      <c r="A1054" s="10" t="s">
        <v>443</v>
      </c>
      <c r="B1054" s="10" t="s">
        <v>358</v>
      </c>
      <c r="C1054" s="124">
        <v>46352</v>
      </c>
      <c r="D1054" s="124" t="s">
        <v>471</v>
      </c>
      <c r="E1054" s="21">
        <v>0.97970798000000003</v>
      </c>
      <c r="F1054" s="10"/>
      <c r="G1054" s="14">
        <v>5000000</v>
      </c>
      <c r="H1054" s="14">
        <v>4898539.9000000004</v>
      </c>
      <c r="I1054" s="14">
        <v>5000000</v>
      </c>
      <c r="J1054" s="14">
        <v>4898539.9000000004</v>
      </c>
      <c r="K1054" s="12">
        <v>40740204</v>
      </c>
      <c r="L1054" s="10" t="s">
        <v>101</v>
      </c>
      <c r="M1054" s="10" t="s">
        <v>102</v>
      </c>
      <c r="N1054" s="124" t="s">
        <v>449</v>
      </c>
      <c r="O1054" s="124" t="s">
        <v>449</v>
      </c>
      <c r="P1054" s="21">
        <v>27</v>
      </c>
      <c r="Q1054" s="10" t="s">
        <v>54</v>
      </c>
      <c r="R1054" s="10" t="s">
        <v>28</v>
      </c>
      <c r="S1054" s="10"/>
      <c r="T1054" s="10"/>
      <c r="U1054" s="10" t="s">
        <v>2010</v>
      </c>
      <c r="V1054" s="10" t="s">
        <v>2010</v>
      </c>
      <c r="W1054" s="50">
        <f>+J1054/$W$2</f>
        <v>5.9951494572925368E-5</v>
      </c>
    </row>
    <row r="1055" spans="1:29">
      <c r="A1055" s="10" t="s">
        <v>443</v>
      </c>
      <c r="B1055" s="10" t="s">
        <v>358</v>
      </c>
      <c r="C1055" s="124">
        <v>46352</v>
      </c>
      <c r="D1055" s="124" t="s">
        <v>471</v>
      </c>
      <c r="E1055" s="21">
        <v>0.97970798000000003</v>
      </c>
      <c r="F1055" s="10"/>
      <c r="G1055" s="14">
        <v>5000000</v>
      </c>
      <c r="H1055" s="14">
        <v>4898539.9000000004</v>
      </c>
      <c r="I1055" s="14">
        <v>5000000</v>
      </c>
      <c r="J1055" s="14">
        <v>4898539.9000000004</v>
      </c>
      <c r="K1055" s="12">
        <v>40740212</v>
      </c>
      <c r="L1055" s="10" t="s">
        <v>101</v>
      </c>
      <c r="M1055" s="10" t="s">
        <v>102</v>
      </c>
      <c r="N1055" s="124" t="s">
        <v>449</v>
      </c>
      <c r="O1055" s="124" t="s">
        <v>449</v>
      </c>
      <c r="P1055" s="21">
        <v>27</v>
      </c>
      <c r="Q1055" s="10" t="s">
        <v>54</v>
      </c>
      <c r="R1055" s="10" t="s">
        <v>28</v>
      </c>
      <c r="S1055" s="10"/>
      <c r="T1055" s="10"/>
      <c r="U1055" s="10" t="s">
        <v>2011</v>
      </c>
      <c r="V1055" s="10" t="s">
        <v>2011</v>
      </c>
      <c r="W1055" s="50">
        <f>+J1055/$W$2</f>
        <v>5.9951494572925368E-5</v>
      </c>
    </row>
    <row r="1056" spans="1:29">
      <c r="A1056" s="10" t="s">
        <v>443</v>
      </c>
      <c r="B1056" s="10" t="s">
        <v>358</v>
      </c>
      <c r="C1056" s="124">
        <v>46352</v>
      </c>
      <c r="D1056" s="124" t="s">
        <v>471</v>
      </c>
      <c r="E1056" s="21">
        <v>0.97970816000000005</v>
      </c>
      <c r="F1056" s="10"/>
      <c r="G1056" s="14">
        <v>19375412.52</v>
      </c>
      <c r="H1056" s="14">
        <v>18982249.670000002</v>
      </c>
      <c r="I1056" s="14">
        <v>19375412.52</v>
      </c>
      <c r="J1056" s="14">
        <v>18982249.670000002</v>
      </c>
      <c r="K1056" s="12">
        <v>3285</v>
      </c>
      <c r="L1056" s="10" t="s">
        <v>101</v>
      </c>
      <c r="M1056" s="10" t="s">
        <v>102</v>
      </c>
      <c r="N1056" s="124" t="s">
        <v>474</v>
      </c>
      <c r="O1056" s="124" t="s">
        <v>474</v>
      </c>
      <c r="P1056" s="21">
        <v>27</v>
      </c>
      <c r="Q1056" s="10" t="s">
        <v>54</v>
      </c>
      <c r="R1056" s="10" t="s">
        <v>28</v>
      </c>
      <c r="S1056" s="10"/>
      <c r="T1056" s="10"/>
      <c r="U1056" s="10" t="s">
        <v>3861</v>
      </c>
      <c r="V1056" s="10" t="s">
        <v>3861</v>
      </c>
      <c r="W1056" s="50">
        <f>+J1056/$W$2</f>
        <v>2.3231702942195479E-4</v>
      </c>
    </row>
    <row r="1057" spans="1:29">
      <c r="A1057" s="10" t="s">
        <v>2016</v>
      </c>
      <c r="B1057" s="10" t="s">
        <v>358</v>
      </c>
      <c r="C1057" s="124">
        <v>46352</v>
      </c>
      <c r="D1057" s="124" t="s">
        <v>471</v>
      </c>
      <c r="E1057" s="21">
        <v>0.98044483000000004</v>
      </c>
      <c r="F1057" s="10"/>
      <c r="G1057" s="14">
        <v>8752704.4100000001</v>
      </c>
      <c r="H1057" s="14">
        <v>8581543.7599999998</v>
      </c>
      <c r="I1057" s="14">
        <v>8752704.4100000001</v>
      </c>
      <c r="J1057" s="14">
        <v>8581543.7599999998</v>
      </c>
      <c r="K1057" s="12">
        <v>69934156</v>
      </c>
      <c r="L1057" s="10" t="s">
        <v>101</v>
      </c>
      <c r="M1057" s="10" t="s">
        <v>102</v>
      </c>
      <c r="N1057" s="124" t="s">
        <v>477</v>
      </c>
      <c r="O1057" s="124" t="s">
        <v>477</v>
      </c>
      <c r="P1057" s="21">
        <v>26</v>
      </c>
      <c r="Q1057" s="10" t="s">
        <v>54</v>
      </c>
      <c r="R1057" s="10" t="s">
        <v>28</v>
      </c>
      <c r="S1057" s="10"/>
      <c r="T1057" s="10"/>
      <c r="U1057" s="10" t="s">
        <v>2378</v>
      </c>
      <c r="V1057" s="10" t="s">
        <v>2378</v>
      </c>
      <c r="W1057" s="50">
        <f>+J1057/$W$2</f>
        <v>1.0502647414486948E-4</v>
      </c>
    </row>
    <row r="1058" spans="1:29">
      <c r="A1058" s="10" t="s">
        <v>2016</v>
      </c>
      <c r="B1058" s="10" t="s">
        <v>358</v>
      </c>
      <c r="C1058" s="124">
        <v>46352</v>
      </c>
      <c r="D1058" s="124" t="s">
        <v>471</v>
      </c>
      <c r="E1058" s="21">
        <v>0.98044485000000003</v>
      </c>
      <c r="F1058" s="10"/>
      <c r="G1058" s="14">
        <v>1159427.3899999999</v>
      </c>
      <c r="H1058" s="14">
        <v>1136754.6100000001</v>
      </c>
      <c r="I1058" s="14">
        <v>1159427.3899999999</v>
      </c>
      <c r="J1058" s="14">
        <v>1136754.6100000001</v>
      </c>
      <c r="K1058" s="12">
        <v>14587450</v>
      </c>
      <c r="L1058" s="10" t="s">
        <v>101</v>
      </c>
      <c r="M1058" s="10" t="s">
        <v>102</v>
      </c>
      <c r="N1058" s="124" t="s">
        <v>477</v>
      </c>
      <c r="O1058" s="124" t="s">
        <v>477</v>
      </c>
      <c r="P1058" s="21">
        <v>26</v>
      </c>
      <c r="Q1058" s="10" t="s">
        <v>54</v>
      </c>
      <c r="R1058" s="10" t="s">
        <v>28</v>
      </c>
      <c r="S1058" s="10"/>
      <c r="T1058" s="10"/>
      <c r="U1058" s="10" t="s">
        <v>2380</v>
      </c>
      <c r="V1058" s="10" t="s">
        <v>2380</v>
      </c>
      <c r="W1058" s="50">
        <f>+J1058/$W$2</f>
        <v>1.3912336986815785E-5</v>
      </c>
    </row>
    <row r="1059" spans="1:29">
      <c r="A1059" s="10" t="s">
        <v>1636</v>
      </c>
      <c r="B1059" s="10" t="s">
        <v>358</v>
      </c>
      <c r="C1059" s="124">
        <v>46352</v>
      </c>
      <c r="D1059" s="124" t="s">
        <v>471</v>
      </c>
      <c r="E1059" s="21">
        <v>0.97531007000000003</v>
      </c>
      <c r="F1059" s="10"/>
      <c r="G1059" s="14">
        <v>11255045.75</v>
      </c>
      <c r="H1059" s="14">
        <v>10977159.4</v>
      </c>
      <c r="I1059" s="14">
        <v>11255045.75</v>
      </c>
      <c r="J1059" s="14">
        <v>10977159.4</v>
      </c>
      <c r="K1059" s="12">
        <v>90001623</v>
      </c>
      <c r="L1059" s="10" t="s">
        <v>101</v>
      </c>
      <c r="M1059" s="10" t="s">
        <v>102</v>
      </c>
      <c r="N1059" s="124" t="s">
        <v>603</v>
      </c>
      <c r="O1059" s="124" t="s">
        <v>603</v>
      </c>
      <c r="P1059" s="21">
        <v>33</v>
      </c>
      <c r="Q1059" s="10" t="s">
        <v>54</v>
      </c>
      <c r="R1059" s="10" t="s">
        <v>28</v>
      </c>
      <c r="S1059" s="10"/>
      <c r="T1059" s="10"/>
      <c r="U1059" s="10" t="s">
        <v>2605</v>
      </c>
      <c r="V1059" s="10" t="s">
        <v>2605</v>
      </c>
      <c r="W1059" s="50">
        <f>+J1059/$W$2</f>
        <v>1.3434556533779314E-4</v>
      </c>
      <c r="AC1059" s="47"/>
    </row>
    <row r="1060" spans="1:29">
      <c r="A1060" s="10" t="s">
        <v>1746</v>
      </c>
      <c r="B1060" s="10" t="s">
        <v>358</v>
      </c>
      <c r="C1060" s="124">
        <v>46352</v>
      </c>
      <c r="D1060" s="124" t="s">
        <v>471</v>
      </c>
      <c r="E1060" s="21">
        <v>0.97530998999999996</v>
      </c>
      <c r="F1060" s="10"/>
      <c r="G1060" s="14">
        <v>6590432.0999999996</v>
      </c>
      <c r="H1060" s="14">
        <v>6427714.29</v>
      </c>
      <c r="I1060" s="14">
        <v>6590432.0999999996</v>
      </c>
      <c r="J1060" s="14">
        <v>6427714.29</v>
      </c>
      <c r="K1060" s="12">
        <v>14100645</v>
      </c>
      <c r="L1060" s="10" t="s">
        <v>101</v>
      </c>
      <c r="M1060" s="10" t="s">
        <v>102</v>
      </c>
      <c r="N1060" s="124" t="s">
        <v>398</v>
      </c>
      <c r="O1060" s="124" t="s">
        <v>398</v>
      </c>
      <c r="P1060" s="21">
        <v>33</v>
      </c>
      <c r="Q1060" s="10" t="s">
        <v>54</v>
      </c>
      <c r="R1060" s="10" t="s">
        <v>28</v>
      </c>
      <c r="S1060" s="10"/>
      <c r="T1060" s="10"/>
      <c r="U1060" s="10" t="s">
        <v>1668</v>
      </c>
      <c r="V1060" s="10" t="s">
        <v>1668</v>
      </c>
      <c r="W1060" s="50">
        <f>+J1060/$W$2</f>
        <v>7.866651823602577E-5</v>
      </c>
    </row>
    <row r="1061" spans="1:29">
      <c r="A1061" s="10" t="s">
        <v>1758</v>
      </c>
      <c r="B1061" s="10" t="s">
        <v>358</v>
      </c>
      <c r="C1061" s="124">
        <v>46352</v>
      </c>
      <c r="D1061" s="124" t="s">
        <v>471</v>
      </c>
      <c r="E1061" s="21">
        <v>0.97604025000000005</v>
      </c>
      <c r="F1061" s="10"/>
      <c r="G1061" s="14">
        <v>1620000</v>
      </c>
      <c r="H1061" s="14">
        <v>1581185.21</v>
      </c>
      <c r="I1061" s="14">
        <v>1620000</v>
      </c>
      <c r="J1061" s="14">
        <v>1581185.21</v>
      </c>
      <c r="K1061" s="12">
        <v>3410387</v>
      </c>
      <c r="L1061" s="10" t="s">
        <v>101</v>
      </c>
      <c r="M1061" s="10" t="s">
        <v>102</v>
      </c>
      <c r="N1061" s="124" t="s">
        <v>398</v>
      </c>
      <c r="O1061" s="124" t="s">
        <v>398</v>
      </c>
      <c r="P1061" s="21">
        <v>32</v>
      </c>
      <c r="Q1061" s="10" t="s">
        <v>54</v>
      </c>
      <c r="R1061" s="10" t="s">
        <v>28</v>
      </c>
      <c r="S1061" s="10"/>
      <c r="T1061" s="10"/>
      <c r="U1061" s="10" t="s">
        <v>1724</v>
      </c>
      <c r="V1061" s="10" t="s">
        <v>1724</v>
      </c>
      <c r="W1061" s="50">
        <f>+J1061/$W$2</f>
        <v>1.9351565664720798E-5</v>
      </c>
    </row>
    <row r="1062" spans="1:29">
      <c r="A1062" s="10" t="s">
        <v>2758</v>
      </c>
      <c r="B1062" s="10" t="s">
        <v>358</v>
      </c>
      <c r="C1062" s="124">
        <v>46352</v>
      </c>
      <c r="D1062" s="124" t="s">
        <v>471</v>
      </c>
      <c r="E1062" s="21">
        <v>0.97897230000000002</v>
      </c>
      <c r="F1062" s="10"/>
      <c r="G1062" s="14">
        <v>740000</v>
      </c>
      <c r="H1062" s="14">
        <v>724439.5</v>
      </c>
      <c r="I1062" s="14">
        <v>740000</v>
      </c>
      <c r="J1062" s="14">
        <v>724439.5</v>
      </c>
      <c r="K1062" s="12">
        <v>69998589</v>
      </c>
      <c r="L1062" s="10" t="s">
        <v>101</v>
      </c>
      <c r="M1062" s="10" t="s">
        <v>102</v>
      </c>
      <c r="N1062" s="124" t="s">
        <v>411</v>
      </c>
      <c r="O1062" s="124" t="s">
        <v>411</v>
      </c>
      <c r="P1062" s="21">
        <v>28</v>
      </c>
      <c r="Q1062" s="10" t="s">
        <v>54</v>
      </c>
      <c r="R1062" s="10" t="s">
        <v>28</v>
      </c>
      <c r="S1062" s="10"/>
      <c r="T1062" s="10"/>
      <c r="U1062" s="10" t="s">
        <v>2950</v>
      </c>
      <c r="V1062" s="10" t="s">
        <v>2950</v>
      </c>
      <c r="W1062" s="50">
        <f>+J1062/$W$2</f>
        <v>8.8661584144007407E-6</v>
      </c>
    </row>
    <row r="1063" spans="1:29">
      <c r="A1063" s="10" t="s">
        <v>2758</v>
      </c>
      <c r="B1063" s="10" t="s">
        <v>358</v>
      </c>
      <c r="C1063" s="124">
        <v>46352</v>
      </c>
      <c r="D1063" s="124" t="s">
        <v>471</v>
      </c>
      <c r="E1063" s="21">
        <v>0.97897228999999997</v>
      </c>
      <c r="F1063" s="10"/>
      <c r="G1063" s="14">
        <v>1992000</v>
      </c>
      <c r="H1063" s="14">
        <v>1950112.81</v>
      </c>
      <c r="I1063" s="14">
        <v>1992000</v>
      </c>
      <c r="J1063" s="14">
        <v>1950112.81</v>
      </c>
      <c r="K1063" s="12">
        <v>10360678</v>
      </c>
      <c r="L1063" s="10" t="s">
        <v>101</v>
      </c>
      <c r="M1063" s="10" t="s">
        <v>102</v>
      </c>
      <c r="N1063" s="124" t="s">
        <v>411</v>
      </c>
      <c r="O1063" s="124" t="s">
        <v>411</v>
      </c>
      <c r="P1063" s="21">
        <v>28</v>
      </c>
      <c r="Q1063" s="10" t="s">
        <v>54</v>
      </c>
      <c r="R1063" s="10" t="s">
        <v>28</v>
      </c>
      <c r="S1063" s="10"/>
      <c r="T1063" s="10"/>
      <c r="U1063" s="10" t="s">
        <v>2951</v>
      </c>
      <c r="V1063" s="10" t="s">
        <v>2951</v>
      </c>
      <c r="W1063" s="50">
        <f>+J1063/$W$2</f>
        <v>2.3866739871876359E-5</v>
      </c>
    </row>
    <row r="1064" spans="1:29">
      <c r="A1064" s="10" t="s">
        <v>453</v>
      </c>
      <c r="B1064" s="10" t="s">
        <v>358</v>
      </c>
      <c r="C1064" s="124">
        <v>46352</v>
      </c>
      <c r="D1064" s="124" t="s">
        <v>471</v>
      </c>
      <c r="E1064" s="21">
        <v>0.97970796999999998</v>
      </c>
      <c r="F1064" s="10"/>
      <c r="G1064" s="14">
        <v>8268850</v>
      </c>
      <c r="H1064" s="14">
        <v>8101058.2400000002</v>
      </c>
      <c r="I1064" s="14">
        <v>8268850</v>
      </c>
      <c r="J1064" s="14">
        <v>8101058.2400000002</v>
      </c>
      <c r="K1064" s="12">
        <v>40830425</v>
      </c>
      <c r="L1064" s="10" t="s">
        <v>101</v>
      </c>
      <c r="M1064" s="10" t="s">
        <v>102</v>
      </c>
      <c r="N1064" s="124" t="s">
        <v>477</v>
      </c>
      <c r="O1064" s="124" t="s">
        <v>477</v>
      </c>
      <c r="P1064" s="21">
        <v>27</v>
      </c>
      <c r="Q1064" s="10" t="s">
        <v>54</v>
      </c>
      <c r="R1064" s="10" t="s">
        <v>28</v>
      </c>
      <c r="S1064" s="10"/>
      <c r="T1064" s="10"/>
      <c r="U1064" s="10" t="s">
        <v>2391</v>
      </c>
      <c r="V1064" s="10" t="s">
        <v>2391</v>
      </c>
      <c r="W1064" s="50">
        <f>+J1064/$W$2</f>
        <v>9.9145982073211721E-5</v>
      </c>
    </row>
    <row r="1065" spans="1:29">
      <c r="A1065" s="10" t="s">
        <v>453</v>
      </c>
      <c r="B1065" s="10" t="s">
        <v>358</v>
      </c>
      <c r="C1065" s="124">
        <v>46352</v>
      </c>
      <c r="D1065" s="124" t="s">
        <v>471</v>
      </c>
      <c r="E1065" s="21">
        <v>0.97970796999999998</v>
      </c>
      <c r="F1065" s="10"/>
      <c r="G1065" s="14">
        <v>46583450</v>
      </c>
      <c r="H1065" s="14">
        <v>45638177.140000001</v>
      </c>
      <c r="I1065" s="14">
        <v>46583450</v>
      </c>
      <c r="J1065" s="14">
        <v>45638177.140000001</v>
      </c>
      <c r="K1065" s="12">
        <v>40830424</v>
      </c>
      <c r="L1065" s="10" t="s">
        <v>101</v>
      </c>
      <c r="M1065" s="10" t="s">
        <v>102</v>
      </c>
      <c r="N1065" s="124" t="s">
        <v>477</v>
      </c>
      <c r="O1065" s="124" t="s">
        <v>477</v>
      </c>
      <c r="P1065" s="21">
        <v>27</v>
      </c>
      <c r="Q1065" s="10" t="s">
        <v>54</v>
      </c>
      <c r="R1065" s="10" t="s">
        <v>28</v>
      </c>
      <c r="S1065" s="10"/>
      <c r="T1065" s="10"/>
      <c r="U1065" s="10" t="s">
        <v>2392</v>
      </c>
      <c r="V1065" s="10" t="s">
        <v>2392</v>
      </c>
      <c r="W1065" s="50">
        <f>+J1065/$W$2</f>
        <v>5.5854948310759221E-4</v>
      </c>
    </row>
    <row r="1066" spans="1:29">
      <c r="A1066" s="10" t="s">
        <v>1608</v>
      </c>
      <c r="B1066" s="10" t="s">
        <v>358</v>
      </c>
      <c r="C1066" s="124">
        <v>46352</v>
      </c>
      <c r="D1066" s="124" t="s">
        <v>471</v>
      </c>
      <c r="E1066" s="21">
        <v>0.97530998000000002</v>
      </c>
      <c r="F1066" s="10"/>
      <c r="G1066" s="14">
        <v>24730000</v>
      </c>
      <c r="H1066" s="14">
        <v>24119415.850000001</v>
      </c>
      <c r="I1066" s="14">
        <v>24730000</v>
      </c>
      <c r="J1066" s="14">
        <v>24119415.850000001</v>
      </c>
      <c r="K1066" s="12">
        <v>197</v>
      </c>
      <c r="L1066" s="10" t="s">
        <v>101</v>
      </c>
      <c r="M1066" s="10" t="s">
        <v>102</v>
      </c>
      <c r="N1066" s="124" t="s">
        <v>487</v>
      </c>
      <c r="O1066" s="124" t="s">
        <v>487</v>
      </c>
      <c r="P1066" s="21">
        <v>33</v>
      </c>
      <c r="Q1066" s="10" t="s">
        <v>54</v>
      </c>
      <c r="R1066" s="10" t="s">
        <v>28</v>
      </c>
      <c r="S1066" s="10"/>
      <c r="T1066" s="10"/>
      <c r="U1066" s="10" t="s">
        <v>1574</v>
      </c>
      <c r="V1066" s="10" t="s">
        <v>1574</v>
      </c>
      <c r="W1066" s="50">
        <f>+J1066/$W$2</f>
        <v>2.9518898650461237E-4</v>
      </c>
    </row>
    <row r="1067" spans="1:29">
      <c r="A1067" s="10" t="s">
        <v>453</v>
      </c>
      <c r="B1067" s="10" t="s">
        <v>358</v>
      </c>
      <c r="C1067" s="124">
        <v>46352</v>
      </c>
      <c r="D1067" s="124" t="s">
        <v>471</v>
      </c>
      <c r="E1067" s="21">
        <v>0.97970800999999996</v>
      </c>
      <c r="F1067" s="10"/>
      <c r="G1067" s="14">
        <v>25000000</v>
      </c>
      <c r="H1067" s="14">
        <v>24492700.16</v>
      </c>
      <c r="I1067" s="14">
        <v>25000000</v>
      </c>
      <c r="J1067" s="14">
        <v>24492700.16</v>
      </c>
      <c r="K1067" s="12">
        <v>9508923</v>
      </c>
      <c r="L1067" s="10" t="s">
        <v>101</v>
      </c>
      <c r="M1067" s="10" t="s">
        <v>102</v>
      </c>
      <c r="N1067" s="124" t="s">
        <v>476</v>
      </c>
      <c r="O1067" s="124" t="s">
        <v>476</v>
      </c>
      <c r="P1067" s="21">
        <v>27</v>
      </c>
      <c r="Q1067" s="10" t="s">
        <v>54</v>
      </c>
      <c r="R1067" s="10" t="s">
        <v>28</v>
      </c>
      <c r="S1067" s="10"/>
      <c r="T1067" s="10"/>
      <c r="U1067" s="10" t="s">
        <v>684</v>
      </c>
      <c r="V1067" s="10" t="s">
        <v>684</v>
      </c>
      <c r="W1067" s="50">
        <f>+J1067/$W$2</f>
        <v>2.9975748094213301E-4</v>
      </c>
    </row>
    <row r="1068" spans="1:29">
      <c r="A1068" s="10" t="s">
        <v>453</v>
      </c>
      <c r="B1068" s="10" t="s">
        <v>358</v>
      </c>
      <c r="C1068" s="124">
        <v>46352</v>
      </c>
      <c r="D1068" s="124" t="s">
        <v>471</v>
      </c>
      <c r="E1068" s="21">
        <v>0.98044487000000002</v>
      </c>
      <c r="F1068" s="10"/>
      <c r="G1068" s="14">
        <v>15000000</v>
      </c>
      <c r="H1068" s="14">
        <v>14706673.060000001</v>
      </c>
      <c r="I1068" s="14">
        <v>15000000</v>
      </c>
      <c r="J1068" s="14">
        <v>14706673.060000001</v>
      </c>
      <c r="K1068" s="12">
        <v>20411017</v>
      </c>
      <c r="L1068" s="10" t="s">
        <v>101</v>
      </c>
      <c r="M1068" s="10" t="s">
        <v>102</v>
      </c>
      <c r="N1068" s="124" t="s">
        <v>308</v>
      </c>
      <c r="O1068" s="124" t="s">
        <v>308</v>
      </c>
      <c r="P1068" s="21">
        <v>26</v>
      </c>
      <c r="Q1068" s="10" t="s">
        <v>54</v>
      </c>
      <c r="R1068" s="10" t="s">
        <v>28</v>
      </c>
      <c r="S1068" s="10"/>
      <c r="T1068" s="10"/>
      <c r="U1068" s="10" t="s">
        <v>738</v>
      </c>
      <c r="V1068" s="10" t="s">
        <v>738</v>
      </c>
      <c r="W1068" s="50">
        <f>+J1068/$W$2</f>
        <v>1.7998976187626393E-4</v>
      </c>
    </row>
    <row r="1069" spans="1:29">
      <c r="A1069" s="10" t="s">
        <v>443</v>
      </c>
      <c r="B1069" s="10" t="s">
        <v>358</v>
      </c>
      <c r="C1069" s="124">
        <v>46352</v>
      </c>
      <c r="D1069" s="124" t="s">
        <v>471</v>
      </c>
      <c r="E1069" s="21">
        <v>0.97677164000000005</v>
      </c>
      <c r="F1069" s="10"/>
      <c r="G1069" s="14">
        <v>60000000</v>
      </c>
      <c r="H1069" s="14">
        <v>58606298.329999998</v>
      </c>
      <c r="I1069" s="14">
        <v>60000000</v>
      </c>
      <c r="J1069" s="14">
        <v>58606298.329999998</v>
      </c>
      <c r="K1069" s="12">
        <v>80939924</v>
      </c>
      <c r="L1069" s="10" t="s">
        <v>101</v>
      </c>
      <c r="M1069" s="10" t="s">
        <v>102</v>
      </c>
      <c r="N1069" s="124" t="s">
        <v>365</v>
      </c>
      <c r="O1069" s="124" t="s">
        <v>365</v>
      </c>
      <c r="P1069" s="21">
        <v>31</v>
      </c>
      <c r="Q1069" s="10" t="s">
        <v>54</v>
      </c>
      <c r="R1069" s="10" t="s">
        <v>28</v>
      </c>
      <c r="S1069" s="10"/>
      <c r="T1069" s="10"/>
      <c r="U1069" s="10" t="s">
        <v>1316</v>
      </c>
      <c r="V1069" s="10" t="s">
        <v>1316</v>
      </c>
      <c r="W1069" s="50">
        <f>+J1069/$W$2</f>
        <v>7.1726172451310236E-4</v>
      </c>
    </row>
    <row r="1070" spans="1:29">
      <c r="A1070" s="10" t="s">
        <v>206</v>
      </c>
      <c r="B1070" s="10" t="s">
        <v>358</v>
      </c>
      <c r="C1070" s="124">
        <v>46352</v>
      </c>
      <c r="D1070" s="124" t="s">
        <v>471</v>
      </c>
      <c r="E1070" s="21">
        <v>0.97530996000000003</v>
      </c>
      <c r="F1070" s="10"/>
      <c r="G1070" s="14">
        <v>2170000</v>
      </c>
      <c r="H1070" s="14">
        <v>2116422.62</v>
      </c>
      <c r="I1070" s="14">
        <v>2170000</v>
      </c>
      <c r="J1070" s="14">
        <v>2116422.62</v>
      </c>
      <c r="K1070" s="12">
        <v>260738</v>
      </c>
      <c r="L1070" s="10" t="s">
        <v>101</v>
      </c>
      <c r="M1070" s="10" t="s">
        <v>102</v>
      </c>
      <c r="N1070" s="124" t="s">
        <v>479</v>
      </c>
      <c r="O1070" s="124" t="s">
        <v>479</v>
      </c>
      <c r="P1070" s="21">
        <v>33</v>
      </c>
      <c r="Q1070" s="10" t="s">
        <v>54</v>
      </c>
      <c r="R1070" s="10" t="s">
        <v>28</v>
      </c>
      <c r="S1070" s="10"/>
      <c r="T1070" s="10"/>
      <c r="U1070" s="10" t="s">
        <v>1218</v>
      </c>
      <c r="V1070" s="10" t="s">
        <v>1218</v>
      </c>
      <c r="W1070" s="50">
        <f>+J1070/$W$2</f>
        <v>2.5902146722729866E-5</v>
      </c>
    </row>
    <row r="1071" spans="1:29">
      <c r="A1071" s="10" t="s">
        <v>2487</v>
      </c>
      <c r="B1071" s="10" t="s">
        <v>358</v>
      </c>
      <c r="C1071" s="124">
        <v>46352</v>
      </c>
      <c r="D1071" s="124" t="s">
        <v>471</v>
      </c>
      <c r="E1071" s="21">
        <v>0.97531005999999998</v>
      </c>
      <c r="F1071" s="10"/>
      <c r="G1071" s="14">
        <v>95000000</v>
      </c>
      <c r="H1071" s="14">
        <v>92654456.120000005</v>
      </c>
      <c r="I1071" s="14">
        <v>95000000</v>
      </c>
      <c r="J1071" s="14">
        <v>92654456.120000005</v>
      </c>
      <c r="K1071" s="12">
        <v>3109</v>
      </c>
      <c r="L1071" s="10" t="s">
        <v>101</v>
      </c>
      <c r="M1071" s="10" t="s">
        <v>102</v>
      </c>
      <c r="N1071" s="124" t="s">
        <v>603</v>
      </c>
      <c r="O1071" s="124" t="s">
        <v>603</v>
      </c>
      <c r="P1071" s="21">
        <v>33</v>
      </c>
      <c r="Q1071" s="10" t="s">
        <v>54</v>
      </c>
      <c r="R1071" s="10" t="s">
        <v>28</v>
      </c>
      <c r="S1071" s="10"/>
      <c r="T1071" s="10"/>
      <c r="U1071" s="10" t="s">
        <v>2598</v>
      </c>
      <c r="V1071" s="10" t="s">
        <v>2598</v>
      </c>
      <c r="W1071" s="50">
        <f>+J1071/$W$2</f>
        <v>1.1339650664549108E-3</v>
      </c>
    </row>
    <row r="1072" spans="1:29">
      <c r="A1072" s="10" t="s">
        <v>334</v>
      </c>
      <c r="B1072" s="10" t="s">
        <v>358</v>
      </c>
      <c r="C1072" s="124">
        <v>46352</v>
      </c>
      <c r="D1072" s="124" t="s">
        <v>471</v>
      </c>
      <c r="E1072" s="21">
        <v>0.97312575999999995</v>
      </c>
      <c r="F1072" s="10"/>
      <c r="G1072" s="14">
        <v>3256800.5</v>
      </c>
      <c r="H1072" s="14">
        <v>3169276.47</v>
      </c>
      <c r="I1072" s="14">
        <v>3256800.5</v>
      </c>
      <c r="J1072" s="14">
        <v>3169276.47</v>
      </c>
      <c r="K1072" s="12">
        <v>3593</v>
      </c>
      <c r="L1072" s="10" t="s">
        <v>101</v>
      </c>
      <c r="M1072" s="10" t="s">
        <v>102</v>
      </c>
      <c r="N1072" s="124" t="s">
        <v>478</v>
      </c>
      <c r="O1072" s="124" t="s">
        <v>478</v>
      </c>
      <c r="P1072" s="21">
        <v>36</v>
      </c>
      <c r="Q1072" s="10" t="s">
        <v>54</v>
      </c>
      <c r="R1072" s="10" t="s">
        <v>28</v>
      </c>
      <c r="S1072" s="10"/>
      <c r="T1072" s="10"/>
      <c r="U1072" s="10" t="s">
        <v>2171</v>
      </c>
      <c r="V1072" s="10" t="s">
        <v>2171</v>
      </c>
      <c r="W1072" s="50">
        <f>+J1072/$W$2</f>
        <v>3.8787652028986243E-5</v>
      </c>
    </row>
    <row r="1073" spans="1:29">
      <c r="A1073" s="10" t="s">
        <v>3574</v>
      </c>
      <c r="B1073" s="10" t="s">
        <v>358</v>
      </c>
      <c r="C1073" s="124">
        <v>46352</v>
      </c>
      <c r="D1073" s="124" t="s">
        <v>471</v>
      </c>
      <c r="E1073" s="21">
        <v>0.97750404999999996</v>
      </c>
      <c r="F1073" s="10"/>
      <c r="G1073" s="14">
        <v>912617.71</v>
      </c>
      <c r="H1073" s="14">
        <v>892087.51</v>
      </c>
      <c r="I1073" s="14">
        <v>912617.71</v>
      </c>
      <c r="J1073" s="14">
        <v>892087.51</v>
      </c>
      <c r="K1073" s="12">
        <v>2417</v>
      </c>
      <c r="L1073" s="10" t="s">
        <v>101</v>
      </c>
      <c r="M1073" s="10" t="s">
        <v>102</v>
      </c>
      <c r="N1073" s="124" t="s">
        <v>451</v>
      </c>
      <c r="O1073" s="124" t="s">
        <v>451</v>
      </c>
      <c r="P1073" s="21">
        <v>30</v>
      </c>
      <c r="Q1073" s="10" t="s">
        <v>54</v>
      </c>
      <c r="R1073" s="10" t="s">
        <v>28</v>
      </c>
      <c r="S1073" s="10"/>
      <c r="T1073" s="10"/>
      <c r="U1073" s="10" t="s">
        <v>3529</v>
      </c>
      <c r="V1073" s="10" t="s">
        <v>3529</v>
      </c>
      <c r="W1073" s="50">
        <f>+J1073/$W$2</f>
        <v>1.0917943021009077E-5</v>
      </c>
    </row>
    <row r="1074" spans="1:29">
      <c r="A1074" s="10" t="s">
        <v>1127</v>
      </c>
      <c r="B1074" s="10" t="s">
        <v>358</v>
      </c>
      <c r="C1074" s="124">
        <v>46352</v>
      </c>
      <c r="D1074" s="124" t="s">
        <v>471</v>
      </c>
      <c r="E1074" s="21">
        <v>0.97385273999999999</v>
      </c>
      <c r="F1074" s="10"/>
      <c r="G1074" s="14">
        <v>3087576.27</v>
      </c>
      <c r="H1074" s="14">
        <v>3006844.62</v>
      </c>
      <c r="I1074" s="14">
        <v>3087576.27</v>
      </c>
      <c r="J1074" s="14">
        <v>3006844.62</v>
      </c>
      <c r="K1074" s="12">
        <v>1508</v>
      </c>
      <c r="L1074" s="10" t="s">
        <v>101</v>
      </c>
      <c r="M1074" s="10" t="s">
        <v>102</v>
      </c>
      <c r="N1074" s="124" t="s">
        <v>399</v>
      </c>
      <c r="O1074" s="124" t="s">
        <v>399</v>
      </c>
      <c r="P1074" s="21">
        <v>35</v>
      </c>
      <c r="Q1074" s="10" t="s">
        <v>54</v>
      </c>
      <c r="R1074" s="10" t="s">
        <v>28</v>
      </c>
      <c r="S1074" s="10"/>
      <c r="T1074" s="10"/>
      <c r="U1074" s="10" t="s">
        <v>1121</v>
      </c>
      <c r="V1074" s="10" t="s">
        <v>1121</v>
      </c>
      <c r="W1074" s="50">
        <f>+J1074/$W$2</f>
        <v>3.6799706156840702E-5</v>
      </c>
    </row>
    <row r="1075" spans="1:29">
      <c r="A1075" s="10" t="s">
        <v>178</v>
      </c>
      <c r="B1075" s="10" t="s">
        <v>358</v>
      </c>
      <c r="C1075" s="124">
        <v>46352</v>
      </c>
      <c r="D1075" s="124" t="s">
        <v>471</v>
      </c>
      <c r="E1075" s="21">
        <v>0.98340342000000003</v>
      </c>
      <c r="F1075" s="10"/>
      <c r="G1075" s="14">
        <v>9164430.8599999994</v>
      </c>
      <c r="H1075" s="14">
        <v>9012332.6400000006</v>
      </c>
      <c r="I1075" s="14">
        <v>9164430.8599999994</v>
      </c>
      <c r="J1075" s="14">
        <v>9012332.6400000006</v>
      </c>
      <c r="K1075" s="12">
        <v>646957</v>
      </c>
      <c r="L1075" s="10" t="s">
        <v>101</v>
      </c>
      <c r="M1075" s="10" t="s">
        <v>102</v>
      </c>
      <c r="N1075" s="124" t="s">
        <v>309</v>
      </c>
      <c r="O1075" s="124" t="s">
        <v>309</v>
      </c>
      <c r="P1075" s="21">
        <v>22</v>
      </c>
      <c r="Q1075" s="10" t="s">
        <v>54</v>
      </c>
      <c r="R1075" s="10" t="s">
        <v>28</v>
      </c>
      <c r="S1075" s="10"/>
      <c r="T1075" s="10"/>
      <c r="U1075" s="10" t="s">
        <v>849</v>
      </c>
      <c r="V1075" s="10" t="s">
        <v>849</v>
      </c>
      <c r="W1075" s="50">
        <f>+J1075/$W$2</f>
        <v>1.1029874664414966E-4</v>
      </c>
    </row>
    <row r="1076" spans="1:29">
      <c r="A1076" s="10" t="s">
        <v>3166</v>
      </c>
      <c r="B1076" s="10" t="s">
        <v>358</v>
      </c>
      <c r="C1076" s="124">
        <v>46352</v>
      </c>
      <c r="D1076" s="124" t="s">
        <v>471</v>
      </c>
      <c r="E1076" s="21">
        <v>0.97750411000000004</v>
      </c>
      <c r="F1076" s="10"/>
      <c r="G1076" s="14">
        <v>4175312.5</v>
      </c>
      <c r="H1076" s="14">
        <v>4081385.13</v>
      </c>
      <c r="I1076" s="14">
        <v>4175312.5</v>
      </c>
      <c r="J1076" s="14">
        <v>4081385.13</v>
      </c>
      <c r="K1076" s="12">
        <v>40952734</v>
      </c>
      <c r="L1076" s="10" t="s">
        <v>101</v>
      </c>
      <c r="M1076" s="10" t="s">
        <v>102</v>
      </c>
      <c r="N1076" s="124" t="s">
        <v>448</v>
      </c>
      <c r="O1076" s="124" t="s">
        <v>448</v>
      </c>
      <c r="P1076" s="21">
        <v>30</v>
      </c>
      <c r="Q1076" s="10" t="s">
        <v>54</v>
      </c>
      <c r="R1076" s="10" t="s">
        <v>28</v>
      </c>
      <c r="S1076" s="10"/>
      <c r="T1076" s="10"/>
      <c r="U1076" s="10" t="s">
        <v>3123</v>
      </c>
      <c r="V1076" s="10" t="s">
        <v>3123</v>
      </c>
      <c r="W1076" s="50">
        <f>+J1076/$W$2</f>
        <v>4.9950626812535159E-5</v>
      </c>
    </row>
    <row r="1077" spans="1:29">
      <c r="A1077" s="10" t="s">
        <v>606</v>
      </c>
      <c r="B1077" s="10" t="s">
        <v>358</v>
      </c>
      <c r="C1077" s="124">
        <v>46352</v>
      </c>
      <c r="D1077" s="124" t="s">
        <v>471</v>
      </c>
      <c r="E1077" s="21">
        <v>0.98118280000000002</v>
      </c>
      <c r="F1077" s="10"/>
      <c r="G1077" s="14">
        <v>19922304</v>
      </c>
      <c r="H1077" s="14">
        <v>19547422.010000002</v>
      </c>
      <c r="I1077" s="14">
        <v>19922304</v>
      </c>
      <c r="J1077" s="14">
        <v>19547422.010000002</v>
      </c>
      <c r="K1077" s="12">
        <v>67863958</v>
      </c>
      <c r="L1077" s="10" t="s">
        <v>101</v>
      </c>
      <c r="M1077" s="10" t="s">
        <v>102</v>
      </c>
      <c r="N1077" s="124" t="s">
        <v>341</v>
      </c>
      <c r="O1077" s="124" t="s">
        <v>341</v>
      </c>
      <c r="P1077" s="21">
        <v>25</v>
      </c>
      <c r="Q1077" s="10" t="s">
        <v>54</v>
      </c>
      <c r="R1077" s="10" t="s">
        <v>28</v>
      </c>
      <c r="S1077" s="10"/>
      <c r="T1077" s="10"/>
      <c r="U1077" s="10" t="s">
        <v>605</v>
      </c>
      <c r="V1077" s="10" t="s">
        <v>605</v>
      </c>
      <c r="W1077" s="50">
        <f>+J1077/$W$2</f>
        <v>2.3923397348405735E-4</v>
      </c>
    </row>
    <row r="1078" spans="1:29">
      <c r="A1078" s="10" t="s">
        <v>623</v>
      </c>
      <c r="B1078" s="10" t="s">
        <v>358</v>
      </c>
      <c r="C1078" s="124">
        <v>46352</v>
      </c>
      <c r="D1078" s="124" t="s">
        <v>471</v>
      </c>
      <c r="E1078" s="21">
        <v>0.97604042000000002</v>
      </c>
      <c r="F1078" s="10"/>
      <c r="G1078" s="14">
        <v>5000000</v>
      </c>
      <c r="H1078" s="14">
        <v>4880202.0999999996</v>
      </c>
      <c r="I1078" s="14">
        <v>5000000</v>
      </c>
      <c r="J1078" s="14">
        <v>4880202.0999999996</v>
      </c>
      <c r="K1078" s="12">
        <v>59</v>
      </c>
      <c r="L1078" s="10" t="s">
        <v>101</v>
      </c>
      <c r="M1078" s="10" t="s">
        <v>102</v>
      </c>
      <c r="N1078" s="124" t="s">
        <v>450</v>
      </c>
      <c r="O1078" s="124" t="s">
        <v>450</v>
      </c>
      <c r="P1078" s="21">
        <v>32</v>
      </c>
      <c r="Q1078" s="10" t="s">
        <v>54</v>
      </c>
      <c r="R1078" s="10" t="s">
        <v>28</v>
      </c>
      <c r="S1078" s="10"/>
      <c r="T1078" s="10"/>
      <c r="U1078" s="10" t="s">
        <v>3427</v>
      </c>
      <c r="V1078" s="10" t="s">
        <v>3427</v>
      </c>
      <c r="W1078" s="50">
        <f>+J1078/$W$2</f>
        <v>5.9727064734724104E-5</v>
      </c>
    </row>
    <row r="1079" spans="1:29">
      <c r="A1079" s="10" t="s">
        <v>710</v>
      </c>
      <c r="B1079" s="10" t="s">
        <v>358</v>
      </c>
      <c r="C1079" s="124">
        <v>46352</v>
      </c>
      <c r="D1079" s="124" t="s">
        <v>471</v>
      </c>
      <c r="E1079" s="21">
        <v>0.97750411000000004</v>
      </c>
      <c r="F1079" s="10"/>
      <c r="G1079" s="14">
        <v>1187961</v>
      </c>
      <c r="H1079" s="14">
        <v>1161236.76</v>
      </c>
      <c r="I1079" s="14">
        <v>1187961</v>
      </c>
      <c r="J1079" s="14">
        <v>1161236.76</v>
      </c>
      <c r="K1079" s="12">
        <v>2594</v>
      </c>
      <c r="L1079" s="10" t="s">
        <v>101</v>
      </c>
      <c r="M1079" s="10" t="s">
        <v>102</v>
      </c>
      <c r="N1079" s="124" t="s">
        <v>448</v>
      </c>
      <c r="O1079" s="124" t="s">
        <v>448</v>
      </c>
      <c r="P1079" s="21">
        <v>30</v>
      </c>
      <c r="Q1079" s="10" t="s">
        <v>54</v>
      </c>
      <c r="R1079" s="10" t="s">
        <v>28</v>
      </c>
      <c r="S1079" s="10"/>
      <c r="T1079" s="10"/>
      <c r="U1079" s="10" t="s">
        <v>3150</v>
      </c>
      <c r="V1079" s="10" t="s">
        <v>3150</v>
      </c>
      <c r="W1079" s="50">
        <f>+J1079/$W$2</f>
        <v>1.4211965348086975E-5</v>
      </c>
    </row>
    <row r="1080" spans="1:29">
      <c r="A1080" s="10" t="s">
        <v>710</v>
      </c>
      <c r="B1080" s="10" t="s">
        <v>358</v>
      </c>
      <c r="C1080" s="124">
        <v>46352</v>
      </c>
      <c r="D1080" s="124" t="s">
        <v>471</v>
      </c>
      <c r="E1080" s="21">
        <v>0.97750411000000004</v>
      </c>
      <c r="F1080" s="10"/>
      <c r="G1080" s="14">
        <v>1187961</v>
      </c>
      <c r="H1080" s="14">
        <v>1161236.76</v>
      </c>
      <c r="I1080" s="14">
        <v>1187961</v>
      </c>
      <c r="J1080" s="14">
        <v>1161236.76</v>
      </c>
      <c r="K1080" s="12">
        <v>2595</v>
      </c>
      <c r="L1080" s="10" t="s">
        <v>101</v>
      </c>
      <c r="M1080" s="10" t="s">
        <v>102</v>
      </c>
      <c r="N1080" s="124" t="s">
        <v>448</v>
      </c>
      <c r="O1080" s="124" t="s">
        <v>448</v>
      </c>
      <c r="P1080" s="21">
        <v>30</v>
      </c>
      <c r="Q1080" s="10" t="s">
        <v>54</v>
      </c>
      <c r="R1080" s="10" t="s">
        <v>28</v>
      </c>
      <c r="S1080" s="10"/>
      <c r="T1080" s="10"/>
      <c r="U1080" s="10" t="s">
        <v>3151</v>
      </c>
      <c r="V1080" s="10" t="s">
        <v>3151</v>
      </c>
      <c r="W1080" s="50">
        <f>+J1080/$W$2</f>
        <v>1.4211965348086975E-5</v>
      </c>
    </row>
    <row r="1081" spans="1:29">
      <c r="A1081" s="10" t="s">
        <v>832</v>
      </c>
      <c r="B1081" s="10" t="s">
        <v>358</v>
      </c>
      <c r="C1081" s="124">
        <v>46352</v>
      </c>
      <c r="D1081" s="124" t="s">
        <v>471</v>
      </c>
      <c r="E1081" s="21">
        <v>0.97531005000000004</v>
      </c>
      <c r="F1081" s="10"/>
      <c r="G1081" s="14">
        <v>706225.7</v>
      </c>
      <c r="H1081" s="14">
        <v>688789.02</v>
      </c>
      <c r="I1081" s="14">
        <v>706225.7</v>
      </c>
      <c r="J1081" s="14">
        <v>688789.02</v>
      </c>
      <c r="K1081" s="12">
        <v>124048</v>
      </c>
      <c r="L1081" s="10" t="s">
        <v>101</v>
      </c>
      <c r="M1081" s="10" t="s">
        <v>102</v>
      </c>
      <c r="N1081" s="124" t="s">
        <v>576</v>
      </c>
      <c r="O1081" s="124" t="s">
        <v>576</v>
      </c>
      <c r="P1081" s="21">
        <v>33</v>
      </c>
      <c r="Q1081" s="10" t="s">
        <v>54</v>
      </c>
      <c r="R1081" s="10" t="s">
        <v>28</v>
      </c>
      <c r="S1081" s="10"/>
      <c r="T1081" s="10"/>
      <c r="U1081" s="10" t="s">
        <v>2344</v>
      </c>
      <c r="V1081" s="10" t="s">
        <v>2344</v>
      </c>
      <c r="W1081" s="50">
        <f>+J1081/$W$2</f>
        <v>8.4298448185388018E-6</v>
      </c>
      <c r="AC1081" s="47"/>
    </row>
    <row r="1082" spans="1:29">
      <c r="A1082" s="10" t="s">
        <v>832</v>
      </c>
      <c r="B1082" s="10" t="s">
        <v>358</v>
      </c>
      <c r="C1082" s="124">
        <v>46352</v>
      </c>
      <c r="D1082" s="124" t="s">
        <v>471</v>
      </c>
      <c r="E1082" s="21">
        <v>0.97531003000000005</v>
      </c>
      <c r="F1082" s="10"/>
      <c r="G1082" s="14">
        <v>204483.81</v>
      </c>
      <c r="H1082" s="14">
        <v>199435.11</v>
      </c>
      <c r="I1082" s="14">
        <v>204483.81</v>
      </c>
      <c r="J1082" s="14">
        <v>199435.11</v>
      </c>
      <c r="K1082" s="12">
        <v>124582</v>
      </c>
      <c r="L1082" s="10" t="s">
        <v>101</v>
      </c>
      <c r="M1082" s="10" t="s">
        <v>102</v>
      </c>
      <c r="N1082" s="124" t="s">
        <v>452</v>
      </c>
      <c r="O1082" s="124" t="s">
        <v>452</v>
      </c>
      <c r="P1082" s="21">
        <v>33</v>
      </c>
      <c r="Q1082" s="10" t="s">
        <v>54</v>
      </c>
      <c r="R1082" s="10" t="s">
        <v>28</v>
      </c>
      <c r="S1082" s="10"/>
      <c r="T1082" s="10"/>
      <c r="U1082" s="10" t="s">
        <v>2507</v>
      </c>
      <c r="V1082" s="10" t="s">
        <v>2507</v>
      </c>
      <c r="W1082" s="50">
        <f>+J1082/$W$2</f>
        <v>2.4408156632174767E-6</v>
      </c>
    </row>
    <row r="1083" spans="1:29">
      <c r="A1083" s="10" t="s">
        <v>884</v>
      </c>
      <c r="B1083" s="10" t="s">
        <v>358</v>
      </c>
      <c r="C1083" s="124">
        <v>46352</v>
      </c>
      <c r="D1083" s="124" t="s">
        <v>471</v>
      </c>
      <c r="E1083" s="21">
        <v>0.97897224000000005</v>
      </c>
      <c r="F1083" s="10"/>
      <c r="G1083" s="14">
        <v>97351912.840000004</v>
      </c>
      <c r="H1083" s="14">
        <v>95304819.719999999</v>
      </c>
      <c r="I1083" s="14">
        <v>97351912.840000004</v>
      </c>
      <c r="J1083" s="14">
        <v>95304819.719999999</v>
      </c>
      <c r="K1083" s="12">
        <v>40296547</v>
      </c>
      <c r="L1083" s="10" t="s">
        <v>101</v>
      </c>
      <c r="M1083" s="10" t="s">
        <v>102</v>
      </c>
      <c r="N1083" s="124" t="s">
        <v>478</v>
      </c>
      <c r="O1083" s="124" t="s">
        <v>478</v>
      </c>
      <c r="P1083" s="21">
        <v>28</v>
      </c>
      <c r="Q1083" s="10" t="s">
        <v>54</v>
      </c>
      <c r="R1083" s="10" t="s">
        <v>28</v>
      </c>
      <c r="S1083" s="10"/>
      <c r="T1083" s="10"/>
      <c r="U1083" s="10" t="s">
        <v>2208</v>
      </c>
      <c r="V1083" s="10" t="s">
        <v>2208</v>
      </c>
      <c r="W1083" s="50">
        <f>+J1083/$W$2</f>
        <v>1.1664019276881282E-3</v>
      </c>
    </row>
    <row r="1084" spans="1:29">
      <c r="A1084" s="10" t="s">
        <v>884</v>
      </c>
      <c r="B1084" s="10" t="s">
        <v>358</v>
      </c>
      <c r="C1084" s="124">
        <v>46352</v>
      </c>
      <c r="D1084" s="124" t="s">
        <v>471</v>
      </c>
      <c r="E1084" s="21">
        <v>0.97897224000000005</v>
      </c>
      <c r="F1084" s="10"/>
      <c r="G1084" s="14">
        <v>38458308.5</v>
      </c>
      <c r="H1084" s="14">
        <v>37649616.240000002</v>
      </c>
      <c r="I1084" s="14">
        <v>38458308.5</v>
      </c>
      <c r="J1084" s="14">
        <v>37649616.240000002</v>
      </c>
      <c r="K1084" s="12">
        <v>40296559</v>
      </c>
      <c r="L1084" s="10" t="s">
        <v>101</v>
      </c>
      <c r="M1084" s="10" t="s">
        <v>102</v>
      </c>
      <c r="N1084" s="124" t="s">
        <v>478</v>
      </c>
      <c r="O1084" s="124" t="s">
        <v>478</v>
      </c>
      <c r="P1084" s="21">
        <v>28</v>
      </c>
      <c r="Q1084" s="10" t="s">
        <v>54</v>
      </c>
      <c r="R1084" s="10" t="s">
        <v>28</v>
      </c>
      <c r="S1084" s="10"/>
      <c r="T1084" s="10"/>
      <c r="U1084" s="10" t="s">
        <v>2209</v>
      </c>
      <c r="V1084" s="10" t="s">
        <v>2209</v>
      </c>
      <c r="W1084" s="50">
        <f>+J1084/$W$2</f>
        <v>4.6078031612748177E-4</v>
      </c>
    </row>
    <row r="1085" spans="1:29">
      <c r="A1085" s="10" t="s">
        <v>884</v>
      </c>
      <c r="B1085" s="10" t="s">
        <v>358</v>
      </c>
      <c r="C1085" s="124">
        <v>46352</v>
      </c>
      <c r="D1085" s="124" t="s">
        <v>471</v>
      </c>
      <c r="E1085" s="21">
        <v>0.97897224000000005</v>
      </c>
      <c r="F1085" s="10"/>
      <c r="G1085" s="14">
        <v>75590913.420000002</v>
      </c>
      <c r="H1085" s="14">
        <v>74001405.480000004</v>
      </c>
      <c r="I1085" s="14">
        <v>75590913.420000002</v>
      </c>
      <c r="J1085" s="14">
        <v>74001405.480000004</v>
      </c>
      <c r="K1085" s="12">
        <v>40296506</v>
      </c>
      <c r="L1085" s="10" t="s">
        <v>101</v>
      </c>
      <c r="M1085" s="10" t="s">
        <v>102</v>
      </c>
      <c r="N1085" s="124" t="s">
        <v>478</v>
      </c>
      <c r="O1085" s="124" t="s">
        <v>478</v>
      </c>
      <c r="P1085" s="21">
        <v>28</v>
      </c>
      <c r="Q1085" s="10" t="s">
        <v>54</v>
      </c>
      <c r="R1085" s="10" t="s">
        <v>28</v>
      </c>
      <c r="S1085" s="10"/>
      <c r="T1085" s="10"/>
      <c r="U1085" s="10" t="s">
        <v>2210</v>
      </c>
      <c r="V1085" s="10" t="s">
        <v>2210</v>
      </c>
      <c r="W1085" s="50">
        <f>+J1085/$W$2</f>
        <v>9.0567698734536585E-4</v>
      </c>
    </row>
    <row r="1086" spans="1:29">
      <c r="A1086" s="10" t="s">
        <v>1310</v>
      </c>
      <c r="B1086" s="10" t="s">
        <v>358</v>
      </c>
      <c r="C1086" s="124">
        <v>46352</v>
      </c>
      <c r="D1086" s="124" t="s">
        <v>471</v>
      </c>
      <c r="E1086" s="21">
        <v>0.97312578000000005</v>
      </c>
      <c r="F1086" s="10"/>
      <c r="G1086" s="14">
        <v>30000000</v>
      </c>
      <c r="H1086" s="14">
        <v>29193773.449999999</v>
      </c>
      <c r="I1086" s="14">
        <v>30000000</v>
      </c>
      <c r="J1086" s="14">
        <v>29193773.449999999</v>
      </c>
      <c r="K1086" s="12">
        <v>10978203</v>
      </c>
      <c r="L1086" s="10" t="s">
        <v>101</v>
      </c>
      <c r="M1086" s="10" t="s">
        <v>102</v>
      </c>
      <c r="N1086" s="124" t="s">
        <v>162</v>
      </c>
      <c r="O1086" s="124" t="s">
        <v>162</v>
      </c>
      <c r="P1086" s="21">
        <v>36</v>
      </c>
      <c r="Q1086" s="10" t="s">
        <v>54</v>
      </c>
      <c r="R1086" s="10" t="s">
        <v>28</v>
      </c>
      <c r="S1086" s="10"/>
      <c r="T1086" s="10"/>
      <c r="U1086" s="10" t="s">
        <v>1300</v>
      </c>
      <c r="V1086" s="10" t="s">
        <v>1300</v>
      </c>
      <c r="W1086" s="50">
        <f>+J1086/$W$2</f>
        <v>3.572922516260177E-4</v>
      </c>
    </row>
    <row r="1087" spans="1:29">
      <c r="A1087" s="10" t="s">
        <v>1310</v>
      </c>
      <c r="B1087" s="10" t="s">
        <v>358</v>
      </c>
      <c r="C1087" s="124">
        <v>46352</v>
      </c>
      <c r="D1087" s="124" t="s">
        <v>471</v>
      </c>
      <c r="E1087" s="21">
        <v>0.97312578000000005</v>
      </c>
      <c r="F1087" s="10"/>
      <c r="G1087" s="14">
        <v>30000000</v>
      </c>
      <c r="H1087" s="14">
        <v>29193773.449999999</v>
      </c>
      <c r="I1087" s="14">
        <v>30000000</v>
      </c>
      <c r="J1087" s="14">
        <v>29193773.449999999</v>
      </c>
      <c r="K1087" s="12">
        <v>10978202</v>
      </c>
      <c r="L1087" s="10" t="s">
        <v>101</v>
      </c>
      <c r="M1087" s="10" t="s">
        <v>102</v>
      </c>
      <c r="N1087" s="124" t="s">
        <v>162</v>
      </c>
      <c r="O1087" s="124" t="s">
        <v>162</v>
      </c>
      <c r="P1087" s="21">
        <v>36</v>
      </c>
      <c r="Q1087" s="10" t="s">
        <v>54</v>
      </c>
      <c r="R1087" s="10" t="s">
        <v>28</v>
      </c>
      <c r="S1087" s="10"/>
      <c r="T1087" s="10"/>
      <c r="U1087" s="10" t="s">
        <v>1301</v>
      </c>
      <c r="V1087" s="10" t="s">
        <v>1301</v>
      </c>
      <c r="W1087" s="50">
        <f>+J1087/$W$2</f>
        <v>3.572922516260177E-4</v>
      </c>
    </row>
    <row r="1088" spans="1:29">
      <c r="A1088" s="10" t="s">
        <v>524</v>
      </c>
      <c r="B1088" s="10" t="s">
        <v>358</v>
      </c>
      <c r="C1088" s="124">
        <v>46352</v>
      </c>
      <c r="D1088" s="124" t="s">
        <v>471</v>
      </c>
      <c r="E1088" s="21">
        <v>0.97458084</v>
      </c>
      <c r="F1088" s="10"/>
      <c r="G1088" s="14">
        <v>5000300.25</v>
      </c>
      <c r="H1088" s="14">
        <v>4873196.8</v>
      </c>
      <c r="I1088" s="14">
        <v>5000300.25</v>
      </c>
      <c r="J1088" s="14">
        <v>4873196.8</v>
      </c>
      <c r="K1088" s="12">
        <v>363</v>
      </c>
      <c r="L1088" s="10" t="s">
        <v>101</v>
      </c>
      <c r="M1088" s="10" t="s">
        <v>102</v>
      </c>
      <c r="N1088" s="124" t="s">
        <v>313</v>
      </c>
      <c r="O1088" s="124" t="s">
        <v>313</v>
      </c>
      <c r="P1088" s="21">
        <v>34</v>
      </c>
      <c r="Q1088" s="10" t="s">
        <v>54</v>
      </c>
      <c r="R1088" s="10" t="s">
        <v>28</v>
      </c>
      <c r="S1088" s="10"/>
      <c r="T1088" s="10"/>
      <c r="U1088" s="10" t="s">
        <v>720</v>
      </c>
      <c r="V1088" s="10" t="s">
        <v>720</v>
      </c>
      <c r="W1088" s="50">
        <f>+J1088/$W$2</f>
        <v>5.9641329349587872E-5</v>
      </c>
    </row>
    <row r="1089" spans="1:29">
      <c r="A1089" s="10" t="s">
        <v>524</v>
      </c>
      <c r="B1089" s="10" t="s">
        <v>358</v>
      </c>
      <c r="C1089" s="124">
        <v>46352</v>
      </c>
      <c r="D1089" s="124" t="s">
        <v>471</v>
      </c>
      <c r="E1089" s="21">
        <v>0.97458084</v>
      </c>
      <c r="F1089" s="10"/>
      <c r="G1089" s="14">
        <v>5000300.25</v>
      </c>
      <c r="H1089" s="14">
        <v>4873196.8</v>
      </c>
      <c r="I1089" s="14">
        <v>5000300.25</v>
      </c>
      <c r="J1089" s="14">
        <v>4873196.8</v>
      </c>
      <c r="K1089" s="12">
        <v>364</v>
      </c>
      <c r="L1089" s="10" t="s">
        <v>101</v>
      </c>
      <c r="M1089" s="10" t="s">
        <v>102</v>
      </c>
      <c r="N1089" s="124" t="s">
        <v>313</v>
      </c>
      <c r="O1089" s="124" t="s">
        <v>313</v>
      </c>
      <c r="P1089" s="21">
        <v>34</v>
      </c>
      <c r="Q1089" s="10" t="s">
        <v>54</v>
      </c>
      <c r="R1089" s="10" t="s">
        <v>28</v>
      </c>
      <c r="S1089" s="10"/>
      <c r="T1089" s="10"/>
      <c r="U1089" s="10" t="s">
        <v>721</v>
      </c>
      <c r="V1089" s="10" t="s">
        <v>721</v>
      </c>
      <c r="W1089" s="50">
        <f>+J1089/$W$2</f>
        <v>5.9641329349587872E-5</v>
      </c>
    </row>
    <row r="1090" spans="1:29">
      <c r="A1090" s="10" t="s">
        <v>524</v>
      </c>
      <c r="B1090" s="10" t="s">
        <v>358</v>
      </c>
      <c r="C1090" s="124">
        <v>46352</v>
      </c>
      <c r="D1090" s="124" t="s">
        <v>471</v>
      </c>
      <c r="E1090" s="21">
        <v>0.97458084</v>
      </c>
      <c r="F1090" s="10"/>
      <c r="G1090" s="14">
        <v>5000300.25</v>
      </c>
      <c r="H1090" s="14">
        <v>4873196.8</v>
      </c>
      <c r="I1090" s="14">
        <v>5000300.25</v>
      </c>
      <c r="J1090" s="14">
        <v>4873196.8</v>
      </c>
      <c r="K1090" s="12">
        <v>365</v>
      </c>
      <c r="L1090" s="10" t="s">
        <v>101</v>
      </c>
      <c r="M1090" s="10" t="s">
        <v>102</v>
      </c>
      <c r="N1090" s="124" t="s">
        <v>313</v>
      </c>
      <c r="O1090" s="124" t="s">
        <v>313</v>
      </c>
      <c r="P1090" s="21">
        <v>34</v>
      </c>
      <c r="Q1090" s="10" t="s">
        <v>54</v>
      </c>
      <c r="R1090" s="10" t="s">
        <v>28</v>
      </c>
      <c r="S1090" s="10"/>
      <c r="T1090" s="10"/>
      <c r="U1090" s="10" t="s">
        <v>722</v>
      </c>
      <c r="V1090" s="10" t="s">
        <v>722</v>
      </c>
      <c r="W1090" s="50">
        <f>+J1090/$W$2</f>
        <v>5.9641329349587872E-5</v>
      </c>
    </row>
    <row r="1091" spans="1:29">
      <c r="A1091" s="10" t="s">
        <v>524</v>
      </c>
      <c r="B1091" s="10" t="s">
        <v>358</v>
      </c>
      <c r="C1091" s="124">
        <v>46352</v>
      </c>
      <c r="D1091" s="124" t="s">
        <v>471</v>
      </c>
      <c r="E1091" s="21">
        <v>0.97458084</v>
      </c>
      <c r="F1091" s="10"/>
      <c r="G1091" s="14">
        <v>5000300.25</v>
      </c>
      <c r="H1091" s="14">
        <v>4873196.8</v>
      </c>
      <c r="I1091" s="14">
        <v>5000300.25</v>
      </c>
      <c r="J1091" s="14">
        <v>4873196.8</v>
      </c>
      <c r="K1091" s="12">
        <v>362</v>
      </c>
      <c r="L1091" s="10" t="s">
        <v>101</v>
      </c>
      <c r="M1091" s="10" t="s">
        <v>102</v>
      </c>
      <c r="N1091" s="124" t="s">
        <v>313</v>
      </c>
      <c r="O1091" s="124" t="s">
        <v>313</v>
      </c>
      <c r="P1091" s="21">
        <v>34</v>
      </c>
      <c r="Q1091" s="10" t="s">
        <v>54</v>
      </c>
      <c r="R1091" s="10" t="s">
        <v>28</v>
      </c>
      <c r="S1091" s="10"/>
      <c r="T1091" s="10"/>
      <c r="U1091" s="10" t="s">
        <v>723</v>
      </c>
      <c r="V1091" s="10" t="s">
        <v>723</v>
      </c>
      <c r="W1091" s="50">
        <f>+J1091/$W$2</f>
        <v>5.9641329349587872E-5</v>
      </c>
    </row>
    <row r="1092" spans="1:29">
      <c r="A1092" s="10" t="s">
        <v>525</v>
      </c>
      <c r="B1092" s="10" t="s">
        <v>358</v>
      </c>
      <c r="C1092" s="124">
        <v>46352</v>
      </c>
      <c r="D1092" s="124" t="s">
        <v>471</v>
      </c>
      <c r="E1092" s="21">
        <v>0.97531007000000003</v>
      </c>
      <c r="F1092" s="10"/>
      <c r="G1092" s="14">
        <v>1500000</v>
      </c>
      <c r="H1092" s="14">
        <v>1462965.11</v>
      </c>
      <c r="I1092" s="14">
        <v>1500000</v>
      </c>
      <c r="J1092" s="14">
        <v>1462965.11</v>
      </c>
      <c r="K1092" s="12">
        <v>585</v>
      </c>
      <c r="L1092" s="10" t="s">
        <v>101</v>
      </c>
      <c r="M1092" s="10" t="s">
        <v>102</v>
      </c>
      <c r="N1092" s="124" t="s">
        <v>408</v>
      </c>
      <c r="O1092" s="124" t="s">
        <v>408</v>
      </c>
      <c r="P1092" s="21">
        <v>33</v>
      </c>
      <c r="Q1092" s="10" t="s">
        <v>54</v>
      </c>
      <c r="R1092" s="10" t="s">
        <v>28</v>
      </c>
      <c r="S1092" s="10"/>
      <c r="T1092" s="10"/>
      <c r="U1092" s="10" t="s">
        <v>2023</v>
      </c>
      <c r="V1092" s="10" t="s">
        <v>2023</v>
      </c>
      <c r="W1092" s="50">
        <f>+J1092/$W$2</f>
        <v>1.7904711739215223E-5</v>
      </c>
    </row>
    <row r="1093" spans="1:29">
      <c r="A1093" s="10" t="s">
        <v>525</v>
      </c>
      <c r="B1093" s="10" t="s">
        <v>358</v>
      </c>
      <c r="C1093" s="124">
        <v>46352</v>
      </c>
      <c r="D1093" s="124" t="s">
        <v>471</v>
      </c>
      <c r="E1093" s="21">
        <v>0.97531007000000003</v>
      </c>
      <c r="F1093" s="10"/>
      <c r="G1093" s="14">
        <v>1500000</v>
      </c>
      <c r="H1093" s="14">
        <v>1462965.11</v>
      </c>
      <c r="I1093" s="14">
        <v>1500000</v>
      </c>
      <c r="J1093" s="14">
        <v>1462965.11</v>
      </c>
      <c r="K1093" s="12">
        <v>586</v>
      </c>
      <c r="L1093" s="10" t="s">
        <v>101</v>
      </c>
      <c r="M1093" s="10" t="s">
        <v>102</v>
      </c>
      <c r="N1093" s="124" t="s">
        <v>408</v>
      </c>
      <c r="O1093" s="124" t="s">
        <v>408</v>
      </c>
      <c r="P1093" s="21">
        <v>33</v>
      </c>
      <c r="Q1093" s="10" t="s">
        <v>54</v>
      </c>
      <c r="R1093" s="10" t="s">
        <v>28</v>
      </c>
      <c r="S1093" s="10"/>
      <c r="T1093" s="10"/>
      <c r="U1093" s="10" t="s">
        <v>2026</v>
      </c>
      <c r="V1093" s="10" t="s">
        <v>2026</v>
      </c>
      <c r="W1093" s="50">
        <f>+J1093/$W$2</f>
        <v>1.7904711739215223E-5</v>
      </c>
    </row>
    <row r="1094" spans="1:29">
      <c r="A1094" s="10" t="s">
        <v>1129</v>
      </c>
      <c r="B1094" s="10" t="s">
        <v>358</v>
      </c>
      <c r="C1094" s="124">
        <v>46352</v>
      </c>
      <c r="D1094" s="124" t="s">
        <v>471</v>
      </c>
      <c r="E1094" s="21">
        <v>0.97530998000000002</v>
      </c>
      <c r="F1094" s="10"/>
      <c r="G1094" s="14">
        <v>20000194</v>
      </c>
      <c r="H1094" s="14">
        <v>19506388.91</v>
      </c>
      <c r="I1094" s="14">
        <v>20000194</v>
      </c>
      <c r="J1094" s="14">
        <v>19506388.91</v>
      </c>
      <c r="K1094" s="12">
        <v>732</v>
      </c>
      <c r="L1094" s="10" t="s">
        <v>101</v>
      </c>
      <c r="M1094" s="10" t="s">
        <v>102</v>
      </c>
      <c r="N1094" s="124" t="s">
        <v>399</v>
      </c>
      <c r="O1094" s="124" t="s">
        <v>399</v>
      </c>
      <c r="P1094" s="21">
        <v>33</v>
      </c>
      <c r="Q1094" s="10" t="s">
        <v>54</v>
      </c>
      <c r="R1094" s="10" t="s">
        <v>28</v>
      </c>
      <c r="S1094" s="10"/>
      <c r="T1094" s="10"/>
      <c r="U1094" s="10" t="s">
        <v>1125</v>
      </c>
      <c r="V1094" s="10" t="s">
        <v>1125</v>
      </c>
      <c r="W1094" s="50">
        <f>+J1094/$W$2</f>
        <v>2.3873178390875955E-4</v>
      </c>
    </row>
    <row r="1095" spans="1:29">
      <c r="A1095" s="10" t="s">
        <v>3815</v>
      </c>
      <c r="B1095" s="10" t="s">
        <v>358</v>
      </c>
      <c r="C1095" s="124">
        <v>46352</v>
      </c>
      <c r="D1095" s="124" t="s">
        <v>471</v>
      </c>
      <c r="E1095" s="21">
        <v>0.97531011000000001</v>
      </c>
      <c r="F1095" s="10"/>
      <c r="G1095" s="14">
        <v>4684709.18</v>
      </c>
      <c r="H1095" s="14">
        <v>4569044.21</v>
      </c>
      <c r="I1095" s="14">
        <v>4684709.18</v>
      </c>
      <c r="J1095" s="14">
        <v>4569044.21</v>
      </c>
      <c r="K1095" s="12">
        <v>466</v>
      </c>
      <c r="L1095" s="10" t="s">
        <v>101</v>
      </c>
      <c r="M1095" s="10" t="s">
        <v>102</v>
      </c>
      <c r="N1095" s="124" t="s">
        <v>468</v>
      </c>
      <c r="O1095" s="124" t="s">
        <v>468</v>
      </c>
      <c r="P1095" s="21">
        <v>33</v>
      </c>
      <c r="Q1095" s="10" t="s">
        <v>54</v>
      </c>
      <c r="R1095" s="10" t="s">
        <v>28</v>
      </c>
      <c r="S1095" s="10"/>
      <c r="T1095" s="10"/>
      <c r="U1095" s="10" t="s">
        <v>3818</v>
      </c>
      <c r="V1095" s="10" t="s">
        <v>3818</v>
      </c>
      <c r="W1095" s="50">
        <f>+J1095/$W$2</f>
        <v>5.5918913543864582E-5</v>
      </c>
    </row>
    <row r="1096" spans="1:29">
      <c r="A1096" s="10" t="s">
        <v>3891</v>
      </c>
      <c r="B1096" s="10" t="s">
        <v>358</v>
      </c>
      <c r="C1096" s="124">
        <v>46352</v>
      </c>
      <c r="D1096" s="124" t="s">
        <v>471</v>
      </c>
      <c r="E1096" s="21">
        <v>0.97823775999999996</v>
      </c>
      <c r="F1096" s="10"/>
      <c r="G1096" s="14">
        <v>3388903.56</v>
      </c>
      <c r="H1096" s="14">
        <v>3315153.44</v>
      </c>
      <c r="I1096" s="14">
        <v>3388903.56</v>
      </c>
      <c r="J1096" s="14">
        <v>3315153.44</v>
      </c>
      <c r="K1096" s="12">
        <v>10174819</v>
      </c>
      <c r="L1096" s="10" t="s">
        <v>101</v>
      </c>
      <c r="M1096" s="10" t="s">
        <v>102</v>
      </c>
      <c r="N1096" s="124" t="s">
        <v>474</v>
      </c>
      <c r="O1096" s="124" t="s">
        <v>474</v>
      </c>
      <c r="P1096" s="21">
        <v>29</v>
      </c>
      <c r="Q1096" s="10" t="s">
        <v>54</v>
      </c>
      <c r="R1096" s="10" t="s">
        <v>28</v>
      </c>
      <c r="S1096" s="10"/>
      <c r="T1096" s="10"/>
      <c r="U1096" s="10" t="s">
        <v>3867</v>
      </c>
      <c r="V1096" s="10" t="s">
        <v>3867</v>
      </c>
      <c r="W1096" s="50">
        <f>+J1096/$W$2</f>
        <v>4.0572988589227343E-5</v>
      </c>
    </row>
    <row r="1097" spans="1:29">
      <c r="A1097" s="10" t="s">
        <v>767</v>
      </c>
      <c r="B1097" s="10" t="s">
        <v>358</v>
      </c>
      <c r="C1097" s="124">
        <v>46352</v>
      </c>
      <c r="D1097" s="124" t="s">
        <v>471</v>
      </c>
      <c r="E1097" s="21">
        <v>0.97531003000000005</v>
      </c>
      <c r="F1097" s="10"/>
      <c r="G1097" s="14">
        <v>300000000</v>
      </c>
      <c r="H1097" s="14">
        <v>292593007.70999998</v>
      </c>
      <c r="I1097" s="14">
        <v>300000000</v>
      </c>
      <c r="J1097" s="14">
        <v>292593007.70999998</v>
      </c>
      <c r="K1097" s="12">
        <v>231767</v>
      </c>
      <c r="L1097" s="10" t="s">
        <v>101</v>
      </c>
      <c r="M1097" s="10" t="s">
        <v>102</v>
      </c>
      <c r="N1097" s="124" t="s">
        <v>154</v>
      </c>
      <c r="O1097" s="124" t="s">
        <v>154</v>
      </c>
      <c r="P1097" s="21">
        <v>33</v>
      </c>
      <c r="Q1097" s="10" t="s">
        <v>54</v>
      </c>
      <c r="R1097" s="10" t="s">
        <v>28</v>
      </c>
      <c r="S1097" s="10"/>
      <c r="T1097" s="10"/>
      <c r="U1097" s="10" t="s">
        <v>765</v>
      </c>
      <c r="V1097" s="10" t="s">
        <v>765</v>
      </c>
      <c r="W1097" s="50">
        <f>+J1097/$W$2</f>
        <v>3.5809421729527963E-3</v>
      </c>
    </row>
    <row r="1098" spans="1:29">
      <c r="A1098" s="10" t="s">
        <v>2668</v>
      </c>
      <c r="B1098" s="10" t="s">
        <v>358</v>
      </c>
      <c r="C1098" s="124">
        <v>46352</v>
      </c>
      <c r="D1098" s="124" t="s">
        <v>471</v>
      </c>
      <c r="E1098" s="21">
        <v>0.97604029999999997</v>
      </c>
      <c r="F1098" s="10"/>
      <c r="G1098" s="14">
        <v>661730</v>
      </c>
      <c r="H1098" s="14">
        <v>645875.15</v>
      </c>
      <c r="I1098" s="14">
        <v>661730</v>
      </c>
      <c r="J1098" s="14">
        <v>645875.15</v>
      </c>
      <c r="K1098" s="12">
        <v>1252</v>
      </c>
      <c r="L1098" s="10" t="s">
        <v>101</v>
      </c>
      <c r="M1098" s="10" t="s">
        <v>102</v>
      </c>
      <c r="N1098" s="124" t="s">
        <v>603</v>
      </c>
      <c r="O1098" s="124" t="s">
        <v>603</v>
      </c>
      <c r="P1098" s="21">
        <v>32</v>
      </c>
      <c r="Q1098" s="10" t="s">
        <v>54</v>
      </c>
      <c r="R1098" s="10" t="s">
        <v>28</v>
      </c>
      <c r="S1098" s="10"/>
      <c r="T1098" s="10"/>
      <c r="U1098" s="10" t="s">
        <v>2571</v>
      </c>
      <c r="V1098" s="10" t="s">
        <v>2571</v>
      </c>
      <c r="W1098" s="50">
        <f>+J1098/$W$2</f>
        <v>7.9046371654566614E-6</v>
      </c>
    </row>
    <row r="1099" spans="1:29">
      <c r="A1099" s="10" t="s">
        <v>164</v>
      </c>
      <c r="B1099" s="10" t="s">
        <v>358</v>
      </c>
      <c r="C1099" s="124">
        <v>46352</v>
      </c>
      <c r="D1099" s="124" t="s">
        <v>471</v>
      </c>
      <c r="E1099" s="21">
        <v>0.97167501999999994</v>
      </c>
      <c r="F1099" s="10"/>
      <c r="G1099" s="14">
        <v>150000000</v>
      </c>
      <c r="H1099" s="14">
        <v>145751252.72</v>
      </c>
      <c r="I1099" s="14">
        <v>150000000</v>
      </c>
      <c r="J1099" s="14">
        <v>145751252.72</v>
      </c>
      <c r="K1099" s="12">
        <v>70406570</v>
      </c>
      <c r="L1099" s="10" t="s">
        <v>101</v>
      </c>
      <c r="M1099" s="10" t="s">
        <v>102</v>
      </c>
      <c r="N1099" s="124" t="s">
        <v>486</v>
      </c>
      <c r="O1099" s="124" t="s">
        <v>486</v>
      </c>
      <c r="P1099" s="21">
        <v>38</v>
      </c>
      <c r="Q1099" s="10" t="s">
        <v>54</v>
      </c>
      <c r="R1099" s="10" t="s">
        <v>28</v>
      </c>
      <c r="S1099" s="10"/>
      <c r="T1099" s="10"/>
      <c r="U1099" s="10" t="s">
        <v>1470</v>
      </c>
      <c r="V1099" s="10" t="s">
        <v>1470</v>
      </c>
      <c r="W1099" s="50">
        <f>+J1099/$W$2</f>
        <v>1.7837979509853852E-3</v>
      </c>
    </row>
    <row r="1100" spans="1:29">
      <c r="A1100" s="10" t="s">
        <v>164</v>
      </c>
      <c r="B1100" s="10" t="s">
        <v>358</v>
      </c>
      <c r="C1100" s="124">
        <v>46352</v>
      </c>
      <c r="D1100" s="124" t="s">
        <v>471</v>
      </c>
      <c r="E1100" s="21">
        <v>0.97385275999999998</v>
      </c>
      <c r="F1100" s="10"/>
      <c r="G1100" s="14">
        <v>250000000</v>
      </c>
      <c r="H1100" s="14">
        <v>243463189.28</v>
      </c>
      <c r="I1100" s="14">
        <v>250000000</v>
      </c>
      <c r="J1100" s="14">
        <v>243463189.28</v>
      </c>
      <c r="K1100" s="12">
        <v>70400477</v>
      </c>
      <c r="L1100" s="10" t="s">
        <v>101</v>
      </c>
      <c r="M1100" s="10" t="s">
        <v>102</v>
      </c>
      <c r="N1100" s="124" t="s">
        <v>485</v>
      </c>
      <c r="O1100" s="124" t="s">
        <v>485</v>
      </c>
      <c r="P1100" s="21">
        <v>35</v>
      </c>
      <c r="Q1100" s="10" t="s">
        <v>54</v>
      </c>
      <c r="R1100" s="10" t="s">
        <v>28</v>
      </c>
      <c r="S1100" s="10"/>
      <c r="T1100" s="10"/>
      <c r="U1100" s="10" t="s">
        <v>928</v>
      </c>
      <c r="V1100" s="10" t="s">
        <v>928</v>
      </c>
      <c r="W1100" s="50">
        <f>+J1100/$W$2</f>
        <v>2.9796597289790416E-3</v>
      </c>
    </row>
    <row r="1101" spans="1:29">
      <c r="A1101" s="10" t="s">
        <v>433</v>
      </c>
      <c r="B1101" s="10" t="s">
        <v>358</v>
      </c>
      <c r="C1101" s="124">
        <v>46352</v>
      </c>
      <c r="D1101" s="124" t="s">
        <v>471</v>
      </c>
      <c r="E1101" s="21">
        <v>0.97458082000000001</v>
      </c>
      <c r="F1101" s="10"/>
      <c r="G1101" s="14">
        <v>10000000</v>
      </c>
      <c r="H1101" s="14">
        <v>9745808.2100000009</v>
      </c>
      <c r="I1101" s="14">
        <v>10000000</v>
      </c>
      <c r="J1101" s="14">
        <v>9745808.2100000009</v>
      </c>
      <c r="K1101" s="12">
        <v>14284517</v>
      </c>
      <c r="L1101" s="10" t="s">
        <v>101</v>
      </c>
      <c r="M1101" s="10" t="s">
        <v>102</v>
      </c>
      <c r="N1101" s="124" t="s">
        <v>399</v>
      </c>
      <c r="O1101" s="124" t="s">
        <v>399</v>
      </c>
      <c r="P1101" s="21">
        <v>34</v>
      </c>
      <c r="Q1101" s="10" t="s">
        <v>54</v>
      </c>
      <c r="R1101" s="10" t="s">
        <v>28</v>
      </c>
      <c r="S1101" s="10"/>
      <c r="T1101" s="10"/>
      <c r="U1101" s="10" t="s">
        <v>1105</v>
      </c>
      <c r="V1101" s="10" t="s">
        <v>1105</v>
      </c>
      <c r="W1101" s="50">
        <f>+J1101/$W$2</f>
        <v>1.1927549431833484E-4</v>
      </c>
      <c r="AC1101" s="47"/>
    </row>
    <row r="1102" spans="1:29">
      <c r="A1102" s="10" t="s">
        <v>433</v>
      </c>
      <c r="B1102" s="10" t="s">
        <v>358</v>
      </c>
      <c r="C1102" s="124">
        <v>46352</v>
      </c>
      <c r="D1102" s="124" t="s">
        <v>471</v>
      </c>
      <c r="E1102" s="21">
        <v>0.97604025999999999</v>
      </c>
      <c r="F1102" s="10"/>
      <c r="G1102" s="14">
        <v>10000000</v>
      </c>
      <c r="H1102" s="14">
        <v>9760402.6199999992</v>
      </c>
      <c r="I1102" s="14">
        <v>10000000</v>
      </c>
      <c r="J1102" s="14">
        <v>9760402.6199999992</v>
      </c>
      <c r="K1102" s="12">
        <v>14422579</v>
      </c>
      <c r="L1102" s="10" t="s">
        <v>101</v>
      </c>
      <c r="M1102" s="10" t="s">
        <v>102</v>
      </c>
      <c r="N1102" s="124" t="s">
        <v>162</v>
      </c>
      <c r="O1102" s="124" t="s">
        <v>162</v>
      </c>
      <c r="P1102" s="21">
        <v>32</v>
      </c>
      <c r="Q1102" s="10" t="s">
        <v>54</v>
      </c>
      <c r="R1102" s="10" t="s">
        <v>28</v>
      </c>
      <c r="S1102" s="10"/>
      <c r="T1102" s="10"/>
      <c r="U1102" s="10" t="s">
        <v>1275</v>
      </c>
      <c r="V1102" s="10" t="s">
        <v>1275</v>
      </c>
      <c r="W1102" s="50">
        <f>+J1102/$W$2</f>
        <v>1.1945411013238791E-4</v>
      </c>
    </row>
    <row r="1103" spans="1:29">
      <c r="A1103" s="10" t="s">
        <v>433</v>
      </c>
      <c r="B1103" s="10" t="s">
        <v>358</v>
      </c>
      <c r="C1103" s="124">
        <v>46352</v>
      </c>
      <c r="D1103" s="124" t="s">
        <v>471</v>
      </c>
      <c r="E1103" s="21">
        <v>0.97531007000000003</v>
      </c>
      <c r="F1103" s="10"/>
      <c r="G1103" s="14">
        <v>12500000</v>
      </c>
      <c r="H1103" s="14">
        <v>12191375.82</v>
      </c>
      <c r="I1103" s="14">
        <v>12500000</v>
      </c>
      <c r="J1103" s="14">
        <v>12191375.82</v>
      </c>
      <c r="K1103" s="12">
        <v>14651812</v>
      </c>
      <c r="L1103" s="10" t="s">
        <v>101</v>
      </c>
      <c r="M1103" s="10" t="s">
        <v>102</v>
      </c>
      <c r="N1103" s="124" t="s">
        <v>603</v>
      </c>
      <c r="O1103" s="124" t="s">
        <v>603</v>
      </c>
      <c r="P1103" s="21">
        <v>33</v>
      </c>
      <c r="Q1103" s="10" t="s">
        <v>54</v>
      </c>
      <c r="R1103" s="10" t="s">
        <v>28</v>
      </c>
      <c r="S1103" s="10"/>
      <c r="T1103" s="10"/>
      <c r="U1103" s="10" t="s">
        <v>2652</v>
      </c>
      <c r="V1103" s="10" t="s">
        <v>2652</v>
      </c>
      <c r="W1103" s="50">
        <f>+J1103/$W$2</f>
        <v>1.4920592997705776E-4</v>
      </c>
    </row>
    <row r="1104" spans="1:29">
      <c r="A1104" s="10" t="s">
        <v>3581</v>
      </c>
      <c r="B1104" s="10" t="s">
        <v>358</v>
      </c>
      <c r="C1104" s="124">
        <v>46352</v>
      </c>
      <c r="D1104" s="124" t="s">
        <v>471</v>
      </c>
      <c r="E1104" s="21">
        <v>0.97458082999999995</v>
      </c>
      <c r="F1104" s="10"/>
      <c r="G1104" s="14">
        <v>1257626.54</v>
      </c>
      <c r="H1104" s="14">
        <v>1225658.72</v>
      </c>
      <c r="I1104" s="14">
        <v>1257626.54</v>
      </c>
      <c r="J1104" s="14">
        <v>1225658.72</v>
      </c>
      <c r="K1104" s="12">
        <v>113</v>
      </c>
      <c r="L1104" s="10" t="s">
        <v>101</v>
      </c>
      <c r="M1104" s="10" t="s">
        <v>102</v>
      </c>
      <c r="N1104" s="124" t="s">
        <v>451</v>
      </c>
      <c r="O1104" s="124" t="s">
        <v>451</v>
      </c>
      <c r="P1104" s="21">
        <v>34</v>
      </c>
      <c r="Q1104" s="10" t="s">
        <v>54</v>
      </c>
      <c r="R1104" s="10" t="s">
        <v>28</v>
      </c>
      <c r="S1104" s="10"/>
      <c r="T1104" s="10"/>
      <c r="U1104" s="10" t="s">
        <v>3502</v>
      </c>
      <c r="V1104" s="10" t="s">
        <v>3502</v>
      </c>
      <c r="W1104" s="50">
        <f>+J1104/$W$2</f>
        <v>1.5000402895633994E-5</v>
      </c>
    </row>
    <row r="1105" spans="1:29">
      <c r="A1105" s="10" t="s">
        <v>482</v>
      </c>
      <c r="B1105" s="10" t="s">
        <v>358</v>
      </c>
      <c r="C1105" s="124">
        <v>46352</v>
      </c>
      <c r="D1105" s="124" t="s">
        <v>471</v>
      </c>
      <c r="E1105" s="21">
        <v>0.97530998000000002</v>
      </c>
      <c r="F1105" s="10"/>
      <c r="G1105" s="14">
        <v>5448062.4299999997</v>
      </c>
      <c r="H1105" s="14">
        <v>5313549.67</v>
      </c>
      <c r="I1105" s="14">
        <v>5448062.4299999997</v>
      </c>
      <c r="J1105" s="14">
        <v>5313549.67</v>
      </c>
      <c r="K1105" s="12">
        <v>90000596</v>
      </c>
      <c r="L1105" s="10" t="s">
        <v>101</v>
      </c>
      <c r="M1105" s="10" t="s">
        <v>102</v>
      </c>
      <c r="N1105" s="124" t="s">
        <v>156</v>
      </c>
      <c r="O1105" s="124" t="s">
        <v>156</v>
      </c>
      <c r="P1105" s="21">
        <v>33</v>
      </c>
      <c r="Q1105" s="10" t="s">
        <v>54</v>
      </c>
      <c r="R1105" s="10" t="s">
        <v>28</v>
      </c>
      <c r="S1105" s="10"/>
      <c r="T1105" s="10"/>
      <c r="U1105" s="10" t="s">
        <v>558</v>
      </c>
      <c r="V1105" s="10" t="s">
        <v>558</v>
      </c>
      <c r="W1105" s="50">
        <f>+J1105/$W$2</f>
        <v>6.5030652134521628E-5</v>
      </c>
    </row>
    <row r="1106" spans="1:29">
      <c r="A1106" s="10" t="s">
        <v>2211</v>
      </c>
      <c r="B1106" s="10" t="s">
        <v>358</v>
      </c>
      <c r="C1106" s="124">
        <v>46352</v>
      </c>
      <c r="D1106" s="124" t="s">
        <v>471</v>
      </c>
      <c r="E1106" s="21">
        <v>0.97530998000000002</v>
      </c>
      <c r="F1106" s="10"/>
      <c r="G1106" s="14">
        <v>2500000</v>
      </c>
      <c r="H1106" s="14">
        <v>2438274.96</v>
      </c>
      <c r="I1106" s="14">
        <v>2500000</v>
      </c>
      <c r="J1106" s="14">
        <v>2438274.96</v>
      </c>
      <c r="K1106" s="12">
        <v>103</v>
      </c>
      <c r="L1106" s="10" t="s">
        <v>101</v>
      </c>
      <c r="M1106" s="10" t="s">
        <v>102</v>
      </c>
      <c r="N1106" s="124" t="s">
        <v>478</v>
      </c>
      <c r="O1106" s="124" t="s">
        <v>478</v>
      </c>
      <c r="P1106" s="21">
        <v>33</v>
      </c>
      <c r="Q1106" s="10" t="s">
        <v>54</v>
      </c>
      <c r="R1106" s="10" t="s">
        <v>28</v>
      </c>
      <c r="S1106" s="10"/>
      <c r="T1106" s="10"/>
      <c r="U1106" s="10" t="s">
        <v>2183</v>
      </c>
      <c r="V1106" s="10" t="s">
        <v>2183</v>
      </c>
      <c r="W1106" s="50">
        <f>+J1106/$W$2</f>
        <v>2.9841183498727817E-5</v>
      </c>
    </row>
    <row r="1107" spans="1:29">
      <c r="A1107" s="10" t="s">
        <v>3409</v>
      </c>
      <c r="B1107" s="10" t="s">
        <v>358</v>
      </c>
      <c r="C1107" s="124">
        <v>46352</v>
      </c>
      <c r="D1107" s="124" t="s">
        <v>471</v>
      </c>
      <c r="E1107" s="21">
        <v>0.97604035</v>
      </c>
      <c r="F1107" s="10"/>
      <c r="G1107" s="14">
        <v>5000000</v>
      </c>
      <c r="H1107" s="14">
        <v>4880201.76</v>
      </c>
      <c r="I1107" s="14">
        <v>5000000</v>
      </c>
      <c r="J1107" s="14">
        <v>4880201.76</v>
      </c>
      <c r="K1107" s="12">
        <v>40981967</v>
      </c>
      <c r="L1107" s="10" t="s">
        <v>101</v>
      </c>
      <c r="M1107" s="10" t="s">
        <v>102</v>
      </c>
      <c r="N1107" s="124" t="s">
        <v>475</v>
      </c>
      <c r="O1107" s="124" t="s">
        <v>475</v>
      </c>
      <c r="P1107" s="21">
        <v>32</v>
      </c>
      <c r="Q1107" s="10" t="s">
        <v>54</v>
      </c>
      <c r="R1107" s="10" t="s">
        <v>28</v>
      </c>
      <c r="S1107" s="10"/>
      <c r="T1107" s="10"/>
      <c r="U1107" s="10" t="s">
        <v>3368</v>
      </c>
      <c r="V1107" s="10" t="s">
        <v>3368</v>
      </c>
      <c r="W1107" s="50">
        <f>+J1107/$W$2</f>
        <v>5.9727060573584552E-5</v>
      </c>
      <c r="AC1107" s="47"/>
    </row>
    <row r="1108" spans="1:29">
      <c r="A1108" s="10" t="s">
        <v>685</v>
      </c>
      <c r="B1108" s="10" t="s">
        <v>358</v>
      </c>
      <c r="C1108" s="124">
        <v>46352</v>
      </c>
      <c r="D1108" s="124" t="s">
        <v>471</v>
      </c>
      <c r="E1108" s="21">
        <v>0.97750415000000002</v>
      </c>
      <c r="F1108" s="10"/>
      <c r="G1108" s="14">
        <v>1500000</v>
      </c>
      <c r="H1108" s="14">
        <v>1466256.22</v>
      </c>
      <c r="I1108" s="14">
        <v>1500000</v>
      </c>
      <c r="J1108" s="14">
        <v>1466256.22</v>
      </c>
      <c r="K1108" s="12">
        <v>10793610</v>
      </c>
      <c r="L1108" s="10" t="s">
        <v>101</v>
      </c>
      <c r="M1108" s="10" t="s">
        <v>102</v>
      </c>
      <c r="N1108" s="124" t="s">
        <v>475</v>
      </c>
      <c r="O1108" s="124" t="s">
        <v>475</v>
      </c>
      <c r="P1108" s="21">
        <v>30</v>
      </c>
      <c r="Q1108" s="10" t="s">
        <v>54</v>
      </c>
      <c r="R1108" s="10" t="s">
        <v>28</v>
      </c>
      <c r="S1108" s="10"/>
      <c r="T1108" s="10"/>
      <c r="U1108" s="10" t="s">
        <v>3336</v>
      </c>
      <c r="V1108" s="10" t="s">
        <v>3336</v>
      </c>
      <c r="W1108" s="50">
        <f>+J1108/$W$2</f>
        <v>1.7944990468659458E-5</v>
      </c>
      <c r="AC1108" s="47"/>
    </row>
    <row r="1109" spans="1:29">
      <c r="A1109" s="10" t="s">
        <v>438</v>
      </c>
      <c r="B1109" s="10" t="s">
        <v>358</v>
      </c>
      <c r="C1109" s="124">
        <v>46352</v>
      </c>
      <c r="D1109" s="124" t="s">
        <v>471</v>
      </c>
      <c r="E1109" s="21">
        <v>0.97970796999999998</v>
      </c>
      <c r="F1109" s="10"/>
      <c r="G1109" s="14">
        <v>2959532.92</v>
      </c>
      <c r="H1109" s="14">
        <v>2899477.99</v>
      </c>
      <c r="I1109" s="14">
        <v>2959532.92</v>
      </c>
      <c r="J1109" s="14">
        <v>2899477.99</v>
      </c>
      <c r="K1109" s="12">
        <v>53553936</v>
      </c>
      <c r="L1109" s="10" t="s">
        <v>101</v>
      </c>
      <c r="M1109" s="10" t="s">
        <v>102</v>
      </c>
      <c r="N1109" s="124" t="s">
        <v>477</v>
      </c>
      <c r="O1109" s="124" t="s">
        <v>477</v>
      </c>
      <c r="P1109" s="21">
        <v>27</v>
      </c>
      <c r="Q1109" s="10" t="s">
        <v>54</v>
      </c>
      <c r="R1109" s="10" t="s">
        <v>28</v>
      </c>
      <c r="S1109" s="10"/>
      <c r="T1109" s="10"/>
      <c r="U1109" s="10" t="s">
        <v>2370</v>
      </c>
      <c r="V1109" s="10" t="s">
        <v>2370</v>
      </c>
      <c r="W1109" s="50">
        <f>+J1109/$W$2</f>
        <v>3.5485684005922164E-5</v>
      </c>
    </row>
    <row r="1110" spans="1:29">
      <c r="A1110" s="10" t="s">
        <v>359</v>
      </c>
      <c r="B1110" s="10" t="s">
        <v>358</v>
      </c>
      <c r="C1110" s="124">
        <v>46352</v>
      </c>
      <c r="D1110" s="124" t="s">
        <v>471</v>
      </c>
      <c r="E1110" s="21">
        <v>0.97750417999999994</v>
      </c>
      <c r="F1110" s="10"/>
      <c r="G1110" s="14">
        <v>9000000</v>
      </c>
      <c r="H1110" s="14">
        <v>8797537.6099999994</v>
      </c>
      <c r="I1110" s="14">
        <v>9000000</v>
      </c>
      <c r="J1110" s="14">
        <v>8797537.6099999994</v>
      </c>
      <c r="K1110" s="12">
        <v>1425</v>
      </c>
      <c r="L1110" s="10" t="s">
        <v>101</v>
      </c>
      <c r="M1110" s="10" t="s">
        <v>102</v>
      </c>
      <c r="N1110" s="124" t="s">
        <v>467</v>
      </c>
      <c r="O1110" s="124" t="s">
        <v>467</v>
      </c>
      <c r="P1110" s="21">
        <v>30</v>
      </c>
      <c r="Q1110" s="10" t="s">
        <v>54</v>
      </c>
      <c r="R1110" s="10" t="s">
        <v>28</v>
      </c>
      <c r="S1110" s="10"/>
      <c r="T1110" s="10"/>
      <c r="U1110" s="10" t="s">
        <v>3702</v>
      </c>
      <c r="V1110" s="10" t="s">
        <v>3702</v>
      </c>
      <c r="W1110" s="50">
        <f>+J1110/$W$2</f>
        <v>1.0766994636116402E-4</v>
      </c>
    </row>
    <row r="1111" spans="1:29">
      <c r="A1111" s="10" t="s">
        <v>359</v>
      </c>
      <c r="B1111" s="10" t="s">
        <v>358</v>
      </c>
      <c r="C1111" s="124">
        <v>46352</v>
      </c>
      <c r="D1111" s="124" t="s">
        <v>471</v>
      </c>
      <c r="E1111" s="21">
        <v>0.97750404999999996</v>
      </c>
      <c r="F1111" s="10"/>
      <c r="G1111" s="14">
        <v>8000000</v>
      </c>
      <c r="H1111" s="14">
        <v>7820032.3799999999</v>
      </c>
      <c r="I1111" s="14">
        <v>8000000</v>
      </c>
      <c r="J1111" s="14">
        <v>7820032.3799999999</v>
      </c>
      <c r="K1111" s="12">
        <v>1407</v>
      </c>
      <c r="L1111" s="10" t="s">
        <v>101</v>
      </c>
      <c r="M1111" s="10" t="s">
        <v>102</v>
      </c>
      <c r="N1111" s="124" t="s">
        <v>451</v>
      </c>
      <c r="O1111" s="124" t="s">
        <v>451</v>
      </c>
      <c r="P1111" s="21">
        <v>30</v>
      </c>
      <c r="Q1111" s="10" t="s">
        <v>54</v>
      </c>
      <c r="R1111" s="10" t="s">
        <v>28</v>
      </c>
      <c r="S1111" s="10"/>
      <c r="T1111" s="10"/>
      <c r="U1111" s="10" t="s">
        <v>3505</v>
      </c>
      <c r="V1111" s="10" t="s">
        <v>3505</v>
      </c>
      <c r="W1111" s="50">
        <f>+J1111/$W$2</f>
        <v>9.570660612352482E-5</v>
      </c>
    </row>
    <row r="1112" spans="1:29">
      <c r="A1112" s="10" t="s">
        <v>359</v>
      </c>
      <c r="B1112" s="10" t="s">
        <v>358</v>
      </c>
      <c r="C1112" s="124">
        <v>46352</v>
      </c>
      <c r="D1112" s="124" t="s">
        <v>471</v>
      </c>
      <c r="E1112" s="21">
        <v>0.97750420000000005</v>
      </c>
      <c r="F1112" s="10"/>
      <c r="G1112" s="14">
        <v>9000000</v>
      </c>
      <c r="H1112" s="14">
        <v>8797537.8399999999</v>
      </c>
      <c r="I1112" s="14">
        <v>9000000</v>
      </c>
      <c r="J1112" s="14">
        <v>8797537.8399999999</v>
      </c>
      <c r="K1112" s="12">
        <v>1405</v>
      </c>
      <c r="L1112" s="10" t="s">
        <v>101</v>
      </c>
      <c r="M1112" s="10" t="s">
        <v>102</v>
      </c>
      <c r="N1112" s="124" t="s">
        <v>450</v>
      </c>
      <c r="O1112" s="124" t="s">
        <v>450</v>
      </c>
      <c r="P1112" s="21">
        <v>30</v>
      </c>
      <c r="Q1112" s="10" t="s">
        <v>54</v>
      </c>
      <c r="R1112" s="10" t="s">
        <v>28</v>
      </c>
      <c r="S1112" s="10"/>
      <c r="T1112" s="10"/>
      <c r="U1112" s="10" t="s">
        <v>3423</v>
      </c>
      <c r="V1112" s="10" t="s">
        <v>3423</v>
      </c>
      <c r="W1112" s="50">
        <f>+J1112/$W$2</f>
        <v>1.0766994917605255E-4</v>
      </c>
    </row>
    <row r="1113" spans="1:29">
      <c r="A1113" s="10" t="s">
        <v>367</v>
      </c>
      <c r="B1113" s="10" t="s">
        <v>358</v>
      </c>
      <c r="C1113" s="124">
        <v>46352</v>
      </c>
      <c r="D1113" s="124" t="s">
        <v>471</v>
      </c>
      <c r="E1113" s="21">
        <v>0.97458084</v>
      </c>
      <c r="F1113" s="10"/>
      <c r="G1113" s="14">
        <v>4000000</v>
      </c>
      <c r="H1113" s="14">
        <v>3898323.38</v>
      </c>
      <c r="I1113" s="14">
        <v>4000000</v>
      </c>
      <c r="J1113" s="14">
        <v>3898323.38</v>
      </c>
      <c r="K1113" s="12">
        <v>90000053</v>
      </c>
      <c r="L1113" s="10" t="s">
        <v>101</v>
      </c>
      <c r="M1113" s="10" t="s">
        <v>102</v>
      </c>
      <c r="N1113" s="124" t="s">
        <v>316</v>
      </c>
      <c r="O1113" s="124" t="s">
        <v>316</v>
      </c>
      <c r="P1113" s="21">
        <v>34</v>
      </c>
      <c r="Q1113" s="10" t="s">
        <v>54</v>
      </c>
      <c r="R1113" s="10" t="s">
        <v>28</v>
      </c>
      <c r="S1113" s="10"/>
      <c r="T1113" s="10"/>
      <c r="U1113" s="10" t="s">
        <v>588</v>
      </c>
      <c r="V1113" s="10" t="s">
        <v>588</v>
      </c>
      <c r="W1113" s="50">
        <f>+J1113/$W$2</f>
        <v>4.7710198902243928E-5</v>
      </c>
    </row>
    <row r="1114" spans="1:29">
      <c r="A1114" s="10" t="s">
        <v>2903</v>
      </c>
      <c r="B1114" s="10" t="s">
        <v>358</v>
      </c>
      <c r="C1114" s="124">
        <v>46352</v>
      </c>
      <c r="D1114" s="124" t="s">
        <v>471</v>
      </c>
      <c r="E1114" s="21">
        <v>0.97750406999999995</v>
      </c>
      <c r="F1114" s="10"/>
      <c r="G1114" s="14">
        <v>50000000</v>
      </c>
      <c r="H1114" s="14">
        <v>48875203.280000001</v>
      </c>
      <c r="I1114" s="14">
        <v>50000000</v>
      </c>
      <c r="J1114" s="14">
        <v>48875203.280000001</v>
      </c>
      <c r="K1114" s="12">
        <v>90002956</v>
      </c>
      <c r="L1114" s="10" t="s">
        <v>101</v>
      </c>
      <c r="M1114" s="10" t="s">
        <v>102</v>
      </c>
      <c r="N1114" s="124" t="s">
        <v>413</v>
      </c>
      <c r="O1114" s="124" t="s">
        <v>413</v>
      </c>
      <c r="P1114" s="21">
        <v>30</v>
      </c>
      <c r="Q1114" s="10" t="s">
        <v>54</v>
      </c>
      <c r="R1114" s="10" t="s">
        <v>28</v>
      </c>
      <c r="S1114" s="10"/>
      <c r="T1114" s="10"/>
      <c r="U1114" s="10" t="s">
        <v>2889</v>
      </c>
      <c r="V1114" s="10" t="s">
        <v>2889</v>
      </c>
      <c r="W1114" s="50">
        <f>+J1114/$W$2</f>
        <v>5.9816629934800452E-4</v>
      </c>
      <c r="AC1114" s="47"/>
    </row>
    <row r="1115" spans="1:29">
      <c r="A1115" s="10" t="s">
        <v>2903</v>
      </c>
      <c r="B1115" s="10" t="s">
        <v>358</v>
      </c>
      <c r="C1115" s="124">
        <v>46352</v>
      </c>
      <c r="D1115" s="124" t="s">
        <v>471</v>
      </c>
      <c r="E1115" s="21">
        <v>0.97750406999999995</v>
      </c>
      <c r="F1115" s="10"/>
      <c r="G1115" s="14">
        <v>50000000</v>
      </c>
      <c r="H1115" s="14">
        <v>48875203.280000001</v>
      </c>
      <c r="I1115" s="14">
        <v>50000000</v>
      </c>
      <c r="J1115" s="14">
        <v>48875203.280000001</v>
      </c>
      <c r="K1115" s="12">
        <v>90002957</v>
      </c>
      <c r="L1115" s="10" t="s">
        <v>101</v>
      </c>
      <c r="M1115" s="10" t="s">
        <v>102</v>
      </c>
      <c r="N1115" s="124" t="s">
        <v>413</v>
      </c>
      <c r="O1115" s="124" t="s">
        <v>413</v>
      </c>
      <c r="P1115" s="21">
        <v>30</v>
      </c>
      <c r="Q1115" s="10" t="s">
        <v>54</v>
      </c>
      <c r="R1115" s="10" t="s">
        <v>28</v>
      </c>
      <c r="S1115" s="10"/>
      <c r="T1115" s="10"/>
      <c r="U1115" s="10" t="s">
        <v>2890</v>
      </c>
      <c r="V1115" s="10" t="s">
        <v>2890</v>
      </c>
      <c r="W1115" s="50">
        <f>+J1115/$W$2</f>
        <v>5.9816629934800452E-4</v>
      </c>
    </row>
    <row r="1116" spans="1:29">
      <c r="A1116" s="10" t="s">
        <v>3174</v>
      </c>
      <c r="B1116" s="10" t="s">
        <v>358</v>
      </c>
      <c r="C1116" s="124">
        <v>46352</v>
      </c>
      <c r="D1116" s="124" t="s">
        <v>471</v>
      </c>
      <c r="E1116" s="21">
        <v>0.97750411999999998</v>
      </c>
      <c r="F1116" s="10"/>
      <c r="G1116" s="14">
        <v>1502543.92</v>
      </c>
      <c r="H1116" s="14">
        <v>1468742.87</v>
      </c>
      <c r="I1116" s="14">
        <v>1502543.92</v>
      </c>
      <c r="J1116" s="14">
        <v>1468742.87</v>
      </c>
      <c r="K1116" s="12">
        <v>11307065</v>
      </c>
      <c r="L1116" s="10" t="s">
        <v>101</v>
      </c>
      <c r="M1116" s="10" t="s">
        <v>102</v>
      </c>
      <c r="N1116" s="124" t="s">
        <v>448</v>
      </c>
      <c r="O1116" s="124" t="s">
        <v>448</v>
      </c>
      <c r="P1116" s="21">
        <v>30</v>
      </c>
      <c r="Q1116" s="10" t="s">
        <v>54</v>
      </c>
      <c r="R1116" s="10" t="s">
        <v>28</v>
      </c>
      <c r="S1116" s="10"/>
      <c r="T1116" s="10"/>
      <c r="U1116" s="10" t="s">
        <v>3155</v>
      </c>
      <c r="V1116" s="10" t="s">
        <v>3155</v>
      </c>
      <c r="W1116" s="50">
        <f>+J1116/$W$2</f>
        <v>1.7975423697136332E-5</v>
      </c>
    </row>
    <row r="1117" spans="1:29">
      <c r="A1117" s="10" t="s">
        <v>271</v>
      </c>
      <c r="B1117" s="10" t="s">
        <v>358</v>
      </c>
      <c r="C1117" s="124">
        <v>46352</v>
      </c>
      <c r="D1117" s="124" t="s">
        <v>471</v>
      </c>
      <c r="E1117" s="21">
        <v>0.97677161000000001</v>
      </c>
      <c r="F1117" s="10"/>
      <c r="G1117" s="14">
        <v>15000000</v>
      </c>
      <c r="H1117" s="14">
        <v>14651574.140000001</v>
      </c>
      <c r="I1117" s="14">
        <v>15000000</v>
      </c>
      <c r="J1117" s="14">
        <v>14651574.140000001</v>
      </c>
      <c r="K1117" s="12">
        <v>2441</v>
      </c>
      <c r="L1117" s="10" t="s">
        <v>101</v>
      </c>
      <c r="M1117" s="10" t="s">
        <v>102</v>
      </c>
      <c r="N1117" s="124" t="s">
        <v>310</v>
      </c>
      <c r="O1117" s="124" t="s">
        <v>310</v>
      </c>
      <c r="P1117" s="21">
        <v>31</v>
      </c>
      <c r="Q1117" s="10" t="s">
        <v>54</v>
      </c>
      <c r="R1117" s="10" t="s">
        <v>28</v>
      </c>
      <c r="S1117" s="10"/>
      <c r="T1117" s="10"/>
      <c r="U1117" s="10" t="s">
        <v>1013</v>
      </c>
      <c r="V1117" s="10" t="s">
        <v>1013</v>
      </c>
      <c r="W1117" s="50">
        <f>+J1117/$W$2</f>
        <v>1.7931542571267484E-4</v>
      </c>
    </row>
    <row r="1118" spans="1:29">
      <c r="A1118" s="10" t="s">
        <v>271</v>
      </c>
      <c r="B1118" s="10" t="s">
        <v>358</v>
      </c>
      <c r="C1118" s="124">
        <v>46352</v>
      </c>
      <c r="D1118" s="124" t="s">
        <v>471</v>
      </c>
      <c r="E1118" s="21">
        <v>0.98044485999999997</v>
      </c>
      <c r="F1118" s="10"/>
      <c r="G1118" s="14">
        <v>5000000</v>
      </c>
      <c r="H1118" s="14">
        <v>4902224.3099999996</v>
      </c>
      <c r="I1118" s="14">
        <v>5000000</v>
      </c>
      <c r="J1118" s="14">
        <v>4902224.3099999996</v>
      </c>
      <c r="K1118" s="12">
        <v>491505</v>
      </c>
      <c r="L1118" s="10" t="s">
        <v>101</v>
      </c>
      <c r="M1118" s="10" t="s">
        <v>102</v>
      </c>
      <c r="N1118" s="124" t="s">
        <v>342</v>
      </c>
      <c r="O1118" s="124" t="s">
        <v>342</v>
      </c>
      <c r="P1118" s="21">
        <v>26</v>
      </c>
      <c r="Q1118" s="10" t="s">
        <v>54</v>
      </c>
      <c r="R1118" s="10" t="s">
        <v>28</v>
      </c>
      <c r="S1118" s="10"/>
      <c r="T1118" s="10"/>
      <c r="U1118" s="10" t="s">
        <v>754</v>
      </c>
      <c r="V1118" s="10" t="s">
        <v>754</v>
      </c>
      <c r="W1118" s="50">
        <f>+J1118/$W$2</f>
        <v>5.9996586761746652E-5</v>
      </c>
    </row>
    <row r="1119" spans="1:29">
      <c r="A1119" s="10" t="s">
        <v>271</v>
      </c>
      <c r="B1119" s="10" t="s">
        <v>358</v>
      </c>
      <c r="C1119" s="124">
        <v>46352</v>
      </c>
      <c r="D1119" s="124" t="s">
        <v>471</v>
      </c>
      <c r="E1119" s="21">
        <v>0.98044485000000003</v>
      </c>
      <c r="F1119" s="10"/>
      <c r="G1119" s="14">
        <v>4000000</v>
      </c>
      <c r="H1119" s="14">
        <v>3921779.39</v>
      </c>
      <c r="I1119" s="14">
        <v>4000000</v>
      </c>
      <c r="J1119" s="14">
        <v>3921779.39</v>
      </c>
      <c r="K1119" s="12">
        <v>90002232</v>
      </c>
      <c r="L1119" s="10" t="s">
        <v>101</v>
      </c>
      <c r="M1119" s="10" t="s">
        <v>102</v>
      </c>
      <c r="N1119" s="124" t="s">
        <v>478</v>
      </c>
      <c r="O1119" s="124" t="s">
        <v>478</v>
      </c>
      <c r="P1119" s="21">
        <v>26</v>
      </c>
      <c r="Q1119" s="10" t="s">
        <v>54</v>
      </c>
      <c r="R1119" s="10" t="s">
        <v>28</v>
      </c>
      <c r="S1119" s="10"/>
      <c r="T1119" s="10"/>
      <c r="U1119" s="10" t="s">
        <v>2112</v>
      </c>
      <c r="V1119" s="10" t="s">
        <v>2112</v>
      </c>
      <c r="W1119" s="50">
        <f>+J1119/$W$2</f>
        <v>4.7997268699555873E-5</v>
      </c>
    </row>
    <row r="1120" spans="1:29">
      <c r="A1120" s="10" t="s">
        <v>150</v>
      </c>
      <c r="B1120" s="10" t="s">
        <v>358</v>
      </c>
      <c r="C1120" s="124">
        <v>46352</v>
      </c>
      <c r="D1120" s="124" t="s">
        <v>471</v>
      </c>
      <c r="E1120" s="21">
        <v>0.97970807000000004</v>
      </c>
      <c r="F1120" s="10"/>
      <c r="G1120" s="14">
        <v>88000000</v>
      </c>
      <c r="H1120" s="14">
        <v>86214310.120000005</v>
      </c>
      <c r="I1120" s="14">
        <v>88000000</v>
      </c>
      <c r="J1120" s="14">
        <v>86214310.120000005</v>
      </c>
      <c r="K1120" s="12">
        <v>474</v>
      </c>
      <c r="L1120" s="10" t="s">
        <v>101</v>
      </c>
      <c r="M1120" s="10" t="s">
        <v>102</v>
      </c>
      <c r="N1120" s="124" t="s">
        <v>577</v>
      </c>
      <c r="O1120" s="124" t="s">
        <v>577</v>
      </c>
      <c r="P1120" s="21">
        <v>27</v>
      </c>
      <c r="Q1120" s="10" t="s">
        <v>54</v>
      </c>
      <c r="R1120" s="10" t="s">
        <v>28</v>
      </c>
      <c r="S1120" s="10"/>
      <c r="T1120" s="10"/>
      <c r="U1120" s="10" t="s">
        <v>2451</v>
      </c>
      <c r="V1120" s="10" t="s">
        <v>2451</v>
      </c>
      <c r="W1120" s="50">
        <f>+J1120/$W$2</f>
        <v>1.055146400924015E-3</v>
      </c>
    </row>
    <row r="1121" spans="1:29">
      <c r="A1121" s="10" t="s">
        <v>150</v>
      </c>
      <c r="B1121" s="10" t="s">
        <v>358</v>
      </c>
      <c r="C1121" s="124">
        <v>46352</v>
      </c>
      <c r="D1121" s="124" t="s">
        <v>471</v>
      </c>
      <c r="E1121" s="21">
        <v>0.97970807000000004</v>
      </c>
      <c r="F1121" s="10"/>
      <c r="G1121" s="14">
        <v>92000000</v>
      </c>
      <c r="H1121" s="14">
        <v>90133142.400000006</v>
      </c>
      <c r="I1121" s="14">
        <v>92000000</v>
      </c>
      <c r="J1121" s="14">
        <v>90133142.400000006</v>
      </c>
      <c r="K1121" s="12">
        <v>475</v>
      </c>
      <c r="L1121" s="10" t="s">
        <v>101</v>
      </c>
      <c r="M1121" s="10" t="s">
        <v>102</v>
      </c>
      <c r="N1121" s="124" t="s">
        <v>577</v>
      </c>
      <c r="O1121" s="124" t="s">
        <v>577</v>
      </c>
      <c r="P1121" s="21">
        <v>27</v>
      </c>
      <c r="Q1121" s="10" t="s">
        <v>54</v>
      </c>
      <c r="R1121" s="10" t="s">
        <v>28</v>
      </c>
      <c r="S1121" s="10"/>
      <c r="T1121" s="10"/>
      <c r="U1121" s="10" t="s">
        <v>2452</v>
      </c>
      <c r="V1121" s="10" t="s">
        <v>2452</v>
      </c>
      <c r="W1121" s="50">
        <f>+J1121/$W$2</f>
        <v>1.1031076009882679E-3</v>
      </c>
    </row>
    <row r="1122" spans="1:29">
      <c r="A1122" s="10" t="s">
        <v>677</v>
      </c>
      <c r="B1122" s="10" t="s">
        <v>358</v>
      </c>
      <c r="C1122" s="124">
        <v>46352</v>
      </c>
      <c r="D1122" s="124" t="s">
        <v>471</v>
      </c>
      <c r="E1122" s="21">
        <v>0.97239984999999995</v>
      </c>
      <c r="F1122" s="10"/>
      <c r="G1122" s="14">
        <v>25000000</v>
      </c>
      <c r="H1122" s="14">
        <v>24309996.370000001</v>
      </c>
      <c r="I1122" s="14">
        <v>25000000</v>
      </c>
      <c r="J1122" s="14">
        <v>24309996.370000001</v>
      </c>
      <c r="K1122" s="12">
        <v>2664</v>
      </c>
      <c r="L1122" s="10" t="s">
        <v>101</v>
      </c>
      <c r="M1122" s="10" t="s">
        <v>102</v>
      </c>
      <c r="N1122" s="124" t="s">
        <v>399</v>
      </c>
      <c r="O1122" s="124" t="s">
        <v>399</v>
      </c>
      <c r="P1122" s="21">
        <v>37</v>
      </c>
      <c r="Q1122" s="10" t="s">
        <v>54</v>
      </c>
      <c r="R1122" s="10" t="s">
        <v>28</v>
      </c>
      <c r="S1122" s="10"/>
      <c r="T1122" s="10"/>
      <c r="U1122" s="10" t="s">
        <v>1120</v>
      </c>
      <c r="V1122" s="10" t="s">
        <v>1120</v>
      </c>
      <c r="W1122" s="50">
        <f>+J1122/$W$2</f>
        <v>2.9752143397747773E-4</v>
      </c>
    </row>
    <row r="1123" spans="1:29">
      <c r="A1123" s="10" t="s">
        <v>359</v>
      </c>
      <c r="B1123" s="10" t="s">
        <v>358</v>
      </c>
      <c r="C1123" s="124">
        <v>46352</v>
      </c>
      <c r="D1123" s="124" t="s">
        <v>471</v>
      </c>
      <c r="E1123" s="21">
        <v>0.97531003999999999</v>
      </c>
      <c r="F1123" s="10"/>
      <c r="G1123" s="14">
        <v>2500000</v>
      </c>
      <c r="H1123" s="14">
        <v>2438275.11</v>
      </c>
      <c r="I1123" s="14">
        <v>2500000</v>
      </c>
      <c r="J1123" s="14">
        <v>2438275.11</v>
      </c>
      <c r="K1123" s="12">
        <v>1026</v>
      </c>
      <c r="L1123" s="10" t="s">
        <v>101</v>
      </c>
      <c r="M1123" s="10" t="s">
        <v>102</v>
      </c>
      <c r="N1123" s="124" t="s">
        <v>161</v>
      </c>
      <c r="O1123" s="124" t="s">
        <v>161</v>
      </c>
      <c r="P1123" s="21">
        <v>33</v>
      </c>
      <c r="Q1123" s="10" t="s">
        <v>54</v>
      </c>
      <c r="R1123" s="10" t="s">
        <v>28</v>
      </c>
      <c r="S1123" s="10"/>
      <c r="T1123" s="10"/>
      <c r="U1123" s="10" t="s">
        <v>1079</v>
      </c>
      <c r="V1123" s="10" t="s">
        <v>1079</v>
      </c>
      <c r="W1123" s="50">
        <f>+J1123/$W$2</f>
        <v>2.9841185334524679E-5</v>
      </c>
      <c r="AC1123" s="47"/>
    </row>
    <row r="1124" spans="1:29">
      <c r="A1124" s="10" t="s">
        <v>359</v>
      </c>
      <c r="B1124" s="10" t="s">
        <v>358</v>
      </c>
      <c r="C1124" s="124">
        <v>46352</v>
      </c>
      <c r="D1124" s="124" t="s">
        <v>471</v>
      </c>
      <c r="E1124" s="21">
        <v>0.97750411000000004</v>
      </c>
      <c r="F1124" s="10"/>
      <c r="G1124" s="14">
        <v>10000000</v>
      </c>
      <c r="H1124" s="14">
        <v>9775041.1199999992</v>
      </c>
      <c r="I1124" s="14">
        <v>10000000</v>
      </c>
      <c r="J1124" s="14">
        <v>9775041.1199999992</v>
      </c>
      <c r="K1124" s="12">
        <v>1409</v>
      </c>
      <c r="L1124" s="10" t="s">
        <v>101</v>
      </c>
      <c r="M1124" s="10" t="s">
        <v>102</v>
      </c>
      <c r="N1124" s="124" t="s">
        <v>466</v>
      </c>
      <c r="O1124" s="124" t="s">
        <v>466</v>
      </c>
      <c r="P1124" s="21">
        <v>30</v>
      </c>
      <c r="Q1124" s="10" t="s">
        <v>54</v>
      </c>
      <c r="R1124" s="10" t="s">
        <v>28</v>
      </c>
      <c r="S1124" s="10"/>
      <c r="T1124" s="10"/>
      <c r="U1124" s="10" t="s">
        <v>3620</v>
      </c>
      <c r="V1124" s="10" t="s">
        <v>3620</v>
      </c>
      <c r="W1124" s="50">
        <f>+J1124/$W$2</f>
        <v>1.1963326554833252E-4</v>
      </c>
    </row>
    <row r="1125" spans="1:29">
      <c r="A1125" s="10" t="s">
        <v>2441</v>
      </c>
      <c r="B1125" s="10" t="s">
        <v>358</v>
      </c>
      <c r="C1125" s="124">
        <v>46352</v>
      </c>
      <c r="D1125" s="124" t="s">
        <v>471</v>
      </c>
      <c r="E1125" s="21">
        <v>0.97750404000000002</v>
      </c>
      <c r="F1125" s="10"/>
      <c r="G1125" s="14">
        <v>543369.21</v>
      </c>
      <c r="H1125" s="14">
        <v>531145.6</v>
      </c>
      <c r="I1125" s="14">
        <v>543369.21</v>
      </c>
      <c r="J1125" s="14">
        <v>531145.6</v>
      </c>
      <c r="K1125" s="12">
        <v>202</v>
      </c>
      <c r="L1125" s="10" t="s">
        <v>101</v>
      </c>
      <c r="M1125" s="10" t="s">
        <v>102</v>
      </c>
      <c r="N1125" s="124" t="s">
        <v>477</v>
      </c>
      <c r="O1125" s="124" t="s">
        <v>477</v>
      </c>
      <c r="P1125" s="21">
        <v>30</v>
      </c>
      <c r="Q1125" s="10" t="s">
        <v>54</v>
      </c>
      <c r="R1125" s="10" t="s">
        <v>28</v>
      </c>
      <c r="S1125" s="10"/>
      <c r="T1125" s="10"/>
      <c r="U1125" s="10" t="s">
        <v>2416</v>
      </c>
      <c r="V1125" s="10" t="s">
        <v>2416</v>
      </c>
      <c r="W1125" s="50">
        <f>+J1125/$W$2</f>
        <v>6.5005028449055168E-6</v>
      </c>
    </row>
    <row r="1126" spans="1:29">
      <c r="A1126" s="10" t="s">
        <v>2438</v>
      </c>
      <c r="B1126" s="10" t="s">
        <v>358</v>
      </c>
      <c r="C1126" s="124">
        <v>46352</v>
      </c>
      <c r="D1126" s="124" t="s">
        <v>471</v>
      </c>
      <c r="E1126" s="21">
        <v>0.97530996000000003</v>
      </c>
      <c r="F1126" s="10"/>
      <c r="G1126" s="14">
        <v>16500000</v>
      </c>
      <c r="H1126" s="14">
        <v>16092614.4</v>
      </c>
      <c r="I1126" s="14">
        <v>16500000</v>
      </c>
      <c r="J1126" s="14">
        <v>16092614.4</v>
      </c>
      <c r="K1126" s="12">
        <v>70007327</v>
      </c>
      <c r="L1126" s="10" t="s">
        <v>101</v>
      </c>
      <c r="M1126" s="10" t="s">
        <v>102</v>
      </c>
      <c r="N1126" s="124" t="s">
        <v>477</v>
      </c>
      <c r="O1126" s="124" t="s">
        <v>477</v>
      </c>
      <c r="P1126" s="21">
        <v>33</v>
      </c>
      <c r="Q1126" s="10" t="s">
        <v>54</v>
      </c>
      <c r="R1126" s="10" t="s">
        <v>28</v>
      </c>
      <c r="S1126" s="10"/>
      <c r="T1126" s="10"/>
      <c r="U1126" s="10" t="s">
        <v>2432</v>
      </c>
      <c r="V1126" s="10" t="s">
        <v>2432</v>
      </c>
      <c r="W1126" s="50">
        <f>+J1126/$W$2</f>
        <v>1.9695180697941862E-4</v>
      </c>
    </row>
    <row r="1127" spans="1:29">
      <c r="A1127" s="10" t="s">
        <v>2486</v>
      </c>
      <c r="B1127" s="10" t="s">
        <v>358</v>
      </c>
      <c r="C1127" s="124">
        <v>46352</v>
      </c>
      <c r="D1127" s="124" t="s">
        <v>471</v>
      </c>
      <c r="E1127" s="21">
        <v>0.97531002</v>
      </c>
      <c r="F1127" s="10"/>
      <c r="G1127" s="14">
        <v>80000000</v>
      </c>
      <c r="H1127" s="14">
        <v>78024801.650000006</v>
      </c>
      <c r="I1127" s="14">
        <v>80000000</v>
      </c>
      <c r="J1127" s="14">
        <v>78024801.650000006</v>
      </c>
      <c r="K1127" s="12">
        <v>20882</v>
      </c>
      <c r="L1127" s="10" t="s">
        <v>101</v>
      </c>
      <c r="M1127" s="10" t="s">
        <v>102</v>
      </c>
      <c r="N1127" s="124" t="s">
        <v>464</v>
      </c>
      <c r="O1127" s="124" t="s">
        <v>464</v>
      </c>
      <c r="P1127" s="21">
        <v>33</v>
      </c>
      <c r="Q1127" s="10" t="s">
        <v>54</v>
      </c>
      <c r="R1127" s="10" t="s">
        <v>28</v>
      </c>
      <c r="S1127" s="10"/>
      <c r="T1127" s="10"/>
      <c r="U1127" s="10" t="s">
        <v>2547</v>
      </c>
      <c r="V1127" s="10" t="s">
        <v>2547</v>
      </c>
      <c r="W1127" s="50">
        <f>+J1127/$W$2</f>
        <v>9.5491790781852229E-4</v>
      </c>
    </row>
    <row r="1128" spans="1:29">
      <c r="A1128" s="10" t="s">
        <v>2539</v>
      </c>
      <c r="B1128" s="10" t="s">
        <v>358</v>
      </c>
      <c r="C1128" s="124">
        <v>46352</v>
      </c>
      <c r="D1128" s="124" t="s">
        <v>471</v>
      </c>
      <c r="E1128" s="21">
        <v>0.97750402999999997</v>
      </c>
      <c r="F1128" s="10"/>
      <c r="G1128" s="14">
        <v>3535037.55</v>
      </c>
      <c r="H1128" s="14">
        <v>3455513.46</v>
      </c>
      <c r="I1128" s="14">
        <v>3535037.55</v>
      </c>
      <c r="J1128" s="14">
        <v>3455513.46</v>
      </c>
      <c r="K1128" s="12">
        <v>3658346</v>
      </c>
      <c r="L1128" s="10" t="s">
        <v>101</v>
      </c>
      <c r="M1128" s="10" t="s">
        <v>102</v>
      </c>
      <c r="N1128" s="124" t="s">
        <v>452</v>
      </c>
      <c r="O1128" s="124" t="s">
        <v>452</v>
      </c>
      <c r="P1128" s="21">
        <v>30</v>
      </c>
      <c r="Q1128" s="10" t="s">
        <v>54</v>
      </c>
      <c r="R1128" s="10" t="s">
        <v>28</v>
      </c>
      <c r="S1128" s="10"/>
      <c r="T1128" s="10"/>
      <c r="U1128" s="10" t="s">
        <v>2520</v>
      </c>
      <c r="V1128" s="10" t="s">
        <v>2520</v>
      </c>
      <c r="W1128" s="50">
        <f>+J1128/$W$2</f>
        <v>4.2290805152747774E-5</v>
      </c>
    </row>
    <row r="1129" spans="1:29">
      <c r="A1129" s="10" t="s">
        <v>2746</v>
      </c>
      <c r="B1129" s="10" t="s">
        <v>358</v>
      </c>
      <c r="C1129" s="124">
        <v>46352</v>
      </c>
      <c r="D1129" s="124" t="s">
        <v>471</v>
      </c>
      <c r="E1129" s="21">
        <v>0.97604036000000005</v>
      </c>
      <c r="F1129" s="10"/>
      <c r="G1129" s="14">
        <v>4180883.08</v>
      </c>
      <c r="H1129" s="14">
        <v>4080710.63</v>
      </c>
      <c r="I1129" s="14">
        <v>4180883.08</v>
      </c>
      <c r="J1129" s="14">
        <v>4080710.63</v>
      </c>
      <c r="K1129" s="12">
        <v>1381724</v>
      </c>
      <c r="L1129" s="10" t="s">
        <v>101</v>
      </c>
      <c r="M1129" s="10" t="s">
        <v>102</v>
      </c>
      <c r="N1129" s="124" t="s">
        <v>440</v>
      </c>
      <c r="O1129" s="124" t="s">
        <v>440</v>
      </c>
      <c r="P1129" s="21">
        <v>32</v>
      </c>
      <c r="Q1129" s="10" t="s">
        <v>54</v>
      </c>
      <c r="R1129" s="10" t="s">
        <v>28</v>
      </c>
      <c r="S1129" s="10"/>
      <c r="T1129" s="10"/>
      <c r="U1129" s="10" t="s">
        <v>2715</v>
      </c>
      <c r="V1129" s="10" t="s">
        <v>2715</v>
      </c>
      <c r="W1129" s="50">
        <f>+J1129/$W$2</f>
        <v>4.9942371845970645E-5</v>
      </c>
    </row>
    <row r="1130" spans="1:29">
      <c r="A1130" s="10" t="s">
        <v>379</v>
      </c>
      <c r="B1130" s="10" t="s">
        <v>358</v>
      </c>
      <c r="C1130" s="124">
        <v>46353</v>
      </c>
      <c r="D1130" s="124" t="s">
        <v>471</v>
      </c>
      <c r="E1130" s="21">
        <v>0.97520574999999998</v>
      </c>
      <c r="F1130" s="10"/>
      <c r="G1130" s="14">
        <v>25000000</v>
      </c>
      <c r="H1130" s="14">
        <v>24380143.699999999</v>
      </c>
      <c r="I1130" s="14">
        <v>25000000</v>
      </c>
      <c r="J1130" s="14">
        <v>24380143.699999999</v>
      </c>
      <c r="K1130" s="12">
        <v>2714</v>
      </c>
      <c r="L1130" s="10" t="s">
        <v>101</v>
      </c>
      <c r="M1130" s="10" t="s">
        <v>102</v>
      </c>
      <c r="N1130" s="124" t="s">
        <v>310</v>
      </c>
      <c r="O1130" s="124" t="s">
        <v>310</v>
      </c>
      <c r="P1130" s="21">
        <v>32</v>
      </c>
      <c r="Q1130" s="10" t="s">
        <v>54</v>
      </c>
      <c r="R1130" s="10" t="s">
        <v>28</v>
      </c>
      <c r="S1130" s="10"/>
      <c r="T1130" s="10"/>
      <c r="U1130" s="10" t="s">
        <v>1009</v>
      </c>
      <c r="V1130" s="10" t="s">
        <v>1009</v>
      </c>
      <c r="W1130" s="50">
        <f>+J1130/$W$2</f>
        <v>2.9837994230029453E-4</v>
      </c>
    </row>
    <row r="1131" spans="1:29">
      <c r="A1131" s="10" t="s">
        <v>334</v>
      </c>
      <c r="B1131" s="10" t="s">
        <v>358</v>
      </c>
      <c r="C1131" s="124">
        <v>46353</v>
      </c>
      <c r="D1131" s="124" t="s">
        <v>471</v>
      </c>
      <c r="E1131" s="21">
        <v>0.97294418000000005</v>
      </c>
      <c r="F1131" s="10"/>
      <c r="G1131" s="14">
        <v>3841101.28</v>
      </c>
      <c r="H1131" s="14">
        <v>3737177.14</v>
      </c>
      <c r="I1131" s="14">
        <v>3841101.28</v>
      </c>
      <c r="J1131" s="14">
        <v>3737177.14</v>
      </c>
      <c r="K1131" s="12">
        <v>3363</v>
      </c>
      <c r="L1131" s="10" t="s">
        <v>101</v>
      </c>
      <c r="M1131" s="10" t="s">
        <v>102</v>
      </c>
      <c r="N1131" s="124" t="s">
        <v>162</v>
      </c>
      <c r="O1131" s="124" t="s">
        <v>162</v>
      </c>
      <c r="P1131" s="21">
        <v>35</v>
      </c>
      <c r="Q1131" s="10" t="s">
        <v>54</v>
      </c>
      <c r="R1131" s="10" t="s">
        <v>28</v>
      </c>
      <c r="S1131" s="10"/>
      <c r="T1131" s="10"/>
      <c r="U1131" s="10" t="s">
        <v>1255</v>
      </c>
      <c r="V1131" s="10" t="s">
        <v>1255</v>
      </c>
      <c r="W1131" s="50">
        <f>+J1131/$W$2</f>
        <v>4.5737987155472748E-5</v>
      </c>
    </row>
    <row r="1132" spans="1:29">
      <c r="A1132" s="10" t="s">
        <v>334</v>
      </c>
      <c r="B1132" s="10" t="s">
        <v>358</v>
      </c>
      <c r="C1132" s="124">
        <v>46353</v>
      </c>
      <c r="D1132" s="124" t="s">
        <v>471</v>
      </c>
      <c r="E1132" s="21">
        <v>0.97294427000000006</v>
      </c>
      <c r="F1132" s="10"/>
      <c r="G1132" s="14">
        <v>4150625.28</v>
      </c>
      <c r="H1132" s="14">
        <v>4038327.07</v>
      </c>
      <c r="I1132" s="14">
        <v>4150625.28</v>
      </c>
      <c r="J1132" s="14">
        <v>4038327.07</v>
      </c>
      <c r="K1132" s="12">
        <v>3484</v>
      </c>
      <c r="L1132" s="10" t="s">
        <v>101</v>
      </c>
      <c r="M1132" s="10" t="s">
        <v>102</v>
      </c>
      <c r="N1132" s="124" t="s">
        <v>449</v>
      </c>
      <c r="O1132" s="124" t="s">
        <v>449</v>
      </c>
      <c r="P1132" s="21">
        <v>35</v>
      </c>
      <c r="Q1132" s="10" t="s">
        <v>54</v>
      </c>
      <c r="R1132" s="10" t="s">
        <v>28</v>
      </c>
      <c r="S1132" s="10"/>
      <c r="T1132" s="10"/>
      <c r="U1132" s="10" t="s">
        <v>1958</v>
      </c>
      <c r="V1132" s="10" t="s">
        <v>1958</v>
      </c>
      <c r="W1132" s="50">
        <f>+J1132/$W$2</f>
        <v>4.9423654469121012E-5</v>
      </c>
    </row>
    <row r="1133" spans="1:29">
      <c r="A1133" s="10" t="s">
        <v>334</v>
      </c>
      <c r="B1133" s="10" t="s">
        <v>358</v>
      </c>
      <c r="C1133" s="124">
        <v>46353</v>
      </c>
      <c r="D1133" s="124" t="s">
        <v>471</v>
      </c>
      <c r="E1133" s="21">
        <v>0.97294427000000006</v>
      </c>
      <c r="F1133" s="10"/>
      <c r="G1133" s="14">
        <v>3256800.5</v>
      </c>
      <c r="H1133" s="14">
        <v>3168685.38</v>
      </c>
      <c r="I1133" s="14">
        <v>3256800.5</v>
      </c>
      <c r="J1133" s="14">
        <v>3168685.38</v>
      </c>
      <c r="K1133" s="12">
        <v>3596</v>
      </c>
      <c r="L1133" s="10" t="s">
        <v>101</v>
      </c>
      <c r="M1133" s="10" t="s">
        <v>102</v>
      </c>
      <c r="N1133" s="124" t="s">
        <v>449</v>
      </c>
      <c r="O1133" s="124" t="s">
        <v>449</v>
      </c>
      <c r="P1133" s="21">
        <v>35</v>
      </c>
      <c r="Q1133" s="10" t="s">
        <v>54</v>
      </c>
      <c r="R1133" s="10" t="s">
        <v>28</v>
      </c>
      <c r="S1133" s="10"/>
      <c r="T1133" s="10"/>
      <c r="U1133" s="10" t="s">
        <v>1959</v>
      </c>
      <c r="V1133" s="10" t="s">
        <v>1959</v>
      </c>
      <c r="W1133" s="50">
        <f>+J1133/$W$2</f>
        <v>3.8780417887864494E-5</v>
      </c>
    </row>
    <row r="1134" spans="1:29">
      <c r="A1134" s="10" t="s">
        <v>334</v>
      </c>
      <c r="B1134" s="10" t="s">
        <v>358</v>
      </c>
      <c r="C1134" s="124">
        <v>46353</v>
      </c>
      <c r="D1134" s="124" t="s">
        <v>471</v>
      </c>
      <c r="E1134" s="21">
        <v>0.97294427000000006</v>
      </c>
      <c r="F1134" s="10"/>
      <c r="G1134" s="14">
        <v>3102456.89</v>
      </c>
      <c r="H1134" s="14">
        <v>3018517.65</v>
      </c>
      <c r="I1134" s="14">
        <v>3102456.89</v>
      </c>
      <c r="J1134" s="14">
        <v>3018517.65</v>
      </c>
      <c r="K1134" s="12">
        <v>3516</v>
      </c>
      <c r="L1134" s="10" t="s">
        <v>101</v>
      </c>
      <c r="M1134" s="10" t="s">
        <v>102</v>
      </c>
      <c r="N1134" s="124" t="s">
        <v>449</v>
      </c>
      <c r="O1134" s="124" t="s">
        <v>449</v>
      </c>
      <c r="P1134" s="21">
        <v>35</v>
      </c>
      <c r="Q1134" s="10" t="s">
        <v>54</v>
      </c>
      <c r="R1134" s="10" t="s">
        <v>28</v>
      </c>
      <c r="S1134" s="10"/>
      <c r="T1134" s="10"/>
      <c r="U1134" s="10" t="s">
        <v>1963</v>
      </c>
      <c r="V1134" s="10" t="s">
        <v>1963</v>
      </c>
      <c r="W1134" s="50">
        <f>+J1134/$W$2</f>
        <v>3.6942568235946069E-5</v>
      </c>
    </row>
    <row r="1135" spans="1:29">
      <c r="A1135" s="10" t="s">
        <v>2079</v>
      </c>
      <c r="B1135" s="10" t="s">
        <v>358</v>
      </c>
      <c r="C1135" s="124">
        <v>46353</v>
      </c>
      <c r="D1135" s="124" t="s">
        <v>471</v>
      </c>
      <c r="E1135" s="21">
        <v>0.97671934999999999</v>
      </c>
      <c r="F1135" s="10"/>
      <c r="G1135" s="14">
        <v>25000000</v>
      </c>
      <c r="H1135" s="14">
        <v>24417983.859999999</v>
      </c>
      <c r="I1135" s="14">
        <v>25000000</v>
      </c>
      <c r="J1135" s="14">
        <v>24417983.859999999</v>
      </c>
      <c r="K1135" s="12">
        <v>52834</v>
      </c>
      <c r="L1135" s="10" t="s">
        <v>101</v>
      </c>
      <c r="M1135" s="10" t="s">
        <v>102</v>
      </c>
      <c r="N1135" s="124" t="s">
        <v>468</v>
      </c>
      <c r="O1135" s="124" t="s">
        <v>468</v>
      </c>
      <c r="P1135" s="21">
        <v>30</v>
      </c>
      <c r="Q1135" s="10" t="s">
        <v>54</v>
      </c>
      <c r="R1135" s="10" t="s">
        <v>28</v>
      </c>
      <c r="S1135" s="10"/>
      <c r="T1135" s="10"/>
      <c r="U1135" s="10" t="s">
        <v>3832</v>
      </c>
      <c r="V1135" s="10" t="s">
        <v>3832</v>
      </c>
      <c r="W1135" s="50">
        <f>+J1135/$W$2</f>
        <v>2.9884305461400226E-4</v>
      </c>
    </row>
    <row r="1136" spans="1:29">
      <c r="A1136" s="10" t="s">
        <v>443</v>
      </c>
      <c r="B1136" s="10" t="s">
        <v>358</v>
      </c>
      <c r="C1136" s="124">
        <v>46353</v>
      </c>
      <c r="D1136" s="124" t="s">
        <v>471</v>
      </c>
      <c r="E1136" s="21">
        <v>0.97747793000000005</v>
      </c>
      <c r="F1136" s="10"/>
      <c r="G1136" s="14">
        <v>5000000</v>
      </c>
      <c r="H1136" s="14">
        <v>4887389.66</v>
      </c>
      <c r="I1136" s="14">
        <v>5000000</v>
      </c>
      <c r="J1136" s="14">
        <v>4887389.66</v>
      </c>
      <c r="K1136" s="12">
        <v>11486</v>
      </c>
      <c r="L1136" s="10" t="s">
        <v>101</v>
      </c>
      <c r="M1136" s="10" t="s">
        <v>102</v>
      </c>
      <c r="N1136" s="124" t="s">
        <v>449</v>
      </c>
      <c r="O1136" s="124" t="s">
        <v>449</v>
      </c>
      <c r="P1136" s="21">
        <v>29</v>
      </c>
      <c r="Q1136" s="10" t="s">
        <v>54</v>
      </c>
      <c r="R1136" s="10" t="s">
        <v>28</v>
      </c>
      <c r="S1136" s="10"/>
      <c r="T1136" s="10"/>
      <c r="U1136" s="10" t="s">
        <v>1939</v>
      </c>
      <c r="V1136" s="10" t="s">
        <v>1939</v>
      </c>
      <c r="W1136" s="50">
        <f>+J1136/$W$2</f>
        <v>5.9815030735436402E-5</v>
      </c>
    </row>
    <row r="1137" spans="1:23">
      <c r="A1137" s="10" t="s">
        <v>443</v>
      </c>
      <c r="B1137" s="10" t="s">
        <v>358</v>
      </c>
      <c r="C1137" s="124">
        <v>46353</v>
      </c>
      <c r="D1137" s="124" t="s">
        <v>471</v>
      </c>
      <c r="E1137" s="21">
        <v>0.97747793000000005</v>
      </c>
      <c r="F1137" s="10"/>
      <c r="G1137" s="14">
        <v>5000000</v>
      </c>
      <c r="H1137" s="14">
        <v>4887389.66</v>
      </c>
      <c r="I1137" s="14">
        <v>5000000</v>
      </c>
      <c r="J1137" s="14">
        <v>4887389.66</v>
      </c>
      <c r="K1137" s="12">
        <v>11484</v>
      </c>
      <c r="L1137" s="10" t="s">
        <v>101</v>
      </c>
      <c r="M1137" s="10" t="s">
        <v>102</v>
      </c>
      <c r="N1137" s="124" t="s">
        <v>449</v>
      </c>
      <c r="O1137" s="124" t="s">
        <v>449</v>
      </c>
      <c r="P1137" s="21">
        <v>29</v>
      </c>
      <c r="Q1137" s="10" t="s">
        <v>54</v>
      </c>
      <c r="R1137" s="10" t="s">
        <v>28</v>
      </c>
      <c r="S1137" s="10"/>
      <c r="T1137" s="10"/>
      <c r="U1137" s="10" t="s">
        <v>1940</v>
      </c>
      <c r="V1137" s="10" t="s">
        <v>1940</v>
      </c>
      <c r="W1137" s="50">
        <f>+J1137/$W$2</f>
        <v>5.9815030735436402E-5</v>
      </c>
    </row>
    <row r="1138" spans="1:23">
      <c r="A1138" s="10" t="s">
        <v>443</v>
      </c>
      <c r="B1138" s="10" t="s">
        <v>358</v>
      </c>
      <c r="C1138" s="124">
        <v>46353</v>
      </c>
      <c r="D1138" s="124" t="s">
        <v>471</v>
      </c>
      <c r="E1138" s="21">
        <v>0.97671936000000004</v>
      </c>
      <c r="F1138" s="10"/>
      <c r="G1138" s="14">
        <v>5000000</v>
      </c>
      <c r="H1138" s="14">
        <v>4883596.78</v>
      </c>
      <c r="I1138" s="14">
        <v>5000000</v>
      </c>
      <c r="J1138" s="14">
        <v>4883596.78</v>
      </c>
      <c r="K1138" s="12">
        <v>40810978</v>
      </c>
      <c r="L1138" s="10" t="s">
        <v>101</v>
      </c>
      <c r="M1138" s="10" t="s">
        <v>102</v>
      </c>
      <c r="N1138" s="124" t="s">
        <v>576</v>
      </c>
      <c r="O1138" s="124" t="s">
        <v>576</v>
      </c>
      <c r="P1138" s="21">
        <v>30</v>
      </c>
      <c r="Q1138" s="10" t="s">
        <v>54</v>
      </c>
      <c r="R1138" s="10" t="s">
        <v>28</v>
      </c>
      <c r="S1138" s="10"/>
      <c r="T1138" s="10"/>
      <c r="U1138" s="10" t="s">
        <v>2327</v>
      </c>
      <c r="V1138" s="10" t="s">
        <v>2327</v>
      </c>
      <c r="W1138" s="50">
        <f>+J1138/$W$2</f>
        <v>5.9768611020709623E-5</v>
      </c>
    </row>
    <row r="1139" spans="1:23">
      <c r="A1139" s="10" t="s">
        <v>443</v>
      </c>
      <c r="B1139" s="10" t="s">
        <v>358</v>
      </c>
      <c r="C1139" s="124">
        <v>46353</v>
      </c>
      <c r="D1139" s="124" t="s">
        <v>471</v>
      </c>
      <c r="E1139" s="21">
        <v>0.97899855999999996</v>
      </c>
      <c r="F1139" s="10"/>
      <c r="G1139" s="14">
        <v>5000000</v>
      </c>
      <c r="H1139" s="14">
        <v>4894992.78</v>
      </c>
      <c r="I1139" s="14">
        <v>5000000</v>
      </c>
      <c r="J1139" s="14">
        <v>4894992.78</v>
      </c>
      <c r="K1139" s="12">
        <v>40740208</v>
      </c>
      <c r="L1139" s="10" t="s">
        <v>101</v>
      </c>
      <c r="M1139" s="10" t="s">
        <v>102</v>
      </c>
      <c r="N1139" s="124" t="s">
        <v>449</v>
      </c>
      <c r="O1139" s="124" t="s">
        <v>449</v>
      </c>
      <c r="P1139" s="21">
        <v>27</v>
      </c>
      <c r="Q1139" s="10" t="s">
        <v>54</v>
      </c>
      <c r="R1139" s="10" t="s">
        <v>28</v>
      </c>
      <c r="S1139" s="10"/>
      <c r="T1139" s="10"/>
      <c r="U1139" s="10" t="s">
        <v>2003</v>
      </c>
      <c r="V1139" s="10" t="s">
        <v>2003</v>
      </c>
      <c r="W1139" s="50">
        <f>+J1139/$W$2</f>
        <v>5.9908082627780347E-5</v>
      </c>
    </row>
    <row r="1140" spans="1:23">
      <c r="A1140" s="10" t="s">
        <v>443</v>
      </c>
      <c r="B1140" s="10" t="s">
        <v>358</v>
      </c>
      <c r="C1140" s="124">
        <v>46353</v>
      </c>
      <c r="D1140" s="124" t="s">
        <v>471</v>
      </c>
      <c r="E1140" s="21">
        <v>0.97899855999999996</v>
      </c>
      <c r="F1140" s="10"/>
      <c r="G1140" s="14">
        <v>5000000</v>
      </c>
      <c r="H1140" s="14">
        <v>4894992.78</v>
      </c>
      <c r="I1140" s="14">
        <v>5000000</v>
      </c>
      <c r="J1140" s="14">
        <v>4894992.78</v>
      </c>
      <c r="K1140" s="12">
        <v>40740201</v>
      </c>
      <c r="L1140" s="10" t="s">
        <v>101</v>
      </c>
      <c r="M1140" s="10" t="s">
        <v>102</v>
      </c>
      <c r="N1140" s="124" t="s">
        <v>449</v>
      </c>
      <c r="O1140" s="124" t="s">
        <v>449</v>
      </c>
      <c r="P1140" s="21">
        <v>27</v>
      </c>
      <c r="Q1140" s="10" t="s">
        <v>54</v>
      </c>
      <c r="R1140" s="10" t="s">
        <v>28</v>
      </c>
      <c r="S1140" s="10"/>
      <c r="T1140" s="10"/>
      <c r="U1140" s="10" t="s">
        <v>2004</v>
      </c>
      <c r="V1140" s="10" t="s">
        <v>2004</v>
      </c>
      <c r="W1140" s="50">
        <f>+J1140/$W$2</f>
        <v>5.9908082627780347E-5</v>
      </c>
    </row>
    <row r="1141" spans="1:23">
      <c r="A1141" s="10" t="s">
        <v>1485</v>
      </c>
      <c r="B1141" s="10" t="s">
        <v>358</v>
      </c>
      <c r="C1141" s="124">
        <v>46353</v>
      </c>
      <c r="D1141" s="124" t="s">
        <v>471</v>
      </c>
      <c r="E1141" s="21">
        <v>0.97596201000000005</v>
      </c>
      <c r="F1141" s="10"/>
      <c r="G1141" s="14">
        <v>2500000</v>
      </c>
      <c r="H1141" s="14">
        <v>2439905.0299999998</v>
      </c>
      <c r="I1141" s="14">
        <v>2500000</v>
      </c>
      <c r="J1141" s="14">
        <v>2439905.0299999998</v>
      </c>
      <c r="K1141" s="12">
        <v>364</v>
      </c>
      <c r="L1141" s="10" t="s">
        <v>101</v>
      </c>
      <c r="M1141" s="10" t="s">
        <v>102</v>
      </c>
      <c r="N1141" s="124" t="s">
        <v>486</v>
      </c>
      <c r="O1141" s="124" t="s">
        <v>486</v>
      </c>
      <c r="P1141" s="21">
        <v>31</v>
      </c>
      <c r="Q1141" s="10" t="s">
        <v>54</v>
      </c>
      <c r="R1141" s="10" t="s">
        <v>28</v>
      </c>
      <c r="S1141" s="10"/>
      <c r="T1141" s="10"/>
      <c r="U1141" s="10" t="s">
        <v>1452</v>
      </c>
      <c r="V1141" s="10" t="s">
        <v>1452</v>
      </c>
      <c r="W1141" s="50">
        <f>+J1141/$W$2</f>
        <v>2.9861133348020354E-5</v>
      </c>
    </row>
    <row r="1142" spans="1:23">
      <c r="A1142" s="10" t="s">
        <v>1745</v>
      </c>
      <c r="B1142" s="10" t="s">
        <v>358</v>
      </c>
      <c r="C1142" s="124">
        <v>46353</v>
      </c>
      <c r="D1142" s="124" t="s">
        <v>471</v>
      </c>
      <c r="E1142" s="21">
        <v>0.9744507</v>
      </c>
      <c r="F1142" s="10"/>
      <c r="G1142" s="14">
        <v>5561000</v>
      </c>
      <c r="H1142" s="14">
        <v>5418920.3399999999</v>
      </c>
      <c r="I1142" s="14">
        <v>5561000</v>
      </c>
      <c r="J1142" s="14">
        <v>5418920.3399999999</v>
      </c>
      <c r="K1142" s="12">
        <v>14101159</v>
      </c>
      <c r="L1142" s="10" t="s">
        <v>101</v>
      </c>
      <c r="M1142" s="10" t="s">
        <v>102</v>
      </c>
      <c r="N1142" s="124" t="s">
        <v>398</v>
      </c>
      <c r="O1142" s="124" t="s">
        <v>398</v>
      </c>
      <c r="P1142" s="21">
        <v>33</v>
      </c>
      <c r="Q1142" s="10" t="s">
        <v>54</v>
      </c>
      <c r="R1142" s="10" t="s">
        <v>28</v>
      </c>
      <c r="S1142" s="10"/>
      <c r="T1142" s="10"/>
      <c r="U1142" s="10" t="s">
        <v>1661</v>
      </c>
      <c r="V1142" s="10" t="s">
        <v>1661</v>
      </c>
      <c r="W1142" s="50">
        <f>+J1142/$W$2</f>
        <v>6.6320246438050836E-5</v>
      </c>
    </row>
    <row r="1143" spans="1:23">
      <c r="A1143" s="10" t="s">
        <v>1757</v>
      </c>
      <c r="B1143" s="10" t="s">
        <v>358</v>
      </c>
      <c r="C1143" s="124">
        <v>46353</v>
      </c>
      <c r="D1143" s="124" t="s">
        <v>471</v>
      </c>
      <c r="E1143" s="21">
        <v>0.97520572999999999</v>
      </c>
      <c r="F1143" s="10"/>
      <c r="G1143" s="14">
        <v>1509475</v>
      </c>
      <c r="H1143" s="14">
        <v>1472048.67</v>
      </c>
      <c r="I1143" s="14">
        <v>1509475</v>
      </c>
      <c r="J1143" s="14">
        <v>1472048.67</v>
      </c>
      <c r="K1143" s="12">
        <v>3848025</v>
      </c>
      <c r="L1143" s="10" t="s">
        <v>101</v>
      </c>
      <c r="M1143" s="10" t="s">
        <v>102</v>
      </c>
      <c r="N1143" s="124" t="s">
        <v>398</v>
      </c>
      <c r="O1143" s="124" t="s">
        <v>398</v>
      </c>
      <c r="P1143" s="21">
        <v>32</v>
      </c>
      <c r="Q1143" s="10" t="s">
        <v>54</v>
      </c>
      <c r="R1143" s="10" t="s">
        <v>28</v>
      </c>
      <c r="S1143" s="10"/>
      <c r="T1143" s="10"/>
      <c r="U1143" s="10" t="s">
        <v>1720</v>
      </c>
      <c r="V1143" s="10" t="s">
        <v>1720</v>
      </c>
      <c r="W1143" s="50">
        <f>+J1143/$W$2</f>
        <v>1.8015882212286767E-5</v>
      </c>
    </row>
    <row r="1144" spans="1:23">
      <c r="A1144" s="10" t="s">
        <v>2758</v>
      </c>
      <c r="B1144" s="10" t="s">
        <v>358</v>
      </c>
      <c r="C1144" s="124">
        <v>46353</v>
      </c>
      <c r="D1144" s="124" t="s">
        <v>471</v>
      </c>
      <c r="E1144" s="21">
        <v>0.97823760000000004</v>
      </c>
      <c r="F1144" s="10"/>
      <c r="G1144" s="14">
        <v>358808.84</v>
      </c>
      <c r="H1144" s="14">
        <v>351000.3</v>
      </c>
      <c r="I1144" s="14">
        <v>358808.84</v>
      </c>
      <c r="J1144" s="14">
        <v>351000.3</v>
      </c>
      <c r="K1144" s="12">
        <v>592</v>
      </c>
      <c r="L1144" s="10" t="s">
        <v>101</v>
      </c>
      <c r="M1144" s="10" t="s">
        <v>102</v>
      </c>
      <c r="N1144" s="124" t="s">
        <v>411</v>
      </c>
      <c r="O1144" s="124" t="s">
        <v>411</v>
      </c>
      <c r="P1144" s="21">
        <v>28</v>
      </c>
      <c r="Q1144" s="10" t="s">
        <v>54</v>
      </c>
      <c r="R1144" s="10" t="s">
        <v>28</v>
      </c>
      <c r="S1144" s="10"/>
      <c r="T1144" s="10"/>
      <c r="U1144" s="10" t="s">
        <v>2952</v>
      </c>
      <c r="V1144" s="10" t="s">
        <v>2952</v>
      </c>
      <c r="W1144" s="50">
        <f>+J1144/$W$2</f>
        <v>4.295768333038417E-6</v>
      </c>
    </row>
    <row r="1145" spans="1:23">
      <c r="A1145" s="10" t="s">
        <v>443</v>
      </c>
      <c r="B1145" s="10" t="s">
        <v>358</v>
      </c>
      <c r="C1145" s="124">
        <v>46353</v>
      </c>
      <c r="D1145" s="124" t="s">
        <v>471</v>
      </c>
      <c r="E1145" s="21">
        <v>0.97596196999999996</v>
      </c>
      <c r="F1145" s="10"/>
      <c r="G1145" s="14">
        <v>60000000</v>
      </c>
      <c r="H1145" s="14">
        <v>58557718.079999998</v>
      </c>
      <c r="I1145" s="14">
        <v>60000000</v>
      </c>
      <c r="J1145" s="14">
        <v>58557718.079999998</v>
      </c>
      <c r="K1145" s="12">
        <v>80939923</v>
      </c>
      <c r="L1145" s="10" t="s">
        <v>101</v>
      </c>
      <c r="M1145" s="10" t="s">
        <v>102</v>
      </c>
      <c r="N1145" s="124" t="s">
        <v>365</v>
      </c>
      <c r="O1145" s="124" t="s">
        <v>365</v>
      </c>
      <c r="P1145" s="21">
        <v>31</v>
      </c>
      <c r="Q1145" s="10" t="s">
        <v>54</v>
      </c>
      <c r="R1145" s="10" t="s">
        <v>28</v>
      </c>
      <c r="S1145" s="10"/>
      <c r="T1145" s="10"/>
      <c r="U1145" s="10" t="s">
        <v>1317</v>
      </c>
      <c r="V1145" s="10" t="s">
        <v>1317</v>
      </c>
      <c r="W1145" s="50">
        <f>+J1145/$W$2</f>
        <v>7.1666716804246377E-4</v>
      </c>
    </row>
    <row r="1146" spans="1:23">
      <c r="A1146" s="10" t="s">
        <v>443</v>
      </c>
      <c r="B1146" s="10" t="s">
        <v>358</v>
      </c>
      <c r="C1146" s="124">
        <v>46353</v>
      </c>
      <c r="D1146" s="124" t="s">
        <v>471</v>
      </c>
      <c r="E1146" s="21">
        <v>0.97747793000000005</v>
      </c>
      <c r="F1146" s="10"/>
      <c r="G1146" s="14">
        <v>5000000</v>
      </c>
      <c r="H1146" s="14">
        <v>4887389.66</v>
      </c>
      <c r="I1146" s="14">
        <v>5000000</v>
      </c>
      <c r="J1146" s="14">
        <v>4887389.66</v>
      </c>
      <c r="K1146" s="12">
        <v>11485</v>
      </c>
      <c r="L1146" s="10" t="s">
        <v>101</v>
      </c>
      <c r="M1146" s="10" t="s">
        <v>102</v>
      </c>
      <c r="N1146" s="124" t="s">
        <v>449</v>
      </c>
      <c r="O1146" s="124" t="s">
        <v>449</v>
      </c>
      <c r="P1146" s="21">
        <v>29</v>
      </c>
      <c r="Q1146" s="10" t="s">
        <v>54</v>
      </c>
      <c r="R1146" s="10" t="s">
        <v>28</v>
      </c>
      <c r="S1146" s="10"/>
      <c r="T1146" s="10"/>
      <c r="U1146" s="10" t="s">
        <v>1934</v>
      </c>
      <c r="V1146" s="10" t="s">
        <v>1934</v>
      </c>
      <c r="W1146" s="50">
        <f>+J1146/$W$2</f>
        <v>5.9815030735436402E-5</v>
      </c>
    </row>
    <row r="1147" spans="1:23">
      <c r="A1147" s="10" t="s">
        <v>206</v>
      </c>
      <c r="B1147" s="10" t="s">
        <v>358</v>
      </c>
      <c r="C1147" s="124">
        <v>46353</v>
      </c>
      <c r="D1147" s="124" t="s">
        <v>471</v>
      </c>
      <c r="E1147" s="21">
        <v>0.97445077999999996</v>
      </c>
      <c r="F1147" s="10"/>
      <c r="G1147" s="14">
        <v>2170000</v>
      </c>
      <c r="H1147" s="14">
        <v>2114558.19</v>
      </c>
      <c r="I1147" s="14">
        <v>2170000</v>
      </c>
      <c r="J1147" s="14">
        <v>2114558.19</v>
      </c>
      <c r="K1147" s="12">
        <v>260739</v>
      </c>
      <c r="L1147" s="10" t="s">
        <v>101</v>
      </c>
      <c r="M1147" s="10" t="s">
        <v>102</v>
      </c>
      <c r="N1147" s="124" t="s">
        <v>479</v>
      </c>
      <c r="O1147" s="124" t="s">
        <v>479</v>
      </c>
      <c r="P1147" s="21">
        <v>33</v>
      </c>
      <c r="Q1147" s="10" t="s">
        <v>54</v>
      </c>
      <c r="R1147" s="10" t="s">
        <v>28</v>
      </c>
      <c r="S1147" s="10"/>
      <c r="T1147" s="10"/>
      <c r="U1147" s="10" t="s">
        <v>1207</v>
      </c>
      <c r="V1147" s="10" t="s">
        <v>1207</v>
      </c>
      <c r="W1147" s="50">
        <f>+J1147/$W$2</f>
        <v>2.5879328624417223E-5</v>
      </c>
    </row>
    <row r="1148" spans="1:23">
      <c r="A1148" s="10" t="s">
        <v>141</v>
      </c>
      <c r="B1148" s="10" t="s">
        <v>358</v>
      </c>
      <c r="C1148" s="124">
        <v>46353</v>
      </c>
      <c r="D1148" s="124" t="s">
        <v>471</v>
      </c>
      <c r="E1148" s="21">
        <v>0.97294418000000005</v>
      </c>
      <c r="F1148" s="10"/>
      <c r="G1148" s="14">
        <v>15000000</v>
      </c>
      <c r="H1148" s="14">
        <v>14594162.720000001</v>
      </c>
      <c r="I1148" s="14">
        <v>15000000</v>
      </c>
      <c r="J1148" s="14">
        <v>14594162.720000001</v>
      </c>
      <c r="K1148" s="12">
        <v>188</v>
      </c>
      <c r="L1148" s="10" t="s">
        <v>101</v>
      </c>
      <c r="M1148" s="10" t="s">
        <v>102</v>
      </c>
      <c r="N1148" s="124" t="s">
        <v>373</v>
      </c>
      <c r="O1148" s="124" t="s">
        <v>373</v>
      </c>
      <c r="P1148" s="21">
        <v>35</v>
      </c>
      <c r="Q1148" s="10" t="s">
        <v>54</v>
      </c>
      <c r="R1148" s="10" t="s">
        <v>28</v>
      </c>
      <c r="S1148" s="10"/>
      <c r="T1148" s="10"/>
      <c r="U1148" s="10" t="s">
        <v>1130</v>
      </c>
      <c r="V1148" s="10" t="s">
        <v>1130</v>
      </c>
      <c r="W1148" s="50">
        <f>+J1148/$W$2</f>
        <v>1.7861278768076784E-4</v>
      </c>
    </row>
    <row r="1149" spans="1:23">
      <c r="A1149" s="10" t="s">
        <v>946</v>
      </c>
      <c r="B1149" s="10" t="s">
        <v>358</v>
      </c>
      <c r="C1149" s="124">
        <v>46353</v>
      </c>
      <c r="D1149" s="124" t="s">
        <v>471</v>
      </c>
      <c r="E1149" s="21">
        <v>0.9744507</v>
      </c>
      <c r="F1149" s="10"/>
      <c r="G1149" s="14">
        <v>50000000</v>
      </c>
      <c r="H1149" s="14">
        <v>48722535.18</v>
      </c>
      <c r="I1149" s="14">
        <v>50000000</v>
      </c>
      <c r="J1149" s="14">
        <v>48722535.18</v>
      </c>
      <c r="K1149" s="12">
        <v>90003119</v>
      </c>
      <c r="L1149" s="10" t="s">
        <v>101</v>
      </c>
      <c r="M1149" s="10" t="s">
        <v>102</v>
      </c>
      <c r="N1149" s="124" t="s">
        <v>398</v>
      </c>
      <c r="O1149" s="124" t="s">
        <v>398</v>
      </c>
      <c r="P1149" s="21">
        <v>33</v>
      </c>
      <c r="Q1149" s="10" t="s">
        <v>54</v>
      </c>
      <c r="R1149" s="10" t="s">
        <v>28</v>
      </c>
      <c r="S1149" s="10"/>
      <c r="T1149" s="10"/>
      <c r="U1149" s="10" t="s">
        <v>1736</v>
      </c>
      <c r="V1149" s="10" t="s">
        <v>1736</v>
      </c>
      <c r="W1149" s="50">
        <f>+J1149/$W$2</f>
        <v>5.9629784855338942E-4</v>
      </c>
    </row>
    <row r="1150" spans="1:23">
      <c r="A1150" s="10" t="s">
        <v>947</v>
      </c>
      <c r="B1150" s="10" t="s">
        <v>358</v>
      </c>
      <c r="C1150" s="124">
        <v>46353</v>
      </c>
      <c r="D1150" s="124" t="s">
        <v>471</v>
      </c>
      <c r="E1150" s="21">
        <v>0.97520574999999998</v>
      </c>
      <c r="F1150" s="10"/>
      <c r="G1150" s="14">
        <v>5444206</v>
      </c>
      <c r="H1150" s="14">
        <v>5309221</v>
      </c>
      <c r="I1150" s="14">
        <v>5444206</v>
      </c>
      <c r="J1150" s="14">
        <v>5309221</v>
      </c>
      <c r="K1150" s="12">
        <v>3447</v>
      </c>
      <c r="L1150" s="10" t="s">
        <v>101</v>
      </c>
      <c r="M1150" s="10" t="s">
        <v>102</v>
      </c>
      <c r="N1150" s="124" t="s">
        <v>373</v>
      </c>
      <c r="O1150" s="124" t="s">
        <v>373</v>
      </c>
      <c r="P1150" s="21">
        <v>32</v>
      </c>
      <c r="Q1150" s="10" t="s">
        <v>54</v>
      </c>
      <c r="R1150" s="10" t="s">
        <v>28</v>
      </c>
      <c r="S1150" s="10"/>
      <c r="T1150" s="10"/>
      <c r="U1150" s="10" t="s">
        <v>1161</v>
      </c>
      <c r="V1150" s="10" t="s">
        <v>1161</v>
      </c>
      <c r="W1150" s="50">
        <f>+J1150/$W$2</f>
        <v>6.4977675075783575E-5</v>
      </c>
    </row>
    <row r="1151" spans="1:23">
      <c r="A1151" s="10" t="s">
        <v>3166</v>
      </c>
      <c r="B1151" s="10" t="s">
        <v>358</v>
      </c>
      <c r="C1151" s="124">
        <v>46353</v>
      </c>
      <c r="D1151" s="124" t="s">
        <v>471</v>
      </c>
      <c r="E1151" s="21">
        <v>0.97671933</v>
      </c>
      <c r="F1151" s="10"/>
      <c r="G1151" s="14">
        <v>4175312.5</v>
      </c>
      <c r="H1151" s="14">
        <v>4078108.44</v>
      </c>
      <c r="I1151" s="14">
        <v>4175312.5</v>
      </c>
      <c r="J1151" s="14">
        <v>4078108.44</v>
      </c>
      <c r="K1151" s="12">
        <v>40952740</v>
      </c>
      <c r="L1151" s="10" t="s">
        <v>101</v>
      </c>
      <c r="M1151" s="10" t="s">
        <v>102</v>
      </c>
      <c r="N1151" s="124" t="s">
        <v>448</v>
      </c>
      <c r="O1151" s="124" t="s">
        <v>448</v>
      </c>
      <c r="P1151" s="21">
        <v>30</v>
      </c>
      <c r="Q1151" s="10" t="s">
        <v>54</v>
      </c>
      <c r="R1151" s="10" t="s">
        <v>28</v>
      </c>
      <c r="S1151" s="10"/>
      <c r="T1151" s="10"/>
      <c r="U1151" s="10" t="s">
        <v>3124</v>
      </c>
      <c r="V1151" s="10" t="s">
        <v>3124</v>
      </c>
      <c r="W1151" s="50">
        <f>+J1151/$W$2</f>
        <v>4.9910524564362767E-5</v>
      </c>
    </row>
    <row r="1152" spans="1:23">
      <c r="A1152" s="10" t="s">
        <v>2435</v>
      </c>
      <c r="B1152" s="10" t="s">
        <v>358</v>
      </c>
      <c r="C1152" s="124">
        <v>46353</v>
      </c>
      <c r="D1152" s="124" t="s">
        <v>471</v>
      </c>
      <c r="E1152" s="21">
        <v>0.97747804000000005</v>
      </c>
      <c r="F1152" s="10"/>
      <c r="G1152" s="14">
        <v>450000</v>
      </c>
      <c r="H1152" s="14">
        <v>439865.12</v>
      </c>
      <c r="I1152" s="14">
        <v>450000</v>
      </c>
      <c r="J1152" s="14">
        <v>439865.12</v>
      </c>
      <c r="K1152" s="12">
        <v>11456506</v>
      </c>
      <c r="L1152" s="10" t="s">
        <v>101</v>
      </c>
      <c r="M1152" s="10" t="s">
        <v>102</v>
      </c>
      <c r="N1152" s="124" t="s">
        <v>469</v>
      </c>
      <c r="O1152" s="124" t="s">
        <v>469</v>
      </c>
      <c r="P1152" s="21">
        <v>29</v>
      </c>
      <c r="Q1152" s="10" t="s">
        <v>54</v>
      </c>
      <c r="R1152" s="10" t="s">
        <v>28</v>
      </c>
      <c r="S1152" s="10"/>
      <c r="T1152" s="10"/>
      <c r="U1152" s="10" t="s">
        <v>4033</v>
      </c>
      <c r="V1152" s="10" t="s">
        <v>4033</v>
      </c>
      <c r="W1152" s="50">
        <f>+J1152/$W$2</f>
        <v>5.3833533854647515E-6</v>
      </c>
    </row>
    <row r="1153" spans="1:23">
      <c r="A1153" s="10" t="s">
        <v>623</v>
      </c>
      <c r="B1153" s="10" t="s">
        <v>358</v>
      </c>
      <c r="C1153" s="124">
        <v>46353</v>
      </c>
      <c r="D1153" s="124" t="s">
        <v>471</v>
      </c>
      <c r="E1153" s="21">
        <v>0.97520587000000003</v>
      </c>
      <c r="F1153" s="10"/>
      <c r="G1153" s="14">
        <v>5000000</v>
      </c>
      <c r="H1153" s="14">
        <v>4876029.34</v>
      </c>
      <c r="I1153" s="14">
        <v>5000000</v>
      </c>
      <c r="J1153" s="14">
        <v>4876029.34</v>
      </c>
      <c r="K1153" s="12">
        <v>58</v>
      </c>
      <c r="L1153" s="10" t="s">
        <v>101</v>
      </c>
      <c r="M1153" s="10" t="s">
        <v>102</v>
      </c>
      <c r="N1153" s="124" t="s">
        <v>450</v>
      </c>
      <c r="O1153" s="124" t="s">
        <v>450</v>
      </c>
      <c r="P1153" s="21">
        <v>32</v>
      </c>
      <c r="Q1153" s="10" t="s">
        <v>54</v>
      </c>
      <c r="R1153" s="10" t="s">
        <v>28</v>
      </c>
      <c r="S1153" s="10"/>
      <c r="T1153" s="10"/>
      <c r="U1153" s="10" t="s">
        <v>3430</v>
      </c>
      <c r="V1153" s="10" t="s">
        <v>3430</v>
      </c>
      <c r="W1153" s="50">
        <f>+J1153/$W$2</f>
        <v>5.9675995803246361E-5</v>
      </c>
    </row>
    <row r="1154" spans="1:23">
      <c r="A1154" s="10" t="s">
        <v>710</v>
      </c>
      <c r="B1154" s="10" t="s">
        <v>358</v>
      </c>
      <c r="C1154" s="124">
        <v>46353</v>
      </c>
      <c r="D1154" s="124" t="s">
        <v>471</v>
      </c>
      <c r="E1154" s="21">
        <v>0.97671934000000005</v>
      </c>
      <c r="F1154" s="10"/>
      <c r="G1154" s="14">
        <v>1187961</v>
      </c>
      <c r="H1154" s="14">
        <v>1160304.48</v>
      </c>
      <c r="I1154" s="14">
        <v>1187961</v>
      </c>
      <c r="J1154" s="14">
        <v>1160304.48</v>
      </c>
      <c r="K1154" s="12">
        <v>2596</v>
      </c>
      <c r="L1154" s="10" t="s">
        <v>101</v>
      </c>
      <c r="M1154" s="10" t="s">
        <v>102</v>
      </c>
      <c r="N1154" s="124" t="s">
        <v>448</v>
      </c>
      <c r="O1154" s="124" t="s">
        <v>448</v>
      </c>
      <c r="P1154" s="21">
        <v>30</v>
      </c>
      <c r="Q1154" s="10" t="s">
        <v>54</v>
      </c>
      <c r="R1154" s="10" t="s">
        <v>28</v>
      </c>
      <c r="S1154" s="10"/>
      <c r="T1154" s="10"/>
      <c r="U1154" s="10" t="s">
        <v>3153</v>
      </c>
      <c r="V1154" s="10" t="s">
        <v>3153</v>
      </c>
      <c r="W1154" s="50">
        <f>+J1154/$W$2</f>
        <v>1.420055550341868E-5</v>
      </c>
    </row>
    <row r="1155" spans="1:23">
      <c r="A1155" s="10" t="s">
        <v>832</v>
      </c>
      <c r="B1155" s="10" t="s">
        <v>358</v>
      </c>
      <c r="C1155" s="124">
        <v>46353</v>
      </c>
      <c r="D1155" s="124" t="s">
        <v>471</v>
      </c>
      <c r="E1155" s="21">
        <v>0.97369698000000005</v>
      </c>
      <c r="F1155" s="10"/>
      <c r="G1155" s="14">
        <v>393484.48</v>
      </c>
      <c r="H1155" s="14">
        <v>383134.65</v>
      </c>
      <c r="I1155" s="14">
        <v>393484.48</v>
      </c>
      <c r="J1155" s="14">
        <v>383134.65</v>
      </c>
      <c r="K1155" s="12">
        <v>123113</v>
      </c>
      <c r="L1155" s="10" t="s">
        <v>101</v>
      </c>
      <c r="M1155" s="10" t="s">
        <v>102</v>
      </c>
      <c r="N1155" s="124" t="s">
        <v>478</v>
      </c>
      <c r="O1155" s="124" t="s">
        <v>478</v>
      </c>
      <c r="P1155" s="21">
        <v>34</v>
      </c>
      <c r="Q1155" s="10" t="s">
        <v>54</v>
      </c>
      <c r="R1155" s="10" t="s">
        <v>28</v>
      </c>
      <c r="S1155" s="10"/>
      <c r="T1155" s="10"/>
      <c r="U1155" s="10" t="s">
        <v>2163</v>
      </c>
      <c r="V1155" s="10" t="s">
        <v>2163</v>
      </c>
      <c r="W1155" s="50">
        <f>+J1155/$W$2</f>
        <v>4.689049259387407E-6</v>
      </c>
    </row>
    <row r="1156" spans="1:23">
      <c r="A1156" s="10" t="s">
        <v>1596</v>
      </c>
      <c r="B1156" s="10" t="s">
        <v>358</v>
      </c>
      <c r="C1156" s="124">
        <v>46353</v>
      </c>
      <c r="D1156" s="124" t="s">
        <v>471</v>
      </c>
      <c r="E1156" s="21">
        <v>0.97671938999999997</v>
      </c>
      <c r="F1156" s="10"/>
      <c r="G1156" s="14">
        <v>5577023.0199999996</v>
      </c>
      <c r="H1156" s="14">
        <v>5447186.5300000003</v>
      </c>
      <c r="I1156" s="14">
        <v>5577023.0199999996</v>
      </c>
      <c r="J1156" s="14">
        <v>5447186.5300000003</v>
      </c>
      <c r="K1156" s="12">
        <v>90017211</v>
      </c>
      <c r="L1156" s="10" t="s">
        <v>101</v>
      </c>
      <c r="M1156" s="10" t="s">
        <v>102</v>
      </c>
      <c r="N1156" s="124" t="s">
        <v>487</v>
      </c>
      <c r="O1156" s="124" t="s">
        <v>487</v>
      </c>
      <c r="P1156" s="21">
        <v>30</v>
      </c>
      <c r="Q1156" s="10" t="s">
        <v>54</v>
      </c>
      <c r="R1156" s="10" t="s">
        <v>28</v>
      </c>
      <c r="S1156" s="10"/>
      <c r="T1156" s="10"/>
      <c r="U1156" s="10" t="s">
        <v>1591</v>
      </c>
      <c r="V1156" s="10" t="s">
        <v>1591</v>
      </c>
      <c r="W1156" s="50">
        <f>+J1156/$W$2</f>
        <v>6.6666186324420304E-5</v>
      </c>
    </row>
    <row r="1157" spans="1:23">
      <c r="A1157" s="10" t="s">
        <v>524</v>
      </c>
      <c r="B1157" s="10" t="s">
        <v>358</v>
      </c>
      <c r="C1157" s="124">
        <v>46353</v>
      </c>
      <c r="D1157" s="124" t="s">
        <v>471</v>
      </c>
      <c r="E1157" s="21">
        <v>0.97369687000000005</v>
      </c>
      <c r="F1157" s="10"/>
      <c r="G1157" s="14">
        <v>5000300.25</v>
      </c>
      <c r="H1157" s="14">
        <v>4868776.6900000004</v>
      </c>
      <c r="I1157" s="14">
        <v>5000300.25</v>
      </c>
      <c r="J1157" s="14">
        <v>4868776.6900000004</v>
      </c>
      <c r="K1157" s="12">
        <v>366</v>
      </c>
      <c r="L1157" s="10" t="s">
        <v>101</v>
      </c>
      <c r="M1157" s="10" t="s">
        <v>102</v>
      </c>
      <c r="N1157" s="124" t="s">
        <v>313</v>
      </c>
      <c r="O1157" s="124" t="s">
        <v>313</v>
      </c>
      <c r="P1157" s="21">
        <v>34</v>
      </c>
      <c r="Q1157" s="10" t="s">
        <v>54</v>
      </c>
      <c r="R1157" s="10" t="s">
        <v>28</v>
      </c>
      <c r="S1157" s="10"/>
      <c r="T1157" s="10"/>
      <c r="U1157" s="10" t="s">
        <v>719</v>
      </c>
      <c r="V1157" s="10" t="s">
        <v>719</v>
      </c>
      <c r="W1157" s="50">
        <f>+J1157/$W$2</f>
        <v>5.9587233189081621E-5</v>
      </c>
    </row>
    <row r="1158" spans="1:23">
      <c r="A1158" s="10" t="s">
        <v>525</v>
      </c>
      <c r="B1158" s="10" t="s">
        <v>358</v>
      </c>
      <c r="C1158" s="124">
        <v>46353</v>
      </c>
      <c r="D1158" s="124" t="s">
        <v>471</v>
      </c>
      <c r="E1158" s="21">
        <v>0.97445079000000001</v>
      </c>
      <c r="F1158" s="10"/>
      <c r="G1158" s="14">
        <v>1500000</v>
      </c>
      <c r="H1158" s="14">
        <v>1461676.19</v>
      </c>
      <c r="I1158" s="14">
        <v>1500000</v>
      </c>
      <c r="J1158" s="14">
        <v>1461676.19</v>
      </c>
      <c r="K1158" s="12">
        <v>587</v>
      </c>
      <c r="L1158" s="10" t="s">
        <v>101</v>
      </c>
      <c r="M1158" s="10" t="s">
        <v>102</v>
      </c>
      <c r="N1158" s="124" t="s">
        <v>408</v>
      </c>
      <c r="O1158" s="124" t="s">
        <v>408</v>
      </c>
      <c r="P1158" s="21">
        <v>33</v>
      </c>
      <c r="Q1158" s="10" t="s">
        <v>54</v>
      </c>
      <c r="R1158" s="10" t="s">
        <v>28</v>
      </c>
      <c r="S1158" s="10"/>
      <c r="T1158" s="10"/>
      <c r="U1158" s="10" t="s">
        <v>2022</v>
      </c>
      <c r="V1158" s="10" t="s">
        <v>2022</v>
      </c>
      <c r="W1158" s="50">
        <f>+J1158/$W$2</f>
        <v>1.7888937103923399E-5</v>
      </c>
    </row>
    <row r="1159" spans="1:23">
      <c r="A1159" s="10" t="s">
        <v>582</v>
      </c>
      <c r="B1159" s="10" t="s">
        <v>358</v>
      </c>
      <c r="C1159" s="124">
        <v>46353</v>
      </c>
      <c r="D1159" s="124" t="s">
        <v>471</v>
      </c>
      <c r="E1159" s="21">
        <v>0.97219268999999997</v>
      </c>
      <c r="F1159" s="10"/>
      <c r="G1159" s="14">
        <v>29362361.710000001</v>
      </c>
      <c r="H1159" s="14">
        <v>28545873.32</v>
      </c>
      <c r="I1159" s="14">
        <v>29362361.710000001</v>
      </c>
      <c r="J1159" s="14">
        <v>28545873.32</v>
      </c>
      <c r="K1159" s="12">
        <v>67998146</v>
      </c>
      <c r="L1159" s="10" t="s">
        <v>101</v>
      </c>
      <c r="M1159" s="10" t="s">
        <v>102</v>
      </c>
      <c r="N1159" s="124" t="s">
        <v>155</v>
      </c>
      <c r="O1159" s="124" t="s">
        <v>155</v>
      </c>
      <c r="P1159" s="21">
        <v>36</v>
      </c>
      <c r="Q1159" s="10" t="s">
        <v>54</v>
      </c>
      <c r="R1159" s="10" t="s">
        <v>28</v>
      </c>
      <c r="S1159" s="10"/>
      <c r="T1159" s="10"/>
      <c r="U1159" s="10" t="s">
        <v>611</v>
      </c>
      <c r="V1159" s="10" t="s">
        <v>611</v>
      </c>
      <c r="W1159" s="50">
        <f>+J1159/$W$2</f>
        <v>3.4936283144767181E-4</v>
      </c>
    </row>
    <row r="1160" spans="1:23">
      <c r="A1160" s="10" t="s">
        <v>295</v>
      </c>
      <c r="B1160" s="10" t="s">
        <v>358</v>
      </c>
      <c r="C1160" s="124">
        <v>46353</v>
      </c>
      <c r="D1160" s="124" t="s">
        <v>471</v>
      </c>
      <c r="E1160" s="21">
        <v>0.98435815000000004</v>
      </c>
      <c r="F1160" s="10"/>
      <c r="G1160" s="14">
        <v>8500000</v>
      </c>
      <c r="H1160" s="14">
        <v>8367044.2699999996</v>
      </c>
      <c r="I1160" s="14">
        <v>8500000</v>
      </c>
      <c r="J1160" s="14">
        <v>8367044.2699999996</v>
      </c>
      <c r="K1160" s="12">
        <v>34603</v>
      </c>
      <c r="L1160" s="10" t="s">
        <v>101</v>
      </c>
      <c r="M1160" s="10" t="s">
        <v>102</v>
      </c>
      <c r="N1160" s="124" t="s">
        <v>405</v>
      </c>
      <c r="O1160" s="124" t="s">
        <v>405</v>
      </c>
      <c r="P1160" s="21">
        <v>20</v>
      </c>
      <c r="Q1160" s="10" t="s">
        <v>54</v>
      </c>
      <c r="R1160" s="10" t="s">
        <v>28</v>
      </c>
      <c r="S1160" s="10"/>
      <c r="T1160" s="10"/>
      <c r="U1160" s="10" t="s">
        <v>1490</v>
      </c>
      <c r="V1160" s="10" t="s">
        <v>1490</v>
      </c>
      <c r="W1160" s="50">
        <f>+J1160/$W$2</f>
        <v>1.0240129087125151E-4</v>
      </c>
    </row>
    <row r="1161" spans="1:23">
      <c r="A1161" s="10" t="s">
        <v>433</v>
      </c>
      <c r="B1161" s="10" t="s">
        <v>358</v>
      </c>
      <c r="C1161" s="124">
        <v>46353</v>
      </c>
      <c r="D1161" s="124" t="s">
        <v>471</v>
      </c>
      <c r="E1161" s="21">
        <v>0.97520574999999998</v>
      </c>
      <c r="F1161" s="10"/>
      <c r="G1161" s="14">
        <v>10000000</v>
      </c>
      <c r="H1161" s="14">
        <v>9752057.4499999993</v>
      </c>
      <c r="I1161" s="14">
        <v>10000000</v>
      </c>
      <c r="J1161" s="14">
        <v>9752057.4499999993</v>
      </c>
      <c r="K1161" s="12">
        <v>14422580</v>
      </c>
      <c r="L1161" s="10" t="s">
        <v>101</v>
      </c>
      <c r="M1161" s="10" t="s">
        <v>102</v>
      </c>
      <c r="N1161" s="124" t="s">
        <v>162</v>
      </c>
      <c r="O1161" s="124" t="s">
        <v>162</v>
      </c>
      <c r="P1161" s="21">
        <v>32</v>
      </c>
      <c r="Q1161" s="10" t="s">
        <v>54</v>
      </c>
      <c r="R1161" s="10" t="s">
        <v>28</v>
      </c>
      <c r="S1161" s="10"/>
      <c r="T1161" s="10"/>
      <c r="U1161" s="10" t="s">
        <v>1280</v>
      </c>
      <c r="V1161" s="10" t="s">
        <v>1280</v>
      </c>
      <c r="W1161" s="50">
        <f>+J1161/$W$2</f>
        <v>1.1935197655295843E-4</v>
      </c>
    </row>
    <row r="1162" spans="1:23">
      <c r="A1162" s="10" t="s">
        <v>433</v>
      </c>
      <c r="B1162" s="10" t="s">
        <v>358</v>
      </c>
      <c r="C1162" s="124">
        <v>46353</v>
      </c>
      <c r="D1162" s="124" t="s">
        <v>471</v>
      </c>
      <c r="E1162" s="21">
        <v>0.97520578999999996</v>
      </c>
      <c r="F1162" s="10"/>
      <c r="G1162" s="14">
        <v>11000000</v>
      </c>
      <c r="H1162" s="14">
        <v>10727263.67</v>
      </c>
      <c r="I1162" s="14">
        <v>11000000</v>
      </c>
      <c r="J1162" s="14">
        <v>10727263.67</v>
      </c>
      <c r="K1162" s="12">
        <v>14651799</v>
      </c>
      <c r="L1162" s="10" t="s">
        <v>101</v>
      </c>
      <c r="M1162" s="10" t="s">
        <v>102</v>
      </c>
      <c r="N1162" s="124" t="s">
        <v>603</v>
      </c>
      <c r="O1162" s="124" t="s">
        <v>603</v>
      </c>
      <c r="P1162" s="21">
        <v>32</v>
      </c>
      <c r="Q1162" s="10" t="s">
        <v>54</v>
      </c>
      <c r="R1162" s="10" t="s">
        <v>28</v>
      </c>
      <c r="S1162" s="10"/>
      <c r="T1162" s="10"/>
      <c r="U1162" s="10" t="s">
        <v>2584</v>
      </c>
      <c r="V1162" s="10" t="s">
        <v>2584</v>
      </c>
      <c r="W1162" s="50">
        <f>+J1162/$W$2</f>
        <v>1.3128718002161101E-4</v>
      </c>
    </row>
    <row r="1163" spans="1:23">
      <c r="A1163" s="10" t="s">
        <v>434</v>
      </c>
      <c r="B1163" s="10" t="s">
        <v>358</v>
      </c>
      <c r="C1163" s="124">
        <v>46353</v>
      </c>
      <c r="D1163" s="124" t="s">
        <v>471</v>
      </c>
      <c r="E1163" s="21">
        <v>0.97445082999999999</v>
      </c>
      <c r="F1163" s="10"/>
      <c r="G1163" s="14">
        <v>2500000</v>
      </c>
      <c r="H1163" s="14">
        <v>2436127.0699999998</v>
      </c>
      <c r="I1163" s="14">
        <v>2500000</v>
      </c>
      <c r="J1163" s="14">
        <v>2436127.0699999998</v>
      </c>
      <c r="K1163" s="12">
        <v>677</v>
      </c>
      <c r="L1163" s="10" t="s">
        <v>101</v>
      </c>
      <c r="M1163" s="10" t="s">
        <v>102</v>
      </c>
      <c r="N1163" s="124" t="s">
        <v>478</v>
      </c>
      <c r="O1163" s="124" t="s">
        <v>478</v>
      </c>
      <c r="P1163" s="21">
        <v>33</v>
      </c>
      <c r="Q1163" s="10" t="s">
        <v>54</v>
      </c>
      <c r="R1163" s="10" t="s">
        <v>28</v>
      </c>
      <c r="S1163" s="10"/>
      <c r="T1163" s="10"/>
      <c r="U1163" s="10" t="s">
        <v>2176</v>
      </c>
      <c r="V1163" s="10" t="s">
        <v>2176</v>
      </c>
      <c r="W1163" s="50">
        <f>+J1163/$W$2</f>
        <v>2.9814896233888298E-5</v>
      </c>
    </row>
    <row r="1164" spans="1:23">
      <c r="A1164" s="10" t="s">
        <v>217</v>
      </c>
      <c r="B1164" s="10" t="s">
        <v>358</v>
      </c>
      <c r="C1164" s="124">
        <v>46353</v>
      </c>
      <c r="D1164" s="124" t="s">
        <v>471</v>
      </c>
      <c r="E1164" s="21">
        <v>0.97520585000000004</v>
      </c>
      <c r="F1164" s="10"/>
      <c r="G1164" s="14">
        <v>50000000</v>
      </c>
      <c r="H1164" s="14">
        <v>48760292.649999999</v>
      </c>
      <c r="I1164" s="14">
        <v>50000000</v>
      </c>
      <c r="J1164" s="14">
        <v>48760292.649999999</v>
      </c>
      <c r="K1164" s="12">
        <v>5406</v>
      </c>
      <c r="L1164" s="10" t="s">
        <v>101</v>
      </c>
      <c r="M1164" s="10" t="s">
        <v>102</v>
      </c>
      <c r="N1164" s="124" t="s">
        <v>452</v>
      </c>
      <c r="O1164" s="124" t="s">
        <v>452</v>
      </c>
      <c r="P1164" s="21">
        <v>32</v>
      </c>
      <c r="Q1164" s="10" t="s">
        <v>54</v>
      </c>
      <c r="R1164" s="10" t="s">
        <v>28</v>
      </c>
      <c r="S1164" s="10"/>
      <c r="T1164" s="10"/>
      <c r="U1164" s="10" t="s">
        <v>2517</v>
      </c>
      <c r="V1164" s="10" t="s">
        <v>2517</v>
      </c>
      <c r="W1164" s="50">
        <f>+J1164/$W$2</f>
        <v>5.9675994885347928E-4</v>
      </c>
    </row>
    <row r="1165" spans="1:23">
      <c r="A1165" s="10" t="s">
        <v>376</v>
      </c>
      <c r="B1165" s="10" t="s">
        <v>358</v>
      </c>
      <c r="C1165" s="124">
        <v>46353</v>
      </c>
      <c r="D1165" s="124" t="s">
        <v>471</v>
      </c>
      <c r="E1165" s="21">
        <v>0.97369687000000005</v>
      </c>
      <c r="F1165" s="10"/>
      <c r="G1165" s="14">
        <v>50000000</v>
      </c>
      <c r="H1165" s="14">
        <v>48684843.590000004</v>
      </c>
      <c r="I1165" s="14">
        <v>50000000</v>
      </c>
      <c r="J1165" s="14">
        <v>48684843.590000004</v>
      </c>
      <c r="K1165" s="12">
        <v>2230</v>
      </c>
      <c r="L1165" s="10" t="s">
        <v>101</v>
      </c>
      <c r="M1165" s="10" t="s">
        <v>102</v>
      </c>
      <c r="N1165" s="124" t="s">
        <v>373</v>
      </c>
      <c r="O1165" s="124" t="s">
        <v>373</v>
      </c>
      <c r="P1165" s="21">
        <v>34</v>
      </c>
      <c r="Q1165" s="10" t="s">
        <v>54</v>
      </c>
      <c r="R1165" s="10" t="s">
        <v>28</v>
      </c>
      <c r="S1165" s="10"/>
      <c r="T1165" s="10"/>
      <c r="U1165" s="10" t="s">
        <v>1131</v>
      </c>
      <c r="V1165" s="10" t="s">
        <v>1131</v>
      </c>
      <c r="W1165" s="50">
        <f>+J1165/$W$2</f>
        <v>5.9583655453528215E-4</v>
      </c>
    </row>
    <row r="1166" spans="1:23">
      <c r="A1166" s="10" t="s">
        <v>359</v>
      </c>
      <c r="B1166" s="10" t="s">
        <v>358</v>
      </c>
      <c r="C1166" s="124">
        <v>46353</v>
      </c>
      <c r="D1166" s="124" t="s">
        <v>471</v>
      </c>
      <c r="E1166" s="21">
        <v>0.97671931999999995</v>
      </c>
      <c r="F1166" s="10"/>
      <c r="G1166" s="14">
        <v>10000000</v>
      </c>
      <c r="H1166" s="14">
        <v>9767193.25</v>
      </c>
      <c r="I1166" s="14">
        <v>10000000</v>
      </c>
      <c r="J1166" s="14">
        <v>9767193.25</v>
      </c>
      <c r="K1166" s="12">
        <v>1410</v>
      </c>
      <c r="L1166" s="10" t="s">
        <v>101</v>
      </c>
      <c r="M1166" s="10" t="s">
        <v>102</v>
      </c>
      <c r="N1166" s="124" t="s">
        <v>466</v>
      </c>
      <c r="O1166" s="124" t="s">
        <v>466</v>
      </c>
      <c r="P1166" s="21">
        <v>30</v>
      </c>
      <c r="Q1166" s="10" t="s">
        <v>54</v>
      </c>
      <c r="R1166" s="10" t="s">
        <v>28</v>
      </c>
      <c r="S1166" s="10"/>
      <c r="T1166" s="10"/>
      <c r="U1166" s="10" t="s">
        <v>3621</v>
      </c>
      <c r="V1166" s="10" t="s">
        <v>3621</v>
      </c>
      <c r="W1166" s="50">
        <f>+J1166/$W$2</f>
        <v>1.1953721824743905E-4</v>
      </c>
    </row>
    <row r="1167" spans="1:23">
      <c r="A1167" s="10" t="s">
        <v>359</v>
      </c>
      <c r="B1167" s="10" t="s">
        <v>358</v>
      </c>
      <c r="C1167" s="124">
        <v>46353</v>
      </c>
      <c r="D1167" s="124" t="s">
        <v>471</v>
      </c>
      <c r="E1167" s="21">
        <v>0.97671949000000002</v>
      </c>
      <c r="F1167" s="10"/>
      <c r="G1167" s="14">
        <v>8500000</v>
      </c>
      <c r="H1167" s="14">
        <v>8302115.6399999997</v>
      </c>
      <c r="I1167" s="14">
        <v>8500000</v>
      </c>
      <c r="J1167" s="14">
        <v>8302115.6399999997</v>
      </c>
      <c r="K1167" s="12">
        <v>1408</v>
      </c>
      <c r="L1167" s="10" t="s">
        <v>101</v>
      </c>
      <c r="M1167" s="10" t="s">
        <v>102</v>
      </c>
      <c r="N1167" s="124" t="s">
        <v>451</v>
      </c>
      <c r="O1167" s="124" t="s">
        <v>451</v>
      </c>
      <c r="P1167" s="21">
        <v>30</v>
      </c>
      <c r="Q1167" s="10" t="s">
        <v>54</v>
      </c>
      <c r="R1167" s="10" t="s">
        <v>28</v>
      </c>
      <c r="S1167" s="10"/>
      <c r="T1167" s="10"/>
      <c r="U1167" s="10" t="s">
        <v>3506</v>
      </c>
      <c r="V1167" s="10" t="s">
        <v>3506</v>
      </c>
      <c r="W1167" s="50">
        <f>+J1167/$W$2</f>
        <v>1.0160665236905773E-4</v>
      </c>
    </row>
    <row r="1168" spans="1:23">
      <c r="A1168" s="10" t="s">
        <v>2903</v>
      </c>
      <c r="B1168" s="10" t="s">
        <v>358</v>
      </c>
      <c r="C1168" s="124">
        <v>46353</v>
      </c>
      <c r="D1168" s="124" t="s">
        <v>471</v>
      </c>
      <c r="E1168" s="21">
        <v>0.97671929999999996</v>
      </c>
      <c r="F1168" s="10"/>
      <c r="G1168" s="14">
        <v>50000000</v>
      </c>
      <c r="H1168" s="14">
        <v>48835964.909999996</v>
      </c>
      <c r="I1168" s="14">
        <v>50000000</v>
      </c>
      <c r="J1168" s="14">
        <v>48835964.909999996</v>
      </c>
      <c r="K1168" s="12">
        <v>90002958</v>
      </c>
      <c r="L1168" s="10" t="s">
        <v>101</v>
      </c>
      <c r="M1168" s="10" t="s">
        <v>102</v>
      </c>
      <c r="N1168" s="124" t="s">
        <v>413</v>
      </c>
      <c r="O1168" s="124" t="s">
        <v>413</v>
      </c>
      <c r="P1168" s="21">
        <v>30</v>
      </c>
      <c r="Q1168" s="10" t="s">
        <v>54</v>
      </c>
      <c r="R1168" s="10" t="s">
        <v>28</v>
      </c>
      <c r="S1168" s="10"/>
      <c r="T1168" s="10"/>
      <c r="U1168" s="10" t="s">
        <v>2891</v>
      </c>
      <c r="V1168" s="10" t="s">
        <v>2891</v>
      </c>
      <c r="W1168" s="50">
        <f>+J1168/$W$2</f>
        <v>5.9768607483740987E-4</v>
      </c>
    </row>
    <row r="1169" spans="1:23">
      <c r="A1169" s="10" t="s">
        <v>3168</v>
      </c>
      <c r="B1169" s="10" t="s">
        <v>358</v>
      </c>
      <c r="C1169" s="124">
        <v>46353</v>
      </c>
      <c r="D1169" s="124" t="s">
        <v>471</v>
      </c>
      <c r="E1169" s="21">
        <v>0.97671933</v>
      </c>
      <c r="F1169" s="10"/>
      <c r="G1169" s="14">
        <v>3500000</v>
      </c>
      <c r="H1169" s="14">
        <v>3418517.67</v>
      </c>
      <c r="I1169" s="14">
        <v>3500000</v>
      </c>
      <c r="J1169" s="14">
        <v>3418517.67</v>
      </c>
      <c r="K1169" s="12">
        <v>70425752</v>
      </c>
      <c r="L1169" s="10" t="s">
        <v>101</v>
      </c>
      <c r="M1169" s="10" t="s">
        <v>102</v>
      </c>
      <c r="N1169" s="124" t="s">
        <v>448</v>
      </c>
      <c r="O1169" s="124" t="s">
        <v>448</v>
      </c>
      <c r="P1169" s="21">
        <v>30</v>
      </c>
      <c r="Q1169" s="10" t="s">
        <v>54</v>
      </c>
      <c r="R1169" s="10" t="s">
        <v>28</v>
      </c>
      <c r="S1169" s="10"/>
      <c r="T1169" s="10"/>
      <c r="U1169" s="10" t="s">
        <v>3133</v>
      </c>
      <c r="V1169" s="10" t="s">
        <v>3133</v>
      </c>
      <c r="W1169" s="50">
        <f>+J1169/$W$2</f>
        <v>4.1838026784359657E-5</v>
      </c>
    </row>
    <row r="1170" spans="1:23">
      <c r="A1170" s="10" t="s">
        <v>3314</v>
      </c>
      <c r="B1170" s="10" t="s">
        <v>358</v>
      </c>
      <c r="C1170" s="124">
        <v>46353</v>
      </c>
      <c r="D1170" s="124" t="s">
        <v>471</v>
      </c>
      <c r="E1170" s="21">
        <v>0.97445081</v>
      </c>
      <c r="F1170" s="10"/>
      <c r="G1170" s="14">
        <v>1400000</v>
      </c>
      <c r="H1170" s="14">
        <v>1364231.14</v>
      </c>
      <c r="I1170" s="14">
        <v>1400000</v>
      </c>
      <c r="J1170" s="14">
        <v>1364231.14</v>
      </c>
      <c r="K1170" s="12">
        <v>41391512</v>
      </c>
      <c r="L1170" s="10" t="s">
        <v>101</v>
      </c>
      <c r="M1170" s="10" t="s">
        <v>102</v>
      </c>
      <c r="N1170" s="124" t="s">
        <v>417</v>
      </c>
      <c r="O1170" s="124" t="s">
        <v>417</v>
      </c>
      <c r="P1170" s="21">
        <v>33</v>
      </c>
      <c r="Q1170" s="10" t="s">
        <v>54</v>
      </c>
      <c r="R1170" s="10" t="s">
        <v>28</v>
      </c>
      <c r="S1170" s="10"/>
      <c r="T1170" s="10"/>
      <c r="U1170" s="10" t="s">
        <v>3254</v>
      </c>
      <c r="V1170" s="10" t="s">
        <v>3254</v>
      </c>
      <c r="W1170" s="50">
        <f>+J1170/$W$2</f>
        <v>1.6696341655995447E-5</v>
      </c>
    </row>
    <row r="1171" spans="1:23">
      <c r="A1171" s="10" t="s">
        <v>379</v>
      </c>
      <c r="B1171" s="10" t="s">
        <v>358</v>
      </c>
      <c r="C1171" s="124">
        <v>46353</v>
      </c>
      <c r="D1171" s="124" t="s">
        <v>471</v>
      </c>
      <c r="E1171" s="21">
        <v>0.97823766999999995</v>
      </c>
      <c r="F1171" s="10"/>
      <c r="G1171" s="14">
        <v>40000000</v>
      </c>
      <c r="H1171" s="14">
        <v>39129506.890000001</v>
      </c>
      <c r="I1171" s="14">
        <v>40000000</v>
      </c>
      <c r="J1171" s="14">
        <v>39129506.890000001</v>
      </c>
      <c r="K1171" s="12">
        <v>42636</v>
      </c>
      <c r="L1171" s="10" t="s">
        <v>101</v>
      </c>
      <c r="M1171" s="10" t="s">
        <v>102</v>
      </c>
      <c r="N1171" s="124" t="s">
        <v>478</v>
      </c>
      <c r="O1171" s="124" t="s">
        <v>478</v>
      </c>
      <c r="P1171" s="21">
        <v>28</v>
      </c>
      <c r="Q1171" s="10" t="s">
        <v>54</v>
      </c>
      <c r="R1171" s="10" t="s">
        <v>28</v>
      </c>
      <c r="S1171" s="10"/>
      <c r="T1171" s="10"/>
      <c r="U1171" s="10" t="s">
        <v>2143</v>
      </c>
      <c r="V1171" s="10" t="s">
        <v>2143</v>
      </c>
      <c r="W1171" s="50">
        <f>+J1171/$W$2</f>
        <v>4.7889217355503847E-4</v>
      </c>
    </row>
    <row r="1172" spans="1:23">
      <c r="A1172" s="10" t="s">
        <v>271</v>
      </c>
      <c r="B1172" s="10" t="s">
        <v>358</v>
      </c>
      <c r="C1172" s="124">
        <v>46353</v>
      </c>
      <c r="D1172" s="124" t="s">
        <v>471</v>
      </c>
      <c r="E1172" s="21">
        <v>0.97596194000000003</v>
      </c>
      <c r="F1172" s="10"/>
      <c r="G1172" s="14">
        <v>26000000</v>
      </c>
      <c r="H1172" s="14">
        <v>25375010.52</v>
      </c>
      <c r="I1172" s="14">
        <v>26000000</v>
      </c>
      <c r="J1172" s="14">
        <v>25375010.52</v>
      </c>
      <c r="K1172" s="12">
        <v>34571</v>
      </c>
      <c r="L1172" s="10" t="s">
        <v>101</v>
      </c>
      <c r="M1172" s="10" t="s">
        <v>102</v>
      </c>
      <c r="N1172" s="124" t="s">
        <v>310</v>
      </c>
      <c r="O1172" s="124" t="s">
        <v>310</v>
      </c>
      <c r="P1172" s="21">
        <v>31</v>
      </c>
      <c r="Q1172" s="10" t="s">
        <v>54</v>
      </c>
      <c r="R1172" s="10" t="s">
        <v>28</v>
      </c>
      <c r="S1172" s="10"/>
      <c r="T1172" s="10"/>
      <c r="U1172" s="10" t="s">
        <v>1022</v>
      </c>
      <c r="V1172" s="10" t="s">
        <v>1022</v>
      </c>
      <c r="W1172" s="50">
        <f>+J1172/$W$2</f>
        <v>3.105557648877585E-4</v>
      </c>
    </row>
    <row r="1173" spans="1:23">
      <c r="A1173" s="10" t="s">
        <v>622</v>
      </c>
      <c r="B1173" s="10" t="s">
        <v>358</v>
      </c>
      <c r="C1173" s="124">
        <v>46353</v>
      </c>
      <c r="D1173" s="124" t="s">
        <v>471</v>
      </c>
      <c r="E1173" s="21">
        <v>0.97976057999999999</v>
      </c>
      <c r="F1173" s="10"/>
      <c r="G1173" s="14">
        <v>3500000</v>
      </c>
      <c r="H1173" s="14">
        <v>3429162.02</v>
      </c>
      <c r="I1173" s="14">
        <v>3500000</v>
      </c>
      <c r="J1173" s="14">
        <v>3429162.02</v>
      </c>
      <c r="K1173" s="12">
        <v>1734</v>
      </c>
      <c r="L1173" s="10" t="s">
        <v>101</v>
      </c>
      <c r="M1173" s="10" t="s">
        <v>102</v>
      </c>
      <c r="N1173" s="124" t="s">
        <v>162</v>
      </c>
      <c r="O1173" s="124" t="s">
        <v>162</v>
      </c>
      <c r="P1173" s="21">
        <v>26</v>
      </c>
      <c r="Q1173" s="10" t="s">
        <v>54</v>
      </c>
      <c r="R1173" s="10" t="s">
        <v>28</v>
      </c>
      <c r="S1173" s="10"/>
      <c r="T1173" s="10"/>
      <c r="U1173" s="10" t="s">
        <v>1291</v>
      </c>
      <c r="V1173" s="10" t="s">
        <v>1291</v>
      </c>
      <c r="W1173" s="50">
        <f>+J1173/$W$2</f>
        <v>4.1968299213345549E-5</v>
      </c>
    </row>
    <row r="1174" spans="1:23">
      <c r="A1174" s="10" t="s">
        <v>2320</v>
      </c>
      <c r="B1174" s="10" t="s">
        <v>358</v>
      </c>
      <c r="C1174" s="124">
        <v>46353</v>
      </c>
      <c r="D1174" s="124" t="s">
        <v>471</v>
      </c>
      <c r="E1174" s="21">
        <v>0.97747793000000005</v>
      </c>
      <c r="F1174" s="10"/>
      <c r="G1174" s="14">
        <v>70000000</v>
      </c>
      <c r="H1174" s="14">
        <v>68423455.349999994</v>
      </c>
      <c r="I1174" s="14">
        <v>70000000</v>
      </c>
      <c r="J1174" s="14">
        <v>68423455.349999994</v>
      </c>
      <c r="K1174" s="12">
        <v>83299237</v>
      </c>
      <c r="L1174" s="10" t="s">
        <v>101</v>
      </c>
      <c r="M1174" s="10" t="s">
        <v>102</v>
      </c>
      <c r="N1174" s="124" t="s">
        <v>477</v>
      </c>
      <c r="O1174" s="124" t="s">
        <v>477</v>
      </c>
      <c r="P1174" s="21">
        <v>29</v>
      </c>
      <c r="Q1174" s="10" t="s">
        <v>54</v>
      </c>
      <c r="R1174" s="10" t="s">
        <v>28</v>
      </c>
      <c r="S1174" s="10"/>
      <c r="T1174" s="10"/>
      <c r="U1174" s="10" t="s">
        <v>2373</v>
      </c>
      <c r="V1174" s="10" t="s">
        <v>2373</v>
      </c>
      <c r="W1174" s="50">
        <f>+J1174/$W$2</f>
        <v>8.3741043164236055E-4</v>
      </c>
    </row>
    <row r="1175" spans="1:23">
      <c r="A1175" s="10" t="s">
        <v>597</v>
      </c>
      <c r="B1175" s="10" t="s">
        <v>358</v>
      </c>
      <c r="C1175" s="124">
        <v>46353</v>
      </c>
      <c r="D1175" s="124" t="s">
        <v>471</v>
      </c>
      <c r="E1175" s="21">
        <v>0.97671938999999997</v>
      </c>
      <c r="F1175" s="10"/>
      <c r="G1175" s="14">
        <v>2700000</v>
      </c>
      <c r="H1175" s="14">
        <v>2637142.36</v>
      </c>
      <c r="I1175" s="14">
        <v>2700000</v>
      </c>
      <c r="J1175" s="14">
        <v>2637142.36</v>
      </c>
      <c r="K1175" s="12">
        <v>6915</v>
      </c>
      <c r="L1175" s="10" t="s">
        <v>101</v>
      </c>
      <c r="M1175" s="10" t="s">
        <v>102</v>
      </c>
      <c r="N1175" s="124" t="s">
        <v>487</v>
      </c>
      <c r="O1175" s="124" t="s">
        <v>487</v>
      </c>
      <c r="P1175" s="21">
        <v>30</v>
      </c>
      <c r="Q1175" s="10" t="s">
        <v>54</v>
      </c>
      <c r="R1175" s="10" t="s">
        <v>28</v>
      </c>
      <c r="S1175" s="10"/>
      <c r="T1175" s="10"/>
      <c r="U1175" s="10" t="s">
        <v>1587</v>
      </c>
      <c r="V1175" s="10" t="s">
        <v>1587</v>
      </c>
      <c r="W1175" s="50">
        <f>+J1175/$W$2</f>
        <v>3.2275051160361394E-5</v>
      </c>
    </row>
    <row r="1176" spans="1:23">
      <c r="A1176" s="10" t="s">
        <v>696</v>
      </c>
      <c r="B1176" s="10" t="s">
        <v>358</v>
      </c>
      <c r="C1176" s="124">
        <v>46353</v>
      </c>
      <c r="D1176" s="124" t="s">
        <v>471</v>
      </c>
      <c r="E1176" s="21">
        <v>0.97369684999999995</v>
      </c>
      <c r="F1176" s="10"/>
      <c r="G1176" s="14">
        <v>5400000</v>
      </c>
      <c r="H1176" s="14">
        <v>5257963.01</v>
      </c>
      <c r="I1176" s="14">
        <v>5400000</v>
      </c>
      <c r="J1176" s="14">
        <v>5257963.01</v>
      </c>
      <c r="K1176" s="12">
        <v>162800</v>
      </c>
      <c r="L1176" s="10" t="s">
        <v>101</v>
      </c>
      <c r="M1176" s="10" t="s">
        <v>102</v>
      </c>
      <c r="N1176" s="124" t="s">
        <v>331</v>
      </c>
      <c r="O1176" s="124" t="s">
        <v>331</v>
      </c>
      <c r="P1176" s="21">
        <v>34</v>
      </c>
      <c r="Q1176" s="10" t="s">
        <v>54</v>
      </c>
      <c r="R1176" s="10" t="s">
        <v>28</v>
      </c>
      <c r="S1176" s="10"/>
      <c r="T1176" s="10"/>
      <c r="U1176" s="10" t="s">
        <v>1226</v>
      </c>
      <c r="V1176" s="10" t="s">
        <v>1226</v>
      </c>
      <c r="W1176" s="50">
        <f>+J1176/$W$2</f>
        <v>6.4350346693849999E-5</v>
      </c>
    </row>
    <row r="1177" spans="1:23">
      <c r="A1177" s="10" t="s">
        <v>677</v>
      </c>
      <c r="B1177" s="10" t="s">
        <v>358</v>
      </c>
      <c r="C1177" s="124">
        <v>46353</v>
      </c>
      <c r="D1177" s="124" t="s">
        <v>471</v>
      </c>
      <c r="E1177" s="21">
        <v>0.97144235999999995</v>
      </c>
      <c r="F1177" s="10"/>
      <c r="G1177" s="14">
        <v>25000000</v>
      </c>
      <c r="H1177" s="14">
        <v>24286059.059999999</v>
      </c>
      <c r="I1177" s="14">
        <v>25000000</v>
      </c>
      <c r="J1177" s="14">
        <v>24286059.059999999</v>
      </c>
      <c r="K1177" s="12">
        <v>2665</v>
      </c>
      <c r="L1177" s="10" t="s">
        <v>101</v>
      </c>
      <c r="M1177" s="10" t="s">
        <v>102</v>
      </c>
      <c r="N1177" s="124" t="s">
        <v>399</v>
      </c>
      <c r="O1177" s="124" t="s">
        <v>399</v>
      </c>
      <c r="P1177" s="21">
        <v>37</v>
      </c>
      <c r="Q1177" s="10" t="s">
        <v>54</v>
      </c>
      <c r="R1177" s="10" t="s">
        <v>28</v>
      </c>
      <c r="S1177" s="10"/>
      <c r="T1177" s="10"/>
      <c r="U1177" s="10" t="s">
        <v>1117</v>
      </c>
      <c r="V1177" s="10" t="s">
        <v>1117</v>
      </c>
      <c r="W1177" s="50">
        <f>+J1177/$W$2</f>
        <v>2.9722847371996193E-4</v>
      </c>
    </row>
    <row r="1178" spans="1:23">
      <c r="A1178" s="10" t="s">
        <v>359</v>
      </c>
      <c r="B1178" s="10" t="s">
        <v>358</v>
      </c>
      <c r="C1178" s="124">
        <v>46353</v>
      </c>
      <c r="D1178" s="124" t="s">
        <v>471</v>
      </c>
      <c r="E1178" s="21">
        <v>0.97520574999999998</v>
      </c>
      <c r="F1178" s="10"/>
      <c r="G1178" s="14">
        <v>3000000</v>
      </c>
      <c r="H1178" s="14">
        <v>2925617.25</v>
      </c>
      <c r="I1178" s="14">
        <v>3000000</v>
      </c>
      <c r="J1178" s="14">
        <v>2925617.25</v>
      </c>
      <c r="K1178" s="12">
        <v>1063</v>
      </c>
      <c r="L1178" s="10" t="s">
        <v>101</v>
      </c>
      <c r="M1178" s="10" t="s">
        <v>102</v>
      </c>
      <c r="N1178" s="124" t="s">
        <v>373</v>
      </c>
      <c r="O1178" s="124" t="s">
        <v>373</v>
      </c>
      <c r="P1178" s="21">
        <v>32</v>
      </c>
      <c r="Q1178" s="10" t="s">
        <v>54</v>
      </c>
      <c r="R1178" s="10" t="s">
        <v>28</v>
      </c>
      <c r="S1178" s="10"/>
      <c r="T1178" s="10"/>
      <c r="U1178" s="10" t="s">
        <v>1150</v>
      </c>
      <c r="V1178" s="10" t="s">
        <v>1150</v>
      </c>
      <c r="W1178" s="50">
        <f>+J1178/$W$2</f>
        <v>3.5805593149467219E-5</v>
      </c>
    </row>
    <row r="1179" spans="1:23">
      <c r="A1179" s="10" t="s">
        <v>359</v>
      </c>
      <c r="B1179" s="10" t="s">
        <v>358</v>
      </c>
      <c r="C1179" s="124">
        <v>46353</v>
      </c>
      <c r="D1179" s="124" t="s">
        <v>471</v>
      </c>
      <c r="E1179" s="21">
        <v>0.97445075999999997</v>
      </c>
      <c r="F1179" s="10"/>
      <c r="G1179" s="14">
        <v>2500000</v>
      </c>
      <c r="H1179" s="14">
        <v>2436126.9</v>
      </c>
      <c r="I1179" s="14">
        <v>2500000</v>
      </c>
      <c r="J1179" s="14">
        <v>2436126.9</v>
      </c>
      <c r="K1179" s="12">
        <v>1027</v>
      </c>
      <c r="L1179" s="10" t="s">
        <v>101</v>
      </c>
      <c r="M1179" s="10" t="s">
        <v>102</v>
      </c>
      <c r="N1179" s="124" t="s">
        <v>161</v>
      </c>
      <c r="O1179" s="124" t="s">
        <v>312</v>
      </c>
      <c r="P1179" s="21">
        <v>33</v>
      </c>
      <c r="Q1179" s="10" t="s">
        <v>54</v>
      </c>
      <c r="R1179" s="10" t="s">
        <v>28</v>
      </c>
      <c r="S1179" s="10"/>
      <c r="T1179" s="10"/>
      <c r="U1179" s="10" t="s">
        <v>1080</v>
      </c>
      <c r="V1179" s="10" t="s">
        <v>1080</v>
      </c>
      <c r="W1179" s="50">
        <f>+J1179/$W$2</f>
        <v>2.9814894153318522E-5</v>
      </c>
    </row>
    <row r="1180" spans="1:23">
      <c r="A1180" s="10" t="s">
        <v>359</v>
      </c>
      <c r="B1180" s="10" t="s">
        <v>358</v>
      </c>
      <c r="C1180" s="124">
        <v>46353</v>
      </c>
      <c r="D1180" s="124" t="s">
        <v>471</v>
      </c>
      <c r="E1180" s="21">
        <v>0.97671929000000002</v>
      </c>
      <c r="F1180" s="10"/>
      <c r="G1180" s="14">
        <v>2500000</v>
      </c>
      <c r="H1180" s="14">
        <v>2441798.23</v>
      </c>
      <c r="I1180" s="14">
        <v>2500000</v>
      </c>
      <c r="J1180" s="14">
        <v>2441798.23</v>
      </c>
      <c r="K1180" s="12">
        <v>900</v>
      </c>
      <c r="L1180" s="10" t="s">
        <v>101</v>
      </c>
      <c r="M1180" s="10" t="s">
        <v>102</v>
      </c>
      <c r="N1180" s="124" t="s">
        <v>409</v>
      </c>
      <c r="O1180" s="124" t="s">
        <v>409</v>
      </c>
      <c r="P1180" s="21">
        <v>30</v>
      </c>
      <c r="Q1180" s="10" t="s">
        <v>54</v>
      </c>
      <c r="R1180" s="10" t="s">
        <v>28</v>
      </c>
      <c r="S1180" s="10"/>
      <c r="T1180" s="10"/>
      <c r="U1180" s="10" t="s">
        <v>905</v>
      </c>
      <c r="V1180" s="10" t="s">
        <v>905</v>
      </c>
      <c r="W1180" s="50">
        <f>+J1180/$W$2</f>
        <v>2.9884303552171487E-5</v>
      </c>
    </row>
    <row r="1181" spans="1:23">
      <c r="A1181" s="10" t="s">
        <v>2675</v>
      </c>
      <c r="B1181" s="10" t="s">
        <v>358</v>
      </c>
      <c r="C1181" s="124">
        <v>46353</v>
      </c>
      <c r="D1181" s="124" t="s">
        <v>471</v>
      </c>
      <c r="E1181" s="21">
        <v>0.97445075999999997</v>
      </c>
      <c r="F1181" s="10"/>
      <c r="G1181" s="14">
        <v>36300000</v>
      </c>
      <c r="H1181" s="14">
        <v>35372562.75</v>
      </c>
      <c r="I1181" s="14">
        <v>36300000</v>
      </c>
      <c r="J1181" s="14">
        <v>35372562.75</v>
      </c>
      <c r="K1181" s="12">
        <v>152</v>
      </c>
      <c r="L1181" s="10" t="s">
        <v>101</v>
      </c>
      <c r="M1181" s="10" t="s">
        <v>102</v>
      </c>
      <c r="N1181" s="124" t="s">
        <v>603</v>
      </c>
      <c r="O1181" s="124" t="s">
        <v>603</v>
      </c>
      <c r="P1181" s="21">
        <v>33</v>
      </c>
      <c r="Q1181" s="10" t="s">
        <v>54</v>
      </c>
      <c r="R1181" s="10" t="s">
        <v>28</v>
      </c>
      <c r="S1181" s="10"/>
      <c r="T1181" s="10"/>
      <c r="U1181" s="10" t="s">
        <v>2593</v>
      </c>
      <c r="V1181" s="10" t="s">
        <v>2593</v>
      </c>
      <c r="W1181" s="50">
        <f>+J1181/$W$2</f>
        <v>4.3291226508884555E-4</v>
      </c>
    </row>
    <row r="1182" spans="1:23">
      <c r="A1182" s="10" t="s">
        <v>2677</v>
      </c>
      <c r="B1182" s="10" t="s">
        <v>358</v>
      </c>
      <c r="C1182" s="124">
        <v>46353</v>
      </c>
      <c r="D1182" s="124" t="s">
        <v>471</v>
      </c>
      <c r="E1182" s="21">
        <v>0.97445075999999997</v>
      </c>
      <c r="F1182" s="10"/>
      <c r="G1182" s="14">
        <v>7500000</v>
      </c>
      <c r="H1182" s="14">
        <v>7308380.7199999997</v>
      </c>
      <c r="I1182" s="14">
        <v>7500000</v>
      </c>
      <c r="J1182" s="14">
        <v>7308380.7199999997</v>
      </c>
      <c r="K1182" s="12">
        <v>70407056</v>
      </c>
      <c r="L1182" s="10" t="s">
        <v>101</v>
      </c>
      <c r="M1182" s="10" t="s">
        <v>102</v>
      </c>
      <c r="N1182" s="124" t="s">
        <v>603</v>
      </c>
      <c r="O1182" s="124" t="s">
        <v>603</v>
      </c>
      <c r="P1182" s="21">
        <v>33</v>
      </c>
      <c r="Q1182" s="10" t="s">
        <v>54</v>
      </c>
      <c r="R1182" s="10" t="s">
        <v>28</v>
      </c>
      <c r="S1182" s="10"/>
      <c r="T1182" s="10"/>
      <c r="U1182" s="10" t="s">
        <v>2615</v>
      </c>
      <c r="V1182" s="10" t="s">
        <v>2615</v>
      </c>
      <c r="W1182" s="50">
        <f>+J1182/$W$2</f>
        <v>8.9444682704728476E-5</v>
      </c>
    </row>
    <row r="1183" spans="1:23">
      <c r="A1183" s="10" t="s">
        <v>334</v>
      </c>
      <c r="B1183" s="10" t="s">
        <v>358</v>
      </c>
      <c r="C1183" s="124">
        <v>46356</v>
      </c>
      <c r="D1183" s="124" t="s">
        <v>471</v>
      </c>
      <c r="E1183" s="21">
        <v>0.9702286</v>
      </c>
      <c r="F1183" s="10"/>
      <c r="G1183" s="14">
        <v>1250300.6499999999</v>
      </c>
      <c r="H1183" s="14">
        <v>1213077.45</v>
      </c>
      <c r="I1183" s="14">
        <v>1250300.6499999999</v>
      </c>
      <c r="J1183" s="14">
        <v>1213077.45</v>
      </c>
      <c r="K1183" s="12">
        <v>3598</v>
      </c>
      <c r="L1183" s="10" t="s">
        <v>101</v>
      </c>
      <c r="M1183" s="10" t="s">
        <v>102</v>
      </c>
      <c r="N1183" s="124" t="s">
        <v>449</v>
      </c>
      <c r="O1183" s="124" t="s">
        <v>449</v>
      </c>
      <c r="P1183" s="21">
        <v>35</v>
      </c>
      <c r="Q1183" s="10" t="s">
        <v>54</v>
      </c>
      <c r="R1183" s="10" t="s">
        <v>28</v>
      </c>
      <c r="S1183" s="10"/>
      <c r="T1183" s="10"/>
      <c r="U1183" s="10" t="s">
        <v>1955</v>
      </c>
      <c r="V1183" s="10" t="s">
        <v>1955</v>
      </c>
      <c r="W1183" s="50">
        <f>+J1183/$W$2</f>
        <v>1.4846425188904379E-5</v>
      </c>
    </row>
    <row r="1184" spans="1:23">
      <c r="A1184" s="10" t="s">
        <v>334</v>
      </c>
      <c r="B1184" s="10" t="s">
        <v>358</v>
      </c>
      <c r="C1184" s="124">
        <v>46356</v>
      </c>
      <c r="D1184" s="124" t="s">
        <v>471</v>
      </c>
      <c r="E1184" s="21">
        <v>0.9702286</v>
      </c>
      <c r="F1184" s="10"/>
      <c r="G1184" s="14">
        <v>3102456.89</v>
      </c>
      <c r="H1184" s="14">
        <v>3010092.41</v>
      </c>
      <c r="I1184" s="14">
        <v>3102456.89</v>
      </c>
      <c r="J1184" s="14">
        <v>3010092.41</v>
      </c>
      <c r="K1184" s="12">
        <v>3517</v>
      </c>
      <c r="L1184" s="10" t="s">
        <v>101</v>
      </c>
      <c r="M1184" s="10" t="s">
        <v>102</v>
      </c>
      <c r="N1184" s="124" t="s">
        <v>449</v>
      </c>
      <c r="O1184" s="124" t="s">
        <v>449</v>
      </c>
      <c r="P1184" s="21">
        <v>35</v>
      </c>
      <c r="Q1184" s="10" t="s">
        <v>54</v>
      </c>
      <c r="R1184" s="10" t="s">
        <v>28</v>
      </c>
      <c r="S1184" s="10"/>
      <c r="T1184" s="10"/>
      <c r="U1184" s="10" t="s">
        <v>1960</v>
      </c>
      <c r="V1184" s="10" t="s">
        <v>1960</v>
      </c>
      <c r="W1184" s="50">
        <f>+J1184/$W$2</f>
        <v>3.6839454708150653E-5</v>
      </c>
    </row>
    <row r="1185" spans="1:23">
      <c r="A1185" s="10" t="s">
        <v>334</v>
      </c>
      <c r="B1185" s="10" t="s">
        <v>358</v>
      </c>
      <c r="C1185" s="124">
        <v>46356</v>
      </c>
      <c r="D1185" s="124" t="s">
        <v>471</v>
      </c>
      <c r="E1185" s="21">
        <v>0.97022861000000005</v>
      </c>
      <c r="F1185" s="10"/>
      <c r="G1185" s="14">
        <v>1555000.5</v>
      </c>
      <c r="H1185" s="14">
        <v>1508705.98</v>
      </c>
      <c r="I1185" s="14">
        <v>1555000.5</v>
      </c>
      <c r="J1185" s="14">
        <v>1508705.98</v>
      </c>
      <c r="K1185" s="12">
        <v>3597</v>
      </c>
      <c r="L1185" s="10" t="s">
        <v>101</v>
      </c>
      <c r="M1185" s="10" t="s">
        <v>102</v>
      </c>
      <c r="N1185" s="124" t="s">
        <v>449</v>
      </c>
      <c r="O1185" s="124" t="s">
        <v>449</v>
      </c>
      <c r="P1185" s="21">
        <v>35</v>
      </c>
      <c r="Q1185" s="10" t="s">
        <v>54</v>
      </c>
      <c r="R1185" s="10" t="s">
        <v>28</v>
      </c>
      <c r="S1185" s="10"/>
      <c r="T1185" s="10"/>
      <c r="U1185" s="10" t="s">
        <v>1961</v>
      </c>
      <c r="V1185" s="10" t="s">
        <v>1961</v>
      </c>
      <c r="W1185" s="50">
        <f>+J1185/$W$2</f>
        <v>1.8464518043858345E-5</v>
      </c>
    </row>
    <row r="1186" spans="1:23">
      <c r="A1186" s="10" t="s">
        <v>334</v>
      </c>
      <c r="B1186" s="10" t="s">
        <v>358</v>
      </c>
      <c r="C1186" s="124">
        <v>46356</v>
      </c>
      <c r="D1186" s="124" t="s">
        <v>471</v>
      </c>
      <c r="E1186" s="21">
        <v>0.9702286</v>
      </c>
      <c r="F1186" s="10"/>
      <c r="G1186" s="14">
        <v>4150625.28</v>
      </c>
      <c r="H1186" s="14">
        <v>4027055.36</v>
      </c>
      <c r="I1186" s="14">
        <v>4150625.28</v>
      </c>
      <c r="J1186" s="14">
        <v>4027055.36</v>
      </c>
      <c r="K1186" s="12">
        <v>3485</v>
      </c>
      <c r="L1186" s="10" t="s">
        <v>101</v>
      </c>
      <c r="M1186" s="10" t="s">
        <v>102</v>
      </c>
      <c r="N1186" s="124" t="s">
        <v>449</v>
      </c>
      <c r="O1186" s="124" t="s">
        <v>449</v>
      </c>
      <c r="P1186" s="21">
        <v>35</v>
      </c>
      <c r="Q1186" s="10" t="s">
        <v>54</v>
      </c>
      <c r="R1186" s="10" t="s">
        <v>28</v>
      </c>
      <c r="S1186" s="10"/>
      <c r="T1186" s="10"/>
      <c r="U1186" s="10" t="s">
        <v>1962</v>
      </c>
      <c r="V1186" s="10" t="s">
        <v>1962</v>
      </c>
      <c r="W1186" s="50">
        <f>+J1186/$W$2</f>
        <v>4.9285704003331685E-5</v>
      </c>
    </row>
    <row r="1187" spans="1:23">
      <c r="A1187" s="10" t="s">
        <v>443</v>
      </c>
      <c r="B1187" s="10" t="s">
        <v>358</v>
      </c>
      <c r="C1187" s="124">
        <v>46356</v>
      </c>
      <c r="D1187" s="124" t="s">
        <v>471</v>
      </c>
      <c r="E1187" s="21">
        <v>0.97604029999999997</v>
      </c>
      <c r="F1187" s="10"/>
      <c r="G1187" s="14">
        <v>8000000</v>
      </c>
      <c r="H1187" s="14">
        <v>7808322.4299999997</v>
      </c>
      <c r="I1187" s="14">
        <v>8000000</v>
      </c>
      <c r="J1187" s="14">
        <v>7808322.4299999997</v>
      </c>
      <c r="K1187" s="12">
        <v>6493</v>
      </c>
      <c r="L1187" s="10" t="s">
        <v>101</v>
      </c>
      <c r="M1187" s="10" t="s">
        <v>102</v>
      </c>
      <c r="N1187" s="124" t="s">
        <v>397</v>
      </c>
      <c r="O1187" s="124" t="s">
        <v>397</v>
      </c>
      <c r="P1187" s="21">
        <v>28</v>
      </c>
      <c r="Q1187" s="10" t="s">
        <v>54</v>
      </c>
      <c r="R1187" s="10" t="s">
        <v>28</v>
      </c>
      <c r="S1187" s="10"/>
      <c r="T1187" s="10"/>
      <c r="U1187" s="10" t="s">
        <v>1848</v>
      </c>
      <c r="V1187" s="10" t="s">
        <v>1848</v>
      </c>
      <c r="W1187" s="50">
        <f>+J1187/$W$2</f>
        <v>9.5563292193618022E-5</v>
      </c>
    </row>
    <row r="1188" spans="1:23">
      <c r="A1188" s="10" t="s">
        <v>443</v>
      </c>
      <c r="B1188" s="10" t="s">
        <v>358</v>
      </c>
      <c r="C1188" s="124">
        <v>46356</v>
      </c>
      <c r="D1188" s="124" t="s">
        <v>471</v>
      </c>
      <c r="E1188" s="21">
        <v>0.97687614</v>
      </c>
      <c r="F1188" s="10"/>
      <c r="G1188" s="14">
        <v>5000000</v>
      </c>
      <c r="H1188" s="14">
        <v>4884380.6900000004</v>
      </c>
      <c r="I1188" s="14">
        <v>5000000</v>
      </c>
      <c r="J1188" s="14">
        <v>4884380.6900000004</v>
      </c>
      <c r="K1188" s="12">
        <v>40740211</v>
      </c>
      <c r="L1188" s="10" t="s">
        <v>101</v>
      </c>
      <c r="M1188" s="10" t="s">
        <v>102</v>
      </c>
      <c r="N1188" s="124" t="s">
        <v>449</v>
      </c>
      <c r="O1188" s="124" t="s">
        <v>449</v>
      </c>
      <c r="P1188" s="21">
        <v>27</v>
      </c>
      <c r="Q1188" s="10" t="s">
        <v>54</v>
      </c>
      <c r="R1188" s="10" t="s">
        <v>28</v>
      </c>
      <c r="S1188" s="10"/>
      <c r="T1188" s="10"/>
      <c r="U1188" s="10" t="s">
        <v>2005</v>
      </c>
      <c r="V1188" s="10" t="s">
        <v>2005</v>
      </c>
      <c r="W1188" s="50">
        <f>+J1188/$W$2</f>
        <v>5.9778205017506643E-5</v>
      </c>
    </row>
    <row r="1189" spans="1:23">
      <c r="A1189" s="10" t="s">
        <v>443</v>
      </c>
      <c r="B1189" s="10" t="s">
        <v>358</v>
      </c>
      <c r="C1189" s="124">
        <v>46356</v>
      </c>
      <c r="D1189" s="124" t="s">
        <v>471</v>
      </c>
      <c r="E1189" s="21">
        <v>0.97687614</v>
      </c>
      <c r="F1189" s="10"/>
      <c r="G1189" s="14">
        <v>5000000</v>
      </c>
      <c r="H1189" s="14">
        <v>4884380.6900000004</v>
      </c>
      <c r="I1189" s="14">
        <v>5000000</v>
      </c>
      <c r="J1189" s="14">
        <v>4884380.6900000004</v>
      </c>
      <c r="K1189" s="12">
        <v>40740209</v>
      </c>
      <c r="L1189" s="10" t="s">
        <v>101</v>
      </c>
      <c r="M1189" s="10" t="s">
        <v>102</v>
      </c>
      <c r="N1189" s="124" t="s">
        <v>449</v>
      </c>
      <c r="O1189" s="124" t="s">
        <v>449</v>
      </c>
      <c r="P1189" s="21">
        <v>27</v>
      </c>
      <c r="Q1189" s="10" t="s">
        <v>54</v>
      </c>
      <c r="R1189" s="10" t="s">
        <v>28</v>
      </c>
      <c r="S1189" s="10"/>
      <c r="T1189" s="10"/>
      <c r="U1189" s="10" t="s">
        <v>2006</v>
      </c>
      <c r="V1189" s="10" t="s">
        <v>2006</v>
      </c>
      <c r="W1189" s="50">
        <f>+J1189/$W$2</f>
        <v>5.9778205017506643E-5</v>
      </c>
    </row>
    <row r="1190" spans="1:23">
      <c r="A1190" s="10" t="s">
        <v>1425</v>
      </c>
      <c r="B1190" s="10" t="s">
        <v>358</v>
      </c>
      <c r="C1190" s="124">
        <v>46356</v>
      </c>
      <c r="D1190" s="124" t="s">
        <v>471</v>
      </c>
      <c r="E1190" s="21">
        <v>0.97271081999999998</v>
      </c>
      <c r="F1190" s="10"/>
      <c r="G1190" s="14">
        <v>6535955.1799999997</v>
      </c>
      <c r="H1190" s="14">
        <v>6357594.2999999998</v>
      </c>
      <c r="I1190" s="14">
        <v>6535955.1799999997</v>
      </c>
      <c r="J1190" s="14">
        <v>6357594.2999999998</v>
      </c>
      <c r="K1190" s="12">
        <v>30000339</v>
      </c>
      <c r="L1190" s="10" t="s">
        <v>101</v>
      </c>
      <c r="M1190" s="10" t="s">
        <v>102</v>
      </c>
      <c r="N1190" s="124" t="s">
        <v>391</v>
      </c>
      <c r="O1190" s="124" t="s">
        <v>391</v>
      </c>
      <c r="P1190" s="21">
        <v>32</v>
      </c>
      <c r="Q1190" s="10" t="s">
        <v>54</v>
      </c>
      <c r="R1190" s="10" t="s">
        <v>28</v>
      </c>
      <c r="S1190" s="10"/>
      <c r="T1190" s="10"/>
      <c r="U1190" s="10" t="s">
        <v>1406</v>
      </c>
      <c r="V1190" s="10" t="s">
        <v>1406</v>
      </c>
      <c r="W1190" s="50">
        <f>+J1190/$W$2</f>
        <v>7.7808344517784009E-5</v>
      </c>
    </row>
    <row r="1191" spans="1:23">
      <c r="A1191" s="10" t="s">
        <v>1425</v>
      </c>
      <c r="B1191" s="10" t="s">
        <v>358</v>
      </c>
      <c r="C1191" s="124">
        <v>46356</v>
      </c>
      <c r="D1191" s="124" t="s">
        <v>471</v>
      </c>
      <c r="E1191" s="21">
        <v>0.97022876999999996</v>
      </c>
      <c r="F1191" s="10"/>
      <c r="G1191" s="14">
        <v>24325173.129999999</v>
      </c>
      <c r="H1191" s="14">
        <v>23600982.690000001</v>
      </c>
      <c r="I1191" s="14">
        <v>24325173.129999999</v>
      </c>
      <c r="J1191" s="14">
        <v>23600982.690000001</v>
      </c>
      <c r="K1191" s="12">
        <v>30000679</v>
      </c>
      <c r="L1191" s="10" t="s">
        <v>101</v>
      </c>
      <c r="M1191" s="10" t="s">
        <v>102</v>
      </c>
      <c r="N1191" s="124" t="s">
        <v>467</v>
      </c>
      <c r="O1191" s="124" t="s">
        <v>467</v>
      </c>
      <c r="P1191" s="21">
        <v>35</v>
      </c>
      <c r="Q1191" s="10" t="s">
        <v>54</v>
      </c>
      <c r="R1191" s="10" t="s">
        <v>28</v>
      </c>
      <c r="S1191" s="10"/>
      <c r="T1191" s="10"/>
      <c r="U1191" s="10" t="s">
        <v>3747</v>
      </c>
      <c r="V1191" s="10" t="s">
        <v>3747</v>
      </c>
      <c r="W1191" s="50">
        <f>+J1191/$W$2</f>
        <v>2.8884406670960069E-4</v>
      </c>
    </row>
    <row r="1192" spans="1:23">
      <c r="A1192" s="10" t="s">
        <v>1746</v>
      </c>
      <c r="B1192" s="10" t="s">
        <v>358</v>
      </c>
      <c r="C1192" s="124">
        <v>46356</v>
      </c>
      <c r="D1192" s="124" t="s">
        <v>471</v>
      </c>
      <c r="E1192" s="21">
        <v>0.97188202000000001</v>
      </c>
      <c r="F1192" s="10"/>
      <c r="G1192" s="14">
        <v>6590432.0999999996</v>
      </c>
      <c r="H1192" s="14">
        <v>6405122.4299999997</v>
      </c>
      <c r="I1192" s="14">
        <v>6590432.0999999996</v>
      </c>
      <c r="J1192" s="14">
        <v>6405122.4299999997</v>
      </c>
      <c r="K1192" s="12">
        <v>14100646</v>
      </c>
      <c r="L1192" s="10" t="s">
        <v>101</v>
      </c>
      <c r="M1192" s="10" t="s">
        <v>102</v>
      </c>
      <c r="N1192" s="124" t="s">
        <v>398</v>
      </c>
      <c r="O1192" s="124" t="s">
        <v>398</v>
      </c>
      <c r="P1192" s="21">
        <v>33</v>
      </c>
      <c r="Q1192" s="10" t="s">
        <v>54</v>
      </c>
      <c r="R1192" s="10" t="s">
        <v>28</v>
      </c>
      <c r="S1192" s="10"/>
      <c r="T1192" s="10"/>
      <c r="U1192" s="10" t="s">
        <v>1667</v>
      </c>
      <c r="V1192" s="10" t="s">
        <v>1667</v>
      </c>
      <c r="W1192" s="50">
        <f>+J1192/$W$2</f>
        <v>7.8390024464446541E-5</v>
      </c>
    </row>
    <row r="1193" spans="1:23">
      <c r="A1193" s="10" t="s">
        <v>453</v>
      </c>
      <c r="B1193" s="10" t="s">
        <v>358</v>
      </c>
      <c r="C1193" s="124">
        <v>46356</v>
      </c>
      <c r="D1193" s="124" t="s">
        <v>471</v>
      </c>
      <c r="E1193" s="21">
        <v>0.97687614</v>
      </c>
      <c r="F1193" s="10"/>
      <c r="G1193" s="14">
        <v>8000000</v>
      </c>
      <c r="H1193" s="14">
        <v>7815009.1100000003</v>
      </c>
      <c r="I1193" s="14">
        <v>8000000</v>
      </c>
      <c r="J1193" s="14">
        <v>7815009.1100000003</v>
      </c>
      <c r="K1193" s="12">
        <v>69816005</v>
      </c>
      <c r="L1193" s="10" t="s">
        <v>101</v>
      </c>
      <c r="M1193" s="10" t="s">
        <v>102</v>
      </c>
      <c r="N1193" s="124" t="s">
        <v>449</v>
      </c>
      <c r="O1193" s="124" t="s">
        <v>449</v>
      </c>
      <c r="P1193" s="21">
        <v>27</v>
      </c>
      <c r="Q1193" s="10" t="s">
        <v>54</v>
      </c>
      <c r="R1193" s="10" t="s">
        <v>28</v>
      </c>
      <c r="S1193" s="10"/>
      <c r="T1193" s="10"/>
      <c r="U1193" s="10" t="s">
        <v>1964</v>
      </c>
      <c r="V1193" s="10" t="s">
        <v>1964</v>
      </c>
      <c r="W1193" s="50">
        <f>+J1193/$W$2</f>
        <v>9.5645128101442495E-5</v>
      </c>
    </row>
    <row r="1194" spans="1:23">
      <c r="A1194" s="10" t="s">
        <v>206</v>
      </c>
      <c r="B1194" s="10" t="s">
        <v>358</v>
      </c>
      <c r="C1194" s="124">
        <v>46356</v>
      </c>
      <c r="D1194" s="124" t="s">
        <v>471</v>
      </c>
      <c r="E1194" s="21">
        <v>0.97188209999999997</v>
      </c>
      <c r="F1194" s="10"/>
      <c r="G1194" s="14">
        <v>2170000</v>
      </c>
      <c r="H1194" s="14">
        <v>2108984.15</v>
      </c>
      <c r="I1194" s="14">
        <v>2170000</v>
      </c>
      <c r="J1194" s="14">
        <v>2108984.15</v>
      </c>
      <c r="K1194" s="12">
        <v>260740</v>
      </c>
      <c r="L1194" s="10" t="s">
        <v>101</v>
      </c>
      <c r="M1194" s="10" t="s">
        <v>102</v>
      </c>
      <c r="N1194" s="124" t="s">
        <v>479</v>
      </c>
      <c r="O1194" s="124" t="s">
        <v>479</v>
      </c>
      <c r="P1194" s="21">
        <v>33</v>
      </c>
      <c r="Q1194" s="10" t="s">
        <v>54</v>
      </c>
      <c r="R1194" s="10" t="s">
        <v>28</v>
      </c>
      <c r="S1194" s="10"/>
      <c r="T1194" s="10"/>
      <c r="U1194" s="10" t="s">
        <v>1208</v>
      </c>
      <c r="V1194" s="10" t="s">
        <v>1208</v>
      </c>
      <c r="W1194" s="50">
        <f>+J1194/$W$2</f>
        <v>2.5811109923410161E-5</v>
      </c>
    </row>
    <row r="1195" spans="1:23">
      <c r="A1195" s="10" t="s">
        <v>2487</v>
      </c>
      <c r="B1195" s="10" t="s">
        <v>358</v>
      </c>
      <c r="C1195" s="124">
        <v>46356</v>
      </c>
      <c r="D1195" s="124" t="s">
        <v>471</v>
      </c>
      <c r="E1195" s="21">
        <v>0.97271088000000006</v>
      </c>
      <c r="F1195" s="10"/>
      <c r="G1195" s="14">
        <v>75000000</v>
      </c>
      <c r="H1195" s="14">
        <v>72953315.730000004</v>
      </c>
      <c r="I1195" s="14">
        <v>75000000</v>
      </c>
      <c r="J1195" s="14">
        <v>72953315.730000004</v>
      </c>
      <c r="K1195" s="12">
        <v>3497</v>
      </c>
      <c r="L1195" s="10" t="s">
        <v>101</v>
      </c>
      <c r="M1195" s="10" t="s">
        <v>102</v>
      </c>
      <c r="N1195" s="124" t="s">
        <v>466</v>
      </c>
      <c r="O1195" s="124" t="s">
        <v>466</v>
      </c>
      <c r="P1195" s="21">
        <v>32</v>
      </c>
      <c r="Q1195" s="10" t="s">
        <v>54</v>
      </c>
      <c r="R1195" s="10" t="s">
        <v>28</v>
      </c>
      <c r="S1195" s="10"/>
      <c r="T1195" s="10"/>
      <c r="U1195" s="10" t="s">
        <v>3655</v>
      </c>
      <c r="V1195" s="10" t="s">
        <v>3655</v>
      </c>
      <c r="W1195" s="50">
        <f>+J1195/$W$2</f>
        <v>8.9284978817137043E-4</v>
      </c>
    </row>
    <row r="1196" spans="1:23">
      <c r="A1196" s="10" t="s">
        <v>910</v>
      </c>
      <c r="B1196" s="10" t="s">
        <v>358</v>
      </c>
      <c r="C1196" s="124">
        <v>46356</v>
      </c>
      <c r="D1196" s="124" t="s">
        <v>471</v>
      </c>
      <c r="E1196" s="21">
        <v>0.97188211000000002</v>
      </c>
      <c r="F1196" s="10"/>
      <c r="G1196" s="14">
        <v>5112056</v>
      </c>
      <c r="H1196" s="14">
        <v>4968315.79</v>
      </c>
      <c r="I1196" s="14">
        <v>5112056</v>
      </c>
      <c r="J1196" s="14">
        <v>4968315.79</v>
      </c>
      <c r="K1196" s="12">
        <v>14500667</v>
      </c>
      <c r="L1196" s="10" t="s">
        <v>101</v>
      </c>
      <c r="M1196" s="10" t="s">
        <v>102</v>
      </c>
      <c r="N1196" s="124" t="s">
        <v>447</v>
      </c>
      <c r="O1196" s="124" t="s">
        <v>447</v>
      </c>
      <c r="P1196" s="21">
        <v>33</v>
      </c>
      <c r="Q1196" s="10" t="s">
        <v>54</v>
      </c>
      <c r="R1196" s="10" t="s">
        <v>28</v>
      </c>
      <c r="S1196" s="10"/>
      <c r="T1196" s="10"/>
      <c r="U1196" s="10" t="s">
        <v>1630</v>
      </c>
      <c r="V1196" s="10" t="s">
        <v>1630</v>
      </c>
      <c r="W1196" s="50">
        <f>+J1196/$W$2</f>
        <v>6.080545697316141E-5</v>
      </c>
    </row>
    <row r="1197" spans="1:23">
      <c r="A1197" s="10" t="s">
        <v>947</v>
      </c>
      <c r="B1197" s="10" t="s">
        <v>358</v>
      </c>
      <c r="C1197" s="124">
        <v>46356</v>
      </c>
      <c r="D1197" s="124" t="s">
        <v>471</v>
      </c>
      <c r="E1197" s="21">
        <v>0.97271083999999997</v>
      </c>
      <c r="F1197" s="10"/>
      <c r="G1197" s="14">
        <v>5444206</v>
      </c>
      <c r="H1197" s="14">
        <v>5295638.1900000004</v>
      </c>
      <c r="I1197" s="14">
        <v>5444206</v>
      </c>
      <c r="J1197" s="14">
        <v>5295638.1900000004</v>
      </c>
      <c r="K1197" s="12">
        <v>3448</v>
      </c>
      <c r="L1197" s="10" t="s">
        <v>101</v>
      </c>
      <c r="M1197" s="10" t="s">
        <v>102</v>
      </c>
      <c r="N1197" s="124" t="s">
        <v>373</v>
      </c>
      <c r="O1197" s="124" t="s">
        <v>373</v>
      </c>
      <c r="P1197" s="21">
        <v>32</v>
      </c>
      <c r="Q1197" s="10" t="s">
        <v>54</v>
      </c>
      <c r="R1197" s="10" t="s">
        <v>28</v>
      </c>
      <c r="S1197" s="10"/>
      <c r="T1197" s="10"/>
      <c r="U1197" s="10" t="s">
        <v>1164</v>
      </c>
      <c r="V1197" s="10" t="s">
        <v>1164</v>
      </c>
      <c r="W1197" s="50">
        <f>+J1197/$W$2</f>
        <v>6.4811439875780399E-5</v>
      </c>
    </row>
    <row r="1198" spans="1:23">
      <c r="A1198" s="10" t="s">
        <v>1765</v>
      </c>
      <c r="B1198" s="10" t="s">
        <v>358</v>
      </c>
      <c r="C1198" s="124">
        <v>46356</v>
      </c>
      <c r="D1198" s="124" t="s">
        <v>471</v>
      </c>
      <c r="E1198" s="21">
        <v>0.97188215</v>
      </c>
      <c r="F1198" s="10"/>
      <c r="G1198" s="14">
        <v>668750.99</v>
      </c>
      <c r="H1198" s="14">
        <v>649947.15</v>
      </c>
      <c r="I1198" s="14">
        <v>668750.99</v>
      </c>
      <c r="J1198" s="14">
        <v>649947.15</v>
      </c>
      <c r="K1198" s="12">
        <v>19643</v>
      </c>
      <c r="L1198" s="10" t="s">
        <v>101</v>
      </c>
      <c r="M1198" s="10" t="s">
        <v>102</v>
      </c>
      <c r="N1198" s="124" t="s">
        <v>417</v>
      </c>
      <c r="O1198" s="124" t="s">
        <v>417</v>
      </c>
      <c r="P1198" s="21">
        <v>33</v>
      </c>
      <c r="Q1198" s="10" t="s">
        <v>54</v>
      </c>
      <c r="R1198" s="10" t="s">
        <v>28</v>
      </c>
      <c r="S1198" s="10"/>
      <c r="T1198" s="10"/>
      <c r="U1198" s="10" t="s">
        <v>3263</v>
      </c>
      <c r="V1198" s="10" t="s">
        <v>3263</v>
      </c>
      <c r="W1198" s="50">
        <f>+J1198/$W$2</f>
        <v>7.9544729309877239E-6</v>
      </c>
    </row>
    <row r="1199" spans="1:23">
      <c r="A1199" s="10" t="s">
        <v>1310</v>
      </c>
      <c r="B1199" s="10" t="s">
        <v>358</v>
      </c>
      <c r="C1199" s="124">
        <v>46356</v>
      </c>
      <c r="D1199" s="124" t="s">
        <v>471</v>
      </c>
      <c r="E1199" s="21">
        <v>0.96940406000000001</v>
      </c>
      <c r="F1199" s="10"/>
      <c r="G1199" s="14">
        <v>30000000</v>
      </c>
      <c r="H1199" s="14">
        <v>29082121.710000001</v>
      </c>
      <c r="I1199" s="14">
        <v>30000000</v>
      </c>
      <c r="J1199" s="14">
        <v>29082121.710000001</v>
      </c>
      <c r="K1199" s="12">
        <v>10978204</v>
      </c>
      <c r="L1199" s="10" t="s">
        <v>101</v>
      </c>
      <c r="M1199" s="10" t="s">
        <v>102</v>
      </c>
      <c r="N1199" s="124" t="s">
        <v>162</v>
      </c>
      <c r="O1199" s="124" t="s">
        <v>162</v>
      </c>
      <c r="P1199" s="21">
        <v>36</v>
      </c>
      <c r="Q1199" s="10" t="s">
        <v>54</v>
      </c>
      <c r="R1199" s="10" t="s">
        <v>28</v>
      </c>
      <c r="S1199" s="10"/>
      <c r="T1199" s="10"/>
      <c r="U1199" s="10" t="s">
        <v>1299</v>
      </c>
      <c r="V1199" s="10" t="s">
        <v>1299</v>
      </c>
      <c r="W1199" s="50">
        <f>+J1199/$W$2</f>
        <v>3.5592578553177043E-4</v>
      </c>
    </row>
    <row r="1200" spans="1:23">
      <c r="A1200" s="10" t="s">
        <v>525</v>
      </c>
      <c r="B1200" s="10" t="s">
        <v>358</v>
      </c>
      <c r="C1200" s="124">
        <v>46356</v>
      </c>
      <c r="D1200" s="124" t="s">
        <v>471</v>
      </c>
      <c r="E1200" s="21">
        <v>0.97188211000000002</v>
      </c>
      <c r="F1200" s="10"/>
      <c r="G1200" s="14">
        <v>1500000</v>
      </c>
      <c r="H1200" s="14">
        <v>1457823.16</v>
      </c>
      <c r="I1200" s="14">
        <v>1500000</v>
      </c>
      <c r="J1200" s="14">
        <v>1457823.16</v>
      </c>
      <c r="K1200" s="12">
        <v>588</v>
      </c>
      <c r="L1200" s="10" t="s">
        <v>101</v>
      </c>
      <c r="M1200" s="10" t="s">
        <v>102</v>
      </c>
      <c r="N1200" s="124" t="s">
        <v>408</v>
      </c>
      <c r="O1200" s="124" t="s">
        <v>408</v>
      </c>
      <c r="P1200" s="21">
        <v>33</v>
      </c>
      <c r="Q1200" s="10" t="s">
        <v>54</v>
      </c>
      <c r="R1200" s="10" t="s">
        <v>28</v>
      </c>
      <c r="S1200" s="10"/>
      <c r="T1200" s="10"/>
      <c r="U1200" s="10" t="s">
        <v>2021</v>
      </c>
      <c r="V1200" s="10" t="s">
        <v>2021</v>
      </c>
      <c r="W1200" s="50">
        <f>+J1200/$W$2</f>
        <v>1.7841781234654209E-5</v>
      </c>
    </row>
    <row r="1201" spans="1:29">
      <c r="A1201" s="10" t="s">
        <v>4047</v>
      </c>
      <c r="B1201" s="10" t="s">
        <v>358</v>
      </c>
      <c r="C1201" s="124">
        <v>46356</v>
      </c>
      <c r="D1201" s="124" t="s">
        <v>471</v>
      </c>
      <c r="E1201" s="21">
        <v>0.97520598999999997</v>
      </c>
      <c r="F1201" s="10"/>
      <c r="G1201" s="14">
        <v>815564.82</v>
      </c>
      <c r="H1201" s="14">
        <v>795343.7</v>
      </c>
      <c r="I1201" s="14">
        <v>815564.82</v>
      </c>
      <c r="J1201" s="14">
        <v>795343.7</v>
      </c>
      <c r="K1201" s="12">
        <v>604012</v>
      </c>
      <c r="L1201" s="10" t="s">
        <v>101</v>
      </c>
      <c r="M1201" s="10" t="s">
        <v>102</v>
      </c>
      <c r="N1201" s="124" t="s">
        <v>469</v>
      </c>
      <c r="O1201" s="124" t="s">
        <v>469</v>
      </c>
      <c r="P1201" s="21">
        <v>29</v>
      </c>
      <c r="Q1201" s="10" t="s">
        <v>54</v>
      </c>
      <c r="R1201" s="10" t="s">
        <v>28</v>
      </c>
      <c r="S1201" s="10"/>
      <c r="T1201" s="10"/>
      <c r="U1201" s="10" t="s">
        <v>3977</v>
      </c>
      <c r="V1201" s="10" t="s">
        <v>3977</v>
      </c>
      <c r="W1201" s="50">
        <f>+J1201/$W$2</f>
        <v>9.7339298010332385E-6</v>
      </c>
    </row>
    <row r="1202" spans="1:29">
      <c r="A1202" s="10" t="s">
        <v>433</v>
      </c>
      <c r="B1202" s="10" t="s">
        <v>358</v>
      </c>
      <c r="C1202" s="124">
        <v>46356</v>
      </c>
      <c r="D1202" s="124" t="s">
        <v>471</v>
      </c>
      <c r="E1202" s="21">
        <v>0.97188207999999998</v>
      </c>
      <c r="F1202" s="10"/>
      <c r="G1202" s="14">
        <v>12500000</v>
      </c>
      <c r="H1202" s="14">
        <v>12148526.039999999</v>
      </c>
      <c r="I1202" s="14">
        <v>12500000</v>
      </c>
      <c r="J1202" s="14">
        <v>12148526.039999999</v>
      </c>
      <c r="K1202" s="12">
        <v>14651813</v>
      </c>
      <c r="L1202" s="10" t="s">
        <v>101</v>
      </c>
      <c r="M1202" s="10" t="s">
        <v>102</v>
      </c>
      <c r="N1202" s="124" t="s">
        <v>603</v>
      </c>
      <c r="O1202" s="124" t="s">
        <v>603</v>
      </c>
      <c r="P1202" s="21">
        <v>33</v>
      </c>
      <c r="Q1202" s="10" t="s">
        <v>54</v>
      </c>
      <c r="R1202" s="10" t="s">
        <v>28</v>
      </c>
      <c r="S1202" s="10"/>
      <c r="T1202" s="10"/>
      <c r="U1202" s="10" t="s">
        <v>2654</v>
      </c>
      <c r="V1202" s="10" t="s">
        <v>2654</v>
      </c>
      <c r="W1202" s="50">
        <f>+J1202/$W$2</f>
        <v>1.4868150669878231E-4</v>
      </c>
    </row>
    <row r="1203" spans="1:29">
      <c r="A1203" s="10" t="s">
        <v>3588</v>
      </c>
      <c r="B1203" s="10" t="s">
        <v>358</v>
      </c>
      <c r="C1203" s="124">
        <v>46356</v>
      </c>
      <c r="D1203" s="124" t="s">
        <v>471</v>
      </c>
      <c r="E1203" s="21">
        <v>0.97437267000000005</v>
      </c>
      <c r="F1203" s="10"/>
      <c r="G1203" s="14">
        <v>671045.38</v>
      </c>
      <c r="H1203" s="14">
        <v>653848.28</v>
      </c>
      <c r="I1203" s="14">
        <v>671045.38</v>
      </c>
      <c r="J1203" s="14">
        <v>653848.28</v>
      </c>
      <c r="K1203" s="12">
        <v>634</v>
      </c>
      <c r="L1203" s="10" t="s">
        <v>101</v>
      </c>
      <c r="M1203" s="10" t="s">
        <v>102</v>
      </c>
      <c r="N1203" s="124" t="s">
        <v>451</v>
      </c>
      <c r="O1203" s="124" t="s">
        <v>451</v>
      </c>
      <c r="P1203" s="21">
        <v>30</v>
      </c>
      <c r="Q1203" s="10" t="s">
        <v>54</v>
      </c>
      <c r="R1203" s="10" t="s">
        <v>28</v>
      </c>
      <c r="S1203" s="10"/>
      <c r="T1203" s="10"/>
      <c r="U1203" s="10" t="s">
        <v>3533</v>
      </c>
      <c r="V1203" s="10" t="s">
        <v>3533</v>
      </c>
      <c r="W1203" s="50">
        <f>+J1203/$W$2</f>
        <v>8.0022174791179279E-6</v>
      </c>
    </row>
    <row r="1204" spans="1:29">
      <c r="A1204" s="10" t="s">
        <v>2211</v>
      </c>
      <c r="B1204" s="10" t="s">
        <v>358</v>
      </c>
      <c r="C1204" s="124">
        <v>46356</v>
      </c>
      <c r="D1204" s="124" t="s">
        <v>471</v>
      </c>
      <c r="E1204" s="21">
        <v>0.97188200000000002</v>
      </c>
      <c r="F1204" s="10"/>
      <c r="G1204" s="14">
        <v>2500000</v>
      </c>
      <c r="H1204" s="14">
        <v>2429705.0099999998</v>
      </c>
      <c r="I1204" s="14">
        <v>2500000</v>
      </c>
      <c r="J1204" s="14">
        <v>2429705.0099999998</v>
      </c>
      <c r="K1204" s="12">
        <v>105</v>
      </c>
      <c r="L1204" s="10" t="s">
        <v>101</v>
      </c>
      <c r="M1204" s="10" t="s">
        <v>102</v>
      </c>
      <c r="N1204" s="124" t="s">
        <v>478</v>
      </c>
      <c r="O1204" s="124" t="s">
        <v>478</v>
      </c>
      <c r="P1204" s="21">
        <v>33</v>
      </c>
      <c r="Q1204" s="10" t="s">
        <v>54</v>
      </c>
      <c r="R1204" s="10" t="s">
        <v>28</v>
      </c>
      <c r="S1204" s="10"/>
      <c r="T1204" s="10"/>
      <c r="U1204" s="10" t="s">
        <v>2181</v>
      </c>
      <c r="V1204" s="10" t="s">
        <v>2181</v>
      </c>
      <c r="W1204" s="50">
        <f>+J1204/$W$2</f>
        <v>2.97362989165046E-5</v>
      </c>
      <c r="AC1204" s="47"/>
    </row>
    <row r="1205" spans="1:29">
      <c r="A1205" s="10" t="s">
        <v>438</v>
      </c>
      <c r="B1205" s="10" t="s">
        <v>358</v>
      </c>
      <c r="C1205" s="124">
        <v>46356</v>
      </c>
      <c r="D1205" s="124" t="s">
        <v>471</v>
      </c>
      <c r="E1205" s="21">
        <v>0.97687623999999995</v>
      </c>
      <c r="F1205" s="10"/>
      <c r="G1205" s="14">
        <v>10000000</v>
      </c>
      <c r="H1205" s="14">
        <v>9768762.3499999996</v>
      </c>
      <c r="I1205" s="14">
        <v>10000000</v>
      </c>
      <c r="J1205" s="14">
        <v>9768762.3499999996</v>
      </c>
      <c r="K1205" s="12">
        <v>14199482</v>
      </c>
      <c r="L1205" s="10" t="s">
        <v>101</v>
      </c>
      <c r="M1205" s="10" t="s">
        <v>102</v>
      </c>
      <c r="N1205" s="124" t="s">
        <v>408</v>
      </c>
      <c r="O1205" s="124" t="s">
        <v>408</v>
      </c>
      <c r="P1205" s="21">
        <v>27</v>
      </c>
      <c r="Q1205" s="10" t="s">
        <v>54</v>
      </c>
      <c r="R1205" s="10" t="s">
        <v>28</v>
      </c>
      <c r="S1205" s="10"/>
      <c r="T1205" s="10"/>
      <c r="U1205" s="10" t="s">
        <v>2071</v>
      </c>
      <c r="V1205" s="10" t="s">
        <v>2071</v>
      </c>
      <c r="W1205" s="50">
        <f>+J1205/$W$2</f>
        <v>1.1955642190649965E-4</v>
      </c>
    </row>
    <row r="1206" spans="1:29">
      <c r="A1206" s="10" t="s">
        <v>359</v>
      </c>
      <c r="B1206" s="10" t="s">
        <v>358</v>
      </c>
      <c r="C1206" s="124">
        <v>46356</v>
      </c>
      <c r="D1206" s="124" t="s">
        <v>471</v>
      </c>
      <c r="E1206" s="21">
        <v>0.97437273999999996</v>
      </c>
      <c r="F1206" s="10"/>
      <c r="G1206" s="14">
        <v>10000000</v>
      </c>
      <c r="H1206" s="14">
        <v>9743727.3800000008</v>
      </c>
      <c r="I1206" s="14">
        <v>10000000</v>
      </c>
      <c r="J1206" s="14">
        <v>9743727.3800000008</v>
      </c>
      <c r="K1206" s="12">
        <v>1411</v>
      </c>
      <c r="L1206" s="10" t="s">
        <v>101</v>
      </c>
      <c r="M1206" s="10" t="s">
        <v>102</v>
      </c>
      <c r="N1206" s="124" t="s">
        <v>466</v>
      </c>
      <c r="O1206" s="124" t="s">
        <v>466</v>
      </c>
      <c r="P1206" s="21">
        <v>30</v>
      </c>
      <c r="Q1206" s="10" t="s">
        <v>54</v>
      </c>
      <c r="R1206" s="10" t="s">
        <v>28</v>
      </c>
      <c r="S1206" s="10"/>
      <c r="T1206" s="10"/>
      <c r="U1206" s="10" t="s">
        <v>3622</v>
      </c>
      <c r="V1206" s="10" t="s">
        <v>3622</v>
      </c>
      <c r="W1206" s="50">
        <f>+J1206/$W$2</f>
        <v>1.1925002777707994E-4</v>
      </c>
    </row>
    <row r="1207" spans="1:29">
      <c r="A1207" s="10" t="s">
        <v>359</v>
      </c>
      <c r="B1207" s="10" t="s">
        <v>358</v>
      </c>
      <c r="C1207" s="124">
        <v>46356</v>
      </c>
      <c r="D1207" s="124" t="s">
        <v>471</v>
      </c>
      <c r="E1207" s="21">
        <v>0.97437280000000004</v>
      </c>
      <c r="F1207" s="10"/>
      <c r="G1207" s="14">
        <v>9000000</v>
      </c>
      <c r="H1207" s="14">
        <v>8769355.2400000002</v>
      </c>
      <c r="I1207" s="14">
        <v>9000000</v>
      </c>
      <c r="J1207" s="14">
        <v>8769355.2400000002</v>
      </c>
      <c r="K1207" s="12">
        <v>1426</v>
      </c>
      <c r="L1207" s="10" t="s">
        <v>101</v>
      </c>
      <c r="M1207" s="10" t="s">
        <v>102</v>
      </c>
      <c r="N1207" s="124" t="s">
        <v>467</v>
      </c>
      <c r="O1207" s="124" t="s">
        <v>467</v>
      </c>
      <c r="P1207" s="21">
        <v>30</v>
      </c>
      <c r="Q1207" s="10" t="s">
        <v>54</v>
      </c>
      <c r="R1207" s="10" t="s">
        <v>28</v>
      </c>
      <c r="S1207" s="10"/>
      <c r="T1207" s="10"/>
      <c r="U1207" s="10" t="s">
        <v>3703</v>
      </c>
      <c r="V1207" s="10" t="s">
        <v>3703</v>
      </c>
      <c r="W1207" s="50">
        <f>+J1207/$W$2</f>
        <v>1.073250323180821E-4</v>
      </c>
    </row>
    <row r="1208" spans="1:29">
      <c r="A1208" s="10" t="s">
        <v>359</v>
      </c>
      <c r="B1208" s="10" t="s">
        <v>358</v>
      </c>
      <c r="C1208" s="124">
        <v>46356</v>
      </c>
      <c r="D1208" s="124" t="s">
        <v>471</v>
      </c>
      <c r="E1208" s="21">
        <v>0.97437277</v>
      </c>
      <c r="F1208" s="10"/>
      <c r="G1208" s="14">
        <v>10000000</v>
      </c>
      <c r="H1208" s="14">
        <v>9743727.7100000009</v>
      </c>
      <c r="I1208" s="14">
        <v>10000000</v>
      </c>
      <c r="J1208" s="14">
        <v>9743727.7100000009</v>
      </c>
      <c r="K1208" s="12">
        <v>1432</v>
      </c>
      <c r="L1208" s="10" t="s">
        <v>101</v>
      </c>
      <c r="M1208" s="10" t="s">
        <v>102</v>
      </c>
      <c r="N1208" s="124" t="s">
        <v>468</v>
      </c>
      <c r="O1208" s="124" t="s">
        <v>468</v>
      </c>
      <c r="P1208" s="21">
        <v>30</v>
      </c>
      <c r="Q1208" s="10" t="s">
        <v>54</v>
      </c>
      <c r="R1208" s="10" t="s">
        <v>28</v>
      </c>
      <c r="S1208" s="10"/>
      <c r="T1208" s="10"/>
      <c r="U1208" s="10" t="s">
        <v>3827</v>
      </c>
      <c r="V1208" s="10" t="s">
        <v>3827</v>
      </c>
      <c r="W1208" s="50">
        <f>+J1208/$W$2</f>
        <v>1.1925003181583303E-4</v>
      </c>
    </row>
    <row r="1209" spans="1:29">
      <c r="A1209" s="10" t="s">
        <v>2903</v>
      </c>
      <c r="B1209" s="10" t="s">
        <v>358</v>
      </c>
      <c r="C1209" s="124">
        <v>46356</v>
      </c>
      <c r="D1209" s="124" t="s">
        <v>471</v>
      </c>
      <c r="E1209" s="21">
        <v>0.97437269999999998</v>
      </c>
      <c r="F1209" s="10"/>
      <c r="G1209" s="14">
        <v>50000000</v>
      </c>
      <c r="H1209" s="14">
        <v>48718634.960000001</v>
      </c>
      <c r="I1209" s="14">
        <v>50000000</v>
      </c>
      <c r="J1209" s="14">
        <v>48718634.960000001</v>
      </c>
      <c r="K1209" s="12">
        <v>90002959</v>
      </c>
      <c r="L1209" s="10" t="s">
        <v>101</v>
      </c>
      <c r="M1209" s="10" t="s">
        <v>102</v>
      </c>
      <c r="N1209" s="124" t="s">
        <v>413</v>
      </c>
      <c r="O1209" s="124" t="s">
        <v>413</v>
      </c>
      <c r="P1209" s="21">
        <v>30</v>
      </c>
      <c r="Q1209" s="10" t="s">
        <v>54</v>
      </c>
      <c r="R1209" s="10" t="s">
        <v>28</v>
      </c>
      <c r="S1209" s="10"/>
      <c r="T1209" s="10"/>
      <c r="U1209" s="10" t="s">
        <v>2892</v>
      </c>
      <c r="V1209" s="10" t="s">
        <v>2892</v>
      </c>
      <c r="W1209" s="50">
        <f>+J1209/$W$2</f>
        <v>5.9625011514242683E-4</v>
      </c>
    </row>
    <row r="1210" spans="1:29">
      <c r="A1210" s="10" t="s">
        <v>2967</v>
      </c>
      <c r="B1210" s="10" t="s">
        <v>358</v>
      </c>
      <c r="C1210" s="124">
        <v>46356</v>
      </c>
      <c r="D1210" s="124" t="s">
        <v>471</v>
      </c>
      <c r="E1210" s="21">
        <v>0.97437275000000001</v>
      </c>
      <c r="F1210" s="10"/>
      <c r="G1210" s="14">
        <v>2750000</v>
      </c>
      <c r="H1210" s="14">
        <v>2679525.0499999998</v>
      </c>
      <c r="I1210" s="14">
        <v>2750000</v>
      </c>
      <c r="J1210" s="14">
        <v>2679525.0499999998</v>
      </c>
      <c r="K1210" s="12">
        <v>653</v>
      </c>
      <c r="L1210" s="10" t="s">
        <v>101</v>
      </c>
      <c r="M1210" s="10" t="s">
        <v>102</v>
      </c>
      <c r="N1210" s="124" t="s">
        <v>411</v>
      </c>
      <c r="O1210" s="124" t="s">
        <v>411</v>
      </c>
      <c r="P1210" s="21">
        <v>30</v>
      </c>
      <c r="Q1210" s="10" t="s">
        <v>54</v>
      </c>
      <c r="R1210" s="10" t="s">
        <v>28</v>
      </c>
      <c r="S1210" s="10"/>
      <c r="T1210" s="10"/>
      <c r="U1210" s="10" t="s">
        <v>2914</v>
      </c>
      <c r="V1210" s="10" t="s">
        <v>2914</v>
      </c>
      <c r="W1210" s="50">
        <f>+J1210/$W$2</f>
        <v>3.2793757889589217E-5</v>
      </c>
    </row>
    <row r="1211" spans="1:29">
      <c r="A1211" s="10" t="s">
        <v>271</v>
      </c>
      <c r="B1211" s="10" t="s">
        <v>358</v>
      </c>
      <c r="C1211" s="124">
        <v>46356</v>
      </c>
      <c r="D1211" s="124" t="s">
        <v>471</v>
      </c>
      <c r="E1211" s="21">
        <v>0.97354105999999996</v>
      </c>
      <c r="F1211" s="10"/>
      <c r="G1211" s="14">
        <v>15000000</v>
      </c>
      <c r="H1211" s="14">
        <v>14603115.869999999</v>
      </c>
      <c r="I1211" s="14">
        <v>15000000</v>
      </c>
      <c r="J1211" s="14">
        <v>14603115.869999999</v>
      </c>
      <c r="K1211" s="12">
        <v>2442</v>
      </c>
      <c r="L1211" s="10" t="s">
        <v>101</v>
      </c>
      <c r="M1211" s="10" t="s">
        <v>102</v>
      </c>
      <c r="N1211" s="124" t="s">
        <v>310</v>
      </c>
      <c r="O1211" s="124" t="s">
        <v>310</v>
      </c>
      <c r="P1211" s="21">
        <v>31</v>
      </c>
      <c r="Q1211" s="10" t="s">
        <v>54</v>
      </c>
      <c r="R1211" s="10" t="s">
        <v>28</v>
      </c>
      <c r="S1211" s="10"/>
      <c r="T1211" s="10"/>
      <c r="U1211" s="10" t="s">
        <v>1015</v>
      </c>
      <c r="V1211" s="10" t="s">
        <v>1015</v>
      </c>
      <c r="W1211" s="50">
        <f>+J1211/$W$2</f>
        <v>1.7872236211204592E-4</v>
      </c>
    </row>
    <row r="1212" spans="1:29">
      <c r="A1212" s="10" t="s">
        <v>271</v>
      </c>
      <c r="B1212" s="10" t="s">
        <v>358</v>
      </c>
      <c r="C1212" s="124">
        <v>46356</v>
      </c>
      <c r="D1212" s="124" t="s">
        <v>471</v>
      </c>
      <c r="E1212" s="21">
        <v>0.97771353000000005</v>
      </c>
      <c r="F1212" s="10"/>
      <c r="G1212" s="14">
        <v>5000000</v>
      </c>
      <c r="H1212" s="14">
        <v>4888567.6500000004</v>
      </c>
      <c r="I1212" s="14">
        <v>5000000</v>
      </c>
      <c r="J1212" s="14">
        <v>4888567.6500000004</v>
      </c>
      <c r="K1212" s="12">
        <v>491506</v>
      </c>
      <c r="L1212" s="10" t="s">
        <v>101</v>
      </c>
      <c r="M1212" s="10" t="s">
        <v>102</v>
      </c>
      <c r="N1212" s="124" t="s">
        <v>342</v>
      </c>
      <c r="O1212" s="124" t="s">
        <v>342</v>
      </c>
      <c r="P1212" s="21">
        <v>26</v>
      </c>
      <c r="Q1212" s="10" t="s">
        <v>54</v>
      </c>
      <c r="R1212" s="10" t="s">
        <v>28</v>
      </c>
      <c r="S1212" s="10"/>
      <c r="T1212" s="10"/>
      <c r="U1212" s="10" t="s">
        <v>750</v>
      </c>
      <c r="V1212" s="10" t="s">
        <v>750</v>
      </c>
      <c r="W1212" s="50">
        <f>+J1212/$W$2</f>
        <v>5.9829447737754173E-5</v>
      </c>
    </row>
    <row r="1213" spans="1:29">
      <c r="A1213" s="10" t="s">
        <v>359</v>
      </c>
      <c r="B1213" s="10" t="s">
        <v>358</v>
      </c>
      <c r="C1213" s="124">
        <v>46356</v>
      </c>
      <c r="D1213" s="124" t="s">
        <v>471</v>
      </c>
      <c r="E1213" s="21">
        <v>0.97271083999999997</v>
      </c>
      <c r="F1213" s="10"/>
      <c r="G1213" s="14">
        <v>3000000</v>
      </c>
      <c r="H1213" s="14">
        <v>2918132.53</v>
      </c>
      <c r="I1213" s="14">
        <v>3000000</v>
      </c>
      <c r="J1213" s="14">
        <v>2918132.53</v>
      </c>
      <c r="K1213" s="12">
        <v>1064</v>
      </c>
      <c r="L1213" s="10" t="s">
        <v>101</v>
      </c>
      <c r="M1213" s="10" t="s">
        <v>102</v>
      </c>
      <c r="N1213" s="124" t="s">
        <v>373</v>
      </c>
      <c r="O1213" s="124" t="s">
        <v>373</v>
      </c>
      <c r="P1213" s="21">
        <v>32</v>
      </c>
      <c r="Q1213" s="10" t="s">
        <v>54</v>
      </c>
      <c r="R1213" s="10" t="s">
        <v>28</v>
      </c>
      <c r="S1213" s="10"/>
      <c r="T1213" s="10"/>
      <c r="U1213" s="10" t="s">
        <v>1151</v>
      </c>
      <c r="V1213" s="10" t="s">
        <v>1151</v>
      </c>
      <c r="W1213" s="50">
        <f>+J1213/$W$2</f>
        <v>3.5713990312781156E-5</v>
      </c>
    </row>
    <row r="1214" spans="1:29">
      <c r="A1214" s="10" t="s">
        <v>359</v>
      </c>
      <c r="B1214" s="10" t="s">
        <v>358</v>
      </c>
      <c r="C1214" s="124">
        <v>46356</v>
      </c>
      <c r="D1214" s="124" t="s">
        <v>471</v>
      </c>
      <c r="E1214" s="21">
        <v>0.97188205999999999</v>
      </c>
      <c r="F1214" s="10"/>
      <c r="G1214" s="14">
        <v>2500000</v>
      </c>
      <c r="H1214" s="14">
        <v>2429705.16</v>
      </c>
      <c r="I1214" s="14">
        <v>2500000</v>
      </c>
      <c r="J1214" s="14">
        <v>2429705.16</v>
      </c>
      <c r="K1214" s="12">
        <v>1028</v>
      </c>
      <c r="L1214" s="10" t="s">
        <v>101</v>
      </c>
      <c r="M1214" s="10" t="s">
        <v>102</v>
      </c>
      <c r="N1214" s="124" t="s">
        <v>161</v>
      </c>
      <c r="O1214" s="124" t="s">
        <v>312</v>
      </c>
      <c r="P1214" s="21">
        <v>33</v>
      </c>
      <c r="Q1214" s="10" t="s">
        <v>54</v>
      </c>
      <c r="R1214" s="10" t="s">
        <v>28</v>
      </c>
      <c r="S1214" s="10"/>
      <c r="T1214" s="10"/>
      <c r="U1214" s="10" t="s">
        <v>1081</v>
      </c>
      <c r="V1214" s="10" t="s">
        <v>1081</v>
      </c>
      <c r="W1214" s="50">
        <f>+J1214/$W$2</f>
        <v>2.9736300752301469E-5</v>
      </c>
    </row>
    <row r="1215" spans="1:29">
      <c r="A1215" s="10" t="s">
        <v>359</v>
      </c>
      <c r="B1215" s="10" t="s">
        <v>358</v>
      </c>
      <c r="C1215" s="124">
        <v>46356</v>
      </c>
      <c r="D1215" s="124" t="s">
        <v>471</v>
      </c>
      <c r="E1215" s="21">
        <v>0.97437267999999999</v>
      </c>
      <c r="F1215" s="10"/>
      <c r="G1215" s="14">
        <v>2500000</v>
      </c>
      <c r="H1215" s="14">
        <v>2435931.7000000002</v>
      </c>
      <c r="I1215" s="14">
        <v>2500000</v>
      </c>
      <c r="J1215" s="14">
        <v>2435931.7000000002</v>
      </c>
      <c r="K1215" s="12">
        <v>901</v>
      </c>
      <c r="L1215" s="10" t="s">
        <v>101</v>
      </c>
      <c r="M1215" s="10" t="s">
        <v>102</v>
      </c>
      <c r="N1215" s="124" t="s">
        <v>409</v>
      </c>
      <c r="O1215" s="124" t="s">
        <v>409</v>
      </c>
      <c r="P1215" s="21">
        <v>30</v>
      </c>
      <c r="Q1215" s="10" t="s">
        <v>54</v>
      </c>
      <c r="R1215" s="10" t="s">
        <v>28</v>
      </c>
      <c r="S1215" s="10"/>
      <c r="T1215" s="10"/>
      <c r="U1215" s="10" t="s">
        <v>906</v>
      </c>
      <c r="V1215" s="10" t="s">
        <v>906</v>
      </c>
      <c r="W1215" s="50">
        <f>+J1215/$W$2</f>
        <v>2.9812505169666347E-5</v>
      </c>
    </row>
    <row r="1216" spans="1:29">
      <c r="A1216" s="10" t="s">
        <v>2747</v>
      </c>
      <c r="B1216" s="10" t="s">
        <v>358</v>
      </c>
      <c r="C1216" s="124">
        <v>46356</v>
      </c>
      <c r="D1216" s="124" t="s">
        <v>471</v>
      </c>
      <c r="E1216" s="21">
        <v>0.97271092000000003</v>
      </c>
      <c r="F1216" s="10"/>
      <c r="G1216" s="14">
        <v>142978.09</v>
      </c>
      <c r="H1216" s="14">
        <v>139076.35</v>
      </c>
      <c r="I1216" s="14">
        <v>142978.09</v>
      </c>
      <c r="J1216" s="14">
        <v>139076.35</v>
      </c>
      <c r="K1216" s="12">
        <v>70138580</v>
      </c>
      <c r="L1216" s="10" t="s">
        <v>101</v>
      </c>
      <c r="M1216" s="10" t="s">
        <v>102</v>
      </c>
      <c r="N1216" s="124" t="s">
        <v>440</v>
      </c>
      <c r="O1216" s="124" t="s">
        <v>440</v>
      </c>
      <c r="P1216" s="21">
        <v>32</v>
      </c>
      <c r="Q1216" s="10" t="s">
        <v>54</v>
      </c>
      <c r="R1216" s="10" t="s">
        <v>28</v>
      </c>
      <c r="S1216" s="10"/>
      <c r="T1216" s="10"/>
      <c r="U1216" s="10" t="s">
        <v>2716</v>
      </c>
      <c r="V1216" s="10" t="s">
        <v>2716</v>
      </c>
      <c r="W1216" s="50">
        <f>+J1216/$W$2</f>
        <v>1.7021061811188409E-6</v>
      </c>
    </row>
    <row r="1217" spans="1:29">
      <c r="A1217" s="10" t="s">
        <v>334</v>
      </c>
      <c r="B1217" s="10" t="s">
        <v>358</v>
      </c>
      <c r="C1217" s="124">
        <v>46357</v>
      </c>
      <c r="D1217" s="124" t="s">
        <v>471</v>
      </c>
      <c r="E1217" s="21">
        <v>0.96847810000000001</v>
      </c>
      <c r="F1217" s="10"/>
      <c r="G1217" s="14">
        <v>3105640.28</v>
      </c>
      <c r="H1217" s="14">
        <v>3007744.61</v>
      </c>
      <c r="I1217" s="14">
        <v>3105640.28</v>
      </c>
      <c r="J1217" s="14">
        <v>3007744.61</v>
      </c>
      <c r="K1217" s="12">
        <v>3387</v>
      </c>
      <c r="L1217" s="10" t="s">
        <v>101</v>
      </c>
      <c r="M1217" s="10" t="s">
        <v>102</v>
      </c>
      <c r="N1217" s="124" t="s">
        <v>441</v>
      </c>
      <c r="O1217" s="124" t="s">
        <v>441</v>
      </c>
      <c r="P1217" s="21">
        <v>36</v>
      </c>
      <c r="Q1217" s="10" t="s">
        <v>54</v>
      </c>
      <c r="R1217" s="10" t="s">
        <v>28</v>
      </c>
      <c r="S1217" s="10"/>
      <c r="T1217" s="10"/>
      <c r="U1217" s="10" t="s">
        <v>1542</v>
      </c>
      <c r="V1217" s="10" t="s">
        <v>1542</v>
      </c>
      <c r="W1217" s="50">
        <f>+J1217/$W$2</f>
        <v>3.6810720815637432E-5</v>
      </c>
    </row>
    <row r="1218" spans="1:29">
      <c r="A1218" s="10" t="s">
        <v>1896</v>
      </c>
      <c r="B1218" s="10" t="s">
        <v>358</v>
      </c>
      <c r="C1218" s="124">
        <v>46357</v>
      </c>
      <c r="D1218" s="124" t="s">
        <v>471</v>
      </c>
      <c r="E1218" s="21">
        <v>0.97530996999999997</v>
      </c>
      <c r="F1218" s="10"/>
      <c r="G1218" s="14">
        <v>70000000</v>
      </c>
      <c r="H1218" s="14">
        <v>68271698.150000006</v>
      </c>
      <c r="I1218" s="14">
        <v>70000000</v>
      </c>
      <c r="J1218" s="14">
        <v>68271698.150000006</v>
      </c>
      <c r="K1218" s="12">
        <v>11169841</v>
      </c>
      <c r="L1218" s="10" t="s">
        <v>101</v>
      </c>
      <c r="M1218" s="10" t="s">
        <v>102</v>
      </c>
      <c r="N1218" s="124" t="s">
        <v>439</v>
      </c>
      <c r="O1218" s="124" t="s">
        <v>439</v>
      </c>
      <c r="P1218" s="21">
        <v>28</v>
      </c>
      <c r="Q1218" s="10" t="s">
        <v>54</v>
      </c>
      <c r="R1218" s="10" t="s">
        <v>28</v>
      </c>
      <c r="S1218" s="10"/>
      <c r="T1218" s="10"/>
      <c r="U1218" s="10" t="s">
        <v>2247</v>
      </c>
      <c r="V1218" s="10" t="s">
        <v>2247</v>
      </c>
      <c r="W1218" s="50">
        <f>+J1218/$W$2</f>
        <v>8.3555312903016757E-4</v>
      </c>
    </row>
    <row r="1219" spans="1:29">
      <c r="A1219" s="10" t="s">
        <v>2439</v>
      </c>
      <c r="B1219" s="10" t="s">
        <v>358</v>
      </c>
      <c r="C1219" s="124">
        <v>46357</v>
      </c>
      <c r="D1219" s="124" t="s">
        <v>471</v>
      </c>
      <c r="E1219" s="21">
        <v>0.97359298000000005</v>
      </c>
      <c r="F1219" s="10"/>
      <c r="G1219" s="14">
        <v>7270000</v>
      </c>
      <c r="H1219" s="14">
        <v>7078020.9900000002</v>
      </c>
      <c r="I1219" s="14">
        <v>7270000</v>
      </c>
      <c r="J1219" s="14">
        <v>7078020.9900000002</v>
      </c>
      <c r="K1219" s="12">
        <v>3969</v>
      </c>
      <c r="L1219" s="10" t="s">
        <v>101</v>
      </c>
      <c r="M1219" s="10" t="s">
        <v>102</v>
      </c>
      <c r="N1219" s="124" t="s">
        <v>448</v>
      </c>
      <c r="O1219" s="124" t="s">
        <v>448</v>
      </c>
      <c r="P1219" s="21">
        <v>30</v>
      </c>
      <c r="Q1219" s="10" t="s">
        <v>54</v>
      </c>
      <c r="R1219" s="10" t="s">
        <v>28</v>
      </c>
      <c r="S1219" s="10"/>
      <c r="T1219" s="10"/>
      <c r="U1219" s="10" t="s">
        <v>3144</v>
      </c>
      <c r="V1219" s="10" t="s">
        <v>3144</v>
      </c>
      <c r="W1219" s="50">
        <f>+J1219/$W$2</f>
        <v>8.6625391572096177E-5</v>
      </c>
    </row>
    <row r="1220" spans="1:29">
      <c r="A1220" s="10" t="s">
        <v>443</v>
      </c>
      <c r="B1220" s="10" t="s">
        <v>358</v>
      </c>
      <c r="C1220" s="124">
        <v>46357</v>
      </c>
      <c r="D1220" s="124" t="s">
        <v>471</v>
      </c>
      <c r="E1220" s="21">
        <v>0.97617083000000004</v>
      </c>
      <c r="F1220" s="10"/>
      <c r="G1220" s="14">
        <v>5000000</v>
      </c>
      <c r="H1220" s="14">
        <v>4880854.13</v>
      </c>
      <c r="I1220" s="14">
        <v>5000000</v>
      </c>
      <c r="J1220" s="14">
        <v>4880854.13</v>
      </c>
      <c r="K1220" s="12">
        <v>40740200</v>
      </c>
      <c r="L1220" s="10" t="s">
        <v>101</v>
      </c>
      <c r="M1220" s="10" t="s">
        <v>102</v>
      </c>
      <c r="N1220" s="124" t="s">
        <v>449</v>
      </c>
      <c r="O1220" s="124" t="s">
        <v>449</v>
      </c>
      <c r="P1220" s="21">
        <v>27</v>
      </c>
      <c r="Q1220" s="10" t="s">
        <v>54</v>
      </c>
      <c r="R1220" s="10" t="s">
        <v>28</v>
      </c>
      <c r="S1220" s="10"/>
      <c r="T1220" s="10"/>
      <c r="U1220" s="10" t="s">
        <v>2000</v>
      </c>
      <c r="V1220" s="10" t="s">
        <v>2000</v>
      </c>
      <c r="W1220" s="50">
        <f>+J1220/$W$2</f>
        <v>5.9735044698918418E-5</v>
      </c>
    </row>
    <row r="1221" spans="1:29">
      <c r="A1221" s="10" t="s">
        <v>443</v>
      </c>
      <c r="B1221" s="10" t="s">
        <v>358</v>
      </c>
      <c r="C1221" s="124">
        <v>46357</v>
      </c>
      <c r="D1221" s="124" t="s">
        <v>471</v>
      </c>
      <c r="E1221" s="21">
        <v>0.97617083000000004</v>
      </c>
      <c r="F1221" s="10"/>
      <c r="G1221" s="14">
        <v>5000000</v>
      </c>
      <c r="H1221" s="14">
        <v>4880854.13</v>
      </c>
      <c r="I1221" s="14">
        <v>5000000</v>
      </c>
      <c r="J1221" s="14">
        <v>4880854.13</v>
      </c>
      <c r="K1221" s="12">
        <v>40740203</v>
      </c>
      <c r="L1221" s="10" t="s">
        <v>101</v>
      </c>
      <c r="M1221" s="10" t="s">
        <v>102</v>
      </c>
      <c r="N1221" s="124" t="s">
        <v>449</v>
      </c>
      <c r="O1221" s="124" t="s">
        <v>449</v>
      </c>
      <c r="P1221" s="21">
        <v>27</v>
      </c>
      <c r="Q1221" s="10" t="s">
        <v>54</v>
      </c>
      <c r="R1221" s="10" t="s">
        <v>28</v>
      </c>
      <c r="S1221" s="10"/>
      <c r="T1221" s="10"/>
      <c r="U1221" s="10" t="s">
        <v>2007</v>
      </c>
      <c r="V1221" s="10" t="s">
        <v>2007</v>
      </c>
      <c r="W1221" s="50">
        <f>+J1221/$W$2</f>
        <v>5.9735044698918418E-5</v>
      </c>
    </row>
    <row r="1222" spans="1:29">
      <c r="A1222" s="10" t="s">
        <v>401</v>
      </c>
      <c r="B1222" s="10" t="s">
        <v>358</v>
      </c>
      <c r="C1222" s="124">
        <v>46357</v>
      </c>
      <c r="D1222" s="124" t="s">
        <v>471</v>
      </c>
      <c r="E1222" s="21">
        <v>0.97617091</v>
      </c>
      <c r="F1222" s="10"/>
      <c r="G1222" s="14">
        <v>10000000</v>
      </c>
      <c r="H1222" s="14">
        <v>9761709.0700000003</v>
      </c>
      <c r="I1222" s="14">
        <v>10000000</v>
      </c>
      <c r="J1222" s="14">
        <v>9761709.0700000003</v>
      </c>
      <c r="K1222" s="12">
        <v>66</v>
      </c>
      <c r="L1222" s="10" t="s">
        <v>101</v>
      </c>
      <c r="M1222" s="10" t="s">
        <v>102</v>
      </c>
      <c r="N1222" s="124" t="s">
        <v>469</v>
      </c>
      <c r="O1222" s="124" t="s">
        <v>469</v>
      </c>
      <c r="P1222" s="21">
        <v>27</v>
      </c>
      <c r="Q1222" s="10" t="s">
        <v>54</v>
      </c>
      <c r="R1222" s="10" t="s">
        <v>28</v>
      </c>
      <c r="S1222" s="10"/>
      <c r="T1222" s="10"/>
      <c r="U1222" s="10" t="s">
        <v>3945</v>
      </c>
      <c r="V1222" s="10" t="s">
        <v>3945</v>
      </c>
      <c r="W1222" s="50">
        <f>+J1222/$W$2</f>
        <v>1.1947009931113991E-4</v>
      </c>
    </row>
    <row r="1223" spans="1:29">
      <c r="A1223" s="10" t="s">
        <v>401</v>
      </c>
      <c r="B1223" s="10" t="s">
        <v>358</v>
      </c>
      <c r="C1223" s="124">
        <v>46357</v>
      </c>
      <c r="D1223" s="124" t="s">
        <v>471</v>
      </c>
      <c r="E1223" s="21">
        <v>0.97617091</v>
      </c>
      <c r="F1223" s="10"/>
      <c r="G1223" s="14">
        <v>20000000</v>
      </c>
      <c r="H1223" s="14">
        <v>19523418.140000001</v>
      </c>
      <c r="I1223" s="14">
        <v>20000000</v>
      </c>
      <c r="J1223" s="14">
        <v>19523418.140000001</v>
      </c>
      <c r="K1223" s="12">
        <v>64</v>
      </c>
      <c r="L1223" s="10" t="s">
        <v>101</v>
      </c>
      <c r="M1223" s="10" t="s">
        <v>102</v>
      </c>
      <c r="N1223" s="124" t="s">
        <v>469</v>
      </c>
      <c r="O1223" s="124" t="s">
        <v>469</v>
      </c>
      <c r="P1223" s="21">
        <v>27</v>
      </c>
      <c r="Q1223" s="10" t="s">
        <v>54</v>
      </c>
      <c r="R1223" s="10" t="s">
        <v>28</v>
      </c>
      <c r="S1223" s="10"/>
      <c r="T1223" s="10"/>
      <c r="U1223" s="10" t="s">
        <v>3946</v>
      </c>
      <c r="V1223" s="10" t="s">
        <v>3946</v>
      </c>
      <c r="W1223" s="50">
        <f>+J1223/$W$2</f>
        <v>2.3894019862227982E-4</v>
      </c>
    </row>
    <row r="1224" spans="1:29">
      <c r="A1224" s="10" t="s">
        <v>401</v>
      </c>
      <c r="B1224" s="10" t="s">
        <v>358</v>
      </c>
      <c r="C1224" s="124">
        <v>46357</v>
      </c>
      <c r="D1224" s="124" t="s">
        <v>471</v>
      </c>
      <c r="E1224" s="21">
        <v>0.97617091</v>
      </c>
      <c r="F1224" s="10"/>
      <c r="G1224" s="14">
        <v>20000000</v>
      </c>
      <c r="H1224" s="14">
        <v>19523418.140000001</v>
      </c>
      <c r="I1224" s="14">
        <v>20000000</v>
      </c>
      <c r="J1224" s="14">
        <v>19523418.140000001</v>
      </c>
      <c r="K1224" s="12">
        <v>65</v>
      </c>
      <c r="L1224" s="10" t="s">
        <v>101</v>
      </c>
      <c r="M1224" s="10" t="s">
        <v>102</v>
      </c>
      <c r="N1224" s="124" t="s">
        <v>469</v>
      </c>
      <c r="O1224" s="124" t="s">
        <v>469</v>
      </c>
      <c r="P1224" s="21">
        <v>27</v>
      </c>
      <c r="Q1224" s="10" t="s">
        <v>54</v>
      </c>
      <c r="R1224" s="10" t="s">
        <v>28</v>
      </c>
      <c r="S1224" s="10"/>
      <c r="T1224" s="10"/>
      <c r="U1224" s="10" t="s">
        <v>3951</v>
      </c>
      <c r="V1224" s="10" t="s">
        <v>3951</v>
      </c>
      <c r="W1224" s="50">
        <f>+J1224/$W$2</f>
        <v>2.3894019862227982E-4</v>
      </c>
      <c r="AC1224" s="47"/>
    </row>
    <row r="1225" spans="1:29">
      <c r="A1225" s="10" t="s">
        <v>1634</v>
      </c>
      <c r="B1225" s="10" t="s">
        <v>358</v>
      </c>
      <c r="C1225" s="124">
        <v>46357</v>
      </c>
      <c r="D1225" s="124" t="s">
        <v>471</v>
      </c>
      <c r="E1225" s="21">
        <v>0.97188207000000004</v>
      </c>
      <c r="F1225" s="10"/>
      <c r="G1225" s="14">
        <v>4000000</v>
      </c>
      <c r="H1225" s="14">
        <v>3887528.27</v>
      </c>
      <c r="I1225" s="14">
        <v>4000000</v>
      </c>
      <c r="J1225" s="14">
        <v>3887528.27</v>
      </c>
      <c r="K1225" s="12">
        <v>724</v>
      </c>
      <c r="L1225" s="10" t="s">
        <v>101</v>
      </c>
      <c r="M1225" s="10" t="s">
        <v>102</v>
      </c>
      <c r="N1225" s="124" t="s">
        <v>447</v>
      </c>
      <c r="O1225" s="124" t="s">
        <v>447</v>
      </c>
      <c r="P1225" s="21">
        <v>32</v>
      </c>
      <c r="Q1225" s="10" t="s">
        <v>54</v>
      </c>
      <c r="R1225" s="10" t="s">
        <v>28</v>
      </c>
      <c r="S1225" s="10"/>
      <c r="T1225" s="10"/>
      <c r="U1225" s="10" t="s">
        <v>1622</v>
      </c>
      <c r="V1225" s="10" t="s">
        <v>1622</v>
      </c>
      <c r="W1225" s="50">
        <f>+J1225/$W$2</f>
        <v>4.7578081375023389E-5</v>
      </c>
    </row>
    <row r="1226" spans="1:29">
      <c r="A1226" s="10" t="s">
        <v>2758</v>
      </c>
      <c r="B1226" s="10" t="s">
        <v>358</v>
      </c>
      <c r="C1226" s="124">
        <v>46357</v>
      </c>
      <c r="D1226" s="124" t="s">
        <v>471</v>
      </c>
      <c r="E1226" s="21">
        <v>0.97531000000000001</v>
      </c>
      <c r="F1226" s="10"/>
      <c r="G1226" s="14">
        <v>2000000</v>
      </c>
      <c r="H1226" s="14">
        <v>1950619.99</v>
      </c>
      <c r="I1226" s="14">
        <v>2000000</v>
      </c>
      <c r="J1226" s="14">
        <v>1950619.99</v>
      </c>
      <c r="K1226" s="12">
        <v>1119606</v>
      </c>
      <c r="L1226" s="10" t="s">
        <v>101</v>
      </c>
      <c r="M1226" s="10" t="s">
        <v>102</v>
      </c>
      <c r="N1226" s="124" t="s">
        <v>411</v>
      </c>
      <c r="O1226" s="124" t="s">
        <v>411</v>
      </c>
      <c r="P1226" s="21">
        <v>28</v>
      </c>
      <c r="Q1226" s="10" t="s">
        <v>54</v>
      </c>
      <c r="R1226" s="10" t="s">
        <v>28</v>
      </c>
      <c r="S1226" s="10"/>
      <c r="T1226" s="10"/>
      <c r="U1226" s="10" t="s">
        <v>2953</v>
      </c>
      <c r="V1226" s="10" t="s">
        <v>2953</v>
      </c>
      <c r="W1226" s="50">
        <f>+J1226/$W$2</f>
        <v>2.387294706823246E-5</v>
      </c>
      <c r="AC1226" s="47"/>
    </row>
    <row r="1227" spans="1:29">
      <c r="A1227" s="10" t="s">
        <v>453</v>
      </c>
      <c r="B1227" s="10" t="s">
        <v>358</v>
      </c>
      <c r="C1227" s="124">
        <v>46357</v>
      </c>
      <c r="D1227" s="124" t="s">
        <v>471</v>
      </c>
      <c r="E1227" s="21">
        <v>0.97531005999999998</v>
      </c>
      <c r="F1227" s="10"/>
      <c r="G1227" s="14">
        <v>25000000</v>
      </c>
      <c r="H1227" s="14">
        <v>24382751.620000001</v>
      </c>
      <c r="I1227" s="14">
        <v>25000000</v>
      </c>
      <c r="J1227" s="14">
        <v>24382751.620000001</v>
      </c>
      <c r="K1227" s="12">
        <v>69933187</v>
      </c>
      <c r="L1227" s="10" t="s">
        <v>101</v>
      </c>
      <c r="M1227" s="10" t="s">
        <v>102</v>
      </c>
      <c r="N1227" s="124" t="s">
        <v>478</v>
      </c>
      <c r="O1227" s="124" t="s">
        <v>478</v>
      </c>
      <c r="P1227" s="21">
        <v>28</v>
      </c>
      <c r="Q1227" s="10" t="s">
        <v>54</v>
      </c>
      <c r="R1227" s="10" t="s">
        <v>28</v>
      </c>
      <c r="S1227" s="10"/>
      <c r="T1227" s="10"/>
      <c r="U1227" s="10" t="s">
        <v>2207</v>
      </c>
      <c r="V1227" s="10" t="s">
        <v>2207</v>
      </c>
      <c r="W1227" s="50">
        <f>+J1227/$W$2</f>
        <v>2.9841185970934261E-4</v>
      </c>
    </row>
    <row r="1228" spans="1:29">
      <c r="A1228" s="10" t="s">
        <v>817</v>
      </c>
      <c r="B1228" s="10" t="s">
        <v>358</v>
      </c>
      <c r="C1228" s="124">
        <v>46357</v>
      </c>
      <c r="D1228" s="124" t="s">
        <v>471</v>
      </c>
      <c r="E1228" s="21">
        <v>0.97102878000000004</v>
      </c>
      <c r="F1228" s="10"/>
      <c r="G1228" s="14">
        <v>1392835</v>
      </c>
      <c r="H1228" s="14">
        <v>1352482.87</v>
      </c>
      <c r="I1228" s="14">
        <v>1392835</v>
      </c>
      <c r="J1228" s="14">
        <v>1352482.87</v>
      </c>
      <c r="K1228" s="12">
        <v>111459</v>
      </c>
      <c r="L1228" s="10" t="s">
        <v>101</v>
      </c>
      <c r="M1228" s="10" t="s">
        <v>102</v>
      </c>
      <c r="N1228" s="124" t="s">
        <v>347</v>
      </c>
      <c r="O1228" s="124" t="s">
        <v>347</v>
      </c>
      <c r="P1228" s="21">
        <v>33</v>
      </c>
      <c r="Q1228" s="10" t="s">
        <v>54</v>
      </c>
      <c r="R1228" s="10" t="s">
        <v>28</v>
      </c>
      <c r="S1228" s="10"/>
      <c r="T1228" s="10"/>
      <c r="U1228" s="10" t="s">
        <v>809</v>
      </c>
      <c r="V1228" s="10" t="s">
        <v>809</v>
      </c>
      <c r="W1228" s="50">
        <f>+J1228/$W$2</f>
        <v>1.655255874118317E-5</v>
      </c>
    </row>
    <row r="1229" spans="1:29">
      <c r="A1229" s="10" t="s">
        <v>443</v>
      </c>
      <c r="B1229" s="10" t="s">
        <v>358</v>
      </c>
      <c r="C1229" s="124">
        <v>46357</v>
      </c>
      <c r="D1229" s="124" t="s">
        <v>471</v>
      </c>
      <c r="E1229" s="21">
        <v>0.97273675999999998</v>
      </c>
      <c r="F1229" s="10"/>
      <c r="G1229" s="14">
        <v>60000000</v>
      </c>
      <c r="H1229" s="14">
        <v>58364205.5</v>
      </c>
      <c r="I1229" s="14">
        <v>60000000</v>
      </c>
      <c r="J1229" s="14">
        <v>58364205.5</v>
      </c>
      <c r="K1229" s="12">
        <v>80939925</v>
      </c>
      <c r="L1229" s="10" t="s">
        <v>101</v>
      </c>
      <c r="M1229" s="10" t="s">
        <v>102</v>
      </c>
      <c r="N1229" s="124" t="s">
        <v>365</v>
      </c>
      <c r="O1229" s="124" t="s">
        <v>365</v>
      </c>
      <c r="P1229" s="21">
        <v>31</v>
      </c>
      <c r="Q1229" s="10" t="s">
        <v>54</v>
      </c>
      <c r="R1229" s="10" t="s">
        <v>28</v>
      </c>
      <c r="S1229" s="10"/>
      <c r="T1229" s="10"/>
      <c r="U1229" s="10" t="s">
        <v>1315</v>
      </c>
      <c r="V1229" s="10" t="s">
        <v>1315</v>
      </c>
      <c r="W1229" s="50">
        <f>+J1229/$W$2</f>
        <v>7.1429883612591399E-4</v>
      </c>
    </row>
    <row r="1230" spans="1:29">
      <c r="A1230" s="10" t="s">
        <v>206</v>
      </c>
      <c r="B1230" s="10" t="s">
        <v>358</v>
      </c>
      <c r="C1230" s="124">
        <v>46357</v>
      </c>
      <c r="D1230" s="124" t="s">
        <v>471</v>
      </c>
      <c r="E1230" s="21">
        <v>0.97102882999999995</v>
      </c>
      <c r="F1230" s="10"/>
      <c r="G1230" s="14">
        <v>2170000</v>
      </c>
      <c r="H1230" s="14">
        <v>2107132.56</v>
      </c>
      <c r="I1230" s="14">
        <v>2170000</v>
      </c>
      <c r="J1230" s="14">
        <v>2107132.56</v>
      </c>
      <c r="K1230" s="12">
        <v>260741</v>
      </c>
      <c r="L1230" s="10" t="s">
        <v>101</v>
      </c>
      <c r="M1230" s="10" t="s">
        <v>102</v>
      </c>
      <c r="N1230" s="124" t="s">
        <v>479</v>
      </c>
      <c r="O1230" s="124" t="s">
        <v>479</v>
      </c>
      <c r="P1230" s="21">
        <v>33</v>
      </c>
      <c r="Q1230" s="10" t="s">
        <v>54</v>
      </c>
      <c r="R1230" s="10" t="s">
        <v>28</v>
      </c>
      <c r="S1230" s="10"/>
      <c r="T1230" s="10"/>
      <c r="U1230" s="10" t="s">
        <v>1209</v>
      </c>
      <c r="V1230" s="10" t="s">
        <v>1209</v>
      </c>
      <c r="W1230" s="50">
        <f>+J1230/$W$2</f>
        <v>2.5788448969309065E-5</v>
      </c>
    </row>
    <row r="1231" spans="1:29">
      <c r="A1231" s="10" t="s">
        <v>141</v>
      </c>
      <c r="B1231" s="10" t="s">
        <v>358</v>
      </c>
      <c r="C1231" s="124">
        <v>46357</v>
      </c>
      <c r="D1231" s="124" t="s">
        <v>471</v>
      </c>
      <c r="E1231" s="21">
        <v>0.97017710000000001</v>
      </c>
      <c r="F1231" s="10"/>
      <c r="G1231" s="14">
        <v>15000000</v>
      </c>
      <c r="H1231" s="14">
        <v>14552656.51</v>
      </c>
      <c r="I1231" s="14">
        <v>15000000</v>
      </c>
      <c r="J1231" s="14">
        <v>14552656.51</v>
      </c>
      <c r="K1231" s="12">
        <v>199</v>
      </c>
      <c r="L1231" s="10" t="s">
        <v>101</v>
      </c>
      <c r="M1231" s="10" t="s">
        <v>102</v>
      </c>
      <c r="N1231" s="124" t="s">
        <v>479</v>
      </c>
      <c r="O1231" s="124" t="s">
        <v>479</v>
      </c>
      <c r="P1231" s="21">
        <v>34</v>
      </c>
      <c r="Q1231" s="10" t="s">
        <v>54</v>
      </c>
      <c r="R1231" s="10" t="s">
        <v>28</v>
      </c>
      <c r="S1231" s="10"/>
      <c r="T1231" s="10"/>
      <c r="U1231" s="10" t="s">
        <v>1184</v>
      </c>
      <c r="V1231" s="10" t="s">
        <v>1184</v>
      </c>
      <c r="W1231" s="50">
        <f>+J1231/$W$2</f>
        <v>1.7810480787977496E-4</v>
      </c>
    </row>
    <row r="1232" spans="1:29">
      <c r="A1232" s="10" t="s">
        <v>983</v>
      </c>
      <c r="B1232" s="10" t="s">
        <v>358</v>
      </c>
      <c r="C1232" s="124">
        <v>46357</v>
      </c>
      <c r="D1232" s="124" t="s">
        <v>471</v>
      </c>
      <c r="E1232" s="21">
        <v>0.97531000999999995</v>
      </c>
      <c r="F1232" s="10"/>
      <c r="G1232" s="14">
        <v>150000000</v>
      </c>
      <c r="H1232" s="14">
        <v>146296501.19999999</v>
      </c>
      <c r="I1232" s="14">
        <v>150000000</v>
      </c>
      <c r="J1232" s="14">
        <v>146296501.19999999</v>
      </c>
      <c r="K1232" s="12">
        <v>77</v>
      </c>
      <c r="L1232" s="10" t="s">
        <v>101</v>
      </c>
      <c r="M1232" s="10" t="s">
        <v>102</v>
      </c>
      <c r="N1232" s="124" t="s">
        <v>389</v>
      </c>
      <c r="O1232" s="124" t="s">
        <v>389</v>
      </c>
      <c r="P1232" s="21">
        <v>28</v>
      </c>
      <c r="Q1232" s="10" t="s">
        <v>54</v>
      </c>
      <c r="R1232" s="10" t="s">
        <v>28</v>
      </c>
      <c r="S1232" s="10"/>
      <c r="T1232" s="10"/>
      <c r="U1232" s="10" t="s">
        <v>979</v>
      </c>
      <c r="V1232" s="10" t="s">
        <v>979</v>
      </c>
      <c r="W1232" s="50">
        <f>+J1232/$W$2</f>
        <v>1.7904710539827936E-3</v>
      </c>
    </row>
    <row r="1233" spans="1:29">
      <c r="A1233" s="10" t="s">
        <v>2487</v>
      </c>
      <c r="B1233" s="10" t="s">
        <v>358</v>
      </c>
      <c r="C1233" s="124">
        <v>46357</v>
      </c>
      <c r="D1233" s="124" t="s">
        <v>471</v>
      </c>
      <c r="E1233" s="21">
        <v>0.97102880999999996</v>
      </c>
      <c r="F1233" s="10"/>
      <c r="G1233" s="14">
        <v>95000000</v>
      </c>
      <c r="H1233" s="14">
        <v>92247736.670000002</v>
      </c>
      <c r="I1233" s="14">
        <v>95000000</v>
      </c>
      <c r="J1233" s="14">
        <v>92247736.670000002</v>
      </c>
      <c r="K1233" s="12">
        <v>3101</v>
      </c>
      <c r="L1233" s="10" t="s">
        <v>101</v>
      </c>
      <c r="M1233" s="10" t="s">
        <v>102</v>
      </c>
      <c r="N1233" s="124" t="s">
        <v>603</v>
      </c>
      <c r="O1233" s="124" t="s">
        <v>603</v>
      </c>
      <c r="P1233" s="21">
        <v>33</v>
      </c>
      <c r="Q1233" s="10" t="s">
        <v>54</v>
      </c>
      <c r="R1233" s="10" t="s">
        <v>28</v>
      </c>
      <c r="S1233" s="10"/>
      <c r="T1233" s="10"/>
      <c r="U1233" s="10" t="s">
        <v>2599</v>
      </c>
      <c r="V1233" s="10" t="s">
        <v>2599</v>
      </c>
      <c r="W1233" s="50">
        <f>+J1233/$W$2</f>
        <v>1.1289873711830241E-3</v>
      </c>
      <c r="AC1233"/>
    </row>
    <row r="1234" spans="1:29">
      <c r="A1234" s="10" t="s">
        <v>2487</v>
      </c>
      <c r="B1234" s="10" t="s">
        <v>358</v>
      </c>
      <c r="C1234" s="124">
        <v>46357</v>
      </c>
      <c r="D1234" s="124" t="s">
        <v>471</v>
      </c>
      <c r="E1234" s="21">
        <v>0.97102882999999995</v>
      </c>
      <c r="F1234" s="10"/>
      <c r="G1234" s="14">
        <v>80000000</v>
      </c>
      <c r="H1234" s="14">
        <v>77682306.670000002</v>
      </c>
      <c r="I1234" s="14">
        <v>80000000</v>
      </c>
      <c r="J1234" s="14">
        <v>77682306.670000002</v>
      </c>
      <c r="K1234" s="12">
        <v>3035</v>
      </c>
      <c r="L1234" s="10" t="s">
        <v>101</v>
      </c>
      <c r="M1234" s="10" t="s">
        <v>102</v>
      </c>
      <c r="N1234" s="124" t="s">
        <v>577</v>
      </c>
      <c r="O1234" s="124" t="s">
        <v>577</v>
      </c>
      <c r="P1234" s="21">
        <v>33</v>
      </c>
      <c r="Q1234" s="10" t="s">
        <v>54</v>
      </c>
      <c r="R1234" s="10" t="s">
        <v>28</v>
      </c>
      <c r="S1234" s="10"/>
      <c r="T1234" s="10"/>
      <c r="U1234" s="10" t="s">
        <v>2477</v>
      </c>
      <c r="V1234" s="10" t="s">
        <v>2477</v>
      </c>
      <c r="W1234" s="50">
        <f>+J1234/$W$2</f>
        <v>9.5072623308403161E-4</v>
      </c>
    </row>
    <row r="1235" spans="1:29">
      <c r="A1235" s="10" t="s">
        <v>2487</v>
      </c>
      <c r="B1235" s="10" t="s">
        <v>358</v>
      </c>
      <c r="C1235" s="124">
        <v>46357</v>
      </c>
      <c r="D1235" s="124" t="s">
        <v>471</v>
      </c>
      <c r="E1235" s="21">
        <v>0.97188200000000002</v>
      </c>
      <c r="F1235" s="10"/>
      <c r="G1235" s="14">
        <v>75000000</v>
      </c>
      <c r="H1235" s="14">
        <v>72891149.989999995</v>
      </c>
      <c r="I1235" s="14">
        <v>75000000</v>
      </c>
      <c r="J1235" s="14">
        <v>72891149.989999995</v>
      </c>
      <c r="K1235" s="12">
        <v>3501</v>
      </c>
      <c r="L1235" s="10" t="s">
        <v>101</v>
      </c>
      <c r="M1235" s="10" t="s">
        <v>102</v>
      </c>
      <c r="N1235" s="124" t="s">
        <v>466</v>
      </c>
      <c r="O1235" s="124" t="s">
        <v>466</v>
      </c>
      <c r="P1235" s="21">
        <v>32</v>
      </c>
      <c r="Q1235" s="10" t="s">
        <v>54</v>
      </c>
      <c r="R1235" s="10" t="s">
        <v>28</v>
      </c>
      <c r="S1235" s="10"/>
      <c r="T1235" s="10"/>
      <c r="U1235" s="10" t="s">
        <v>3660</v>
      </c>
      <c r="V1235" s="10" t="s">
        <v>3660</v>
      </c>
      <c r="W1235" s="50">
        <f>+J1235/$W$2</f>
        <v>8.9208896370115791E-4</v>
      </c>
    </row>
    <row r="1236" spans="1:29">
      <c r="A1236" s="10" t="s">
        <v>265</v>
      </c>
      <c r="B1236" s="10" t="s">
        <v>358</v>
      </c>
      <c r="C1236" s="124">
        <v>46357</v>
      </c>
      <c r="D1236" s="124" t="s">
        <v>471</v>
      </c>
      <c r="E1236" s="21">
        <v>0.97531000000000001</v>
      </c>
      <c r="F1236" s="10"/>
      <c r="G1236" s="14">
        <v>50000000</v>
      </c>
      <c r="H1236" s="14">
        <v>48765499.759999998</v>
      </c>
      <c r="I1236" s="14">
        <v>50000000</v>
      </c>
      <c r="J1236" s="14">
        <v>48765499.759999998</v>
      </c>
      <c r="K1236" s="12">
        <v>29757438</v>
      </c>
      <c r="L1236" s="10" t="s">
        <v>101</v>
      </c>
      <c r="M1236" s="10" t="s">
        <v>102</v>
      </c>
      <c r="N1236" s="124" t="s">
        <v>347</v>
      </c>
      <c r="O1236" s="124" t="s">
        <v>347</v>
      </c>
      <c r="P1236" s="21">
        <v>28</v>
      </c>
      <c r="Q1236" s="10" t="s">
        <v>54</v>
      </c>
      <c r="R1236" s="10" t="s">
        <v>28</v>
      </c>
      <c r="S1236" s="10"/>
      <c r="T1236" s="10"/>
      <c r="U1236" s="10" t="s">
        <v>813</v>
      </c>
      <c r="V1236" s="10" t="s">
        <v>813</v>
      </c>
      <c r="W1236" s="50">
        <f>+J1236/$W$2</f>
        <v>5.9682367682819799E-4</v>
      </c>
    </row>
    <row r="1237" spans="1:29">
      <c r="A1237" s="10" t="s">
        <v>334</v>
      </c>
      <c r="B1237" s="10" t="s">
        <v>358</v>
      </c>
      <c r="C1237" s="124">
        <v>46357</v>
      </c>
      <c r="D1237" s="124" t="s">
        <v>471</v>
      </c>
      <c r="E1237" s="21">
        <v>0.96932689000000005</v>
      </c>
      <c r="F1237" s="10"/>
      <c r="G1237" s="14">
        <v>3256800.5</v>
      </c>
      <c r="H1237" s="14">
        <v>3156904.29</v>
      </c>
      <c r="I1237" s="14">
        <v>3256800.5</v>
      </c>
      <c r="J1237" s="14">
        <v>3156904.29</v>
      </c>
      <c r="K1237" s="12">
        <v>3599</v>
      </c>
      <c r="L1237" s="10" t="s">
        <v>101</v>
      </c>
      <c r="M1237" s="10" t="s">
        <v>102</v>
      </c>
      <c r="N1237" s="124" t="s">
        <v>477</v>
      </c>
      <c r="O1237" s="124" t="s">
        <v>477</v>
      </c>
      <c r="P1237" s="21">
        <v>35</v>
      </c>
      <c r="Q1237" s="10" t="s">
        <v>54</v>
      </c>
      <c r="R1237" s="10" t="s">
        <v>28</v>
      </c>
      <c r="S1237" s="10"/>
      <c r="T1237" s="10"/>
      <c r="U1237" s="10" t="s">
        <v>2407</v>
      </c>
      <c r="V1237" s="10" t="s">
        <v>2407</v>
      </c>
      <c r="W1237" s="50">
        <f>+J1237/$W$2</f>
        <v>3.8636233300698402E-5</v>
      </c>
    </row>
    <row r="1238" spans="1:29">
      <c r="A1238" s="10" t="s">
        <v>947</v>
      </c>
      <c r="B1238" s="10" t="s">
        <v>358</v>
      </c>
      <c r="C1238" s="124">
        <v>46357</v>
      </c>
      <c r="D1238" s="124" t="s">
        <v>471</v>
      </c>
      <c r="E1238" s="21">
        <v>0.97188200000000002</v>
      </c>
      <c r="F1238" s="10"/>
      <c r="G1238" s="14">
        <v>5444206</v>
      </c>
      <c r="H1238" s="14">
        <v>5291125.8099999996</v>
      </c>
      <c r="I1238" s="14">
        <v>5444206</v>
      </c>
      <c r="J1238" s="14">
        <v>5291125.8099999996</v>
      </c>
      <c r="K1238" s="12">
        <v>3449</v>
      </c>
      <c r="L1238" s="10" t="s">
        <v>101</v>
      </c>
      <c r="M1238" s="10" t="s">
        <v>102</v>
      </c>
      <c r="N1238" s="124" t="s">
        <v>373</v>
      </c>
      <c r="O1238" s="124" t="s">
        <v>373</v>
      </c>
      <c r="P1238" s="21">
        <v>32</v>
      </c>
      <c r="Q1238" s="10" t="s">
        <v>54</v>
      </c>
      <c r="R1238" s="10" t="s">
        <v>28</v>
      </c>
      <c r="S1238" s="10"/>
      <c r="T1238" s="10"/>
      <c r="U1238" s="10" t="s">
        <v>1166</v>
      </c>
      <c r="V1238" s="10" t="s">
        <v>1166</v>
      </c>
      <c r="W1238" s="50">
        <f>+J1238/$W$2</f>
        <v>6.4756214455429938E-5</v>
      </c>
    </row>
    <row r="1239" spans="1:29">
      <c r="A1239" s="10" t="s">
        <v>985</v>
      </c>
      <c r="B1239" s="10" t="s">
        <v>358</v>
      </c>
      <c r="C1239" s="124">
        <v>46357</v>
      </c>
      <c r="D1239" s="124" t="s">
        <v>471</v>
      </c>
      <c r="E1239" s="21">
        <v>0.97445075000000003</v>
      </c>
      <c r="F1239" s="10"/>
      <c r="G1239" s="14">
        <v>40000000</v>
      </c>
      <c r="H1239" s="14">
        <v>38978030.060000002</v>
      </c>
      <c r="I1239" s="14">
        <v>40000000</v>
      </c>
      <c r="J1239" s="14">
        <v>38978030.060000002</v>
      </c>
      <c r="K1239" s="12">
        <v>2886</v>
      </c>
      <c r="L1239" s="10" t="s">
        <v>101</v>
      </c>
      <c r="M1239" s="10" t="s">
        <v>102</v>
      </c>
      <c r="N1239" s="124" t="s">
        <v>389</v>
      </c>
      <c r="O1239" s="124" t="s">
        <v>389</v>
      </c>
      <c r="P1239" s="21">
        <v>29</v>
      </c>
      <c r="Q1239" s="10" t="s">
        <v>54</v>
      </c>
      <c r="R1239" s="10" t="s">
        <v>28</v>
      </c>
      <c r="S1239" s="10"/>
      <c r="T1239" s="10"/>
      <c r="U1239" s="10" t="s">
        <v>975</v>
      </c>
      <c r="V1239" s="10" t="s">
        <v>975</v>
      </c>
      <c r="W1239" s="50">
        <f>+J1239/$W$2</f>
        <v>4.7703830229195682E-4</v>
      </c>
    </row>
    <row r="1240" spans="1:29">
      <c r="A1240" s="10" t="s">
        <v>1369</v>
      </c>
      <c r="B1240" s="10" t="s">
        <v>358</v>
      </c>
      <c r="C1240" s="124">
        <v>46357</v>
      </c>
      <c r="D1240" s="124" t="s">
        <v>471</v>
      </c>
      <c r="E1240" s="21">
        <v>0.97273677000000003</v>
      </c>
      <c r="F1240" s="10"/>
      <c r="G1240" s="14">
        <v>985744</v>
      </c>
      <c r="H1240" s="14">
        <v>958869.43</v>
      </c>
      <c r="I1240" s="14">
        <v>985744</v>
      </c>
      <c r="J1240" s="14">
        <v>958869.43</v>
      </c>
      <c r="K1240" s="12">
        <v>10332467</v>
      </c>
      <c r="L1240" s="10" t="s">
        <v>101</v>
      </c>
      <c r="M1240" s="10" t="s">
        <v>102</v>
      </c>
      <c r="N1240" s="124" t="s">
        <v>365</v>
      </c>
      <c r="O1240" s="124" t="s">
        <v>365</v>
      </c>
      <c r="P1240" s="21">
        <v>31</v>
      </c>
      <c r="Q1240" s="10" t="s">
        <v>54</v>
      </c>
      <c r="R1240" s="10" t="s">
        <v>28</v>
      </c>
      <c r="S1240" s="10"/>
      <c r="T1240" s="10"/>
      <c r="U1240" s="10" t="s">
        <v>1354</v>
      </c>
      <c r="V1240" s="10" t="s">
        <v>1354</v>
      </c>
      <c r="W1240" s="50">
        <f>+J1240/$W$2</f>
        <v>1.1735263283001746E-5</v>
      </c>
    </row>
    <row r="1241" spans="1:29">
      <c r="A1241" s="10" t="s">
        <v>2824</v>
      </c>
      <c r="B1241" s="10" t="s">
        <v>358</v>
      </c>
      <c r="C1241" s="124">
        <v>46357</v>
      </c>
      <c r="D1241" s="124" t="s">
        <v>471</v>
      </c>
      <c r="E1241" s="21">
        <v>0.97188205000000005</v>
      </c>
      <c r="F1241" s="10"/>
      <c r="G1241" s="14">
        <v>766355</v>
      </c>
      <c r="H1241" s="14">
        <v>744806.67</v>
      </c>
      <c r="I1241" s="14">
        <v>766355</v>
      </c>
      <c r="J1241" s="14">
        <v>744806.67</v>
      </c>
      <c r="K1241" s="12">
        <v>50492551</v>
      </c>
      <c r="L1241" s="10" t="s">
        <v>101</v>
      </c>
      <c r="M1241" s="10" t="s">
        <v>102</v>
      </c>
      <c r="N1241" s="124" t="s">
        <v>412</v>
      </c>
      <c r="O1241" s="124" t="s">
        <v>412</v>
      </c>
      <c r="P1241" s="21">
        <v>32</v>
      </c>
      <c r="Q1241" s="10" t="s">
        <v>54</v>
      </c>
      <c r="R1241" s="10" t="s">
        <v>28</v>
      </c>
      <c r="S1241" s="10"/>
      <c r="T1241" s="10"/>
      <c r="U1241" s="10" t="s">
        <v>2787</v>
      </c>
      <c r="V1241" s="10" t="s">
        <v>2787</v>
      </c>
      <c r="W1241" s="50">
        <f>+J1241/$W$2</f>
        <v>9.115424993146144E-6</v>
      </c>
    </row>
    <row r="1242" spans="1:29">
      <c r="A1242" s="10" t="s">
        <v>2435</v>
      </c>
      <c r="B1242" s="10" t="s">
        <v>358</v>
      </c>
      <c r="C1242" s="124">
        <v>46357</v>
      </c>
      <c r="D1242" s="124" t="s">
        <v>471</v>
      </c>
      <c r="E1242" s="21">
        <v>0.97445088999999996</v>
      </c>
      <c r="F1242" s="10"/>
      <c r="G1242" s="14">
        <v>450000</v>
      </c>
      <c r="H1242" s="14">
        <v>438502.9</v>
      </c>
      <c r="I1242" s="14">
        <v>450000</v>
      </c>
      <c r="J1242" s="14">
        <v>438502.9</v>
      </c>
      <c r="K1242" s="12">
        <v>11456507</v>
      </c>
      <c r="L1242" s="10" t="s">
        <v>101</v>
      </c>
      <c r="M1242" s="10" t="s">
        <v>102</v>
      </c>
      <c r="N1242" s="124" t="s">
        <v>469</v>
      </c>
      <c r="O1242" s="124" t="s">
        <v>469</v>
      </c>
      <c r="P1242" s="21">
        <v>29</v>
      </c>
      <c r="Q1242" s="10" t="s">
        <v>54</v>
      </c>
      <c r="R1242" s="10" t="s">
        <v>28</v>
      </c>
      <c r="S1242" s="10"/>
      <c r="T1242" s="10"/>
      <c r="U1242" s="10" t="s">
        <v>4032</v>
      </c>
      <c r="V1242" s="10" t="s">
        <v>4032</v>
      </c>
      <c r="W1242" s="50">
        <f>+J1242/$W$2</f>
        <v>5.3666816574387881E-6</v>
      </c>
    </row>
    <row r="1243" spans="1:29">
      <c r="A1243" s="10" t="s">
        <v>1765</v>
      </c>
      <c r="B1243" s="10" t="s">
        <v>358</v>
      </c>
      <c r="C1243" s="124">
        <v>46357</v>
      </c>
      <c r="D1243" s="124" t="s">
        <v>471</v>
      </c>
      <c r="E1243" s="21">
        <v>0.97102884</v>
      </c>
      <c r="F1243" s="10"/>
      <c r="G1243" s="14">
        <v>668751.01</v>
      </c>
      <c r="H1243" s="14">
        <v>649376.52</v>
      </c>
      <c r="I1243" s="14">
        <v>668751.01</v>
      </c>
      <c r="J1243" s="14">
        <v>649376.52</v>
      </c>
      <c r="K1243" s="12">
        <v>19644</v>
      </c>
      <c r="L1243" s="10" t="s">
        <v>101</v>
      </c>
      <c r="M1243" s="10" t="s">
        <v>102</v>
      </c>
      <c r="N1243" s="124" t="s">
        <v>417</v>
      </c>
      <c r="O1243" s="124" t="s">
        <v>417</v>
      </c>
      <c r="P1243" s="21">
        <v>33</v>
      </c>
      <c r="Q1243" s="10" t="s">
        <v>54</v>
      </c>
      <c r="R1243" s="10" t="s">
        <v>28</v>
      </c>
      <c r="S1243" s="10"/>
      <c r="T1243" s="10"/>
      <c r="U1243" s="10" t="s">
        <v>3271</v>
      </c>
      <c r="V1243" s="10" t="s">
        <v>3271</v>
      </c>
      <c r="W1243" s="50">
        <f>+J1243/$W$2</f>
        <v>7.9474891925582069E-6</v>
      </c>
    </row>
    <row r="1244" spans="1:29">
      <c r="A1244" s="10" t="s">
        <v>525</v>
      </c>
      <c r="B1244" s="10" t="s">
        <v>358</v>
      </c>
      <c r="C1244" s="124">
        <v>46357</v>
      </c>
      <c r="D1244" s="124" t="s">
        <v>471</v>
      </c>
      <c r="E1244" s="21">
        <v>0.97102885000000005</v>
      </c>
      <c r="F1244" s="10"/>
      <c r="G1244" s="14">
        <v>1500000</v>
      </c>
      <c r="H1244" s="14">
        <v>1456543.27</v>
      </c>
      <c r="I1244" s="14">
        <v>1500000</v>
      </c>
      <c r="J1244" s="14">
        <v>1456543.27</v>
      </c>
      <c r="K1244" s="12">
        <v>589</v>
      </c>
      <c r="L1244" s="10" t="s">
        <v>101</v>
      </c>
      <c r="M1244" s="10" t="s">
        <v>102</v>
      </c>
      <c r="N1244" s="124" t="s">
        <v>408</v>
      </c>
      <c r="O1244" s="124" t="s">
        <v>408</v>
      </c>
      <c r="P1244" s="21">
        <v>33</v>
      </c>
      <c r="Q1244" s="10" t="s">
        <v>54</v>
      </c>
      <c r="R1244" s="10" t="s">
        <v>28</v>
      </c>
      <c r="S1244" s="10"/>
      <c r="T1244" s="10"/>
      <c r="U1244" s="10" t="s">
        <v>2020</v>
      </c>
      <c r="V1244" s="10" t="s">
        <v>2020</v>
      </c>
      <c r="W1244" s="50">
        <f>+J1244/$W$2</f>
        <v>1.7826117114333593E-5</v>
      </c>
    </row>
    <row r="1245" spans="1:29">
      <c r="A1245" s="10" t="s">
        <v>1768</v>
      </c>
      <c r="B1245" s="10" t="s">
        <v>358</v>
      </c>
      <c r="C1245" s="124">
        <v>46357</v>
      </c>
      <c r="D1245" s="124" t="s">
        <v>471</v>
      </c>
      <c r="E1245" s="21">
        <v>0.97102885000000005</v>
      </c>
      <c r="F1245" s="10"/>
      <c r="G1245" s="14">
        <v>2787075</v>
      </c>
      <c r="H1245" s="14">
        <v>2706330.22</v>
      </c>
      <c r="I1245" s="14">
        <v>2787075</v>
      </c>
      <c r="J1245" s="14">
        <v>2706330.22</v>
      </c>
      <c r="K1245" s="12">
        <v>70327696</v>
      </c>
      <c r="L1245" s="10" t="s">
        <v>101</v>
      </c>
      <c r="M1245" s="10" t="s">
        <v>102</v>
      </c>
      <c r="N1245" s="124" t="s">
        <v>417</v>
      </c>
      <c r="O1245" s="124" t="s">
        <v>417</v>
      </c>
      <c r="P1245" s="21">
        <v>33</v>
      </c>
      <c r="Q1245" s="10" t="s">
        <v>54</v>
      </c>
      <c r="R1245" s="10" t="s">
        <v>28</v>
      </c>
      <c r="S1245" s="10"/>
      <c r="T1245" s="10"/>
      <c r="U1245" s="10" t="s">
        <v>3256</v>
      </c>
      <c r="V1245" s="10" t="s">
        <v>3256</v>
      </c>
      <c r="W1245" s="50">
        <f>+J1245/$W$2</f>
        <v>3.3121816869731718E-5</v>
      </c>
    </row>
    <row r="1246" spans="1:29">
      <c r="A1246" s="10" t="s">
        <v>2437</v>
      </c>
      <c r="B1246" s="10" t="s">
        <v>358</v>
      </c>
      <c r="C1246" s="124">
        <v>46357</v>
      </c>
      <c r="D1246" s="124" t="s">
        <v>471</v>
      </c>
      <c r="E1246" s="21">
        <v>0.97359304999999996</v>
      </c>
      <c r="F1246" s="10"/>
      <c r="G1246" s="14">
        <v>2500000</v>
      </c>
      <c r="H1246" s="14">
        <v>2433982.63</v>
      </c>
      <c r="I1246" s="14">
        <v>2500000</v>
      </c>
      <c r="J1246" s="14">
        <v>2433982.63</v>
      </c>
      <c r="K1246" s="12">
        <v>363</v>
      </c>
      <c r="L1246" s="10" t="s">
        <v>101</v>
      </c>
      <c r="M1246" s="10" t="s">
        <v>102</v>
      </c>
      <c r="N1246" s="124" t="s">
        <v>477</v>
      </c>
      <c r="O1246" s="124" t="s">
        <v>477</v>
      </c>
      <c r="P1246" s="21">
        <v>30</v>
      </c>
      <c r="Q1246" s="10" t="s">
        <v>54</v>
      </c>
      <c r="R1246" s="10" t="s">
        <v>28</v>
      </c>
      <c r="S1246" s="10"/>
      <c r="T1246" s="10"/>
      <c r="U1246" s="10" t="s">
        <v>2419</v>
      </c>
      <c r="V1246" s="10" t="s">
        <v>2419</v>
      </c>
      <c r="W1246" s="50">
        <f>+J1246/$W$2</f>
        <v>2.978865119237665E-5</v>
      </c>
    </row>
    <row r="1247" spans="1:29">
      <c r="A1247" s="10" t="s">
        <v>164</v>
      </c>
      <c r="B1247" s="10" t="s">
        <v>358</v>
      </c>
      <c r="C1247" s="124">
        <v>46357</v>
      </c>
      <c r="D1247" s="124" t="s">
        <v>471</v>
      </c>
      <c r="E1247" s="21">
        <v>0.96678501999999999</v>
      </c>
      <c r="F1247" s="10"/>
      <c r="G1247" s="14">
        <v>267100000</v>
      </c>
      <c r="H1247" s="14">
        <v>258228279.16</v>
      </c>
      <c r="I1247" s="14">
        <v>267100000</v>
      </c>
      <c r="J1247" s="14">
        <v>258228279.16</v>
      </c>
      <c r="K1247" s="12">
        <v>70418883</v>
      </c>
      <c r="L1247" s="10" t="s">
        <v>101</v>
      </c>
      <c r="M1247" s="10" t="s">
        <v>102</v>
      </c>
      <c r="N1247" s="124" t="s">
        <v>411</v>
      </c>
      <c r="O1247" s="124" t="s">
        <v>411</v>
      </c>
      <c r="P1247" s="21">
        <v>38</v>
      </c>
      <c r="Q1247" s="10" t="s">
        <v>54</v>
      </c>
      <c r="R1247" s="10" t="s">
        <v>28</v>
      </c>
      <c r="S1247" s="10"/>
      <c r="T1247" s="10"/>
      <c r="U1247" s="10" t="s">
        <v>2924</v>
      </c>
      <c r="V1247" s="10" t="s">
        <v>2924</v>
      </c>
      <c r="W1247" s="50">
        <f>+J1247/$W$2</f>
        <v>3.1603644336216587E-3</v>
      </c>
    </row>
    <row r="1248" spans="1:29">
      <c r="A1248" s="10" t="s">
        <v>295</v>
      </c>
      <c r="B1248" s="10" t="s">
        <v>358</v>
      </c>
      <c r="C1248" s="124">
        <v>46357</v>
      </c>
      <c r="D1248" s="124" t="s">
        <v>471</v>
      </c>
      <c r="E1248" s="21">
        <v>0.98223903999999995</v>
      </c>
      <c r="F1248" s="10"/>
      <c r="G1248" s="14">
        <v>8500000</v>
      </c>
      <c r="H1248" s="14">
        <v>8349031.8499999996</v>
      </c>
      <c r="I1248" s="14">
        <v>8500000</v>
      </c>
      <c r="J1248" s="14">
        <v>8349031.8499999996</v>
      </c>
      <c r="K1248" s="12">
        <v>34604</v>
      </c>
      <c r="L1248" s="10" t="s">
        <v>101</v>
      </c>
      <c r="M1248" s="10" t="s">
        <v>102</v>
      </c>
      <c r="N1248" s="124" t="s">
        <v>405</v>
      </c>
      <c r="O1248" s="124" t="s">
        <v>405</v>
      </c>
      <c r="P1248" s="21">
        <v>20</v>
      </c>
      <c r="Q1248" s="10" t="s">
        <v>54</v>
      </c>
      <c r="R1248" s="10" t="s">
        <v>28</v>
      </c>
      <c r="S1248" s="10"/>
      <c r="T1248" s="10"/>
      <c r="U1248" s="10" t="s">
        <v>1491</v>
      </c>
      <c r="V1248" s="10" t="s">
        <v>1491</v>
      </c>
      <c r="W1248" s="50">
        <f>+J1248/$W$2</f>
        <v>1.0218084324360735E-4</v>
      </c>
    </row>
    <row r="1249" spans="1:29">
      <c r="A1249" s="10" t="s">
        <v>433</v>
      </c>
      <c r="B1249" s="10" t="s">
        <v>358</v>
      </c>
      <c r="C1249" s="124">
        <v>46357</v>
      </c>
      <c r="D1249" s="124" t="s">
        <v>471</v>
      </c>
      <c r="E1249" s="21">
        <v>0.97102880000000003</v>
      </c>
      <c r="F1249" s="10"/>
      <c r="G1249" s="14">
        <v>25000000</v>
      </c>
      <c r="H1249" s="14">
        <v>24275719.940000001</v>
      </c>
      <c r="I1249" s="14">
        <v>25000000</v>
      </c>
      <c r="J1249" s="14">
        <v>24275719.940000001</v>
      </c>
      <c r="K1249" s="12">
        <v>14422596</v>
      </c>
      <c r="L1249" s="10" t="s">
        <v>101</v>
      </c>
      <c r="M1249" s="10" t="s">
        <v>102</v>
      </c>
      <c r="N1249" s="124" t="s">
        <v>365</v>
      </c>
      <c r="O1249" s="124" t="s">
        <v>365</v>
      </c>
      <c r="P1249" s="21">
        <v>33</v>
      </c>
      <c r="Q1249" s="10" t="s">
        <v>54</v>
      </c>
      <c r="R1249" s="10" t="s">
        <v>28</v>
      </c>
      <c r="S1249" s="10"/>
      <c r="T1249" s="10"/>
      <c r="U1249" s="10" t="s">
        <v>1342</v>
      </c>
      <c r="V1249" s="10" t="s">
        <v>1342</v>
      </c>
      <c r="W1249" s="50">
        <f>+J1249/$W$2</f>
        <v>2.9710193689282111E-4</v>
      </c>
    </row>
    <row r="1250" spans="1:29">
      <c r="A1250" s="10" t="s">
        <v>434</v>
      </c>
      <c r="B1250" s="10" t="s">
        <v>358</v>
      </c>
      <c r="C1250" s="124">
        <v>46357</v>
      </c>
      <c r="D1250" s="124" t="s">
        <v>471</v>
      </c>
      <c r="E1250" s="21">
        <v>0.97102887999999998</v>
      </c>
      <c r="F1250" s="10"/>
      <c r="G1250" s="14">
        <v>2500000</v>
      </c>
      <c r="H1250" s="14">
        <v>2427572.21</v>
      </c>
      <c r="I1250" s="14">
        <v>2500000</v>
      </c>
      <c r="J1250" s="14">
        <v>2427572.21</v>
      </c>
      <c r="K1250" s="12">
        <v>678</v>
      </c>
      <c r="L1250" s="10" t="s">
        <v>101</v>
      </c>
      <c r="M1250" s="10" t="s">
        <v>102</v>
      </c>
      <c r="N1250" s="124" t="s">
        <v>478</v>
      </c>
      <c r="O1250" s="124" t="s">
        <v>478</v>
      </c>
      <c r="P1250" s="21">
        <v>33</v>
      </c>
      <c r="Q1250" s="10" t="s">
        <v>54</v>
      </c>
      <c r="R1250" s="10" t="s">
        <v>28</v>
      </c>
      <c r="S1250" s="10"/>
      <c r="T1250" s="10"/>
      <c r="U1250" s="10" t="s">
        <v>2172</v>
      </c>
      <c r="V1250" s="10" t="s">
        <v>2172</v>
      </c>
      <c r="W1250" s="50">
        <f>+J1250/$W$2</f>
        <v>2.971019633282959E-5</v>
      </c>
    </row>
    <row r="1251" spans="1:29">
      <c r="A1251" s="10" t="s">
        <v>3411</v>
      </c>
      <c r="B1251" s="10" t="s">
        <v>358</v>
      </c>
      <c r="C1251" s="124">
        <v>46357</v>
      </c>
      <c r="D1251" s="124" t="s">
        <v>471</v>
      </c>
      <c r="E1251" s="21">
        <v>0.96932684000000002</v>
      </c>
      <c r="F1251" s="10"/>
      <c r="G1251" s="14">
        <v>44839412.649999999</v>
      </c>
      <c r="H1251" s="14">
        <v>43464046.07</v>
      </c>
      <c r="I1251" s="14">
        <v>44839412.649999999</v>
      </c>
      <c r="J1251" s="14">
        <v>43464046.07</v>
      </c>
      <c r="K1251" s="12">
        <v>61</v>
      </c>
      <c r="L1251" s="10" t="s">
        <v>101</v>
      </c>
      <c r="M1251" s="10" t="s">
        <v>102</v>
      </c>
      <c r="N1251" s="124" t="s">
        <v>475</v>
      </c>
      <c r="O1251" s="124" t="s">
        <v>475</v>
      </c>
      <c r="P1251" s="21">
        <v>35</v>
      </c>
      <c r="Q1251" s="10" t="s">
        <v>54</v>
      </c>
      <c r="R1251" s="10" t="s">
        <v>28</v>
      </c>
      <c r="S1251" s="10"/>
      <c r="T1251" s="10"/>
      <c r="U1251" s="10" t="s">
        <v>3376</v>
      </c>
      <c r="V1251" s="10" t="s">
        <v>3376</v>
      </c>
      <c r="W1251" s="50">
        <f>+J1251/$W$2</f>
        <v>5.3194106310800555E-4</v>
      </c>
    </row>
    <row r="1252" spans="1:29">
      <c r="A1252" s="10" t="s">
        <v>359</v>
      </c>
      <c r="B1252" s="10" t="s">
        <v>358</v>
      </c>
      <c r="C1252" s="124">
        <v>46357</v>
      </c>
      <c r="D1252" s="124" t="s">
        <v>471</v>
      </c>
      <c r="E1252" s="21">
        <v>0.97359302999999997</v>
      </c>
      <c r="F1252" s="10"/>
      <c r="G1252" s="14">
        <v>9000000</v>
      </c>
      <c r="H1252" s="14">
        <v>8762337.3000000007</v>
      </c>
      <c r="I1252" s="14">
        <v>9000000</v>
      </c>
      <c r="J1252" s="14">
        <v>8762337.3000000007</v>
      </c>
      <c r="K1252" s="12">
        <v>1427</v>
      </c>
      <c r="L1252" s="10" t="s">
        <v>101</v>
      </c>
      <c r="M1252" s="10" t="s">
        <v>102</v>
      </c>
      <c r="N1252" s="124" t="s">
        <v>467</v>
      </c>
      <c r="O1252" s="124" t="s">
        <v>467</v>
      </c>
      <c r="P1252" s="21">
        <v>30</v>
      </c>
      <c r="Q1252" s="10" t="s">
        <v>54</v>
      </c>
      <c r="R1252" s="10" t="s">
        <v>28</v>
      </c>
      <c r="S1252" s="10"/>
      <c r="T1252" s="10"/>
      <c r="U1252" s="10" t="s">
        <v>3704</v>
      </c>
      <c r="V1252" s="10" t="s">
        <v>3704</v>
      </c>
      <c r="W1252" s="50">
        <f>+J1252/$W$2</f>
        <v>1.0723914223646347E-4</v>
      </c>
    </row>
    <row r="1253" spans="1:29">
      <c r="A1253" s="10" t="s">
        <v>359</v>
      </c>
      <c r="B1253" s="10" t="s">
        <v>358</v>
      </c>
      <c r="C1253" s="124">
        <v>46357</v>
      </c>
      <c r="D1253" s="124" t="s">
        <v>471</v>
      </c>
      <c r="E1253" s="21">
        <v>0.97359298999999999</v>
      </c>
      <c r="F1253" s="10"/>
      <c r="G1253" s="14">
        <v>10000000</v>
      </c>
      <c r="H1253" s="14">
        <v>9735929.9399999995</v>
      </c>
      <c r="I1253" s="14">
        <v>10000000</v>
      </c>
      <c r="J1253" s="14">
        <v>9735929.9399999995</v>
      </c>
      <c r="K1253" s="12">
        <v>1433</v>
      </c>
      <c r="L1253" s="10" t="s">
        <v>101</v>
      </c>
      <c r="M1253" s="10" t="s">
        <v>102</v>
      </c>
      <c r="N1253" s="124" t="s">
        <v>468</v>
      </c>
      <c r="O1253" s="124" t="s">
        <v>468</v>
      </c>
      <c r="P1253" s="21">
        <v>30</v>
      </c>
      <c r="Q1253" s="10" t="s">
        <v>54</v>
      </c>
      <c r="R1253" s="10" t="s">
        <v>28</v>
      </c>
      <c r="S1253" s="10"/>
      <c r="T1253" s="10"/>
      <c r="U1253" s="10" t="s">
        <v>3828</v>
      </c>
      <c r="V1253" s="10" t="s">
        <v>3828</v>
      </c>
      <c r="W1253" s="50">
        <f>+J1253/$W$2</f>
        <v>1.1915459767109207E-4</v>
      </c>
    </row>
    <row r="1254" spans="1:29">
      <c r="A1254" s="10" t="s">
        <v>359</v>
      </c>
      <c r="B1254" s="10" t="s">
        <v>358</v>
      </c>
      <c r="C1254" s="124">
        <v>46357</v>
      </c>
      <c r="D1254" s="124" t="s">
        <v>471</v>
      </c>
      <c r="E1254" s="21">
        <v>0.97359306999999995</v>
      </c>
      <c r="F1254" s="10"/>
      <c r="G1254" s="14">
        <v>8000000</v>
      </c>
      <c r="H1254" s="14">
        <v>7788744.54</v>
      </c>
      <c r="I1254" s="14">
        <v>8000000</v>
      </c>
      <c r="J1254" s="14">
        <v>7788744.54</v>
      </c>
      <c r="K1254" s="12">
        <v>1435</v>
      </c>
      <c r="L1254" s="10" t="s">
        <v>101</v>
      </c>
      <c r="M1254" s="10" t="s">
        <v>102</v>
      </c>
      <c r="N1254" s="124" t="s">
        <v>474</v>
      </c>
      <c r="O1254" s="124" t="s">
        <v>474</v>
      </c>
      <c r="P1254" s="21">
        <v>30</v>
      </c>
      <c r="Q1254" s="10" t="s">
        <v>54</v>
      </c>
      <c r="R1254" s="10" t="s">
        <v>28</v>
      </c>
      <c r="S1254" s="10"/>
      <c r="T1254" s="10"/>
      <c r="U1254" s="10" t="s">
        <v>3863</v>
      </c>
      <c r="V1254" s="10" t="s">
        <v>3863</v>
      </c>
      <c r="W1254" s="50">
        <f>+J1254/$W$2</f>
        <v>9.532368533319736E-5</v>
      </c>
    </row>
    <row r="1255" spans="1:29">
      <c r="A1255" s="10" t="s">
        <v>2756</v>
      </c>
      <c r="B1255" s="10" t="s">
        <v>358</v>
      </c>
      <c r="C1255" s="124">
        <v>46357</v>
      </c>
      <c r="D1255" s="124" t="s">
        <v>471</v>
      </c>
      <c r="E1255" s="21">
        <v>0.97188205000000005</v>
      </c>
      <c r="F1255" s="10"/>
      <c r="G1255" s="14">
        <v>187766.2</v>
      </c>
      <c r="H1255" s="14">
        <v>182486.6</v>
      </c>
      <c r="I1255" s="14">
        <v>187766.2</v>
      </c>
      <c r="J1255" s="14">
        <v>182486.6</v>
      </c>
      <c r="K1255" s="12">
        <v>70036933</v>
      </c>
      <c r="L1255" s="10" t="s">
        <v>101</v>
      </c>
      <c r="M1255" s="10" t="s">
        <v>102</v>
      </c>
      <c r="N1255" s="124" t="s">
        <v>440</v>
      </c>
      <c r="O1255" s="124" t="s">
        <v>440</v>
      </c>
      <c r="P1255" s="21">
        <v>32</v>
      </c>
      <c r="Q1255" s="10" t="s">
        <v>54</v>
      </c>
      <c r="R1255" s="10" t="s">
        <v>28</v>
      </c>
      <c r="S1255" s="10"/>
      <c r="T1255" s="10"/>
      <c r="U1255" s="10" t="s">
        <v>2734</v>
      </c>
      <c r="V1255" s="10" t="s">
        <v>2734</v>
      </c>
      <c r="W1255" s="50">
        <f>+J1255/$W$2</f>
        <v>2.2333888531828848E-6</v>
      </c>
    </row>
    <row r="1256" spans="1:29">
      <c r="A1256" s="10" t="s">
        <v>2822</v>
      </c>
      <c r="B1256" s="10" t="s">
        <v>358</v>
      </c>
      <c r="C1256" s="124">
        <v>46357</v>
      </c>
      <c r="D1256" s="124" t="s">
        <v>471</v>
      </c>
      <c r="E1256" s="21">
        <v>0.97188207000000004</v>
      </c>
      <c r="F1256" s="10"/>
      <c r="G1256" s="14">
        <v>1858362</v>
      </c>
      <c r="H1256" s="14">
        <v>1806108.7</v>
      </c>
      <c r="I1256" s="14">
        <v>1858362</v>
      </c>
      <c r="J1256" s="14">
        <v>1806108.7</v>
      </c>
      <c r="K1256" s="12">
        <v>1485</v>
      </c>
      <c r="L1256" s="10" t="s">
        <v>101</v>
      </c>
      <c r="M1256" s="10" t="s">
        <v>102</v>
      </c>
      <c r="N1256" s="124" t="s">
        <v>412</v>
      </c>
      <c r="O1256" s="124" t="s">
        <v>412</v>
      </c>
      <c r="P1256" s="21">
        <v>32</v>
      </c>
      <c r="Q1256" s="10" t="s">
        <v>54</v>
      </c>
      <c r="R1256" s="10" t="s">
        <v>28</v>
      </c>
      <c r="S1256" s="10"/>
      <c r="T1256" s="10"/>
      <c r="U1256" s="10" t="s">
        <v>2775</v>
      </c>
      <c r="V1256" s="10" t="s">
        <v>2775</v>
      </c>
      <c r="W1256" s="50">
        <f>+J1256/$W$2</f>
        <v>2.2104324581731647E-5</v>
      </c>
    </row>
    <row r="1257" spans="1:29">
      <c r="A1257" s="10" t="s">
        <v>3093</v>
      </c>
      <c r="B1257" s="10" t="s">
        <v>358</v>
      </c>
      <c r="C1257" s="124">
        <v>46357</v>
      </c>
      <c r="D1257" s="124" t="s">
        <v>471</v>
      </c>
      <c r="E1257" s="21">
        <v>0.97359311999999998</v>
      </c>
      <c r="F1257" s="10"/>
      <c r="G1257" s="14">
        <v>3930000</v>
      </c>
      <c r="H1257" s="14">
        <v>3826220.98</v>
      </c>
      <c r="I1257" s="14">
        <v>3930000</v>
      </c>
      <c r="J1257" s="14">
        <v>3826220.98</v>
      </c>
      <c r="K1257" s="12">
        <v>90000102</v>
      </c>
      <c r="L1257" s="10" t="s">
        <v>101</v>
      </c>
      <c r="M1257" s="10" t="s">
        <v>102</v>
      </c>
      <c r="N1257" s="124" t="s">
        <v>446</v>
      </c>
      <c r="O1257" s="124" t="s">
        <v>446</v>
      </c>
      <c r="P1257" s="21">
        <v>30</v>
      </c>
      <c r="Q1257" s="10" t="s">
        <v>54</v>
      </c>
      <c r="R1257" s="10" t="s">
        <v>28</v>
      </c>
      <c r="S1257" s="10"/>
      <c r="T1257" s="10"/>
      <c r="U1257" s="10" t="s">
        <v>3095</v>
      </c>
      <c r="V1257" s="10" t="s">
        <v>3095</v>
      </c>
      <c r="W1257" s="50">
        <f>+J1257/$W$2</f>
        <v>4.682776317026287E-5</v>
      </c>
    </row>
    <row r="1258" spans="1:29">
      <c r="A1258" s="10" t="s">
        <v>271</v>
      </c>
      <c r="B1258" s="10" t="s">
        <v>358</v>
      </c>
      <c r="C1258" s="124">
        <v>46357</v>
      </c>
      <c r="D1258" s="124" t="s">
        <v>471</v>
      </c>
      <c r="E1258" s="21">
        <v>0.97359297</v>
      </c>
      <c r="F1258" s="10"/>
      <c r="G1258" s="14">
        <v>25000000</v>
      </c>
      <c r="H1258" s="14">
        <v>24339824.25</v>
      </c>
      <c r="I1258" s="14">
        <v>25000000</v>
      </c>
      <c r="J1258" s="14">
        <v>24339824.25</v>
      </c>
      <c r="K1258" s="12">
        <v>12742281</v>
      </c>
      <c r="L1258" s="10" t="s">
        <v>101</v>
      </c>
      <c r="M1258" s="10" t="s">
        <v>102</v>
      </c>
      <c r="N1258" s="124" t="s">
        <v>310</v>
      </c>
      <c r="O1258" s="124" t="s">
        <v>310</v>
      </c>
      <c r="P1258" s="21">
        <v>30</v>
      </c>
      <c r="Q1258" s="10" t="s">
        <v>54</v>
      </c>
      <c r="R1258" s="10" t="s">
        <v>28</v>
      </c>
      <c r="S1258" s="10"/>
      <c r="T1258" s="10"/>
      <c r="U1258" s="10" t="s">
        <v>1021</v>
      </c>
      <c r="V1258" s="10" t="s">
        <v>1021</v>
      </c>
      <c r="W1258" s="50">
        <f>+J1258/$W$2</f>
        <v>2.978864868345427E-4</v>
      </c>
    </row>
    <row r="1259" spans="1:29">
      <c r="A1259" s="10" t="s">
        <v>271</v>
      </c>
      <c r="B1259" s="10" t="s">
        <v>358</v>
      </c>
      <c r="C1259" s="124">
        <v>46357</v>
      </c>
      <c r="D1259" s="124" t="s">
        <v>471</v>
      </c>
      <c r="E1259" s="21">
        <v>0.97188207000000004</v>
      </c>
      <c r="F1259" s="10"/>
      <c r="G1259" s="14">
        <v>10000000</v>
      </c>
      <c r="H1259" s="14">
        <v>9718820.7300000004</v>
      </c>
      <c r="I1259" s="14">
        <v>10000000</v>
      </c>
      <c r="J1259" s="14">
        <v>9718820.7300000004</v>
      </c>
      <c r="K1259" s="12">
        <v>2200</v>
      </c>
      <c r="L1259" s="10" t="s">
        <v>101</v>
      </c>
      <c r="M1259" s="10" t="s">
        <v>102</v>
      </c>
      <c r="N1259" s="124" t="s">
        <v>486</v>
      </c>
      <c r="O1259" s="124" t="s">
        <v>486</v>
      </c>
      <c r="P1259" s="21">
        <v>32</v>
      </c>
      <c r="Q1259" s="10" t="s">
        <v>54</v>
      </c>
      <c r="R1259" s="10" t="s">
        <v>28</v>
      </c>
      <c r="S1259" s="10"/>
      <c r="T1259" s="10"/>
      <c r="U1259" s="10" t="s">
        <v>1432</v>
      </c>
      <c r="V1259" s="10" t="s">
        <v>1432</v>
      </c>
      <c r="W1259" s="50">
        <f>+J1259/$W$2</f>
        <v>1.18945204110684E-4</v>
      </c>
    </row>
    <row r="1260" spans="1:29">
      <c r="A1260" s="10" t="s">
        <v>271</v>
      </c>
      <c r="B1260" s="10" t="s">
        <v>358</v>
      </c>
      <c r="C1260" s="124">
        <v>46357</v>
      </c>
      <c r="D1260" s="124" t="s">
        <v>471</v>
      </c>
      <c r="E1260" s="21">
        <v>0.97703313000000003</v>
      </c>
      <c r="F1260" s="10"/>
      <c r="G1260" s="14">
        <v>4000000</v>
      </c>
      <c r="H1260" s="14">
        <v>3908132.51</v>
      </c>
      <c r="I1260" s="14">
        <v>4000000</v>
      </c>
      <c r="J1260" s="14">
        <v>3908132.51</v>
      </c>
      <c r="K1260" s="12">
        <v>90002231</v>
      </c>
      <c r="L1260" s="10" t="s">
        <v>101</v>
      </c>
      <c r="M1260" s="10" t="s">
        <v>102</v>
      </c>
      <c r="N1260" s="124" t="s">
        <v>478</v>
      </c>
      <c r="O1260" s="124" t="s">
        <v>478</v>
      </c>
      <c r="P1260" s="21">
        <v>26</v>
      </c>
      <c r="Q1260" s="10" t="s">
        <v>54</v>
      </c>
      <c r="R1260" s="10" t="s">
        <v>28</v>
      </c>
      <c r="S1260" s="10"/>
      <c r="T1260" s="10"/>
      <c r="U1260" s="10" t="s">
        <v>2114</v>
      </c>
      <c r="V1260" s="10" t="s">
        <v>2114</v>
      </c>
      <c r="W1260" s="50">
        <f>+J1260/$W$2</f>
        <v>4.7830249369518898E-5</v>
      </c>
    </row>
    <row r="1261" spans="1:29">
      <c r="A1261" s="10" t="s">
        <v>696</v>
      </c>
      <c r="B1261" s="10" t="s">
        <v>358</v>
      </c>
      <c r="C1261" s="124">
        <v>46357</v>
      </c>
      <c r="D1261" s="124" t="s">
        <v>471</v>
      </c>
      <c r="E1261" s="21">
        <v>0.97102887999999998</v>
      </c>
      <c r="F1261" s="10"/>
      <c r="G1261" s="14">
        <v>70000000</v>
      </c>
      <c r="H1261" s="14">
        <v>67972021.5</v>
      </c>
      <c r="I1261" s="14">
        <v>70000000</v>
      </c>
      <c r="J1261" s="14">
        <v>67972021.5</v>
      </c>
      <c r="K1261" s="12">
        <v>170990</v>
      </c>
      <c r="L1261" s="10" t="s">
        <v>101</v>
      </c>
      <c r="M1261" s="10" t="s">
        <v>102</v>
      </c>
      <c r="N1261" s="124" t="s">
        <v>474</v>
      </c>
      <c r="O1261" s="124" t="s">
        <v>474</v>
      </c>
      <c r="P1261" s="21">
        <v>33</v>
      </c>
      <c r="Q1261" s="10" t="s">
        <v>54</v>
      </c>
      <c r="R1261" s="10" t="s">
        <v>28</v>
      </c>
      <c r="S1261" s="10"/>
      <c r="T1261" s="10"/>
      <c r="U1261" s="10" t="s">
        <v>3879</v>
      </c>
      <c r="V1261" s="10" t="s">
        <v>3879</v>
      </c>
      <c r="W1261" s="50">
        <f>+J1261/$W$2</f>
        <v>8.318854926685432E-4</v>
      </c>
    </row>
    <row r="1262" spans="1:29">
      <c r="A1262" s="10" t="s">
        <v>696</v>
      </c>
      <c r="B1262" s="10" t="s">
        <v>358</v>
      </c>
      <c r="C1262" s="124">
        <v>46357</v>
      </c>
      <c r="D1262" s="124" t="s">
        <v>471</v>
      </c>
      <c r="E1262" s="21">
        <v>0.97102887999999998</v>
      </c>
      <c r="F1262" s="10"/>
      <c r="G1262" s="14">
        <v>5700000</v>
      </c>
      <c r="H1262" s="14">
        <v>5534864.6200000001</v>
      </c>
      <c r="I1262" s="14">
        <v>5700000</v>
      </c>
      <c r="J1262" s="14">
        <v>5534864.6200000001</v>
      </c>
      <c r="K1262" s="12">
        <v>170962</v>
      </c>
      <c r="L1262" s="10" t="s">
        <v>101</v>
      </c>
      <c r="M1262" s="10" t="s">
        <v>102</v>
      </c>
      <c r="N1262" s="124" t="s">
        <v>474</v>
      </c>
      <c r="O1262" s="124" t="s">
        <v>474</v>
      </c>
      <c r="P1262" s="21">
        <v>33</v>
      </c>
      <c r="Q1262" s="10" t="s">
        <v>54</v>
      </c>
      <c r="R1262" s="10" t="s">
        <v>28</v>
      </c>
      <c r="S1262" s="10"/>
      <c r="T1262" s="10"/>
      <c r="U1262" s="10" t="s">
        <v>3880</v>
      </c>
      <c r="V1262" s="10" t="s">
        <v>3880</v>
      </c>
      <c r="W1262" s="50">
        <f>+J1262/$W$2</f>
        <v>6.7739247408764926E-5</v>
      </c>
      <c r="AC1262" s="47"/>
    </row>
    <row r="1263" spans="1:29">
      <c r="A1263" s="10" t="s">
        <v>359</v>
      </c>
      <c r="B1263" s="10" t="s">
        <v>358</v>
      </c>
      <c r="C1263" s="124">
        <v>46357</v>
      </c>
      <c r="D1263" s="124" t="s">
        <v>471</v>
      </c>
      <c r="E1263" s="21">
        <v>0.97188200000000002</v>
      </c>
      <c r="F1263" s="10"/>
      <c r="G1263" s="14">
        <v>3500000</v>
      </c>
      <c r="H1263" s="14">
        <v>3401587</v>
      </c>
      <c r="I1263" s="14">
        <v>3500000</v>
      </c>
      <c r="J1263" s="14">
        <v>3401587</v>
      </c>
      <c r="K1263" s="12">
        <v>1065</v>
      </c>
      <c r="L1263" s="10" t="s">
        <v>101</v>
      </c>
      <c r="M1263" s="10" t="s">
        <v>102</v>
      </c>
      <c r="N1263" s="124" t="s">
        <v>373</v>
      </c>
      <c r="O1263" s="124" t="s">
        <v>373</v>
      </c>
      <c r="P1263" s="21">
        <v>32</v>
      </c>
      <c r="Q1263" s="10" t="s">
        <v>54</v>
      </c>
      <c r="R1263" s="10" t="s">
        <v>28</v>
      </c>
      <c r="S1263" s="10"/>
      <c r="T1263" s="10"/>
      <c r="U1263" s="10" t="s">
        <v>1152</v>
      </c>
      <c r="V1263" s="10" t="s">
        <v>1152</v>
      </c>
      <c r="W1263" s="50">
        <f>+J1263/$W$2</f>
        <v>4.1630818311765408E-5</v>
      </c>
      <c r="AC1263" s="47"/>
    </row>
    <row r="1264" spans="1:29">
      <c r="A1264" s="10" t="s">
        <v>359</v>
      </c>
      <c r="B1264" s="10" t="s">
        <v>358</v>
      </c>
      <c r="C1264" s="124">
        <v>46357</v>
      </c>
      <c r="D1264" s="124" t="s">
        <v>471</v>
      </c>
      <c r="E1264" s="21">
        <v>0.97102880999999996</v>
      </c>
      <c r="F1264" s="10"/>
      <c r="G1264" s="14">
        <v>2500000</v>
      </c>
      <c r="H1264" s="14">
        <v>2427572.0299999998</v>
      </c>
      <c r="I1264" s="14">
        <v>2500000</v>
      </c>
      <c r="J1264" s="14">
        <v>2427572.0299999998</v>
      </c>
      <c r="K1264" s="12">
        <v>1029</v>
      </c>
      <c r="L1264" s="10" t="s">
        <v>101</v>
      </c>
      <c r="M1264" s="10" t="s">
        <v>102</v>
      </c>
      <c r="N1264" s="124" t="s">
        <v>161</v>
      </c>
      <c r="O1264" s="124" t="s">
        <v>312</v>
      </c>
      <c r="P1264" s="21">
        <v>33</v>
      </c>
      <c r="Q1264" s="10" t="s">
        <v>54</v>
      </c>
      <c r="R1264" s="10" t="s">
        <v>28</v>
      </c>
      <c r="S1264" s="10"/>
      <c r="T1264" s="10"/>
      <c r="U1264" s="10" t="s">
        <v>1082</v>
      </c>
      <c r="V1264" s="10" t="s">
        <v>1082</v>
      </c>
      <c r="W1264" s="50">
        <f>+J1264/$W$2</f>
        <v>2.9710194129873352E-5</v>
      </c>
    </row>
    <row r="1265" spans="1:29">
      <c r="A1265" s="10" t="s">
        <v>2486</v>
      </c>
      <c r="B1265" s="10" t="s">
        <v>358</v>
      </c>
      <c r="C1265" s="124">
        <v>46357</v>
      </c>
      <c r="D1265" s="124" t="s">
        <v>471</v>
      </c>
      <c r="E1265" s="21">
        <v>0.97102882999999995</v>
      </c>
      <c r="F1265" s="10"/>
      <c r="G1265" s="14">
        <v>100000000</v>
      </c>
      <c r="H1265" s="14">
        <v>97102883.340000004</v>
      </c>
      <c r="I1265" s="14">
        <v>100000000</v>
      </c>
      <c r="J1265" s="14">
        <v>97102883.340000004</v>
      </c>
      <c r="K1265" s="12">
        <v>20868</v>
      </c>
      <c r="L1265" s="10" t="s">
        <v>101</v>
      </c>
      <c r="M1265" s="10" t="s">
        <v>102</v>
      </c>
      <c r="N1265" s="124" t="s">
        <v>577</v>
      </c>
      <c r="O1265" s="124" t="s">
        <v>577</v>
      </c>
      <c r="P1265" s="21">
        <v>33</v>
      </c>
      <c r="Q1265" s="10" t="s">
        <v>54</v>
      </c>
      <c r="R1265" s="10" t="s">
        <v>28</v>
      </c>
      <c r="S1265" s="10"/>
      <c r="T1265" s="10"/>
      <c r="U1265" s="10" t="s">
        <v>2472</v>
      </c>
      <c r="V1265" s="10" t="s">
        <v>2472</v>
      </c>
      <c r="W1265" s="50">
        <f>+J1265/$W$2</f>
        <v>1.1884077913856361E-3</v>
      </c>
    </row>
    <row r="1266" spans="1:29">
      <c r="A1266" s="10" t="s">
        <v>2486</v>
      </c>
      <c r="B1266" s="10" t="s">
        <v>358</v>
      </c>
      <c r="C1266" s="124">
        <v>46357</v>
      </c>
      <c r="D1266" s="124" t="s">
        <v>471</v>
      </c>
      <c r="E1266" s="21">
        <v>0.97102882999999995</v>
      </c>
      <c r="F1266" s="10"/>
      <c r="G1266" s="14">
        <v>60000000</v>
      </c>
      <c r="H1266" s="14">
        <v>58261730</v>
      </c>
      <c r="I1266" s="14">
        <v>60000000</v>
      </c>
      <c r="J1266" s="14">
        <v>58261730</v>
      </c>
      <c r="K1266" s="12">
        <v>20867</v>
      </c>
      <c r="L1266" s="10" t="s">
        <v>101</v>
      </c>
      <c r="M1266" s="10" t="s">
        <v>102</v>
      </c>
      <c r="N1266" s="124" t="s">
        <v>577</v>
      </c>
      <c r="O1266" s="124" t="s">
        <v>577</v>
      </c>
      <c r="P1266" s="21">
        <v>33</v>
      </c>
      <c r="Q1266" s="10" t="s">
        <v>54</v>
      </c>
      <c r="R1266" s="10" t="s">
        <v>28</v>
      </c>
      <c r="S1266" s="10"/>
      <c r="T1266" s="10"/>
      <c r="U1266" s="10" t="s">
        <v>2473</v>
      </c>
      <c r="V1266" s="10" t="s">
        <v>2473</v>
      </c>
      <c r="W1266" s="50">
        <f>+J1266/$W$2</f>
        <v>7.1304467478242712E-4</v>
      </c>
    </row>
    <row r="1267" spans="1:29">
      <c r="A1267" s="10" t="s">
        <v>2538</v>
      </c>
      <c r="B1267" s="10" t="s">
        <v>358</v>
      </c>
      <c r="C1267" s="124">
        <v>46357</v>
      </c>
      <c r="D1267" s="124" t="s">
        <v>471</v>
      </c>
      <c r="E1267" s="21">
        <v>0.97188211000000002</v>
      </c>
      <c r="F1267" s="10"/>
      <c r="G1267" s="14">
        <v>11145337.859999999</v>
      </c>
      <c r="H1267" s="14">
        <v>10831954.439999999</v>
      </c>
      <c r="I1267" s="14">
        <v>11145337.859999999</v>
      </c>
      <c r="J1267" s="14">
        <v>10831954.439999999</v>
      </c>
      <c r="K1267" s="12">
        <v>16</v>
      </c>
      <c r="L1267" s="10" t="s">
        <v>101</v>
      </c>
      <c r="M1267" s="10" t="s">
        <v>102</v>
      </c>
      <c r="N1267" s="124" t="s">
        <v>452</v>
      </c>
      <c r="O1267" s="124" t="s">
        <v>452</v>
      </c>
      <c r="P1267" s="21">
        <v>32</v>
      </c>
      <c r="Q1267" s="10" t="s">
        <v>54</v>
      </c>
      <c r="R1267" s="10" t="s">
        <v>28</v>
      </c>
      <c r="S1267" s="10"/>
      <c r="T1267" s="10"/>
      <c r="U1267" s="10" t="s">
        <v>2513</v>
      </c>
      <c r="V1267" s="10" t="s">
        <v>2513</v>
      </c>
      <c r="W1267" s="50">
        <f>+J1267/$W$2</f>
        <v>1.3256845326988859E-4</v>
      </c>
      <c r="AC1267" s="47"/>
    </row>
    <row r="1268" spans="1:29">
      <c r="A1268" s="10" t="s">
        <v>2541</v>
      </c>
      <c r="B1268" s="10" t="s">
        <v>358</v>
      </c>
      <c r="C1268" s="124">
        <v>46357</v>
      </c>
      <c r="D1268" s="124" t="s">
        <v>471</v>
      </c>
      <c r="E1268" s="21">
        <v>0.97359306999999995</v>
      </c>
      <c r="F1268" s="10"/>
      <c r="G1268" s="14">
        <v>5910000</v>
      </c>
      <c r="H1268" s="14">
        <v>5753935.04</v>
      </c>
      <c r="I1268" s="14">
        <v>5910000</v>
      </c>
      <c r="J1268" s="14">
        <v>5753935.04</v>
      </c>
      <c r="K1268" s="12">
        <v>1027</v>
      </c>
      <c r="L1268" s="10" t="s">
        <v>101</v>
      </c>
      <c r="M1268" s="10" t="s">
        <v>102</v>
      </c>
      <c r="N1268" s="124" t="s">
        <v>452</v>
      </c>
      <c r="O1268" s="124" t="s">
        <v>452</v>
      </c>
      <c r="P1268" s="21">
        <v>30</v>
      </c>
      <c r="Q1268" s="10" t="s">
        <v>54</v>
      </c>
      <c r="R1268" s="10" t="s">
        <v>28</v>
      </c>
      <c r="S1268" s="10"/>
      <c r="T1268" s="10"/>
      <c r="U1268" s="10" t="s">
        <v>2527</v>
      </c>
      <c r="V1268" s="10" t="s">
        <v>2527</v>
      </c>
      <c r="W1268" s="50">
        <f>+J1268/$W$2</f>
        <v>7.0420372675442555E-5</v>
      </c>
    </row>
    <row r="1269" spans="1:29">
      <c r="A1269" s="10" t="s">
        <v>2016</v>
      </c>
      <c r="B1269" s="10" t="s">
        <v>358</v>
      </c>
      <c r="C1269" s="124">
        <v>46358</v>
      </c>
      <c r="D1269" s="124" t="s">
        <v>471</v>
      </c>
      <c r="E1269" s="21">
        <v>0.97458082999999995</v>
      </c>
      <c r="F1269" s="10"/>
      <c r="G1269" s="14">
        <v>5000000</v>
      </c>
      <c r="H1269" s="14">
        <v>4872904.1500000004</v>
      </c>
      <c r="I1269" s="14">
        <v>5000000</v>
      </c>
      <c r="J1269" s="14">
        <v>4872904.1500000004</v>
      </c>
      <c r="K1269" s="12">
        <v>12</v>
      </c>
      <c r="L1269" s="10" t="s">
        <v>101</v>
      </c>
      <c r="M1269" s="10" t="s">
        <v>102</v>
      </c>
      <c r="N1269" s="124" t="s">
        <v>408</v>
      </c>
      <c r="O1269" s="124" t="s">
        <v>408</v>
      </c>
      <c r="P1269" s="21">
        <v>28</v>
      </c>
      <c r="Q1269" s="10" t="s">
        <v>54</v>
      </c>
      <c r="R1269" s="10" t="s">
        <v>28</v>
      </c>
      <c r="S1269" s="10"/>
      <c r="T1269" s="10"/>
      <c r="U1269" s="10" t="s">
        <v>2069</v>
      </c>
      <c r="V1269" s="10" t="s">
        <v>2069</v>
      </c>
      <c r="W1269" s="50">
        <f>+J1269/$W$2</f>
        <v>5.963774770990648E-5</v>
      </c>
    </row>
    <row r="1270" spans="1:29">
      <c r="A1270" s="10" t="s">
        <v>379</v>
      </c>
      <c r="B1270" s="10" t="s">
        <v>358</v>
      </c>
      <c r="C1270" s="124">
        <v>46358</v>
      </c>
      <c r="D1270" s="124" t="s">
        <v>471</v>
      </c>
      <c r="E1270" s="21">
        <v>0.97458085000000005</v>
      </c>
      <c r="F1270" s="10"/>
      <c r="G1270" s="14">
        <v>13500000</v>
      </c>
      <c r="H1270" s="14">
        <v>13156841.5</v>
      </c>
      <c r="I1270" s="14">
        <v>13500000</v>
      </c>
      <c r="J1270" s="14">
        <v>13156841.5</v>
      </c>
      <c r="K1270" s="12">
        <v>168</v>
      </c>
      <c r="L1270" s="10" t="s">
        <v>101</v>
      </c>
      <c r="M1270" s="10" t="s">
        <v>102</v>
      </c>
      <c r="N1270" s="124" t="s">
        <v>449</v>
      </c>
      <c r="O1270" s="124" t="s">
        <v>449</v>
      </c>
      <c r="P1270" s="21">
        <v>28</v>
      </c>
      <c r="Q1270" s="10" t="s">
        <v>54</v>
      </c>
      <c r="R1270" s="10" t="s">
        <v>28</v>
      </c>
      <c r="S1270" s="10"/>
      <c r="T1270" s="10"/>
      <c r="U1270" s="10" t="s">
        <v>1942</v>
      </c>
      <c r="V1270" s="10" t="s">
        <v>1942</v>
      </c>
      <c r="W1270" s="50">
        <f>+J1270/$W$2</f>
        <v>1.6102192242714797E-4</v>
      </c>
    </row>
    <row r="1271" spans="1:29">
      <c r="A1271" s="10" t="s">
        <v>3603</v>
      </c>
      <c r="B1271" s="10" t="s">
        <v>358</v>
      </c>
      <c r="C1271" s="124">
        <v>46358</v>
      </c>
      <c r="D1271" s="124" t="s">
        <v>471</v>
      </c>
      <c r="E1271" s="21">
        <v>0.97281468000000004</v>
      </c>
      <c r="F1271" s="10"/>
      <c r="G1271" s="14">
        <v>10625155</v>
      </c>
      <c r="H1271" s="14">
        <v>10336306.76</v>
      </c>
      <c r="I1271" s="14">
        <v>10625155</v>
      </c>
      <c r="J1271" s="14">
        <v>10336306.76</v>
      </c>
      <c r="K1271" s="12">
        <v>15817</v>
      </c>
      <c r="L1271" s="10" t="s">
        <v>101</v>
      </c>
      <c r="M1271" s="10" t="s">
        <v>102</v>
      </c>
      <c r="N1271" s="124" t="s">
        <v>466</v>
      </c>
      <c r="O1271" s="124" t="s">
        <v>466</v>
      </c>
      <c r="P1271" s="21">
        <v>30</v>
      </c>
      <c r="Q1271" s="10" t="s">
        <v>54</v>
      </c>
      <c r="R1271" s="10" t="s">
        <v>28</v>
      </c>
      <c r="S1271" s="10"/>
      <c r="T1271" s="10"/>
      <c r="U1271" s="10" t="s">
        <v>3618</v>
      </c>
      <c r="V1271" s="10" t="s">
        <v>3618</v>
      </c>
      <c r="W1271" s="50">
        <f>+J1271/$W$2</f>
        <v>1.2650239689304801E-4</v>
      </c>
      <c r="AC1271" s="47"/>
    </row>
    <row r="1272" spans="1:29">
      <c r="A1272" s="10" t="s">
        <v>1896</v>
      </c>
      <c r="B1272" s="10" t="s">
        <v>358</v>
      </c>
      <c r="C1272" s="124">
        <v>46358</v>
      </c>
      <c r="D1272" s="124" t="s">
        <v>471</v>
      </c>
      <c r="E1272" s="21">
        <v>0.97369702999999996</v>
      </c>
      <c r="F1272" s="10"/>
      <c r="G1272" s="14">
        <v>15200000</v>
      </c>
      <c r="H1272" s="14">
        <v>14800194.93</v>
      </c>
      <c r="I1272" s="14">
        <v>15200000</v>
      </c>
      <c r="J1272" s="14">
        <v>14800194.93</v>
      </c>
      <c r="K1272" s="12">
        <v>544</v>
      </c>
      <c r="L1272" s="10" t="s">
        <v>101</v>
      </c>
      <c r="M1272" s="10" t="s">
        <v>102</v>
      </c>
      <c r="N1272" s="124" t="s">
        <v>471</v>
      </c>
      <c r="O1272" s="124" t="s">
        <v>471</v>
      </c>
      <c r="P1272" s="21">
        <v>29</v>
      </c>
      <c r="Q1272" s="10" t="s">
        <v>54</v>
      </c>
      <c r="R1272" s="10" t="s">
        <v>28</v>
      </c>
      <c r="S1272" s="10"/>
      <c r="T1272" s="10"/>
      <c r="U1272" s="10" t="s">
        <v>4085</v>
      </c>
      <c r="V1272" s="10" t="s">
        <v>4085</v>
      </c>
      <c r="W1272" s="50">
        <f>+J1272/$W$2</f>
        <v>1.8113434291392268E-4</v>
      </c>
    </row>
    <row r="1273" spans="1:29">
      <c r="A1273" s="10" t="s">
        <v>2213</v>
      </c>
      <c r="B1273" s="10" t="s">
        <v>358</v>
      </c>
      <c r="C1273" s="124">
        <v>46358</v>
      </c>
      <c r="D1273" s="124" t="s">
        <v>471</v>
      </c>
      <c r="E1273" s="21">
        <v>0.97017710999999995</v>
      </c>
      <c r="F1273" s="10"/>
      <c r="G1273" s="14">
        <v>16643128.32</v>
      </c>
      <c r="H1273" s="14">
        <v>16146782.060000001</v>
      </c>
      <c r="I1273" s="14">
        <v>16643128.32</v>
      </c>
      <c r="J1273" s="14">
        <v>16146782.060000001</v>
      </c>
      <c r="K1273" s="12">
        <v>70406277</v>
      </c>
      <c r="L1273" s="10" t="s">
        <v>101</v>
      </c>
      <c r="M1273" s="10" t="s">
        <v>102</v>
      </c>
      <c r="N1273" s="124" t="s">
        <v>478</v>
      </c>
      <c r="O1273" s="124" t="s">
        <v>478</v>
      </c>
      <c r="P1273" s="21">
        <v>33</v>
      </c>
      <c r="Q1273" s="10" t="s">
        <v>54</v>
      </c>
      <c r="R1273" s="10" t="s">
        <v>28</v>
      </c>
      <c r="S1273" s="10"/>
      <c r="T1273" s="10"/>
      <c r="U1273" s="10" t="s">
        <v>2188</v>
      </c>
      <c r="V1273" s="10" t="s">
        <v>2188</v>
      </c>
      <c r="W1273" s="50">
        <f>+J1273/$W$2</f>
        <v>1.9761474578175808E-4</v>
      </c>
    </row>
    <row r="1274" spans="1:29">
      <c r="A1274" s="10" t="s">
        <v>2216</v>
      </c>
      <c r="B1274" s="10" t="s">
        <v>358</v>
      </c>
      <c r="C1274" s="124">
        <v>46358</v>
      </c>
      <c r="D1274" s="124" t="s">
        <v>471</v>
      </c>
      <c r="E1274" s="21">
        <v>0.97017710999999995</v>
      </c>
      <c r="F1274" s="10"/>
      <c r="G1274" s="14">
        <v>27362969</v>
      </c>
      <c r="H1274" s="14">
        <v>26546926.07</v>
      </c>
      <c r="I1274" s="14">
        <v>27362969</v>
      </c>
      <c r="J1274" s="14">
        <v>26546926.07</v>
      </c>
      <c r="K1274" s="12">
        <v>90004137</v>
      </c>
      <c r="L1274" s="10" t="s">
        <v>101</v>
      </c>
      <c r="M1274" s="10" t="s">
        <v>102</v>
      </c>
      <c r="N1274" s="124" t="s">
        <v>478</v>
      </c>
      <c r="O1274" s="124" t="s">
        <v>478</v>
      </c>
      <c r="P1274" s="21">
        <v>33</v>
      </c>
      <c r="Q1274" s="10" t="s">
        <v>54</v>
      </c>
      <c r="R1274" s="10" t="s">
        <v>28</v>
      </c>
      <c r="S1274" s="10"/>
      <c r="T1274" s="10"/>
      <c r="U1274" s="10" t="s">
        <v>2192</v>
      </c>
      <c r="V1274" s="10" t="s">
        <v>2192</v>
      </c>
      <c r="W1274" s="50">
        <f>+J1274/$W$2</f>
        <v>3.2489842416379134E-4</v>
      </c>
    </row>
    <row r="1275" spans="1:29">
      <c r="A1275" s="10" t="s">
        <v>2217</v>
      </c>
      <c r="B1275" s="10" t="s">
        <v>358</v>
      </c>
      <c r="C1275" s="124">
        <v>46358</v>
      </c>
      <c r="D1275" s="124" t="s">
        <v>471</v>
      </c>
      <c r="E1275" s="21">
        <v>0.97017708000000002</v>
      </c>
      <c r="F1275" s="10"/>
      <c r="G1275" s="14">
        <v>526947.42000000004</v>
      </c>
      <c r="H1275" s="14">
        <v>511232.31</v>
      </c>
      <c r="I1275" s="14">
        <v>526947.42000000004</v>
      </c>
      <c r="J1275" s="14">
        <v>511232.31</v>
      </c>
      <c r="K1275" s="12">
        <v>352926</v>
      </c>
      <c r="L1275" s="10" t="s">
        <v>101</v>
      </c>
      <c r="M1275" s="10" t="s">
        <v>102</v>
      </c>
      <c r="N1275" s="124" t="s">
        <v>478</v>
      </c>
      <c r="O1275" s="124" t="s">
        <v>478</v>
      </c>
      <c r="P1275" s="21">
        <v>33</v>
      </c>
      <c r="Q1275" s="10" t="s">
        <v>54</v>
      </c>
      <c r="R1275" s="10" t="s">
        <v>28</v>
      </c>
      <c r="S1275" s="10"/>
      <c r="T1275" s="10"/>
      <c r="U1275" s="10" t="s">
        <v>2195</v>
      </c>
      <c r="V1275" s="10" t="s">
        <v>2195</v>
      </c>
      <c r="W1275" s="50">
        <f>+J1275/$W$2</f>
        <v>6.2567911426972549E-6</v>
      </c>
    </row>
    <row r="1276" spans="1:29">
      <c r="A1276" s="10" t="s">
        <v>2313</v>
      </c>
      <c r="B1276" s="10" t="s">
        <v>358</v>
      </c>
      <c r="C1276" s="124">
        <v>46358</v>
      </c>
      <c r="D1276" s="124" t="s">
        <v>471</v>
      </c>
      <c r="E1276" s="21">
        <v>0.97105470999999999</v>
      </c>
      <c r="F1276" s="10"/>
      <c r="G1276" s="14">
        <v>50000000</v>
      </c>
      <c r="H1276" s="14">
        <v>48552735.609999999</v>
      </c>
      <c r="I1276" s="14">
        <v>50000000</v>
      </c>
      <c r="J1276" s="14">
        <v>48552735.609999999</v>
      </c>
      <c r="K1276" s="12">
        <v>4630</v>
      </c>
      <c r="L1276" s="10" t="s">
        <v>101</v>
      </c>
      <c r="M1276" s="10" t="s">
        <v>102</v>
      </c>
      <c r="N1276" s="124" t="s">
        <v>439</v>
      </c>
      <c r="O1276" s="124" t="s">
        <v>439</v>
      </c>
      <c r="P1276" s="21">
        <v>32</v>
      </c>
      <c r="Q1276" s="10" t="s">
        <v>54</v>
      </c>
      <c r="R1276" s="10" t="s">
        <v>28</v>
      </c>
      <c r="S1276" s="10"/>
      <c r="T1276" s="10"/>
      <c r="U1276" s="10" t="s">
        <v>2253</v>
      </c>
      <c r="V1276" s="10" t="s">
        <v>2253</v>
      </c>
      <c r="W1276" s="50">
        <f>+J1276/$W$2</f>
        <v>5.9421973176611157E-4</v>
      </c>
      <c r="AC1276" s="47"/>
    </row>
    <row r="1277" spans="1:29">
      <c r="A1277" s="10" t="s">
        <v>2317</v>
      </c>
      <c r="B1277" s="10" t="s">
        <v>358</v>
      </c>
      <c r="C1277" s="124">
        <v>46358</v>
      </c>
      <c r="D1277" s="124" t="s">
        <v>471</v>
      </c>
      <c r="E1277" s="21">
        <v>0.97193386000000004</v>
      </c>
      <c r="F1277" s="10"/>
      <c r="G1277" s="14">
        <v>1112906.01</v>
      </c>
      <c r="H1277" s="14">
        <v>1081671.04</v>
      </c>
      <c r="I1277" s="14">
        <v>1112906.01</v>
      </c>
      <c r="J1277" s="14">
        <v>1081671.04</v>
      </c>
      <c r="K1277" s="12">
        <v>876</v>
      </c>
      <c r="L1277" s="10" t="s">
        <v>101</v>
      </c>
      <c r="M1277" s="10" t="s">
        <v>102</v>
      </c>
      <c r="N1277" s="124" t="s">
        <v>439</v>
      </c>
      <c r="O1277" s="124" t="s">
        <v>439</v>
      </c>
      <c r="P1277" s="21">
        <v>31</v>
      </c>
      <c r="Q1277" s="10" t="s">
        <v>54</v>
      </c>
      <c r="R1277" s="10" t="s">
        <v>28</v>
      </c>
      <c r="S1277" s="10"/>
      <c r="T1277" s="10"/>
      <c r="U1277" s="10" t="s">
        <v>2258</v>
      </c>
      <c r="V1277" s="10" t="s">
        <v>2258</v>
      </c>
      <c r="W1277" s="50">
        <f>+J1277/$W$2</f>
        <v>1.3238188686439104E-5</v>
      </c>
    </row>
    <row r="1278" spans="1:29">
      <c r="A1278" s="10" t="s">
        <v>443</v>
      </c>
      <c r="B1278" s="10" t="s">
        <v>358</v>
      </c>
      <c r="C1278" s="124">
        <v>46358</v>
      </c>
      <c r="D1278" s="124" t="s">
        <v>471</v>
      </c>
      <c r="E1278" s="21">
        <v>0.97458082000000001</v>
      </c>
      <c r="F1278" s="10"/>
      <c r="G1278" s="14">
        <v>8000000</v>
      </c>
      <c r="H1278" s="14">
        <v>7796646.5199999996</v>
      </c>
      <c r="I1278" s="14">
        <v>8000000</v>
      </c>
      <c r="J1278" s="14">
        <v>7796646.5199999996</v>
      </c>
      <c r="K1278" s="12">
        <v>6494</v>
      </c>
      <c r="L1278" s="10" t="s">
        <v>101</v>
      </c>
      <c r="M1278" s="10" t="s">
        <v>102</v>
      </c>
      <c r="N1278" s="124" t="s">
        <v>397</v>
      </c>
      <c r="O1278" s="124" t="s">
        <v>397</v>
      </c>
      <c r="P1278" s="21">
        <v>28</v>
      </c>
      <c r="Q1278" s="10" t="s">
        <v>54</v>
      </c>
      <c r="R1278" s="10" t="s">
        <v>28</v>
      </c>
      <c r="S1278" s="10"/>
      <c r="T1278" s="10"/>
      <c r="U1278" s="10" t="s">
        <v>1847</v>
      </c>
      <c r="V1278" s="10" t="s">
        <v>1847</v>
      </c>
      <c r="W1278" s="50">
        <f>+J1278/$W$2</f>
        <v>9.5420394867212866E-5</v>
      </c>
    </row>
    <row r="1279" spans="1:29">
      <c r="A1279" s="10" t="s">
        <v>443</v>
      </c>
      <c r="B1279" s="10" t="s">
        <v>358</v>
      </c>
      <c r="C1279" s="124">
        <v>46358</v>
      </c>
      <c r="D1279" s="124" t="s">
        <v>471</v>
      </c>
      <c r="E1279" s="21">
        <v>0.97458082000000001</v>
      </c>
      <c r="F1279" s="10"/>
      <c r="G1279" s="14">
        <v>30000000</v>
      </c>
      <c r="H1279" s="14">
        <v>29237424.73</v>
      </c>
      <c r="I1279" s="14">
        <v>30000000</v>
      </c>
      <c r="J1279" s="14">
        <v>29237424.73</v>
      </c>
      <c r="K1279" s="12">
        <v>29600860</v>
      </c>
      <c r="L1279" s="10" t="s">
        <v>101</v>
      </c>
      <c r="M1279" s="10" t="s">
        <v>102</v>
      </c>
      <c r="N1279" s="124" t="s">
        <v>370</v>
      </c>
      <c r="O1279" s="124" t="s">
        <v>370</v>
      </c>
      <c r="P1279" s="21">
        <v>28</v>
      </c>
      <c r="Q1279" s="10" t="s">
        <v>54</v>
      </c>
      <c r="R1279" s="10" t="s">
        <v>28</v>
      </c>
      <c r="S1279" s="10"/>
      <c r="T1279" s="10"/>
      <c r="U1279" s="10" t="s">
        <v>666</v>
      </c>
      <c r="V1279" s="10" t="s">
        <v>666</v>
      </c>
      <c r="W1279" s="50">
        <f>+J1279/$W$2</f>
        <v>3.5782648417886909E-4</v>
      </c>
    </row>
    <row r="1280" spans="1:29">
      <c r="A1280" s="10" t="s">
        <v>443</v>
      </c>
      <c r="B1280" s="10" t="s">
        <v>358</v>
      </c>
      <c r="C1280" s="124">
        <v>46358</v>
      </c>
      <c r="D1280" s="124" t="s">
        <v>471</v>
      </c>
      <c r="E1280" s="21">
        <v>0.97458089999999997</v>
      </c>
      <c r="F1280" s="10"/>
      <c r="G1280" s="14">
        <v>32500000</v>
      </c>
      <c r="H1280" s="14">
        <v>31673879.34</v>
      </c>
      <c r="I1280" s="14">
        <v>32500000</v>
      </c>
      <c r="J1280" s="14">
        <v>31673879.34</v>
      </c>
      <c r="K1280" s="12">
        <v>1367872</v>
      </c>
      <c r="L1280" s="10" t="s">
        <v>101</v>
      </c>
      <c r="M1280" s="10" t="s">
        <v>102</v>
      </c>
      <c r="N1280" s="124" t="s">
        <v>439</v>
      </c>
      <c r="O1280" s="124" t="s">
        <v>439</v>
      </c>
      <c r="P1280" s="21">
        <v>28</v>
      </c>
      <c r="Q1280" s="10" t="s">
        <v>54</v>
      </c>
      <c r="R1280" s="10" t="s">
        <v>28</v>
      </c>
      <c r="S1280" s="10"/>
      <c r="T1280" s="10"/>
      <c r="U1280" s="10" t="s">
        <v>2236</v>
      </c>
      <c r="V1280" s="10" t="s">
        <v>2236</v>
      </c>
      <c r="W1280" s="50">
        <f>+J1280/$W$2</f>
        <v>3.876453890587893E-4</v>
      </c>
    </row>
    <row r="1281" spans="1:29">
      <c r="A1281" s="10" t="s">
        <v>443</v>
      </c>
      <c r="B1281" s="10" t="s">
        <v>358</v>
      </c>
      <c r="C1281" s="124">
        <v>46358</v>
      </c>
      <c r="D1281" s="124" t="s">
        <v>471</v>
      </c>
      <c r="E1281" s="21">
        <v>0.97546641000000001</v>
      </c>
      <c r="F1281" s="10"/>
      <c r="G1281" s="14">
        <v>5000000</v>
      </c>
      <c r="H1281" s="14">
        <v>4877332.03</v>
      </c>
      <c r="I1281" s="14">
        <v>5000000</v>
      </c>
      <c r="J1281" s="14">
        <v>4877332.03</v>
      </c>
      <c r="K1281" s="12">
        <v>40740206</v>
      </c>
      <c r="L1281" s="10" t="s">
        <v>101</v>
      </c>
      <c r="M1281" s="10" t="s">
        <v>102</v>
      </c>
      <c r="N1281" s="124" t="s">
        <v>449</v>
      </c>
      <c r="O1281" s="124" t="s">
        <v>449</v>
      </c>
      <c r="P1281" s="21">
        <v>27</v>
      </c>
      <c r="Q1281" s="10" t="s">
        <v>54</v>
      </c>
      <c r="R1281" s="10" t="s">
        <v>28</v>
      </c>
      <c r="S1281" s="10"/>
      <c r="T1281" s="10"/>
      <c r="U1281" s="10" t="s">
        <v>2008</v>
      </c>
      <c r="V1281" s="10" t="s">
        <v>2008</v>
      </c>
      <c r="W1281" s="50">
        <f>+J1281/$W$2</f>
        <v>5.969193896469029E-5</v>
      </c>
    </row>
    <row r="1282" spans="1:29">
      <c r="A1282" s="10" t="s">
        <v>443</v>
      </c>
      <c r="B1282" s="10" t="s">
        <v>358</v>
      </c>
      <c r="C1282" s="124">
        <v>46358</v>
      </c>
      <c r="D1282" s="124" t="s">
        <v>471</v>
      </c>
      <c r="E1282" s="21">
        <v>0.97546641000000001</v>
      </c>
      <c r="F1282" s="10"/>
      <c r="G1282" s="14">
        <v>5000000</v>
      </c>
      <c r="H1282" s="14">
        <v>4877332.03</v>
      </c>
      <c r="I1282" s="14">
        <v>5000000</v>
      </c>
      <c r="J1282" s="14">
        <v>4877332.03</v>
      </c>
      <c r="K1282" s="12">
        <v>40740207</v>
      </c>
      <c r="L1282" s="10" t="s">
        <v>101</v>
      </c>
      <c r="M1282" s="10" t="s">
        <v>102</v>
      </c>
      <c r="N1282" s="124" t="s">
        <v>449</v>
      </c>
      <c r="O1282" s="124" t="s">
        <v>449</v>
      </c>
      <c r="P1282" s="21">
        <v>27</v>
      </c>
      <c r="Q1282" s="10" t="s">
        <v>54</v>
      </c>
      <c r="R1282" s="10" t="s">
        <v>28</v>
      </c>
      <c r="S1282" s="10"/>
      <c r="T1282" s="10"/>
      <c r="U1282" s="10" t="s">
        <v>2009</v>
      </c>
      <c r="V1282" s="10" t="s">
        <v>2009</v>
      </c>
      <c r="W1282" s="50">
        <f>+J1282/$W$2</f>
        <v>5.969193896469029E-5</v>
      </c>
    </row>
    <row r="1283" spans="1:29">
      <c r="A1283" s="10" t="s">
        <v>401</v>
      </c>
      <c r="B1283" s="10" t="s">
        <v>358</v>
      </c>
      <c r="C1283" s="124">
        <v>46358</v>
      </c>
      <c r="D1283" s="124" t="s">
        <v>471</v>
      </c>
      <c r="E1283" s="21">
        <v>0.97458085000000005</v>
      </c>
      <c r="F1283" s="10"/>
      <c r="G1283" s="14">
        <v>5000000</v>
      </c>
      <c r="H1283" s="14">
        <v>4872904.25</v>
      </c>
      <c r="I1283" s="14">
        <v>5000000</v>
      </c>
      <c r="J1283" s="14">
        <v>4872904.25</v>
      </c>
      <c r="K1283" s="12">
        <v>14315891</v>
      </c>
      <c r="L1283" s="10" t="s">
        <v>101</v>
      </c>
      <c r="M1283" s="10" t="s">
        <v>102</v>
      </c>
      <c r="N1283" s="124" t="s">
        <v>449</v>
      </c>
      <c r="O1283" s="124" t="s">
        <v>449</v>
      </c>
      <c r="P1283" s="21">
        <v>28</v>
      </c>
      <c r="Q1283" s="10" t="s">
        <v>54</v>
      </c>
      <c r="R1283" s="10" t="s">
        <v>28</v>
      </c>
      <c r="S1283" s="10"/>
      <c r="T1283" s="10"/>
      <c r="U1283" s="10" t="s">
        <v>1901</v>
      </c>
      <c r="V1283" s="10" t="s">
        <v>1901</v>
      </c>
      <c r="W1283" s="50">
        <f>+J1283/$W$2</f>
        <v>5.963774893377105E-5</v>
      </c>
    </row>
    <row r="1284" spans="1:29">
      <c r="A1284" s="10" t="s">
        <v>1486</v>
      </c>
      <c r="B1284" s="10" t="s">
        <v>358</v>
      </c>
      <c r="C1284" s="124">
        <v>46358</v>
      </c>
      <c r="D1284" s="124" t="s">
        <v>471</v>
      </c>
      <c r="E1284" s="21">
        <v>0.97193381000000001</v>
      </c>
      <c r="F1284" s="10"/>
      <c r="G1284" s="14">
        <v>5000000</v>
      </c>
      <c r="H1284" s="14">
        <v>4859669.03</v>
      </c>
      <c r="I1284" s="14">
        <v>5000000</v>
      </c>
      <c r="J1284" s="14">
        <v>4859669.03</v>
      </c>
      <c r="K1284" s="12">
        <v>90000450</v>
      </c>
      <c r="L1284" s="10" t="s">
        <v>101</v>
      </c>
      <c r="M1284" s="10" t="s">
        <v>102</v>
      </c>
      <c r="N1284" s="124" t="s">
        <v>486</v>
      </c>
      <c r="O1284" s="124" t="s">
        <v>486</v>
      </c>
      <c r="P1284" s="21">
        <v>31</v>
      </c>
      <c r="Q1284" s="10" t="s">
        <v>54</v>
      </c>
      <c r="R1284" s="10" t="s">
        <v>28</v>
      </c>
      <c r="S1284" s="10"/>
      <c r="T1284" s="10"/>
      <c r="U1284" s="10" t="s">
        <v>1453</v>
      </c>
      <c r="V1284" s="10" t="s">
        <v>1453</v>
      </c>
      <c r="W1284" s="50">
        <f>+J1284/$W$2</f>
        <v>5.9475767764647277E-5</v>
      </c>
    </row>
    <row r="1285" spans="1:29">
      <c r="A1285" s="10" t="s">
        <v>1600</v>
      </c>
      <c r="B1285" s="10" t="s">
        <v>358</v>
      </c>
      <c r="C1285" s="124">
        <v>46358</v>
      </c>
      <c r="D1285" s="124" t="s">
        <v>471</v>
      </c>
      <c r="E1285" s="21">
        <v>0.97017708999999996</v>
      </c>
      <c r="F1285" s="10"/>
      <c r="G1285" s="14">
        <v>5000000</v>
      </c>
      <c r="H1285" s="14">
        <v>4850885.46</v>
      </c>
      <c r="I1285" s="14">
        <v>5000000</v>
      </c>
      <c r="J1285" s="14">
        <v>4850885.46</v>
      </c>
      <c r="K1285" s="12">
        <v>2874</v>
      </c>
      <c r="L1285" s="10" t="s">
        <v>101</v>
      </c>
      <c r="M1285" s="10" t="s">
        <v>102</v>
      </c>
      <c r="N1285" s="124" t="s">
        <v>487</v>
      </c>
      <c r="O1285" s="124" t="s">
        <v>487</v>
      </c>
      <c r="P1285" s="21">
        <v>33</v>
      </c>
      <c r="Q1285" s="10" t="s">
        <v>54</v>
      </c>
      <c r="R1285" s="10" t="s">
        <v>28</v>
      </c>
      <c r="S1285" s="10"/>
      <c r="T1285" s="10"/>
      <c r="U1285" s="10" t="s">
        <v>1558</v>
      </c>
      <c r="V1285" s="10" t="s">
        <v>1558</v>
      </c>
      <c r="W1285" s="50">
        <f>+J1285/$W$2</f>
        <v>5.9368268762917003E-5</v>
      </c>
    </row>
    <row r="1286" spans="1:29">
      <c r="A1286" s="10" t="s">
        <v>1606</v>
      </c>
      <c r="B1286" s="10" t="s">
        <v>358</v>
      </c>
      <c r="C1286" s="124">
        <v>46358</v>
      </c>
      <c r="D1286" s="124" t="s">
        <v>471</v>
      </c>
      <c r="E1286" s="21">
        <v>0.97281455999999999</v>
      </c>
      <c r="F1286" s="10"/>
      <c r="G1286" s="14">
        <v>1852533.42</v>
      </c>
      <c r="H1286" s="14">
        <v>1802171.48</v>
      </c>
      <c r="I1286" s="14">
        <v>1852533.42</v>
      </c>
      <c r="J1286" s="14">
        <v>1802171.48</v>
      </c>
      <c r="K1286" s="12">
        <v>20521667</v>
      </c>
      <c r="L1286" s="10" t="s">
        <v>101</v>
      </c>
      <c r="M1286" s="10" t="s">
        <v>102</v>
      </c>
      <c r="N1286" s="124" t="s">
        <v>487</v>
      </c>
      <c r="O1286" s="124" t="s">
        <v>487</v>
      </c>
      <c r="P1286" s="21">
        <v>30</v>
      </c>
      <c r="Q1286" s="10" t="s">
        <v>54</v>
      </c>
      <c r="R1286" s="10" t="s">
        <v>28</v>
      </c>
      <c r="S1286" s="10"/>
      <c r="T1286" s="10"/>
      <c r="U1286" s="10" t="s">
        <v>1595</v>
      </c>
      <c r="V1286" s="10" t="s">
        <v>1595</v>
      </c>
      <c r="W1286" s="50">
        <f>+J1286/$W$2</f>
        <v>2.2056138340875997E-5</v>
      </c>
      <c r="AC1286" s="47"/>
    </row>
    <row r="1287" spans="1:29">
      <c r="A1287" s="10" t="s">
        <v>1636</v>
      </c>
      <c r="B1287" s="10" t="s">
        <v>358</v>
      </c>
      <c r="C1287" s="124">
        <v>46358</v>
      </c>
      <c r="D1287" s="124" t="s">
        <v>471</v>
      </c>
      <c r="E1287" s="21">
        <v>0.97017706999999997</v>
      </c>
      <c r="F1287" s="10"/>
      <c r="G1287" s="14">
        <v>4883046.87</v>
      </c>
      <c r="H1287" s="14">
        <v>4737420.12</v>
      </c>
      <c r="I1287" s="14">
        <v>4883046.87</v>
      </c>
      <c r="J1287" s="14">
        <v>4737420.12</v>
      </c>
      <c r="K1287" s="12">
        <v>90001644</v>
      </c>
      <c r="L1287" s="10" t="s">
        <v>101</v>
      </c>
      <c r="M1287" s="10" t="s">
        <v>102</v>
      </c>
      <c r="N1287" s="124" t="s">
        <v>447</v>
      </c>
      <c r="O1287" s="124" t="s">
        <v>447</v>
      </c>
      <c r="P1287" s="21">
        <v>33</v>
      </c>
      <c r="Q1287" s="10" t="s">
        <v>54</v>
      </c>
      <c r="R1287" s="10" t="s">
        <v>28</v>
      </c>
      <c r="S1287" s="10"/>
      <c r="T1287" s="10"/>
      <c r="U1287" s="10" t="s">
        <v>1625</v>
      </c>
      <c r="V1287" s="10" t="s">
        <v>1625</v>
      </c>
      <c r="W1287" s="50">
        <f>+J1287/$W$2</f>
        <v>5.7979606660720975E-5</v>
      </c>
    </row>
    <row r="1288" spans="1:29">
      <c r="A1288" s="10" t="s">
        <v>1636</v>
      </c>
      <c r="B1288" s="10" t="s">
        <v>358</v>
      </c>
      <c r="C1288" s="124">
        <v>46358</v>
      </c>
      <c r="D1288" s="124" t="s">
        <v>471</v>
      </c>
      <c r="E1288" s="21">
        <v>0.97017703</v>
      </c>
      <c r="F1288" s="10"/>
      <c r="G1288" s="14">
        <v>11255045.75</v>
      </c>
      <c r="H1288" s="14">
        <v>10919386.82</v>
      </c>
      <c r="I1288" s="14">
        <v>11255045.75</v>
      </c>
      <c r="J1288" s="14">
        <v>10919386.82</v>
      </c>
      <c r="K1288" s="12">
        <v>90001624</v>
      </c>
      <c r="L1288" s="10" t="s">
        <v>101</v>
      </c>
      <c r="M1288" s="10" t="s">
        <v>102</v>
      </c>
      <c r="N1288" s="124" t="s">
        <v>603</v>
      </c>
      <c r="O1288" s="124" t="s">
        <v>603</v>
      </c>
      <c r="P1288" s="21">
        <v>33</v>
      </c>
      <c r="Q1288" s="10" t="s">
        <v>54</v>
      </c>
      <c r="R1288" s="10" t="s">
        <v>28</v>
      </c>
      <c r="S1288" s="10"/>
      <c r="T1288" s="10"/>
      <c r="U1288" s="10" t="s">
        <v>2606</v>
      </c>
      <c r="V1288" s="10" t="s">
        <v>2606</v>
      </c>
      <c r="W1288" s="50">
        <f>+J1288/$W$2</f>
        <v>1.3363850719658377E-4</v>
      </c>
    </row>
    <row r="1289" spans="1:29">
      <c r="A1289" s="10" t="s">
        <v>1752</v>
      </c>
      <c r="B1289" s="10" t="s">
        <v>358</v>
      </c>
      <c r="C1289" s="124">
        <v>46358</v>
      </c>
      <c r="D1289" s="124" t="s">
        <v>471</v>
      </c>
      <c r="E1289" s="21">
        <v>0.97105467999999995</v>
      </c>
      <c r="F1289" s="10"/>
      <c r="G1289" s="14">
        <v>851519.2</v>
      </c>
      <c r="H1289" s="14">
        <v>826871.7</v>
      </c>
      <c r="I1289" s="14">
        <v>851519.2</v>
      </c>
      <c r="J1289" s="14">
        <v>826871.7</v>
      </c>
      <c r="K1289" s="12">
        <v>2000</v>
      </c>
      <c r="L1289" s="10" t="s">
        <v>101</v>
      </c>
      <c r="M1289" s="10" t="s">
        <v>102</v>
      </c>
      <c r="N1289" s="124" t="s">
        <v>398</v>
      </c>
      <c r="O1289" s="124" t="s">
        <v>398</v>
      </c>
      <c r="P1289" s="21">
        <v>32</v>
      </c>
      <c r="Q1289" s="10" t="s">
        <v>54</v>
      </c>
      <c r="R1289" s="10" t="s">
        <v>28</v>
      </c>
      <c r="S1289" s="10"/>
      <c r="T1289" s="10"/>
      <c r="U1289" s="10" t="s">
        <v>1700</v>
      </c>
      <c r="V1289" s="10" t="s">
        <v>1700</v>
      </c>
      <c r="W1289" s="50">
        <f>+J1289/$W$2</f>
        <v>1.0119789824526195E-5</v>
      </c>
    </row>
    <row r="1290" spans="1:29">
      <c r="A1290" s="10" t="s">
        <v>2758</v>
      </c>
      <c r="B1290" s="10" t="s">
        <v>358</v>
      </c>
      <c r="C1290" s="124">
        <v>46358</v>
      </c>
      <c r="D1290" s="124" t="s">
        <v>471</v>
      </c>
      <c r="E1290" s="21">
        <v>0.97458096000000005</v>
      </c>
      <c r="F1290" s="10"/>
      <c r="G1290" s="14">
        <v>664189</v>
      </c>
      <c r="H1290" s="14">
        <v>647305.94999999995</v>
      </c>
      <c r="I1290" s="14">
        <v>664189</v>
      </c>
      <c r="J1290" s="14">
        <v>647305.94999999995</v>
      </c>
      <c r="K1290" s="12">
        <v>103</v>
      </c>
      <c r="L1290" s="10" t="s">
        <v>101</v>
      </c>
      <c r="M1290" s="10" t="s">
        <v>102</v>
      </c>
      <c r="N1290" s="124" t="s">
        <v>411</v>
      </c>
      <c r="O1290" s="124" t="s">
        <v>411</v>
      </c>
      <c r="P1290" s="21">
        <v>28</v>
      </c>
      <c r="Q1290" s="10" t="s">
        <v>54</v>
      </c>
      <c r="R1290" s="10" t="s">
        <v>28</v>
      </c>
      <c r="S1290" s="10"/>
      <c r="T1290" s="10"/>
      <c r="U1290" s="10" t="s">
        <v>2934</v>
      </c>
      <c r="V1290" s="10" t="s">
        <v>2934</v>
      </c>
      <c r="W1290" s="50">
        <f>+J1290/$W$2</f>
        <v>7.9221482198087831E-6</v>
      </c>
    </row>
    <row r="1291" spans="1:29">
      <c r="A1291" s="10" t="s">
        <v>2758</v>
      </c>
      <c r="B1291" s="10" t="s">
        <v>358</v>
      </c>
      <c r="C1291" s="124">
        <v>46358</v>
      </c>
      <c r="D1291" s="124" t="s">
        <v>471</v>
      </c>
      <c r="E1291" s="21">
        <v>0.97458093000000001</v>
      </c>
      <c r="F1291" s="10"/>
      <c r="G1291" s="14">
        <v>502361</v>
      </c>
      <c r="H1291" s="14">
        <v>489591.45</v>
      </c>
      <c r="I1291" s="14">
        <v>502361</v>
      </c>
      <c r="J1291" s="14">
        <v>489591.45</v>
      </c>
      <c r="K1291" s="12">
        <v>739</v>
      </c>
      <c r="L1291" s="10" t="s">
        <v>101</v>
      </c>
      <c r="M1291" s="10" t="s">
        <v>102</v>
      </c>
      <c r="N1291" s="124" t="s">
        <v>411</v>
      </c>
      <c r="O1291" s="124" t="s">
        <v>411</v>
      </c>
      <c r="P1291" s="21">
        <v>28</v>
      </c>
      <c r="Q1291" s="10" t="s">
        <v>54</v>
      </c>
      <c r="R1291" s="10" t="s">
        <v>28</v>
      </c>
      <c r="S1291" s="10"/>
      <c r="T1291" s="10"/>
      <c r="U1291" s="10" t="s">
        <v>2936</v>
      </c>
      <c r="V1291" s="10" t="s">
        <v>2936</v>
      </c>
      <c r="W1291" s="50">
        <f>+J1291/$W$2</f>
        <v>5.9919363232349423E-6</v>
      </c>
    </row>
    <row r="1292" spans="1:29">
      <c r="A1292" s="10" t="s">
        <v>2758</v>
      </c>
      <c r="B1292" s="10" t="s">
        <v>358</v>
      </c>
      <c r="C1292" s="124">
        <v>46358</v>
      </c>
      <c r="D1292" s="124" t="s">
        <v>471</v>
      </c>
      <c r="E1292" s="21">
        <v>0.97458093999999995</v>
      </c>
      <c r="F1292" s="10"/>
      <c r="G1292" s="14">
        <v>500915.11</v>
      </c>
      <c r="H1292" s="14">
        <v>488182.32</v>
      </c>
      <c r="I1292" s="14">
        <v>500915.11</v>
      </c>
      <c r="J1292" s="14">
        <v>488182.32</v>
      </c>
      <c r="K1292" s="12">
        <v>807</v>
      </c>
      <c r="L1292" s="10" t="s">
        <v>101</v>
      </c>
      <c r="M1292" s="10" t="s">
        <v>102</v>
      </c>
      <c r="N1292" s="124" t="s">
        <v>411</v>
      </c>
      <c r="O1292" s="124" t="s">
        <v>411</v>
      </c>
      <c r="P1292" s="21">
        <v>28</v>
      </c>
      <c r="Q1292" s="10" t="s">
        <v>54</v>
      </c>
      <c r="R1292" s="10" t="s">
        <v>28</v>
      </c>
      <c r="S1292" s="10"/>
      <c r="T1292" s="10"/>
      <c r="U1292" s="10" t="s">
        <v>2937</v>
      </c>
      <c r="V1292" s="10" t="s">
        <v>2937</v>
      </c>
      <c r="W1292" s="50">
        <f>+J1292/$W$2</f>
        <v>5.9746904803364194E-6</v>
      </c>
    </row>
    <row r="1293" spans="1:29">
      <c r="A1293" s="10" t="s">
        <v>2758</v>
      </c>
      <c r="B1293" s="10" t="s">
        <v>358</v>
      </c>
      <c r="C1293" s="124">
        <v>46358</v>
      </c>
      <c r="D1293" s="124" t="s">
        <v>471</v>
      </c>
      <c r="E1293" s="21">
        <v>0.97458095</v>
      </c>
      <c r="F1293" s="10"/>
      <c r="G1293" s="14">
        <v>416466.04</v>
      </c>
      <c r="H1293" s="14">
        <v>405879.87</v>
      </c>
      <c r="I1293" s="14">
        <v>416466.04</v>
      </c>
      <c r="J1293" s="14">
        <v>405879.87</v>
      </c>
      <c r="K1293" s="12">
        <v>16869860</v>
      </c>
      <c r="L1293" s="10" t="s">
        <v>101</v>
      </c>
      <c r="M1293" s="10" t="s">
        <v>102</v>
      </c>
      <c r="N1293" s="124" t="s">
        <v>411</v>
      </c>
      <c r="O1293" s="124" t="s">
        <v>411</v>
      </c>
      <c r="P1293" s="21">
        <v>28</v>
      </c>
      <c r="Q1293" s="10" t="s">
        <v>54</v>
      </c>
      <c r="R1293" s="10" t="s">
        <v>28</v>
      </c>
      <c r="S1293" s="10"/>
      <c r="T1293" s="10"/>
      <c r="U1293" s="10" t="s">
        <v>2938</v>
      </c>
      <c r="V1293" s="10" t="s">
        <v>2938</v>
      </c>
      <c r="W1293" s="50">
        <f>+J1293/$W$2</f>
        <v>4.9674199496802406E-6</v>
      </c>
    </row>
    <row r="1294" spans="1:29">
      <c r="A1294" s="10" t="s">
        <v>2758</v>
      </c>
      <c r="B1294" s="10" t="s">
        <v>358</v>
      </c>
      <c r="C1294" s="124">
        <v>46358</v>
      </c>
      <c r="D1294" s="124" t="s">
        <v>471</v>
      </c>
      <c r="E1294" s="21">
        <v>0.97458095</v>
      </c>
      <c r="F1294" s="10"/>
      <c r="G1294" s="14">
        <v>400000</v>
      </c>
      <c r="H1294" s="14">
        <v>389832.38</v>
      </c>
      <c r="I1294" s="14">
        <v>400000</v>
      </c>
      <c r="J1294" s="14">
        <v>389832.38</v>
      </c>
      <c r="K1294" s="12">
        <v>157</v>
      </c>
      <c r="L1294" s="10" t="s">
        <v>101</v>
      </c>
      <c r="M1294" s="10" t="s">
        <v>102</v>
      </c>
      <c r="N1294" s="124" t="s">
        <v>411</v>
      </c>
      <c r="O1294" s="124" t="s">
        <v>411</v>
      </c>
      <c r="P1294" s="21">
        <v>28</v>
      </c>
      <c r="Q1294" s="10" t="s">
        <v>54</v>
      </c>
      <c r="R1294" s="10" t="s">
        <v>28</v>
      </c>
      <c r="S1294" s="10"/>
      <c r="T1294" s="10"/>
      <c r="U1294" s="10" t="s">
        <v>2939</v>
      </c>
      <c r="V1294" s="10" t="s">
        <v>2939</v>
      </c>
      <c r="W1294" s="50">
        <f>+J1294/$W$2</f>
        <v>4.7710204042475145E-6</v>
      </c>
    </row>
    <row r="1295" spans="1:29">
      <c r="A1295" s="10" t="s">
        <v>2758</v>
      </c>
      <c r="B1295" s="10" t="s">
        <v>358</v>
      </c>
      <c r="C1295" s="124">
        <v>46358</v>
      </c>
      <c r="D1295" s="124" t="s">
        <v>471</v>
      </c>
      <c r="E1295" s="21">
        <v>0.97458091000000002</v>
      </c>
      <c r="F1295" s="10"/>
      <c r="G1295" s="14">
        <v>98031.039999999994</v>
      </c>
      <c r="H1295" s="14">
        <v>95539.18</v>
      </c>
      <c r="I1295" s="14">
        <v>98031.039999999994</v>
      </c>
      <c r="J1295" s="14">
        <v>95539.18</v>
      </c>
      <c r="K1295" s="12">
        <v>5546</v>
      </c>
      <c r="L1295" s="10" t="s">
        <v>101</v>
      </c>
      <c r="M1295" s="10" t="s">
        <v>102</v>
      </c>
      <c r="N1295" s="124" t="s">
        <v>411</v>
      </c>
      <c r="O1295" s="124" t="s">
        <v>411</v>
      </c>
      <c r="P1295" s="21">
        <v>28</v>
      </c>
      <c r="Q1295" s="10" t="s">
        <v>54</v>
      </c>
      <c r="R1295" s="10" t="s">
        <v>28</v>
      </c>
      <c r="S1295" s="10"/>
      <c r="T1295" s="10"/>
      <c r="U1295" s="10" t="s">
        <v>2954</v>
      </c>
      <c r="V1295" s="10" t="s">
        <v>2954</v>
      </c>
      <c r="W1295" s="50">
        <f>+J1295/$W$2</f>
        <v>1.169270180135052E-6</v>
      </c>
    </row>
    <row r="1296" spans="1:29">
      <c r="A1296" s="10" t="s">
        <v>1893</v>
      </c>
      <c r="B1296" s="10" t="s">
        <v>358</v>
      </c>
      <c r="C1296" s="124">
        <v>46358</v>
      </c>
      <c r="D1296" s="124" t="s">
        <v>471</v>
      </c>
      <c r="E1296" s="21">
        <v>0.97546653000000005</v>
      </c>
      <c r="F1296" s="10"/>
      <c r="G1296" s="14">
        <v>10000000</v>
      </c>
      <c r="H1296" s="14">
        <v>9754665.2899999991</v>
      </c>
      <c r="I1296" s="14">
        <v>10000000</v>
      </c>
      <c r="J1296" s="14">
        <v>9754665.2899999991</v>
      </c>
      <c r="K1296" s="12">
        <v>1830</v>
      </c>
      <c r="L1296" s="10" t="s">
        <v>101</v>
      </c>
      <c r="M1296" s="10" t="s">
        <v>102</v>
      </c>
      <c r="N1296" s="124" t="s">
        <v>471</v>
      </c>
      <c r="O1296" s="124" t="s">
        <v>471</v>
      </c>
      <c r="P1296" s="21">
        <v>27</v>
      </c>
      <c r="Q1296" s="10" t="s">
        <v>54</v>
      </c>
      <c r="R1296" s="10" t="s">
        <v>28</v>
      </c>
      <c r="S1296" s="10"/>
      <c r="T1296" s="10"/>
      <c r="U1296" s="10" t="s">
        <v>4088</v>
      </c>
      <c r="V1296" s="10" t="s">
        <v>4088</v>
      </c>
      <c r="W1296" s="50">
        <f>+J1296/$W$2</f>
        <v>1.1938389298291485E-4</v>
      </c>
    </row>
    <row r="1297" spans="1:29">
      <c r="A1297" s="10" t="s">
        <v>816</v>
      </c>
      <c r="B1297" s="10" t="s">
        <v>358</v>
      </c>
      <c r="C1297" s="124">
        <v>46358</v>
      </c>
      <c r="D1297" s="124" t="s">
        <v>471</v>
      </c>
      <c r="E1297" s="21">
        <v>0.97017704000000005</v>
      </c>
      <c r="F1297" s="10"/>
      <c r="G1297" s="14">
        <v>3320250</v>
      </c>
      <c r="H1297" s="14">
        <v>3221230.32</v>
      </c>
      <c r="I1297" s="14">
        <v>3320250</v>
      </c>
      <c r="J1297" s="14">
        <v>3221230.32</v>
      </c>
      <c r="K1297" s="12">
        <v>10539964</v>
      </c>
      <c r="L1297" s="10" t="s">
        <v>101</v>
      </c>
      <c r="M1297" s="10" t="s">
        <v>102</v>
      </c>
      <c r="N1297" s="124" t="s">
        <v>347</v>
      </c>
      <c r="O1297" s="124" t="s">
        <v>347</v>
      </c>
      <c r="P1297" s="21">
        <v>33</v>
      </c>
      <c r="Q1297" s="10" t="s">
        <v>54</v>
      </c>
      <c r="R1297" s="10" t="s">
        <v>28</v>
      </c>
      <c r="S1297" s="10"/>
      <c r="T1297" s="10"/>
      <c r="U1297" s="10" t="s">
        <v>808</v>
      </c>
      <c r="V1297" s="10" t="s">
        <v>808</v>
      </c>
      <c r="W1297" s="50">
        <f>+J1297/$W$2</f>
        <v>3.9423496794957743E-5</v>
      </c>
    </row>
    <row r="1298" spans="1:29">
      <c r="A1298" s="10" t="s">
        <v>141</v>
      </c>
      <c r="B1298" s="10" t="s">
        <v>358</v>
      </c>
      <c r="C1298" s="124">
        <v>46358</v>
      </c>
      <c r="D1298" s="124" t="s">
        <v>471</v>
      </c>
      <c r="E1298" s="21">
        <v>0.96842673000000001</v>
      </c>
      <c r="F1298" s="10"/>
      <c r="G1298" s="14">
        <v>20000000</v>
      </c>
      <c r="H1298" s="14">
        <v>19368534.690000001</v>
      </c>
      <c r="I1298" s="14">
        <v>20000000</v>
      </c>
      <c r="J1298" s="14">
        <v>19368534.690000001</v>
      </c>
      <c r="K1298" s="12">
        <v>224</v>
      </c>
      <c r="L1298" s="10" t="s">
        <v>101</v>
      </c>
      <c r="M1298" s="10" t="s">
        <v>102</v>
      </c>
      <c r="N1298" s="124" t="s">
        <v>162</v>
      </c>
      <c r="O1298" s="124" t="s">
        <v>162</v>
      </c>
      <c r="P1298" s="21">
        <v>35</v>
      </c>
      <c r="Q1298" s="10" t="s">
        <v>54</v>
      </c>
      <c r="R1298" s="10" t="s">
        <v>28</v>
      </c>
      <c r="S1298" s="10"/>
      <c r="T1298" s="10"/>
      <c r="U1298" s="10" t="s">
        <v>1261</v>
      </c>
      <c r="V1298" s="10" t="s">
        <v>1261</v>
      </c>
      <c r="W1298" s="50">
        <f>+J1298/$W$2</f>
        <v>2.3704463494378229E-4</v>
      </c>
    </row>
    <row r="1299" spans="1:29">
      <c r="A1299" s="10" t="s">
        <v>575</v>
      </c>
      <c r="B1299" s="10" t="s">
        <v>358</v>
      </c>
      <c r="C1299" s="124">
        <v>46358</v>
      </c>
      <c r="D1299" s="124" t="s">
        <v>471</v>
      </c>
      <c r="E1299" s="21">
        <v>0.97017710999999995</v>
      </c>
      <c r="F1299" s="10"/>
      <c r="G1299" s="14">
        <v>5800000</v>
      </c>
      <c r="H1299" s="14">
        <v>5627027.2199999997</v>
      </c>
      <c r="I1299" s="14">
        <v>5800000</v>
      </c>
      <c r="J1299" s="14">
        <v>5627027.2199999997</v>
      </c>
      <c r="K1299" s="12">
        <v>6580</v>
      </c>
      <c r="L1299" s="10" t="s">
        <v>101</v>
      </c>
      <c r="M1299" s="10" t="s">
        <v>102</v>
      </c>
      <c r="N1299" s="124" t="s">
        <v>392</v>
      </c>
      <c r="O1299" s="124" t="s">
        <v>392</v>
      </c>
      <c r="P1299" s="21">
        <v>33</v>
      </c>
      <c r="Q1299" s="10" t="s">
        <v>54</v>
      </c>
      <c r="R1299" s="10" t="s">
        <v>28</v>
      </c>
      <c r="S1299" s="10"/>
      <c r="T1299" s="10"/>
      <c r="U1299" s="10" t="s">
        <v>1095</v>
      </c>
      <c r="V1299" s="10" t="s">
        <v>1095</v>
      </c>
      <c r="W1299" s="50">
        <f>+J1299/$W$2</f>
        <v>6.8867192822402715E-5</v>
      </c>
    </row>
    <row r="1300" spans="1:29">
      <c r="A1300" s="10" t="s">
        <v>334</v>
      </c>
      <c r="B1300" s="10" t="s">
        <v>358</v>
      </c>
      <c r="C1300" s="124">
        <v>46358</v>
      </c>
      <c r="D1300" s="124" t="s">
        <v>471</v>
      </c>
      <c r="E1300" s="21">
        <v>0.96842669999999997</v>
      </c>
      <c r="F1300" s="10"/>
      <c r="G1300" s="14">
        <v>3256800.5</v>
      </c>
      <c r="H1300" s="14">
        <v>3153972.56</v>
      </c>
      <c r="I1300" s="14">
        <v>3256800.5</v>
      </c>
      <c r="J1300" s="14">
        <v>3153972.56</v>
      </c>
      <c r="K1300" s="12">
        <v>3600</v>
      </c>
      <c r="L1300" s="10" t="s">
        <v>101</v>
      </c>
      <c r="M1300" s="10" t="s">
        <v>102</v>
      </c>
      <c r="N1300" s="124" t="s">
        <v>477</v>
      </c>
      <c r="O1300" s="124" t="s">
        <v>477</v>
      </c>
      <c r="P1300" s="21">
        <v>35</v>
      </c>
      <c r="Q1300" s="10" t="s">
        <v>54</v>
      </c>
      <c r="R1300" s="10" t="s">
        <v>28</v>
      </c>
      <c r="S1300" s="10"/>
      <c r="T1300" s="10"/>
      <c r="U1300" s="10" t="s">
        <v>2409</v>
      </c>
      <c r="V1300" s="10" t="s">
        <v>2409</v>
      </c>
      <c r="W1300" s="50">
        <f>+J1300/$W$2</f>
        <v>3.8600352895767068E-5</v>
      </c>
    </row>
    <row r="1301" spans="1:29">
      <c r="A1301" s="10" t="s">
        <v>947</v>
      </c>
      <c r="B1301" s="10" t="s">
        <v>358</v>
      </c>
      <c r="C1301" s="124">
        <v>46358</v>
      </c>
      <c r="D1301" s="124" t="s">
        <v>471</v>
      </c>
      <c r="E1301" s="21">
        <v>0.97105467999999995</v>
      </c>
      <c r="F1301" s="10"/>
      <c r="G1301" s="14">
        <v>5444208</v>
      </c>
      <c r="H1301" s="14">
        <v>5286623.6500000004</v>
      </c>
      <c r="I1301" s="14">
        <v>5444208</v>
      </c>
      <c r="J1301" s="14">
        <v>5286623.6500000004</v>
      </c>
      <c r="K1301" s="12">
        <v>3450</v>
      </c>
      <c r="L1301" s="10" t="s">
        <v>101</v>
      </c>
      <c r="M1301" s="10" t="s">
        <v>102</v>
      </c>
      <c r="N1301" s="124" t="s">
        <v>373</v>
      </c>
      <c r="O1301" s="124" t="s">
        <v>373</v>
      </c>
      <c r="P1301" s="21">
        <v>32</v>
      </c>
      <c r="Q1301" s="10" t="s">
        <v>54</v>
      </c>
      <c r="R1301" s="10" t="s">
        <v>28</v>
      </c>
      <c r="S1301" s="10"/>
      <c r="T1301" s="10"/>
      <c r="U1301" s="10" t="s">
        <v>1168</v>
      </c>
      <c r="V1301" s="10" t="s">
        <v>1168</v>
      </c>
      <c r="W1301" s="50">
        <f>+J1301/$W$2</f>
        <v>6.4701114114039144E-5</v>
      </c>
    </row>
    <row r="1302" spans="1:29">
      <c r="A1302" s="10" t="s">
        <v>1175</v>
      </c>
      <c r="B1302" s="10" t="s">
        <v>358</v>
      </c>
      <c r="C1302" s="124">
        <v>46358</v>
      </c>
      <c r="D1302" s="124" t="s">
        <v>471</v>
      </c>
      <c r="E1302" s="21">
        <v>0.96930114000000001</v>
      </c>
      <c r="F1302" s="10"/>
      <c r="G1302" s="14">
        <v>13000000</v>
      </c>
      <c r="H1302" s="14">
        <v>12600914.779999999</v>
      </c>
      <c r="I1302" s="14">
        <v>13000000</v>
      </c>
      <c r="J1302" s="14">
        <v>12600914.779999999</v>
      </c>
      <c r="K1302" s="12">
        <v>14330929</v>
      </c>
      <c r="L1302" s="10" t="s">
        <v>101</v>
      </c>
      <c r="M1302" s="10" t="s">
        <v>102</v>
      </c>
      <c r="N1302" s="124" t="s">
        <v>373</v>
      </c>
      <c r="O1302" s="124" t="s">
        <v>373</v>
      </c>
      <c r="P1302" s="21">
        <v>34</v>
      </c>
      <c r="Q1302" s="10" t="s">
        <v>54</v>
      </c>
      <c r="R1302" s="10" t="s">
        <v>28</v>
      </c>
      <c r="S1302" s="10"/>
      <c r="T1302" s="10"/>
      <c r="U1302" s="10" t="s">
        <v>1160</v>
      </c>
      <c r="V1302" s="10" t="s">
        <v>1160</v>
      </c>
      <c r="W1302" s="50">
        <f>+J1302/$W$2</f>
        <v>1.5421813223304867E-4</v>
      </c>
    </row>
    <row r="1303" spans="1:29">
      <c r="A1303" s="10" t="s">
        <v>1311</v>
      </c>
      <c r="B1303" s="10" t="s">
        <v>358</v>
      </c>
      <c r="C1303" s="124">
        <v>46358</v>
      </c>
      <c r="D1303" s="124" t="s">
        <v>471</v>
      </c>
      <c r="E1303" s="21">
        <v>0.97105467000000001</v>
      </c>
      <c r="F1303" s="10"/>
      <c r="G1303" s="14">
        <v>1217387.51</v>
      </c>
      <c r="H1303" s="14">
        <v>1182149.83</v>
      </c>
      <c r="I1303" s="14">
        <v>1217387.51</v>
      </c>
      <c r="J1303" s="14">
        <v>1182149.83</v>
      </c>
      <c r="K1303" s="12">
        <v>1809</v>
      </c>
      <c r="L1303" s="10" t="s">
        <v>101</v>
      </c>
      <c r="M1303" s="10" t="s">
        <v>102</v>
      </c>
      <c r="N1303" s="124" t="s">
        <v>162</v>
      </c>
      <c r="O1303" s="124" t="s">
        <v>162</v>
      </c>
      <c r="P1303" s="21">
        <v>32</v>
      </c>
      <c r="Q1303" s="10" t="s">
        <v>54</v>
      </c>
      <c r="R1303" s="10" t="s">
        <v>28</v>
      </c>
      <c r="S1303" s="10"/>
      <c r="T1303" s="10"/>
      <c r="U1303" s="10" t="s">
        <v>1284</v>
      </c>
      <c r="V1303" s="10" t="s">
        <v>1284</v>
      </c>
      <c r="W1303" s="50">
        <f>+J1303/$W$2</f>
        <v>1.4467913003552273E-5</v>
      </c>
    </row>
    <row r="1304" spans="1:29">
      <c r="A1304" s="10" t="s">
        <v>506</v>
      </c>
      <c r="B1304" s="10" t="s">
        <v>358</v>
      </c>
      <c r="C1304" s="124">
        <v>46358</v>
      </c>
      <c r="D1304" s="124" t="s">
        <v>471</v>
      </c>
      <c r="E1304" s="21">
        <v>0.97281455999999999</v>
      </c>
      <c r="F1304" s="10"/>
      <c r="G1304" s="14">
        <v>50000000</v>
      </c>
      <c r="H1304" s="14">
        <v>48640727.859999999</v>
      </c>
      <c r="I1304" s="14">
        <v>50000000</v>
      </c>
      <c r="J1304" s="14">
        <v>48640727.859999999</v>
      </c>
      <c r="K1304" s="12">
        <v>68074</v>
      </c>
      <c r="L1304" s="10" t="s">
        <v>101</v>
      </c>
      <c r="M1304" s="10" t="s">
        <v>102</v>
      </c>
      <c r="N1304" s="124" t="s">
        <v>449</v>
      </c>
      <c r="O1304" s="124" t="s">
        <v>449</v>
      </c>
      <c r="P1304" s="21">
        <v>30</v>
      </c>
      <c r="Q1304" s="10" t="s">
        <v>54</v>
      </c>
      <c r="R1304" s="10" t="s">
        <v>28</v>
      </c>
      <c r="S1304" s="10"/>
      <c r="T1304" s="10"/>
      <c r="U1304" s="10" t="s">
        <v>1947</v>
      </c>
      <c r="V1304" s="10" t="s">
        <v>1947</v>
      </c>
      <c r="W1304" s="50">
        <f>+J1304/$W$2</f>
        <v>5.9529663774340793E-4</v>
      </c>
    </row>
    <row r="1305" spans="1:29">
      <c r="A1305" s="10" t="s">
        <v>3166</v>
      </c>
      <c r="B1305" s="10" t="s">
        <v>358</v>
      </c>
      <c r="C1305" s="124">
        <v>46358</v>
      </c>
      <c r="D1305" s="124" t="s">
        <v>471</v>
      </c>
      <c r="E1305" s="21">
        <v>0.97281466999999999</v>
      </c>
      <c r="F1305" s="10"/>
      <c r="G1305" s="14">
        <v>4175312.5</v>
      </c>
      <c r="H1305" s="14">
        <v>4061805.27</v>
      </c>
      <c r="I1305" s="14">
        <v>4175312.5</v>
      </c>
      <c r="J1305" s="14">
        <v>4061805.27</v>
      </c>
      <c r="K1305" s="12">
        <v>40952757</v>
      </c>
      <c r="L1305" s="10" t="s">
        <v>101</v>
      </c>
      <c r="M1305" s="10" t="s">
        <v>102</v>
      </c>
      <c r="N1305" s="124" t="s">
        <v>448</v>
      </c>
      <c r="O1305" s="124" t="s">
        <v>448</v>
      </c>
      <c r="P1305" s="21">
        <v>30</v>
      </c>
      <c r="Q1305" s="10" t="s">
        <v>54</v>
      </c>
      <c r="R1305" s="10" t="s">
        <v>28</v>
      </c>
      <c r="S1305" s="10"/>
      <c r="T1305" s="10"/>
      <c r="U1305" s="10" t="s">
        <v>3125</v>
      </c>
      <c r="V1305" s="10" t="s">
        <v>3125</v>
      </c>
      <c r="W1305" s="50">
        <f>+J1305/$W$2</f>
        <v>4.9710995841982353E-5</v>
      </c>
    </row>
    <row r="1306" spans="1:29">
      <c r="A1306" s="10" t="s">
        <v>832</v>
      </c>
      <c r="B1306" s="10" t="s">
        <v>358</v>
      </c>
      <c r="C1306" s="124">
        <v>46358</v>
      </c>
      <c r="D1306" s="124" t="s">
        <v>471</v>
      </c>
      <c r="E1306" s="21">
        <v>0.97105461999999998</v>
      </c>
      <c r="F1306" s="10"/>
      <c r="G1306" s="14">
        <v>175518.88</v>
      </c>
      <c r="H1306" s="14">
        <v>170438.42</v>
      </c>
      <c r="I1306" s="14">
        <v>175518.88</v>
      </c>
      <c r="J1306" s="14">
        <v>170438.42</v>
      </c>
      <c r="K1306" s="12">
        <v>30103756</v>
      </c>
      <c r="L1306" s="10" t="s">
        <v>101</v>
      </c>
      <c r="M1306" s="10" t="s">
        <v>102</v>
      </c>
      <c r="N1306" s="124" t="s">
        <v>413</v>
      </c>
      <c r="O1306" s="124" t="s">
        <v>413</v>
      </c>
      <c r="P1306" s="21">
        <v>32</v>
      </c>
      <c r="Q1306" s="10" t="s">
        <v>54</v>
      </c>
      <c r="R1306" s="10" t="s">
        <v>28</v>
      </c>
      <c r="S1306" s="10"/>
      <c r="T1306" s="10"/>
      <c r="U1306" s="10" t="s">
        <v>2897</v>
      </c>
      <c r="V1306" s="10" t="s">
        <v>2897</v>
      </c>
      <c r="W1306" s="50">
        <f>+J1306/$W$2</f>
        <v>2.0859354461209909E-6</v>
      </c>
    </row>
    <row r="1307" spans="1:29">
      <c r="A1307" s="10" t="s">
        <v>1765</v>
      </c>
      <c r="B1307" s="10" t="s">
        <v>358</v>
      </c>
      <c r="C1307" s="124">
        <v>46358</v>
      </c>
      <c r="D1307" s="124" t="s">
        <v>471</v>
      </c>
      <c r="E1307" s="21">
        <v>0.97017704999999999</v>
      </c>
      <c r="F1307" s="10"/>
      <c r="G1307" s="14">
        <v>604613.32999999996</v>
      </c>
      <c r="H1307" s="14">
        <v>586581.98</v>
      </c>
      <c r="I1307" s="14">
        <v>604613.32999999996</v>
      </c>
      <c r="J1307" s="14">
        <v>586581.98</v>
      </c>
      <c r="K1307" s="12">
        <v>19714</v>
      </c>
      <c r="L1307" s="10" t="s">
        <v>101</v>
      </c>
      <c r="M1307" s="10" t="s">
        <v>102</v>
      </c>
      <c r="N1307" s="124" t="s">
        <v>417</v>
      </c>
      <c r="O1307" s="124" t="s">
        <v>417</v>
      </c>
      <c r="P1307" s="21">
        <v>33</v>
      </c>
      <c r="Q1307" s="10" t="s">
        <v>54</v>
      </c>
      <c r="R1307" s="10" t="s">
        <v>28</v>
      </c>
      <c r="S1307" s="10"/>
      <c r="T1307" s="10"/>
      <c r="U1307" s="10" t="s">
        <v>3275</v>
      </c>
      <c r="V1307" s="10" t="s">
        <v>3275</v>
      </c>
      <c r="W1307" s="50">
        <f>+J1307/$W$2</f>
        <v>7.1789690618924658E-6</v>
      </c>
      <c r="AC1307" s="47"/>
    </row>
    <row r="1308" spans="1:29">
      <c r="A1308" s="10" t="s">
        <v>525</v>
      </c>
      <c r="B1308" s="10" t="s">
        <v>358</v>
      </c>
      <c r="C1308" s="124">
        <v>46358</v>
      </c>
      <c r="D1308" s="124" t="s">
        <v>471</v>
      </c>
      <c r="E1308" s="21">
        <v>0.97017706999999997</v>
      </c>
      <c r="F1308" s="10"/>
      <c r="G1308" s="14">
        <v>1500000</v>
      </c>
      <c r="H1308" s="14">
        <v>1455265.6</v>
      </c>
      <c r="I1308" s="14">
        <v>1500000</v>
      </c>
      <c r="J1308" s="14">
        <v>1455265.6</v>
      </c>
      <c r="K1308" s="12">
        <v>591</v>
      </c>
      <c r="L1308" s="10" t="s">
        <v>101</v>
      </c>
      <c r="M1308" s="10" t="s">
        <v>102</v>
      </c>
      <c r="N1308" s="124" t="s">
        <v>408</v>
      </c>
      <c r="O1308" s="124" t="s">
        <v>408</v>
      </c>
      <c r="P1308" s="21">
        <v>33</v>
      </c>
      <c r="Q1308" s="10" t="s">
        <v>54</v>
      </c>
      <c r="R1308" s="10" t="s">
        <v>28</v>
      </c>
      <c r="S1308" s="10"/>
      <c r="T1308" s="10"/>
      <c r="U1308" s="10" t="s">
        <v>2019</v>
      </c>
      <c r="V1308" s="10" t="s">
        <v>2019</v>
      </c>
      <c r="W1308" s="50">
        <f>+J1308/$W$2</f>
        <v>1.7810480163806564E-5</v>
      </c>
    </row>
    <row r="1309" spans="1:29">
      <c r="A1309" s="10" t="s">
        <v>525</v>
      </c>
      <c r="B1309" s="10" t="s">
        <v>358</v>
      </c>
      <c r="C1309" s="124">
        <v>46358</v>
      </c>
      <c r="D1309" s="124" t="s">
        <v>471</v>
      </c>
      <c r="E1309" s="21">
        <v>0.97017706999999997</v>
      </c>
      <c r="F1309" s="10"/>
      <c r="G1309" s="14">
        <v>1500000</v>
      </c>
      <c r="H1309" s="14">
        <v>1455265.6</v>
      </c>
      <c r="I1309" s="14">
        <v>1500000</v>
      </c>
      <c r="J1309" s="14">
        <v>1455265.6</v>
      </c>
      <c r="K1309" s="12">
        <v>592</v>
      </c>
      <c r="L1309" s="10" t="s">
        <v>101</v>
      </c>
      <c r="M1309" s="10" t="s">
        <v>102</v>
      </c>
      <c r="N1309" s="124" t="s">
        <v>408</v>
      </c>
      <c r="O1309" s="124" t="s">
        <v>408</v>
      </c>
      <c r="P1309" s="21">
        <v>33</v>
      </c>
      <c r="Q1309" s="10" t="s">
        <v>54</v>
      </c>
      <c r="R1309" s="10" t="s">
        <v>28</v>
      </c>
      <c r="S1309" s="10"/>
      <c r="T1309" s="10"/>
      <c r="U1309" s="10" t="s">
        <v>2024</v>
      </c>
      <c r="V1309" s="10" t="s">
        <v>2024</v>
      </c>
      <c r="W1309" s="50">
        <f>+J1309/$W$2</f>
        <v>1.7810480163806564E-5</v>
      </c>
    </row>
    <row r="1310" spans="1:29">
      <c r="A1310" s="10" t="s">
        <v>525</v>
      </c>
      <c r="B1310" s="10" t="s">
        <v>358</v>
      </c>
      <c r="C1310" s="124">
        <v>46358</v>
      </c>
      <c r="D1310" s="124" t="s">
        <v>471</v>
      </c>
      <c r="E1310" s="21">
        <v>0.97017706999999997</v>
      </c>
      <c r="F1310" s="10"/>
      <c r="G1310" s="14">
        <v>1500000</v>
      </c>
      <c r="H1310" s="14">
        <v>1455265.6</v>
      </c>
      <c r="I1310" s="14">
        <v>1500000</v>
      </c>
      <c r="J1310" s="14">
        <v>1455265.6</v>
      </c>
      <c r="K1310" s="12">
        <v>590</v>
      </c>
      <c r="L1310" s="10" t="s">
        <v>101</v>
      </c>
      <c r="M1310" s="10" t="s">
        <v>102</v>
      </c>
      <c r="N1310" s="124" t="s">
        <v>408</v>
      </c>
      <c r="O1310" s="124" t="s">
        <v>408</v>
      </c>
      <c r="P1310" s="21">
        <v>33</v>
      </c>
      <c r="Q1310" s="10" t="s">
        <v>54</v>
      </c>
      <c r="R1310" s="10" t="s">
        <v>28</v>
      </c>
      <c r="S1310" s="10"/>
      <c r="T1310" s="10"/>
      <c r="U1310" s="10" t="s">
        <v>2025</v>
      </c>
      <c r="V1310" s="10" t="s">
        <v>2025</v>
      </c>
      <c r="W1310" s="50">
        <f>+J1310/$W$2</f>
        <v>1.7810480163806564E-5</v>
      </c>
    </row>
    <row r="1311" spans="1:29">
      <c r="A1311" s="10" t="s">
        <v>1397</v>
      </c>
      <c r="B1311" s="10" t="s">
        <v>358</v>
      </c>
      <c r="C1311" s="124">
        <v>46358</v>
      </c>
      <c r="D1311" s="124" t="s">
        <v>471</v>
      </c>
      <c r="E1311" s="21">
        <v>0.97193379000000002</v>
      </c>
      <c r="F1311" s="10"/>
      <c r="G1311" s="14">
        <v>50000000</v>
      </c>
      <c r="H1311" s="14">
        <v>48596689.329999998</v>
      </c>
      <c r="I1311" s="14">
        <v>50000000</v>
      </c>
      <c r="J1311" s="14">
        <v>48596689.329999998</v>
      </c>
      <c r="K1311" s="12">
        <v>5791</v>
      </c>
      <c r="L1311" s="10" t="s">
        <v>101</v>
      </c>
      <c r="M1311" s="10" t="s">
        <v>102</v>
      </c>
      <c r="N1311" s="124" t="s">
        <v>396</v>
      </c>
      <c r="O1311" s="124" t="s">
        <v>396</v>
      </c>
      <c r="P1311" s="21">
        <v>31</v>
      </c>
      <c r="Q1311" s="10" t="s">
        <v>54</v>
      </c>
      <c r="R1311" s="10" t="s">
        <v>28</v>
      </c>
      <c r="S1311" s="10"/>
      <c r="T1311" s="10"/>
      <c r="U1311" s="10" t="s">
        <v>1376</v>
      </c>
      <c r="V1311" s="10" t="s">
        <v>1376</v>
      </c>
      <c r="W1311" s="50">
        <f>+J1311/$W$2</f>
        <v>5.9475766577498637E-4</v>
      </c>
    </row>
    <row r="1312" spans="1:29">
      <c r="A1312" s="10" t="s">
        <v>1397</v>
      </c>
      <c r="B1312" s="10" t="s">
        <v>358</v>
      </c>
      <c r="C1312" s="124">
        <v>46358</v>
      </c>
      <c r="D1312" s="124" t="s">
        <v>471</v>
      </c>
      <c r="E1312" s="21">
        <v>0.97193379000000002</v>
      </c>
      <c r="F1312" s="10"/>
      <c r="G1312" s="14">
        <v>50000000</v>
      </c>
      <c r="H1312" s="14">
        <v>48596689.329999998</v>
      </c>
      <c r="I1312" s="14">
        <v>50000000</v>
      </c>
      <c r="J1312" s="14">
        <v>48596689.329999998</v>
      </c>
      <c r="K1312" s="12">
        <v>5792</v>
      </c>
      <c r="L1312" s="10" t="s">
        <v>101</v>
      </c>
      <c r="M1312" s="10" t="s">
        <v>102</v>
      </c>
      <c r="N1312" s="124" t="s">
        <v>396</v>
      </c>
      <c r="O1312" s="124" t="s">
        <v>396</v>
      </c>
      <c r="P1312" s="21">
        <v>31</v>
      </c>
      <c r="Q1312" s="10" t="s">
        <v>54</v>
      </c>
      <c r="R1312" s="10" t="s">
        <v>28</v>
      </c>
      <c r="S1312" s="10"/>
      <c r="T1312" s="10"/>
      <c r="U1312" s="10" t="s">
        <v>1377</v>
      </c>
      <c r="V1312" s="10" t="s">
        <v>1377</v>
      </c>
      <c r="W1312" s="50">
        <f>+J1312/$W$2</f>
        <v>5.9475766577498637E-4</v>
      </c>
    </row>
    <row r="1313" spans="1:23">
      <c r="A1313" s="10" t="s">
        <v>565</v>
      </c>
      <c r="B1313" s="10" t="s">
        <v>358</v>
      </c>
      <c r="C1313" s="124">
        <v>46358</v>
      </c>
      <c r="D1313" s="124" t="s">
        <v>471</v>
      </c>
      <c r="E1313" s="21">
        <v>0.97017708000000002</v>
      </c>
      <c r="F1313" s="10"/>
      <c r="G1313" s="14">
        <v>6512309.3700000001</v>
      </c>
      <c r="H1313" s="14">
        <v>6318093.3099999996</v>
      </c>
      <c r="I1313" s="14">
        <v>6512309.3700000001</v>
      </c>
      <c r="J1313" s="14">
        <v>6318093.3099999996</v>
      </c>
      <c r="K1313" s="12">
        <v>90001933</v>
      </c>
      <c r="L1313" s="10" t="s">
        <v>101</v>
      </c>
      <c r="M1313" s="10" t="s">
        <v>102</v>
      </c>
      <c r="N1313" s="124" t="s">
        <v>409</v>
      </c>
      <c r="O1313" s="124" t="s">
        <v>409</v>
      </c>
      <c r="P1313" s="21">
        <v>33</v>
      </c>
      <c r="Q1313" s="10" t="s">
        <v>54</v>
      </c>
      <c r="R1313" s="10" t="s">
        <v>28</v>
      </c>
      <c r="S1313" s="10"/>
      <c r="T1313" s="10"/>
      <c r="U1313" s="10" t="s">
        <v>894</v>
      </c>
      <c r="V1313" s="10" t="s">
        <v>894</v>
      </c>
      <c r="W1313" s="50">
        <f>+J1313/$W$2</f>
        <v>7.7324905894040195E-5</v>
      </c>
    </row>
    <row r="1314" spans="1:23">
      <c r="A1314" s="10" t="s">
        <v>3053</v>
      </c>
      <c r="B1314" s="10" t="s">
        <v>358</v>
      </c>
      <c r="C1314" s="124">
        <v>46358</v>
      </c>
      <c r="D1314" s="124" t="s">
        <v>471</v>
      </c>
      <c r="E1314" s="21">
        <v>0.97281454999999994</v>
      </c>
      <c r="F1314" s="10"/>
      <c r="G1314" s="14">
        <v>525551.4</v>
      </c>
      <c r="H1314" s="14">
        <v>511264.05</v>
      </c>
      <c r="I1314" s="14">
        <v>525551.4</v>
      </c>
      <c r="J1314" s="14">
        <v>511264.05</v>
      </c>
      <c r="K1314" s="12">
        <v>1203</v>
      </c>
      <c r="L1314" s="10" t="s">
        <v>101</v>
      </c>
      <c r="M1314" s="10" t="s">
        <v>102</v>
      </c>
      <c r="N1314" s="124" t="s">
        <v>508</v>
      </c>
      <c r="O1314" s="124" t="s">
        <v>508</v>
      </c>
      <c r="P1314" s="21">
        <v>30</v>
      </c>
      <c r="Q1314" s="10" t="s">
        <v>54</v>
      </c>
      <c r="R1314" s="10" t="s">
        <v>28</v>
      </c>
      <c r="S1314" s="10"/>
      <c r="T1314" s="10"/>
      <c r="U1314" s="10" t="s">
        <v>3004</v>
      </c>
      <c r="V1314" s="10" t="s">
        <v>3004</v>
      </c>
      <c r="W1314" s="50">
        <f>+J1314/$W$2</f>
        <v>6.2571795973136491E-6</v>
      </c>
    </row>
    <row r="1315" spans="1:23">
      <c r="A1315" s="10" t="s">
        <v>3798</v>
      </c>
      <c r="B1315" s="10" t="s">
        <v>358</v>
      </c>
      <c r="C1315" s="124">
        <v>46358</v>
      </c>
      <c r="D1315" s="124" t="s">
        <v>471</v>
      </c>
      <c r="E1315" s="21">
        <v>0.97105459999999999</v>
      </c>
      <c r="F1315" s="10"/>
      <c r="G1315" s="14">
        <v>5632305</v>
      </c>
      <c r="H1315" s="14">
        <v>5469275.7000000002</v>
      </c>
      <c r="I1315" s="14">
        <v>5632305</v>
      </c>
      <c r="J1315" s="14">
        <v>5469275.7000000002</v>
      </c>
      <c r="K1315" s="12">
        <v>1837</v>
      </c>
      <c r="L1315" s="10" t="s">
        <v>101</v>
      </c>
      <c r="M1315" s="10" t="s">
        <v>102</v>
      </c>
      <c r="N1315" s="124" t="s">
        <v>467</v>
      </c>
      <c r="O1315" s="124" t="s">
        <v>467</v>
      </c>
      <c r="P1315" s="21">
        <v>32</v>
      </c>
      <c r="Q1315" s="10" t="s">
        <v>54</v>
      </c>
      <c r="R1315" s="10" t="s">
        <v>28</v>
      </c>
      <c r="S1315" s="10"/>
      <c r="T1315" s="10"/>
      <c r="U1315" s="10" t="s">
        <v>3757</v>
      </c>
      <c r="V1315" s="10" t="s">
        <v>3757</v>
      </c>
      <c r="W1315" s="50">
        <f>+J1315/$W$2</f>
        <v>6.6936527851162869E-5</v>
      </c>
    </row>
    <row r="1316" spans="1:23">
      <c r="A1316" s="10" t="s">
        <v>4048</v>
      </c>
      <c r="B1316" s="10" t="s">
        <v>358</v>
      </c>
      <c r="C1316" s="124">
        <v>46358</v>
      </c>
      <c r="D1316" s="124" t="s">
        <v>471</v>
      </c>
      <c r="E1316" s="21">
        <v>0.97369695999999994</v>
      </c>
      <c r="F1316" s="10"/>
      <c r="G1316" s="14">
        <v>642421.1</v>
      </c>
      <c r="H1316" s="14">
        <v>625523.47</v>
      </c>
      <c r="I1316" s="14">
        <v>642421.1</v>
      </c>
      <c r="J1316" s="14">
        <v>625523.47</v>
      </c>
      <c r="K1316" s="12">
        <v>70717662</v>
      </c>
      <c r="L1316" s="10" t="s">
        <v>101</v>
      </c>
      <c r="M1316" s="10" t="s">
        <v>102</v>
      </c>
      <c r="N1316" s="124" t="s">
        <v>469</v>
      </c>
      <c r="O1316" s="124" t="s">
        <v>469</v>
      </c>
      <c r="P1316" s="21">
        <v>29</v>
      </c>
      <c r="Q1316" s="10" t="s">
        <v>54</v>
      </c>
      <c r="R1316" s="10" t="s">
        <v>28</v>
      </c>
      <c r="S1316" s="10"/>
      <c r="T1316" s="10"/>
      <c r="U1316" s="10" t="s">
        <v>3979</v>
      </c>
      <c r="V1316" s="10" t="s">
        <v>3979</v>
      </c>
      <c r="W1316" s="50">
        <f>+J1316/$W$2</f>
        <v>7.6555601633340669E-6</v>
      </c>
    </row>
    <row r="1317" spans="1:23">
      <c r="A1317" s="10" t="s">
        <v>4171</v>
      </c>
      <c r="B1317" s="10" t="s">
        <v>358</v>
      </c>
      <c r="C1317" s="124">
        <v>46358</v>
      </c>
      <c r="D1317" s="124" t="s">
        <v>471</v>
      </c>
      <c r="E1317" s="21">
        <v>0.97281468999999998</v>
      </c>
      <c r="F1317" s="10"/>
      <c r="G1317" s="14">
        <v>25254118.149999999</v>
      </c>
      <c r="H1317" s="14">
        <v>24567577.219999999</v>
      </c>
      <c r="I1317" s="14">
        <v>25254118.149999999</v>
      </c>
      <c r="J1317" s="14">
        <v>24567577.219999999</v>
      </c>
      <c r="K1317" s="12">
        <v>919</v>
      </c>
      <c r="L1317" s="10" t="s">
        <v>101</v>
      </c>
      <c r="M1317" s="10" t="s">
        <v>102</v>
      </c>
      <c r="N1317" s="124" t="s">
        <v>471</v>
      </c>
      <c r="O1317" s="124" t="s">
        <v>471</v>
      </c>
      <c r="P1317" s="21">
        <v>30</v>
      </c>
      <c r="Q1317" s="10" t="s">
        <v>54</v>
      </c>
      <c r="R1317" s="10" t="s">
        <v>28</v>
      </c>
      <c r="S1317" s="10"/>
      <c r="T1317" s="10"/>
      <c r="U1317" s="10" t="s">
        <v>4143</v>
      </c>
      <c r="V1317" s="10" t="s">
        <v>4143</v>
      </c>
      <c r="W1317" s="50">
        <f>+J1317/$W$2</f>
        <v>3.0067387475495602E-4</v>
      </c>
    </row>
    <row r="1318" spans="1:23">
      <c r="A1318" s="10" t="s">
        <v>306</v>
      </c>
      <c r="B1318" s="10" t="s">
        <v>358</v>
      </c>
      <c r="C1318" s="124">
        <v>46358</v>
      </c>
      <c r="D1318" s="124" t="s">
        <v>471</v>
      </c>
      <c r="E1318" s="21">
        <v>0.97281461000000002</v>
      </c>
      <c r="F1318" s="10"/>
      <c r="G1318" s="14">
        <v>100000000</v>
      </c>
      <c r="H1318" s="14">
        <v>97281461.269999996</v>
      </c>
      <c r="I1318" s="14">
        <v>100000000</v>
      </c>
      <c r="J1318" s="14">
        <v>97281461.269999996</v>
      </c>
      <c r="K1318" s="12">
        <v>6954</v>
      </c>
      <c r="L1318" s="10" t="s">
        <v>101</v>
      </c>
      <c r="M1318" s="10" t="s">
        <v>102</v>
      </c>
      <c r="N1318" s="124" t="s">
        <v>464</v>
      </c>
      <c r="O1318" s="124" t="s">
        <v>464</v>
      </c>
      <c r="P1318" s="21">
        <v>30</v>
      </c>
      <c r="Q1318" s="10" t="s">
        <v>54</v>
      </c>
      <c r="R1318" s="10" t="s">
        <v>28</v>
      </c>
      <c r="S1318" s="10"/>
      <c r="T1318" s="10"/>
      <c r="U1318" s="10" t="s">
        <v>2548</v>
      </c>
      <c r="V1318" s="10" t="s">
        <v>2548</v>
      </c>
      <c r="W1318" s="50">
        <f>+J1318/$W$2</f>
        <v>1.1905933434112998E-3</v>
      </c>
    </row>
    <row r="1319" spans="1:23">
      <c r="A1319" s="10" t="s">
        <v>306</v>
      </c>
      <c r="B1319" s="10" t="s">
        <v>358</v>
      </c>
      <c r="C1319" s="124">
        <v>46358</v>
      </c>
      <c r="D1319" s="124" t="s">
        <v>471</v>
      </c>
      <c r="E1319" s="21">
        <v>0.97281461000000002</v>
      </c>
      <c r="F1319" s="10"/>
      <c r="G1319" s="14">
        <v>100000000</v>
      </c>
      <c r="H1319" s="14">
        <v>97281461.269999996</v>
      </c>
      <c r="I1319" s="14">
        <v>100000000</v>
      </c>
      <c r="J1319" s="14">
        <v>97281461.269999996</v>
      </c>
      <c r="K1319" s="12">
        <v>6956</v>
      </c>
      <c r="L1319" s="10" t="s">
        <v>101</v>
      </c>
      <c r="M1319" s="10" t="s">
        <v>102</v>
      </c>
      <c r="N1319" s="124" t="s">
        <v>464</v>
      </c>
      <c r="O1319" s="124" t="s">
        <v>464</v>
      </c>
      <c r="P1319" s="21">
        <v>30</v>
      </c>
      <c r="Q1319" s="10" t="s">
        <v>54</v>
      </c>
      <c r="R1319" s="10" t="s">
        <v>28</v>
      </c>
      <c r="S1319" s="10"/>
      <c r="T1319" s="10"/>
      <c r="U1319" s="10" t="s">
        <v>2549</v>
      </c>
      <c r="V1319" s="10" t="s">
        <v>2549</v>
      </c>
      <c r="W1319" s="50">
        <f>+J1319/$W$2</f>
        <v>1.1905933434112998E-3</v>
      </c>
    </row>
    <row r="1320" spans="1:23">
      <c r="A1320" s="10" t="s">
        <v>306</v>
      </c>
      <c r="B1320" s="10" t="s">
        <v>358</v>
      </c>
      <c r="C1320" s="124">
        <v>46358</v>
      </c>
      <c r="D1320" s="124" t="s">
        <v>471</v>
      </c>
      <c r="E1320" s="21">
        <v>0.97281461000000002</v>
      </c>
      <c r="F1320" s="10"/>
      <c r="G1320" s="14">
        <v>100000000</v>
      </c>
      <c r="H1320" s="14">
        <v>97281461.269999996</v>
      </c>
      <c r="I1320" s="14">
        <v>100000000</v>
      </c>
      <c r="J1320" s="14">
        <v>97281461.269999996</v>
      </c>
      <c r="K1320" s="12">
        <v>6955</v>
      </c>
      <c r="L1320" s="10" t="s">
        <v>101</v>
      </c>
      <c r="M1320" s="10" t="s">
        <v>102</v>
      </c>
      <c r="N1320" s="124" t="s">
        <v>464</v>
      </c>
      <c r="O1320" s="124" t="s">
        <v>464</v>
      </c>
      <c r="P1320" s="21">
        <v>30</v>
      </c>
      <c r="Q1320" s="10" t="s">
        <v>54</v>
      </c>
      <c r="R1320" s="10" t="s">
        <v>28</v>
      </c>
      <c r="S1320" s="10"/>
      <c r="T1320" s="10"/>
      <c r="U1320" s="10" t="s">
        <v>2550</v>
      </c>
      <c r="V1320" s="10" t="s">
        <v>2550</v>
      </c>
      <c r="W1320" s="50">
        <f>+J1320/$W$2</f>
        <v>1.1905933434112998E-3</v>
      </c>
    </row>
    <row r="1321" spans="1:23">
      <c r="A1321" s="10" t="s">
        <v>306</v>
      </c>
      <c r="B1321" s="10" t="s">
        <v>358</v>
      </c>
      <c r="C1321" s="124">
        <v>46358</v>
      </c>
      <c r="D1321" s="124" t="s">
        <v>471</v>
      </c>
      <c r="E1321" s="21">
        <v>0.97281461000000002</v>
      </c>
      <c r="F1321" s="10"/>
      <c r="G1321" s="14">
        <v>100000000</v>
      </c>
      <c r="H1321" s="14">
        <v>97281461.269999996</v>
      </c>
      <c r="I1321" s="14">
        <v>100000000</v>
      </c>
      <c r="J1321" s="14">
        <v>97281461.269999996</v>
      </c>
      <c r="K1321" s="12">
        <v>6957</v>
      </c>
      <c r="L1321" s="10" t="s">
        <v>101</v>
      </c>
      <c r="M1321" s="10" t="s">
        <v>102</v>
      </c>
      <c r="N1321" s="124" t="s">
        <v>464</v>
      </c>
      <c r="O1321" s="124" t="s">
        <v>464</v>
      </c>
      <c r="P1321" s="21">
        <v>30</v>
      </c>
      <c r="Q1321" s="10" t="s">
        <v>54</v>
      </c>
      <c r="R1321" s="10" t="s">
        <v>28</v>
      </c>
      <c r="S1321" s="10"/>
      <c r="T1321" s="10"/>
      <c r="U1321" s="10" t="s">
        <v>2551</v>
      </c>
      <c r="V1321" s="10" t="s">
        <v>2551</v>
      </c>
      <c r="W1321" s="50">
        <f>+J1321/$W$2</f>
        <v>1.1905933434112998E-3</v>
      </c>
    </row>
    <row r="1322" spans="1:23">
      <c r="A1322" s="10" t="s">
        <v>2828</v>
      </c>
      <c r="B1322" s="10" t="s">
        <v>358</v>
      </c>
      <c r="C1322" s="124">
        <v>46358</v>
      </c>
      <c r="D1322" s="124" t="s">
        <v>471</v>
      </c>
      <c r="E1322" s="21">
        <v>0.97105463000000003</v>
      </c>
      <c r="F1322" s="10"/>
      <c r="G1322" s="14">
        <v>716184.35</v>
      </c>
      <c r="H1322" s="14">
        <v>695454.13</v>
      </c>
      <c r="I1322" s="14">
        <v>716184.35</v>
      </c>
      <c r="J1322" s="14">
        <v>695454.13</v>
      </c>
      <c r="K1322" s="12">
        <v>6715</v>
      </c>
      <c r="L1322" s="10" t="s">
        <v>101</v>
      </c>
      <c r="M1322" s="10" t="s">
        <v>102</v>
      </c>
      <c r="N1322" s="124" t="s">
        <v>412</v>
      </c>
      <c r="O1322" s="124" t="s">
        <v>412</v>
      </c>
      <c r="P1322" s="21">
        <v>32</v>
      </c>
      <c r="Q1322" s="10" t="s">
        <v>54</v>
      </c>
      <c r="R1322" s="10" t="s">
        <v>28</v>
      </c>
      <c r="S1322" s="10"/>
      <c r="T1322" s="10"/>
      <c r="U1322" s="10" t="s">
        <v>2795</v>
      </c>
      <c r="V1322" s="10" t="s">
        <v>2795</v>
      </c>
      <c r="W1322" s="50">
        <f>+J1322/$W$2</f>
        <v>8.511416738774249E-6</v>
      </c>
    </row>
    <row r="1323" spans="1:23">
      <c r="A1323" s="10" t="s">
        <v>295</v>
      </c>
      <c r="B1323" s="10" t="s">
        <v>358</v>
      </c>
      <c r="C1323" s="124">
        <v>46358</v>
      </c>
      <c r="D1323" s="124" t="s">
        <v>471</v>
      </c>
      <c r="E1323" s="21">
        <v>0.98171065000000002</v>
      </c>
      <c r="F1323" s="10"/>
      <c r="G1323" s="14">
        <v>8500000</v>
      </c>
      <c r="H1323" s="14">
        <v>8344540.5300000003</v>
      </c>
      <c r="I1323" s="14">
        <v>8500000</v>
      </c>
      <c r="J1323" s="14">
        <v>8344540.5300000003</v>
      </c>
      <c r="K1323" s="12">
        <v>34605</v>
      </c>
      <c r="L1323" s="10" t="s">
        <v>101</v>
      </c>
      <c r="M1323" s="10" t="s">
        <v>102</v>
      </c>
      <c r="N1323" s="124" t="s">
        <v>405</v>
      </c>
      <c r="O1323" s="124" t="s">
        <v>405</v>
      </c>
      <c r="P1323" s="21">
        <v>20</v>
      </c>
      <c r="Q1323" s="10" t="s">
        <v>54</v>
      </c>
      <c r="R1323" s="10" t="s">
        <v>28</v>
      </c>
      <c r="S1323" s="10"/>
      <c r="T1323" s="10"/>
      <c r="U1323" s="10" t="s">
        <v>1492</v>
      </c>
      <c r="V1323" s="10" t="s">
        <v>1492</v>
      </c>
      <c r="W1323" s="50">
        <f>+J1323/$W$2</f>
        <v>1.0212587556913659E-4</v>
      </c>
    </row>
    <row r="1324" spans="1:23">
      <c r="A1324" s="10" t="s">
        <v>132</v>
      </c>
      <c r="B1324" s="10" t="s">
        <v>358</v>
      </c>
      <c r="C1324" s="124">
        <v>46358</v>
      </c>
      <c r="D1324" s="124" t="s">
        <v>471</v>
      </c>
      <c r="E1324" s="21">
        <v>0.9710548</v>
      </c>
      <c r="F1324" s="10"/>
      <c r="G1324" s="14">
        <v>80000000</v>
      </c>
      <c r="H1324" s="14">
        <v>77684383.859999999</v>
      </c>
      <c r="I1324" s="14">
        <v>80000000</v>
      </c>
      <c r="J1324" s="14">
        <v>77684383.859999999</v>
      </c>
      <c r="K1324" s="12">
        <v>1040</v>
      </c>
      <c r="L1324" s="10" t="s">
        <v>101</v>
      </c>
      <c r="M1324" s="10" t="s">
        <v>102</v>
      </c>
      <c r="N1324" s="124" t="s">
        <v>471</v>
      </c>
      <c r="O1324" s="124" t="s">
        <v>471</v>
      </c>
      <c r="P1324" s="21">
        <v>32</v>
      </c>
      <c r="Q1324" s="10" t="s">
        <v>54</v>
      </c>
      <c r="R1324" s="10" t="s">
        <v>28</v>
      </c>
      <c r="S1324" s="10"/>
      <c r="T1324" s="10"/>
      <c r="U1324" s="10" t="s">
        <v>4139</v>
      </c>
      <c r="V1324" s="10" t="s">
        <v>4139</v>
      </c>
      <c r="W1324" s="50">
        <f>+J1324/$W$2</f>
        <v>9.50751655076616E-4</v>
      </c>
    </row>
    <row r="1325" spans="1:23">
      <c r="A1325" s="10" t="s">
        <v>433</v>
      </c>
      <c r="B1325" s="10" t="s">
        <v>358</v>
      </c>
      <c r="C1325" s="124">
        <v>46358</v>
      </c>
      <c r="D1325" s="124" t="s">
        <v>471</v>
      </c>
      <c r="E1325" s="21">
        <v>0.97017706000000004</v>
      </c>
      <c r="F1325" s="10"/>
      <c r="G1325" s="14">
        <v>25000000</v>
      </c>
      <c r="H1325" s="14">
        <v>24254426.609999999</v>
      </c>
      <c r="I1325" s="14">
        <v>25000000</v>
      </c>
      <c r="J1325" s="14">
        <v>24254426.609999999</v>
      </c>
      <c r="K1325" s="12">
        <v>14422657</v>
      </c>
      <c r="L1325" s="10" t="s">
        <v>101</v>
      </c>
      <c r="M1325" s="10" t="s">
        <v>102</v>
      </c>
      <c r="N1325" s="124" t="s">
        <v>396</v>
      </c>
      <c r="O1325" s="124" t="s">
        <v>396</v>
      </c>
      <c r="P1325" s="21">
        <v>33</v>
      </c>
      <c r="Q1325" s="10" t="s">
        <v>54</v>
      </c>
      <c r="R1325" s="10" t="s">
        <v>28</v>
      </c>
      <c r="S1325" s="10"/>
      <c r="T1325" s="10"/>
      <c r="U1325" s="10" t="s">
        <v>1386</v>
      </c>
      <c r="V1325" s="10" t="s">
        <v>1386</v>
      </c>
      <c r="W1325" s="50">
        <f>+J1325/$W$2</f>
        <v>2.9684133536991944E-4</v>
      </c>
    </row>
    <row r="1326" spans="1:23">
      <c r="A1326" s="10" t="s">
        <v>437</v>
      </c>
      <c r="B1326" s="10" t="s">
        <v>358</v>
      </c>
      <c r="C1326" s="124">
        <v>46358</v>
      </c>
      <c r="D1326" s="124" t="s">
        <v>471</v>
      </c>
      <c r="E1326" s="21">
        <v>0.97017708999999996</v>
      </c>
      <c r="F1326" s="10"/>
      <c r="G1326" s="14">
        <v>2600411.64</v>
      </c>
      <c r="H1326" s="14">
        <v>2522859.79</v>
      </c>
      <c r="I1326" s="14">
        <v>2600411.64</v>
      </c>
      <c r="J1326" s="14">
        <v>2522859.79</v>
      </c>
      <c r="K1326" s="12">
        <v>90000275</v>
      </c>
      <c r="L1326" s="10" t="s">
        <v>101</v>
      </c>
      <c r="M1326" s="10" t="s">
        <v>102</v>
      </c>
      <c r="N1326" s="124" t="s">
        <v>409</v>
      </c>
      <c r="O1326" s="124" t="s">
        <v>409</v>
      </c>
      <c r="P1326" s="21">
        <v>33</v>
      </c>
      <c r="Q1326" s="10" t="s">
        <v>54</v>
      </c>
      <c r="R1326" s="10" t="s">
        <v>28</v>
      </c>
      <c r="S1326" s="10"/>
      <c r="T1326" s="10"/>
      <c r="U1326" s="10" t="s">
        <v>888</v>
      </c>
      <c r="V1326" s="10" t="s">
        <v>888</v>
      </c>
      <c r="W1326" s="50">
        <f>+J1326/$W$2</f>
        <v>3.0876387269691657E-5</v>
      </c>
    </row>
    <row r="1327" spans="1:23">
      <c r="A1327" s="10" t="s">
        <v>3586</v>
      </c>
      <c r="B1327" s="10" t="s">
        <v>358</v>
      </c>
      <c r="C1327" s="124">
        <v>46358</v>
      </c>
      <c r="D1327" s="124" t="s">
        <v>471</v>
      </c>
      <c r="E1327" s="21">
        <v>0.97281461000000002</v>
      </c>
      <c r="F1327" s="10"/>
      <c r="G1327" s="14">
        <v>490000</v>
      </c>
      <c r="H1327" s="14">
        <v>476679.16</v>
      </c>
      <c r="I1327" s="14">
        <v>490000</v>
      </c>
      <c r="J1327" s="14">
        <v>476679.16</v>
      </c>
      <c r="K1327" s="12">
        <v>11181523</v>
      </c>
      <c r="L1327" s="10" t="s">
        <v>101</v>
      </c>
      <c r="M1327" s="10" t="s">
        <v>102</v>
      </c>
      <c r="N1327" s="124" t="s">
        <v>451</v>
      </c>
      <c r="O1327" s="124" t="s">
        <v>451</v>
      </c>
      <c r="P1327" s="21">
        <v>30</v>
      </c>
      <c r="Q1327" s="10" t="s">
        <v>54</v>
      </c>
      <c r="R1327" s="10" t="s">
        <v>28</v>
      </c>
      <c r="S1327" s="10"/>
      <c r="T1327" s="10"/>
      <c r="U1327" s="10" t="s">
        <v>3525</v>
      </c>
      <c r="V1327" s="10" t="s">
        <v>3525</v>
      </c>
      <c r="W1327" s="50">
        <f>+J1327/$W$2</f>
        <v>5.8339073799861504E-6</v>
      </c>
    </row>
    <row r="1328" spans="1:23">
      <c r="A1328" s="10" t="s">
        <v>3786</v>
      </c>
      <c r="B1328" s="10" t="s">
        <v>358</v>
      </c>
      <c r="C1328" s="124">
        <v>46358</v>
      </c>
      <c r="D1328" s="124" t="s">
        <v>471</v>
      </c>
      <c r="E1328" s="21">
        <v>0.97369686</v>
      </c>
      <c r="F1328" s="10"/>
      <c r="G1328" s="14">
        <v>698373</v>
      </c>
      <c r="H1328" s="14">
        <v>680003.6</v>
      </c>
      <c r="I1328" s="14">
        <v>698373</v>
      </c>
      <c r="J1328" s="14">
        <v>680003.6</v>
      </c>
      <c r="K1328" s="12">
        <v>3712744</v>
      </c>
      <c r="L1328" s="10" t="s">
        <v>101</v>
      </c>
      <c r="M1328" s="10" t="s">
        <v>102</v>
      </c>
      <c r="N1328" s="124" t="s">
        <v>467</v>
      </c>
      <c r="O1328" s="124" t="s">
        <v>467</v>
      </c>
      <c r="P1328" s="21">
        <v>29</v>
      </c>
      <c r="Q1328" s="10" t="s">
        <v>54</v>
      </c>
      <c r="R1328" s="10" t="s">
        <v>28</v>
      </c>
      <c r="S1328" s="10"/>
      <c r="T1328" s="10"/>
      <c r="U1328" s="10" t="s">
        <v>3713</v>
      </c>
      <c r="V1328" s="10" t="s">
        <v>3713</v>
      </c>
      <c r="W1328" s="50">
        <f>+J1328/$W$2</f>
        <v>8.3223231753138747E-6</v>
      </c>
    </row>
    <row r="1329" spans="1:23">
      <c r="A1329" s="10" t="s">
        <v>3787</v>
      </c>
      <c r="B1329" s="10" t="s">
        <v>358</v>
      </c>
      <c r="C1329" s="124">
        <v>46358</v>
      </c>
      <c r="D1329" s="124" t="s">
        <v>471</v>
      </c>
      <c r="E1329" s="21">
        <v>0.97369686</v>
      </c>
      <c r="F1329" s="10"/>
      <c r="G1329" s="14">
        <v>8650000</v>
      </c>
      <c r="H1329" s="14">
        <v>8422477.8200000003</v>
      </c>
      <c r="I1329" s="14">
        <v>8650000</v>
      </c>
      <c r="J1329" s="14">
        <v>8422477.8200000003</v>
      </c>
      <c r="K1329" s="12">
        <v>2048458</v>
      </c>
      <c r="L1329" s="10" t="s">
        <v>101</v>
      </c>
      <c r="M1329" s="10" t="s">
        <v>102</v>
      </c>
      <c r="N1329" s="124" t="s">
        <v>467</v>
      </c>
      <c r="O1329" s="124" t="s">
        <v>467</v>
      </c>
      <c r="P1329" s="21">
        <v>29</v>
      </c>
      <c r="Q1329" s="10" t="s">
        <v>54</v>
      </c>
      <c r="R1329" s="10" t="s">
        <v>28</v>
      </c>
      <c r="S1329" s="10"/>
      <c r="T1329" s="10"/>
      <c r="U1329" s="10" t="s">
        <v>3722</v>
      </c>
      <c r="V1329" s="10" t="s">
        <v>3722</v>
      </c>
      <c r="W1329" s="50">
        <f>+J1329/$W$2</f>
        <v>1.0307972245287096E-4</v>
      </c>
    </row>
    <row r="1330" spans="1:23">
      <c r="A1330" s="10" t="s">
        <v>2211</v>
      </c>
      <c r="B1330" s="10" t="s">
        <v>358</v>
      </c>
      <c r="C1330" s="124">
        <v>46358</v>
      </c>
      <c r="D1330" s="124" t="s">
        <v>471</v>
      </c>
      <c r="E1330" s="21">
        <v>0.97017710000000001</v>
      </c>
      <c r="F1330" s="10"/>
      <c r="G1330" s="14">
        <v>2500000</v>
      </c>
      <c r="H1330" s="14">
        <v>2425442.75</v>
      </c>
      <c r="I1330" s="14">
        <v>2500000</v>
      </c>
      <c r="J1330" s="14">
        <v>2425442.75</v>
      </c>
      <c r="K1330" s="12">
        <v>102</v>
      </c>
      <c r="L1330" s="10" t="s">
        <v>101</v>
      </c>
      <c r="M1330" s="10" t="s">
        <v>102</v>
      </c>
      <c r="N1330" s="124" t="s">
        <v>478</v>
      </c>
      <c r="O1330" s="124" t="s">
        <v>478</v>
      </c>
      <c r="P1330" s="21">
        <v>33</v>
      </c>
      <c r="Q1330" s="10" t="s">
        <v>54</v>
      </c>
      <c r="R1330" s="10" t="s">
        <v>28</v>
      </c>
      <c r="S1330" s="10"/>
      <c r="T1330" s="10"/>
      <c r="U1330" s="10" t="s">
        <v>2180</v>
      </c>
      <c r="V1330" s="10" t="s">
        <v>2180</v>
      </c>
      <c r="W1330" s="50">
        <f>+J1330/$W$2</f>
        <v>2.9684134626231416E-5</v>
      </c>
    </row>
    <row r="1331" spans="1:23">
      <c r="A1331" s="10" t="s">
        <v>3407</v>
      </c>
      <c r="B1331" s="10" t="s">
        <v>358</v>
      </c>
      <c r="C1331" s="124">
        <v>46358</v>
      </c>
      <c r="D1331" s="124" t="s">
        <v>471</v>
      </c>
      <c r="E1331" s="21">
        <v>0.97105483000000004</v>
      </c>
      <c r="F1331" s="10"/>
      <c r="G1331" s="14">
        <v>1380000</v>
      </c>
      <c r="H1331" s="14">
        <v>1340055.6599999999</v>
      </c>
      <c r="I1331" s="14">
        <v>1380000</v>
      </c>
      <c r="J1331" s="14">
        <v>1340055.6599999999</v>
      </c>
      <c r="K1331" s="12">
        <v>70471004</v>
      </c>
      <c r="L1331" s="10" t="s">
        <v>101</v>
      </c>
      <c r="M1331" s="10" t="s">
        <v>102</v>
      </c>
      <c r="N1331" s="124" t="s">
        <v>475</v>
      </c>
      <c r="O1331" s="124" t="s">
        <v>475</v>
      </c>
      <c r="P1331" s="21">
        <v>32</v>
      </c>
      <c r="Q1331" s="10" t="s">
        <v>54</v>
      </c>
      <c r="R1331" s="10" t="s">
        <v>28</v>
      </c>
      <c r="S1331" s="10"/>
      <c r="T1331" s="10"/>
      <c r="U1331" s="10" t="s">
        <v>3364</v>
      </c>
      <c r="V1331" s="10" t="s">
        <v>3364</v>
      </c>
      <c r="W1331" s="50">
        <f>+J1331/$W$2</f>
        <v>1.64004665202192E-5</v>
      </c>
    </row>
    <row r="1332" spans="1:23">
      <c r="A1332" s="10" t="s">
        <v>3408</v>
      </c>
      <c r="B1332" s="10" t="s">
        <v>358</v>
      </c>
      <c r="C1332" s="124">
        <v>46358</v>
      </c>
      <c r="D1332" s="124" t="s">
        <v>471</v>
      </c>
      <c r="E1332" s="21">
        <v>0.97105489</v>
      </c>
      <c r="F1332" s="10"/>
      <c r="G1332" s="14">
        <v>151949</v>
      </c>
      <c r="H1332" s="14">
        <v>147550.82</v>
      </c>
      <c r="I1332" s="14">
        <v>151949</v>
      </c>
      <c r="J1332" s="14">
        <v>147550.82</v>
      </c>
      <c r="K1332" s="12">
        <v>10455635</v>
      </c>
      <c r="L1332" s="10" t="s">
        <v>101</v>
      </c>
      <c r="M1332" s="10" t="s">
        <v>102</v>
      </c>
      <c r="N1332" s="124" t="s">
        <v>475</v>
      </c>
      <c r="O1332" s="124" t="s">
        <v>475</v>
      </c>
      <c r="P1332" s="21">
        <v>32</v>
      </c>
      <c r="Q1332" s="10" t="s">
        <v>54</v>
      </c>
      <c r="R1332" s="10" t="s">
        <v>28</v>
      </c>
      <c r="S1332" s="10"/>
      <c r="T1332" s="10"/>
      <c r="U1332" s="10" t="s">
        <v>3365</v>
      </c>
      <c r="V1332" s="10" t="s">
        <v>3365</v>
      </c>
      <c r="W1332" s="50">
        <f>+J1332/$W$2</f>
        <v>1.8058222174449754E-6</v>
      </c>
    </row>
    <row r="1333" spans="1:23">
      <c r="A1333" s="10" t="s">
        <v>3409</v>
      </c>
      <c r="B1333" s="10" t="s">
        <v>358</v>
      </c>
      <c r="C1333" s="124">
        <v>46358</v>
      </c>
      <c r="D1333" s="124" t="s">
        <v>471</v>
      </c>
      <c r="E1333" s="21">
        <v>0.97105481000000005</v>
      </c>
      <c r="F1333" s="10"/>
      <c r="G1333" s="14">
        <v>5000000</v>
      </c>
      <c r="H1333" s="14">
        <v>4855274.07</v>
      </c>
      <c r="I1333" s="14">
        <v>5000000</v>
      </c>
      <c r="J1333" s="14">
        <v>4855274.07</v>
      </c>
      <c r="K1333" s="12">
        <v>40981970</v>
      </c>
      <c r="L1333" s="10" t="s">
        <v>101</v>
      </c>
      <c r="M1333" s="10" t="s">
        <v>102</v>
      </c>
      <c r="N1333" s="124" t="s">
        <v>475</v>
      </c>
      <c r="O1333" s="124" t="s">
        <v>475</v>
      </c>
      <c r="P1333" s="21">
        <v>32</v>
      </c>
      <c r="Q1333" s="10" t="s">
        <v>54</v>
      </c>
      <c r="R1333" s="10" t="s">
        <v>28</v>
      </c>
      <c r="S1333" s="10"/>
      <c r="T1333" s="10"/>
      <c r="U1333" s="10" t="s">
        <v>3366</v>
      </c>
      <c r="V1333" s="10" t="s">
        <v>3366</v>
      </c>
      <c r="W1333" s="50">
        <f>+J1333/$W$2</f>
        <v>5.9421979406081856E-5</v>
      </c>
    </row>
    <row r="1334" spans="1:23">
      <c r="A1334" s="10" t="s">
        <v>685</v>
      </c>
      <c r="B1334" s="10" t="s">
        <v>358</v>
      </c>
      <c r="C1334" s="124">
        <v>46358</v>
      </c>
      <c r="D1334" s="124" t="s">
        <v>471</v>
      </c>
      <c r="E1334" s="21">
        <v>0.97281470000000003</v>
      </c>
      <c r="F1334" s="10"/>
      <c r="G1334" s="14">
        <v>1500000</v>
      </c>
      <c r="H1334" s="14">
        <v>1459222.05</v>
      </c>
      <c r="I1334" s="14">
        <v>1500000</v>
      </c>
      <c r="J1334" s="14">
        <v>1459222.05</v>
      </c>
      <c r="K1334" s="12">
        <v>10793609</v>
      </c>
      <c r="L1334" s="10" t="s">
        <v>101</v>
      </c>
      <c r="M1334" s="10" t="s">
        <v>102</v>
      </c>
      <c r="N1334" s="124" t="s">
        <v>475</v>
      </c>
      <c r="O1334" s="124" t="s">
        <v>475</v>
      </c>
      <c r="P1334" s="21">
        <v>30</v>
      </c>
      <c r="Q1334" s="10" t="s">
        <v>54</v>
      </c>
      <c r="R1334" s="10" t="s">
        <v>28</v>
      </c>
      <c r="S1334" s="10"/>
      <c r="T1334" s="10"/>
      <c r="U1334" s="10" t="s">
        <v>3335</v>
      </c>
      <c r="V1334" s="10" t="s">
        <v>3335</v>
      </c>
      <c r="W1334" s="50">
        <f>+J1334/$W$2</f>
        <v>1.7858901753820158E-5</v>
      </c>
    </row>
    <row r="1335" spans="1:23">
      <c r="A1335" s="10" t="s">
        <v>359</v>
      </c>
      <c r="B1335" s="10" t="s">
        <v>358</v>
      </c>
      <c r="C1335" s="124">
        <v>46358</v>
      </c>
      <c r="D1335" s="124" t="s">
        <v>471</v>
      </c>
      <c r="E1335" s="21">
        <v>0.97281454000000001</v>
      </c>
      <c r="F1335" s="10"/>
      <c r="G1335" s="14">
        <v>8000000</v>
      </c>
      <c r="H1335" s="14">
        <v>7782516.2800000003</v>
      </c>
      <c r="I1335" s="14">
        <v>8000000</v>
      </c>
      <c r="J1335" s="14">
        <v>7782516.2800000003</v>
      </c>
      <c r="K1335" s="12">
        <v>1436</v>
      </c>
      <c r="L1335" s="10" t="s">
        <v>101</v>
      </c>
      <c r="M1335" s="10" t="s">
        <v>102</v>
      </c>
      <c r="N1335" s="124" t="s">
        <v>474</v>
      </c>
      <c r="O1335" s="124" t="s">
        <v>474</v>
      </c>
      <c r="P1335" s="21">
        <v>30</v>
      </c>
      <c r="Q1335" s="10" t="s">
        <v>54</v>
      </c>
      <c r="R1335" s="10" t="s">
        <v>28</v>
      </c>
      <c r="S1335" s="10"/>
      <c r="T1335" s="10"/>
      <c r="U1335" s="10" t="s">
        <v>3864</v>
      </c>
      <c r="V1335" s="10" t="s">
        <v>3864</v>
      </c>
      <c r="W1335" s="50">
        <f>+J1335/$W$2</f>
        <v>9.5247459865361778E-5</v>
      </c>
    </row>
    <row r="1336" spans="1:23">
      <c r="A1336" s="10" t="s">
        <v>363</v>
      </c>
      <c r="B1336" s="10" t="s">
        <v>358</v>
      </c>
      <c r="C1336" s="124">
        <v>46358</v>
      </c>
      <c r="D1336" s="124" t="s">
        <v>471</v>
      </c>
      <c r="E1336" s="21">
        <v>0.96581296000000005</v>
      </c>
      <c r="F1336" s="10"/>
      <c r="G1336" s="14">
        <v>100000000</v>
      </c>
      <c r="H1336" s="14">
        <v>96581295.819999993</v>
      </c>
      <c r="I1336" s="14">
        <v>100000000</v>
      </c>
      <c r="J1336" s="14">
        <v>96581295.819999993</v>
      </c>
      <c r="K1336" s="12">
        <v>70219574</v>
      </c>
      <c r="L1336" s="10" t="s">
        <v>101</v>
      </c>
      <c r="M1336" s="10" t="s">
        <v>102</v>
      </c>
      <c r="N1336" s="124" t="s">
        <v>452</v>
      </c>
      <c r="O1336" s="124" t="s">
        <v>452</v>
      </c>
      <c r="P1336" s="21">
        <v>38</v>
      </c>
      <c r="Q1336" s="10" t="s">
        <v>54</v>
      </c>
      <c r="R1336" s="10" t="s">
        <v>28</v>
      </c>
      <c r="S1336" s="10"/>
      <c r="T1336" s="10"/>
      <c r="U1336" s="10" t="s">
        <v>2498</v>
      </c>
      <c r="V1336" s="10" t="s">
        <v>2498</v>
      </c>
      <c r="W1336" s="50">
        <f>+J1336/$W$2</f>
        <v>1.1820242664959877E-3</v>
      </c>
    </row>
    <row r="1337" spans="1:23">
      <c r="A1337" s="10" t="s">
        <v>367</v>
      </c>
      <c r="B1337" s="10" t="s">
        <v>358</v>
      </c>
      <c r="C1337" s="124">
        <v>46358</v>
      </c>
      <c r="D1337" s="124" t="s">
        <v>471</v>
      </c>
      <c r="E1337" s="21">
        <v>0.97105465000000002</v>
      </c>
      <c r="F1337" s="10"/>
      <c r="G1337" s="14">
        <v>2833000</v>
      </c>
      <c r="H1337" s="14">
        <v>2750997.82</v>
      </c>
      <c r="I1337" s="14">
        <v>2833000</v>
      </c>
      <c r="J1337" s="14">
        <v>2750997.82</v>
      </c>
      <c r="K1337" s="12">
        <v>90000056</v>
      </c>
      <c r="L1337" s="10" t="s">
        <v>101</v>
      </c>
      <c r="M1337" s="10" t="s">
        <v>102</v>
      </c>
      <c r="N1337" s="124" t="s">
        <v>477</v>
      </c>
      <c r="O1337" s="124" t="s">
        <v>477</v>
      </c>
      <c r="P1337" s="21">
        <v>32</v>
      </c>
      <c r="Q1337" s="10" t="s">
        <v>54</v>
      </c>
      <c r="R1337" s="10" t="s">
        <v>28</v>
      </c>
      <c r="S1337" s="10"/>
      <c r="T1337" s="10"/>
      <c r="U1337" s="10" t="s">
        <v>2401</v>
      </c>
      <c r="V1337" s="10" t="s">
        <v>2401</v>
      </c>
      <c r="W1337" s="50">
        <f>+J1337/$W$2</f>
        <v>3.3668487803040965E-5</v>
      </c>
    </row>
    <row r="1338" spans="1:23">
      <c r="A1338" s="10" t="s">
        <v>2823</v>
      </c>
      <c r="B1338" s="10" t="s">
        <v>358</v>
      </c>
      <c r="C1338" s="124">
        <v>46358</v>
      </c>
      <c r="D1338" s="124" t="s">
        <v>471</v>
      </c>
      <c r="E1338" s="21">
        <v>0.97105456999999995</v>
      </c>
      <c r="F1338" s="10"/>
      <c r="G1338" s="14">
        <v>513679.69</v>
      </c>
      <c r="H1338" s="14">
        <v>498811.01</v>
      </c>
      <c r="I1338" s="14">
        <v>513679.69</v>
      </c>
      <c r="J1338" s="14">
        <v>498811.01</v>
      </c>
      <c r="K1338" s="12">
        <v>5287</v>
      </c>
      <c r="L1338" s="10" t="s">
        <v>101</v>
      </c>
      <c r="M1338" s="10" t="s">
        <v>102</v>
      </c>
      <c r="N1338" s="124" t="s">
        <v>412</v>
      </c>
      <c r="O1338" s="124" t="s">
        <v>412</v>
      </c>
      <c r="P1338" s="21">
        <v>32</v>
      </c>
      <c r="Q1338" s="10" t="s">
        <v>54</v>
      </c>
      <c r="R1338" s="10" t="s">
        <v>28</v>
      </c>
      <c r="S1338" s="10"/>
      <c r="T1338" s="10"/>
      <c r="U1338" s="10" t="s">
        <v>2785</v>
      </c>
      <c r="V1338" s="10" t="s">
        <v>2785</v>
      </c>
      <c r="W1338" s="50">
        <f>+J1338/$W$2</f>
        <v>6.1047712521297255E-6</v>
      </c>
    </row>
    <row r="1339" spans="1:23">
      <c r="A1339" s="10" t="s">
        <v>2819</v>
      </c>
      <c r="B1339" s="10" t="s">
        <v>358</v>
      </c>
      <c r="C1339" s="124">
        <v>46358</v>
      </c>
      <c r="D1339" s="124" t="s">
        <v>471</v>
      </c>
      <c r="E1339" s="21">
        <v>0.97105461000000004</v>
      </c>
      <c r="F1339" s="10"/>
      <c r="G1339" s="14">
        <v>18485149.41</v>
      </c>
      <c r="H1339" s="14">
        <v>17950089.57</v>
      </c>
      <c r="I1339" s="14">
        <v>18485149.41</v>
      </c>
      <c r="J1339" s="14">
        <v>17950089.57</v>
      </c>
      <c r="K1339" s="12">
        <v>4479</v>
      </c>
      <c r="L1339" s="10" t="s">
        <v>101</v>
      </c>
      <c r="M1339" s="10" t="s">
        <v>102</v>
      </c>
      <c r="N1339" s="124" t="s">
        <v>412</v>
      </c>
      <c r="O1339" s="124" t="s">
        <v>412</v>
      </c>
      <c r="P1339" s="21">
        <v>32</v>
      </c>
      <c r="Q1339" s="10" t="s">
        <v>54</v>
      </c>
      <c r="R1339" s="10" t="s">
        <v>28</v>
      </c>
      <c r="S1339" s="10"/>
      <c r="T1339" s="10"/>
      <c r="U1339" s="10" t="s">
        <v>2791</v>
      </c>
      <c r="V1339" s="10" t="s">
        <v>2791</v>
      </c>
      <c r="W1339" s="50">
        <f>+J1339/$W$2</f>
        <v>2.1968478759137579E-4</v>
      </c>
    </row>
    <row r="1340" spans="1:23">
      <c r="A1340" s="10" t="s">
        <v>2870</v>
      </c>
      <c r="B1340" s="10" t="s">
        <v>358</v>
      </c>
      <c r="C1340" s="124">
        <v>46358</v>
      </c>
      <c r="D1340" s="124" t="s">
        <v>471</v>
      </c>
      <c r="E1340" s="21">
        <v>0.97105465999999996</v>
      </c>
      <c r="F1340" s="10"/>
      <c r="G1340" s="14">
        <v>17889421.149999999</v>
      </c>
      <c r="H1340" s="14">
        <v>17371605.800000001</v>
      </c>
      <c r="I1340" s="14">
        <v>17889421.149999999</v>
      </c>
      <c r="J1340" s="14">
        <v>17371605.800000001</v>
      </c>
      <c r="K1340" s="12">
        <v>90000934</v>
      </c>
      <c r="L1340" s="10" t="s">
        <v>101</v>
      </c>
      <c r="M1340" s="10" t="s">
        <v>102</v>
      </c>
      <c r="N1340" s="124" t="s">
        <v>445</v>
      </c>
      <c r="O1340" s="124" t="s">
        <v>445</v>
      </c>
      <c r="P1340" s="21">
        <v>32</v>
      </c>
      <c r="Q1340" s="10" t="s">
        <v>54</v>
      </c>
      <c r="R1340" s="10" t="s">
        <v>28</v>
      </c>
      <c r="S1340" s="10"/>
      <c r="T1340" s="10"/>
      <c r="U1340" s="10" t="s">
        <v>2841</v>
      </c>
      <c r="V1340" s="10" t="s">
        <v>2841</v>
      </c>
      <c r="W1340" s="50">
        <f>+J1340/$W$2</f>
        <v>2.1260492965295615E-4</v>
      </c>
    </row>
    <row r="1341" spans="1:23">
      <c r="A1341" s="10" t="s">
        <v>2967</v>
      </c>
      <c r="B1341" s="10" t="s">
        <v>358</v>
      </c>
      <c r="C1341" s="124">
        <v>46358</v>
      </c>
      <c r="D1341" s="124" t="s">
        <v>471</v>
      </c>
      <c r="E1341" s="21">
        <v>0.97281466000000005</v>
      </c>
      <c r="F1341" s="10"/>
      <c r="G1341" s="14">
        <v>2750000</v>
      </c>
      <c r="H1341" s="14">
        <v>2675240.3199999998</v>
      </c>
      <c r="I1341" s="14">
        <v>2750000</v>
      </c>
      <c r="J1341" s="14">
        <v>2675240.3199999998</v>
      </c>
      <c r="K1341" s="12">
        <v>654</v>
      </c>
      <c r="L1341" s="10" t="s">
        <v>101</v>
      </c>
      <c r="M1341" s="10" t="s">
        <v>102</v>
      </c>
      <c r="N1341" s="124" t="s">
        <v>411</v>
      </c>
      <c r="O1341" s="124" t="s">
        <v>411</v>
      </c>
      <c r="P1341" s="21">
        <v>30</v>
      </c>
      <c r="Q1341" s="10" t="s">
        <v>54</v>
      </c>
      <c r="R1341" s="10" t="s">
        <v>28</v>
      </c>
      <c r="S1341" s="10"/>
      <c r="T1341" s="10"/>
      <c r="U1341" s="10" t="s">
        <v>2915</v>
      </c>
      <c r="V1341" s="10" t="s">
        <v>2915</v>
      </c>
      <c r="W1341" s="50">
        <f>+J1341/$W$2</f>
        <v>3.2741318596945819E-5</v>
      </c>
    </row>
    <row r="1342" spans="1:23">
      <c r="A1342" s="10" t="s">
        <v>3064</v>
      </c>
      <c r="B1342" s="10" t="s">
        <v>358</v>
      </c>
      <c r="C1342" s="124">
        <v>46358</v>
      </c>
      <c r="D1342" s="124" t="s">
        <v>471</v>
      </c>
      <c r="E1342" s="21">
        <v>0.97105465000000002</v>
      </c>
      <c r="F1342" s="10"/>
      <c r="G1342" s="14">
        <v>18667000</v>
      </c>
      <c r="H1342" s="14">
        <v>18126677.219999999</v>
      </c>
      <c r="I1342" s="14">
        <v>18667000</v>
      </c>
      <c r="J1342" s="14">
        <v>18126677.219999999</v>
      </c>
      <c r="K1342" s="12">
        <v>87587</v>
      </c>
      <c r="L1342" s="10" t="s">
        <v>101</v>
      </c>
      <c r="M1342" s="10" t="s">
        <v>102</v>
      </c>
      <c r="N1342" s="124" t="s">
        <v>508</v>
      </c>
      <c r="O1342" s="124" t="s">
        <v>508</v>
      </c>
      <c r="P1342" s="21">
        <v>32</v>
      </c>
      <c r="Q1342" s="10" t="s">
        <v>54</v>
      </c>
      <c r="R1342" s="10" t="s">
        <v>28</v>
      </c>
      <c r="S1342" s="10"/>
      <c r="T1342" s="10"/>
      <c r="U1342" s="10" t="s">
        <v>2999</v>
      </c>
      <c r="V1342" s="10" t="s">
        <v>2999</v>
      </c>
      <c r="W1342" s="50">
        <f>+J1342/$W$2</f>
        <v>2.21845981285158E-4</v>
      </c>
    </row>
    <row r="1343" spans="1:23">
      <c r="A1343" s="10" t="s">
        <v>3106</v>
      </c>
      <c r="B1343" s="10" t="s">
        <v>358</v>
      </c>
      <c r="C1343" s="124">
        <v>46358</v>
      </c>
      <c r="D1343" s="124" t="s">
        <v>471</v>
      </c>
      <c r="E1343" s="21">
        <v>0.97017715000000004</v>
      </c>
      <c r="F1343" s="10"/>
      <c r="G1343" s="14">
        <v>9940463.25</v>
      </c>
      <c r="H1343" s="14">
        <v>9644010.2899999991</v>
      </c>
      <c r="I1343" s="14">
        <v>9940463.25</v>
      </c>
      <c r="J1343" s="14">
        <v>9644010.2899999991</v>
      </c>
      <c r="K1343" s="12">
        <v>980</v>
      </c>
      <c r="L1343" s="10" t="s">
        <v>101</v>
      </c>
      <c r="M1343" s="10" t="s">
        <v>102</v>
      </c>
      <c r="N1343" s="124" t="s">
        <v>446</v>
      </c>
      <c r="O1343" s="124" t="s">
        <v>446</v>
      </c>
      <c r="P1343" s="21">
        <v>33</v>
      </c>
      <c r="Q1343" s="10" t="s">
        <v>54</v>
      </c>
      <c r="R1343" s="10" t="s">
        <v>28</v>
      </c>
      <c r="S1343" s="10"/>
      <c r="T1343" s="10"/>
      <c r="U1343" s="10" t="s">
        <v>3107</v>
      </c>
      <c r="V1343" s="10" t="s">
        <v>3107</v>
      </c>
      <c r="W1343" s="50">
        <f>+J1343/$W$2</f>
        <v>1.1802962563644145E-4</v>
      </c>
    </row>
    <row r="1344" spans="1:23">
      <c r="A1344" s="10" t="s">
        <v>3168</v>
      </c>
      <c r="B1344" s="10" t="s">
        <v>358</v>
      </c>
      <c r="C1344" s="124">
        <v>46358</v>
      </c>
      <c r="D1344" s="124" t="s">
        <v>471</v>
      </c>
      <c r="E1344" s="21">
        <v>0.97281466999999999</v>
      </c>
      <c r="F1344" s="10"/>
      <c r="G1344" s="14">
        <v>2960700</v>
      </c>
      <c r="H1344" s="14">
        <v>2880212.4</v>
      </c>
      <c r="I1344" s="14">
        <v>2960700</v>
      </c>
      <c r="J1344" s="14">
        <v>2880212.4</v>
      </c>
      <c r="K1344" s="12">
        <v>70425758</v>
      </c>
      <c r="L1344" s="10" t="s">
        <v>101</v>
      </c>
      <c r="M1344" s="10" t="s">
        <v>102</v>
      </c>
      <c r="N1344" s="124" t="s">
        <v>448</v>
      </c>
      <c r="O1344" s="124" t="s">
        <v>448</v>
      </c>
      <c r="P1344" s="21">
        <v>30</v>
      </c>
      <c r="Q1344" s="10" t="s">
        <v>54</v>
      </c>
      <c r="R1344" s="10" t="s">
        <v>28</v>
      </c>
      <c r="S1344" s="10"/>
      <c r="T1344" s="10"/>
      <c r="U1344" s="10" t="s">
        <v>3131</v>
      </c>
      <c r="V1344" s="10" t="s">
        <v>3131</v>
      </c>
      <c r="W1344" s="50">
        <f>+J1344/$W$2</f>
        <v>3.5249899274572072E-5</v>
      </c>
    </row>
    <row r="1345" spans="1:29">
      <c r="A1345" s="10" t="s">
        <v>3171</v>
      </c>
      <c r="B1345" s="10" t="s">
        <v>358</v>
      </c>
      <c r="C1345" s="124">
        <v>46358</v>
      </c>
      <c r="D1345" s="124" t="s">
        <v>471</v>
      </c>
      <c r="E1345" s="21">
        <v>0.97281466000000005</v>
      </c>
      <c r="F1345" s="10"/>
      <c r="G1345" s="14">
        <v>1151427.6299999999</v>
      </c>
      <c r="H1345" s="14">
        <v>1120125.68</v>
      </c>
      <c r="I1345" s="14">
        <v>1151427.6299999999</v>
      </c>
      <c r="J1345" s="14">
        <v>1120125.68</v>
      </c>
      <c r="K1345" s="12">
        <v>1144</v>
      </c>
      <c r="L1345" s="10" t="s">
        <v>101</v>
      </c>
      <c r="M1345" s="10" t="s">
        <v>102</v>
      </c>
      <c r="N1345" s="124" t="s">
        <v>448</v>
      </c>
      <c r="O1345" s="124" t="s">
        <v>448</v>
      </c>
      <c r="P1345" s="21">
        <v>30</v>
      </c>
      <c r="Q1345" s="10" t="s">
        <v>54</v>
      </c>
      <c r="R1345" s="10" t="s">
        <v>28</v>
      </c>
      <c r="S1345" s="10"/>
      <c r="T1345" s="10"/>
      <c r="U1345" s="10" t="s">
        <v>3148</v>
      </c>
      <c r="V1345" s="10" t="s">
        <v>3148</v>
      </c>
      <c r="W1345" s="50">
        <f>+J1345/$W$2</f>
        <v>1.3708821403192884E-5</v>
      </c>
    </row>
    <row r="1346" spans="1:29">
      <c r="A1346" s="10" t="s">
        <v>271</v>
      </c>
      <c r="B1346" s="10" t="s">
        <v>358</v>
      </c>
      <c r="C1346" s="124">
        <v>46358</v>
      </c>
      <c r="D1346" s="124" t="s">
        <v>471</v>
      </c>
      <c r="E1346" s="21">
        <v>0.97193381000000001</v>
      </c>
      <c r="F1346" s="10"/>
      <c r="G1346" s="14">
        <v>5000000</v>
      </c>
      <c r="H1346" s="14">
        <v>4859669.03</v>
      </c>
      <c r="I1346" s="14">
        <v>5000000</v>
      </c>
      <c r="J1346" s="14">
        <v>4859669.03</v>
      </c>
      <c r="K1346" s="12">
        <v>8808</v>
      </c>
      <c r="L1346" s="10" t="s">
        <v>101</v>
      </c>
      <c r="M1346" s="10" t="s">
        <v>102</v>
      </c>
      <c r="N1346" s="124" t="s">
        <v>486</v>
      </c>
      <c r="O1346" s="124" t="s">
        <v>486</v>
      </c>
      <c r="P1346" s="21">
        <v>31</v>
      </c>
      <c r="Q1346" s="10" t="s">
        <v>54</v>
      </c>
      <c r="R1346" s="10" t="s">
        <v>28</v>
      </c>
      <c r="S1346" s="10"/>
      <c r="T1346" s="10"/>
      <c r="U1346" s="10" t="s">
        <v>1440</v>
      </c>
      <c r="V1346" s="10" t="s">
        <v>1440</v>
      </c>
      <c r="W1346" s="50">
        <f>+J1346/$W$2</f>
        <v>5.9475767764647277E-5</v>
      </c>
    </row>
    <row r="1347" spans="1:29">
      <c r="A1347" s="10" t="s">
        <v>271</v>
      </c>
      <c r="B1347" s="10" t="s">
        <v>358</v>
      </c>
      <c r="C1347" s="124">
        <v>46358</v>
      </c>
      <c r="D1347" s="124" t="s">
        <v>471</v>
      </c>
      <c r="E1347" s="21">
        <v>0.97458082000000001</v>
      </c>
      <c r="F1347" s="10"/>
      <c r="G1347" s="14">
        <v>7000000</v>
      </c>
      <c r="H1347" s="14">
        <v>6822065.7599999998</v>
      </c>
      <c r="I1347" s="14">
        <v>7000000</v>
      </c>
      <c r="J1347" s="14">
        <v>6822065.7599999998</v>
      </c>
      <c r="K1347" s="12">
        <v>67768339</v>
      </c>
      <c r="L1347" s="10" t="s">
        <v>101</v>
      </c>
      <c r="M1347" s="10" t="s">
        <v>102</v>
      </c>
      <c r="N1347" s="124" t="s">
        <v>370</v>
      </c>
      <c r="O1347" s="124" t="s">
        <v>370</v>
      </c>
      <c r="P1347" s="21">
        <v>28</v>
      </c>
      <c r="Q1347" s="10" t="s">
        <v>54</v>
      </c>
      <c r="R1347" s="10" t="s">
        <v>28</v>
      </c>
      <c r="S1347" s="10"/>
      <c r="T1347" s="10"/>
      <c r="U1347" s="10" t="s">
        <v>672</v>
      </c>
      <c r="V1347" s="10" t="s">
        <v>672</v>
      </c>
      <c r="W1347" s="50">
        <f>+J1347/$W$2</f>
        <v>8.3492846181936769E-5</v>
      </c>
    </row>
    <row r="1348" spans="1:29">
      <c r="A1348" s="10" t="s">
        <v>271</v>
      </c>
      <c r="B1348" s="10" t="s">
        <v>358</v>
      </c>
      <c r="C1348" s="124">
        <v>46358</v>
      </c>
      <c r="D1348" s="124" t="s">
        <v>471</v>
      </c>
      <c r="E1348" s="21">
        <v>0.97635351999999997</v>
      </c>
      <c r="F1348" s="10"/>
      <c r="G1348" s="14">
        <v>5000000</v>
      </c>
      <c r="H1348" s="14">
        <v>4881767.6100000003</v>
      </c>
      <c r="I1348" s="14">
        <v>5000000</v>
      </c>
      <c r="J1348" s="14">
        <v>4881767.6100000003</v>
      </c>
      <c r="K1348" s="12">
        <v>491507</v>
      </c>
      <c r="L1348" s="10" t="s">
        <v>101</v>
      </c>
      <c r="M1348" s="10" t="s">
        <v>102</v>
      </c>
      <c r="N1348" s="124" t="s">
        <v>342</v>
      </c>
      <c r="O1348" s="124" t="s">
        <v>342</v>
      </c>
      <c r="P1348" s="21">
        <v>26</v>
      </c>
      <c r="Q1348" s="10" t="s">
        <v>54</v>
      </c>
      <c r="R1348" s="10" t="s">
        <v>28</v>
      </c>
      <c r="S1348" s="10"/>
      <c r="T1348" s="10"/>
      <c r="U1348" s="10" t="s">
        <v>755</v>
      </c>
      <c r="V1348" s="10" t="s">
        <v>755</v>
      </c>
      <c r="W1348" s="50">
        <f>+J1348/$W$2</f>
        <v>5.9746224457046449E-5</v>
      </c>
    </row>
    <row r="1349" spans="1:29">
      <c r="A1349" s="10" t="s">
        <v>622</v>
      </c>
      <c r="B1349" s="10" t="s">
        <v>358</v>
      </c>
      <c r="C1349" s="124">
        <v>46358</v>
      </c>
      <c r="D1349" s="124" t="s">
        <v>471</v>
      </c>
      <c r="E1349" s="21">
        <v>0.97635358999999999</v>
      </c>
      <c r="F1349" s="10"/>
      <c r="G1349" s="14">
        <v>7000000</v>
      </c>
      <c r="H1349" s="14">
        <v>6834475.1299999999</v>
      </c>
      <c r="I1349" s="14">
        <v>7000000</v>
      </c>
      <c r="J1349" s="14">
        <v>6834475.1299999999</v>
      </c>
      <c r="K1349" s="12">
        <v>1740</v>
      </c>
      <c r="L1349" s="10" t="s">
        <v>101</v>
      </c>
      <c r="M1349" s="10" t="s">
        <v>102</v>
      </c>
      <c r="N1349" s="124" t="s">
        <v>162</v>
      </c>
      <c r="O1349" s="124" t="s">
        <v>162</v>
      </c>
      <c r="P1349" s="21">
        <v>26</v>
      </c>
      <c r="Q1349" s="10" t="s">
        <v>54</v>
      </c>
      <c r="R1349" s="10" t="s">
        <v>28</v>
      </c>
      <c r="S1349" s="10"/>
      <c r="T1349" s="10"/>
      <c r="U1349" s="10" t="s">
        <v>1287</v>
      </c>
      <c r="V1349" s="10" t="s">
        <v>1287</v>
      </c>
      <c r="W1349" s="50">
        <f>+J1349/$W$2</f>
        <v>8.3644720065460397E-5</v>
      </c>
    </row>
    <row r="1350" spans="1:29">
      <c r="A1350" s="10" t="s">
        <v>622</v>
      </c>
      <c r="B1350" s="10" t="s">
        <v>358</v>
      </c>
      <c r="C1350" s="124">
        <v>46358</v>
      </c>
      <c r="D1350" s="124" t="s">
        <v>471</v>
      </c>
      <c r="E1350" s="21">
        <v>0.97635358999999999</v>
      </c>
      <c r="F1350" s="10"/>
      <c r="G1350" s="14">
        <v>7000000</v>
      </c>
      <c r="H1350" s="14">
        <v>6834475.1299999999</v>
      </c>
      <c r="I1350" s="14">
        <v>7000000</v>
      </c>
      <c r="J1350" s="14">
        <v>6834475.1299999999</v>
      </c>
      <c r="K1350" s="12">
        <v>1738</v>
      </c>
      <c r="L1350" s="10" t="s">
        <v>101</v>
      </c>
      <c r="M1350" s="10" t="s">
        <v>102</v>
      </c>
      <c r="N1350" s="124" t="s">
        <v>162</v>
      </c>
      <c r="O1350" s="124" t="s">
        <v>162</v>
      </c>
      <c r="P1350" s="21">
        <v>26</v>
      </c>
      <c r="Q1350" s="10" t="s">
        <v>54</v>
      </c>
      <c r="R1350" s="10" t="s">
        <v>28</v>
      </c>
      <c r="S1350" s="10"/>
      <c r="T1350" s="10"/>
      <c r="U1350" s="10" t="s">
        <v>1288</v>
      </c>
      <c r="V1350" s="10" t="s">
        <v>1288</v>
      </c>
      <c r="W1350" s="50">
        <f>+J1350/$W$2</f>
        <v>8.3644720065460397E-5</v>
      </c>
    </row>
    <row r="1351" spans="1:29">
      <c r="A1351" s="10" t="s">
        <v>622</v>
      </c>
      <c r="B1351" s="10" t="s">
        <v>358</v>
      </c>
      <c r="C1351" s="124">
        <v>46358</v>
      </c>
      <c r="D1351" s="124" t="s">
        <v>471</v>
      </c>
      <c r="E1351" s="21">
        <v>0.97635358999999999</v>
      </c>
      <c r="F1351" s="10"/>
      <c r="G1351" s="14">
        <v>7000000</v>
      </c>
      <c r="H1351" s="14">
        <v>6834475.1299999999</v>
      </c>
      <c r="I1351" s="14">
        <v>7000000</v>
      </c>
      <c r="J1351" s="14">
        <v>6834475.1299999999</v>
      </c>
      <c r="K1351" s="12">
        <v>1739</v>
      </c>
      <c r="L1351" s="10" t="s">
        <v>101</v>
      </c>
      <c r="M1351" s="10" t="s">
        <v>102</v>
      </c>
      <c r="N1351" s="124" t="s">
        <v>162</v>
      </c>
      <c r="O1351" s="124" t="s">
        <v>162</v>
      </c>
      <c r="P1351" s="21">
        <v>26</v>
      </c>
      <c r="Q1351" s="10" t="s">
        <v>54</v>
      </c>
      <c r="R1351" s="10" t="s">
        <v>28</v>
      </c>
      <c r="S1351" s="10"/>
      <c r="T1351" s="10"/>
      <c r="U1351" s="10" t="s">
        <v>1289</v>
      </c>
      <c r="V1351" s="10" t="s">
        <v>1289</v>
      </c>
      <c r="W1351" s="50">
        <f>+J1351/$W$2</f>
        <v>8.3644720065460397E-5</v>
      </c>
    </row>
    <row r="1352" spans="1:29">
      <c r="A1352" s="10" t="s">
        <v>270</v>
      </c>
      <c r="B1352" s="10" t="s">
        <v>358</v>
      </c>
      <c r="C1352" s="124">
        <v>46358</v>
      </c>
      <c r="D1352" s="124" t="s">
        <v>471</v>
      </c>
      <c r="E1352" s="21">
        <v>0.97369687000000005</v>
      </c>
      <c r="F1352" s="10"/>
      <c r="G1352" s="14">
        <v>4103981.39</v>
      </c>
      <c r="H1352" s="14">
        <v>3996033.84</v>
      </c>
      <c r="I1352" s="14">
        <v>4103981.39</v>
      </c>
      <c r="J1352" s="14">
        <v>3996033.84</v>
      </c>
      <c r="K1352" s="12">
        <v>90000123</v>
      </c>
      <c r="L1352" s="10" t="s">
        <v>101</v>
      </c>
      <c r="M1352" s="10" t="s">
        <v>102</v>
      </c>
      <c r="N1352" s="124" t="s">
        <v>333</v>
      </c>
      <c r="O1352" s="124" t="s">
        <v>333</v>
      </c>
      <c r="P1352" s="21">
        <v>29</v>
      </c>
      <c r="Q1352" s="10" t="s">
        <v>54</v>
      </c>
      <c r="R1352" s="10" t="s">
        <v>28</v>
      </c>
      <c r="S1352" s="10"/>
      <c r="T1352" s="10"/>
      <c r="U1352" s="10" t="s">
        <v>644</v>
      </c>
      <c r="V1352" s="10" t="s">
        <v>644</v>
      </c>
      <c r="W1352" s="50">
        <f>+J1352/$W$2</f>
        <v>4.8906042609142799E-5</v>
      </c>
    </row>
    <row r="1353" spans="1:29">
      <c r="A1353" s="10" t="s">
        <v>597</v>
      </c>
      <c r="B1353" s="10" t="s">
        <v>358</v>
      </c>
      <c r="C1353" s="124">
        <v>46358</v>
      </c>
      <c r="D1353" s="124" t="s">
        <v>471</v>
      </c>
      <c r="E1353" s="21">
        <v>0.97281455999999999</v>
      </c>
      <c r="F1353" s="10"/>
      <c r="G1353" s="14">
        <v>2934952.58</v>
      </c>
      <c r="H1353" s="14">
        <v>2855164.6</v>
      </c>
      <c r="I1353" s="14">
        <v>2934952.58</v>
      </c>
      <c r="J1353" s="14">
        <v>2855164.6</v>
      </c>
      <c r="K1353" s="12">
        <v>6916</v>
      </c>
      <c r="L1353" s="10" t="s">
        <v>101</v>
      </c>
      <c r="M1353" s="10" t="s">
        <v>102</v>
      </c>
      <c r="N1353" s="124" t="s">
        <v>487</v>
      </c>
      <c r="O1353" s="124" t="s">
        <v>487</v>
      </c>
      <c r="P1353" s="21">
        <v>30</v>
      </c>
      <c r="Q1353" s="10" t="s">
        <v>54</v>
      </c>
      <c r="R1353" s="10" t="s">
        <v>28</v>
      </c>
      <c r="S1353" s="10"/>
      <c r="T1353" s="10"/>
      <c r="U1353" s="10" t="s">
        <v>1588</v>
      </c>
      <c r="V1353" s="10" t="s">
        <v>1588</v>
      </c>
      <c r="W1353" s="50">
        <f>+J1353/$W$2</f>
        <v>3.4943348123327244E-5</v>
      </c>
    </row>
    <row r="1354" spans="1:29">
      <c r="A1354" s="10" t="s">
        <v>359</v>
      </c>
      <c r="B1354" s="10" t="s">
        <v>358</v>
      </c>
      <c r="C1354" s="124">
        <v>46358</v>
      </c>
      <c r="D1354" s="124" t="s">
        <v>471</v>
      </c>
      <c r="E1354" s="21">
        <v>0.97105467999999995</v>
      </c>
      <c r="F1354" s="10"/>
      <c r="G1354" s="14">
        <v>3500000</v>
      </c>
      <c r="H1354" s="14">
        <v>3398691.38</v>
      </c>
      <c r="I1354" s="14">
        <v>3500000</v>
      </c>
      <c r="J1354" s="14">
        <v>3398691.38</v>
      </c>
      <c r="K1354" s="12">
        <v>1066</v>
      </c>
      <c r="L1354" s="10" t="s">
        <v>101</v>
      </c>
      <c r="M1354" s="10" t="s">
        <v>102</v>
      </c>
      <c r="N1354" s="124" t="s">
        <v>373</v>
      </c>
      <c r="O1354" s="124" t="s">
        <v>373</v>
      </c>
      <c r="P1354" s="21">
        <v>32</v>
      </c>
      <c r="Q1354" s="10" t="s">
        <v>54</v>
      </c>
      <c r="R1354" s="10" t="s">
        <v>28</v>
      </c>
      <c r="S1354" s="10"/>
      <c r="T1354" s="10"/>
      <c r="U1354" s="10" t="s">
        <v>1141</v>
      </c>
      <c r="V1354" s="10" t="s">
        <v>1141</v>
      </c>
      <c r="W1354" s="50">
        <f>+J1354/$W$2</f>
        <v>4.1595379844332431E-5</v>
      </c>
    </row>
    <row r="1355" spans="1:29">
      <c r="A1355" s="10" t="s">
        <v>359</v>
      </c>
      <c r="B1355" s="10" t="s">
        <v>358</v>
      </c>
      <c r="C1355" s="124">
        <v>46358</v>
      </c>
      <c r="D1355" s="124" t="s">
        <v>471</v>
      </c>
      <c r="E1355" s="21">
        <v>0.97017704999999999</v>
      </c>
      <c r="F1355" s="10"/>
      <c r="G1355" s="14">
        <v>2500000</v>
      </c>
      <c r="H1355" s="14">
        <v>2425442.62</v>
      </c>
      <c r="I1355" s="14">
        <v>2500000</v>
      </c>
      <c r="J1355" s="14">
        <v>2425442.62</v>
      </c>
      <c r="K1355" s="12">
        <v>1030</v>
      </c>
      <c r="L1355" s="10" t="s">
        <v>101</v>
      </c>
      <c r="M1355" s="10" t="s">
        <v>102</v>
      </c>
      <c r="N1355" s="124" t="s">
        <v>161</v>
      </c>
      <c r="O1355" s="124" t="s">
        <v>161</v>
      </c>
      <c r="P1355" s="21">
        <v>33</v>
      </c>
      <c r="Q1355" s="10" t="s">
        <v>54</v>
      </c>
      <c r="R1355" s="10" t="s">
        <v>28</v>
      </c>
      <c r="S1355" s="10"/>
      <c r="T1355" s="10"/>
      <c r="U1355" s="10" t="s">
        <v>1083</v>
      </c>
      <c r="V1355" s="10" t="s">
        <v>1083</v>
      </c>
      <c r="W1355" s="50">
        <f>+J1355/$W$2</f>
        <v>2.9684133035207469E-5</v>
      </c>
    </row>
    <row r="1356" spans="1:29">
      <c r="A1356" s="10" t="s">
        <v>2443</v>
      </c>
      <c r="B1356" s="10" t="s">
        <v>358</v>
      </c>
      <c r="C1356" s="124">
        <v>46358</v>
      </c>
      <c r="D1356" s="124" t="s">
        <v>471</v>
      </c>
      <c r="E1356" s="21">
        <v>0.97281454999999994</v>
      </c>
      <c r="F1356" s="10"/>
      <c r="G1356" s="14">
        <v>650000</v>
      </c>
      <c r="H1356" s="14">
        <v>632329.46</v>
      </c>
      <c r="I1356" s="14">
        <v>650000</v>
      </c>
      <c r="J1356" s="14">
        <v>632329.46</v>
      </c>
      <c r="K1356" s="12">
        <v>69995873</v>
      </c>
      <c r="L1356" s="10" t="s">
        <v>101</v>
      </c>
      <c r="M1356" s="10" t="s">
        <v>102</v>
      </c>
      <c r="N1356" s="124" t="s">
        <v>477</v>
      </c>
      <c r="O1356" s="124" t="s">
        <v>477</v>
      </c>
      <c r="P1356" s="21">
        <v>30</v>
      </c>
      <c r="Q1356" s="10" t="s">
        <v>54</v>
      </c>
      <c r="R1356" s="10" t="s">
        <v>28</v>
      </c>
      <c r="S1356" s="10"/>
      <c r="T1356" s="10"/>
      <c r="U1356" s="10" t="s">
        <v>2427</v>
      </c>
      <c r="V1356" s="10" t="s">
        <v>2427</v>
      </c>
      <c r="W1356" s="50">
        <f>+J1356/$W$2</f>
        <v>7.7388562639840549E-6</v>
      </c>
      <c r="AC1356" s="47"/>
    </row>
    <row r="1357" spans="1:29">
      <c r="A1357" s="10" t="s">
        <v>2486</v>
      </c>
      <c r="B1357" s="10" t="s">
        <v>358</v>
      </c>
      <c r="C1357" s="124">
        <v>46358</v>
      </c>
      <c r="D1357" s="124" t="s">
        <v>471</v>
      </c>
      <c r="E1357" s="21">
        <v>0.97105478000000001</v>
      </c>
      <c r="F1357" s="10"/>
      <c r="G1357" s="14">
        <v>75000000</v>
      </c>
      <c r="H1357" s="14">
        <v>72829108.760000005</v>
      </c>
      <c r="I1357" s="14">
        <v>75000000</v>
      </c>
      <c r="J1357" s="14">
        <v>72829108.760000005</v>
      </c>
      <c r="K1357" s="12">
        <v>21577</v>
      </c>
      <c r="L1357" s="10" t="s">
        <v>101</v>
      </c>
      <c r="M1357" s="10" t="s">
        <v>102</v>
      </c>
      <c r="N1357" s="124" t="s">
        <v>466</v>
      </c>
      <c r="O1357" s="124" t="s">
        <v>466</v>
      </c>
      <c r="P1357" s="21">
        <v>32</v>
      </c>
      <c r="Q1357" s="10" t="s">
        <v>54</v>
      </c>
      <c r="R1357" s="10" t="s">
        <v>28</v>
      </c>
      <c r="S1357" s="10"/>
      <c r="T1357" s="10"/>
      <c r="U1357" s="10" t="s">
        <v>3637</v>
      </c>
      <c r="V1357" s="10" t="s">
        <v>3637</v>
      </c>
      <c r="W1357" s="50">
        <f>+J1357/$W$2</f>
        <v>8.9132966306472905E-4</v>
      </c>
    </row>
    <row r="1358" spans="1:29">
      <c r="A1358" s="10" t="s">
        <v>2537</v>
      </c>
      <c r="B1358" s="10" t="s">
        <v>358</v>
      </c>
      <c r="C1358" s="124">
        <v>46358</v>
      </c>
      <c r="D1358" s="124" t="s">
        <v>471</v>
      </c>
      <c r="E1358" s="21">
        <v>0.97105467000000001</v>
      </c>
      <c r="F1358" s="10"/>
      <c r="G1358" s="14">
        <v>10386286.039999999</v>
      </c>
      <c r="H1358" s="14">
        <v>10085651.529999999</v>
      </c>
      <c r="I1358" s="14">
        <v>10386286.039999999</v>
      </c>
      <c r="J1358" s="14">
        <v>10085651.529999999</v>
      </c>
      <c r="K1358" s="12">
        <v>54595090</v>
      </c>
      <c r="L1358" s="10" t="s">
        <v>101</v>
      </c>
      <c r="M1358" s="10" t="s">
        <v>102</v>
      </c>
      <c r="N1358" s="124" t="s">
        <v>452</v>
      </c>
      <c r="O1358" s="124" t="s">
        <v>452</v>
      </c>
      <c r="P1358" s="21">
        <v>32</v>
      </c>
      <c r="Q1358" s="10" t="s">
        <v>54</v>
      </c>
      <c r="R1358" s="10" t="s">
        <v>28</v>
      </c>
      <c r="S1358" s="10"/>
      <c r="T1358" s="10"/>
      <c r="U1358" s="10" t="s">
        <v>2511</v>
      </c>
      <c r="V1358" s="10" t="s">
        <v>2511</v>
      </c>
      <c r="W1358" s="50">
        <f>+J1358/$W$2</f>
        <v>1.2343471632541187E-4</v>
      </c>
    </row>
    <row r="1359" spans="1:29">
      <c r="A1359" s="10" t="s">
        <v>2669</v>
      </c>
      <c r="B1359" s="10" t="s">
        <v>358</v>
      </c>
      <c r="C1359" s="124">
        <v>46358</v>
      </c>
      <c r="D1359" s="124" t="s">
        <v>471</v>
      </c>
      <c r="E1359" s="21">
        <v>0.97105459000000005</v>
      </c>
      <c r="F1359" s="10"/>
      <c r="G1359" s="14">
        <v>1734700</v>
      </c>
      <c r="H1359" s="14">
        <v>1684488.39</v>
      </c>
      <c r="I1359" s="14">
        <v>1734700</v>
      </c>
      <c r="J1359" s="14">
        <v>1684488.39</v>
      </c>
      <c r="K1359" s="12">
        <v>9088652</v>
      </c>
      <c r="L1359" s="10" t="s">
        <v>101</v>
      </c>
      <c r="M1359" s="10" t="s">
        <v>102</v>
      </c>
      <c r="N1359" s="124" t="s">
        <v>603</v>
      </c>
      <c r="O1359" s="124" t="s">
        <v>603</v>
      </c>
      <c r="P1359" s="21">
        <v>32</v>
      </c>
      <c r="Q1359" s="10" t="s">
        <v>54</v>
      </c>
      <c r="R1359" s="10" t="s">
        <v>28</v>
      </c>
      <c r="S1359" s="10"/>
      <c r="T1359" s="10"/>
      <c r="U1359" s="10" t="s">
        <v>2562</v>
      </c>
      <c r="V1359" s="10" t="s">
        <v>2562</v>
      </c>
      <c r="W1359" s="50">
        <f>+J1359/$W$2</f>
        <v>2.0615856690529516E-5</v>
      </c>
    </row>
    <row r="1360" spans="1:29">
      <c r="A1360" s="10" t="s">
        <v>2672</v>
      </c>
      <c r="B1360" s="10" t="s">
        <v>358</v>
      </c>
      <c r="C1360" s="124">
        <v>46358</v>
      </c>
      <c r="D1360" s="124" t="s">
        <v>471</v>
      </c>
      <c r="E1360" s="21">
        <v>0.97105459000000005</v>
      </c>
      <c r="F1360" s="10"/>
      <c r="G1360" s="14">
        <v>1055400.46</v>
      </c>
      <c r="H1360" s="14">
        <v>1024851.46</v>
      </c>
      <c r="I1360" s="14">
        <v>1055400.46</v>
      </c>
      <c r="J1360" s="14">
        <v>1024851.46</v>
      </c>
      <c r="K1360" s="12">
        <v>12530</v>
      </c>
      <c r="L1360" s="10" t="s">
        <v>101</v>
      </c>
      <c r="M1360" s="10" t="s">
        <v>102</v>
      </c>
      <c r="N1360" s="124" t="s">
        <v>603</v>
      </c>
      <c r="O1360" s="124" t="s">
        <v>603</v>
      </c>
      <c r="P1360" s="21">
        <v>32</v>
      </c>
      <c r="Q1360" s="10" t="s">
        <v>54</v>
      </c>
      <c r="R1360" s="10" t="s">
        <v>28</v>
      </c>
      <c r="S1360" s="10"/>
      <c r="T1360" s="10"/>
      <c r="U1360" s="10" t="s">
        <v>2567</v>
      </c>
      <c r="V1360" s="10" t="s">
        <v>2567</v>
      </c>
      <c r="W1360" s="50">
        <f>+J1360/$W$2</f>
        <v>1.2542793974638165E-5</v>
      </c>
    </row>
    <row r="1361" spans="1:29">
      <c r="A1361" s="10" t="s">
        <v>2674</v>
      </c>
      <c r="B1361" s="10" t="s">
        <v>358</v>
      </c>
      <c r="C1361" s="124">
        <v>46358</v>
      </c>
      <c r="D1361" s="124" t="s">
        <v>471</v>
      </c>
      <c r="E1361" s="21">
        <v>0.97105459999999999</v>
      </c>
      <c r="F1361" s="10"/>
      <c r="G1361" s="14">
        <v>2336718.2999999998</v>
      </c>
      <c r="H1361" s="14">
        <v>2269081.06</v>
      </c>
      <c r="I1361" s="14">
        <v>2336718.2999999998</v>
      </c>
      <c r="J1361" s="14">
        <v>2269081.06</v>
      </c>
      <c r="K1361" s="12">
        <v>5391</v>
      </c>
      <c r="L1361" s="10" t="s">
        <v>101</v>
      </c>
      <c r="M1361" s="10" t="s">
        <v>102</v>
      </c>
      <c r="N1361" s="124" t="s">
        <v>603</v>
      </c>
      <c r="O1361" s="124" t="s">
        <v>603</v>
      </c>
      <c r="P1361" s="21">
        <v>32</v>
      </c>
      <c r="Q1361" s="10" t="s">
        <v>54</v>
      </c>
      <c r="R1361" s="10" t="s">
        <v>28</v>
      </c>
      <c r="S1361" s="10"/>
      <c r="T1361" s="10"/>
      <c r="U1361" s="10" t="s">
        <v>2579</v>
      </c>
      <c r="V1361" s="10" t="s">
        <v>2579</v>
      </c>
      <c r="W1361" s="50">
        <f>+J1361/$W$2</f>
        <v>2.7770479292026945E-5</v>
      </c>
    </row>
    <row r="1362" spans="1:29">
      <c r="A1362" s="10" t="s">
        <v>2676</v>
      </c>
      <c r="B1362" s="10" t="s">
        <v>358</v>
      </c>
      <c r="C1362" s="124">
        <v>46358</v>
      </c>
      <c r="D1362" s="124" t="s">
        <v>471</v>
      </c>
      <c r="E1362" s="21">
        <v>0.97105459999999999</v>
      </c>
      <c r="F1362" s="10"/>
      <c r="G1362" s="14">
        <v>6250000</v>
      </c>
      <c r="H1362" s="14">
        <v>6069091.2199999997</v>
      </c>
      <c r="I1362" s="14">
        <v>6250000</v>
      </c>
      <c r="J1362" s="14">
        <v>6069091.2199999997</v>
      </c>
      <c r="K1362" s="12">
        <v>1411</v>
      </c>
      <c r="L1362" s="10" t="s">
        <v>101</v>
      </c>
      <c r="M1362" s="10" t="s">
        <v>102</v>
      </c>
      <c r="N1362" s="124" t="s">
        <v>603</v>
      </c>
      <c r="O1362" s="124" t="s">
        <v>603</v>
      </c>
      <c r="P1362" s="21">
        <v>32</v>
      </c>
      <c r="Q1362" s="10" t="s">
        <v>54</v>
      </c>
      <c r="R1362" s="10" t="s">
        <v>28</v>
      </c>
      <c r="S1362" s="10"/>
      <c r="T1362" s="10"/>
      <c r="U1362" s="10" t="s">
        <v>2608</v>
      </c>
      <c r="V1362" s="10" t="s">
        <v>2608</v>
      </c>
      <c r="W1362" s="50">
        <f>+J1362/$W$2</f>
        <v>7.4277457521254234E-5</v>
      </c>
    </row>
    <row r="1363" spans="1:29">
      <c r="A1363" s="10" t="s">
        <v>2741</v>
      </c>
      <c r="B1363" s="10" t="s">
        <v>358</v>
      </c>
      <c r="C1363" s="124">
        <v>46358</v>
      </c>
      <c r="D1363" s="124" t="s">
        <v>471</v>
      </c>
      <c r="E1363" s="21">
        <v>0.97105463999999997</v>
      </c>
      <c r="F1363" s="10"/>
      <c r="G1363" s="14">
        <v>95000000</v>
      </c>
      <c r="H1363" s="14">
        <v>92250190.819999993</v>
      </c>
      <c r="I1363" s="14">
        <v>95000000</v>
      </c>
      <c r="J1363" s="14">
        <v>92250190.819999993</v>
      </c>
      <c r="K1363" s="12">
        <v>574</v>
      </c>
      <c r="L1363" s="10" t="s">
        <v>101</v>
      </c>
      <c r="M1363" s="10" t="s">
        <v>102</v>
      </c>
      <c r="N1363" s="124" t="s">
        <v>440</v>
      </c>
      <c r="O1363" s="124" t="s">
        <v>440</v>
      </c>
      <c r="P1363" s="21">
        <v>32</v>
      </c>
      <c r="Q1363" s="10" t="s">
        <v>54</v>
      </c>
      <c r="R1363" s="10" t="s">
        <v>28</v>
      </c>
      <c r="S1363" s="10"/>
      <c r="T1363" s="10"/>
      <c r="U1363" s="10" t="s">
        <v>2699</v>
      </c>
      <c r="V1363" s="10" t="s">
        <v>2699</v>
      </c>
      <c r="W1363" s="50">
        <f>+J1363/$W$2</f>
        <v>1.1290174066555137E-3</v>
      </c>
    </row>
    <row r="1364" spans="1:29">
      <c r="A1364" s="10" t="s">
        <v>2741</v>
      </c>
      <c r="B1364" s="10" t="s">
        <v>358</v>
      </c>
      <c r="C1364" s="124">
        <v>46358</v>
      </c>
      <c r="D1364" s="124" t="s">
        <v>471</v>
      </c>
      <c r="E1364" s="21">
        <v>0.97105478000000001</v>
      </c>
      <c r="F1364" s="10"/>
      <c r="G1364" s="14">
        <v>75000000</v>
      </c>
      <c r="H1364" s="14">
        <v>72829108.760000005</v>
      </c>
      <c r="I1364" s="14">
        <v>75000000</v>
      </c>
      <c r="J1364" s="14">
        <v>72829108.760000005</v>
      </c>
      <c r="K1364" s="12">
        <v>581</v>
      </c>
      <c r="L1364" s="10" t="s">
        <v>101</v>
      </c>
      <c r="M1364" s="10" t="s">
        <v>102</v>
      </c>
      <c r="N1364" s="124" t="s">
        <v>466</v>
      </c>
      <c r="O1364" s="124" t="s">
        <v>466</v>
      </c>
      <c r="P1364" s="21">
        <v>32</v>
      </c>
      <c r="Q1364" s="10" t="s">
        <v>54</v>
      </c>
      <c r="R1364" s="10" t="s">
        <v>28</v>
      </c>
      <c r="S1364" s="10"/>
      <c r="T1364" s="10"/>
      <c r="U1364" s="10" t="s">
        <v>3650</v>
      </c>
      <c r="V1364" s="10" t="s">
        <v>3650</v>
      </c>
      <c r="W1364" s="50">
        <f>+J1364/$W$2</f>
        <v>8.9132966306472905E-4</v>
      </c>
    </row>
    <row r="1365" spans="1:29">
      <c r="A1365" s="10" t="s">
        <v>2741</v>
      </c>
      <c r="B1365" s="10" t="s">
        <v>358</v>
      </c>
      <c r="C1365" s="124">
        <v>46358</v>
      </c>
      <c r="D1365" s="124" t="s">
        <v>471</v>
      </c>
      <c r="E1365" s="21">
        <v>0.97105478000000001</v>
      </c>
      <c r="F1365" s="10"/>
      <c r="G1365" s="14">
        <v>75000000</v>
      </c>
      <c r="H1365" s="14">
        <v>72829108.760000005</v>
      </c>
      <c r="I1365" s="14">
        <v>75000000</v>
      </c>
      <c r="J1365" s="14">
        <v>72829108.760000005</v>
      </c>
      <c r="K1365" s="12">
        <v>585</v>
      </c>
      <c r="L1365" s="10" t="s">
        <v>101</v>
      </c>
      <c r="M1365" s="10" t="s">
        <v>102</v>
      </c>
      <c r="N1365" s="124" t="s">
        <v>466</v>
      </c>
      <c r="O1365" s="124" t="s">
        <v>466</v>
      </c>
      <c r="P1365" s="21">
        <v>32</v>
      </c>
      <c r="Q1365" s="10" t="s">
        <v>54</v>
      </c>
      <c r="R1365" s="10" t="s">
        <v>28</v>
      </c>
      <c r="S1365" s="10"/>
      <c r="T1365" s="10"/>
      <c r="U1365" s="10" t="s">
        <v>3653</v>
      </c>
      <c r="V1365" s="10" t="s">
        <v>3653</v>
      </c>
      <c r="W1365" s="50">
        <f>+J1365/$W$2</f>
        <v>8.9132966306472905E-4</v>
      </c>
    </row>
    <row r="1366" spans="1:29">
      <c r="A1366" s="10" t="s">
        <v>2748</v>
      </c>
      <c r="B1366" s="10" t="s">
        <v>358</v>
      </c>
      <c r="C1366" s="124">
        <v>46358</v>
      </c>
      <c r="D1366" s="124" t="s">
        <v>471</v>
      </c>
      <c r="E1366" s="21">
        <v>0.97105465000000002</v>
      </c>
      <c r="F1366" s="10"/>
      <c r="G1366" s="14">
        <v>639000</v>
      </c>
      <c r="H1366" s="14">
        <v>620503.92000000004</v>
      </c>
      <c r="I1366" s="14">
        <v>639000</v>
      </c>
      <c r="J1366" s="14">
        <v>620503.92000000004</v>
      </c>
      <c r="K1366" s="12">
        <v>70158565</v>
      </c>
      <c r="L1366" s="10" t="s">
        <v>101</v>
      </c>
      <c r="M1366" s="10" t="s">
        <v>102</v>
      </c>
      <c r="N1366" s="124" t="s">
        <v>440</v>
      </c>
      <c r="O1366" s="124" t="s">
        <v>440</v>
      </c>
      <c r="P1366" s="21">
        <v>32</v>
      </c>
      <c r="Q1366" s="10" t="s">
        <v>54</v>
      </c>
      <c r="R1366" s="10" t="s">
        <v>28</v>
      </c>
      <c r="S1366" s="10"/>
      <c r="T1366" s="10"/>
      <c r="U1366" s="10" t="s">
        <v>2717</v>
      </c>
      <c r="V1366" s="10" t="s">
        <v>2717</v>
      </c>
      <c r="W1366" s="50">
        <f>+J1366/$W$2</f>
        <v>7.5941276690139686E-6</v>
      </c>
    </row>
    <row r="1367" spans="1:29">
      <c r="A1367" s="10" t="s">
        <v>2749</v>
      </c>
      <c r="B1367" s="10" t="s">
        <v>358</v>
      </c>
      <c r="C1367" s="124">
        <v>46358</v>
      </c>
      <c r="D1367" s="124" t="s">
        <v>471</v>
      </c>
      <c r="E1367" s="21">
        <v>0.97105465000000002</v>
      </c>
      <c r="F1367" s="10"/>
      <c r="G1367" s="14">
        <v>855232.58</v>
      </c>
      <c r="H1367" s="14">
        <v>830477.57</v>
      </c>
      <c r="I1367" s="14">
        <v>855232.58</v>
      </c>
      <c r="J1367" s="14">
        <v>830477.57</v>
      </c>
      <c r="K1367" s="12">
        <v>1381893</v>
      </c>
      <c r="L1367" s="10" t="s">
        <v>101</v>
      </c>
      <c r="M1367" s="10" t="s">
        <v>102</v>
      </c>
      <c r="N1367" s="124" t="s">
        <v>440</v>
      </c>
      <c r="O1367" s="124" t="s">
        <v>440</v>
      </c>
      <c r="P1367" s="21">
        <v>32</v>
      </c>
      <c r="Q1367" s="10" t="s">
        <v>54</v>
      </c>
      <c r="R1367" s="10" t="s">
        <v>28</v>
      </c>
      <c r="S1367" s="10"/>
      <c r="T1367" s="10"/>
      <c r="U1367" s="10" t="s">
        <v>2718</v>
      </c>
      <c r="V1367" s="10" t="s">
        <v>2718</v>
      </c>
      <c r="W1367" s="50">
        <f>+J1367/$W$2</f>
        <v>1.0163920790109568E-5</v>
      </c>
    </row>
    <row r="1368" spans="1:29">
      <c r="A1368" s="10" t="s">
        <v>2751</v>
      </c>
      <c r="B1368" s="10" t="s">
        <v>358</v>
      </c>
      <c r="C1368" s="124">
        <v>46358</v>
      </c>
      <c r="D1368" s="124" t="s">
        <v>471</v>
      </c>
      <c r="E1368" s="21">
        <v>0.97105461999999998</v>
      </c>
      <c r="F1368" s="10"/>
      <c r="G1368" s="14">
        <v>291635.14</v>
      </c>
      <c r="H1368" s="14">
        <v>283193.65000000002</v>
      </c>
      <c r="I1368" s="14">
        <v>291635.14</v>
      </c>
      <c r="J1368" s="14">
        <v>283193.65000000002</v>
      </c>
      <c r="K1368" s="12">
        <v>214142</v>
      </c>
      <c r="L1368" s="10" t="s">
        <v>101</v>
      </c>
      <c r="M1368" s="10" t="s">
        <v>102</v>
      </c>
      <c r="N1368" s="124" t="s">
        <v>440</v>
      </c>
      <c r="O1368" s="124" t="s">
        <v>440</v>
      </c>
      <c r="P1368" s="21">
        <v>32</v>
      </c>
      <c r="Q1368" s="10" t="s">
        <v>54</v>
      </c>
      <c r="R1368" s="10" t="s">
        <v>28</v>
      </c>
      <c r="S1368" s="10"/>
      <c r="T1368" s="10"/>
      <c r="U1368" s="10" t="s">
        <v>2720</v>
      </c>
      <c r="V1368" s="10" t="s">
        <v>2720</v>
      </c>
      <c r="W1368" s="50">
        <f>+J1368/$W$2</f>
        <v>3.4659067635770257E-6</v>
      </c>
    </row>
    <row r="1369" spans="1:29">
      <c r="A1369" s="10" t="s">
        <v>2753</v>
      </c>
      <c r="B1369" s="10" t="s">
        <v>358</v>
      </c>
      <c r="C1369" s="124">
        <v>46358</v>
      </c>
      <c r="D1369" s="124" t="s">
        <v>471</v>
      </c>
      <c r="E1369" s="21">
        <v>0.97105463999999997</v>
      </c>
      <c r="F1369" s="10"/>
      <c r="G1369" s="14">
        <v>6000000</v>
      </c>
      <c r="H1369" s="14">
        <v>5826327.8300000001</v>
      </c>
      <c r="I1369" s="14">
        <v>6000000</v>
      </c>
      <c r="J1369" s="14">
        <v>5826327.8300000001</v>
      </c>
      <c r="K1369" s="12">
        <v>70158558</v>
      </c>
      <c r="L1369" s="10" t="s">
        <v>101</v>
      </c>
      <c r="M1369" s="10" t="s">
        <v>102</v>
      </c>
      <c r="N1369" s="124" t="s">
        <v>440</v>
      </c>
      <c r="O1369" s="124" t="s">
        <v>440</v>
      </c>
      <c r="P1369" s="21">
        <v>32</v>
      </c>
      <c r="Q1369" s="10" t="s">
        <v>54</v>
      </c>
      <c r="R1369" s="10" t="s">
        <v>28</v>
      </c>
      <c r="S1369" s="10"/>
      <c r="T1369" s="10"/>
      <c r="U1369" s="10" t="s">
        <v>2723</v>
      </c>
      <c r="V1369" s="10" t="s">
        <v>2723</v>
      </c>
      <c r="W1369" s="50">
        <f>+J1369/$W$2</f>
        <v>7.13063623877656E-5</v>
      </c>
    </row>
    <row r="1370" spans="1:29">
      <c r="A1370" s="10" t="s">
        <v>400</v>
      </c>
      <c r="B1370" s="10" t="s">
        <v>358</v>
      </c>
      <c r="C1370" s="124">
        <v>46359</v>
      </c>
      <c r="D1370" s="124" t="s">
        <v>471</v>
      </c>
      <c r="E1370" s="21">
        <v>0.97203731000000004</v>
      </c>
      <c r="F1370" s="10"/>
      <c r="G1370" s="14">
        <v>5580000</v>
      </c>
      <c r="H1370" s="14">
        <v>5423968.21</v>
      </c>
      <c r="I1370" s="14">
        <v>5580000</v>
      </c>
      <c r="J1370" s="14">
        <v>5423968.21</v>
      </c>
      <c r="K1370" s="12">
        <v>11415149</v>
      </c>
      <c r="L1370" s="10" t="s">
        <v>101</v>
      </c>
      <c r="M1370" s="10" t="s">
        <v>102</v>
      </c>
      <c r="N1370" s="124" t="s">
        <v>449</v>
      </c>
      <c r="O1370" s="124" t="s">
        <v>449</v>
      </c>
      <c r="P1370" s="21">
        <v>30</v>
      </c>
      <c r="Q1370" s="10" t="s">
        <v>54</v>
      </c>
      <c r="R1370" s="10" t="s">
        <v>28</v>
      </c>
      <c r="S1370" s="10"/>
      <c r="T1370" s="10"/>
      <c r="U1370" s="10" t="s">
        <v>1920</v>
      </c>
      <c r="V1370" s="10" t="s">
        <v>1920</v>
      </c>
      <c r="W1370" s="50">
        <f>+J1370/$W$2</f>
        <v>6.6382025530818835E-5</v>
      </c>
    </row>
    <row r="1371" spans="1:29">
      <c r="A1371" s="10" t="s">
        <v>334</v>
      </c>
      <c r="B1371" s="10" t="s">
        <v>358</v>
      </c>
      <c r="C1371" s="124">
        <v>46359</v>
      </c>
      <c r="D1371" s="124" t="s">
        <v>471</v>
      </c>
      <c r="E1371" s="21">
        <v>0.96663149000000004</v>
      </c>
      <c r="F1371" s="10"/>
      <c r="G1371" s="14">
        <v>2105640.2799999998</v>
      </c>
      <c r="H1371" s="14">
        <v>2035378.19</v>
      </c>
      <c r="I1371" s="14">
        <v>2105640.2799999998</v>
      </c>
      <c r="J1371" s="14">
        <v>2035378.19</v>
      </c>
      <c r="K1371" s="12">
        <v>3414</v>
      </c>
      <c r="L1371" s="10" t="s">
        <v>101</v>
      </c>
      <c r="M1371" s="10" t="s">
        <v>102</v>
      </c>
      <c r="N1371" s="124" t="s">
        <v>441</v>
      </c>
      <c r="O1371" s="124" t="s">
        <v>441</v>
      </c>
      <c r="P1371" s="21">
        <v>36</v>
      </c>
      <c r="Q1371" s="10" t="s">
        <v>54</v>
      </c>
      <c r="R1371" s="10" t="s">
        <v>28</v>
      </c>
      <c r="S1371" s="10"/>
      <c r="T1371" s="10"/>
      <c r="U1371" s="10" t="s">
        <v>1538</v>
      </c>
      <c r="V1371" s="10" t="s">
        <v>1538</v>
      </c>
      <c r="W1371" s="50">
        <f>+J1371/$W$2</f>
        <v>2.4910272653211552E-5</v>
      </c>
    </row>
    <row r="1372" spans="1:29">
      <c r="A1372" s="10" t="s">
        <v>334</v>
      </c>
      <c r="B1372" s="10" t="s">
        <v>358</v>
      </c>
      <c r="C1372" s="124">
        <v>46359</v>
      </c>
      <c r="D1372" s="124" t="s">
        <v>471</v>
      </c>
      <c r="E1372" s="21">
        <v>0.96663149999999998</v>
      </c>
      <c r="F1372" s="10"/>
      <c r="G1372" s="14">
        <v>3105640.28</v>
      </c>
      <c r="H1372" s="14">
        <v>3002009.71</v>
      </c>
      <c r="I1372" s="14">
        <v>3105640.28</v>
      </c>
      <c r="J1372" s="14">
        <v>3002009.71</v>
      </c>
      <c r="K1372" s="12">
        <v>3388</v>
      </c>
      <c r="L1372" s="10" t="s">
        <v>101</v>
      </c>
      <c r="M1372" s="10" t="s">
        <v>102</v>
      </c>
      <c r="N1372" s="124" t="s">
        <v>441</v>
      </c>
      <c r="O1372" s="124" t="s">
        <v>441</v>
      </c>
      <c r="P1372" s="21">
        <v>36</v>
      </c>
      <c r="Q1372" s="10" t="s">
        <v>54</v>
      </c>
      <c r="R1372" s="10" t="s">
        <v>28</v>
      </c>
      <c r="S1372" s="10"/>
      <c r="T1372" s="10"/>
      <c r="U1372" s="10" t="s">
        <v>1544</v>
      </c>
      <c r="V1372" s="10" t="s">
        <v>1544</v>
      </c>
      <c r="W1372" s="50">
        <f>+J1372/$W$2</f>
        <v>3.674053340607356E-5</v>
      </c>
    </row>
    <row r="1373" spans="1:29">
      <c r="A1373" s="10" t="s">
        <v>334</v>
      </c>
      <c r="B1373" s="10" t="s">
        <v>358</v>
      </c>
      <c r="C1373" s="124">
        <v>46359</v>
      </c>
      <c r="D1373" s="124" t="s">
        <v>471</v>
      </c>
      <c r="E1373" s="21">
        <v>0.96663149999999998</v>
      </c>
      <c r="F1373" s="10"/>
      <c r="G1373" s="14">
        <v>2874176.47</v>
      </c>
      <c r="H1373" s="14">
        <v>2778269.5</v>
      </c>
      <c r="I1373" s="14">
        <v>2874176.47</v>
      </c>
      <c r="J1373" s="14">
        <v>2778269.5</v>
      </c>
      <c r="K1373" s="12">
        <v>3436</v>
      </c>
      <c r="L1373" s="10" t="s">
        <v>101</v>
      </c>
      <c r="M1373" s="10" t="s">
        <v>102</v>
      </c>
      <c r="N1373" s="124" t="s">
        <v>441</v>
      </c>
      <c r="O1373" s="124" t="s">
        <v>441</v>
      </c>
      <c r="P1373" s="21">
        <v>36</v>
      </c>
      <c r="Q1373" s="10" t="s">
        <v>54</v>
      </c>
      <c r="R1373" s="10" t="s">
        <v>28</v>
      </c>
      <c r="S1373" s="10"/>
      <c r="T1373" s="10"/>
      <c r="U1373" s="10" t="s">
        <v>1545</v>
      </c>
      <c r="V1373" s="10" t="s">
        <v>1545</v>
      </c>
      <c r="W1373" s="50">
        <f>+J1373/$W$2</f>
        <v>3.4002256233816544E-5</v>
      </c>
    </row>
    <row r="1374" spans="1:29">
      <c r="A1374" s="10" t="s">
        <v>334</v>
      </c>
      <c r="B1374" s="10" t="s">
        <v>358</v>
      </c>
      <c r="C1374" s="124">
        <v>46359</v>
      </c>
      <c r="D1374" s="124" t="s">
        <v>471</v>
      </c>
      <c r="E1374" s="21">
        <v>0.96663149000000004</v>
      </c>
      <c r="F1374" s="10"/>
      <c r="G1374" s="14">
        <v>3841101.28</v>
      </c>
      <c r="H1374" s="14">
        <v>3712929.47</v>
      </c>
      <c r="I1374" s="14">
        <v>3841101.28</v>
      </c>
      <c r="J1374" s="14">
        <v>3712929.47</v>
      </c>
      <c r="K1374" s="12">
        <v>3366</v>
      </c>
      <c r="L1374" s="10" t="s">
        <v>101</v>
      </c>
      <c r="M1374" s="10" t="s">
        <v>102</v>
      </c>
      <c r="N1374" s="124" t="s">
        <v>441</v>
      </c>
      <c r="O1374" s="124" t="s">
        <v>441</v>
      </c>
      <c r="P1374" s="21">
        <v>36</v>
      </c>
      <c r="Q1374" s="10" t="s">
        <v>54</v>
      </c>
      <c r="R1374" s="10" t="s">
        <v>28</v>
      </c>
      <c r="S1374" s="10"/>
      <c r="T1374" s="10"/>
      <c r="U1374" s="10" t="s">
        <v>1546</v>
      </c>
      <c r="V1374" s="10" t="s">
        <v>1546</v>
      </c>
      <c r="W1374" s="50">
        <f>+J1374/$W$2</f>
        <v>4.5441228511859148E-5</v>
      </c>
    </row>
    <row r="1375" spans="1:29">
      <c r="A1375" s="10" t="s">
        <v>443</v>
      </c>
      <c r="B1375" s="10" t="s">
        <v>358</v>
      </c>
      <c r="C1375" s="124">
        <v>46359</v>
      </c>
      <c r="D1375" s="124" t="s">
        <v>471</v>
      </c>
      <c r="E1375" s="21">
        <v>0.97476300999999999</v>
      </c>
      <c r="F1375" s="10"/>
      <c r="G1375" s="14">
        <v>10000000</v>
      </c>
      <c r="H1375" s="14">
        <v>9747630.0800000001</v>
      </c>
      <c r="I1375" s="14">
        <v>10000000</v>
      </c>
      <c r="J1375" s="14">
        <v>9747630.0800000001</v>
      </c>
      <c r="K1375" s="12">
        <v>40740199</v>
      </c>
      <c r="L1375" s="10" t="s">
        <v>101</v>
      </c>
      <c r="M1375" s="10" t="s">
        <v>102</v>
      </c>
      <c r="N1375" s="124" t="s">
        <v>449</v>
      </c>
      <c r="O1375" s="124" t="s">
        <v>449</v>
      </c>
      <c r="P1375" s="21">
        <v>27</v>
      </c>
      <c r="Q1375" s="10" t="s">
        <v>54</v>
      </c>
      <c r="R1375" s="10" t="s">
        <v>28</v>
      </c>
      <c r="S1375" s="10"/>
      <c r="T1375" s="10"/>
      <c r="U1375" s="10" t="s">
        <v>1997</v>
      </c>
      <c r="V1375" s="10" t="s">
        <v>1997</v>
      </c>
      <c r="W1375" s="50">
        <f>+J1375/$W$2</f>
        <v>1.1929779153988396E-4</v>
      </c>
      <c r="AC1375" s="47"/>
    </row>
    <row r="1376" spans="1:29">
      <c r="A1376" s="10" t="s">
        <v>443</v>
      </c>
      <c r="B1376" s="10" t="s">
        <v>358</v>
      </c>
      <c r="C1376" s="124">
        <v>46359</v>
      </c>
      <c r="D1376" s="124" t="s">
        <v>471</v>
      </c>
      <c r="E1376" s="21">
        <v>0.97476300999999999</v>
      </c>
      <c r="F1376" s="10"/>
      <c r="G1376" s="14">
        <v>10000000</v>
      </c>
      <c r="H1376" s="14">
        <v>9747630.0800000001</v>
      </c>
      <c r="I1376" s="14">
        <v>10000000</v>
      </c>
      <c r="J1376" s="14">
        <v>9747630.0800000001</v>
      </c>
      <c r="K1376" s="12">
        <v>40740210</v>
      </c>
      <c r="L1376" s="10" t="s">
        <v>101</v>
      </c>
      <c r="M1376" s="10" t="s">
        <v>102</v>
      </c>
      <c r="N1376" s="124" t="s">
        <v>449</v>
      </c>
      <c r="O1376" s="124" t="s">
        <v>449</v>
      </c>
      <c r="P1376" s="21">
        <v>27</v>
      </c>
      <c r="Q1376" s="10" t="s">
        <v>54</v>
      </c>
      <c r="R1376" s="10" t="s">
        <v>28</v>
      </c>
      <c r="S1376" s="10"/>
      <c r="T1376" s="10"/>
      <c r="U1376" s="10" t="s">
        <v>2001</v>
      </c>
      <c r="V1376" s="10" t="s">
        <v>2001</v>
      </c>
      <c r="W1376" s="50">
        <f>+J1376/$W$2</f>
        <v>1.1929779153988396E-4</v>
      </c>
    </row>
    <row r="1377" spans="1:29">
      <c r="A1377" s="10" t="s">
        <v>2758</v>
      </c>
      <c r="B1377" s="10" t="s">
        <v>358</v>
      </c>
      <c r="C1377" s="124">
        <v>46359</v>
      </c>
      <c r="D1377" s="124" t="s">
        <v>471</v>
      </c>
      <c r="E1377" s="21">
        <v>0.97386198000000002</v>
      </c>
      <c r="F1377" s="10"/>
      <c r="G1377" s="14">
        <v>2116117.7000000002</v>
      </c>
      <c r="H1377" s="14">
        <v>2060806.57</v>
      </c>
      <c r="I1377" s="14">
        <v>2116117.7000000002</v>
      </c>
      <c r="J1377" s="14">
        <v>2060806.57</v>
      </c>
      <c r="K1377" s="12">
        <v>660</v>
      </c>
      <c r="L1377" s="10" t="s">
        <v>101</v>
      </c>
      <c r="M1377" s="10" t="s">
        <v>102</v>
      </c>
      <c r="N1377" s="124" t="s">
        <v>417</v>
      </c>
      <c r="O1377" s="124" t="s">
        <v>417</v>
      </c>
      <c r="P1377" s="21">
        <v>27.99</v>
      </c>
      <c r="Q1377" s="10" t="s">
        <v>54</v>
      </c>
      <c r="R1377" s="10" t="s">
        <v>28</v>
      </c>
      <c r="S1377" s="10"/>
      <c r="T1377" s="10"/>
      <c r="U1377" s="10" t="s">
        <v>3182</v>
      </c>
      <c r="V1377" s="10" t="s">
        <v>3182</v>
      </c>
      <c r="W1377" s="50">
        <f>+J1377/$W$2</f>
        <v>2.5221481588259381E-5</v>
      </c>
    </row>
    <row r="1378" spans="1:29">
      <c r="A1378" s="10" t="s">
        <v>453</v>
      </c>
      <c r="B1378" s="10" t="s">
        <v>358</v>
      </c>
      <c r="C1378" s="124">
        <v>46359</v>
      </c>
      <c r="D1378" s="124" t="s">
        <v>471</v>
      </c>
      <c r="E1378" s="21">
        <v>0.97476304000000003</v>
      </c>
      <c r="F1378" s="10"/>
      <c r="G1378" s="14">
        <v>25000000</v>
      </c>
      <c r="H1378" s="14">
        <v>24369075.940000001</v>
      </c>
      <c r="I1378" s="14">
        <v>25000000</v>
      </c>
      <c r="J1378" s="14">
        <v>24369075.940000001</v>
      </c>
      <c r="K1378" s="12">
        <v>9508924</v>
      </c>
      <c r="L1378" s="10" t="s">
        <v>101</v>
      </c>
      <c r="M1378" s="10" t="s">
        <v>102</v>
      </c>
      <c r="N1378" s="124" t="s">
        <v>476</v>
      </c>
      <c r="O1378" s="124" t="s">
        <v>476</v>
      </c>
      <c r="P1378" s="21">
        <v>27</v>
      </c>
      <c r="Q1378" s="10" t="s">
        <v>54</v>
      </c>
      <c r="R1378" s="10" t="s">
        <v>28</v>
      </c>
      <c r="S1378" s="10"/>
      <c r="T1378" s="10"/>
      <c r="U1378" s="10" t="s">
        <v>681</v>
      </c>
      <c r="V1378" s="10" t="s">
        <v>681</v>
      </c>
      <c r="W1378" s="50">
        <f>+J1378/$W$2</f>
        <v>2.9824448790630778E-4</v>
      </c>
      <c r="AC1378" s="47"/>
    </row>
    <row r="1379" spans="1:29">
      <c r="A1379" s="10" t="s">
        <v>206</v>
      </c>
      <c r="B1379" s="10" t="s">
        <v>358</v>
      </c>
      <c r="C1379" s="124">
        <v>46359</v>
      </c>
      <c r="D1379" s="124" t="s">
        <v>471</v>
      </c>
      <c r="E1379" s="21">
        <v>0.96932678999999999</v>
      </c>
      <c r="F1379" s="10"/>
      <c r="G1379" s="14">
        <v>2170000</v>
      </c>
      <c r="H1379" s="14">
        <v>2103439.14</v>
      </c>
      <c r="I1379" s="14">
        <v>2170000</v>
      </c>
      <c r="J1379" s="14">
        <v>2103439.14</v>
      </c>
      <c r="K1379" s="12">
        <v>260742</v>
      </c>
      <c r="L1379" s="10" t="s">
        <v>101</v>
      </c>
      <c r="M1379" s="10" t="s">
        <v>102</v>
      </c>
      <c r="N1379" s="124" t="s">
        <v>479</v>
      </c>
      <c r="O1379" s="124" t="s">
        <v>479</v>
      </c>
      <c r="P1379" s="21">
        <v>33</v>
      </c>
      <c r="Q1379" s="10" t="s">
        <v>54</v>
      </c>
      <c r="R1379" s="10" t="s">
        <v>28</v>
      </c>
      <c r="S1379" s="10"/>
      <c r="T1379" s="10"/>
      <c r="U1379" s="10" t="s">
        <v>1213</v>
      </c>
      <c r="V1379" s="10" t="s">
        <v>1213</v>
      </c>
      <c r="W1379" s="50">
        <f>+J1379/$W$2</f>
        <v>2.5743246510289487E-5</v>
      </c>
    </row>
    <row r="1380" spans="1:29">
      <c r="A1380" s="10" t="s">
        <v>2759</v>
      </c>
      <c r="B1380" s="10" t="s">
        <v>358</v>
      </c>
      <c r="C1380" s="124">
        <v>46359</v>
      </c>
      <c r="D1380" s="124" t="s">
        <v>471</v>
      </c>
      <c r="E1380" s="21">
        <v>0.9702286</v>
      </c>
      <c r="F1380" s="10"/>
      <c r="G1380" s="14">
        <v>12500000</v>
      </c>
      <c r="H1380" s="14">
        <v>12127857.550000001</v>
      </c>
      <c r="I1380" s="14">
        <v>12500000</v>
      </c>
      <c r="J1380" s="14">
        <v>12127857.550000001</v>
      </c>
      <c r="K1380" s="12">
        <v>378</v>
      </c>
      <c r="L1380" s="10" t="s">
        <v>101</v>
      </c>
      <c r="M1380" s="10" t="s">
        <v>102</v>
      </c>
      <c r="N1380" s="124" t="s">
        <v>440</v>
      </c>
      <c r="O1380" s="124" t="s">
        <v>440</v>
      </c>
      <c r="P1380" s="21">
        <v>32</v>
      </c>
      <c r="Q1380" s="10" t="s">
        <v>54</v>
      </c>
      <c r="R1380" s="10" t="s">
        <v>28</v>
      </c>
      <c r="S1380" s="10"/>
      <c r="T1380" s="10"/>
      <c r="U1380" s="10" t="s">
        <v>2709</v>
      </c>
      <c r="V1380" s="10" t="s">
        <v>2709</v>
      </c>
      <c r="W1380" s="50">
        <f>+J1380/$W$2</f>
        <v>1.484285523712968E-4</v>
      </c>
    </row>
    <row r="1381" spans="1:29">
      <c r="A1381" s="10" t="s">
        <v>334</v>
      </c>
      <c r="B1381" s="10" t="s">
        <v>358</v>
      </c>
      <c r="C1381" s="124">
        <v>46359</v>
      </c>
      <c r="D1381" s="124" t="s">
        <v>471</v>
      </c>
      <c r="E1381" s="21">
        <v>0.96752817999999996</v>
      </c>
      <c r="F1381" s="10"/>
      <c r="G1381" s="14">
        <v>1555000.5</v>
      </c>
      <c r="H1381" s="14">
        <v>1504506.8</v>
      </c>
      <c r="I1381" s="14">
        <v>1555000.5</v>
      </c>
      <c r="J1381" s="14">
        <v>1504506.8</v>
      </c>
      <c r="K1381" s="12">
        <v>3601</v>
      </c>
      <c r="L1381" s="10" t="s">
        <v>101</v>
      </c>
      <c r="M1381" s="10" t="s">
        <v>102</v>
      </c>
      <c r="N1381" s="124" t="s">
        <v>477</v>
      </c>
      <c r="O1381" s="124" t="s">
        <v>477</v>
      </c>
      <c r="P1381" s="21">
        <v>35</v>
      </c>
      <c r="Q1381" s="10" t="s">
        <v>54</v>
      </c>
      <c r="R1381" s="10" t="s">
        <v>28</v>
      </c>
      <c r="S1381" s="10"/>
      <c r="T1381" s="10"/>
      <c r="U1381" s="10" t="s">
        <v>2406</v>
      </c>
      <c r="V1381" s="10" t="s">
        <v>2406</v>
      </c>
      <c r="W1381" s="50">
        <f>+J1381/$W$2</f>
        <v>1.8413125767359639E-5</v>
      </c>
    </row>
    <row r="1382" spans="1:29">
      <c r="A1382" s="10" t="s">
        <v>3166</v>
      </c>
      <c r="B1382" s="10" t="s">
        <v>358</v>
      </c>
      <c r="C1382" s="124">
        <v>46359</v>
      </c>
      <c r="D1382" s="124" t="s">
        <v>471</v>
      </c>
      <c r="E1382" s="21">
        <v>0.97203740000000005</v>
      </c>
      <c r="F1382" s="10"/>
      <c r="G1382" s="14">
        <v>4175312.5</v>
      </c>
      <c r="H1382" s="14">
        <v>4058559.92</v>
      </c>
      <c r="I1382" s="14">
        <v>4175312.5</v>
      </c>
      <c r="J1382" s="14">
        <v>4058559.92</v>
      </c>
      <c r="K1382" s="12">
        <v>40952768</v>
      </c>
      <c r="L1382" s="10" t="s">
        <v>101</v>
      </c>
      <c r="M1382" s="10" t="s">
        <v>102</v>
      </c>
      <c r="N1382" s="124" t="s">
        <v>448</v>
      </c>
      <c r="O1382" s="124" t="s">
        <v>448</v>
      </c>
      <c r="P1382" s="21">
        <v>30</v>
      </c>
      <c r="Q1382" s="10" t="s">
        <v>54</v>
      </c>
      <c r="R1382" s="10" t="s">
        <v>28</v>
      </c>
      <c r="S1382" s="10"/>
      <c r="T1382" s="10"/>
      <c r="U1382" s="10" t="s">
        <v>3120</v>
      </c>
      <c r="V1382" s="10" t="s">
        <v>3120</v>
      </c>
      <c r="W1382" s="50">
        <f>+J1382/$W$2</f>
        <v>4.9671277152968049E-5</v>
      </c>
    </row>
    <row r="1383" spans="1:29">
      <c r="A1383" s="10" t="s">
        <v>2435</v>
      </c>
      <c r="B1383" s="10" t="s">
        <v>358</v>
      </c>
      <c r="C1383" s="124">
        <v>46359</v>
      </c>
      <c r="D1383" s="124" t="s">
        <v>471</v>
      </c>
      <c r="E1383" s="21">
        <v>0.97294420000000004</v>
      </c>
      <c r="F1383" s="10"/>
      <c r="G1383" s="14">
        <v>450000</v>
      </c>
      <c r="H1383" s="14">
        <v>437824.89</v>
      </c>
      <c r="I1383" s="14">
        <v>450000</v>
      </c>
      <c r="J1383" s="14">
        <v>437824.89</v>
      </c>
      <c r="K1383" s="12">
        <v>11456508</v>
      </c>
      <c r="L1383" s="10" t="s">
        <v>101</v>
      </c>
      <c r="M1383" s="10" t="s">
        <v>102</v>
      </c>
      <c r="N1383" s="124" t="s">
        <v>469</v>
      </c>
      <c r="O1383" s="124" t="s">
        <v>469</v>
      </c>
      <c r="P1383" s="21">
        <v>29</v>
      </c>
      <c r="Q1383" s="10" t="s">
        <v>54</v>
      </c>
      <c r="R1383" s="10" t="s">
        <v>28</v>
      </c>
      <c r="S1383" s="10"/>
      <c r="T1383" s="10"/>
      <c r="U1383" s="10" t="s">
        <v>4041</v>
      </c>
      <c r="V1383" s="10" t="s">
        <v>4041</v>
      </c>
      <c r="W1383" s="50">
        <f>+J1383/$W$2</f>
        <v>5.35838373322766E-6</v>
      </c>
    </row>
    <row r="1384" spans="1:29">
      <c r="A1384" s="10" t="s">
        <v>1765</v>
      </c>
      <c r="B1384" s="10" t="s">
        <v>358</v>
      </c>
      <c r="C1384" s="124">
        <v>46359</v>
      </c>
      <c r="D1384" s="124" t="s">
        <v>471</v>
      </c>
      <c r="E1384" s="21">
        <v>0.96932697000000001</v>
      </c>
      <c r="F1384" s="10"/>
      <c r="G1384" s="14">
        <v>604613.32999999996</v>
      </c>
      <c r="H1384" s="14">
        <v>586068.01</v>
      </c>
      <c r="I1384" s="14">
        <v>604613.32999999996</v>
      </c>
      <c r="J1384" s="14">
        <v>586068.01</v>
      </c>
      <c r="K1384" s="12">
        <v>19715</v>
      </c>
      <c r="L1384" s="10" t="s">
        <v>101</v>
      </c>
      <c r="M1384" s="10" t="s">
        <v>102</v>
      </c>
      <c r="N1384" s="124" t="s">
        <v>417</v>
      </c>
      <c r="O1384" s="124" t="s">
        <v>417</v>
      </c>
      <c r="P1384" s="21">
        <v>33</v>
      </c>
      <c r="Q1384" s="10" t="s">
        <v>54</v>
      </c>
      <c r="R1384" s="10" t="s">
        <v>28</v>
      </c>
      <c r="S1384" s="10"/>
      <c r="T1384" s="10"/>
      <c r="U1384" s="10" t="s">
        <v>3279</v>
      </c>
      <c r="V1384" s="10" t="s">
        <v>3279</v>
      </c>
      <c r="W1384" s="50">
        <f>+J1384/$W$2</f>
        <v>7.172678765131661E-6</v>
      </c>
    </row>
    <row r="1385" spans="1:29">
      <c r="A1385" s="10" t="s">
        <v>362</v>
      </c>
      <c r="B1385" s="10" t="s">
        <v>358</v>
      </c>
      <c r="C1385" s="124">
        <v>46359</v>
      </c>
      <c r="D1385" s="124" t="s">
        <v>471</v>
      </c>
      <c r="E1385" s="21">
        <v>0.96932686999999995</v>
      </c>
      <c r="F1385" s="10"/>
      <c r="G1385" s="14">
        <v>25000000</v>
      </c>
      <c r="H1385" s="14">
        <v>24233171.66</v>
      </c>
      <c r="I1385" s="14">
        <v>25000000</v>
      </c>
      <c r="J1385" s="14">
        <v>24233171.66</v>
      </c>
      <c r="K1385" s="12">
        <v>4292</v>
      </c>
      <c r="L1385" s="10" t="s">
        <v>101</v>
      </c>
      <c r="M1385" s="10" t="s">
        <v>102</v>
      </c>
      <c r="N1385" s="124" t="s">
        <v>439</v>
      </c>
      <c r="O1385" s="124" t="s">
        <v>439</v>
      </c>
      <c r="P1385" s="21">
        <v>33</v>
      </c>
      <c r="Q1385" s="10" t="s">
        <v>54</v>
      </c>
      <c r="R1385" s="10" t="s">
        <v>28</v>
      </c>
      <c r="S1385" s="10"/>
      <c r="T1385" s="10"/>
      <c r="U1385" s="10" t="s">
        <v>2282</v>
      </c>
      <c r="V1385" s="10" t="s">
        <v>2282</v>
      </c>
      <c r="W1385" s="50">
        <f>+J1385/$W$2</f>
        <v>2.9658120356624201E-4</v>
      </c>
    </row>
    <row r="1386" spans="1:29">
      <c r="A1386" s="10" t="s">
        <v>583</v>
      </c>
      <c r="B1386" s="10" t="s">
        <v>358</v>
      </c>
      <c r="C1386" s="124">
        <v>46359</v>
      </c>
      <c r="D1386" s="124" t="s">
        <v>471</v>
      </c>
      <c r="E1386" s="21">
        <v>0.96484274999999997</v>
      </c>
      <c r="F1386" s="10"/>
      <c r="G1386" s="14">
        <v>1082000000</v>
      </c>
      <c r="H1386" s="14">
        <v>1043959859.83</v>
      </c>
      <c r="I1386" s="14">
        <v>1082000000</v>
      </c>
      <c r="J1386" s="14">
        <v>1043959859.83</v>
      </c>
      <c r="K1386" s="12">
        <v>70393079</v>
      </c>
      <c r="L1386" s="10" t="s">
        <v>101</v>
      </c>
      <c r="M1386" s="10" t="s">
        <v>102</v>
      </c>
      <c r="N1386" s="124" t="s">
        <v>452</v>
      </c>
      <c r="O1386" s="124" t="s">
        <v>452</v>
      </c>
      <c r="P1386" s="21">
        <v>38</v>
      </c>
      <c r="Q1386" s="10" t="s">
        <v>54</v>
      </c>
      <c r="R1386" s="10" t="s">
        <v>28</v>
      </c>
      <c r="S1386" s="10"/>
      <c r="T1386" s="10"/>
      <c r="U1386" s="10" t="s">
        <v>2496</v>
      </c>
      <c r="V1386" s="10" t="s">
        <v>2496</v>
      </c>
      <c r="W1386" s="50">
        <f>+J1386/$W$2</f>
        <v>1.2776654911180813E-2</v>
      </c>
      <c r="AC1386" s="47"/>
    </row>
    <row r="1387" spans="1:29">
      <c r="A1387" s="10" t="s">
        <v>583</v>
      </c>
      <c r="B1387" s="10" t="s">
        <v>358</v>
      </c>
      <c r="C1387" s="124">
        <v>46359</v>
      </c>
      <c r="D1387" s="124" t="s">
        <v>471</v>
      </c>
      <c r="E1387" s="21">
        <v>0.96484274999999997</v>
      </c>
      <c r="F1387" s="10"/>
      <c r="G1387" s="14">
        <v>100000000</v>
      </c>
      <c r="H1387" s="14">
        <v>96484275.400000006</v>
      </c>
      <c r="I1387" s="14">
        <v>100000000</v>
      </c>
      <c r="J1387" s="14">
        <v>96484275.400000006</v>
      </c>
      <c r="K1387" s="12">
        <v>70393080</v>
      </c>
      <c r="L1387" s="10" t="s">
        <v>101</v>
      </c>
      <c r="M1387" s="10" t="s">
        <v>102</v>
      </c>
      <c r="N1387" s="124" t="s">
        <v>452</v>
      </c>
      <c r="O1387" s="124" t="s">
        <v>452</v>
      </c>
      <c r="P1387" s="21">
        <v>38</v>
      </c>
      <c r="Q1387" s="10" t="s">
        <v>54</v>
      </c>
      <c r="R1387" s="10" t="s">
        <v>28</v>
      </c>
      <c r="S1387" s="10"/>
      <c r="T1387" s="10"/>
      <c r="U1387" s="10" t="s">
        <v>2497</v>
      </c>
      <c r="V1387" s="10" t="s">
        <v>2497</v>
      </c>
      <c r="W1387" s="50">
        <f>+J1387/$W$2</f>
        <v>1.1808368679442087E-3</v>
      </c>
    </row>
    <row r="1388" spans="1:29">
      <c r="A1388" s="10" t="s">
        <v>433</v>
      </c>
      <c r="B1388" s="10" t="s">
        <v>358</v>
      </c>
      <c r="C1388" s="124">
        <v>46359</v>
      </c>
      <c r="D1388" s="124" t="s">
        <v>471</v>
      </c>
      <c r="E1388" s="21">
        <v>0.97022865999999997</v>
      </c>
      <c r="F1388" s="10"/>
      <c r="G1388" s="14">
        <v>10000000</v>
      </c>
      <c r="H1388" s="14">
        <v>9702286.6099999994</v>
      </c>
      <c r="I1388" s="14">
        <v>10000000</v>
      </c>
      <c r="J1388" s="14">
        <v>9702286.6099999994</v>
      </c>
      <c r="K1388" s="12">
        <v>14422582</v>
      </c>
      <c r="L1388" s="10" t="s">
        <v>101</v>
      </c>
      <c r="M1388" s="10" t="s">
        <v>102</v>
      </c>
      <c r="N1388" s="124" t="s">
        <v>162</v>
      </c>
      <c r="O1388" s="124" t="s">
        <v>162</v>
      </c>
      <c r="P1388" s="21">
        <v>32</v>
      </c>
      <c r="Q1388" s="10" t="s">
        <v>54</v>
      </c>
      <c r="R1388" s="10" t="s">
        <v>28</v>
      </c>
      <c r="S1388" s="10"/>
      <c r="T1388" s="10"/>
      <c r="U1388" s="10" t="s">
        <v>1268</v>
      </c>
      <c r="V1388" s="10" t="s">
        <v>1268</v>
      </c>
      <c r="W1388" s="50">
        <f>+J1388/$W$2</f>
        <v>1.187428488730655E-4</v>
      </c>
      <c r="AC1388" s="47"/>
    </row>
    <row r="1389" spans="1:29">
      <c r="A1389" s="10" t="s">
        <v>434</v>
      </c>
      <c r="B1389" s="10" t="s">
        <v>358</v>
      </c>
      <c r="C1389" s="124">
        <v>46359</v>
      </c>
      <c r="D1389" s="124" t="s">
        <v>471</v>
      </c>
      <c r="E1389" s="21">
        <v>0.96932682999999997</v>
      </c>
      <c r="F1389" s="10"/>
      <c r="G1389" s="14">
        <v>2500000</v>
      </c>
      <c r="H1389" s="14">
        <v>2423317.0699999998</v>
      </c>
      <c r="I1389" s="14">
        <v>2500000</v>
      </c>
      <c r="J1389" s="14">
        <v>2423317.0699999998</v>
      </c>
      <c r="K1389" s="12">
        <v>679</v>
      </c>
      <c r="L1389" s="10" t="s">
        <v>101</v>
      </c>
      <c r="M1389" s="10" t="s">
        <v>102</v>
      </c>
      <c r="N1389" s="124" t="s">
        <v>478</v>
      </c>
      <c r="O1389" s="124" t="s">
        <v>478</v>
      </c>
      <c r="P1389" s="21">
        <v>33</v>
      </c>
      <c r="Q1389" s="10" t="s">
        <v>54</v>
      </c>
      <c r="R1389" s="10" t="s">
        <v>28</v>
      </c>
      <c r="S1389" s="10"/>
      <c r="T1389" s="10"/>
      <c r="U1389" s="10" t="s">
        <v>2175</v>
      </c>
      <c r="V1389" s="10" t="s">
        <v>2175</v>
      </c>
      <c r="W1389" s="50">
        <f>+J1389/$W$2</f>
        <v>2.9658119181714207E-5</v>
      </c>
    </row>
    <row r="1390" spans="1:29">
      <c r="A1390" s="10" t="s">
        <v>217</v>
      </c>
      <c r="B1390" s="10" t="s">
        <v>358</v>
      </c>
      <c r="C1390" s="124">
        <v>46359</v>
      </c>
      <c r="D1390" s="124" t="s">
        <v>471</v>
      </c>
      <c r="E1390" s="21">
        <v>0.97022865999999997</v>
      </c>
      <c r="F1390" s="10"/>
      <c r="G1390" s="14">
        <v>50000000</v>
      </c>
      <c r="H1390" s="14">
        <v>48511432.799999997</v>
      </c>
      <c r="I1390" s="14">
        <v>50000000</v>
      </c>
      <c r="J1390" s="14">
        <v>48511432.799999997</v>
      </c>
      <c r="K1390" s="12">
        <v>5292</v>
      </c>
      <c r="L1390" s="10" t="s">
        <v>101</v>
      </c>
      <c r="M1390" s="10" t="s">
        <v>102</v>
      </c>
      <c r="N1390" s="124" t="s">
        <v>405</v>
      </c>
      <c r="O1390" s="124" t="s">
        <v>405</v>
      </c>
      <c r="P1390" s="21">
        <v>32</v>
      </c>
      <c r="Q1390" s="10" t="s">
        <v>54</v>
      </c>
      <c r="R1390" s="10" t="s">
        <v>28</v>
      </c>
      <c r="S1390" s="10"/>
      <c r="T1390" s="10"/>
      <c r="U1390" s="10" t="s">
        <v>1507</v>
      </c>
      <c r="V1390" s="10" t="s">
        <v>1507</v>
      </c>
      <c r="W1390" s="50">
        <f>+J1390/$W$2</f>
        <v>5.9371424130566606E-4</v>
      </c>
    </row>
    <row r="1391" spans="1:29">
      <c r="A1391" s="10" t="s">
        <v>124</v>
      </c>
      <c r="B1391" s="10" t="s">
        <v>125</v>
      </c>
      <c r="C1391" s="124">
        <v>46359</v>
      </c>
      <c r="D1391" s="124" t="s">
        <v>471</v>
      </c>
      <c r="E1391" s="21">
        <v>0.99144370000000004</v>
      </c>
      <c r="F1391" s="10" t="s">
        <v>4162</v>
      </c>
      <c r="G1391" s="14">
        <v>100000</v>
      </c>
      <c r="H1391" s="14">
        <v>99144.37</v>
      </c>
      <c r="I1391" s="14">
        <v>153959302.09</v>
      </c>
      <c r="J1391" s="14">
        <v>152641980.11000001</v>
      </c>
      <c r="K1391" s="12">
        <v>159253</v>
      </c>
      <c r="L1391" s="10" t="s">
        <v>101</v>
      </c>
      <c r="M1391" s="10" t="s">
        <v>102</v>
      </c>
      <c r="N1391" s="124" t="s">
        <v>378</v>
      </c>
      <c r="O1391" s="124" t="s">
        <v>378</v>
      </c>
      <c r="P1391" s="21">
        <v>9</v>
      </c>
      <c r="Q1391" s="10" t="s">
        <v>54</v>
      </c>
      <c r="R1391" s="10" t="s">
        <v>28</v>
      </c>
      <c r="S1391" s="10"/>
      <c r="T1391" s="10"/>
      <c r="U1391" s="10" t="s">
        <v>875</v>
      </c>
      <c r="V1391" s="10" t="s">
        <v>875</v>
      </c>
      <c r="W1391" s="50">
        <f>+J1391/$W$2</f>
        <v>1.8681311225341346E-3</v>
      </c>
    </row>
    <row r="1392" spans="1:29">
      <c r="A1392" s="10" t="s">
        <v>359</v>
      </c>
      <c r="B1392" s="10" t="s">
        <v>358</v>
      </c>
      <c r="C1392" s="124">
        <v>46359</v>
      </c>
      <c r="D1392" s="124" t="s">
        <v>471</v>
      </c>
      <c r="E1392" s="21">
        <v>0.97203744000000003</v>
      </c>
      <c r="F1392" s="10"/>
      <c r="G1392" s="14">
        <v>10000000</v>
      </c>
      <c r="H1392" s="14">
        <v>9720374.3599999994</v>
      </c>
      <c r="I1392" s="14">
        <v>10000000</v>
      </c>
      <c r="J1392" s="14">
        <v>9720374.3599999994</v>
      </c>
      <c r="K1392" s="12">
        <v>1434</v>
      </c>
      <c r="L1392" s="10" t="s">
        <v>101</v>
      </c>
      <c r="M1392" s="10" t="s">
        <v>102</v>
      </c>
      <c r="N1392" s="124" t="s">
        <v>468</v>
      </c>
      <c r="O1392" s="124" t="s">
        <v>468</v>
      </c>
      <c r="P1392" s="21">
        <v>30</v>
      </c>
      <c r="Q1392" s="10" t="s">
        <v>54</v>
      </c>
      <c r="R1392" s="10" t="s">
        <v>28</v>
      </c>
      <c r="S1392" s="10"/>
      <c r="T1392" s="10"/>
      <c r="U1392" s="10" t="s">
        <v>3826</v>
      </c>
      <c r="V1392" s="10" t="s">
        <v>3826</v>
      </c>
      <c r="W1392" s="50">
        <f>+J1392/$W$2</f>
        <v>1.1896421843789469E-4</v>
      </c>
    </row>
    <row r="1393" spans="1:23">
      <c r="A1393" s="10" t="s">
        <v>359</v>
      </c>
      <c r="B1393" s="10" t="s">
        <v>358</v>
      </c>
      <c r="C1393" s="124">
        <v>46359</v>
      </c>
      <c r="D1393" s="124" t="s">
        <v>471</v>
      </c>
      <c r="E1393" s="21">
        <v>0.97203751999999999</v>
      </c>
      <c r="F1393" s="10"/>
      <c r="G1393" s="14">
        <v>9000000</v>
      </c>
      <c r="H1393" s="14">
        <v>8748337.6400000006</v>
      </c>
      <c r="I1393" s="14">
        <v>9000000</v>
      </c>
      <c r="J1393" s="14">
        <v>8748337.6400000006</v>
      </c>
      <c r="K1393" s="12">
        <v>1437</v>
      </c>
      <c r="L1393" s="10" t="s">
        <v>101</v>
      </c>
      <c r="M1393" s="10" t="s">
        <v>102</v>
      </c>
      <c r="N1393" s="124" t="s">
        <v>474</v>
      </c>
      <c r="O1393" s="124" t="s">
        <v>474</v>
      </c>
      <c r="P1393" s="21">
        <v>30</v>
      </c>
      <c r="Q1393" s="10" t="s">
        <v>54</v>
      </c>
      <c r="R1393" s="10" t="s">
        <v>28</v>
      </c>
      <c r="S1393" s="10"/>
      <c r="T1393" s="10"/>
      <c r="U1393" s="10" t="s">
        <v>3862</v>
      </c>
      <c r="V1393" s="10" t="s">
        <v>3862</v>
      </c>
      <c r="W1393" s="50">
        <f>+J1393/$W$2</f>
        <v>1.070678053569756E-4</v>
      </c>
    </row>
    <row r="1394" spans="1:23">
      <c r="A1394" s="10" t="s">
        <v>359</v>
      </c>
      <c r="B1394" s="10" t="s">
        <v>358</v>
      </c>
      <c r="C1394" s="124">
        <v>46359</v>
      </c>
      <c r="D1394" s="124" t="s">
        <v>471</v>
      </c>
      <c r="E1394" s="21">
        <v>0.97203731999999998</v>
      </c>
      <c r="F1394" s="10"/>
      <c r="G1394" s="14">
        <v>10000000</v>
      </c>
      <c r="H1394" s="14">
        <v>9720373.2200000007</v>
      </c>
      <c r="I1394" s="14">
        <v>10000000</v>
      </c>
      <c r="J1394" s="14">
        <v>9720373.2200000007</v>
      </c>
      <c r="K1394" s="12">
        <v>1442</v>
      </c>
      <c r="L1394" s="10" t="s">
        <v>101</v>
      </c>
      <c r="M1394" s="10" t="s">
        <v>102</v>
      </c>
      <c r="N1394" s="124" t="s">
        <v>469</v>
      </c>
      <c r="O1394" s="124" t="s">
        <v>469</v>
      </c>
      <c r="P1394" s="21">
        <v>30</v>
      </c>
      <c r="Q1394" s="10" t="s">
        <v>54</v>
      </c>
      <c r="R1394" s="10" t="s">
        <v>28</v>
      </c>
      <c r="S1394" s="10"/>
      <c r="T1394" s="10"/>
      <c r="U1394" s="10" t="s">
        <v>3969</v>
      </c>
      <c r="V1394" s="10" t="s">
        <v>3969</v>
      </c>
      <c r="W1394" s="50">
        <f>+J1394/$W$2</f>
        <v>1.1896420448583855E-4</v>
      </c>
    </row>
    <row r="1395" spans="1:23">
      <c r="A1395" s="10" t="s">
        <v>359</v>
      </c>
      <c r="B1395" s="10" t="s">
        <v>125</v>
      </c>
      <c r="C1395" s="124">
        <v>46359</v>
      </c>
      <c r="D1395" s="124" t="s">
        <v>471</v>
      </c>
      <c r="E1395" s="21">
        <v>0.99238716000000005</v>
      </c>
      <c r="F1395" s="10" t="s">
        <v>4162</v>
      </c>
      <c r="G1395" s="14">
        <v>450000</v>
      </c>
      <c r="H1395" s="14">
        <v>446574.22</v>
      </c>
      <c r="I1395" s="14">
        <v>692816859.40999997</v>
      </c>
      <c r="J1395" s="14">
        <v>687542552.42999995</v>
      </c>
      <c r="K1395" s="12">
        <v>165877</v>
      </c>
      <c r="L1395" s="10" t="s">
        <v>101</v>
      </c>
      <c r="M1395" s="10" t="s">
        <v>102</v>
      </c>
      <c r="N1395" s="124" t="s">
        <v>408</v>
      </c>
      <c r="O1395" s="124" t="s">
        <v>408</v>
      </c>
      <c r="P1395" s="21">
        <v>8</v>
      </c>
      <c r="Q1395" s="10" t="s">
        <v>54</v>
      </c>
      <c r="R1395" s="10" t="s">
        <v>28</v>
      </c>
      <c r="S1395" s="10"/>
      <c r="T1395" s="10"/>
      <c r="U1395" s="10" t="s">
        <v>2077</v>
      </c>
      <c r="V1395" s="10" t="s">
        <v>2077</v>
      </c>
      <c r="W1395" s="50">
        <f>+J1395/$W$2</f>
        <v>8.4145897434993629E-3</v>
      </c>
    </row>
    <row r="1396" spans="1:23">
      <c r="A1396" s="10" t="s">
        <v>361</v>
      </c>
      <c r="B1396" s="10" t="s">
        <v>358</v>
      </c>
      <c r="C1396" s="124">
        <v>46359</v>
      </c>
      <c r="D1396" s="124" t="s">
        <v>471</v>
      </c>
      <c r="E1396" s="21">
        <v>0.97203740000000005</v>
      </c>
      <c r="F1396" s="10"/>
      <c r="G1396" s="14">
        <v>75000000</v>
      </c>
      <c r="H1396" s="14">
        <v>72902805.040000007</v>
      </c>
      <c r="I1396" s="14">
        <v>75000000</v>
      </c>
      <c r="J1396" s="14">
        <v>72902805.040000007</v>
      </c>
      <c r="K1396" s="12">
        <v>343</v>
      </c>
      <c r="L1396" s="10" t="s">
        <v>101</v>
      </c>
      <c r="M1396" s="10" t="s">
        <v>102</v>
      </c>
      <c r="N1396" s="124" t="s">
        <v>603</v>
      </c>
      <c r="O1396" s="124" t="s">
        <v>603</v>
      </c>
      <c r="P1396" s="21">
        <v>30</v>
      </c>
      <c r="Q1396" s="10" t="s">
        <v>54</v>
      </c>
      <c r="R1396" s="10" t="s">
        <v>28</v>
      </c>
      <c r="S1396" s="10"/>
      <c r="T1396" s="10"/>
      <c r="U1396" s="10" t="s">
        <v>2665</v>
      </c>
      <c r="V1396" s="10" t="s">
        <v>2665</v>
      </c>
      <c r="W1396" s="50">
        <f>+J1396/$W$2</f>
        <v>8.9223160572941265E-4</v>
      </c>
    </row>
    <row r="1397" spans="1:23">
      <c r="A1397" s="10" t="s">
        <v>2821</v>
      </c>
      <c r="B1397" s="10" t="s">
        <v>358</v>
      </c>
      <c r="C1397" s="124">
        <v>46359</v>
      </c>
      <c r="D1397" s="124" t="s">
        <v>471</v>
      </c>
      <c r="E1397" s="21">
        <v>0.97022876000000002</v>
      </c>
      <c r="F1397" s="10"/>
      <c r="G1397" s="14">
        <v>5106355</v>
      </c>
      <c r="H1397" s="14">
        <v>4954332.46</v>
      </c>
      <c r="I1397" s="14">
        <v>5106355</v>
      </c>
      <c r="J1397" s="14">
        <v>4954332.46</v>
      </c>
      <c r="K1397" s="12">
        <v>10405</v>
      </c>
      <c r="L1397" s="10" t="s">
        <v>101</v>
      </c>
      <c r="M1397" s="10" t="s">
        <v>102</v>
      </c>
      <c r="N1397" s="124" t="s">
        <v>412</v>
      </c>
      <c r="O1397" s="124" t="s">
        <v>412</v>
      </c>
      <c r="P1397" s="21">
        <v>32</v>
      </c>
      <c r="Q1397" s="10" t="s">
        <v>54</v>
      </c>
      <c r="R1397" s="10" t="s">
        <v>28</v>
      </c>
      <c r="S1397" s="10"/>
      <c r="T1397" s="10"/>
      <c r="U1397" s="10" t="s">
        <v>2765</v>
      </c>
      <c r="V1397" s="10" t="s">
        <v>2765</v>
      </c>
      <c r="W1397" s="50">
        <f>+J1397/$W$2</f>
        <v>6.0634319950758795E-5</v>
      </c>
    </row>
    <row r="1398" spans="1:23">
      <c r="A1398" s="10" t="s">
        <v>2869</v>
      </c>
      <c r="B1398" s="10" t="s">
        <v>358</v>
      </c>
      <c r="C1398" s="124">
        <v>46359</v>
      </c>
      <c r="D1398" s="124" t="s">
        <v>471</v>
      </c>
      <c r="E1398" s="21">
        <v>0.97022861999999999</v>
      </c>
      <c r="F1398" s="10"/>
      <c r="G1398" s="14">
        <v>363375.5</v>
      </c>
      <c r="H1398" s="14">
        <v>352557.31</v>
      </c>
      <c r="I1398" s="14">
        <v>363375.5</v>
      </c>
      <c r="J1398" s="14">
        <v>352557.31</v>
      </c>
      <c r="K1398" s="12">
        <v>305</v>
      </c>
      <c r="L1398" s="10" t="s">
        <v>101</v>
      </c>
      <c r="M1398" s="10" t="s">
        <v>102</v>
      </c>
      <c r="N1398" s="124" t="s">
        <v>445</v>
      </c>
      <c r="O1398" s="124" t="s">
        <v>445</v>
      </c>
      <c r="P1398" s="21">
        <v>32</v>
      </c>
      <c r="Q1398" s="10" t="s">
        <v>54</v>
      </c>
      <c r="R1398" s="10" t="s">
        <v>28</v>
      </c>
      <c r="S1398" s="10"/>
      <c r="T1398" s="10"/>
      <c r="U1398" s="10" t="s">
        <v>2837</v>
      </c>
      <c r="V1398" s="10" t="s">
        <v>2837</v>
      </c>
      <c r="W1398" s="50">
        <f>+J1398/$W$2</f>
        <v>4.3148240268717963E-6</v>
      </c>
    </row>
    <row r="1399" spans="1:23">
      <c r="A1399" s="10" t="s">
        <v>3110</v>
      </c>
      <c r="B1399" s="10" t="s">
        <v>358</v>
      </c>
      <c r="C1399" s="124">
        <v>46359</v>
      </c>
      <c r="D1399" s="124" t="s">
        <v>471</v>
      </c>
      <c r="E1399" s="21">
        <v>0.96932684999999996</v>
      </c>
      <c r="F1399" s="10"/>
      <c r="G1399" s="14">
        <v>2616499.4700000002</v>
      </c>
      <c r="H1399" s="14">
        <v>2536243.1800000002</v>
      </c>
      <c r="I1399" s="14">
        <v>2616499.4700000002</v>
      </c>
      <c r="J1399" s="14">
        <v>2536243.1800000002</v>
      </c>
      <c r="K1399" s="12">
        <v>10858294</v>
      </c>
      <c r="L1399" s="10" t="s">
        <v>101</v>
      </c>
      <c r="M1399" s="10" t="s">
        <v>102</v>
      </c>
      <c r="N1399" s="124" t="s">
        <v>446</v>
      </c>
      <c r="O1399" s="124" t="s">
        <v>446</v>
      </c>
      <c r="P1399" s="21">
        <v>33</v>
      </c>
      <c r="Q1399" s="10" t="s">
        <v>54</v>
      </c>
      <c r="R1399" s="10" t="s">
        <v>28</v>
      </c>
      <c r="S1399" s="10"/>
      <c r="T1399" s="10"/>
      <c r="U1399" s="10" t="s">
        <v>3111</v>
      </c>
      <c r="V1399" s="10" t="s">
        <v>3111</v>
      </c>
      <c r="W1399" s="50">
        <f>+J1399/$W$2</f>
        <v>3.1040181838957562E-5</v>
      </c>
    </row>
    <row r="1400" spans="1:23">
      <c r="A1400" s="10" t="s">
        <v>271</v>
      </c>
      <c r="B1400" s="10" t="s">
        <v>358</v>
      </c>
      <c r="C1400" s="124">
        <v>46359</v>
      </c>
      <c r="D1400" s="124" t="s">
        <v>471</v>
      </c>
      <c r="E1400" s="21">
        <v>0.97113212000000004</v>
      </c>
      <c r="F1400" s="10"/>
      <c r="G1400" s="14">
        <v>6000000</v>
      </c>
      <c r="H1400" s="14">
        <v>5826792.7199999997</v>
      </c>
      <c r="I1400" s="14">
        <v>6000000</v>
      </c>
      <c r="J1400" s="14">
        <v>5826792.7199999997</v>
      </c>
      <c r="K1400" s="12">
        <v>12299307</v>
      </c>
      <c r="L1400" s="10" t="s">
        <v>101</v>
      </c>
      <c r="M1400" s="10" t="s">
        <v>102</v>
      </c>
      <c r="N1400" s="124" t="s">
        <v>486</v>
      </c>
      <c r="O1400" s="124" t="s">
        <v>486</v>
      </c>
      <c r="P1400" s="21">
        <v>31</v>
      </c>
      <c r="Q1400" s="10" t="s">
        <v>54</v>
      </c>
      <c r="R1400" s="10" t="s">
        <v>28</v>
      </c>
      <c r="S1400" s="10"/>
      <c r="T1400" s="10"/>
      <c r="U1400" s="10" t="s">
        <v>1438</v>
      </c>
      <c r="V1400" s="10" t="s">
        <v>1438</v>
      </c>
      <c r="W1400" s="50">
        <f>+J1400/$W$2</f>
        <v>7.1312052011792535E-5</v>
      </c>
    </row>
    <row r="1401" spans="1:23">
      <c r="A1401" s="10" t="s">
        <v>622</v>
      </c>
      <c r="B1401" s="10" t="s">
        <v>358</v>
      </c>
      <c r="C1401" s="124">
        <v>46359</v>
      </c>
      <c r="D1401" s="124" t="s">
        <v>471</v>
      </c>
      <c r="E1401" s="21">
        <v>0.97567499999999996</v>
      </c>
      <c r="F1401" s="10"/>
      <c r="G1401" s="14">
        <v>7000000</v>
      </c>
      <c r="H1401" s="14">
        <v>6829725.0199999996</v>
      </c>
      <c r="I1401" s="14">
        <v>7000000</v>
      </c>
      <c r="J1401" s="14">
        <v>6829725.0199999996</v>
      </c>
      <c r="K1401" s="12">
        <v>1741</v>
      </c>
      <c r="L1401" s="10" t="s">
        <v>101</v>
      </c>
      <c r="M1401" s="10" t="s">
        <v>102</v>
      </c>
      <c r="N1401" s="124" t="s">
        <v>162</v>
      </c>
      <c r="O1401" s="124" t="s">
        <v>162</v>
      </c>
      <c r="P1401" s="21">
        <v>26</v>
      </c>
      <c r="Q1401" s="10" t="s">
        <v>54</v>
      </c>
      <c r="R1401" s="10" t="s">
        <v>28</v>
      </c>
      <c r="S1401" s="10"/>
      <c r="T1401" s="10"/>
      <c r="U1401" s="10" t="s">
        <v>1290</v>
      </c>
      <c r="V1401" s="10" t="s">
        <v>1290</v>
      </c>
      <c r="W1401" s="50">
        <f>+J1401/$W$2</f>
        <v>8.358658515185363E-5</v>
      </c>
    </row>
    <row r="1402" spans="1:23">
      <c r="A1402" s="10" t="s">
        <v>127</v>
      </c>
      <c r="B1402" s="10" t="s">
        <v>125</v>
      </c>
      <c r="C1402" s="124">
        <v>46359</v>
      </c>
      <c r="D1402" s="124" t="s">
        <v>471</v>
      </c>
      <c r="E1402" s="21">
        <v>0.99238720000000002</v>
      </c>
      <c r="F1402" s="10" t="s">
        <v>4162</v>
      </c>
      <c r="G1402" s="14">
        <v>50000</v>
      </c>
      <c r="H1402" s="14">
        <v>49619.360000000001</v>
      </c>
      <c r="I1402" s="14">
        <v>76979651.049999997</v>
      </c>
      <c r="J1402" s="14">
        <v>76393620.359999999</v>
      </c>
      <c r="K1402" s="12">
        <v>158027</v>
      </c>
      <c r="L1402" s="10" t="s">
        <v>101</v>
      </c>
      <c r="M1402" s="10" t="s">
        <v>102</v>
      </c>
      <c r="N1402" s="124" t="s">
        <v>407</v>
      </c>
      <c r="O1402" s="124" t="s">
        <v>407</v>
      </c>
      <c r="P1402" s="21">
        <v>8</v>
      </c>
      <c r="Q1402" s="10" t="s">
        <v>54</v>
      </c>
      <c r="R1402" s="10" t="s">
        <v>28</v>
      </c>
      <c r="S1402" s="10"/>
      <c r="T1402" s="10"/>
      <c r="U1402" s="10" t="s">
        <v>787</v>
      </c>
      <c r="V1402" s="10" t="s">
        <v>787</v>
      </c>
      <c r="W1402" s="50">
        <f>+J1402/$W$2</f>
        <v>9.3495445784133775E-4</v>
      </c>
    </row>
    <row r="1403" spans="1:23">
      <c r="A1403" s="10" t="s">
        <v>390</v>
      </c>
      <c r="B1403" s="10" t="s">
        <v>358</v>
      </c>
      <c r="C1403" s="124">
        <v>46359</v>
      </c>
      <c r="D1403" s="124" t="s">
        <v>471</v>
      </c>
      <c r="E1403" s="21">
        <v>0.97567495000000004</v>
      </c>
      <c r="F1403" s="10"/>
      <c r="G1403" s="14">
        <v>1633163.58</v>
      </c>
      <c r="H1403" s="14">
        <v>1593436.79</v>
      </c>
      <c r="I1403" s="14">
        <v>1633163.58</v>
      </c>
      <c r="J1403" s="14">
        <v>1593436.79</v>
      </c>
      <c r="K1403" s="12">
        <v>40015662</v>
      </c>
      <c r="L1403" s="10" t="s">
        <v>101</v>
      </c>
      <c r="M1403" s="10" t="s">
        <v>102</v>
      </c>
      <c r="N1403" s="124" t="s">
        <v>477</v>
      </c>
      <c r="O1403" s="124" t="s">
        <v>477</v>
      </c>
      <c r="P1403" s="21">
        <v>26</v>
      </c>
      <c r="Q1403" s="10" t="s">
        <v>54</v>
      </c>
      <c r="R1403" s="10" t="s">
        <v>28</v>
      </c>
      <c r="S1403" s="10"/>
      <c r="T1403" s="10"/>
      <c r="U1403" s="10" t="s">
        <v>2434</v>
      </c>
      <c r="V1403" s="10" t="s">
        <v>2434</v>
      </c>
      <c r="W1403" s="50">
        <f>+J1403/$W$2</f>
        <v>1.9501508412330094E-5</v>
      </c>
    </row>
    <row r="1404" spans="1:23">
      <c r="A1404" s="10" t="s">
        <v>359</v>
      </c>
      <c r="B1404" s="10" t="s">
        <v>125</v>
      </c>
      <c r="C1404" s="124">
        <v>46359</v>
      </c>
      <c r="D1404" s="124" t="s">
        <v>471</v>
      </c>
      <c r="E1404" s="21">
        <v>0.99238713000000001</v>
      </c>
      <c r="F1404" s="10" t="s">
        <v>4162</v>
      </c>
      <c r="G1404" s="14">
        <v>150000</v>
      </c>
      <c r="H1404" s="14">
        <v>148858.07</v>
      </c>
      <c r="I1404" s="14">
        <v>230938953.13999999</v>
      </c>
      <c r="J1404" s="14">
        <v>229180845.68000001</v>
      </c>
      <c r="K1404" s="12">
        <v>164929</v>
      </c>
      <c r="L1404" s="10" t="s">
        <v>101</v>
      </c>
      <c r="M1404" s="10" t="s">
        <v>102</v>
      </c>
      <c r="N1404" s="124" t="s">
        <v>447</v>
      </c>
      <c r="O1404" s="124" t="s">
        <v>447</v>
      </c>
      <c r="P1404" s="21">
        <v>8</v>
      </c>
      <c r="Q1404" s="10" t="s">
        <v>54</v>
      </c>
      <c r="R1404" s="10" t="s">
        <v>28</v>
      </c>
      <c r="S1404" s="10"/>
      <c r="T1404" s="10"/>
      <c r="U1404" s="10" t="s">
        <v>1633</v>
      </c>
      <c r="V1404" s="10" t="s">
        <v>1633</v>
      </c>
      <c r="W1404" s="50">
        <f>+J1404/$W$2</f>
        <v>2.8048631850488685E-3</v>
      </c>
    </row>
    <row r="1405" spans="1:23">
      <c r="A1405" s="10" t="s">
        <v>2741</v>
      </c>
      <c r="B1405" s="10" t="s">
        <v>358</v>
      </c>
      <c r="C1405" s="124">
        <v>46359</v>
      </c>
      <c r="D1405" s="124" t="s">
        <v>471</v>
      </c>
      <c r="E1405" s="21">
        <v>0.97022872999999998</v>
      </c>
      <c r="F1405" s="10"/>
      <c r="G1405" s="14">
        <v>75000000</v>
      </c>
      <c r="H1405" s="14">
        <v>72767154.409999996</v>
      </c>
      <c r="I1405" s="14">
        <v>75000000</v>
      </c>
      <c r="J1405" s="14">
        <v>72767154.409999996</v>
      </c>
      <c r="K1405" s="12">
        <v>586</v>
      </c>
      <c r="L1405" s="10" t="s">
        <v>101</v>
      </c>
      <c r="M1405" s="10" t="s">
        <v>102</v>
      </c>
      <c r="N1405" s="124" t="s">
        <v>466</v>
      </c>
      <c r="O1405" s="124" t="s">
        <v>466</v>
      </c>
      <c r="P1405" s="21">
        <v>32</v>
      </c>
      <c r="Q1405" s="10" t="s">
        <v>54</v>
      </c>
      <c r="R1405" s="10" t="s">
        <v>28</v>
      </c>
      <c r="S1405" s="10"/>
      <c r="T1405" s="10"/>
      <c r="U1405" s="10" t="s">
        <v>3651</v>
      </c>
      <c r="V1405" s="10" t="s">
        <v>3651</v>
      </c>
      <c r="W1405" s="50">
        <f>+J1405/$W$2</f>
        <v>8.9057142572184357E-4</v>
      </c>
    </row>
    <row r="1406" spans="1:23">
      <c r="A1406" s="10" t="s">
        <v>334</v>
      </c>
      <c r="B1406" s="10" t="s">
        <v>358</v>
      </c>
      <c r="C1406" s="124">
        <v>46360</v>
      </c>
      <c r="D1406" s="124" t="s">
        <v>471</v>
      </c>
      <c r="E1406" s="21">
        <v>0.96571076</v>
      </c>
      <c r="F1406" s="10"/>
      <c r="G1406" s="14">
        <v>2874176.47</v>
      </c>
      <c r="H1406" s="14">
        <v>2775623.14</v>
      </c>
      <c r="I1406" s="14">
        <v>2874176.47</v>
      </c>
      <c r="J1406" s="14">
        <v>2775623.14</v>
      </c>
      <c r="K1406" s="12">
        <v>3437</v>
      </c>
      <c r="L1406" s="10" t="s">
        <v>101</v>
      </c>
      <c r="M1406" s="10" t="s">
        <v>102</v>
      </c>
      <c r="N1406" s="124" t="s">
        <v>441</v>
      </c>
      <c r="O1406" s="124" t="s">
        <v>441</v>
      </c>
      <c r="P1406" s="21">
        <v>36</v>
      </c>
      <c r="Q1406" s="10" t="s">
        <v>54</v>
      </c>
      <c r="R1406" s="10" t="s">
        <v>28</v>
      </c>
      <c r="S1406" s="10"/>
      <c r="T1406" s="10"/>
      <c r="U1406" s="10" t="s">
        <v>1539</v>
      </c>
      <c r="V1406" s="10" t="s">
        <v>1539</v>
      </c>
      <c r="W1406" s="50">
        <f>+J1406/$W$2</f>
        <v>3.3969868371225492E-5</v>
      </c>
    </row>
    <row r="1407" spans="1:23">
      <c r="A1407" s="10" t="s">
        <v>334</v>
      </c>
      <c r="B1407" s="10" t="s">
        <v>358</v>
      </c>
      <c r="C1407" s="124">
        <v>46360</v>
      </c>
      <c r="D1407" s="124" t="s">
        <v>471</v>
      </c>
      <c r="E1407" s="21">
        <v>0.96571076</v>
      </c>
      <c r="F1407" s="10"/>
      <c r="G1407" s="14">
        <v>3841101.28</v>
      </c>
      <c r="H1407" s="14">
        <v>3709392.83</v>
      </c>
      <c r="I1407" s="14">
        <v>3841101.28</v>
      </c>
      <c r="J1407" s="14">
        <v>3709392.83</v>
      </c>
      <c r="K1407" s="12">
        <v>3367</v>
      </c>
      <c r="L1407" s="10" t="s">
        <v>101</v>
      </c>
      <c r="M1407" s="10" t="s">
        <v>102</v>
      </c>
      <c r="N1407" s="124" t="s">
        <v>441</v>
      </c>
      <c r="O1407" s="124" t="s">
        <v>441</v>
      </c>
      <c r="P1407" s="21">
        <v>36</v>
      </c>
      <c r="Q1407" s="10" t="s">
        <v>54</v>
      </c>
      <c r="R1407" s="10" t="s">
        <v>28</v>
      </c>
      <c r="S1407" s="10"/>
      <c r="T1407" s="10"/>
      <c r="U1407" s="10" t="s">
        <v>1540</v>
      </c>
      <c r="V1407" s="10" t="s">
        <v>1540</v>
      </c>
      <c r="W1407" s="50">
        <f>+J1407/$W$2</f>
        <v>4.5397944827721682E-5</v>
      </c>
    </row>
    <row r="1408" spans="1:23">
      <c r="A1408" s="10" t="s">
        <v>334</v>
      </c>
      <c r="B1408" s="10" t="s">
        <v>358</v>
      </c>
      <c r="C1408" s="124">
        <v>46360</v>
      </c>
      <c r="D1408" s="124" t="s">
        <v>471</v>
      </c>
      <c r="E1408" s="21">
        <v>0.96571074999999995</v>
      </c>
      <c r="F1408" s="10"/>
      <c r="G1408" s="14">
        <v>3105640.28</v>
      </c>
      <c r="H1408" s="14">
        <v>2999150.21</v>
      </c>
      <c r="I1408" s="14">
        <v>3105640.28</v>
      </c>
      <c r="J1408" s="14">
        <v>2999150.21</v>
      </c>
      <c r="K1408" s="12">
        <v>3389</v>
      </c>
      <c r="L1408" s="10" t="s">
        <v>101</v>
      </c>
      <c r="M1408" s="10" t="s">
        <v>102</v>
      </c>
      <c r="N1408" s="124" t="s">
        <v>441</v>
      </c>
      <c r="O1408" s="124" t="s">
        <v>441</v>
      </c>
      <c r="P1408" s="21">
        <v>36</v>
      </c>
      <c r="Q1408" s="10" t="s">
        <v>54</v>
      </c>
      <c r="R1408" s="10" t="s">
        <v>28</v>
      </c>
      <c r="S1408" s="10"/>
      <c r="T1408" s="10"/>
      <c r="U1408" s="10" t="s">
        <v>1541</v>
      </c>
      <c r="V1408" s="10" t="s">
        <v>1541</v>
      </c>
      <c r="W1408" s="50">
        <f>+J1408/$W$2</f>
        <v>3.6705536998525415E-5</v>
      </c>
    </row>
    <row r="1409" spans="1:29">
      <c r="A1409" s="10" t="s">
        <v>334</v>
      </c>
      <c r="B1409" s="10" t="s">
        <v>358</v>
      </c>
      <c r="C1409" s="124">
        <v>46360</v>
      </c>
      <c r="D1409" s="124" t="s">
        <v>471</v>
      </c>
      <c r="E1409" s="21">
        <v>0.96571076</v>
      </c>
      <c r="F1409" s="10"/>
      <c r="G1409" s="14">
        <v>2105640.2799999998</v>
      </c>
      <c r="H1409" s="14">
        <v>2033439.47</v>
      </c>
      <c r="I1409" s="14">
        <v>2105640.2799999998</v>
      </c>
      <c r="J1409" s="14">
        <v>2033439.47</v>
      </c>
      <c r="K1409" s="12">
        <v>3415</v>
      </c>
      <c r="L1409" s="10" t="s">
        <v>101</v>
      </c>
      <c r="M1409" s="10" t="s">
        <v>102</v>
      </c>
      <c r="N1409" s="124" t="s">
        <v>441</v>
      </c>
      <c r="O1409" s="124" t="s">
        <v>441</v>
      </c>
      <c r="P1409" s="21">
        <v>36</v>
      </c>
      <c r="Q1409" s="10" t="s">
        <v>54</v>
      </c>
      <c r="R1409" s="10" t="s">
        <v>28</v>
      </c>
      <c r="S1409" s="10"/>
      <c r="T1409" s="10"/>
      <c r="U1409" s="10" t="s">
        <v>1543</v>
      </c>
      <c r="V1409" s="10" t="s">
        <v>1543</v>
      </c>
      <c r="W1409" s="50">
        <f>+J1409/$W$2</f>
        <v>2.4886545345905467E-5</v>
      </c>
    </row>
    <row r="1410" spans="1:29">
      <c r="A1410" s="10" t="s">
        <v>2221</v>
      </c>
      <c r="B1410" s="10" t="s">
        <v>358</v>
      </c>
      <c r="C1410" s="124">
        <v>46360</v>
      </c>
      <c r="D1410" s="124" t="s">
        <v>471</v>
      </c>
      <c r="E1410" s="21">
        <v>0.96847802999999999</v>
      </c>
      <c r="F1410" s="10"/>
      <c r="G1410" s="14">
        <v>436692</v>
      </c>
      <c r="H1410" s="14">
        <v>422926.61</v>
      </c>
      <c r="I1410" s="14">
        <v>436692</v>
      </c>
      <c r="J1410" s="14">
        <v>422926.61</v>
      </c>
      <c r="K1410" s="12">
        <v>507731</v>
      </c>
      <c r="L1410" s="10" t="s">
        <v>101</v>
      </c>
      <c r="M1410" s="10" t="s">
        <v>102</v>
      </c>
      <c r="N1410" s="124" t="s">
        <v>478</v>
      </c>
      <c r="O1410" s="124" t="s">
        <v>478</v>
      </c>
      <c r="P1410" s="21">
        <v>33</v>
      </c>
      <c r="Q1410" s="10" t="s">
        <v>54</v>
      </c>
      <c r="R1410" s="10" t="s">
        <v>28</v>
      </c>
      <c r="S1410" s="10"/>
      <c r="T1410" s="10"/>
      <c r="U1410" s="10" t="s">
        <v>2201</v>
      </c>
      <c r="V1410" s="10" t="s">
        <v>2201</v>
      </c>
      <c r="W1410" s="50">
        <f>+J1410/$W$2</f>
        <v>5.1760489618877499E-6</v>
      </c>
    </row>
    <row r="1411" spans="1:29">
      <c r="A1411" s="10" t="s">
        <v>443</v>
      </c>
      <c r="B1411" s="10" t="s">
        <v>358</v>
      </c>
      <c r="C1411" s="124">
        <v>46360</v>
      </c>
      <c r="D1411" s="124" t="s">
        <v>471</v>
      </c>
      <c r="E1411" s="21">
        <v>0.97406073999999998</v>
      </c>
      <c r="F1411" s="10"/>
      <c r="G1411" s="14">
        <v>10000000</v>
      </c>
      <c r="H1411" s="14">
        <v>9740607.4100000001</v>
      </c>
      <c r="I1411" s="14">
        <v>10000000</v>
      </c>
      <c r="J1411" s="14">
        <v>9740607.4100000001</v>
      </c>
      <c r="K1411" s="12">
        <v>40740202</v>
      </c>
      <c r="L1411" s="10" t="s">
        <v>101</v>
      </c>
      <c r="M1411" s="10" t="s">
        <v>102</v>
      </c>
      <c r="N1411" s="124" t="s">
        <v>449</v>
      </c>
      <c r="O1411" s="124" t="s">
        <v>449</v>
      </c>
      <c r="P1411" s="21">
        <v>27</v>
      </c>
      <c r="Q1411" s="10" t="s">
        <v>54</v>
      </c>
      <c r="R1411" s="10" t="s">
        <v>28</v>
      </c>
      <c r="S1411" s="10"/>
      <c r="T1411" s="10"/>
      <c r="U1411" s="10" t="s">
        <v>1998</v>
      </c>
      <c r="V1411" s="10" t="s">
        <v>1998</v>
      </c>
      <c r="W1411" s="50">
        <f>+J1411/$W$2</f>
        <v>1.192118435694709E-4</v>
      </c>
    </row>
    <row r="1412" spans="1:29">
      <c r="A1412" s="10" t="s">
        <v>443</v>
      </c>
      <c r="B1412" s="10" t="s">
        <v>358</v>
      </c>
      <c r="C1412" s="124">
        <v>46360</v>
      </c>
      <c r="D1412" s="124" t="s">
        <v>471</v>
      </c>
      <c r="E1412" s="21">
        <v>0.97406073999999998</v>
      </c>
      <c r="F1412" s="10"/>
      <c r="G1412" s="14">
        <v>10000000</v>
      </c>
      <c r="H1412" s="14">
        <v>9740607.4100000001</v>
      </c>
      <c r="I1412" s="14">
        <v>10000000</v>
      </c>
      <c r="J1412" s="14">
        <v>9740607.4100000001</v>
      </c>
      <c r="K1412" s="12">
        <v>40740198</v>
      </c>
      <c r="L1412" s="10" t="s">
        <v>101</v>
      </c>
      <c r="M1412" s="10" t="s">
        <v>102</v>
      </c>
      <c r="N1412" s="124" t="s">
        <v>449</v>
      </c>
      <c r="O1412" s="124" t="s">
        <v>449</v>
      </c>
      <c r="P1412" s="21">
        <v>27</v>
      </c>
      <c r="Q1412" s="10" t="s">
        <v>54</v>
      </c>
      <c r="R1412" s="10" t="s">
        <v>28</v>
      </c>
      <c r="S1412" s="10"/>
      <c r="T1412" s="10"/>
      <c r="U1412" s="10" t="s">
        <v>2002</v>
      </c>
      <c r="V1412" s="10" t="s">
        <v>2002</v>
      </c>
      <c r="W1412" s="50">
        <f>+J1412/$W$2</f>
        <v>1.192118435694709E-4</v>
      </c>
    </row>
    <row r="1413" spans="1:29">
      <c r="A1413" s="10" t="s">
        <v>1600</v>
      </c>
      <c r="B1413" s="10" t="s">
        <v>358</v>
      </c>
      <c r="C1413" s="124">
        <v>46360</v>
      </c>
      <c r="D1413" s="124" t="s">
        <v>471</v>
      </c>
      <c r="E1413" s="21">
        <v>0.96847815999999998</v>
      </c>
      <c r="F1413" s="10"/>
      <c r="G1413" s="14">
        <v>5000000</v>
      </c>
      <c r="H1413" s="14">
        <v>4842390.82</v>
      </c>
      <c r="I1413" s="14">
        <v>5000000</v>
      </c>
      <c r="J1413" s="14">
        <v>4842390.82</v>
      </c>
      <c r="K1413" s="12">
        <v>2875</v>
      </c>
      <c r="L1413" s="10" t="s">
        <v>101</v>
      </c>
      <c r="M1413" s="10" t="s">
        <v>102</v>
      </c>
      <c r="N1413" s="124" t="s">
        <v>487</v>
      </c>
      <c r="O1413" s="124" t="s">
        <v>487</v>
      </c>
      <c r="P1413" s="21">
        <v>33</v>
      </c>
      <c r="Q1413" s="10" t="s">
        <v>54</v>
      </c>
      <c r="R1413" s="10" t="s">
        <v>28</v>
      </c>
      <c r="S1413" s="10"/>
      <c r="T1413" s="10"/>
      <c r="U1413" s="10" t="s">
        <v>1556</v>
      </c>
      <c r="V1413" s="10" t="s">
        <v>1556</v>
      </c>
      <c r="W1413" s="50">
        <f>+J1413/$W$2</f>
        <v>5.926430587310591E-5</v>
      </c>
    </row>
    <row r="1414" spans="1:29">
      <c r="A1414" s="10" t="s">
        <v>1602</v>
      </c>
      <c r="B1414" s="10" t="s">
        <v>358</v>
      </c>
      <c r="C1414" s="124">
        <v>46360</v>
      </c>
      <c r="D1414" s="124" t="s">
        <v>471</v>
      </c>
      <c r="E1414" s="21">
        <v>0.97126142999999998</v>
      </c>
      <c r="F1414" s="10"/>
      <c r="G1414" s="14">
        <v>6150126.3399999999</v>
      </c>
      <c r="H1414" s="14">
        <v>5973380.5</v>
      </c>
      <c r="I1414" s="14">
        <v>6150126.3399999999</v>
      </c>
      <c r="J1414" s="14">
        <v>5973380.5</v>
      </c>
      <c r="K1414" s="12">
        <v>59</v>
      </c>
      <c r="L1414" s="10" t="s">
        <v>101</v>
      </c>
      <c r="M1414" s="10" t="s">
        <v>102</v>
      </c>
      <c r="N1414" s="124" t="s">
        <v>487</v>
      </c>
      <c r="O1414" s="124" t="s">
        <v>487</v>
      </c>
      <c r="P1414" s="21">
        <v>30</v>
      </c>
      <c r="Q1414" s="10" t="s">
        <v>54</v>
      </c>
      <c r="R1414" s="10" t="s">
        <v>28</v>
      </c>
      <c r="S1414" s="10"/>
      <c r="T1414" s="10"/>
      <c r="U1414" s="10" t="s">
        <v>1579</v>
      </c>
      <c r="V1414" s="10" t="s">
        <v>1579</v>
      </c>
      <c r="W1414" s="50">
        <f>+J1414/$W$2</f>
        <v>7.3106087923825665E-5</v>
      </c>
    </row>
    <row r="1415" spans="1:29">
      <c r="A1415" s="10" t="s">
        <v>2759</v>
      </c>
      <c r="B1415" s="10" t="s">
        <v>358</v>
      </c>
      <c r="C1415" s="124">
        <v>46360</v>
      </c>
      <c r="D1415" s="124" t="s">
        <v>471</v>
      </c>
      <c r="E1415" s="21">
        <v>0.96940413999999997</v>
      </c>
      <c r="F1415" s="10"/>
      <c r="G1415" s="14">
        <v>12500000</v>
      </c>
      <c r="H1415" s="14">
        <v>12117551.779999999</v>
      </c>
      <c r="I1415" s="14">
        <v>12500000</v>
      </c>
      <c r="J1415" s="14">
        <v>12117551.779999999</v>
      </c>
      <c r="K1415" s="12">
        <v>379</v>
      </c>
      <c r="L1415" s="10" t="s">
        <v>101</v>
      </c>
      <c r="M1415" s="10" t="s">
        <v>102</v>
      </c>
      <c r="N1415" s="124" t="s">
        <v>440</v>
      </c>
      <c r="O1415" s="124" t="s">
        <v>440</v>
      </c>
      <c r="P1415" s="21">
        <v>32</v>
      </c>
      <c r="Q1415" s="10" t="s">
        <v>54</v>
      </c>
      <c r="R1415" s="10" t="s">
        <v>28</v>
      </c>
      <c r="S1415" s="10"/>
      <c r="T1415" s="10"/>
      <c r="U1415" s="10" t="s">
        <v>2710</v>
      </c>
      <c r="V1415" s="10" t="s">
        <v>2710</v>
      </c>
      <c r="W1415" s="50">
        <f>+J1415/$W$2</f>
        <v>1.4830242370299199E-4</v>
      </c>
    </row>
    <row r="1416" spans="1:29">
      <c r="A1416" s="10" t="s">
        <v>141</v>
      </c>
      <c r="B1416" s="10" t="s">
        <v>358</v>
      </c>
      <c r="C1416" s="124">
        <v>46360</v>
      </c>
      <c r="D1416" s="124" t="s">
        <v>471</v>
      </c>
      <c r="E1416" s="21">
        <v>0.96755391000000002</v>
      </c>
      <c r="F1416" s="10"/>
      <c r="G1416" s="14">
        <v>20000000</v>
      </c>
      <c r="H1416" s="14">
        <v>19351078.210000001</v>
      </c>
      <c r="I1416" s="14">
        <v>20000000</v>
      </c>
      <c r="J1416" s="14">
        <v>19351078.210000001</v>
      </c>
      <c r="K1416" s="12">
        <v>253</v>
      </c>
      <c r="L1416" s="10" t="s">
        <v>101</v>
      </c>
      <c r="M1416" s="10" t="s">
        <v>102</v>
      </c>
      <c r="N1416" s="124" t="s">
        <v>396</v>
      </c>
      <c r="O1416" s="124" t="s">
        <v>396</v>
      </c>
      <c r="P1416" s="21">
        <v>34</v>
      </c>
      <c r="Q1416" s="10" t="s">
        <v>54</v>
      </c>
      <c r="R1416" s="10" t="s">
        <v>28</v>
      </c>
      <c r="S1416" s="10"/>
      <c r="T1416" s="10"/>
      <c r="U1416" s="10" t="s">
        <v>1375</v>
      </c>
      <c r="V1416" s="10" t="s">
        <v>1375</v>
      </c>
      <c r="W1416" s="50">
        <f>+J1416/$W$2</f>
        <v>2.3683099126886142E-4</v>
      </c>
    </row>
    <row r="1417" spans="1:29">
      <c r="A1417" s="10" t="s">
        <v>1371</v>
      </c>
      <c r="B1417" s="10" t="s">
        <v>358</v>
      </c>
      <c r="C1417" s="124">
        <v>46360</v>
      </c>
      <c r="D1417" s="124" t="s">
        <v>471</v>
      </c>
      <c r="E1417" s="21">
        <v>0.97033183000000001</v>
      </c>
      <c r="F1417" s="10"/>
      <c r="G1417" s="14">
        <v>8523310</v>
      </c>
      <c r="H1417" s="14">
        <v>8270439.0099999998</v>
      </c>
      <c r="I1417" s="14">
        <v>8523310</v>
      </c>
      <c r="J1417" s="14">
        <v>8270439.0099999998</v>
      </c>
      <c r="K1417" s="12">
        <v>13680134</v>
      </c>
      <c r="L1417" s="10" t="s">
        <v>101</v>
      </c>
      <c r="M1417" s="10" t="s">
        <v>102</v>
      </c>
      <c r="N1417" s="124" t="s">
        <v>365</v>
      </c>
      <c r="O1417" s="124" t="s">
        <v>365</v>
      </c>
      <c r="P1417" s="21">
        <v>31</v>
      </c>
      <c r="Q1417" s="10" t="s">
        <v>54</v>
      </c>
      <c r="R1417" s="10" t="s">
        <v>28</v>
      </c>
      <c r="S1417" s="10"/>
      <c r="T1417" s="10"/>
      <c r="U1417" s="10" t="s">
        <v>1359</v>
      </c>
      <c r="V1417" s="10" t="s">
        <v>1359</v>
      </c>
      <c r="W1417" s="50">
        <f>+J1417/$W$2</f>
        <v>1.0121897331564559E-4</v>
      </c>
    </row>
    <row r="1418" spans="1:29">
      <c r="A1418" s="10" t="s">
        <v>206</v>
      </c>
      <c r="B1418" s="10" t="s">
        <v>358</v>
      </c>
      <c r="C1418" s="124">
        <v>46360</v>
      </c>
      <c r="D1418" s="124" t="s">
        <v>471</v>
      </c>
      <c r="E1418" s="21">
        <v>0.96847812</v>
      </c>
      <c r="F1418" s="10"/>
      <c r="G1418" s="14">
        <v>2170000</v>
      </c>
      <c r="H1418" s="14">
        <v>2101597.5299999998</v>
      </c>
      <c r="I1418" s="14">
        <v>2170000</v>
      </c>
      <c r="J1418" s="14">
        <v>2101597.5299999998</v>
      </c>
      <c r="K1418" s="12">
        <v>260743</v>
      </c>
      <c r="L1418" s="10" t="s">
        <v>101</v>
      </c>
      <c r="M1418" s="10" t="s">
        <v>102</v>
      </c>
      <c r="N1418" s="124" t="s">
        <v>479</v>
      </c>
      <c r="O1418" s="124" t="s">
        <v>479</v>
      </c>
      <c r="P1418" s="21">
        <v>33</v>
      </c>
      <c r="Q1418" s="10" t="s">
        <v>54</v>
      </c>
      <c r="R1418" s="10" t="s">
        <v>28</v>
      </c>
      <c r="S1418" s="10"/>
      <c r="T1418" s="10"/>
      <c r="U1418" s="10" t="s">
        <v>1199</v>
      </c>
      <c r="V1418" s="10" t="s">
        <v>1199</v>
      </c>
      <c r="W1418" s="50">
        <f>+J1418/$W$2</f>
        <v>2.5720707697873063E-5</v>
      </c>
      <c r="AC1418" s="47"/>
    </row>
    <row r="1419" spans="1:29">
      <c r="A1419" s="10" t="s">
        <v>641</v>
      </c>
      <c r="B1419" s="10" t="s">
        <v>358</v>
      </c>
      <c r="C1419" s="124">
        <v>46360</v>
      </c>
      <c r="D1419" s="124" t="s">
        <v>471</v>
      </c>
      <c r="E1419" s="21">
        <v>0.97126133999999997</v>
      </c>
      <c r="F1419" s="10"/>
      <c r="G1419" s="14">
        <v>18700000</v>
      </c>
      <c r="H1419" s="14">
        <v>18162587.140000001</v>
      </c>
      <c r="I1419" s="14">
        <v>18700000</v>
      </c>
      <c r="J1419" s="14">
        <v>18162587.140000001</v>
      </c>
      <c r="K1419" s="12">
        <v>238</v>
      </c>
      <c r="L1419" s="10" t="s">
        <v>101</v>
      </c>
      <c r="M1419" s="10" t="s">
        <v>102</v>
      </c>
      <c r="N1419" s="124" t="s">
        <v>317</v>
      </c>
      <c r="O1419" s="124" t="s">
        <v>317</v>
      </c>
      <c r="P1419" s="21">
        <v>30</v>
      </c>
      <c r="Q1419" s="10" t="s">
        <v>54</v>
      </c>
      <c r="R1419" s="10" t="s">
        <v>28</v>
      </c>
      <c r="S1419" s="10"/>
      <c r="T1419" s="10"/>
      <c r="U1419" s="10" t="s">
        <v>633</v>
      </c>
      <c r="V1419" s="10" t="s">
        <v>633</v>
      </c>
      <c r="W1419" s="50">
        <f>+J1419/$W$2</f>
        <v>2.2228547007527571E-4</v>
      </c>
    </row>
    <row r="1420" spans="1:29">
      <c r="A1420" s="10" t="s">
        <v>832</v>
      </c>
      <c r="B1420" s="10" t="s">
        <v>358</v>
      </c>
      <c r="C1420" s="124">
        <v>46360</v>
      </c>
      <c r="D1420" s="124" t="s">
        <v>471</v>
      </c>
      <c r="E1420" s="21">
        <v>0.96847819000000002</v>
      </c>
      <c r="F1420" s="10"/>
      <c r="G1420" s="14">
        <v>382772.09</v>
      </c>
      <c r="H1420" s="14">
        <v>370706.42</v>
      </c>
      <c r="I1420" s="14">
        <v>382772.09</v>
      </c>
      <c r="J1420" s="14">
        <v>370706.42</v>
      </c>
      <c r="K1420" s="12">
        <v>30103022</v>
      </c>
      <c r="L1420" s="10" t="s">
        <v>101</v>
      </c>
      <c r="M1420" s="10" t="s">
        <v>102</v>
      </c>
      <c r="N1420" s="124" t="s">
        <v>452</v>
      </c>
      <c r="O1420" s="124" t="s">
        <v>452</v>
      </c>
      <c r="P1420" s="21">
        <v>33</v>
      </c>
      <c r="Q1420" s="10" t="s">
        <v>54</v>
      </c>
      <c r="R1420" s="10" t="s">
        <v>28</v>
      </c>
      <c r="S1420" s="10"/>
      <c r="T1420" s="10"/>
      <c r="U1420" s="10" t="s">
        <v>2506</v>
      </c>
      <c r="V1420" s="10" t="s">
        <v>2506</v>
      </c>
      <c r="W1420" s="50">
        <f>+J1420/$W$2</f>
        <v>4.5369445550047659E-6</v>
      </c>
    </row>
    <row r="1421" spans="1:29">
      <c r="A1421" s="10" t="s">
        <v>1765</v>
      </c>
      <c r="B1421" s="10" t="s">
        <v>358</v>
      </c>
      <c r="C1421" s="124">
        <v>46360</v>
      </c>
      <c r="D1421" s="124" t="s">
        <v>471</v>
      </c>
      <c r="E1421" s="21">
        <v>0.96847817000000003</v>
      </c>
      <c r="F1421" s="10"/>
      <c r="G1421" s="14">
        <v>604613.32999999996</v>
      </c>
      <c r="H1421" s="14">
        <v>585554.81000000006</v>
      </c>
      <c r="I1421" s="14">
        <v>604613.32999999996</v>
      </c>
      <c r="J1421" s="14">
        <v>585554.81000000006</v>
      </c>
      <c r="K1421" s="12">
        <v>19716</v>
      </c>
      <c r="L1421" s="10" t="s">
        <v>101</v>
      </c>
      <c r="M1421" s="10" t="s">
        <v>102</v>
      </c>
      <c r="N1421" s="124" t="s">
        <v>417</v>
      </c>
      <c r="O1421" s="124" t="s">
        <v>417</v>
      </c>
      <c r="P1421" s="21">
        <v>33</v>
      </c>
      <c r="Q1421" s="10" t="s">
        <v>54</v>
      </c>
      <c r="R1421" s="10" t="s">
        <v>28</v>
      </c>
      <c r="S1421" s="10"/>
      <c r="T1421" s="10"/>
      <c r="U1421" s="10" t="s">
        <v>3278</v>
      </c>
      <c r="V1421" s="10" t="s">
        <v>3278</v>
      </c>
      <c r="W1421" s="50">
        <f>+J1421/$W$2</f>
        <v>7.166397892128091E-6</v>
      </c>
      <c r="AC1421" s="47"/>
    </row>
    <row r="1422" spans="1:29">
      <c r="A1422" s="10" t="s">
        <v>589</v>
      </c>
      <c r="B1422" s="10" t="s">
        <v>358</v>
      </c>
      <c r="C1422" s="124">
        <v>46360</v>
      </c>
      <c r="D1422" s="124" t="s">
        <v>471</v>
      </c>
      <c r="E1422" s="21">
        <v>0.96940408</v>
      </c>
      <c r="F1422" s="10"/>
      <c r="G1422" s="14">
        <v>25000000</v>
      </c>
      <c r="H1422" s="14">
        <v>24235102.039999999</v>
      </c>
      <c r="I1422" s="14">
        <v>25000000</v>
      </c>
      <c r="J1422" s="14">
        <v>24235102.039999999</v>
      </c>
      <c r="K1422" s="12">
        <v>463</v>
      </c>
      <c r="L1422" s="10" t="s">
        <v>101</v>
      </c>
      <c r="M1422" s="10" t="s">
        <v>102</v>
      </c>
      <c r="N1422" s="124" t="s">
        <v>448</v>
      </c>
      <c r="O1422" s="124" t="s">
        <v>448</v>
      </c>
      <c r="P1422" s="21">
        <v>32</v>
      </c>
      <c r="Q1422" s="10" t="s">
        <v>54</v>
      </c>
      <c r="R1422" s="10" t="s">
        <v>28</v>
      </c>
      <c r="S1422" s="10"/>
      <c r="T1422" s="10"/>
      <c r="U1422" s="10" t="s">
        <v>3157</v>
      </c>
      <c r="V1422" s="10" t="s">
        <v>3157</v>
      </c>
      <c r="W1422" s="50">
        <f>+J1422/$W$2</f>
        <v>2.9660482880324246E-4</v>
      </c>
    </row>
    <row r="1423" spans="1:29">
      <c r="A1423" s="10" t="s">
        <v>3166</v>
      </c>
      <c r="B1423" s="10" t="s">
        <v>358</v>
      </c>
      <c r="C1423" s="124">
        <v>46360</v>
      </c>
      <c r="D1423" s="124" t="s">
        <v>471</v>
      </c>
      <c r="E1423" s="21">
        <v>0.97126140000000005</v>
      </c>
      <c r="F1423" s="10"/>
      <c r="G1423" s="14">
        <v>4175312.5</v>
      </c>
      <c r="H1423" s="14">
        <v>4055319.86</v>
      </c>
      <c r="I1423" s="14">
        <v>4175312.5</v>
      </c>
      <c r="J1423" s="14">
        <v>4055319.86</v>
      </c>
      <c r="K1423" s="12">
        <v>40952782</v>
      </c>
      <c r="L1423" s="10" t="s">
        <v>101</v>
      </c>
      <c r="M1423" s="10" t="s">
        <v>102</v>
      </c>
      <c r="N1423" s="124" t="s">
        <v>475</v>
      </c>
      <c r="O1423" s="124" t="s">
        <v>475</v>
      </c>
      <c r="P1423" s="21">
        <v>30</v>
      </c>
      <c r="Q1423" s="10" t="s">
        <v>54</v>
      </c>
      <c r="R1423" s="10" t="s">
        <v>28</v>
      </c>
      <c r="S1423" s="10"/>
      <c r="T1423" s="10"/>
      <c r="U1423" s="10" t="s">
        <v>3384</v>
      </c>
      <c r="V1423" s="10" t="s">
        <v>3384</v>
      </c>
      <c r="W1423" s="50">
        <f>+J1423/$W$2</f>
        <v>4.9631623206389814E-5</v>
      </c>
    </row>
    <row r="1424" spans="1:29">
      <c r="A1424" s="10" t="s">
        <v>583</v>
      </c>
      <c r="B1424" s="10" t="s">
        <v>358</v>
      </c>
      <c r="C1424" s="124">
        <v>46360</v>
      </c>
      <c r="D1424" s="124" t="s">
        <v>471</v>
      </c>
      <c r="E1424" s="21">
        <v>0.96387462999999995</v>
      </c>
      <c r="F1424" s="10"/>
      <c r="G1424" s="14">
        <v>25000000</v>
      </c>
      <c r="H1424" s="14">
        <v>24096865.77</v>
      </c>
      <c r="I1424" s="14">
        <v>25000000</v>
      </c>
      <c r="J1424" s="14">
        <v>24096865.77</v>
      </c>
      <c r="K1424" s="12">
        <v>70393086</v>
      </c>
      <c r="L1424" s="10" t="s">
        <v>101</v>
      </c>
      <c r="M1424" s="10" t="s">
        <v>102</v>
      </c>
      <c r="N1424" s="124" t="s">
        <v>412</v>
      </c>
      <c r="O1424" s="124" t="s">
        <v>412</v>
      </c>
      <c r="P1424" s="21">
        <v>38</v>
      </c>
      <c r="Q1424" s="10" t="s">
        <v>54</v>
      </c>
      <c r="R1424" s="10" t="s">
        <v>28</v>
      </c>
      <c r="S1424" s="10"/>
      <c r="T1424" s="10"/>
      <c r="U1424" s="10" t="s">
        <v>2802</v>
      </c>
      <c r="V1424" s="10" t="s">
        <v>2802</v>
      </c>
      <c r="W1424" s="50">
        <f>+J1424/$W$2</f>
        <v>2.9491300406365295E-4</v>
      </c>
    </row>
    <row r="1425" spans="1:29">
      <c r="A1425" s="10" t="s">
        <v>2211</v>
      </c>
      <c r="B1425" s="10" t="s">
        <v>358</v>
      </c>
      <c r="C1425" s="124">
        <v>46360</v>
      </c>
      <c r="D1425" s="124" t="s">
        <v>471</v>
      </c>
      <c r="E1425" s="21">
        <v>0.96847804000000004</v>
      </c>
      <c r="F1425" s="10"/>
      <c r="G1425" s="14">
        <v>2500000</v>
      </c>
      <c r="H1425" s="14">
        <v>2421195.09</v>
      </c>
      <c r="I1425" s="14">
        <v>2500000</v>
      </c>
      <c r="J1425" s="14">
        <v>2421195.09</v>
      </c>
      <c r="K1425" s="12">
        <v>100</v>
      </c>
      <c r="L1425" s="10" t="s">
        <v>101</v>
      </c>
      <c r="M1425" s="10" t="s">
        <v>102</v>
      </c>
      <c r="N1425" s="124" t="s">
        <v>478</v>
      </c>
      <c r="O1425" s="124" t="s">
        <v>478</v>
      </c>
      <c r="P1425" s="21">
        <v>33</v>
      </c>
      <c r="Q1425" s="10" t="s">
        <v>54</v>
      </c>
      <c r="R1425" s="10" t="s">
        <v>28</v>
      </c>
      <c r="S1425" s="10"/>
      <c r="T1425" s="10"/>
      <c r="U1425" s="10" t="s">
        <v>2177</v>
      </c>
      <c r="V1425" s="10" t="s">
        <v>2177</v>
      </c>
      <c r="W1425" s="50">
        <f>+J1425/$W$2</f>
        <v>2.9632149020186307E-5</v>
      </c>
      <c r="AC1425" s="47"/>
    </row>
    <row r="1426" spans="1:29">
      <c r="A1426" s="10" t="s">
        <v>3405</v>
      </c>
      <c r="B1426" s="10" t="s">
        <v>358</v>
      </c>
      <c r="C1426" s="124">
        <v>46360</v>
      </c>
      <c r="D1426" s="124" t="s">
        <v>471</v>
      </c>
      <c r="E1426" s="21">
        <v>0.96940411000000004</v>
      </c>
      <c r="F1426" s="10"/>
      <c r="G1426" s="14">
        <v>828399.88</v>
      </c>
      <c r="H1426" s="14">
        <v>803054.25</v>
      </c>
      <c r="I1426" s="14">
        <v>828399.88</v>
      </c>
      <c r="J1426" s="14">
        <v>803054.25</v>
      </c>
      <c r="K1426" s="12">
        <v>40891788</v>
      </c>
      <c r="L1426" s="10" t="s">
        <v>101</v>
      </c>
      <c r="M1426" s="10" t="s">
        <v>102</v>
      </c>
      <c r="N1426" s="124" t="s">
        <v>475</v>
      </c>
      <c r="O1426" s="124" t="s">
        <v>475</v>
      </c>
      <c r="P1426" s="21">
        <v>32</v>
      </c>
      <c r="Q1426" s="10" t="s">
        <v>54</v>
      </c>
      <c r="R1426" s="10" t="s">
        <v>28</v>
      </c>
      <c r="S1426" s="10"/>
      <c r="T1426" s="10"/>
      <c r="U1426" s="10" t="s">
        <v>3360</v>
      </c>
      <c r="V1426" s="10" t="s">
        <v>3360</v>
      </c>
      <c r="W1426" s="50">
        <f>+J1426/$W$2</f>
        <v>9.8282964910910794E-6</v>
      </c>
    </row>
    <row r="1427" spans="1:29">
      <c r="A1427" s="10" t="s">
        <v>3304</v>
      </c>
      <c r="B1427" s="10" t="s">
        <v>358</v>
      </c>
      <c r="C1427" s="124">
        <v>46360</v>
      </c>
      <c r="D1427" s="124" t="s">
        <v>471</v>
      </c>
      <c r="E1427" s="21">
        <v>0.96847815999999998</v>
      </c>
      <c r="F1427" s="10"/>
      <c r="G1427" s="14">
        <v>1288598.56</v>
      </c>
      <c r="H1427" s="14">
        <v>1247979.56</v>
      </c>
      <c r="I1427" s="14">
        <v>1288598.56</v>
      </c>
      <c r="J1427" s="14">
        <v>1247979.56</v>
      </c>
      <c r="K1427" s="12">
        <v>9694</v>
      </c>
      <c r="L1427" s="10" t="s">
        <v>101</v>
      </c>
      <c r="M1427" s="10" t="s">
        <v>102</v>
      </c>
      <c r="N1427" s="124" t="s">
        <v>417</v>
      </c>
      <c r="O1427" s="124" t="s">
        <v>417</v>
      </c>
      <c r="P1427" s="21">
        <v>33</v>
      </c>
      <c r="Q1427" s="10" t="s">
        <v>54</v>
      </c>
      <c r="R1427" s="10" t="s">
        <v>28</v>
      </c>
      <c r="S1427" s="10"/>
      <c r="T1427" s="10"/>
      <c r="U1427" s="10" t="s">
        <v>3240</v>
      </c>
      <c r="V1427" s="10" t="s">
        <v>3240</v>
      </c>
      <c r="W1427" s="50">
        <f>+J1427/$W$2</f>
        <v>1.5273579749439581E-5</v>
      </c>
    </row>
    <row r="1428" spans="1:29">
      <c r="A1428" s="10" t="s">
        <v>359</v>
      </c>
      <c r="B1428" s="10" t="s">
        <v>358</v>
      </c>
      <c r="C1428" s="124">
        <v>46360</v>
      </c>
      <c r="D1428" s="124" t="s">
        <v>471</v>
      </c>
      <c r="E1428" s="21">
        <v>0.97126135000000002</v>
      </c>
      <c r="F1428" s="10"/>
      <c r="G1428" s="14">
        <v>10500000</v>
      </c>
      <c r="H1428" s="14">
        <v>10198244.15</v>
      </c>
      <c r="I1428" s="14">
        <v>10500000</v>
      </c>
      <c r="J1428" s="14">
        <v>10198244.15</v>
      </c>
      <c r="K1428" s="12">
        <v>1448</v>
      </c>
      <c r="L1428" s="10" t="s">
        <v>101</v>
      </c>
      <c r="M1428" s="10" t="s">
        <v>102</v>
      </c>
      <c r="N1428" s="124" t="s">
        <v>471</v>
      </c>
      <c r="O1428" s="124" t="s">
        <v>471</v>
      </c>
      <c r="P1428" s="21">
        <v>30</v>
      </c>
      <c r="Q1428" s="10" t="s">
        <v>54</v>
      </c>
      <c r="R1428" s="10" t="s">
        <v>28</v>
      </c>
      <c r="S1428" s="10"/>
      <c r="T1428" s="10"/>
      <c r="U1428" s="10" t="s">
        <v>4118</v>
      </c>
      <c r="V1428" s="10" t="s">
        <v>4118</v>
      </c>
      <c r="W1428" s="50">
        <f>+J1428/$W$2</f>
        <v>1.2481269751668102E-4</v>
      </c>
    </row>
    <row r="1429" spans="1:29">
      <c r="A1429" s="10" t="s">
        <v>359</v>
      </c>
      <c r="B1429" s="10" t="s">
        <v>358</v>
      </c>
      <c r="C1429" s="124">
        <v>46360</v>
      </c>
      <c r="D1429" s="124" t="s">
        <v>471</v>
      </c>
      <c r="E1429" s="21">
        <v>0.97126155000000003</v>
      </c>
      <c r="F1429" s="10"/>
      <c r="G1429" s="14">
        <v>10000000</v>
      </c>
      <c r="H1429" s="14">
        <v>9712615.4700000007</v>
      </c>
      <c r="I1429" s="14">
        <v>10000000</v>
      </c>
      <c r="J1429" s="14">
        <v>9712615.4700000007</v>
      </c>
      <c r="K1429" s="12">
        <v>1443</v>
      </c>
      <c r="L1429" s="10" t="s">
        <v>101</v>
      </c>
      <c r="M1429" s="10" t="s">
        <v>102</v>
      </c>
      <c r="N1429" s="124" t="s">
        <v>469</v>
      </c>
      <c r="O1429" s="124" t="s">
        <v>469</v>
      </c>
      <c r="P1429" s="21">
        <v>30</v>
      </c>
      <c r="Q1429" s="10" t="s">
        <v>54</v>
      </c>
      <c r="R1429" s="10" t="s">
        <v>28</v>
      </c>
      <c r="S1429" s="10"/>
      <c r="T1429" s="10"/>
      <c r="U1429" s="10" t="s">
        <v>3967</v>
      </c>
      <c r="V1429" s="10" t="s">
        <v>3967</v>
      </c>
      <c r="W1429" s="50">
        <f>+J1429/$W$2</f>
        <v>1.1886926013170088E-4</v>
      </c>
    </row>
    <row r="1430" spans="1:29">
      <c r="A1430" s="10" t="s">
        <v>363</v>
      </c>
      <c r="B1430" s="10" t="s">
        <v>358</v>
      </c>
      <c r="C1430" s="124">
        <v>46360</v>
      </c>
      <c r="D1430" s="124" t="s">
        <v>471</v>
      </c>
      <c r="E1430" s="21">
        <v>0.96387462999999995</v>
      </c>
      <c r="F1430" s="10"/>
      <c r="G1430" s="14">
        <v>20000000</v>
      </c>
      <c r="H1430" s="14">
        <v>19277492.609999999</v>
      </c>
      <c r="I1430" s="14">
        <v>20000000</v>
      </c>
      <c r="J1430" s="14">
        <v>19277492.609999999</v>
      </c>
      <c r="K1430" s="12">
        <v>70219579</v>
      </c>
      <c r="L1430" s="10" t="s">
        <v>101</v>
      </c>
      <c r="M1430" s="10" t="s">
        <v>102</v>
      </c>
      <c r="N1430" s="124" t="s">
        <v>412</v>
      </c>
      <c r="O1430" s="124" t="s">
        <v>412</v>
      </c>
      <c r="P1430" s="21">
        <v>38</v>
      </c>
      <c r="Q1430" s="10" t="s">
        <v>54</v>
      </c>
      <c r="R1430" s="10" t="s">
        <v>28</v>
      </c>
      <c r="S1430" s="10"/>
      <c r="T1430" s="10"/>
      <c r="U1430" s="10" t="s">
        <v>2805</v>
      </c>
      <c r="V1430" s="10" t="s">
        <v>2805</v>
      </c>
      <c r="W1430" s="50">
        <f>+J1430/$W$2</f>
        <v>2.3593040317749047E-4</v>
      </c>
    </row>
    <row r="1431" spans="1:29">
      <c r="A1431" s="10" t="s">
        <v>363</v>
      </c>
      <c r="B1431" s="10" t="s">
        <v>358</v>
      </c>
      <c r="C1431" s="124">
        <v>46360</v>
      </c>
      <c r="D1431" s="124" t="s">
        <v>471</v>
      </c>
      <c r="E1431" s="21">
        <v>0.96387462999999995</v>
      </c>
      <c r="F1431" s="10"/>
      <c r="G1431" s="14">
        <v>20000000</v>
      </c>
      <c r="H1431" s="14">
        <v>19277492.609999999</v>
      </c>
      <c r="I1431" s="14">
        <v>20000000</v>
      </c>
      <c r="J1431" s="14">
        <v>19277492.609999999</v>
      </c>
      <c r="K1431" s="12">
        <v>70219576</v>
      </c>
      <c r="L1431" s="10" t="s">
        <v>101</v>
      </c>
      <c r="M1431" s="10" t="s">
        <v>102</v>
      </c>
      <c r="N1431" s="124" t="s">
        <v>412</v>
      </c>
      <c r="O1431" s="124" t="s">
        <v>412</v>
      </c>
      <c r="P1431" s="21">
        <v>38</v>
      </c>
      <c r="Q1431" s="10" t="s">
        <v>54</v>
      </c>
      <c r="R1431" s="10" t="s">
        <v>28</v>
      </c>
      <c r="S1431" s="10"/>
      <c r="T1431" s="10"/>
      <c r="U1431" s="10" t="s">
        <v>2806</v>
      </c>
      <c r="V1431" s="10" t="s">
        <v>2806</v>
      </c>
      <c r="W1431" s="50">
        <f>+J1431/$W$2</f>
        <v>2.3593040317749047E-4</v>
      </c>
    </row>
    <row r="1432" spans="1:29">
      <c r="A1432" s="10" t="s">
        <v>363</v>
      </c>
      <c r="B1432" s="10" t="s">
        <v>358</v>
      </c>
      <c r="C1432" s="124">
        <v>46360</v>
      </c>
      <c r="D1432" s="124" t="s">
        <v>471</v>
      </c>
      <c r="E1432" s="21">
        <v>0.96387462999999995</v>
      </c>
      <c r="F1432" s="10"/>
      <c r="G1432" s="14">
        <v>20000000</v>
      </c>
      <c r="H1432" s="14">
        <v>19277492.609999999</v>
      </c>
      <c r="I1432" s="14">
        <v>20000000</v>
      </c>
      <c r="J1432" s="14">
        <v>19277492.609999999</v>
      </c>
      <c r="K1432" s="12">
        <v>70219581</v>
      </c>
      <c r="L1432" s="10" t="s">
        <v>101</v>
      </c>
      <c r="M1432" s="10" t="s">
        <v>102</v>
      </c>
      <c r="N1432" s="124" t="s">
        <v>412</v>
      </c>
      <c r="O1432" s="124" t="s">
        <v>412</v>
      </c>
      <c r="P1432" s="21">
        <v>38</v>
      </c>
      <c r="Q1432" s="10" t="s">
        <v>54</v>
      </c>
      <c r="R1432" s="10" t="s">
        <v>28</v>
      </c>
      <c r="S1432" s="10"/>
      <c r="T1432" s="10"/>
      <c r="U1432" s="10" t="s">
        <v>2807</v>
      </c>
      <c r="V1432" s="10" t="s">
        <v>2807</v>
      </c>
      <c r="W1432" s="50">
        <f>+J1432/$W$2</f>
        <v>2.3593040317749047E-4</v>
      </c>
    </row>
    <row r="1433" spans="1:29">
      <c r="A1433" s="10" t="s">
        <v>363</v>
      </c>
      <c r="B1433" s="10" t="s">
        <v>358</v>
      </c>
      <c r="C1433" s="124">
        <v>46360</v>
      </c>
      <c r="D1433" s="124" t="s">
        <v>471</v>
      </c>
      <c r="E1433" s="21">
        <v>0.96387462999999995</v>
      </c>
      <c r="F1433" s="10"/>
      <c r="G1433" s="14">
        <v>20000000</v>
      </c>
      <c r="H1433" s="14">
        <v>19277492.609999999</v>
      </c>
      <c r="I1433" s="14">
        <v>20000000</v>
      </c>
      <c r="J1433" s="14">
        <v>19277492.609999999</v>
      </c>
      <c r="K1433" s="12">
        <v>70219580</v>
      </c>
      <c r="L1433" s="10" t="s">
        <v>101</v>
      </c>
      <c r="M1433" s="10" t="s">
        <v>102</v>
      </c>
      <c r="N1433" s="124" t="s">
        <v>412</v>
      </c>
      <c r="O1433" s="124" t="s">
        <v>412</v>
      </c>
      <c r="P1433" s="21">
        <v>38</v>
      </c>
      <c r="Q1433" s="10" t="s">
        <v>54</v>
      </c>
      <c r="R1433" s="10" t="s">
        <v>28</v>
      </c>
      <c r="S1433" s="10"/>
      <c r="T1433" s="10"/>
      <c r="U1433" s="10" t="s">
        <v>2808</v>
      </c>
      <c r="V1433" s="10" t="s">
        <v>2808</v>
      </c>
      <c r="W1433" s="50">
        <f>+J1433/$W$2</f>
        <v>2.3593040317749047E-4</v>
      </c>
      <c r="AC1433" s="47"/>
    </row>
    <row r="1434" spans="1:29">
      <c r="A1434" s="10" t="s">
        <v>363</v>
      </c>
      <c r="B1434" s="10" t="s">
        <v>358</v>
      </c>
      <c r="C1434" s="124">
        <v>46360</v>
      </c>
      <c r="D1434" s="124" t="s">
        <v>471</v>
      </c>
      <c r="E1434" s="21">
        <v>0.96387462999999995</v>
      </c>
      <c r="F1434" s="10"/>
      <c r="G1434" s="14">
        <v>20000000</v>
      </c>
      <c r="H1434" s="14">
        <v>19277492.609999999</v>
      </c>
      <c r="I1434" s="14">
        <v>20000000</v>
      </c>
      <c r="J1434" s="14">
        <v>19277492.609999999</v>
      </c>
      <c r="K1434" s="12">
        <v>70219578</v>
      </c>
      <c r="L1434" s="10" t="s">
        <v>101</v>
      </c>
      <c r="M1434" s="10" t="s">
        <v>102</v>
      </c>
      <c r="N1434" s="124" t="s">
        <v>412</v>
      </c>
      <c r="O1434" s="124" t="s">
        <v>412</v>
      </c>
      <c r="P1434" s="21">
        <v>38</v>
      </c>
      <c r="Q1434" s="10" t="s">
        <v>54</v>
      </c>
      <c r="R1434" s="10" t="s">
        <v>28</v>
      </c>
      <c r="S1434" s="10"/>
      <c r="T1434" s="10"/>
      <c r="U1434" s="10" t="s">
        <v>2809</v>
      </c>
      <c r="V1434" s="10" t="s">
        <v>2809</v>
      </c>
      <c r="W1434" s="50">
        <f>+J1434/$W$2</f>
        <v>2.3593040317749047E-4</v>
      </c>
    </row>
    <row r="1435" spans="1:29">
      <c r="A1435" s="10" t="s">
        <v>363</v>
      </c>
      <c r="B1435" s="10" t="s">
        <v>358</v>
      </c>
      <c r="C1435" s="124">
        <v>46360</v>
      </c>
      <c r="D1435" s="124" t="s">
        <v>471</v>
      </c>
      <c r="E1435" s="21">
        <v>0.96387462999999995</v>
      </c>
      <c r="F1435" s="10"/>
      <c r="G1435" s="14">
        <v>20000000</v>
      </c>
      <c r="H1435" s="14">
        <v>19277492.609999999</v>
      </c>
      <c r="I1435" s="14">
        <v>20000000</v>
      </c>
      <c r="J1435" s="14">
        <v>19277492.609999999</v>
      </c>
      <c r="K1435" s="12">
        <v>70219575</v>
      </c>
      <c r="L1435" s="10" t="s">
        <v>101</v>
      </c>
      <c r="M1435" s="10" t="s">
        <v>102</v>
      </c>
      <c r="N1435" s="124" t="s">
        <v>412</v>
      </c>
      <c r="O1435" s="124" t="s">
        <v>412</v>
      </c>
      <c r="P1435" s="21">
        <v>38</v>
      </c>
      <c r="Q1435" s="10" t="s">
        <v>54</v>
      </c>
      <c r="R1435" s="10" t="s">
        <v>28</v>
      </c>
      <c r="S1435" s="10"/>
      <c r="T1435" s="10"/>
      <c r="U1435" s="10" t="s">
        <v>2810</v>
      </c>
      <c r="V1435" s="10" t="s">
        <v>2810</v>
      </c>
      <c r="W1435" s="50">
        <f>+J1435/$W$2</f>
        <v>2.3593040317749047E-4</v>
      </c>
    </row>
    <row r="1436" spans="1:29">
      <c r="A1436" s="10" t="s">
        <v>363</v>
      </c>
      <c r="B1436" s="10" t="s">
        <v>358</v>
      </c>
      <c r="C1436" s="124">
        <v>46360</v>
      </c>
      <c r="D1436" s="124" t="s">
        <v>471</v>
      </c>
      <c r="E1436" s="21">
        <v>0.96387462999999995</v>
      </c>
      <c r="F1436" s="10"/>
      <c r="G1436" s="14">
        <v>20000000</v>
      </c>
      <c r="H1436" s="14">
        <v>19277492.609999999</v>
      </c>
      <c r="I1436" s="14">
        <v>20000000</v>
      </c>
      <c r="J1436" s="14">
        <v>19277492.609999999</v>
      </c>
      <c r="K1436" s="12">
        <v>70219577</v>
      </c>
      <c r="L1436" s="10" t="s">
        <v>101</v>
      </c>
      <c r="M1436" s="10" t="s">
        <v>102</v>
      </c>
      <c r="N1436" s="124" t="s">
        <v>412</v>
      </c>
      <c r="O1436" s="124" t="s">
        <v>412</v>
      </c>
      <c r="P1436" s="21">
        <v>38</v>
      </c>
      <c r="Q1436" s="10" t="s">
        <v>54</v>
      </c>
      <c r="R1436" s="10" t="s">
        <v>28</v>
      </c>
      <c r="S1436" s="10"/>
      <c r="T1436" s="10"/>
      <c r="U1436" s="10" t="s">
        <v>2811</v>
      </c>
      <c r="V1436" s="10" t="s">
        <v>2811</v>
      </c>
      <c r="W1436" s="50">
        <f>+J1436/$W$2</f>
        <v>2.3593040317749047E-4</v>
      </c>
    </row>
    <row r="1437" spans="1:29">
      <c r="A1437" s="10" t="s">
        <v>2970</v>
      </c>
      <c r="B1437" s="10" t="s">
        <v>358</v>
      </c>
      <c r="C1437" s="124">
        <v>46360</v>
      </c>
      <c r="D1437" s="124" t="s">
        <v>471</v>
      </c>
      <c r="E1437" s="21">
        <v>0.97126135999999996</v>
      </c>
      <c r="F1437" s="10"/>
      <c r="G1437" s="14">
        <v>750000</v>
      </c>
      <c r="H1437" s="14">
        <v>728446.02</v>
      </c>
      <c r="I1437" s="14">
        <v>750000</v>
      </c>
      <c r="J1437" s="14">
        <v>728446.02</v>
      </c>
      <c r="K1437" s="12">
        <v>181</v>
      </c>
      <c r="L1437" s="10" t="s">
        <v>101</v>
      </c>
      <c r="M1437" s="10" t="s">
        <v>102</v>
      </c>
      <c r="N1437" s="124" t="s">
        <v>411</v>
      </c>
      <c r="O1437" s="124" t="s">
        <v>411</v>
      </c>
      <c r="P1437" s="21">
        <v>30</v>
      </c>
      <c r="Q1437" s="10" t="s">
        <v>54</v>
      </c>
      <c r="R1437" s="10" t="s">
        <v>28</v>
      </c>
      <c r="S1437" s="10"/>
      <c r="T1437" s="10"/>
      <c r="U1437" s="10" t="s">
        <v>2921</v>
      </c>
      <c r="V1437" s="10" t="s">
        <v>2921</v>
      </c>
      <c r="W1437" s="50">
        <f>+J1437/$W$2</f>
        <v>8.9151927934074985E-6</v>
      </c>
    </row>
    <row r="1438" spans="1:29">
      <c r="A1438" s="10" t="s">
        <v>3167</v>
      </c>
      <c r="B1438" s="10" t="s">
        <v>358</v>
      </c>
      <c r="C1438" s="124">
        <v>46360</v>
      </c>
      <c r="D1438" s="124" t="s">
        <v>471</v>
      </c>
      <c r="E1438" s="21">
        <v>0.97126137000000001</v>
      </c>
      <c r="F1438" s="10"/>
      <c r="G1438" s="14">
        <v>2776829.85</v>
      </c>
      <c r="H1438" s="14">
        <v>2697027.57</v>
      </c>
      <c r="I1438" s="14">
        <v>2776829.85</v>
      </c>
      <c r="J1438" s="14">
        <v>2697027.57</v>
      </c>
      <c r="K1438" s="12">
        <v>87</v>
      </c>
      <c r="L1438" s="10" t="s">
        <v>101</v>
      </c>
      <c r="M1438" s="10" t="s">
        <v>102</v>
      </c>
      <c r="N1438" s="124" t="s">
        <v>448</v>
      </c>
      <c r="O1438" s="124" t="s">
        <v>448</v>
      </c>
      <c r="P1438" s="21">
        <v>30</v>
      </c>
      <c r="Q1438" s="10" t="s">
        <v>54</v>
      </c>
      <c r="R1438" s="10" t="s">
        <v>28</v>
      </c>
      <c r="S1438" s="10"/>
      <c r="T1438" s="10"/>
      <c r="U1438" s="10" t="s">
        <v>3129</v>
      </c>
      <c r="V1438" s="10" t="s">
        <v>3129</v>
      </c>
      <c r="W1438" s="50">
        <f>+J1438/$W$2</f>
        <v>3.3007965031760805E-5</v>
      </c>
    </row>
    <row r="1439" spans="1:29">
      <c r="A1439" s="10" t="s">
        <v>334</v>
      </c>
      <c r="B1439" s="10" t="s">
        <v>358</v>
      </c>
      <c r="C1439" s="124">
        <v>46365</v>
      </c>
      <c r="D1439" s="124" t="s">
        <v>471</v>
      </c>
      <c r="E1439" s="21">
        <v>0.96113344000000001</v>
      </c>
      <c r="F1439" s="10"/>
      <c r="G1439" s="14">
        <v>3105640.28</v>
      </c>
      <c r="H1439" s="14">
        <v>2984934.72</v>
      </c>
      <c r="I1439" s="14">
        <v>3105640.28</v>
      </c>
      <c r="J1439" s="14">
        <v>2984934.72</v>
      </c>
      <c r="K1439" s="12">
        <v>3390</v>
      </c>
      <c r="L1439" s="10" t="s">
        <v>101</v>
      </c>
      <c r="M1439" s="10" t="s">
        <v>102</v>
      </c>
      <c r="N1439" s="124" t="s">
        <v>487</v>
      </c>
      <c r="O1439" s="124" t="s">
        <v>487</v>
      </c>
      <c r="P1439" s="21">
        <v>36</v>
      </c>
      <c r="Q1439" s="10" t="s">
        <v>54</v>
      </c>
      <c r="R1439" s="10" t="s">
        <v>28</v>
      </c>
      <c r="S1439" s="10"/>
      <c r="T1439" s="10"/>
      <c r="U1439" s="10" t="s">
        <v>1560</v>
      </c>
      <c r="V1439" s="10" t="s">
        <v>1560</v>
      </c>
      <c r="W1439" s="50">
        <f>+J1439/$W$2</f>
        <v>3.6531558652123361E-5</v>
      </c>
    </row>
    <row r="1440" spans="1:29">
      <c r="A1440" s="10" t="s">
        <v>334</v>
      </c>
      <c r="B1440" s="10" t="s">
        <v>358</v>
      </c>
      <c r="C1440" s="124">
        <v>46365</v>
      </c>
      <c r="D1440" s="124" t="s">
        <v>471</v>
      </c>
      <c r="E1440" s="21">
        <v>0.96113344000000001</v>
      </c>
      <c r="F1440" s="10"/>
      <c r="G1440" s="14">
        <v>3841101.28</v>
      </c>
      <c r="H1440" s="14">
        <v>3691810.87</v>
      </c>
      <c r="I1440" s="14">
        <v>3841101.28</v>
      </c>
      <c r="J1440" s="14">
        <v>3691810.87</v>
      </c>
      <c r="K1440" s="12">
        <v>3368</v>
      </c>
      <c r="L1440" s="10" t="s">
        <v>101</v>
      </c>
      <c r="M1440" s="10" t="s">
        <v>102</v>
      </c>
      <c r="N1440" s="124" t="s">
        <v>487</v>
      </c>
      <c r="O1440" s="124" t="s">
        <v>487</v>
      </c>
      <c r="P1440" s="21">
        <v>36</v>
      </c>
      <c r="Q1440" s="10" t="s">
        <v>54</v>
      </c>
      <c r="R1440" s="10" t="s">
        <v>28</v>
      </c>
      <c r="S1440" s="10"/>
      <c r="T1440" s="10"/>
      <c r="U1440" s="10" t="s">
        <v>1561</v>
      </c>
      <c r="V1440" s="10" t="s">
        <v>1561</v>
      </c>
      <c r="W1440" s="50">
        <f>+J1440/$W$2</f>
        <v>4.5182765447530984E-5</v>
      </c>
    </row>
    <row r="1441" spans="1:23">
      <c r="A1441" s="10" t="s">
        <v>334</v>
      </c>
      <c r="B1441" s="10" t="s">
        <v>358</v>
      </c>
      <c r="C1441" s="124">
        <v>46365</v>
      </c>
      <c r="D1441" s="124" t="s">
        <v>471</v>
      </c>
      <c r="E1441" s="21">
        <v>0.96113340000000003</v>
      </c>
      <c r="F1441" s="10"/>
      <c r="G1441" s="14">
        <v>2874176.47</v>
      </c>
      <c r="H1441" s="14">
        <v>2762466.99</v>
      </c>
      <c r="I1441" s="14">
        <v>2874176.47</v>
      </c>
      <c r="J1441" s="14">
        <v>2762466.99</v>
      </c>
      <c r="K1441" s="12">
        <v>3438</v>
      </c>
      <c r="L1441" s="10" t="s">
        <v>101</v>
      </c>
      <c r="M1441" s="10" t="s">
        <v>102</v>
      </c>
      <c r="N1441" s="124" t="s">
        <v>441</v>
      </c>
      <c r="O1441" s="124" t="s">
        <v>441</v>
      </c>
      <c r="P1441" s="21">
        <v>36</v>
      </c>
      <c r="Q1441" s="10" t="s">
        <v>54</v>
      </c>
      <c r="R1441" s="10" t="s">
        <v>28</v>
      </c>
      <c r="S1441" s="10"/>
      <c r="T1441" s="10"/>
      <c r="U1441" s="10" t="s">
        <v>1547</v>
      </c>
      <c r="V1441" s="10" t="s">
        <v>1547</v>
      </c>
      <c r="W1441" s="50">
        <f>+J1441/$W$2</f>
        <v>3.3808854911821882E-5</v>
      </c>
    </row>
    <row r="1442" spans="1:23">
      <c r="A1442" s="10" t="s">
        <v>2018</v>
      </c>
      <c r="B1442" s="10" t="s">
        <v>358</v>
      </c>
      <c r="C1442" s="124">
        <v>46365</v>
      </c>
      <c r="D1442" s="124" t="s">
        <v>471</v>
      </c>
      <c r="E1442" s="21">
        <v>0.96217222000000002</v>
      </c>
      <c r="F1442" s="10"/>
      <c r="G1442" s="14">
        <v>25000000</v>
      </c>
      <c r="H1442" s="14">
        <v>24054305.57</v>
      </c>
      <c r="I1442" s="14">
        <v>25000000</v>
      </c>
      <c r="J1442" s="14">
        <v>24054305.57</v>
      </c>
      <c r="K1442" s="12">
        <v>10685424</v>
      </c>
      <c r="L1442" s="10" t="s">
        <v>101</v>
      </c>
      <c r="M1442" s="10" t="s">
        <v>102</v>
      </c>
      <c r="N1442" s="124" t="s">
        <v>449</v>
      </c>
      <c r="O1442" s="124" t="s">
        <v>449</v>
      </c>
      <c r="P1442" s="21">
        <v>35</v>
      </c>
      <c r="Q1442" s="10" t="s">
        <v>54</v>
      </c>
      <c r="R1442" s="10" t="s">
        <v>28</v>
      </c>
      <c r="S1442" s="10"/>
      <c r="T1442" s="10"/>
      <c r="U1442" s="10" t="s">
        <v>1981</v>
      </c>
      <c r="V1442" s="10" t="s">
        <v>1981</v>
      </c>
      <c r="W1442" s="50">
        <f>+J1442/$W$2</f>
        <v>2.9439212485241642E-4</v>
      </c>
    </row>
    <row r="1443" spans="1:23">
      <c r="A1443" s="10" t="s">
        <v>443</v>
      </c>
      <c r="B1443" s="10" t="s">
        <v>358</v>
      </c>
      <c r="C1443" s="124">
        <v>46365</v>
      </c>
      <c r="D1443" s="124" t="s">
        <v>471</v>
      </c>
      <c r="E1443" s="21">
        <v>0.96950705000000004</v>
      </c>
      <c r="F1443" s="10"/>
      <c r="G1443" s="14">
        <v>8000000</v>
      </c>
      <c r="H1443" s="14">
        <v>7756056.3700000001</v>
      </c>
      <c r="I1443" s="14">
        <v>8000000</v>
      </c>
      <c r="J1443" s="14">
        <v>7756056.3700000001</v>
      </c>
      <c r="K1443" s="12">
        <v>6495</v>
      </c>
      <c r="L1443" s="10" t="s">
        <v>101</v>
      </c>
      <c r="M1443" s="10" t="s">
        <v>102</v>
      </c>
      <c r="N1443" s="124" t="s">
        <v>397</v>
      </c>
      <c r="O1443" s="124" t="s">
        <v>397</v>
      </c>
      <c r="P1443" s="21">
        <v>28</v>
      </c>
      <c r="Q1443" s="10" t="s">
        <v>54</v>
      </c>
      <c r="R1443" s="10" t="s">
        <v>28</v>
      </c>
      <c r="S1443" s="10"/>
      <c r="T1443" s="10"/>
      <c r="U1443" s="10" t="s">
        <v>1843</v>
      </c>
      <c r="V1443" s="10" t="s">
        <v>1843</v>
      </c>
      <c r="W1443" s="50">
        <f>+J1443/$W$2</f>
        <v>9.4923626400054072E-5</v>
      </c>
    </row>
    <row r="1444" spans="1:23">
      <c r="A1444" s="10" t="s">
        <v>443</v>
      </c>
      <c r="B1444" s="10" t="s">
        <v>358</v>
      </c>
      <c r="C1444" s="124">
        <v>46365</v>
      </c>
      <c r="D1444" s="124" t="s">
        <v>471</v>
      </c>
      <c r="E1444" s="21">
        <v>0.97056405999999995</v>
      </c>
      <c r="F1444" s="10"/>
      <c r="G1444" s="14">
        <v>10000000</v>
      </c>
      <c r="H1444" s="14">
        <v>9705640.5899999999</v>
      </c>
      <c r="I1444" s="14">
        <v>10000000</v>
      </c>
      <c r="J1444" s="14">
        <v>9705640.5899999999</v>
      </c>
      <c r="K1444" s="12">
        <v>40740205</v>
      </c>
      <c r="L1444" s="10" t="s">
        <v>101</v>
      </c>
      <c r="M1444" s="10" t="s">
        <v>102</v>
      </c>
      <c r="N1444" s="124" t="s">
        <v>449</v>
      </c>
      <c r="O1444" s="124" t="s">
        <v>449</v>
      </c>
      <c r="P1444" s="21">
        <v>27</v>
      </c>
      <c r="Q1444" s="10" t="s">
        <v>54</v>
      </c>
      <c r="R1444" s="10" t="s">
        <v>28</v>
      </c>
      <c r="S1444" s="10"/>
      <c r="T1444" s="10"/>
      <c r="U1444" s="10" t="s">
        <v>1999</v>
      </c>
      <c r="V1444" s="10" t="s">
        <v>1999</v>
      </c>
      <c r="W1444" s="50">
        <f>+J1444/$W$2</f>
        <v>1.1878389704616862E-4</v>
      </c>
    </row>
    <row r="1445" spans="1:23">
      <c r="A1445" s="10" t="s">
        <v>1485</v>
      </c>
      <c r="B1445" s="10" t="s">
        <v>358</v>
      </c>
      <c r="C1445" s="124">
        <v>46365</v>
      </c>
      <c r="D1445" s="124" t="s">
        <v>471</v>
      </c>
      <c r="E1445" s="21">
        <v>0.96530203000000003</v>
      </c>
      <c r="F1445" s="10"/>
      <c r="G1445" s="14">
        <v>1660000</v>
      </c>
      <c r="H1445" s="14">
        <v>1602401.37</v>
      </c>
      <c r="I1445" s="14">
        <v>1660000</v>
      </c>
      <c r="J1445" s="14">
        <v>1602401.37</v>
      </c>
      <c r="K1445" s="12">
        <v>379</v>
      </c>
      <c r="L1445" s="10" t="s">
        <v>101</v>
      </c>
      <c r="M1445" s="10" t="s">
        <v>102</v>
      </c>
      <c r="N1445" s="124" t="s">
        <v>603</v>
      </c>
      <c r="O1445" s="124" t="s">
        <v>603</v>
      </c>
      <c r="P1445" s="21">
        <v>32</v>
      </c>
      <c r="Q1445" s="10" t="s">
        <v>54</v>
      </c>
      <c r="R1445" s="10" t="s">
        <v>28</v>
      </c>
      <c r="S1445" s="10"/>
      <c r="T1445" s="10"/>
      <c r="U1445" s="10" t="s">
        <v>2576</v>
      </c>
      <c r="V1445" s="10" t="s">
        <v>2576</v>
      </c>
      <c r="W1445" s="50">
        <f>+J1445/$W$2</f>
        <v>1.9611222731329222E-5</v>
      </c>
    </row>
    <row r="1446" spans="1:23">
      <c r="A1446" s="10" t="s">
        <v>1535</v>
      </c>
      <c r="B1446" s="10" t="s">
        <v>358</v>
      </c>
      <c r="C1446" s="124">
        <v>46365</v>
      </c>
      <c r="D1446" s="124" t="s">
        <v>471</v>
      </c>
      <c r="E1446" s="21">
        <v>0.96634984999999995</v>
      </c>
      <c r="F1446" s="10"/>
      <c r="G1446" s="14">
        <v>11820000</v>
      </c>
      <c r="H1446" s="14">
        <v>11422255.27</v>
      </c>
      <c r="I1446" s="14">
        <v>11820000</v>
      </c>
      <c r="J1446" s="14">
        <v>11422255.27</v>
      </c>
      <c r="K1446" s="12">
        <v>14310295</v>
      </c>
      <c r="L1446" s="10" t="s">
        <v>101</v>
      </c>
      <c r="M1446" s="10" t="s">
        <v>102</v>
      </c>
      <c r="N1446" s="124" t="s">
        <v>480</v>
      </c>
      <c r="O1446" s="124" t="s">
        <v>480</v>
      </c>
      <c r="P1446" s="21">
        <v>31</v>
      </c>
      <c r="Q1446" s="10" t="s">
        <v>54</v>
      </c>
      <c r="R1446" s="10" t="s">
        <v>28</v>
      </c>
      <c r="S1446" s="10"/>
      <c r="T1446" s="10"/>
      <c r="U1446" s="10" t="s">
        <v>1528</v>
      </c>
      <c r="V1446" s="10" t="s">
        <v>1528</v>
      </c>
      <c r="W1446" s="50">
        <f>+J1446/$W$2</f>
        <v>1.3979293601956231E-4</v>
      </c>
    </row>
    <row r="1447" spans="1:23">
      <c r="A1447" s="10" t="s">
        <v>1370</v>
      </c>
      <c r="B1447" s="10" t="s">
        <v>358</v>
      </c>
      <c r="C1447" s="124">
        <v>46365</v>
      </c>
      <c r="D1447" s="124" t="s">
        <v>471</v>
      </c>
      <c r="E1447" s="21">
        <v>0.96634987000000006</v>
      </c>
      <c r="F1447" s="10"/>
      <c r="G1447" s="14">
        <v>1598248</v>
      </c>
      <c r="H1447" s="14">
        <v>1544466.74</v>
      </c>
      <c r="I1447" s="14">
        <v>1598248</v>
      </c>
      <c r="J1447" s="14">
        <v>1544466.74</v>
      </c>
      <c r="K1447" s="12">
        <v>11999347</v>
      </c>
      <c r="L1447" s="10" t="s">
        <v>101</v>
      </c>
      <c r="M1447" s="10" t="s">
        <v>102</v>
      </c>
      <c r="N1447" s="124" t="s">
        <v>365</v>
      </c>
      <c r="O1447" s="124" t="s">
        <v>365</v>
      </c>
      <c r="P1447" s="21">
        <v>31</v>
      </c>
      <c r="Q1447" s="10" t="s">
        <v>54</v>
      </c>
      <c r="R1447" s="10" t="s">
        <v>28</v>
      </c>
      <c r="S1447" s="10"/>
      <c r="T1447" s="10"/>
      <c r="U1447" s="10" t="s">
        <v>1356</v>
      </c>
      <c r="V1447" s="10" t="s">
        <v>1356</v>
      </c>
      <c r="W1447" s="50">
        <f>+J1447/$W$2</f>
        <v>1.8902181317574595E-5</v>
      </c>
    </row>
    <row r="1448" spans="1:23">
      <c r="A1448" s="10" t="s">
        <v>206</v>
      </c>
      <c r="B1448" s="10" t="s">
        <v>358</v>
      </c>
      <c r="C1448" s="124">
        <v>46365</v>
      </c>
      <c r="D1448" s="124" t="s">
        <v>471</v>
      </c>
      <c r="E1448" s="21">
        <v>0.96425651999999995</v>
      </c>
      <c r="F1448" s="10"/>
      <c r="G1448" s="14">
        <v>2170000</v>
      </c>
      <c r="H1448" s="14">
        <v>2092436.65</v>
      </c>
      <c r="I1448" s="14">
        <v>2170000</v>
      </c>
      <c r="J1448" s="14">
        <v>2092436.65</v>
      </c>
      <c r="K1448" s="12">
        <v>260744</v>
      </c>
      <c r="L1448" s="10" t="s">
        <v>101</v>
      </c>
      <c r="M1448" s="10" t="s">
        <v>102</v>
      </c>
      <c r="N1448" s="124" t="s">
        <v>479</v>
      </c>
      <c r="O1448" s="124" t="s">
        <v>479</v>
      </c>
      <c r="P1448" s="21">
        <v>33</v>
      </c>
      <c r="Q1448" s="10" t="s">
        <v>54</v>
      </c>
      <c r="R1448" s="10" t="s">
        <v>28</v>
      </c>
      <c r="S1448" s="10"/>
      <c r="T1448" s="10"/>
      <c r="U1448" s="10" t="s">
        <v>1200</v>
      </c>
      <c r="V1448" s="10" t="s">
        <v>1200</v>
      </c>
      <c r="W1448" s="50">
        <f>+J1448/$W$2</f>
        <v>2.5608590932711424E-5</v>
      </c>
    </row>
    <row r="1449" spans="1:23">
      <c r="A1449" s="10" t="s">
        <v>2435</v>
      </c>
      <c r="B1449" s="10" t="s">
        <v>358</v>
      </c>
      <c r="C1449" s="124">
        <v>46365</v>
      </c>
      <c r="D1449" s="124" t="s">
        <v>471</v>
      </c>
      <c r="E1449" s="21">
        <v>0.96845247000000001</v>
      </c>
      <c r="F1449" s="10"/>
      <c r="G1449" s="14">
        <v>450000</v>
      </c>
      <c r="H1449" s="14">
        <v>435803.61</v>
      </c>
      <c r="I1449" s="14">
        <v>450000</v>
      </c>
      <c r="J1449" s="14">
        <v>435803.61</v>
      </c>
      <c r="K1449" s="12">
        <v>11456509</v>
      </c>
      <c r="L1449" s="10" t="s">
        <v>101</v>
      </c>
      <c r="M1449" s="10" t="s">
        <v>102</v>
      </c>
      <c r="N1449" s="124" t="s">
        <v>469</v>
      </c>
      <c r="O1449" s="124" t="s">
        <v>469</v>
      </c>
      <c r="P1449" s="21">
        <v>29</v>
      </c>
      <c r="Q1449" s="10" t="s">
        <v>54</v>
      </c>
      <c r="R1449" s="10" t="s">
        <v>28</v>
      </c>
      <c r="S1449" s="10"/>
      <c r="T1449" s="10"/>
      <c r="U1449" s="10" t="s">
        <v>4040</v>
      </c>
      <c r="V1449" s="10" t="s">
        <v>4040</v>
      </c>
      <c r="W1449" s="50">
        <f>+J1449/$W$2</f>
        <v>5.333646003327702E-6</v>
      </c>
    </row>
    <row r="1450" spans="1:23">
      <c r="A1450" s="10" t="s">
        <v>623</v>
      </c>
      <c r="B1450" s="10" t="s">
        <v>358</v>
      </c>
      <c r="C1450" s="124">
        <v>46365</v>
      </c>
      <c r="D1450" s="124" t="s">
        <v>471</v>
      </c>
      <c r="E1450" s="21">
        <v>0.96530209</v>
      </c>
      <c r="F1450" s="10"/>
      <c r="G1450" s="14">
        <v>5000000</v>
      </c>
      <c r="H1450" s="14">
        <v>4826510.47</v>
      </c>
      <c r="I1450" s="14">
        <v>5000000</v>
      </c>
      <c r="J1450" s="14">
        <v>4826510.47</v>
      </c>
      <c r="K1450" s="12">
        <v>56</v>
      </c>
      <c r="L1450" s="10" t="s">
        <v>101</v>
      </c>
      <c r="M1450" s="10" t="s">
        <v>102</v>
      </c>
      <c r="N1450" s="124" t="s">
        <v>450</v>
      </c>
      <c r="O1450" s="124" t="s">
        <v>450</v>
      </c>
      <c r="P1450" s="21">
        <v>32</v>
      </c>
      <c r="Q1450" s="10" t="s">
        <v>54</v>
      </c>
      <c r="R1450" s="10" t="s">
        <v>28</v>
      </c>
      <c r="S1450" s="10"/>
      <c r="T1450" s="10"/>
      <c r="U1450" s="10" t="s">
        <v>3425</v>
      </c>
      <c r="V1450" s="10" t="s">
        <v>3425</v>
      </c>
      <c r="W1450" s="50">
        <f>+J1450/$W$2</f>
        <v>5.906995189492535E-5</v>
      </c>
    </row>
    <row r="1451" spans="1:23">
      <c r="A1451" s="10" t="s">
        <v>3573</v>
      </c>
      <c r="B1451" s="10" t="s">
        <v>358</v>
      </c>
      <c r="C1451" s="124">
        <v>46365</v>
      </c>
      <c r="D1451" s="124" t="s">
        <v>471</v>
      </c>
      <c r="E1451" s="21">
        <v>0.96740008</v>
      </c>
      <c r="F1451" s="10"/>
      <c r="G1451" s="14">
        <v>2006000</v>
      </c>
      <c r="H1451" s="14">
        <v>1940604.57</v>
      </c>
      <c r="I1451" s="14">
        <v>2006000</v>
      </c>
      <c r="J1451" s="14">
        <v>1940604.57</v>
      </c>
      <c r="K1451" s="12">
        <v>70555919</v>
      </c>
      <c r="L1451" s="10" t="s">
        <v>101</v>
      </c>
      <c r="M1451" s="10" t="s">
        <v>102</v>
      </c>
      <c r="N1451" s="124" t="s">
        <v>451</v>
      </c>
      <c r="O1451" s="124" t="s">
        <v>451</v>
      </c>
      <c r="P1451" s="21">
        <v>30</v>
      </c>
      <c r="Q1451" s="10" t="s">
        <v>54</v>
      </c>
      <c r="R1451" s="10" t="s">
        <v>28</v>
      </c>
      <c r="S1451" s="10"/>
      <c r="T1451" s="10"/>
      <c r="U1451" s="10" t="s">
        <v>3537</v>
      </c>
      <c r="V1451" s="10" t="s">
        <v>3537</v>
      </c>
      <c r="W1451" s="50">
        <f>+J1451/$W$2</f>
        <v>2.3750371890723841E-5</v>
      </c>
    </row>
    <row r="1452" spans="1:23">
      <c r="A1452" s="10" t="s">
        <v>220</v>
      </c>
      <c r="B1452" s="10" t="s">
        <v>358</v>
      </c>
      <c r="C1452" s="124">
        <v>46365</v>
      </c>
      <c r="D1452" s="124" t="s">
        <v>471</v>
      </c>
      <c r="E1452" s="21">
        <v>0.96425647000000003</v>
      </c>
      <c r="F1452" s="10"/>
      <c r="G1452" s="14">
        <v>25000000</v>
      </c>
      <c r="H1452" s="14">
        <v>24106411.719999999</v>
      </c>
      <c r="I1452" s="14">
        <v>25000000</v>
      </c>
      <c r="J1452" s="14">
        <v>24106411.719999999</v>
      </c>
      <c r="K1452" s="12">
        <v>475886</v>
      </c>
      <c r="L1452" s="10" t="s">
        <v>101</v>
      </c>
      <c r="M1452" s="10" t="s">
        <v>102</v>
      </c>
      <c r="N1452" s="124" t="s">
        <v>332</v>
      </c>
      <c r="O1452" s="124" t="s">
        <v>332</v>
      </c>
      <c r="P1452" s="21">
        <v>33</v>
      </c>
      <c r="Q1452" s="10" t="s">
        <v>54</v>
      </c>
      <c r="R1452" s="10" t="s">
        <v>28</v>
      </c>
      <c r="S1452" s="10"/>
      <c r="T1452" s="10"/>
      <c r="U1452" s="10" t="s">
        <v>923</v>
      </c>
      <c r="V1452" s="10" t="s">
        <v>923</v>
      </c>
      <c r="W1452" s="50">
        <f>+J1452/$W$2</f>
        <v>2.9502983356413702E-4</v>
      </c>
    </row>
    <row r="1453" spans="1:23">
      <c r="A1453" s="10" t="s">
        <v>565</v>
      </c>
      <c r="B1453" s="10" t="s">
        <v>358</v>
      </c>
      <c r="C1453" s="124">
        <v>46365</v>
      </c>
      <c r="D1453" s="124" t="s">
        <v>471</v>
      </c>
      <c r="E1453" s="21">
        <v>0.96425653</v>
      </c>
      <c r="F1453" s="10"/>
      <c r="G1453" s="14">
        <v>10051717.33</v>
      </c>
      <c r="H1453" s="14">
        <v>9692434.0700000003</v>
      </c>
      <c r="I1453" s="14">
        <v>10051717.33</v>
      </c>
      <c r="J1453" s="14">
        <v>9692434.0700000003</v>
      </c>
      <c r="K1453" s="12">
        <v>90002284</v>
      </c>
      <c r="L1453" s="10" t="s">
        <v>101</v>
      </c>
      <c r="M1453" s="10" t="s">
        <v>102</v>
      </c>
      <c r="N1453" s="124" t="s">
        <v>447</v>
      </c>
      <c r="O1453" s="124" t="s">
        <v>447</v>
      </c>
      <c r="P1453" s="21">
        <v>33</v>
      </c>
      <c r="Q1453" s="10" t="s">
        <v>54</v>
      </c>
      <c r="R1453" s="10" t="s">
        <v>28</v>
      </c>
      <c r="S1453" s="10"/>
      <c r="T1453" s="10"/>
      <c r="U1453" s="10" t="s">
        <v>1631</v>
      </c>
      <c r="V1453" s="10" t="s">
        <v>1631</v>
      </c>
      <c r="W1453" s="50">
        <f>+J1453/$W$2</f>
        <v>1.1862226712617814E-4</v>
      </c>
    </row>
    <row r="1454" spans="1:23">
      <c r="A1454" s="10" t="s">
        <v>582</v>
      </c>
      <c r="B1454" s="10" t="s">
        <v>358</v>
      </c>
      <c r="C1454" s="124">
        <v>46365</v>
      </c>
      <c r="D1454" s="124" t="s">
        <v>471</v>
      </c>
      <c r="E1454" s="21">
        <v>0.96113342999999996</v>
      </c>
      <c r="F1454" s="10"/>
      <c r="G1454" s="14">
        <v>11500000</v>
      </c>
      <c r="H1454" s="14">
        <v>11053034.49</v>
      </c>
      <c r="I1454" s="14">
        <v>11500000</v>
      </c>
      <c r="J1454" s="14">
        <v>11053034.49</v>
      </c>
      <c r="K1454" s="12">
        <v>10468665</v>
      </c>
      <c r="L1454" s="10" t="s">
        <v>101</v>
      </c>
      <c r="M1454" s="10" t="s">
        <v>102</v>
      </c>
      <c r="N1454" s="124" t="s">
        <v>275</v>
      </c>
      <c r="O1454" s="124" t="s">
        <v>275</v>
      </c>
      <c r="P1454" s="21">
        <v>36</v>
      </c>
      <c r="Q1454" s="10" t="s">
        <v>54</v>
      </c>
      <c r="R1454" s="10" t="s">
        <v>28</v>
      </c>
      <c r="S1454" s="10"/>
      <c r="T1454" s="10"/>
      <c r="U1454" s="10" t="s">
        <v>838</v>
      </c>
      <c r="V1454" s="10" t="s">
        <v>838</v>
      </c>
      <c r="W1454" s="50">
        <f>+J1454/$W$2</f>
        <v>1.352741736862431E-4</v>
      </c>
    </row>
    <row r="1455" spans="1:23">
      <c r="A1455" s="10" t="s">
        <v>3166</v>
      </c>
      <c r="B1455" s="10" t="s">
        <v>358</v>
      </c>
      <c r="C1455" s="124">
        <v>46365</v>
      </c>
      <c r="D1455" s="124" t="s">
        <v>471</v>
      </c>
      <c r="E1455" s="21">
        <v>0.96739995000000001</v>
      </c>
      <c r="F1455" s="10"/>
      <c r="G1455" s="14">
        <v>4175312.5</v>
      </c>
      <c r="H1455" s="14">
        <v>4039197.11</v>
      </c>
      <c r="I1455" s="14">
        <v>4175312.5</v>
      </c>
      <c r="J1455" s="14">
        <v>4039197.11</v>
      </c>
      <c r="K1455" s="12">
        <v>40952790</v>
      </c>
      <c r="L1455" s="10" t="s">
        <v>101</v>
      </c>
      <c r="M1455" s="10" t="s">
        <v>102</v>
      </c>
      <c r="N1455" s="124" t="s">
        <v>475</v>
      </c>
      <c r="O1455" s="124" t="s">
        <v>475</v>
      </c>
      <c r="P1455" s="21">
        <v>30</v>
      </c>
      <c r="Q1455" s="10" t="s">
        <v>54</v>
      </c>
      <c r="R1455" s="10" t="s">
        <v>28</v>
      </c>
      <c r="S1455" s="10"/>
      <c r="T1455" s="10"/>
      <c r="U1455" s="10" t="s">
        <v>3382</v>
      </c>
      <c r="V1455" s="10" t="s">
        <v>3382</v>
      </c>
      <c r="W1455" s="50">
        <f>+J1455/$W$2</f>
        <v>4.9434302580477256E-5</v>
      </c>
    </row>
    <row r="1456" spans="1:23">
      <c r="A1456" s="10" t="s">
        <v>4049</v>
      </c>
      <c r="B1456" s="10" t="s">
        <v>358</v>
      </c>
      <c r="C1456" s="124">
        <v>46365</v>
      </c>
      <c r="D1456" s="124" t="s">
        <v>471</v>
      </c>
      <c r="E1456" s="21">
        <v>0.96845245999999996</v>
      </c>
      <c r="F1456" s="10"/>
      <c r="G1456" s="14">
        <v>4212174.99</v>
      </c>
      <c r="H1456" s="14">
        <v>4079291.24</v>
      </c>
      <c r="I1456" s="14">
        <v>4212174.99</v>
      </c>
      <c r="J1456" s="14">
        <v>4079291.24</v>
      </c>
      <c r="K1456" s="12">
        <v>691</v>
      </c>
      <c r="L1456" s="10" t="s">
        <v>101</v>
      </c>
      <c r="M1456" s="10" t="s">
        <v>102</v>
      </c>
      <c r="N1456" s="124" t="s">
        <v>469</v>
      </c>
      <c r="O1456" s="124" t="s">
        <v>469</v>
      </c>
      <c r="P1456" s="21">
        <v>29</v>
      </c>
      <c r="Q1456" s="10" t="s">
        <v>54</v>
      </c>
      <c r="R1456" s="10" t="s">
        <v>28</v>
      </c>
      <c r="S1456" s="10"/>
      <c r="T1456" s="10"/>
      <c r="U1456" s="10" t="s">
        <v>3982</v>
      </c>
      <c r="V1456" s="10" t="s">
        <v>3982</v>
      </c>
      <c r="W1456" s="50">
        <f>+J1456/$W$2</f>
        <v>4.9925000434566636E-5</v>
      </c>
    </row>
    <row r="1457" spans="1:23">
      <c r="A1457" s="10" t="s">
        <v>362</v>
      </c>
      <c r="B1457" s="10" t="s">
        <v>358</v>
      </c>
      <c r="C1457" s="124">
        <v>46365</v>
      </c>
      <c r="D1457" s="124" t="s">
        <v>471</v>
      </c>
      <c r="E1457" s="21">
        <v>0.96425660999999996</v>
      </c>
      <c r="F1457" s="10"/>
      <c r="G1457" s="14">
        <v>25000000</v>
      </c>
      <c r="H1457" s="14">
        <v>24106415.329999998</v>
      </c>
      <c r="I1457" s="14">
        <v>25000000</v>
      </c>
      <c r="J1457" s="14">
        <v>24106415.329999998</v>
      </c>
      <c r="K1457" s="12">
        <v>4293</v>
      </c>
      <c r="L1457" s="10" t="s">
        <v>101</v>
      </c>
      <c r="M1457" s="10" t="s">
        <v>102</v>
      </c>
      <c r="N1457" s="124" t="s">
        <v>439</v>
      </c>
      <c r="O1457" s="124" t="s">
        <v>439</v>
      </c>
      <c r="P1457" s="21">
        <v>33</v>
      </c>
      <c r="Q1457" s="10" t="s">
        <v>54</v>
      </c>
      <c r="R1457" s="10" t="s">
        <v>28</v>
      </c>
      <c r="S1457" s="10"/>
      <c r="T1457" s="10"/>
      <c r="U1457" s="10" t="s">
        <v>2281</v>
      </c>
      <c r="V1457" s="10" t="s">
        <v>2281</v>
      </c>
      <c r="W1457" s="50">
        <f>+J1457/$W$2</f>
        <v>2.9502987774564817E-4</v>
      </c>
    </row>
    <row r="1458" spans="1:23">
      <c r="A1458" s="10" t="s">
        <v>132</v>
      </c>
      <c r="B1458" s="10" t="s">
        <v>358</v>
      </c>
      <c r="C1458" s="124">
        <v>46365</v>
      </c>
      <c r="D1458" s="124" t="s">
        <v>471</v>
      </c>
      <c r="E1458" s="21">
        <v>0.96530225000000003</v>
      </c>
      <c r="F1458" s="10"/>
      <c r="G1458" s="14">
        <v>80000000</v>
      </c>
      <c r="H1458" s="14">
        <v>77224179.980000004</v>
      </c>
      <c r="I1458" s="14">
        <v>80000000</v>
      </c>
      <c r="J1458" s="14">
        <v>77224179.980000004</v>
      </c>
      <c r="K1458" s="12">
        <v>1041</v>
      </c>
      <c r="L1458" s="10" t="s">
        <v>101</v>
      </c>
      <c r="M1458" s="10" t="s">
        <v>102</v>
      </c>
      <c r="N1458" s="124" t="s">
        <v>471</v>
      </c>
      <c r="O1458" s="124" t="s">
        <v>471</v>
      </c>
      <c r="P1458" s="21">
        <v>32</v>
      </c>
      <c r="Q1458" s="10" t="s">
        <v>54</v>
      </c>
      <c r="R1458" s="10" t="s">
        <v>28</v>
      </c>
      <c r="S1458" s="10"/>
      <c r="T1458" s="10"/>
      <c r="U1458" s="10" t="s">
        <v>4137</v>
      </c>
      <c r="V1458" s="10" t="s">
        <v>4137</v>
      </c>
      <c r="W1458" s="50">
        <f>+J1458/$W$2</f>
        <v>9.4511938281233187E-4</v>
      </c>
    </row>
    <row r="1459" spans="1:23">
      <c r="A1459" s="10" t="s">
        <v>286</v>
      </c>
      <c r="B1459" s="10" t="s">
        <v>358</v>
      </c>
      <c r="C1459" s="124">
        <v>46365</v>
      </c>
      <c r="D1459" s="124" t="s">
        <v>471</v>
      </c>
      <c r="E1459" s="21">
        <v>0.96425662000000001</v>
      </c>
      <c r="F1459" s="10"/>
      <c r="G1459" s="14">
        <v>1000000</v>
      </c>
      <c r="H1459" s="14">
        <v>964256.62</v>
      </c>
      <c r="I1459" s="14">
        <v>1000000</v>
      </c>
      <c r="J1459" s="14">
        <v>964256.62</v>
      </c>
      <c r="K1459" s="12">
        <v>40789593</v>
      </c>
      <c r="L1459" s="10" t="s">
        <v>101</v>
      </c>
      <c r="M1459" s="10" t="s">
        <v>102</v>
      </c>
      <c r="N1459" s="124" t="s">
        <v>464</v>
      </c>
      <c r="O1459" s="124" t="s">
        <v>464</v>
      </c>
      <c r="P1459" s="21">
        <v>33</v>
      </c>
      <c r="Q1459" s="10" t="s">
        <v>54</v>
      </c>
      <c r="R1459" s="10" t="s">
        <v>28</v>
      </c>
      <c r="S1459" s="10"/>
      <c r="T1459" s="10"/>
      <c r="U1459" s="10" t="s">
        <v>2542</v>
      </c>
      <c r="V1459" s="10" t="s">
        <v>2542</v>
      </c>
      <c r="W1459" s="50">
        <f>+J1459/$W$2</f>
        <v>1.180119519304872E-5</v>
      </c>
    </row>
    <row r="1460" spans="1:23">
      <c r="A1460" s="10" t="s">
        <v>286</v>
      </c>
      <c r="B1460" s="10" t="s">
        <v>358</v>
      </c>
      <c r="C1460" s="124">
        <v>46365</v>
      </c>
      <c r="D1460" s="124" t="s">
        <v>471</v>
      </c>
      <c r="E1460" s="21">
        <v>0.96425662000000001</v>
      </c>
      <c r="F1460" s="10"/>
      <c r="G1460" s="14">
        <v>5000000</v>
      </c>
      <c r="H1460" s="14">
        <v>4821283.09</v>
      </c>
      <c r="I1460" s="14">
        <v>5000000</v>
      </c>
      <c r="J1460" s="14">
        <v>4821283.09</v>
      </c>
      <c r="K1460" s="12">
        <v>40789572</v>
      </c>
      <c r="L1460" s="10" t="s">
        <v>101</v>
      </c>
      <c r="M1460" s="10" t="s">
        <v>102</v>
      </c>
      <c r="N1460" s="124" t="s">
        <v>464</v>
      </c>
      <c r="O1460" s="124" t="s">
        <v>464</v>
      </c>
      <c r="P1460" s="21">
        <v>33</v>
      </c>
      <c r="Q1460" s="10" t="s">
        <v>54</v>
      </c>
      <c r="R1460" s="10" t="s">
        <v>28</v>
      </c>
      <c r="S1460" s="10"/>
      <c r="T1460" s="10"/>
      <c r="U1460" s="10" t="s">
        <v>2543</v>
      </c>
      <c r="V1460" s="10" t="s">
        <v>2543</v>
      </c>
      <c r="W1460" s="50">
        <f>+J1460/$W$2</f>
        <v>5.9005975842857138E-5</v>
      </c>
    </row>
    <row r="1461" spans="1:23">
      <c r="A1461" s="10" t="s">
        <v>433</v>
      </c>
      <c r="B1461" s="10" t="s">
        <v>358</v>
      </c>
      <c r="C1461" s="124">
        <v>46365</v>
      </c>
      <c r="D1461" s="124" t="s">
        <v>471</v>
      </c>
      <c r="E1461" s="21">
        <v>0.96425647999999997</v>
      </c>
      <c r="F1461" s="10"/>
      <c r="G1461" s="14">
        <v>12500000</v>
      </c>
      <c r="H1461" s="14">
        <v>12053206.050000001</v>
      </c>
      <c r="I1461" s="14">
        <v>12500000</v>
      </c>
      <c r="J1461" s="14">
        <v>12053206.050000001</v>
      </c>
      <c r="K1461" s="12">
        <v>14651814</v>
      </c>
      <c r="L1461" s="10" t="s">
        <v>101</v>
      </c>
      <c r="M1461" s="10" t="s">
        <v>102</v>
      </c>
      <c r="N1461" s="124" t="s">
        <v>603</v>
      </c>
      <c r="O1461" s="124" t="s">
        <v>603</v>
      </c>
      <c r="P1461" s="21">
        <v>33</v>
      </c>
      <c r="Q1461" s="10" t="s">
        <v>54</v>
      </c>
      <c r="R1461" s="10" t="s">
        <v>28</v>
      </c>
      <c r="S1461" s="10"/>
      <c r="T1461" s="10"/>
      <c r="U1461" s="10" t="s">
        <v>2658</v>
      </c>
      <c r="V1461" s="10" t="s">
        <v>2658</v>
      </c>
      <c r="W1461" s="50">
        <f>+J1461/$W$2</f>
        <v>1.4751491910741123E-4</v>
      </c>
    </row>
    <row r="1462" spans="1:23">
      <c r="A1462" s="10" t="s">
        <v>433</v>
      </c>
      <c r="B1462" s="10" t="s">
        <v>358</v>
      </c>
      <c r="C1462" s="124">
        <v>46365</v>
      </c>
      <c r="D1462" s="124" t="s">
        <v>471</v>
      </c>
      <c r="E1462" s="21">
        <v>0.96425647000000003</v>
      </c>
      <c r="F1462" s="10"/>
      <c r="G1462" s="14">
        <v>20000000</v>
      </c>
      <c r="H1462" s="14">
        <v>19285129.440000001</v>
      </c>
      <c r="I1462" s="14">
        <v>20000000</v>
      </c>
      <c r="J1462" s="14">
        <v>19285129.440000001</v>
      </c>
      <c r="K1462" s="12">
        <v>14725036</v>
      </c>
      <c r="L1462" s="10" t="s">
        <v>101</v>
      </c>
      <c r="M1462" s="10" t="s">
        <v>102</v>
      </c>
      <c r="N1462" s="124" t="s">
        <v>475</v>
      </c>
      <c r="O1462" s="124" t="s">
        <v>475</v>
      </c>
      <c r="P1462" s="21">
        <v>33</v>
      </c>
      <c r="Q1462" s="10" t="s">
        <v>54</v>
      </c>
      <c r="R1462" s="10" t="s">
        <v>28</v>
      </c>
      <c r="S1462" s="10"/>
      <c r="T1462" s="10"/>
      <c r="U1462" s="10" t="s">
        <v>3352</v>
      </c>
      <c r="V1462" s="10" t="s">
        <v>3352</v>
      </c>
      <c r="W1462" s="50">
        <f>+J1462/$W$2</f>
        <v>2.3602386763458297E-4</v>
      </c>
    </row>
    <row r="1463" spans="1:23">
      <c r="A1463" s="10" t="s">
        <v>434</v>
      </c>
      <c r="B1463" s="10" t="s">
        <v>358</v>
      </c>
      <c r="C1463" s="124">
        <v>46365</v>
      </c>
      <c r="D1463" s="124" t="s">
        <v>471</v>
      </c>
      <c r="E1463" s="21">
        <v>0.96425656000000004</v>
      </c>
      <c r="F1463" s="10"/>
      <c r="G1463" s="14">
        <v>2500000</v>
      </c>
      <c r="H1463" s="14">
        <v>2410641.4</v>
      </c>
      <c r="I1463" s="14">
        <v>2500000</v>
      </c>
      <c r="J1463" s="14">
        <v>2410641.4</v>
      </c>
      <c r="K1463" s="12">
        <v>680</v>
      </c>
      <c r="L1463" s="10" t="s">
        <v>101</v>
      </c>
      <c r="M1463" s="10" t="s">
        <v>102</v>
      </c>
      <c r="N1463" s="124" t="s">
        <v>478</v>
      </c>
      <c r="O1463" s="124" t="s">
        <v>478</v>
      </c>
      <c r="P1463" s="21">
        <v>33</v>
      </c>
      <c r="Q1463" s="10" t="s">
        <v>54</v>
      </c>
      <c r="R1463" s="10" t="s">
        <v>28</v>
      </c>
      <c r="S1463" s="10"/>
      <c r="T1463" s="10"/>
      <c r="U1463" s="10" t="s">
        <v>2174</v>
      </c>
      <c r="V1463" s="10" t="s">
        <v>2174</v>
      </c>
      <c r="W1463" s="50">
        <f>+J1463/$W$2</f>
        <v>2.9502986146824935E-5</v>
      </c>
    </row>
    <row r="1464" spans="1:23">
      <c r="A1464" s="10" t="s">
        <v>444</v>
      </c>
      <c r="B1464" s="10" t="s">
        <v>358</v>
      </c>
      <c r="C1464" s="124">
        <v>46365</v>
      </c>
      <c r="D1464" s="124" t="s">
        <v>471</v>
      </c>
      <c r="E1464" s="21">
        <v>0.96009686999999999</v>
      </c>
      <c r="F1464" s="10"/>
      <c r="G1464" s="14">
        <v>15000000</v>
      </c>
      <c r="H1464" s="14">
        <v>14401453.02</v>
      </c>
      <c r="I1464" s="14">
        <v>15000000</v>
      </c>
      <c r="J1464" s="14">
        <v>14401453.02</v>
      </c>
      <c r="K1464" s="12">
        <v>90023082</v>
      </c>
      <c r="L1464" s="10" t="s">
        <v>101</v>
      </c>
      <c r="M1464" s="10" t="s">
        <v>102</v>
      </c>
      <c r="N1464" s="124" t="s">
        <v>156</v>
      </c>
      <c r="O1464" s="124" t="s">
        <v>156</v>
      </c>
      <c r="P1464" s="21">
        <v>37</v>
      </c>
      <c r="Q1464" s="10" t="s">
        <v>54</v>
      </c>
      <c r="R1464" s="10" t="s">
        <v>28</v>
      </c>
      <c r="S1464" s="10"/>
      <c r="T1464" s="10"/>
      <c r="U1464" s="10" t="s">
        <v>551</v>
      </c>
      <c r="V1464" s="10" t="s">
        <v>551</v>
      </c>
      <c r="W1464" s="50">
        <f>+J1464/$W$2</f>
        <v>1.7625428192812506E-4</v>
      </c>
    </row>
    <row r="1465" spans="1:23">
      <c r="A1465" s="10" t="s">
        <v>444</v>
      </c>
      <c r="B1465" s="10" t="s">
        <v>358</v>
      </c>
      <c r="C1465" s="124">
        <v>46365</v>
      </c>
      <c r="D1465" s="124" t="s">
        <v>471</v>
      </c>
      <c r="E1465" s="21">
        <v>0.96009686999999999</v>
      </c>
      <c r="F1465" s="10"/>
      <c r="G1465" s="14">
        <v>15000000</v>
      </c>
      <c r="H1465" s="14">
        <v>14401453.02</v>
      </c>
      <c r="I1465" s="14">
        <v>15000000</v>
      </c>
      <c r="J1465" s="14">
        <v>14401453.02</v>
      </c>
      <c r="K1465" s="12">
        <v>90023081</v>
      </c>
      <c r="L1465" s="10" t="s">
        <v>101</v>
      </c>
      <c r="M1465" s="10" t="s">
        <v>102</v>
      </c>
      <c r="N1465" s="124" t="s">
        <v>156</v>
      </c>
      <c r="O1465" s="124" t="s">
        <v>156</v>
      </c>
      <c r="P1465" s="21">
        <v>37</v>
      </c>
      <c r="Q1465" s="10" t="s">
        <v>54</v>
      </c>
      <c r="R1465" s="10" t="s">
        <v>28</v>
      </c>
      <c r="S1465" s="10"/>
      <c r="T1465" s="10"/>
      <c r="U1465" s="10" t="s">
        <v>553</v>
      </c>
      <c r="V1465" s="10" t="s">
        <v>553</v>
      </c>
      <c r="W1465" s="50">
        <f>+J1465/$W$2</f>
        <v>1.7625428192812506E-4</v>
      </c>
    </row>
    <row r="1466" spans="1:23">
      <c r="A1466" s="10" t="s">
        <v>3593</v>
      </c>
      <c r="B1466" s="10" t="s">
        <v>358</v>
      </c>
      <c r="C1466" s="124">
        <v>46365</v>
      </c>
      <c r="D1466" s="124" t="s">
        <v>471</v>
      </c>
      <c r="E1466" s="21">
        <v>0.96634998999999999</v>
      </c>
      <c r="F1466" s="10"/>
      <c r="G1466" s="14">
        <v>4372371.08</v>
      </c>
      <c r="H1466" s="14">
        <v>4225240.74</v>
      </c>
      <c r="I1466" s="14">
        <v>4372371.08</v>
      </c>
      <c r="J1466" s="14">
        <v>4225240.74</v>
      </c>
      <c r="K1466" s="12">
        <v>90001387</v>
      </c>
      <c r="L1466" s="10" t="s">
        <v>101</v>
      </c>
      <c r="M1466" s="10" t="s">
        <v>102</v>
      </c>
      <c r="N1466" s="124" t="s">
        <v>451</v>
      </c>
      <c r="O1466" s="124" t="s">
        <v>451</v>
      </c>
      <c r="P1466" s="21">
        <v>31</v>
      </c>
      <c r="Q1466" s="10" t="s">
        <v>54</v>
      </c>
      <c r="R1466" s="10" t="s">
        <v>28</v>
      </c>
      <c r="S1466" s="10"/>
      <c r="T1466" s="10"/>
      <c r="U1466" s="10" t="s">
        <v>3443</v>
      </c>
      <c r="V1466" s="10" t="s">
        <v>3443</v>
      </c>
      <c r="W1466" s="50">
        <f>+J1466/$W$2</f>
        <v>5.1711224663784646E-5</v>
      </c>
    </row>
    <row r="1467" spans="1:23">
      <c r="A1467" s="10" t="s">
        <v>3404</v>
      </c>
      <c r="B1467" s="10" t="s">
        <v>358</v>
      </c>
      <c r="C1467" s="124">
        <v>46365</v>
      </c>
      <c r="D1467" s="124" t="s">
        <v>471</v>
      </c>
      <c r="E1467" s="21">
        <v>0.96217213999999995</v>
      </c>
      <c r="F1467" s="10"/>
      <c r="G1467" s="14">
        <v>9712653.25</v>
      </c>
      <c r="H1467" s="14">
        <v>9345244.4000000004</v>
      </c>
      <c r="I1467" s="14">
        <v>9712653.25</v>
      </c>
      <c r="J1467" s="14">
        <v>9345244.4000000004</v>
      </c>
      <c r="K1467" s="12">
        <v>896</v>
      </c>
      <c r="L1467" s="10" t="s">
        <v>101</v>
      </c>
      <c r="M1467" s="10" t="s">
        <v>102</v>
      </c>
      <c r="N1467" s="124" t="s">
        <v>475</v>
      </c>
      <c r="O1467" s="124" t="s">
        <v>475</v>
      </c>
      <c r="P1467" s="21">
        <v>35</v>
      </c>
      <c r="Q1467" s="10" t="s">
        <v>54</v>
      </c>
      <c r="R1467" s="10" t="s">
        <v>28</v>
      </c>
      <c r="S1467" s="10"/>
      <c r="T1467" s="10"/>
      <c r="U1467" s="10" t="s">
        <v>3347</v>
      </c>
      <c r="V1467" s="10" t="s">
        <v>3347</v>
      </c>
      <c r="W1467" s="50">
        <f>+J1467/$W$2</f>
        <v>1.1437313574382873E-4</v>
      </c>
    </row>
    <row r="1468" spans="1:23">
      <c r="A1468" s="10" t="s">
        <v>596</v>
      </c>
      <c r="B1468" s="10" t="s">
        <v>358</v>
      </c>
      <c r="C1468" s="124">
        <v>46365</v>
      </c>
      <c r="D1468" s="124" t="s">
        <v>471</v>
      </c>
      <c r="E1468" s="21">
        <v>0.96530203999999997</v>
      </c>
      <c r="F1468" s="10"/>
      <c r="G1468" s="14">
        <v>10415009</v>
      </c>
      <c r="H1468" s="14">
        <v>10053629.41</v>
      </c>
      <c r="I1468" s="14">
        <v>10415009</v>
      </c>
      <c r="J1468" s="14">
        <v>10053629.41</v>
      </c>
      <c r="K1468" s="12">
        <v>99486327</v>
      </c>
      <c r="L1468" s="10" t="s">
        <v>101</v>
      </c>
      <c r="M1468" s="10" t="s">
        <v>102</v>
      </c>
      <c r="N1468" s="124" t="s">
        <v>603</v>
      </c>
      <c r="O1468" s="124" t="s">
        <v>603</v>
      </c>
      <c r="P1468" s="21">
        <v>32</v>
      </c>
      <c r="Q1468" s="10" t="s">
        <v>54</v>
      </c>
      <c r="R1468" s="10" t="s">
        <v>28</v>
      </c>
      <c r="S1468" s="10"/>
      <c r="T1468" s="10"/>
      <c r="U1468" s="10" t="s">
        <v>2634</v>
      </c>
      <c r="V1468" s="10" t="s">
        <v>2634</v>
      </c>
      <c r="W1468" s="50">
        <f>+J1468/$W$2</f>
        <v>1.2304280894227644E-4</v>
      </c>
    </row>
    <row r="1469" spans="1:23">
      <c r="A1469" s="10" t="s">
        <v>359</v>
      </c>
      <c r="B1469" s="10" t="s">
        <v>358</v>
      </c>
      <c r="C1469" s="124">
        <v>46365</v>
      </c>
      <c r="D1469" s="124" t="s">
        <v>471</v>
      </c>
      <c r="E1469" s="21">
        <v>0.96740015999999995</v>
      </c>
      <c r="F1469" s="10"/>
      <c r="G1469" s="14">
        <v>10500000</v>
      </c>
      <c r="H1469" s="14">
        <v>10157701.689999999</v>
      </c>
      <c r="I1469" s="14">
        <v>10500000</v>
      </c>
      <c r="J1469" s="14">
        <v>10157701.689999999</v>
      </c>
      <c r="K1469" s="12">
        <v>1449</v>
      </c>
      <c r="L1469" s="10" t="s">
        <v>101</v>
      </c>
      <c r="M1469" s="10" t="s">
        <v>102</v>
      </c>
      <c r="N1469" s="124" t="s">
        <v>471</v>
      </c>
      <c r="O1469" s="124" t="s">
        <v>471</v>
      </c>
      <c r="P1469" s="21">
        <v>30</v>
      </c>
      <c r="Q1469" s="10" t="s">
        <v>54</v>
      </c>
      <c r="R1469" s="10" t="s">
        <v>28</v>
      </c>
      <c r="S1469" s="10"/>
      <c r="T1469" s="10"/>
      <c r="U1469" s="10" t="s">
        <v>4119</v>
      </c>
      <c r="V1469" s="10" t="s">
        <v>4119</v>
      </c>
      <c r="W1469" s="50">
        <f>+J1469/$W$2</f>
        <v>1.2431651271053846E-4</v>
      </c>
    </row>
    <row r="1470" spans="1:23">
      <c r="A1470" s="10" t="s">
        <v>359</v>
      </c>
      <c r="B1470" s="10" t="s">
        <v>358</v>
      </c>
      <c r="C1470" s="124">
        <v>46365</v>
      </c>
      <c r="D1470" s="124" t="s">
        <v>471</v>
      </c>
      <c r="E1470" s="21">
        <v>0.96740008</v>
      </c>
      <c r="F1470" s="10"/>
      <c r="G1470" s="14">
        <v>10000000</v>
      </c>
      <c r="H1470" s="14">
        <v>9674000.8200000003</v>
      </c>
      <c r="I1470" s="14">
        <v>10000000</v>
      </c>
      <c r="J1470" s="14">
        <v>9674000.8200000003</v>
      </c>
      <c r="K1470" s="12">
        <v>1444</v>
      </c>
      <c r="L1470" s="10" t="s">
        <v>101</v>
      </c>
      <c r="M1470" s="10" t="s">
        <v>102</v>
      </c>
      <c r="N1470" s="124" t="s">
        <v>469</v>
      </c>
      <c r="O1470" s="124" t="s">
        <v>469</v>
      </c>
      <c r="P1470" s="21">
        <v>30</v>
      </c>
      <c r="Q1470" s="10" t="s">
        <v>54</v>
      </c>
      <c r="R1470" s="10" t="s">
        <v>28</v>
      </c>
      <c r="S1470" s="10"/>
      <c r="T1470" s="10"/>
      <c r="U1470" s="10" t="s">
        <v>3968</v>
      </c>
      <c r="V1470" s="10" t="s">
        <v>3968</v>
      </c>
      <c r="W1470" s="50">
        <f>+J1470/$W$2</f>
        <v>1.1839666910923918E-4</v>
      </c>
    </row>
    <row r="1471" spans="1:23">
      <c r="A1471" s="10" t="s">
        <v>2967</v>
      </c>
      <c r="B1471" s="10" t="s">
        <v>358</v>
      </c>
      <c r="C1471" s="124">
        <v>46365</v>
      </c>
      <c r="D1471" s="124" t="s">
        <v>471</v>
      </c>
      <c r="E1471" s="21">
        <v>0.96739995000000001</v>
      </c>
      <c r="F1471" s="10"/>
      <c r="G1471" s="14">
        <v>2750000</v>
      </c>
      <c r="H1471" s="14">
        <v>2660349.87</v>
      </c>
      <c r="I1471" s="14">
        <v>2750000</v>
      </c>
      <c r="J1471" s="14">
        <v>2660349.87</v>
      </c>
      <c r="K1471" s="12">
        <v>655</v>
      </c>
      <c r="L1471" s="10" t="s">
        <v>101</v>
      </c>
      <c r="M1471" s="10" t="s">
        <v>102</v>
      </c>
      <c r="N1471" s="124" t="s">
        <v>411</v>
      </c>
      <c r="O1471" s="124" t="s">
        <v>411</v>
      </c>
      <c r="P1471" s="21">
        <v>30</v>
      </c>
      <c r="Q1471" s="10" t="s">
        <v>54</v>
      </c>
      <c r="R1471" s="10" t="s">
        <v>28</v>
      </c>
      <c r="S1471" s="10"/>
      <c r="T1471" s="10"/>
      <c r="U1471" s="10" t="s">
        <v>2912</v>
      </c>
      <c r="V1471" s="10" t="s">
        <v>2912</v>
      </c>
      <c r="W1471" s="50">
        <f>+J1471/$W$2</f>
        <v>3.2559079654202204E-5</v>
      </c>
    </row>
    <row r="1472" spans="1:23">
      <c r="A1472" s="10" t="s">
        <v>270</v>
      </c>
      <c r="B1472" s="10" t="s">
        <v>358</v>
      </c>
      <c r="C1472" s="124">
        <v>46365</v>
      </c>
      <c r="D1472" s="124" t="s">
        <v>471</v>
      </c>
      <c r="E1472" s="21">
        <v>0.96845236000000001</v>
      </c>
      <c r="F1472" s="10"/>
      <c r="G1472" s="14">
        <v>8106418.25</v>
      </c>
      <c r="H1472" s="14">
        <v>7850679.9199999999</v>
      </c>
      <c r="I1472" s="14">
        <v>8106418.25</v>
      </c>
      <c r="J1472" s="14">
        <v>7850679.9199999999</v>
      </c>
      <c r="K1472" s="12">
        <v>90000807</v>
      </c>
      <c r="L1472" s="10" t="s">
        <v>101</v>
      </c>
      <c r="M1472" s="10" t="s">
        <v>102</v>
      </c>
      <c r="N1472" s="124" t="s">
        <v>333</v>
      </c>
      <c r="O1472" s="124" t="s">
        <v>333</v>
      </c>
      <c r="P1472" s="21">
        <v>29</v>
      </c>
      <c r="Q1472" s="10" t="s">
        <v>54</v>
      </c>
      <c r="R1472" s="10" t="s">
        <v>28</v>
      </c>
      <c r="S1472" s="10"/>
      <c r="T1472" s="10"/>
      <c r="U1472" s="10" t="s">
        <v>646</v>
      </c>
      <c r="V1472" s="10" t="s">
        <v>646</v>
      </c>
      <c r="W1472" s="50">
        <f>+J1472/$W$2</f>
        <v>9.6081690508972718E-5</v>
      </c>
    </row>
    <row r="1473" spans="1:29">
      <c r="A1473" s="10" t="s">
        <v>334</v>
      </c>
      <c r="B1473" s="10" t="s">
        <v>358</v>
      </c>
      <c r="C1473" s="124">
        <v>46366</v>
      </c>
      <c r="D1473" s="124" t="s">
        <v>471</v>
      </c>
      <c r="E1473" s="21">
        <v>0.96022313000000004</v>
      </c>
      <c r="F1473" s="10"/>
      <c r="G1473" s="14">
        <v>3105640.28</v>
      </c>
      <c r="H1473" s="14">
        <v>2982107.62</v>
      </c>
      <c r="I1473" s="14">
        <v>3105640.28</v>
      </c>
      <c r="J1473" s="14">
        <v>2982107.62</v>
      </c>
      <c r="K1473" s="12">
        <v>3391</v>
      </c>
      <c r="L1473" s="10" t="s">
        <v>101</v>
      </c>
      <c r="M1473" s="10" t="s">
        <v>102</v>
      </c>
      <c r="N1473" s="124" t="s">
        <v>486</v>
      </c>
      <c r="O1473" s="124" t="s">
        <v>486</v>
      </c>
      <c r="P1473" s="21">
        <v>36</v>
      </c>
      <c r="Q1473" s="10" t="s">
        <v>54</v>
      </c>
      <c r="R1473" s="10" t="s">
        <v>28</v>
      </c>
      <c r="S1473" s="10"/>
      <c r="T1473" s="10"/>
      <c r="U1473" s="10" t="s">
        <v>1472</v>
      </c>
      <c r="V1473" s="10" t="s">
        <v>1472</v>
      </c>
      <c r="W1473" s="50">
        <f>+J1473/$W$2</f>
        <v>3.6496958776697803E-5</v>
      </c>
      <c r="AC1473" s="47"/>
    </row>
    <row r="1474" spans="1:29">
      <c r="A1474" s="10" t="s">
        <v>334</v>
      </c>
      <c r="B1474" s="10" t="s">
        <v>358</v>
      </c>
      <c r="C1474" s="124">
        <v>46366</v>
      </c>
      <c r="D1474" s="124" t="s">
        <v>471</v>
      </c>
      <c r="E1474" s="21">
        <v>0.96022313999999998</v>
      </c>
      <c r="F1474" s="10"/>
      <c r="G1474" s="14">
        <v>2874176.47</v>
      </c>
      <c r="H1474" s="14">
        <v>2759850.75</v>
      </c>
      <c r="I1474" s="14">
        <v>2874176.47</v>
      </c>
      <c r="J1474" s="14">
        <v>2759850.75</v>
      </c>
      <c r="K1474" s="12">
        <v>3439</v>
      </c>
      <c r="L1474" s="10" t="s">
        <v>101</v>
      </c>
      <c r="M1474" s="10" t="s">
        <v>102</v>
      </c>
      <c r="N1474" s="124" t="s">
        <v>487</v>
      </c>
      <c r="O1474" s="124" t="s">
        <v>487</v>
      </c>
      <c r="P1474" s="21">
        <v>36</v>
      </c>
      <c r="Q1474" s="10" t="s">
        <v>54</v>
      </c>
      <c r="R1474" s="10" t="s">
        <v>28</v>
      </c>
      <c r="S1474" s="10"/>
      <c r="T1474" s="10"/>
      <c r="U1474" s="10" t="s">
        <v>1566</v>
      </c>
      <c r="V1474" s="10" t="s">
        <v>1566</v>
      </c>
      <c r="W1474" s="50">
        <f>+J1474/$W$2</f>
        <v>3.3776835677241087E-5</v>
      </c>
    </row>
    <row r="1475" spans="1:29">
      <c r="A1475" s="10" t="s">
        <v>334</v>
      </c>
      <c r="B1475" s="10" t="s">
        <v>358</v>
      </c>
      <c r="C1475" s="124">
        <v>46366</v>
      </c>
      <c r="D1475" s="124" t="s">
        <v>471</v>
      </c>
      <c r="E1475" s="21">
        <v>0.96022313999999998</v>
      </c>
      <c r="F1475" s="10"/>
      <c r="G1475" s="14">
        <v>3841101.28</v>
      </c>
      <c r="H1475" s="14">
        <v>3688314.32</v>
      </c>
      <c r="I1475" s="14">
        <v>3841101.28</v>
      </c>
      <c r="J1475" s="14">
        <v>3688314.32</v>
      </c>
      <c r="K1475" s="12">
        <v>3369</v>
      </c>
      <c r="L1475" s="10" t="s">
        <v>101</v>
      </c>
      <c r="M1475" s="10" t="s">
        <v>102</v>
      </c>
      <c r="N1475" s="124" t="s">
        <v>487</v>
      </c>
      <c r="O1475" s="124" t="s">
        <v>487</v>
      </c>
      <c r="P1475" s="21">
        <v>36</v>
      </c>
      <c r="Q1475" s="10" t="s">
        <v>54</v>
      </c>
      <c r="R1475" s="10" t="s">
        <v>28</v>
      </c>
      <c r="S1475" s="10"/>
      <c r="T1475" s="10"/>
      <c r="U1475" s="10" t="s">
        <v>1567</v>
      </c>
      <c r="V1475" s="10" t="s">
        <v>1567</v>
      </c>
      <c r="W1475" s="50">
        <f>+J1475/$W$2</f>
        <v>4.5139972410701992E-5</v>
      </c>
    </row>
    <row r="1476" spans="1:29">
      <c r="A1476" s="10" t="s">
        <v>443</v>
      </c>
      <c r="B1476" s="10" t="s">
        <v>358</v>
      </c>
      <c r="C1476" s="124">
        <v>46366</v>
      </c>
      <c r="D1476" s="124" t="s">
        <v>471</v>
      </c>
      <c r="E1476" s="21">
        <v>0.96986790000000001</v>
      </c>
      <c r="F1476" s="10"/>
      <c r="G1476" s="14">
        <v>19375412.52</v>
      </c>
      <c r="H1476" s="14">
        <v>18791590.699999999</v>
      </c>
      <c r="I1476" s="14">
        <v>19375412.52</v>
      </c>
      <c r="J1476" s="14">
        <v>18791590.699999999</v>
      </c>
      <c r="K1476" s="12">
        <v>3287</v>
      </c>
      <c r="L1476" s="10" t="s">
        <v>101</v>
      </c>
      <c r="M1476" s="10" t="s">
        <v>102</v>
      </c>
      <c r="N1476" s="124" t="s">
        <v>474</v>
      </c>
      <c r="O1476" s="124" t="s">
        <v>474</v>
      </c>
      <c r="P1476" s="21">
        <v>27</v>
      </c>
      <c r="Q1476" s="10" t="s">
        <v>54</v>
      </c>
      <c r="R1476" s="10" t="s">
        <v>28</v>
      </c>
      <c r="S1476" s="10"/>
      <c r="T1476" s="10"/>
      <c r="U1476" s="10" t="s">
        <v>3860</v>
      </c>
      <c r="V1476" s="10" t="s">
        <v>3860</v>
      </c>
      <c r="W1476" s="50">
        <f>+J1476/$W$2</f>
        <v>2.2998362182732955E-4</v>
      </c>
    </row>
    <row r="1477" spans="1:29">
      <c r="A1477" s="10" t="s">
        <v>401</v>
      </c>
      <c r="B1477" s="10" t="s">
        <v>358</v>
      </c>
      <c r="C1477" s="124">
        <v>46366</v>
      </c>
      <c r="D1477" s="124" t="s">
        <v>471</v>
      </c>
      <c r="E1477" s="21">
        <v>0.96878651000000005</v>
      </c>
      <c r="F1477" s="10"/>
      <c r="G1477" s="14">
        <v>8400000</v>
      </c>
      <c r="H1477" s="14">
        <v>8137806.6600000001</v>
      </c>
      <c r="I1477" s="14">
        <v>8400000</v>
      </c>
      <c r="J1477" s="14">
        <v>8137806.6600000001</v>
      </c>
      <c r="K1477" s="12">
        <v>2453</v>
      </c>
      <c r="L1477" s="10" t="s">
        <v>101</v>
      </c>
      <c r="M1477" s="10" t="s">
        <v>102</v>
      </c>
      <c r="N1477" s="124" t="s">
        <v>408</v>
      </c>
      <c r="O1477" s="124" t="s">
        <v>408</v>
      </c>
      <c r="P1477" s="21">
        <v>28</v>
      </c>
      <c r="Q1477" s="10" t="s">
        <v>54</v>
      </c>
      <c r="R1477" s="10" t="s">
        <v>28</v>
      </c>
      <c r="S1477" s="10"/>
      <c r="T1477" s="10"/>
      <c r="U1477" s="10" t="s">
        <v>2055</v>
      </c>
      <c r="V1477" s="10" t="s">
        <v>2055</v>
      </c>
      <c r="W1477" s="50">
        <f>+J1477/$W$2</f>
        <v>9.9595732967798406E-5</v>
      </c>
    </row>
    <row r="1478" spans="1:29">
      <c r="A1478" s="10" t="s">
        <v>1424</v>
      </c>
      <c r="B1478" s="10" t="s">
        <v>358</v>
      </c>
      <c r="C1478" s="124">
        <v>46366</v>
      </c>
      <c r="D1478" s="124" t="s">
        <v>471</v>
      </c>
      <c r="E1478" s="21">
        <v>0.96448584000000004</v>
      </c>
      <c r="F1478" s="10"/>
      <c r="G1478" s="14">
        <v>13000000</v>
      </c>
      <c r="H1478" s="14">
        <v>12538315.9</v>
      </c>
      <c r="I1478" s="14">
        <v>13000000</v>
      </c>
      <c r="J1478" s="14">
        <v>12538315.9</v>
      </c>
      <c r="K1478" s="12">
        <v>1307</v>
      </c>
      <c r="L1478" s="10" t="s">
        <v>101</v>
      </c>
      <c r="M1478" s="10" t="s">
        <v>102</v>
      </c>
      <c r="N1478" s="124" t="s">
        <v>391</v>
      </c>
      <c r="O1478" s="124" t="s">
        <v>391</v>
      </c>
      <c r="P1478" s="21">
        <v>32</v>
      </c>
      <c r="Q1478" s="10" t="s">
        <v>54</v>
      </c>
      <c r="R1478" s="10" t="s">
        <v>28</v>
      </c>
      <c r="S1478" s="10"/>
      <c r="T1478" s="10"/>
      <c r="U1478" s="10" t="s">
        <v>1403</v>
      </c>
      <c r="V1478" s="10" t="s">
        <v>1403</v>
      </c>
      <c r="W1478" s="50">
        <f>+J1478/$W$2</f>
        <v>1.5345200671581217E-4</v>
      </c>
    </row>
    <row r="1479" spans="1:29">
      <c r="A1479" s="10" t="s">
        <v>1600</v>
      </c>
      <c r="B1479" s="10" t="s">
        <v>358</v>
      </c>
      <c r="C1479" s="124">
        <v>46366</v>
      </c>
      <c r="D1479" s="124" t="s">
        <v>471</v>
      </c>
      <c r="E1479" s="21">
        <v>0.96341661000000001</v>
      </c>
      <c r="F1479" s="10"/>
      <c r="G1479" s="14">
        <v>5000000</v>
      </c>
      <c r="H1479" s="14">
        <v>4817083.05</v>
      </c>
      <c r="I1479" s="14">
        <v>5000000</v>
      </c>
      <c r="J1479" s="14">
        <v>4817083.05</v>
      </c>
      <c r="K1479" s="12">
        <v>2876</v>
      </c>
      <c r="L1479" s="10" t="s">
        <v>101</v>
      </c>
      <c r="M1479" s="10" t="s">
        <v>102</v>
      </c>
      <c r="N1479" s="124" t="s">
        <v>487</v>
      </c>
      <c r="O1479" s="124" t="s">
        <v>487</v>
      </c>
      <c r="P1479" s="21">
        <v>33</v>
      </c>
      <c r="Q1479" s="10" t="s">
        <v>54</v>
      </c>
      <c r="R1479" s="10" t="s">
        <v>28</v>
      </c>
      <c r="S1479" s="10"/>
      <c r="T1479" s="10"/>
      <c r="U1479" s="10" t="s">
        <v>1559</v>
      </c>
      <c r="V1479" s="10" t="s">
        <v>1559</v>
      </c>
      <c r="W1479" s="50">
        <f>+J1479/$W$2</f>
        <v>5.8954573041123083E-5</v>
      </c>
    </row>
    <row r="1480" spans="1:29">
      <c r="A1480" s="10" t="s">
        <v>2758</v>
      </c>
      <c r="B1480" s="10" t="s">
        <v>358</v>
      </c>
      <c r="C1480" s="124">
        <v>46366</v>
      </c>
      <c r="D1480" s="124" t="s">
        <v>471</v>
      </c>
      <c r="E1480" s="21">
        <v>0.96878662000000004</v>
      </c>
      <c r="F1480" s="10"/>
      <c r="G1480" s="14">
        <v>1015657.35</v>
      </c>
      <c r="H1480" s="14">
        <v>983955.25</v>
      </c>
      <c r="I1480" s="14">
        <v>1015657.35</v>
      </c>
      <c r="J1480" s="14">
        <v>983955.25</v>
      </c>
      <c r="K1480" s="12">
        <v>729</v>
      </c>
      <c r="L1480" s="10" t="s">
        <v>101</v>
      </c>
      <c r="M1480" s="10" t="s">
        <v>102</v>
      </c>
      <c r="N1480" s="124" t="s">
        <v>411</v>
      </c>
      <c r="O1480" s="124" t="s">
        <v>411</v>
      </c>
      <c r="P1480" s="21">
        <v>28</v>
      </c>
      <c r="Q1480" s="10" t="s">
        <v>54</v>
      </c>
      <c r="R1480" s="10" t="s">
        <v>28</v>
      </c>
      <c r="S1480" s="10"/>
      <c r="T1480" s="10"/>
      <c r="U1480" s="10" t="s">
        <v>2928</v>
      </c>
      <c r="V1480" s="10" t="s">
        <v>2928</v>
      </c>
      <c r="W1480" s="50">
        <f>+J1480/$W$2</f>
        <v>1.2042279747558334E-5</v>
      </c>
    </row>
    <row r="1481" spans="1:29">
      <c r="A1481" s="10" t="s">
        <v>910</v>
      </c>
      <c r="B1481" s="10" t="s">
        <v>358</v>
      </c>
      <c r="C1481" s="124">
        <v>46366</v>
      </c>
      <c r="D1481" s="124" t="s">
        <v>471</v>
      </c>
      <c r="E1481" s="21">
        <v>0.96448584999999998</v>
      </c>
      <c r="F1481" s="10"/>
      <c r="G1481" s="14">
        <v>7360000</v>
      </c>
      <c r="H1481" s="14">
        <v>7098615.8399999999</v>
      </c>
      <c r="I1481" s="14">
        <v>7360000</v>
      </c>
      <c r="J1481" s="14">
        <v>7098615.8399999999</v>
      </c>
      <c r="K1481" s="12">
        <v>14822326</v>
      </c>
      <c r="L1481" s="10" t="s">
        <v>101</v>
      </c>
      <c r="M1481" s="10" t="s">
        <v>102</v>
      </c>
      <c r="N1481" s="124" t="s">
        <v>469</v>
      </c>
      <c r="O1481" s="124" t="s">
        <v>469</v>
      </c>
      <c r="P1481" s="21">
        <v>32</v>
      </c>
      <c r="Q1481" s="10" t="s">
        <v>54</v>
      </c>
      <c r="R1481" s="10" t="s">
        <v>28</v>
      </c>
      <c r="S1481" s="10"/>
      <c r="T1481" s="10"/>
      <c r="U1481" s="10" t="s">
        <v>4002</v>
      </c>
      <c r="V1481" s="10" t="s">
        <v>4002</v>
      </c>
      <c r="W1481" s="50">
        <f>+J1481/$W$2</f>
        <v>8.6877444645708005E-5</v>
      </c>
    </row>
    <row r="1482" spans="1:29">
      <c r="A1482" s="10" t="s">
        <v>948</v>
      </c>
      <c r="B1482" s="10" t="s">
        <v>358</v>
      </c>
      <c r="C1482" s="124">
        <v>46366</v>
      </c>
      <c r="D1482" s="124" t="s">
        <v>471</v>
      </c>
      <c r="E1482" s="21">
        <v>0.96878655000000002</v>
      </c>
      <c r="F1482" s="10"/>
      <c r="G1482" s="14">
        <v>15000000</v>
      </c>
      <c r="H1482" s="14">
        <v>14531798.210000001</v>
      </c>
      <c r="I1482" s="14">
        <v>15000000</v>
      </c>
      <c r="J1482" s="14">
        <v>14531798.210000001</v>
      </c>
      <c r="K1482" s="12">
        <v>2285661</v>
      </c>
      <c r="L1482" s="10" t="s">
        <v>101</v>
      </c>
      <c r="M1482" s="10" t="s">
        <v>102</v>
      </c>
      <c r="N1482" s="124" t="s">
        <v>485</v>
      </c>
      <c r="O1482" s="124" t="s">
        <v>485</v>
      </c>
      <c r="P1482" s="21">
        <v>28</v>
      </c>
      <c r="Q1482" s="10" t="s">
        <v>54</v>
      </c>
      <c r="R1482" s="10" t="s">
        <v>28</v>
      </c>
      <c r="S1482" s="10"/>
      <c r="T1482" s="10"/>
      <c r="U1482" s="10" t="s">
        <v>941</v>
      </c>
      <c r="V1482" s="10" t="s">
        <v>941</v>
      </c>
      <c r="W1482" s="50">
        <f>+J1482/$W$2</f>
        <v>1.7784953053493789E-4</v>
      </c>
    </row>
    <row r="1483" spans="1:29">
      <c r="A1483" s="10" t="s">
        <v>1765</v>
      </c>
      <c r="B1483" s="10" t="s">
        <v>358</v>
      </c>
      <c r="C1483" s="124">
        <v>46366</v>
      </c>
      <c r="D1483" s="124" t="s">
        <v>471</v>
      </c>
      <c r="E1483" s="21">
        <v>0.96341679000000002</v>
      </c>
      <c r="F1483" s="10"/>
      <c r="G1483" s="14">
        <v>546454.19999999995</v>
      </c>
      <c r="H1483" s="14">
        <v>526463.15</v>
      </c>
      <c r="I1483" s="14">
        <v>546454.19999999995</v>
      </c>
      <c r="J1483" s="14">
        <v>526463.15</v>
      </c>
      <c r="K1483" s="12">
        <v>19645</v>
      </c>
      <c r="L1483" s="10" t="s">
        <v>101</v>
      </c>
      <c r="M1483" s="10" t="s">
        <v>102</v>
      </c>
      <c r="N1483" s="124" t="s">
        <v>417</v>
      </c>
      <c r="O1483" s="124" t="s">
        <v>417</v>
      </c>
      <c r="P1483" s="21">
        <v>33</v>
      </c>
      <c r="Q1483" s="10" t="s">
        <v>54</v>
      </c>
      <c r="R1483" s="10" t="s">
        <v>28</v>
      </c>
      <c r="S1483" s="10"/>
      <c r="T1483" s="10"/>
      <c r="U1483" s="10" t="s">
        <v>3277</v>
      </c>
      <c r="V1483" s="10" t="s">
        <v>3277</v>
      </c>
      <c r="W1483" s="50">
        <f>+J1483/$W$2</f>
        <v>6.4431959980708116E-6</v>
      </c>
    </row>
    <row r="1484" spans="1:29">
      <c r="A1484" s="10" t="s">
        <v>1765</v>
      </c>
      <c r="B1484" s="10" t="s">
        <v>358</v>
      </c>
      <c r="C1484" s="124">
        <v>46366</v>
      </c>
      <c r="D1484" s="124" t="s">
        <v>471</v>
      </c>
      <c r="E1484" s="21">
        <v>0.96341679999999996</v>
      </c>
      <c r="F1484" s="10"/>
      <c r="G1484" s="14">
        <v>604613.32999999996</v>
      </c>
      <c r="H1484" s="14">
        <v>582494.64</v>
      </c>
      <c r="I1484" s="14">
        <v>604613.32999999996</v>
      </c>
      <c r="J1484" s="14">
        <v>582494.64</v>
      </c>
      <c r="K1484" s="12">
        <v>19718</v>
      </c>
      <c r="L1484" s="10" t="s">
        <v>101</v>
      </c>
      <c r="M1484" s="10" t="s">
        <v>102</v>
      </c>
      <c r="N1484" s="124" t="s">
        <v>417</v>
      </c>
      <c r="O1484" s="124" t="s">
        <v>417</v>
      </c>
      <c r="P1484" s="21">
        <v>33</v>
      </c>
      <c r="Q1484" s="10" t="s">
        <v>54</v>
      </c>
      <c r="R1484" s="10" t="s">
        <v>28</v>
      </c>
      <c r="S1484" s="10"/>
      <c r="T1484" s="10"/>
      <c r="U1484" s="10" t="s">
        <v>3286</v>
      </c>
      <c r="V1484" s="10" t="s">
        <v>3286</v>
      </c>
      <c r="W1484" s="50">
        <f>+J1484/$W$2</f>
        <v>7.1289455555354602E-6</v>
      </c>
    </row>
    <row r="1485" spans="1:29">
      <c r="A1485" s="10" t="s">
        <v>582</v>
      </c>
      <c r="B1485" s="10" t="s">
        <v>358</v>
      </c>
      <c r="C1485" s="124">
        <v>46366</v>
      </c>
      <c r="D1485" s="124" t="s">
        <v>471</v>
      </c>
      <c r="E1485" s="21">
        <v>0.96022315000000003</v>
      </c>
      <c r="F1485" s="10"/>
      <c r="G1485" s="14">
        <v>11500000</v>
      </c>
      <c r="H1485" s="14">
        <v>11042566.189999999</v>
      </c>
      <c r="I1485" s="14">
        <v>11500000</v>
      </c>
      <c r="J1485" s="14">
        <v>11042566.189999999</v>
      </c>
      <c r="K1485" s="12">
        <v>10468668</v>
      </c>
      <c r="L1485" s="10" t="s">
        <v>101</v>
      </c>
      <c r="M1485" s="10" t="s">
        <v>102</v>
      </c>
      <c r="N1485" s="124" t="s">
        <v>275</v>
      </c>
      <c r="O1485" s="124" t="s">
        <v>275</v>
      </c>
      <c r="P1485" s="21">
        <v>36</v>
      </c>
      <c r="Q1485" s="10" t="s">
        <v>54</v>
      </c>
      <c r="R1485" s="10" t="s">
        <v>28</v>
      </c>
      <c r="S1485" s="10"/>
      <c r="T1485" s="10"/>
      <c r="U1485" s="10" t="s">
        <v>837</v>
      </c>
      <c r="V1485" s="10" t="s">
        <v>837</v>
      </c>
      <c r="W1485" s="50">
        <f>+J1485/$W$2</f>
        <v>1.3514605587084308E-4</v>
      </c>
    </row>
    <row r="1486" spans="1:29">
      <c r="A1486" s="10" t="s">
        <v>286</v>
      </c>
      <c r="B1486" s="10" t="s">
        <v>358</v>
      </c>
      <c r="C1486" s="124">
        <v>46366</v>
      </c>
      <c r="D1486" s="124" t="s">
        <v>471</v>
      </c>
      <c r="E1486" s="21">
        <v>0.96448595999999998</v>
      </c>
      <c r="F1486" s="10"/>
      <c r="G1486" s="14">
        <v>6000000</v>
      </c>
      <c r="H1486" s="14">
        <v>5786915.7400000002</v>
      </c>
      <c r="I1486" s="14">
        <v>6000000</v>
      </c>
      <c r="J1486" s="14">
        <v>5786915.7400000002</v>
      </c>
      <c r="K1486" s="12">
        <v>40789621</v>
      </c>
      <c r="L1486" s="10" t="s">
        <v>101</v>
      </c>
      <c r="M1486" s="10" t="s">
        <v>102</v>
      </c>
      <c r="N1486" s="124" t="s">
        <v>412</v>
      </c>
      <c r="O1486" s="124" t="s">
        <v>412</v>
      </c>
      <c r="P1486" s="21">
        <v>32</v>
      </c>
      <c r="Q1486" s="10" t="s">
        <v>54</v>
      </c>
      <c r="R1486" s="10" t="s">
        <v>28</v>
      </c>
      <c r="S1486" s="10"/>
      <c r="T1486" s="10"/>
      <c r="U1486" s="10" t="s">
        <v>2812</v>
      </c>
      <c r="V1486" s="10" t="s">
        <v>2812</v>
      </c>
      <c r="W1486" s="50">
        <f>+J1486/$W$2</f>
        <v>7.082401177962976E-5</v>
      </c>
    </row>
    <row r="1487" spans="1:29">
      <c r="A1487" s="10" t="s">
        <v>444</v>
      </c>
      <c r="B1487" s="10" t="s">
        <v>358</v>
      </c>
      <c r="C1487" s="124">
        <v>46366</v>
      </c>
      <c r="D1487" s="124" t="s">
        <v>471</v>
      </c>
      <c r="E1487" s="21">
        <v>0.95916334000000003</v>
      </c>
      <c r="F1487" s="10"/>
      <c r="G1487" s="14">
        <v>15000000</v>
      </c>
      <c r="H1487" s="14">
        <v>14387450.16</v>
      </c>
      <c r="I1487" s="14">
        <v>15000000</v>
      </c>
      <c r="J1487" s="14">
        <v>14387450.16</v>
      </c>
      <c r="K1487" s="12">
        <v>90023083</v>
      </c>
      <c r="L1487" s="10" t="s">
        <v>101</v>
      </c>
      <c r="M1487" s="10" t="s">
        <v>102</v>
      </c>
      <c r="N1487" s="124" t="s">
        <v>156</v>
      </c>
      <c r="O1487" s="124" t="s">
        <v>156</v>
      </c>
      <c r="P1487" s="21">
        <v>37</v>
      </c>
      <c r="Q1487" s="10" t="s">
        <v>54</v>
      </c>
      <c r="R1487" s="10" t="s">
        <v>28</v>
      </c>
      <c r="S1487" s="10"/>
      <c r="T1487" s="10"/>
      <c r="U1487" s="10" t="s">
        <v>554</v>
      </c>
      <c r="V1487" s="10" t="s">
        <v>554</v>
      </c>
      <c r="W1487" s="50">
        <f>+J1487/$W$2</f>
        <v>1.7608290588497078E-4</v>
      </c>
    </row>
    <row r="1488" spans="1:29">
      <c r="A1488" s="10" t="s">
        <v>3585</v>
      </c>
      <c r="B1488" s="10" t="s">
        <v>358</v>
      </c>
      <c r="C1488" s="124">
        <v>46366</v>
      </c>
      <c r="D1488" s="124" t="s">
        <v>471</v>
      </c>
      <c r="E1488" s="21">
        <v>0.96663133000000001</v>
      </c>
      <c r="F1488" s="10"/>
      <c r="G1488" s="14">
        <v>135000</v>
      </c>
      <c r="H1488" s="14">
        <v>130495.23</v>
      </c>
      <c r="I1488" s="14">
        <v>135000</v>
      </c>
      <c r="J1488" s="14">
        <v>130495.23</v>
      </c>
      <c r="K1488" s="12">
        <v>90000070</v>
      </c>
      <c r="L1488" s="10" t="s">
        <v>101</v>
      </c>
      <c r="M1488" s="10" t="s">
        <v>102</v>
      </c>
      <c r="N1488" s="124" t="s">
        <v>451</v>
      </c>
      <c r="O1488" s="124" t="s">
        <v>451</v>
      </c>
      <c r="P1488" s="21">
        <v>30</v>
      </c>
      <c r="Q1488" s="10" t="s">
        <v>54</v>
      </c>
      <c r="R1488" s="10" t="s">
        <v>28</v>
      </c>
      <c r="S1488" s="10"/>
      <c r="T1488" s="10"/>
      <c r="U1488" s="10" t="s">
        <v>3522</v>
      </c>
      <c r="V1488" s="10" t="s">
        <v>3522</v>
      </c>
      <c r="W1488" s="50">
        <f>+J1488/$W$2</f>
        <v>1.5970848932224983E-6</v>
      </c>
    </row>
    <row r="1489" spans="1:29">
      <c r="A1489" s="10" t="s">
        <v>3587</v>
      </c>
      <c r="B1489" s="10" t="s">
        <v>358</v>
      </c>
      <c r="C1489" s="124">
        <v>46366</v>
      </c>
      <c r="D1489" s="124" t="s">
        <v>471</v>
      </c>
      <c r="E1489" s="21">
        <v>0.96663142000000002</v>
      </c>
      <c r="F1489" s="10"/>
      <c r="G1489" s="14">
        <v>3392865</v>
      </c>
      <c r="H1489" s="14">
        <v>3279649.93</v>
      </c>
      <c r="I1489" s="14">
        <v>3392865</v>
      </c>
      <c r="J1489" s="14">
        <v>3279649.93</v>
      </c>
      <c r="K1489" s="12">
        <v>12700536</v>
      </c>
      <c r="L1489" s="10" t="s">
        <v>101</v>
      </c>
      <c r="M1489" s="10" t="s">
        <v>102</v>
      </c>
      <c r="N1489" s="124" t="s">
        <v>451</v>
      </c>
      <c r="O1489" s="124" t="s">
        <v>451</v>
      </c>
      <c r="P1489" s="21">
        <v>30</v>
      </c>
      <c r="Q1489" s="10" t="s">
        <v>54</v>
      </c>
      <c r="R1489" s="10" t="s">
        <v>28</v>
      </c>
      <c r="S1489" s="10"/>
      <c r="T1489" s="10"/>
      <c r="U1489" s="10" t="s">
        <v>3526</v>
      </c>
      <c r="V1489" s="10" t="s">
        <v>3526</v>
      </c>
      <c r="W1489" s="50">
        <f>+J1489/$W$2</f>
        <v>4.0138473707132623E-5</v>
      </c>
    </row>
    <row r="1490" spans="1:29">
      <c r="A1490" s="10" t="s">
        <v>184</v>
      </c>
      <c r="B1490" s="10" t="s">
        <v>358</v>
      </c>
      <c r="C1490" s="124">
        <v>46366</v>
      </c>
      <c r="D1490" s="124" t="s">
        <v>471</v>
      </c>
      <c r="E1490" s="21">
        <v>0.9591634</v>
      </c>
      <c r="F1490" s="10"/>
      <c r="G1490" s="14">
        <v>10000000</v>
      </c>
      <c r="H1490" s="14">
        <v>9591633.9800000004</v>
      </c>
      <c r="I1490" s="14">
        <v>10000000</v>
      </c>
      <c r="J1490" s="14">
        <v>9591633.9800000004</v>
      </c>
      <c r="K1490" s="12">
        <v>16877648</v>
      </c>
      <c r="L1490" s="10" t="s">
        <v>101</v>
      </c>
      <c r="M1490" s="10" t="s">
        <v>102</v>
      </c>
      <c r="N1490" s="124" t="s">
        <v>413</v>
      </c>
      <c r="O1490" s="124" t="s">
        <v>413</v>
      </c>
      <c r="P1490" s="21">
        <v>37</v>
      </c>
      <c r="Q1490" s="10" t="s">
        <v>54</v>
      </c>
      <c r="R1490" s="10" t="s">
        <v>28</v>
      </c>
      <c r="S1490" s="10"/>
      <c r="T1490" s="10"/>
      <c r="U1490" s="10" t="s">
        <v>2893</v>
      </c>
      <c r="V1490" s="10" t="s">
        <v>2893</v>
      </c>
      <c r="W1490" s="50">
        <f>+J1490/$W$2</f>
        <v>1.1738861053218257E-4</v>
      </c>
    </row>
    <row r="1491" spans="1:29">
      <c r="A1491" s="10" t="s">
        <v>621</v>
      </c>
      <c r="B1491" s="10" t="s">
        <v>358</v>
      </c>
      <c r="C1491" s="124">
        <v>46366</v>
      </c>
      <c r="D1491" s="124" t="s">
        <v>471</v>
      </c>
      <c r="E1491" s="21">
        <v>0.96986779999999995</v>
      </c>
      <c r="F1491" s="10"/>
      <c r="G1491" s="14">
        <v>33250000</v>
      </c>
      <c r="H1491" s="14">
        <v>32248104.300000001</v>
      </c>
      <c r="I1491" s="14">
        <v>33250000</v>
      </c>
      <c r="J1491" s="14">
        <v>32248104.300000001</v>
      </c>
      <c r="K1491" s="12">
        <v>32242</v>
      </c>
      <c r="L1491" s="10" t="s">
        <v>101</v>
      </c>
      <c r="M1491" s="10" t="s">
        <v>102</v>
      </c>
      <c r="N1491" s="124" t="s">
        <v>397</v>
      </c>
      <c r="O1491" s="124" t="s">
        <v>397</v>
      </c>
      <c r="P1491" s="21">
        <v>27</v>
      </c>
      <c r="Q1491" s="10" t="s">
        <v>54</v>
      </c>
      <c r="R1491" s="10" t="s">
        <v>28</v>
      </c>
      <c r="S1491" s="10"/>
      <c r="T1491" s="10"/>
      <c r="U1491" s="10" t="s">
        <v>1857</v>
      </c>
      <c r="V1491" s="10" t="s">
        <v>1857</v>
      </c>
      <c r="W1491" s="50">
        <f>+J1491/$W$2</f>
        <v>3.9467312493026368E-4</v>
      </c>
    </row>
    <row r="1492" spans="1:29">
      <c r="A1492" s="10" t="s">
        <v>3410</v>
      </c>
      <c r="B1492" s="10" t="s">
        <v>358</v>
      </c>
      <c r="C1492" s="124">
        <v>46366</v>
      </c>
      <c r="D1492" s="124" t="s">
        <v>471</v>
      </c>
      <c r="E1492" s="21">
        <v>0.96448590999999995</v>
      </c>
      <c r="F1492" s="10"/>
      <c r="G1492" s="14">
        <v>144800</v>
      </c>
      <c r="H1492" s="14">
        <v>139657.56</v>
      </c>
      <c r="I1492" s="14">
        <v>144800</v>
      </c>
      <c r="J1492" s="14">
        <v>139657.56</v>
      </c>
      <c r="K1492" s="12">
        <v>9810</v>
      </c>
      <c r="L1492" s="10" t="s">
        <v>101</v>
      </c>
      <c r="M1492" s="10" t="s">
        <v>102</v>
      </c>
      <c r="N1492" s="124" t="s">
        <v>475</v>
      </c>
      <c r="O1492" s="124" t="s">
        <v>475</v>
      </c>
      <c r="P1492" s="21">
        <v>32</v>
      </c>
      <c r="Q1492" s="10" t="s">
        <v>54</v>
      </c>
      <c r="R1492" s="10" t="s">
        <v>28</v>
      </c>
      <c r="S1492" s="10"/>
      <c r="T1492" s="10"/>
      <c r="U1492" s="10" t="s">
        <v>3372</v>
      </c>
      <c r="V1492" s="10" t="s">
        <v>3372</v>
      </c>
      <c r="W1492" s="50">
        <f>+J1492/$W$2</f>
        <v>1.7092194044204883E-6</v>
      </c>
    </row>
    <row r="1493" spans="1:29">
      <c r="A1493" s="10" t="s">
        <v>3410</v>
      </c>
      <c r="B1493" s="10" t="s">
        <v>358</v>
      </c>
      <c r="C1493" s="124">
        <v>46366</v>
      </c>
      <c r="D1493" s="124" t="s">
        <v>471</v>
      </c>
      <c r="E1493" s="21">
        <v>0.96448595999999998</v>
      </c>
      <c r="F1493" s="10"/>
      <c r="G1493" s="14">
        <v>465943</v>
      </c>
      <c r="H1493" s="14">
        <v>449395.48</v>
      </c>
      <c r="I1493" s="14">
        <v>465943</v>
      </c>
      <c r="J1493" s="14">
        <v>449395.48</v>
      </c>
      <c r="K1493" s="12">
        <v>9520</v>
      </c>
      <c r="L1493" s="10" t="s">
        <v>101</v>
      </c>
      <c r="M1493" s="10" t="s">
        <v>102</v>
      </c>
      <c r="N1493" s="124" t="s">
        <v>475</v>
      </c>
      <c r="O1493" s="124" t="s">
        <v>475</v>
      </c>
      <c r="P1493" s="21">
        <v>32</v>
      </c>
      <c r="Q1493" s="10" t="s">
        <v>54</v>
      </c>
      <c r="R1493" s="10" t="s">
        <v>28</v>
      </c>
      <c r="S1493" s="10"/>
      <c r="T1493" s="10"/>
      <c r="U1493" s="10" t="s">
        <v>3373</v>
      </c>
      <c r="V1493" s="10" t="s">
        <v>3373</v>
      </c>
      <c r="W1493" s="50">
        <f>+J1493/$W$2</f>
        <v>5.4999920854614634E-6</v>
      </c>
    </row>
    <row r="1494" spans="1:29">
      <c r="A1494" s="10" t="s">
        <v>438</v>
      </c>
      <c r="B1494" s="10" t="s">
        <v>358</v>
      </c>
      <c r="C1494" s="124">
        <v>46366</v>
      </c>
      <c r="D1494" s="124" t="s">
        <v>471</v>
      </c>
      <c r="E1494" s="21">
        <v>0.97095138999999997</v>
      </c>
      <c r="F1494" s="10"/>
      <c r="G1494" s="14">
        <v>11474356</v>
      </c>
      <c r="H1494" s="14">
        <v>11141041.869999999</v>
      </c>
      <c r="I1494" s="14">
        <v>11474356</v>
      </c>
      <c r="J1494" s="14">
        <v>11141041.869999999</v>
      </c>
      <c r="K1494" s="12">
        <v>88</v>
      </c>
      <c r="L1494" s="10" t="s">
        <v>101</v>
      </c>
      <c r="M1494" s="10" t="s">
        <v>102</v>
      </c>
      <c r="N1494" s="124" t="s">
        <v>471</v>
      </c>
      <c r="O1494" s="124" t="s">
        <v>471</v>
      </c>
      <c r="P1494" s="21">
        <v>26</v>
      </c>
      <c r="Q1494" s="10" t="s">
        <v>54</v>
      </c>
      <c r="R1494" s="10" t="s">
        <v>28</v>
      </c>
      <c r="S1494" s="10"/>
      <c r="T1494" s="10"/>
      <c r="U1494" s="10" t="s">
        <v>4065</v>
      </c>
      <c r="V1494" s="10" t="s">
        <v>4065</v>
      </c>
      <c r="W1494" s="50">
        <f>+J1494/$W$2</f>
        <v>1.3635126483424974E-4</v>
      </c>
    </row>
    <row r="1495" spans="1:29">
      <c r="A1495" s="10" t="s">
        <v>359</v>
      </c>
      <c r="B1495" s="10" t="s">
        <v>358</v>
      </c>
      <c r="C1495" s="124">
        <v>46366</v>
      </c>
      <c r="D1495" s="124" t="s">
        <v>471</v>
      </c>
      <c r="E1495" s="21">
        <v>0.96663142000000002</v>
      </c>
      <c r="F1495" s="10"/>
      <c r="G1495" s="14">
        <v>10000000</v>
      </c>
      <c r="H1495" s="14">
        <v>9666314.1600000001</v>
      </c>
      <c r="I1495" s="14">
        <v>10000000</v>
      </c>
      <c r="J1495" s="14">
        <v>9666314.1600000001</v>
      </c>
      <c r="K1495" s="12">
        <v>1445</v>
      </c>
      <c r="L1495" s="10" t="s">
        <v>101</v>
      </c>
      <c r="M1495" s="10" t="s">
        <v>102</v>
      </c>
      <c r="N1495" s="124" t="s">
        <v>469</v>
      </c>
      <c r="O1495" s="124" t="s">
        <v>469</v>
      </c>
      <c r="P1495" s="21">
        <v>30</v>
      </c>
      <c r="Q1495" s="10" t="s">
        <v>54</v>
      </c>
      <c r="R1495" s="10" t="s">
        <v>28</v>
      </c>
      <c r="S1495" s="10"/>
      <c r="T1495" s="10"/>
      <c r="U1495" s="10" t="s">
        <v>3970</v>
      </c>
      <c r="V1495" s="10" t="s">
        <v>3970</v>
      </c>
      <c r="W1495" s="50">
        <f>+J1495/$W$2</f>
        <v>1.1830259480042852E-4</v>
      </c>
    </row>
    <row r="1496" spans="1:29">
      <c r="A1496" s="10" t="s">
        <v>271</v>
      </c>
      <c r="B1496" s="10" t="s">
        <v>358</v>
      </c>
      <c r="C1496" s="124">
        <v>46366</v>
      </c>
      <c r="D1496" s="124" t="s">
        <v>471</v>
      </c>
      <c r="E1496" s="21">
        <v>0.96986768000000001</v>
      </c>
      <c r="F1496" s="10"/>
      <c r="G1496" s="14">
        <v>25000000</v>
      </c>
      <c r="H1496" s="14">
        <v>24246692.09</v>
      </c>
      <c r="I1496" s="14">
        <v>25000000</v>
      </c>
      <c r="J1496" s="14">
        <v>24246692.09</v>
      </c>
      <c r="K1496" s="12">
        <v>12742293</v>
      </c>
      <c r="L1496" s="10" t="s">
        <v>101</v>
      </c>
      <c r="M1496" s="10" t="s">
        <v>102</v>
      </c>
      <c r="N1496" s="124" t="s">
        <v>408</v>
      </c>
      <c r="O1496" s="124" t="s">
        <v>408</v>
      </c>
      <c r="P1496" s="21">
        <v>27</v>
      </c>
      <c r="Q1496" s="10" t="s">
        <v>54</v>
      </c>
      <c r="R1496" s="10" t="s">
        <v>28</v>
      </c>
      <c r="S1496" s="10"/>
      <c r="T1496" s="10"/>
      <c r="U1496" s="10" t="s">
        <v>2076</v>
      </c>
      <c r="V1496" s="10" t="s">
        <v>2076</v>
      </c>
      <c r="W1496" s="50">
        <f>+J1496/$W$2</f>
        <v>2.9674667531952276E-4</v>
      </c>
    </row>
    <row r="1497" spans="1:29">
      <c r="A1497" s="10" t="s">
        <v>3606</v>
      </c>
      <c r="B1497" s="10" t="s">
        <v>358</v>
      </c>
      <c r="C1497" s="124">
        <v>46366</v>
      </c>
      <c r="D1497" s="124" t="s">
        <v>471</v>
      </c>
      <c r="E1497" s="21">
        <v>0.96341664000000005</v>
      </c>
      <c r="F1497" s="10"/>
      <c r="G1497" s="14">
        <v>4725060.4800000004</v>
      </c>
      <c r="H1497" s="14">
        <v>4552201.9000000004</v>
      </c>
      <c r="I1497" s="14">
        <v>4725060.4800000004</v>
      </c>
      <c r="J1497" s="14">
        <v>4552201.9000000004</v>
      </c>
      <c r="K1497" s="12">
        <v>11163478</v>
      </c>
      <c r="L1497" s="10" t="s">
        <v>101</v>
      </c>
      <c r="M1497" s="10" t="s">
        <v>102</v>
      </c>
      <c r="N1497" s="124" t="s">
        <v>451</v>
      </c>
      <c r="O1497" s="124" t="s">
        <v>451</v>
      </c>
      <c r="P1497" s="21">
        <v>33</v>
      </c>
      <c r="Q1497" s="10" t="s">
        <v>54</v>
      </c>
      <c r="R1497" s="10" t="s">
        <v>28</v>
      </c>
      <c r="S1497" s="10"/>
      <c r="T1497" s="10"/>
      <c r="U1497" s="10" t="s">
        <v>3554</v>
      </c>
      <c r="V1497" s="10" t="s">
        <v>3554</v>
      </c>
      <c r="W1497" s="50">
        <f>+J1497/$W$2</f>
        <v>5.5712786478009615E-5</v>
      </c>
      <c r="AC1497" s="47"/>
    </row>
    <row r="1498" spans="1:29">
      <c r="A1498" s="10" t="s">
        <v>2440</v>
      </c>
      <c r="B1498" s="10" t="s">
        <v>358</v>
      </c>
      <c r="C1498" s="124">
        <v>46366</v>
      </c>
      <c r="D1498" s="124" t="s">
        <v>471</v>
      </c>
      <c r="E1498" s="21">
        <v>0.96770792000000005</v>
      </c>
      <c r="F1498" s="10"/>
      <c r="G1498" s="14">
        <v>476000</v>
      </c>
      <c r="H1498" s="14">
        <v>460628.97</v>
      </c>
      <c r="I1498" s="14">
        <v>476000</v>
      </c>
      <c r="J1498" s="14">
        <v>460628.97</v>
      </c>
      <c r="K1498" s="12">
        <v>11204218</v>
      </c>
      <c r="L1498" s="10" t="s">
        <v>101</v>
      </c>
      <c r="M1498" s="10" t="s">
        <v>102</v>
      </c>
      <c r="N1498" s="124" t="s">
        <v>467</v>
      </c>
      <c r="O1498" s="124" t="s">
        <v>467</v>
      </c>
      <c r="P1498" s="21">
        <v>29</v>
      </c>
      <c r="Q1498" s="10" t="s">
        <v>54</v>
      </c>
      <c r="R1498" s="10" t="s">
        <v>28</v>
      </c>
      <c r="S1498" s="10"/>
      <c r="T1498" s="10"/>
      <c r="U1498" s="10" t="s">
        <v>3738</v>
      </c>
      <c r="V1498" s="10" t="s">
        <v>3738</v>
      </c>
      <c r="W1498" s="50">
        <f>+J1498/$W$2</f>
        <v>5.6374747902098745E-6</v>
      </c>
    </row>
    <row r="1499" spans="1:29">
      <c r="A1499" s="10" t="s">
        <v>334</v>
      </c>
      <c r="B1499" s="10" t="s">
        <v>358</v>
      </c>
      <c r="C1499" s="124">
        <v>46367</v>
      </c>
      <c r="D1499" s="124" t="s">
        <v>471</v>
      </c>
      <c r="E1499" s="21">
        <v>0.95931462999999995</v>
      </c>
      <c r="F1499" s="10"/>
      <c r="G1499" s="14">
        <v>3841101.28</v>
      </c>
      <c r="H1499" s="14">
        <v>3684824.67</v>
      </c>
      <c r="I1499" s="14">
        <v>3841101.28</v>
      </c>
      <c r="J1499" s="14">
        <v>3684824.67</v>
      </c>
      <c r="K1499" s="12">
        <v>3371</v>
      </c>
      <c r="L1499" s="10" t="s">
        <v>101</v>
      </c>
      <c r="M1499" s="10" t="s">
        <v>102</v>
      </c>
      <c r="N1499" s="124" t="s">
        <v>365</v>
      </c>
      <c r="O1499" s="124" t="s">
        <v>365</v>
      </c>
      <c r="P1499" s="21">
        <v>36</v>
      </c>
      <c r="Q1499" s="10" t="s">
        <v>54</v>
      </c>
      <c r="R1499" s="10" t="s">
        <v>28</v>
      </c>
      <c r="S1499" s="10"/>
      <c r="T1499" s="10"/>
      <c r="U1499" s="10" t="s">
        <v>1324</v>
      </c>
      <c r="V1499" s="10" t="s">
        <v>1324</v>
      </c>
      <c r="W1499" s="50">
        <f>+J1499/$W$2</f>
        <v>4.5097263820528742E-5</v>
      </c>
    </row>
    <row r="1500" spans="1:29">
      <c r="A1500" s="10" t="s">
        <v>334</v>
      </c>
      <c r="B1500" s="10" t="s">
        <v>358</v>
      </c>
      <c r="C1500" s="124">
        <v>46367</v>
      </c>
      <c r="D1500" s="124" t="s">
        <v>471</v>
      </c>
      <c r="E1500" s="21">
        <v>0.95931462999999995</v>
      </c>
      <c r="F1500" s="10"/>
      <c r="G1500" s="14">
        <v>3841101.28</v>
      </c>
      <c r="H1500" s="14">
        <v>3684824.67</v>
      </c>
      <c r="I1500" s="14">
        <v>3841101.28</v>
      </c>
      <c r="J1500" s="14">
        <v>3684824.67</v>
      </c>
      <c r="K1500" s="12">
        <v>3370</v>
      </c>
      <c r="L1500" s="10" t="s">
        <v>101</v>
      </c>
      <c r="M1500" s="10" t="s">
        <v>102</v>
      </c>
      <c r="N1500" s="124" t="s">
        <v>365</v>
      </c>
      <c r="O1500" s="124" t="s">
        <v>365</v>
      </c>
      <c r="P1500" s="21">
        <v>36</v>
      </c>
      <c r="Q1500" s="10" t="s">
        <v>54</v>
      </c>
      <c r="R1500" s="10" t="s">
        <v>28</v>
      </c>
      <c r="S1500" s="10"/>
      <c r="T1500" s="10"/>
      <c r="U1500" s="10" t="s">
        <v>1325</v>
      </c>
      <c r="V1500" s="10" t="s">
        <v>1325</v>
      </c>
      <c r="W1500" s="50">
        <f>+J1500/$W$2</f>
        <v>4.5097263820528742E-5</v>
      </c>
    </row>
    <row r="1501" spans="1:29">
      <c r="A1501" s="10" t="s">
        <v>334</v>
      </c>
      <c r="B1501" s="10" t="s">
        <v>358</v>
      </c>
      <c r="C1501" s="124">
        <v>46367</v>
      </c>
      <c r="D1501" s="124" t="s">
        <v>471</v>
      </c>
      <c r="E1501" s="21">
        <v>0.95931458000000003</v>
      </c>
      <c r="F1501" s="10"/>
      <c r="G1501" s="14">
        <v>2954385</v>
      </c>
      <c r="H1501" s="14">
        <v>2834184.59</v>
      </c>
      <c r="I1501" s="14">
        <v>2954385</v>
      </c>
      <c r="J1501" s="14">
        <v>2834184.59</v>
      </c>
      <c r="K1501" s="12">
        <v>3327</v>
      </c>
      <c r="L1501" s="10" t="s">
        <v>101</v>
      </c>
      <c r="M1501" s="10" t="s">
        <v>102</v>
      </c>
      <c r="N1501" s="124" t="s">
        <v>331</v>
      </c>
      <c r="O1501" s="124" t="s">
        <v>331</v>
      </c>
      <c r="P1501" s="21">
        <v>36</v>
      </c>
      <c r="Q1501" s="10" t="s">
        <v>54</v>
      </c>
      <c r="R1501" s="10" t="s">
        <v>28</v>
      </c>
      <c r="S1501" s="10"/>
      <c r="T1501" s="10"/>
      <c r="U1501" s="10" t="s">
        <v>1231</v>
      </c>
      <c r="V1501" s="10" t="s">
        <v>1231</v>
      </c>
      <c r="W1501" s="50">
        <f>+J1501/$W$2</f>
        <v>3.4686581212914832E-5</v>
      </c>
    </row>
    <row r="1502" spans="1:29">
      <c r="A1502" s="10" t="s">
        <v>334</v>
      </c>
      <c r="B1502" s="10" t="s">
        <v>358</v>
      </c>
      <c r="C1502" s="124">
        <v>46367</v>
      </c>
      <c r="D1502" s="124" t="s">
        <v>471</v>
      </c>
      <c r="E1502" s="21">
        <v>0.95931471000000001</v>
      </c>
      <c r="F1502" s="10"/>
      <c r="G1502" s="14">
        <v>3105640.28</v>
      </c>
      <c r="H1502" s="14">
        <v>2979286.39</v>
      </c>
      <c r="I1502" s="14">
        <v>3105640.28</v>
      </c>
      <c r="J1502" s="14">
        <v>2979286.39</v>
      </c>
      <c r="K1502" s="12">
        <v>3392</v>
      </c>
      <c r="L1502" s="10" t="s">
        <v>101</v>
      </c>
      <c r="M1502" s="10" t="s">
        <v>102</v>
      </c>
      <c r="N1502" s="124" t="s">
        <v>486</v>
      </c>
      <c r="O1502" s="124" t="s">
        <v>486</v>
      </c>
      <c r="P1502" s="21">
        <v>36</v>
      </c>
      <c r="Q1502" s="10" t="s">
        <v>54</v>
      </c>
      <c r="R1502" s="10" t="s">
        <v>28</v>
      </c>
      <c r="S1502" s="10"/>
      <c r="T1502" s="10"/>
      <c r="U1502" s="10" t="s">
        <v>1473</v>
      </c>
      <c r="V1502" s="10" t="s">
        <v>1473</v>
      </c>
      <c r="W1502" s="50">
        <f>+J1502/$W$2</f>
        <v>3.6462430742122855E-5</v>
      </c>
    </row>
    <row r="1503" spans="1:29">
      <c r="A1503" s="10" t="s">
        <v>334</v>
      </c>
      <c r="B1503" s="10" t="s">
        <v>358</v>
      </c>
      <c r="C1503" s="124">
        <v>46367</v>
      </c>
      <c r="D1503" s="124" t="s">
        <v>471</v>
      </c>
      <c r="E1503" s="21">
        <v>0.95931471000000001</v>
      </c>
      <c r="F1503" s="10"/>
      <c r="G1503" s="14">
        <v>3105640.28</v>
      </c>
      <c r="H1503" s="14">
        <v>2979286.39</v>
      </c>
      <c r="I1503" s="14">
        <v>3105640.28</v>
      </c>
      <c r="J1503" s="14">
        <v>2979286.39</v>
      </c>
      <c r="K1503" s="12">
        <v>3393</v>
      </c>
      <c r="L1503" s="10" t="s">
        <v>101</v>
      </c>
      <c r="M1503" s="10" t="s">
        <v>102</v>
      </c>
      <c r="N1503" s="124" t="s">
        <v>486</v>
      </c>
      <c r="O1503" s="124" t="s">
        <v>486</v>
      </c>
      <c r="P1503" s="21">
        <v>36</v>
      </c>
      <c r="Q1503" s="10" t="s">
        <v>54</v>
      </c>
      <c r="R1503" s="10" t="s">
        <v>28</v>
      </c>
      <c r="S1503" s="10"/>
      <c r="T1503" s="10"/>
      <c r="U1503" s="10" t="s">
        <v>1474</v>
      </c>
      <c r="V1503" s="10" t="s">
        <v>1474</v>
      </c>
      <c r="W1503" s="50">
        <f>+J1503/$W$2</f>
        <v>3.6462430742122855E-5</v>
      </c>
    </row>
    <row r="1504" spans="1:29">
      <c r="A1504" s="10" t="s">
        <v>334</v>
      </c>
      <c r="B1504" s="10" t="s">
        <v>358</v>
      </c>
      <c r="C1504" s="124">
        <v>46367</v>
      </c>
      <c r="D1504" s="124" t="s">
        <v>471</v>
      </c>
      <c r="E1504" s="21">
        <v>0.95931456999999998</v>
      </c>
      <c r="F1504" s="10"/>
      <c r="G1504" s="14">
        <v>2874176.47</v>
      </c>
      <c r="H1504" s="14">
        <v>2757239.35</v>
      </c>
      <c r="I1504" s="14">
        <v>2874176.47</v>
      </c>
      <c r="J1504" s="14">
        <v>2757239.35</v>
      </c>
      <c r="K1504" s="12">
        <v>3440</v>
      </c>
      <c r="L1504" s="10" t="s">
        <v>101</v>
      </c>
      <c r="M1504" s="10" t="s">
        <v>102</v>
      </c>
      <c r="N1504" s="124" t="s">
        <v>487</v>
      </c>
      <c r="O1504" s="124" t="s">
        <v>487</v>
      </c>
      <c r="P1504" s="21">
        <v>36</v>
      </c>
      <c r="Q1504" s="10" t="s">
        <v>54</v>
      </c>
      <c r="R1504" s="10" t="s">
        <v>28</v>
      </c>
      <c r="S1504" s="10"/>
      <c r="T1504" s="10"/>
      <c r="U1504" s="10" t="s">
        <v>1565</v>
      </c>
      <c r="V1504" s="10" t="s">
        <v>1565</v>
      </c>
      <c r="W1504" s="50">
        <f>+J1504/$W$2</f>
        <v>3.374487567770577E-5</v>
      </c>
    </row>
    <row r="1505" spans="1:29">
      <c r="A1505" s="10" t="s">
        <v>334</v>
      </c>
      <c r="B1505" s="10" t="s">
        <v>358</v>
      </c>
      <c r="C1505" s="124">
        <v>46367</v>
      </c>
      <c r="D1505" s="124" t="s">
        <v>471</v>
      </c>
      <c r="E1505" s="21">
        <v>0.95931456999999998</v>
      </c>
      <c r="F1505" s="10"/>
      <c r="G1505" s="14">
        <v>2874176.47</v>
      </c>
      <c r="H1505" s="14">
        <v>2757239.35</v>
      </c>
      <c r="I1505" s="14">
        <v>2874176.47</v>
      </c>
      <c r="J1505" s="14">
        <v>2757239.35</v>
      </c>
      <c r="K1505" s="12">
        <v>3441</v>
      </c>
      <c r="L1505" s="10" t="s">
        <v>101</v>
      </c>
      <c r="M1505" s="10" t="s">
        <v>102</v>
      </c>
      <c r="N1505" s="124" t="s">
        <v>487</v>
      </c>
      <c r="O1505" s="124" t="s">
        <v>487</v>
      </c>
      <c r="P1505" s="21">
        <v>36</v>
      </c>
      <c r="Q1505" s="10" t="s">
        <v>54</v>
      </c>
      <c r="R1505" s="10" t="s">
        <v>28</v>
      </c>
      <c r="S1505" s="10"/>
      <c r="T1505" s="10"/>
      <c r="U1505" s="10" t="s">
        <v>1568</v>
      </c>
      <c r="V1505" s="10" t="s">
        <v>1568</v>
      </c>
      <c r="W1505" s="50">
        <f>+J1505/$W$2</f>
        <v>3.374487567770577E-5</v>
      </c>
    </row>
    <row r="1506" spans="1:29">
      <c r="A1506" s="10" t="s">
        <v>1831</v>
      </c>
      <c r="B1506" s="10" t="s">
        <v>358</v>
      </c>
      <c r="C1506" s="124">
        <v>46367</v>
      </c>
      <c r="D1506" s="124" t="s">
        <v>471</v>
      </c>
      <c r="E1506" s="21">
        <v>0.96367099000000001</v>
      </c>
      <c r="F1506" s="10"/>
      <c r="G1506" s="14">
        <v>8000000</v>
      </c>
      <c r="H1506" s="14">
        <v>7709367.9299999997</v>
      </c>
      <c r="I1506" s="14">
        <v>8000000</v>
      </c>
      <c r="J1506" s="14">
        <v>7709367.9299999997</v>
      </c>
      <c r="K1506" s="12">
        <v>1786</v>
      </c>
      <c r="L1506" s="10" t="s">
        <v>101</v>
      </c>
      <c r="M1506" s="10" t="s">
        <v>102</v>
      </c>
      <c r="N1506" s="124" t="s">
        <v>395</v>
      </c>
      <c r="O1506" s="124" t="s">
        <v>395</v>
      </c>
      <c r="P1506" s="21">
        <v>32</v>
      </c>
      <c r="Q1506" s="10" t="s">
        <v>54</v>
      </c>
      <c r="R1506" s="10" t="s">
        <v>28</v>
      </c>
      <c r="S1506" s="10"/>
      <c r="T1506" s="10"/>
      <c r="U1506" s="10" t="s">
        <v>1817</v>
      </c>
      <c r="V1506" s="10" t="s">
        <v>1817</v>
      </c>
      <c r="W1506" s="50">
        <f>+J1506/$W$2</f>
        <v>9.4352223121848993E-5</v>
      </c>
    </row>
    <row r="1507" spans="1:29">
      <c r="A1507" s="10" t="s">
        <v>1831</v>
      </c>
      <c r="B1507" s="10" t="s">
        <v>358</v>
      </c>
      <c r="C1507" s="124">
        <v>46367</v>
      </c>
      <c r="D1507" s="124" t="s">
        <v>471</v>
      </c>
      <c r="E1507" s="21">
        <v>0.96367099000000001</v>
      </c>
      <c r="F1507" s="10"/>
      <c r="G1507" s="14">
        <v>8000000</v>
      </c>
      <c r="H1507" s="14">
        <v>7709367.9299999997</v>
      </c>
      <c r="I1507" s="14">
        <v>8000000</v>
      </c>
      <c r="J1507" s="14">
        <v>7709367.9299999997</v>
      </c>
      <c r="K1507" s="12">
        <v>1790</v>
      </c>
      <c r="L1507" s="10" t="s">
        <v>101</v>
      </c>
      <c r="M1507" s="10" t="s">
        <v>102</v>
      </c>
      <c r="N1507" s="124" t="s">
        <v>395</v>
      </c>
      <c r="O1507" s="124" t="s">
        <v>395</v>
      </c>
      <c r="P1507" s="21">
        <v>32</v>
      </c>
      <c r="Q1507" s="10" t="s">
        <v>54</v>
      </c>
      <c r="R1507" s="10" t="s">
        <v>28</v>
      </c>
      <c r="S1507" s="10"/>
      <c r="T1507" s="10"/>
      <c r="U1507" s="10" t="s">
        <v>1818</v>
      </c>
      <c r="V1507" s="10" t="s">
        <v>1818</v>
      </c>
      <c r="W1507" s="50">
        <f>+J1507/$W$2</f>
        <v>9.4352223121848993E-5</v>
      </c>
    </row>
    <row r="1508" spans="1:29">
      <c r="A1508" s="10" t="s">
        <v>1831</v>
      </c>
      <c r="B1508" s="10" t="s">
        <v>358</v>
      </c>
      <c r="C1508" s="124">
        <v>46367</v>
      </c>
      <c r="D1508" s="124" t="s">
        <v>471</v>
      </c>
      <c r="E1508" s="21">
        <v>0.96367099000000001</v>
      </c>
      <c r="F1508" s="10"/>
      <c r="G1508" s="14">
        <v>8000000</v>
      </c>
      <c r="H1508" s="14">
        <v>7709367.9299999997</v>
      </c>
      <c r="I1508" s="14">
        <v>8000000</v>
      </c>
      <c r="J1508" s="14">
        <v>7709367.9299999997</v>
      </c>
      <c r="K1508" s="12">
        <v>1789</v>
      </c>
      <c r="L1508" s="10" t="s">
        <v>101</v>
      </c>
      <c r="M1508" s="10" t="s">
        <v>102</v>
      </c>
      <c r="N1508" s="124" t="s">
        <v>395</v>
      </c>
      <c r="O1508" s="124" t="s">
        <v>395</v>
      </c>
      <c r="P1508" s="21">
        <v>32</v>
      </c>
      <c r="Q1508" s="10" t="s">
        <v>54</v>
      </c>
      <c r="R1508" s="10" t="s">
        <v>28</v>
      </c>
      <c r="S1508" s="10"/>
      <c r="T1508" s="10"/>
      <c r="U1508" s="10" t="s">
        <v>1819</v>
      </c>
      <c r="V1508" s="10" t="s">
        <v>1819</v>
      </c>
      <c r="W1508" s="50">
        <f>+J1508/$W$2</f>
        <v>9.4352223121848993E-5</v>
      </c>
    </row>
    <row r="1509" spans="1:29">
      <c r="A1509" s="10" t="s">
        <v>1831</v>
      </c>
      <c r="B1509" s="10" t="s">
        <v>358</v>
      </c>
      <c r="C1509" s="124">
        <v>46367</v>
      </c>
      <c r="D1509" s="124" t="s">
        <v>471</v>
      </c>
      <c r="E1509" s="21">
        <v>0.96367099000000001</v>
      </c>
      <c r="F1509" s="10"/>
      <c r="G1509" s="14">
        <v>8000000</v>
      </c>
      <c r="H1509" s="14">
        <v>7709367.9299999997</v>
      </c>
      <c r="I1509" s="14">
        <v>8000000</v>
      </c>
      <c r="J1509" s="14">
        <v>7709367.9299999997</v>
      </c>
      <c r="K1509" s="12">
        <v>1788</v>
      </c>
      <c r="L1509" s="10" t="s">
        <v>101</v>
      </c>
      <c r="M1509" s="10" t="s">
        <v>102</v>
      </c>
      <c r="N1509" s="124" t="s">
        <v>395</v>
      </c>
      <c r="O1509" s="124" t="s">
        <v>395</v>
      </c>
      <c r="P1509" s="21">
        <v>32</v>
      </c>
      <c r="Q1509" s="10" t="s">
        <v>54</v>
      </c>
      <c r="R1509" s="10" t="s">
        <v>28</v>
      </c>
      <c r="S1509" s="10"/>
      <c r="T1509" s="10"/>
      <c r="U1509" s="10" t="s">
        <v>1820</v>
      </c>
      <c r="V1509" s="10" t="s">
        <v>1820</v>
      </c>
      <c r="W1509" s="50">
        <f>+J1509/$W$2</f>
        <v>9.4352223121848993E-5</v>
      </c>
      <c r="AC1509" s="47"/>
    </row>
    <row r="1510" spans="1:29">
      <c r="A1510" s="10" t="s">
        <v>1831</v>
      </c>
      <c r="B1510" s="10" t="s">
        <v>358</v>
      </c>
      <c r="C1510" s="124">
        <v>46367</v>
      </c>
      <c r="D1510" s="124" t="s">
        <v>471</v>
      </c>
      <c r="E1510" s="21">
        <v>0.96367099000000001</v>
      </c>
      <c r="F1510" s="10"/>
      <c r="G1510" s="14">
        <v>8000000</v>
      </c>
      <c r="H1510" s="14">
        <v>7709367.9299999997</v>
      </c>
      <c r="I1510" s="14">
        <v>8000000</v>
      </c>
      <c r="J1510" s="14">
        <v>7709367.9299999997</v>
      </c>
      <c r="K1510" s="12">
        <v>1787</v>
      </c>
      <c r="L1510" s="10" t="s">
        <v>101</v>
      </c>
      <c r="M1510" s="10" t="s">
        <v>102</v>
      </c>
      <c r="N1510" s="124" t="s">
        <v>395</v>
      </c>
      <c r="O1510" s="124" t="s">
        <v>395</v>
      </c>
      <c r="P1510" s="21">
        <v>32</v>
      </c>
      <c r="Q1510" s="10" t="s">
        <v>54</v>
      </c>
      <c r="R1510" s="10" t="s">
        <v>28</v>
      </c>
      <c r="S1510" s="10"/>
      <c r="T1510" s="10"/>
      <c r="U1510" s="10" t="s">
        <v>1821</v>
      </c>
      <c r="V1510" s="10" t="s">
        <v>1821</v>
      </c>
      <c r="W1510" s="50">
        <f>+J1510/$W$2</f>
        <v>9.4352223121848993E-5</v>
      </c>
    </row>
    <row r="1511" spans="1:29">
      <c r="A1511" s="10" t="s">
        <v>2017</v>
      </c>
      <c r="B1511" s="10" t="s">
        <v>358</v>
      </c>
      <c r="C1511" s="124">
        <v>46367</v>
      </c>
      <c r="D1511" s="124" t="s">
        <v>471</v>
      </c>
      <c r="E1511" s="21">
        <v>0.96040011000000003</v>
      </c>
      <c r="F1511" s="10"/>
      <c r="G1511" s="14">
        <v>5000000</v>
      </c>
      <c r="H1511" s="14">
        <v>4802000.5599999996</v>
      </c>
      <c r="I1511" s="14">
        <v>5000000</v>
      </c>
      <c r="J1511" s="14">
        <v>4802000.5599999996</v>
      </c>
      <c r="K1511" s="12">
        <v>541</v>
      </c>
      <c r="L1511" s="10" t="s">
        <v>101</v>
      </c>
      <c r="M1511" s="10" t="s">
        <v>102</v>
      </c>
      <c r="N1511" s="124" t="s">
        <v>449</v>
      </c>
      <c r="O1511" s="124" t="s">
        <v>449</v>
      </c>
      <c r="P1511" s="21">
        <v>35</v>
      </c>
      <c r="Q1511" s="10" t="s">
        <v>54</v>
      </c>
      <c r="R1511" s="10" t="s">
        <v>28</v>
      </c>
      <c r="S1511" s="10"/>
      <c r="T1511" s="10"/>
      <c r="U1511" s="10" t="s">
        <v>1975</v>
      </c>
      <c r="V1511" s="10" t="s">
        <v>1975</v>
      </c>
      <c r="W1511" s="50">
        <f>+J1511/$W$2</f>
        <v>5.8769983788847884E-5</v>
      </c>
    </row>
    <row r="1512" spans="1:29">
      <c r="A1512" s="10" t="s">
        <v>443</v>
      </c>
      <c r="B1512" s="10" t="s">
        <v>358</v>
      </c>
      <c r="C1512" s="124">
        <v>46367</v>
      </c>
      <c r="D1512" s="124" t="s">
        <v>471</v>
      </c>
      <c r="E1512" s="21">
        <v>0.96806714000000005</v>
      </c>
      <c r="F1512" s="10"/>
      <c r="G1512" s="14">
        <v>8000000</v>
      </c>
      <c r="H1512" s="14">
        <v>7744537.1500000004</v>
      </c>
      <c r="I1512" s="14">
        <v>8000000</v>
      </c>
      <c r="J1512" s="14">
        <v>7744537.1500000004</v>
      </c>
      <c r="K1512" s="12">
        <v>6497</v>
      </c>
      <c r="L1512" s="10" t="s">
        <v>101</v>
      </c>
      <c r="M1512" s="10" t="s">
        <v>102</v>
      </c>
      <c r="N1512" s="124" t="s">
        <v>397</v>
      </c>
      <c r="O1512" s="124" t="s">
        <v>397</v>
      </c>
      <c r="P1512" s="21">
        <v>28</v>
      </c>
      <c r="Q1512" s="10" t="s">
        <v>54</v>
      </c>
      <c r="R1512" s="10" t="s">
        <v>28</v>
      </c>
      <c r="S1512" s="10"/>
      <c r="T1512" s="10"/>
      <c r="U1512" s="10" t="s">
        <v>1853</v>
      </c>
      <c r="V1512" s="10" t="s">
        <v>1853</v>
      </c>
      <c r="W1512" s="50">
        <f>+J1512/$W$2</f>
        <v>9.4782646747052914E-5</v>
      </c>
    </row>
    <row r="1513" spans="1:29">
      <c r="A1513" s="10" t="s">
        <v>443</v>
      </c>
      <c r="B1513" s="10" t="s">
        <v>358</v>
      </c>
      <c r="C1513" s="124">
        <v>46367</v>
      </c>
      <c r="D1513" s="124" t="s">
        <v>471</v>
      </c>
      <c r="E1513" s="21">
        <v>0.96806714000000005</v>
      </c>
      <c r="F1513" s="10"/>
      <c r="G1513" s="14">
        <v>8000000</v>
      </c>
      <c r="H1513" s="14">
        <v>7744537.1500000004</v>
      </c>
      <c r="I1513" s="14">
        <v>8000000</v>
      </c>
      <c r="J1513" s="14">
        <v>7744537.1500000004</v>
      </c>
      <c r="K1513" s="12">
        <v>6496</v>
      </c>
      <c r="L1513" s="10" t="s">
        <v>101</v>
      </c>
      <c r="M1513" s="10" t="s">
        <v>102</v>
      </c>
      <c r="N1513" s="124" t="s">
        <v>397</v>
      </c>
      <c r="O1513" s="124" t="s">
        <v>397</v>
      </c>
      <c r="P1513" s="21">
        <v>28</v>
      </c>
      <c r="Q1513" s="10" t="s">
        <v>54</v>
      </c>
      <c r="R1513" s="10" t="s">
        <v>28</v>
      </c>
      <c r="S1513" s="10"/>
      <c r="T1513" s="10"/>
      <c r="U1513" s="10" t="s">
        <v>1855</v>
      </c>
      <c r="V1513" s="10" t="s">
        <v>1855</v>
      </c>
      <c r="W1513" s="50">
        <f>+J1513/$W$2</f>
        <v>9.4782646747052914E-5</v>
      </c>
    </row>
    <row r="1514" spans="1:29">
      <c r="A1514" s="10" t="s">
        <v>443</v>
      </c>
      <c r="B1514" s="10" t="s">
        <v>358</v>
      </c>
      <c r="C1514" s="124">
        <v>46367</v>
      </c>
      <c r="D1514" s="124" t="s">
        <v>471</v>
      </c>
      <c r="E1514" s="21">
        <v>0.96806709999999996</v>
      </c>
      <c r="F1514" s="10"/>
      <c r="G1514" s="14">
        <v>32500000</v>
      </c>
      <c r="H1514" s="14">
        <v>31462180.73</v>
      </c>
      <c r="I1514" s="14">
        <v>32500000</v>
      </c>
      <c r="J1514" s="14">
        <v>31462180.73</v>
      </c>
      <c r="K1514" s="12">
        <v>1367871</v>
      </c>
      <c r="L1514" s="10" t="s">
        <v>101</v>
      </c>
      <c r="M1514" s="10" t="s">
        <v>102</v>
      </c>
      <c r="N1514" s="124" t="s">
        <v>439</v>
      </c>
      <c r="O1514" s="124" t="s">
        <v>439</v>
      </c>
      <c r="P1514" s="21">
        <v>28</v>
      </c>
      <c r="Q1514" s="10" t="s">
        <v>54</v>
      </c>
      <c r="R1514" s="10" t="s">
        <v>28</v>
      </c>
      <c r="S1514" s="10"/>
      <c r="T1514" s="10"/>
      <c r="U1514" s="10" t="s">
        <v>2238</v>
      </c>
      <c r="V1514" s="10" t="s">
        <v>2238</v>
      </c>
      <c r="W1514" s="50">
        <f>+J1514/$W$2</f>
        <v>3.8505448476330509E-4</v>
      </c>
    </row>
    <row r="1515" spans="1:29">
      <c r="A1515" s="10" t="s">
        <v>401</v>
      </c>
      <c r="B1515" s="10" t="s">
        <v>358</v>
      </c>
      <c r="C1515" s="124">
        <v>46367</v>
      </c>
      <c r="D1515" s="124" t="s">
        <v>471</v>
      </c>
      <c r="E1515" s="21">
        <v>0.96806716000000004</v>
      </c>
      <c r="F1515" s="10"/>
      <c r="G1515" s="14">
        <v>8400000</v>
      </c>
      <c r="H1515" s="14">
        <v>8131764.1500000004</v>
      </c>
      <c r="I1515" s="14">
        <v>8400000</v>
      </c>
      <c r="J1515" s="14">
        <v>8131764.1500000004</v>
      </c>
      <c r="K1515" s="12">
        <v>2454</v>
      </c>
      <c r="L1515" s="10" t="s">
        <v>101</v>
      </c>
      <c r="M1515" s="10" t="s">
        <v>102</v>
      </c>
      <c r="N1515" s="124" t="s">
        <v>408</v>
      </c>
      <c r="O1515" s="124" t="s">
        <v>408</v>
      </c>
      <c r="P1515" s="21">
        <v>28</v>
      </c>
      <c r="Q1515" s="10" t="s">
        <v>54</v>
      </c>
      <c r="R1515" s="10" t="s">
        <v>28</v>
      </c>
      <c r="S1515" s="10"/>
      <c r="T1515" s="10"/>
      <c r="U1515" s="10" t="s">
        <v>2056</v>
      </c>
      <c r="V1515" s="10" t="s">
        <v>2056</v>
      </c>
      <c r="W1515" s="50">
        <f>+J1515/$W$2</f>
        <v>9.9521780828412586E-5</v>
      </c>
    </row>
    <row r="1516" spans="1:29">
      <c r="A1516" s="10" t="s">
        <v>401</v>
      </c>
      <c r="B1516" s="10" t="s">
        <v>358</v>
      </c>
      <c r="C1516" s="124">
        <v>46367</v>
      </c>
      <c r="D1516" s="124" t="s">
        <v>471</v>
      </c>
      <c r="E1516" s="21">
        <v>0.96806716000000004</v>
      </c>
      <c r="F1516" s="10"/>
      <c r="G1516" s="14">
        <v>8400000</v>
      </c>
      <c r="H1516" s="14">
        <v>8131764.1500000004</v>
      </c>
      <c r="I1516" s="14">
        <v>8400000</v>
      </c>
      <c r="J1516" s="14">
        <v>8131764.1500000004</v>
      </c>
      <c r="K1516" s="12">
        <v>2455</v>
      </c>
      <c r="L1516" s="10" t="s">
        <v>101</v>
      </c>
      <c r="M1516" s="10" t="s">
        <v>102</v>
      </c>
      <c r="N1516" s="124" t="s">
        <v>408</v>
      </c>
      <c r="O1516" s="124" t="s">
        <v>408</v>
      </c>
      <c r="P1516" s="21">
        <v>28</v>
      </c>
      <c r="Q1516" s="10" t="s">
        <v>54</v>
      </c>
      <c r="R1516" s="10" t="s">
        <v>28</v>
      </c>
      <c r="S1516" s="10"/>
      <c r="T1516" s="10"/>
      <c r="U1516" s="10" t="s">
        <v>2064</v>
      </c>
      <c r="V1516" s="10" t="s">
        <v>2064</v>
      </c>
      <c r="W1516" s="50">
        <f>+J1516/$W$2</f>
        <v>9.9521780828412586E-5</v>
      </c>
    </row>
    <row r="1517" spans="1:29">
      <c r="A1517" s="10" t="s">
        <v>1515</v>
      </c>
      <c r="B1517" s="10" t="s">
        <v>358</v>
      </c>
      <c r="C1517" s="124">
        <v>46367</v>
      </c>
      <c r="D1517" s="124" t="s">
        <v>471</v>
      </c>
      <c r="E1517" s="21">
        <v>0.96476624</v>
      </c>
      <c r="F1517" s="10"/>
      <c r="G1517" s="14">
        <v>9990457.7799999993</v>
      </c>
      <c r="H1517" s="14">
        <v>9638456.4100000001</v>
      </c>
      <c r="I1517" s="14">
        <v>9990457.7799999993</v>
      </c>
      <c r="J1517" s="14">
        <v>9638456.4100000001</v>
      </c>
      <c r="K1517" s="12">
        <v>3020</v>
      </c>
      <c r="L1517" s="10" t="s">
        <v>101</v>
      </c>
      <c r="M1517" s="10" t="s">
        <v>102</v>
      </c>
      <c r="N1517" s="124" t="s">
        <v>405</v>
      </c>
      <c r="O1517" s="124" t="s">
        <v>405</v>
      </c>
      <c r="P1517" s="21">
        <v>31</v>
      </c>
      <c r="Q1517" s="10" t="s">
        <v>54</v>
      </c>
      <c r="R1517" s="10" t="s">
        <v>28</v>
      </c>
      <c r="S1517" s="10"/>
      <c r="T1517" s="10"/>
      <c r="U1517" s="10" t="s">
        <v>1498</v>
      </c>
      <c r="V1517" s="10" t="s">
        <v>1498</v>
      </c>
      <c r="W1517" s="50">
        <f>+J1517/$W$2</f>
        <v>1.1796165366653291E-4</v>
      </c>
    </row>
    <row r="1518" spans="1:29">
      <c r="A1518" s="10" t="s">
        <v>1516</v>
      </c>
      <c r="B1518" s="10" t="s">
        <v>358</v>
      </c>
      <c r="C1518" s="124">
        <v>46367</v>
      </c>
      <c r="D1518" s="124" t="s">
        <v>471</v>
      </c>
      <c r="E1518" s="21">
        <v>0.96476624</v>
      </c>
      <c r="F1518" s="10"/>
      <c r="G1518" s="14">
        <v>18916974.350000001</v>
      </c>
      <c r="H1518" s="14">
        <v>18250458.260000002</v>
      </c>
      <c r="I1518" s="14">
        <v>18916974.350000001</v>
      </c>
      <c r="J1518" s="14">
        <v>18250458.260000002</v>
      </c>
      <c r="K1518" s="12">
        <v>69586446</v>
      </c>
      <c r="L1518" s="10" t="s">
        <v>101</v>
      </c>
      <c r="M1518" s="10" t="s">
        <v>102</v>
      </c>
      <c r="N1518" s="124" t="s">
        <v>405</v>
      </c>
      <c r="O1518" s="124" t="s">
        <v>405</v>
      </c>
      <c r="P1518" s="21">
        <v>31</v>
      </c>
      <c r="Q1518" s="10" t="s">
        <v>54</v>
      </c>
      <c r="R1518" s="10" t="s">
        <v>28</v>
      </c>
      <c r="S1518" s="10"/>
      <c r="T1518" s="10"/>
      <c r="U1518" s="10" t="s">
        <v>1505</v>
      </c>
      <c r="V1518" s="10" t="s">
        <v>1505</v>
      </c>
      <c r="W1518" s="50">
        <f>+J1518/$W$2</f>
        <v>2.2336089358541123E-4</v>
      </c>
    </row>
    <row r="1519" spans="1:29">
      <c r="A1519" s="10" t="s">
        <v>1516</v>
      </c>
      <c r="B1519" s="10" t="s">
        <v>358</v>
      </c>
      <c r="C1519" s="124">
        <v>46367</v>
      </c>
      <c r="D1519" s="124" t="s">
        <v>471</v>
      </c>
      <c r="E1519" s="21">
        <v>0.96476624</v>
      </c>
      <c r="F1519" s="10"/>
      <c r="G1519" s="14">
        <v>20398741.449999999</v>
      </c>
      <c r="H1519" s="14">
        <v>19680017.140000001</v>
      </c>
      <c r="I1519" s="14">
        <v>20398741.449999999</v>
      </c>
      <c r="J1519" s="14">
        <v>19680017.140000001</v>
      </c>
      <c r="K1519" s="12">
        <v>69586151</v>
      </c>
      <c r="L1519" s="10" t="s">
        <v>101</v>
      </c>
      <c r="M1519" s="10" t="s">
        <v>102</v>
      </c>
      <c r="N1519" s="124" t="s">
        <v>405</v>
      </c>
      <c r="O1519" s="124" t="s">
        <v>405</v>
      </c>
      <c r="P1519" s="21">
        <v>31</v>
      </c>
      <c r="Q1519" s="10" t="s">
        <v>54</v>
      </c>
      <c r="R1519" s="10" t="s">
        <v>28</v>
      </c>
      <c r="S1519" s="10"/>
      <c r="T1519" s="10"/>
      <c r="U1519" s="10" t="s">
        <v>1506</v>
      </c>
      <c r="V1519" s="10" t="s">
        <v>1506</v>
      </c>
      <c r="W1519" s="50">
        <f>+J1519/$W$2</f>
        <v>2.4085675830950938E-4</v>
      </c>
    </row>
    <row r="1520" spans="1:29">
      <c r="A1520" s="10" t="s">
        <v>1597</v>
      </c>
      <c r="B1520" s="10" t="s">
        <v>358</v>
      </c>
      <c r="C1520" s="124">
        <v>46367</v>
      </c>
      <c r="D1520" s="124" t="s">
        <v>471</v>
      </c>
      <c r="E1520" s="21">
        <v>0.97698079999999998</v>
      </c>
      <c r="F1520" s="10"/>
      <c r="G1520" s="14">
        <v>211135.5</v>
      </c>
      <c r="H1520" s="14">
        <v>206275.33</v>
      </c>
      <c r="I1520" s="14">
        <v>211135.5</v>
      </c>
      <c r="J1520" s="14">
        <v>206275.33</v>
      </c>
      <c r="K1520" s="12">
        <v>69520839</v>
      </c>
      <c r="L1520" s="10" t="s">
        <v>101</v>
      </c>
      <c r="M1520" s="10" t="s">
        <v>102</v>
      </c>
      <c r="N1520" s="124" t="s">
        <v>487</v>
      </c>
      <c r="O1520" s="124" t="s">
        <v>487</v>
      </c>
      <c r="P1520" s="21">
        <v>20</v>
      </c>
      <c r="Q1520" s="10" t="s">
        <v>54</v>
      </c>
      <c r="R1520" s="10" t="s">
        <v>28</v>
      </c>
      <c r="S1520" s="10"/>
      <c r="T1520" s="10"/>
      <c r="U1520" s="10" t="s">
        <v>1550</v>
      </c>
      <c r="V1520" s="10" t="s">
        <v>1550</v>
      </c>
      <c r="W1520" s="50">
        <f>+J1520/$W$2</f>
        <v>2.5245306927117991E-6</v>
      </c>
    </row>
    <row r="1521" spans="1:29">
      <c r="A1521" s="10" t="s">
        <v>1598</v>
      </c>
      <c r="B1521" s="10" t="s">
        <v>358</v>
      </c>
      <c r="C1521" s="124">
        <v>46367</v>
      </c>
      <c r="D1521" s="124" t="s">
        <v>471</v>
      </c>
      <c r="E1521" s="21">
        <v>0.97698065000000001</v>
      </c>
      <c r="F1521" s="10"/>
      <c r="G1521" s="14">
        <v>126868.5</v>
      </c>
      <c r="H1521" s="14">
        <v>123948.07</v>
      </c>
      <c r="I1521" s="14">
        <v>126868.5</v>
      </c>
      <c r="J1521" s="14">
        <v>123948.07</v>
      </c>
      <c r="K1521" s="12">
        <v>8379007</v>
      </c>
      <c r="L1521" s="10" t="s">
        <v>101</v>
      </c>
      <c r="M1521" s="10" t="s">
        <v>102</v>
      </c>
      <c r="N1521" s="124" t="s">
        <v>487</v>
      </c>
      <c r="O1521" s="124" t="s">
        <v>487</v>
      </c>
      <c r="P1521" s="21">
        <v>20</v>
      </c>
      <c r="Q1521" s="10" t="s">
        <v>54</v>
      </c>
      <c r="R1521" s="10" t="s">
        <v>28</v>
      </c>
      <c r="S1521" s="10"/>
      <c r="T1521" s="10"/>
      <c r="U1521" s="10" t="s">
        <v>1551</v>
      </c>
      <c r="V1521" s="10" t="s">
        <v>1551</v>
      </c>
      <c r="W1521" s="50">
        <f>+J1521/$W$2</f>
        <v>1.5169565212543381E-6</v>
      </c>
    </row>
    <row r="1522" spans="1:29">
      <c r="A1522" s="10" t="s">
        <v>3772</v>
      </c>
      <c r="B1522" s="10" t="s">
        <v>358</v>
      </c>
      <c r="C1522" s="124">
        <v>46367</v>
      </c>
      <c r="D1522" s="124" t="s">
        <v>471</v>
      </c>
      <c r="E1522" s="21">
        <v>0.96257828000000001</v>
      </c>
      <c r="F1522" s="10"/>
      <c r="G1522" s="14">
        <v>12100501.08</v>
      </c>
      <c r="H1522" s="14">
        <v>11647679.529999999</v>
      </c>
      <c r="I1522" s="14">
        <v>12100501.08</v>
      </c>
      <c r="J1522" s="14">
        <v>11647679.529999999</v>
      </c>
      <c r="K1522" s="12">
        <v>70136079</v>
      </c>
      <c r="L1522" s="10" t="s">
        <v>101</v>
      </c>
      <c r="M1522" s="10" t="s">
        <v>102</v>
      </c>
      <c r="N1522" s="124" t="s">
        <v>467</v>
      </c>
      <c r="O1522" s="124" t="s">
        <v>467</v>
      </c>
      <c r="P1522" s="21">
        <v>33</v>
      </c>
      <c r="Q1522" s="10" t="s">
        <v>54</v>
      </c>
      <c r="R1522" s="10" t="s">
        <v>28</v>
      </c>
      <c r="S1522" s="10"/>
      <c r="T1522" s="10"/>
      <c r="U1522" s="10" t="s">
        <v>3763</v>
      </c>
      <c r="V1522" s="10" t="s">
        <v>3763</v>
      </c>
      <c r="W1522" s="50">
        <f>+J1522/$W$2</f>
        <v>1.4255182368320995E-4</v>
      </c>
    </row>
    <row r="1523" spans="1:29">
      <c r="A1523" s="10" t="s">
        <v>1748</v>
      </c>
      <c r="B1523" s="10" t="s">
        <v>358</v>
      </c>
      <c r="C1523" s="124">
        <v>46367</v>
      </c>
      <c r="D1523" s="124" t="s">
        <v>471</v>
      </c>
      <c r="E1523" s="21">
        <v>0.96257824000000003</v>
      </c>
      <c r="F1523" s="10"/>
      <c r="G1523" s="14">
        <v>523149.89</v>
      </c>
      <c r="H1523" s="14">
        <v>503572.7</v>
      </c>
      <c r="I1523" s="14">
        <v>523149.89</v>
      </c>
      <c r="J1523" s="14">
        <v>503572.7</v>
      </c>
      <c r="K1523" s="12">
        <v>373</v>
      </c>
      <c r="L1523" s="10" t="s">
        <v>101</v>
      </c>
      <c r="M1523" s="10" t="s">
        <v>102</v>
      </c>
      <c r="N1523" s="124" t="s">
        <v>417</v>
      </c>
      <c r="O1523" s="124" t="s">
        <v>417</v>
      </c>
      <c r="P1523" s="21">
        <v>33</v>
      </c>
      <c r="Q1523" s="10" t="s">
        <v>54</v>
      </c>
      <c r="R1523" s="10" t="s">
        <v>28</v>
      </c>
      <c r="S1523" s="10"/>
      <c r="T1523" s="10"/>
      <c r="U1523" s="10" t="s">
        <v>3247</v>
      </c>
      <c r="V1523" s="10" t="s">
        <v>3247</v>
      </c>
      <c r="W1523" s="50">
        <f>+J1523/$W$2</f>
        <v>6.1630478892543823E-6</v>
      </c>
    </row>
    <row r="1524" spans="1:29">
      <c r="A1524" s="10" t="s">
        <v>1751</v>
      </c>
      <c r="B1524" s="10" t="s">
        <v>358</v>
      </c>
      <c r="C1524" s="124">
        <v>46367</v>
      </c>
      <c r="D1524" s="124" t="s">
        <v>471</v>
      </c>
      <c r="E1524" s="21">
        <v>0.96367088999999995</v>
      </c>
      <c r="F1524" s="10"/>
      <c r="G1524" s="14">
        <v>353613.17</v>
      </c>
      <c r="H1524" s="14">
        <v>340766.71999999997</v>
      </c>
      <c r="I1524" s="14">
        <v>353613.17</v>
      </c>
      <c r="J1524" s="14">
        <v>340766.71999999997</v>
      </c>
      <c r="K1524" s="12">
        <v>2862</v>
      </c>
      <c r="L1524" s="10" t="s">
        <v>101</v>
      </c>
      <c r="M1524" s="10" t="s">
        <v>102</v>
      </c>
      <c r="N1524" s="124" t="s">
        <v>398</v>
      </c>
      <c r="O1524" s="124" t="s">
        <v>398</v>
      </c>
      <c r="P1524" s="21">
        <v>32</v>
      </c>
      <c r="Q1524" s="10" t="s">
        <v>54</v>
      </c>
      <c r="R1524" s="10" t="s">
        <v>28</v>
      </c>
      <c r="S1524" s="10"/>
      <c r="T1524" s="10"/>
      <c r="U1524" s="10" t="s">
        <v>1693</v>
      </c>
      <c r="V1524" s="10" t="s">
        <v>1693</v>
      </c>
      <c r="W1524" s="50">
        <f>+J1524/$W$2</f>
        <v>4.1705231725709891E-6</v>
      </c>
    </row>
    <row r="1525" spans="1:29">
      <c r="A1525" s="10" t="s">
        <v>2758</v>
      </c>
      <c r="B1525" s="10" t="s">
        <v>358</v>
      </c>
      <c r="C1525" s="124">
        <v>46367</v>
      </c>
      <c r="D1525" s="124" t="s">
        <v>471</v>
      </c>
      <c r="E1525" s="21">
        <v>0.96807821000000005</v>
      </c>
      <c r="F1525" s="10"/>
      <c r="G1525" s="14">
        <v>85103</v>
      </c>
      <c r="H1525" s="14">
        <v>82386.36</v>
      </c>
      <c r="I1525" s="14">
        <v>85103</v>
      </c>
      <c r="J1525" s="14">
        <v>82386.36</v>
      </c>
      <c r="K1525" s="12">
        <v>72594381</v>
      </c>
      <c r="L1525" s="10" t="s">
        <v>101</v>
      </c>
      <c r="M1525" s="10" t="s">
        <v>102</v>
      </c>
      <c r="N1525" s="124" t="s">
        <v>417</v>
      </c>
      <c r="O1525" s="124" t="s">
        <v>417</v>
      </c>
      <c r="P1525" s="21">
        <v>27.99</v>
      </c>
      <c r="Q1525" s="10" t="s">
        <v>54</v>
      </c>
      <c r="R1525" s="10" t="s">
        <v>28</v>
      </c>
      <c r="S1525" s="10"/>
      <c r="T1525" s="10"/>
      <c r="U1525" s="10" t="s">
        <v>3178</v>
      </c>
      <c r="V1525" s="10" t="s">
        <v>3178</v>
      </c>
      <c r="W1525" s="50">
        <f>+J1525/$W$2</f>
        <v>1.0082974754218243E-6</v>
      </c>
    </row>
    <row r="1526" spans="1:29">
      <c r="A1526" s="10" t="s">
        <v>2758</v>
      </c>
      <c r="B1526" s="10" t="s">
        <v>358</v>
      </c>
      <c r="C1526" s="124">
        <v>46367</v>
      </c>
      <c r="D1526" s="124" t="s">
        <v>471</v>
      </c>
      <c r="E1526" s="21">
        <v>0.97028026999999994</v>
      </c>
      <c r="F1526" s="10"/>
      <c r="G1526" s="14">
        <v>476066.3</v>
      </c>
      <c r="H1526" s="14">
        <v>461917.74</v>
      </c>
      <c r="I1526" s="14">
        <v>476066.3</v>
      </c>
      <c r="J1526" s="14">
        <v>461917.74</v>
      </c>
      <c r="K1526" s="12">
        <v>34</v>
      </c>
      <c r="L1526" s="10" t="s">
        <v>101</v>
      </c>
      <c r="M1526" s="10" t="s">
        <v>102</v>
      </c>
      <c r="N1526" s="124" t="s">
        <v>411</v>
      </c>
      <c r="O1526" s="124" t="s">
        <v>411</v>
      </c>
      <c r="P1526" s="21">
        <v>26</v>
      </c>
      <c r="Q1526" s="10" t="s">
        <v>54</v>
      </c>
      <c r="R1526" s="10" t="s">
        <v>28</v>
      </c>
      <c r="S1526" s="10"/>
      <c r="T1526" s="10"/>
      <c r="U1526" s="10" t="s">
        <v>2926</v>
      </c>
      <c r="V1526" s="10" t="s">
        <v>2926</v>
      </c>
      <c r="W1526" s="50">
        <f>+J1526/$W$2</f>
        <v>5.6532475897048323E-6</v>
      </c>
    </row>
    <row r="1527" spans="1:29">
      <c r="A1527" s="10" t="s">
        <v>2758</v>
      </c>
      <c r="B1527" s="10" t="s">
        <v>358</v>
      </c>
      <c r="C1527" s="124">
        <v>46367</v>
      </c>
      <c r="D1527" s="124" t="s">
        <v>471</v>
      </c>
      <c r="E1527" s="21">
        <v>0.96806714000000005</v>
      </c>
      <c r="F1527" s="10"/>
      <c r="G1527" s="14">
        <v>254258.48</v>
      </c>
      <c r="H1527" s="14">
        <v>246139.28</v>
      </c>
      <c r="I1527" s="14">
        <v>254258.48</v>
      </c>
      <c r="J1527" s="14">
        <v>246139.28</v>
      </c>
      <c r="K1527" s="12">
        <v>380</v>
      </c>
      <c r="L1527" s="10" t="s">
        <v>101</v>
      </c>
      <c r="M1527" s="10" t="s">
        <v>102</v>
      </c>
      <c r="N1527" s="124" t="s">
        <v>411</v>
      </c>
      <c r="O1527" s="124" t="s">
        <v>411</v>
      </c>
      <c r="P1527" s="21">
        <v>28</v>
      </c>
      <c r="Q1527" s="10" t="s">
        <v>54</v>
      </c>
      <c r="R1527" s="10" t="s">
        <v>28</v>
      </c>
      <c r="S1527" s="10"/>
      <c r="T1527" s="10"/>
      <c r="U1527" s="10" t="s">
        <v>2929</v>
      </c>
      <c r="V1527" s="10" t="s">
        <v>2929</v>
      </c>
      <c r="W1527" s="50">
        <f>+J1527/$W$2</f>
        <v>3.012411455320341E-6</v>
      </c>
      <c r="AC1527" s="47"/>
    </row>
    <row r="1528" spans="1:29">
      <c r="A1528" s="10" t="s">
        <v>443</v>
      </c>
      <c r="B1528" s="10" t="s">
        <v>358</v>
      </c>
      <c r="C1528" s="124">
        <v>46367</v>
      </c>
      <c r="D1528" s="124" t="s">
        <v>471</v>
      </c>
      <c r="E1528" s="21">
        <v>0.96476625000000005</v>
      </c>
      <c r="F1528" s="10"/>
      <c r="G1528" s="14">
        <v>10000000</v>
      </c>
      <c r="H1528" s="14">
        <v>9647662.5</v>
      </c>
      <c r="I1528" s="14">
        <v>10000000</v>
      </c>
      <c r="J1528" s="14">
        <v>9647662.5</v>
      </c>
      <c r="K1528" s="12">
        <v>179</v>
      </c>
      <c r="L1528" s="10" t="s">
        <v>101</v>
      </c>
      <c r="M1528" s="10" t="s">
        <v>102</v>
      </c>
      <c r="N1528" s="124" t="s">
        <v>162</v>
      </c>
      <c r="O1528" s="124" t="s">
        <v>162</v>
      </c>
      <c r="P1528" s="21">
        <v>31</v>
      </c>
      <c r="Q1528" s="10" t="s">
        <v>54</v>
      </c>
      <c r="R1528" s="10" t="s">
        <v>28</v>
      </c>
      <c r="S1528" s="10"/>
      <c r="T1528" s="10"/>
      <c r="U1528" s="10" t="s">
        <v>1250</v>
      </c>
      <c r="V1528" s="10" t="s">
        <v>1250</v>
      </c>
      <c r="W1528" s="50">
        <f>+J1528/$W$2</f>
        <v>1.1807432374086931E-4</v>
      </c>
    </row>
    <row r="1529" spans="1:29">
      <c r="A1529" s="10" t="s">
        <v>443</v>
      </c>
      <c r="B1529" s="10" t="s">
        <v>358</v>
      </c>
      <c r="C1529" s="124">
        <v>46367</v>
      </c>
      <c r="D1529" s="124" t="s">
        <v>471</v>
      </c>
      <c r="E1529" s="21">
        <v>0.96586408999999995</v>
      </c>
      <c r="F1529" s="10"/>
      <c r="G1529" s="14">
        <v>30000000</v>
      </c>
      <c r="H1529" s="14">
        <v>28975922.59</v>
      </c>
      <c r="I1529" s="14">
        <v>30000000</v>
      </c>
      <c r="J1529" s="14">
        <v>28975922.59</v>
      </c>
      <c r="K1529" s="12">
        <v>705</v>
      </c>
      <c r="L1529" s="10" t="s">
        <v>101</v>
      </c>
      <c r="M1529" s="10" t="s">
        <v>102</v>
      </c>
      <c r="N1529" s="124" t="s">
        <v>397</v>
      </c>
      <c r="O1529" s="124" t="s">
        <v>397</v>
      </c>
      <c r="P1529" s="21">
        <v>30</v>
      </c>
      <c r="Q1529" s="10" t="s">
        <v>54</v>
      </c>
      <c r="R1529" s="10" t="s">
        <v>28</v>
      </c>
      <c r="S1529" s="10"/>
      <c r="T1529" s="10"/>
      <c r="U1529" s="10" t="s">
        <v>1839</v>
      </c>
      <c r="V1529" s="10" t="s">
        <v>1839</v>
      </c>
      <c r="W1529" s="50">
        <f>+J1529/$W$2</f>
        <v>3.5462605212216208E-4</v>
      </c>
    </row>
    <row r="1530" spans="1:29">
      <c r="A1530" s="10" t="s">
        <v>2759</v>
      </c>
      <c r="B1530" s="10" t="s">
        <v>358</v>
      </c>
      <c r="C1530" s="124">
        <v>46367</v>
      </c>
      <c r="D1530" s="124" t="s">
        <v>471</v>
      </c>
      <c r="E1530" s="21">
        <v>0.96586406999999996</v>
      </c>
      <c r="F1530" s="10"/>
      <c r="G1530" s="14">
        <v>6250000</v>
      </c>
      <c r="H1530" s="14">
        <v>6036650.4500000002</v>
      </c>
      <c r="I1530" s="14">
        <v>6250000</v>
      </c>
      <c r="J1530" s="14">
        <v>6036650.4500000002</v>
      </c>
      <c r="K1530" s="12">
        <v>389</v>
      </c>
      <c r="L1530" s="10" t="s">
        <v>101</v>
      </c>
      <c r="M1530" s="10" t="s">
        <v>102</v>
      </c>
      <c r="N1530" s="124" t="s">
        <v>411</v>
      </c>
      <c r="O1530" s="124" t="s">
        <v>411</v>
      </c>
      <c r="P1530" s="21">
        <v>30</v>
      </c>
      <c r="Q1530" s="10" t="s">
        <v>54</v>
      </c>
      <c r="R1530" s="10" t="s">
        <v>28</v>
      </c>
      <c r="S1530" s="10"/>
      <c r="T1530" s="10"/>
      <c r="U1530" s="10" t="s">
        <v>2911</v>
      </c>
      <c r="V1530" s="10" t="s">
        <v>2911</v>
      </c>
      <c r="W1530" s="50">
        <f>+J1530/$W$2</f>
        <v>7.3880426429071745E-5</v>
      </c>
    </row>
    <row r="1531" spans="1:29">
      <c r="A1531" s="10" t="s">
        <v>2487</v>
      </c>
      <c r="B1531" s="10" t="s">
        <v>358</v>
      </c>
      <c r="C1531" s="124">
        <v>46367</v>
      </c>
      <c r="D1531" s="124" t="s">
        <v>471</v>
      </c>
      <c r="E1531" s="21">
        <v>0.96367100000000006</v>
      </c>
      <c r="F1531" s="10"/>
      <c r="G1531" s="14">
        <v>50000000</v>
      </c>
      <c r="H1531" s="14">
        <v>48183550.140000001</v>
      </c>
      <c r="I1531" s="14">
        <v>50000000</v>
      </c>
      <c r="J1531" s="14">
        <v>48183550.140000001</v>
      </c>
      <c r="K1531" s="12">
        <v>3503</v>
      </c>
      <c r="L1531" s="10" t="s">
        <v>101</v>
      </c>
      <c r="M1531" s="10" t="s">
        <v>102</v>
      </c>
      <c r="N1531" s="124" t="s">
        <v>466</v>
      </c>
      <c r="O1531" s="124" t="s">
        <v>466</v>
      </c>
      <c r="P1531" s="21">
        <v>32</v>
      </c>
      <c r="Q1531" s="10" t="s">
        <v>54</v>
      </c>
      <c r="R1531" s="10" t="s">
        <v>28</v>
      </c>
      <c r="S1531" s="10"/>
      <c r="T1531" s="10"/>
      <c r="U1531" s="10" t="s">
        <v>3656</v>
      </c>
      <c r="V1531" s="10" t="s">
        <v>3656</v>
      </c>
      <c r="W1531" s="50">
        <f>+J1531/$W$2</f>
        <v>5.8970140157937412E-4</v>
      </c>
    </row>
    <row r="1532" spans="1:29">
      <c r="A1532" s="10" t="s">
        <v>1128</v>
      </c>
      <c r="B1532" s="10" t="s">
        <v>358</v>
      </c>
      <c r="C1532" s="124">
        <v>46367</v>
      </c>
      <c r="D1532" s="124" t="s">
        <v>471</v>
      </c>
      <c r="E1532" s="21">
        <v>0.95931462999999995</v>
      </c>
      <c r="F1532" s="10"/>
      <c r="G1532" s="14">
        <v>3250000</v>
      </c>
      <c r="H1532" s="14">
        <v>3117772.56</v>
      </c>
      <c r="I1532" s="14">
        <v>3250000</v>
      </c>
      <c r="J1532" s="14">
        <v>3117772.56</v>
      </c>
      <c r="K1532" s="12">
        <v>74</v>
      </c>
      <c r="L1532" s="10" t="s">
        <v>101</v>
      </c>
      <c r="M1532" s="10" t="s">
        <v>102</v>
      </c>
      <c r="N1532" s="124" t="s">
        <v>365</v>
      </c>
      <c r="O1532" s="124" t="s">
        <v>365</v>
      </c>
      <c r="P1532" s="21">
        <v>36</v>
      </c>
      <c r="Q1532" s="10" t="s">
        <v>54</v>
      </c>
      <c r="R1532" s="10" t="s">
        <v>28</v>
      </c>
      <c r="S1532" s="10"/>
      <c r="T1532" s="10"/>
      <c r="U1532" s="10" t="s">
        <v>1318</v>
      </c>
      <c r="V1532" s="10" t="s">
        <v>1318</v>
      </c>
      <c r="W1532" s="50">
        <f>+J1532/$W$2</f>
        <v>3.8157313919287585E-5</v>
      </c>
    </row>
    <row r="1533" spans="1:29">
      <c r="A1533" s="10" t="s">
        <v>1128</v>
      </c>
      <c r="B1533" s="10" t="s">
        <v>358</v>
      </c>
      <c r="C1533" s="124">
        <v>46367</v>
      </c>
      <c r="D1533" s="124" t="s">
        <v>471</v>
      </c>
      <c r="E1533" s="21">
        <v>0.95931462999999995</v>
      </c>
      <c r="F1533" s="10"/>
      <c r="G1533" s="14">
        <v>5500000</v>
      </c>
      <c r="H1533" s="14">
        <v>5276230.49</v>
      </c>
      <c r="I1533" s="14">
        <v>5500000</v>
      </c>
      <c r="J1533" s="14">
        <v>5276230.49</v>
      </c>
      <c r="K1533" s="12">
        <v>57</v>
      </c>
      <c r="L1533" s="10" t="s">
        <v>101</v>
      </c>
      <c r="M1533" s="10" t="s">
        <v>102</v>
      </c>
      <c r="N1533" s="124" t="s">
        <v>365</v>
      </c>
      <c r="O1533" s="124" t="s">
        <v>365</v>
      </c>
      <c r="P1533" s="21">
        <v>36</v>
      </c>
      <c r="Q1533" s="10" t="s">
        <v>54</v>
      </c>
      <c r="R1533" s="10" t="s">
        <v>28</v>
      </c>
      <c r="S1533" s="10"/>
      <c r="T1533" s="10"/>
      <c r="U1533" s="10" t="s">
        <v>1320</v>
      </c>
      <c r="V1533" s="10" t="s">
        <v>1320</v>
      </c>
      <c r="W1533" s="50">
        <f>+J1533/$W$2</f>
        <v>6.4573915910481485E-5</v>
      </c>
    </row>
    <row r="1534" spans="1:29">
      <c r="A1534" s="10" t="s">
        <v>1128</v>
      </c>
      <c r="B1534" s="10" t="s">
        <v>358</v>
      </c>
      <c r="C1534" s="124">
        <v>46367</v>
      </c>
      <c r="D1534" s="124" t="s">
        <v>471</v>
      </c>
      <c r="E1534" s="21">
        <v>0.95931462999999995</v>
      </c>
      <c r="F1534" s="10"/>
      <c r="G1534" s="14">
        <v>3250000</v>
      </c>
      <c r="H1534" s="14">
        <v>3117772.56</v>
      </c>
      <c r="I1534" s="14">
        <v>3250000</v>
      </c>
      <c r="J1534" s="14">
        <v>3117772.56</v>
      </c>
      <c r="K1534" s="12">
        <v>73</v>
      </c>
      <c r="L1534" s="10" t="s">
        <v>101</v>
      </c>
      <c r="M1534" s="10" t="s">
        <v>102</v>
      </c>
      <c r="N1534" s="124" t="s">
        <v>365</v>
      </c>
      <c r="O1534" s="124" t="s">
        <v>365</v>
      </c>
      <c r="P1534" s="21">
        <v>36</v>
      </c>
      <c r="Q1534" s="10" t="s">
        <v>54</v>
      </c>
      <c r="R1534" s="10" t="s">
        <v>28</v>
      </c>
      <c r="S1534" s="10"/>
      <c r="T1534" s="10"/>
      <c r="U1534" s="10" t="s">
        <v>1321</v>
      </c>
      <c r="V1534" s="10" t="s">
        <v>1321</v>
      </c>
      <c r="W1534" s="50">
        <f>+J1534/$W$2</f>
        <v>3.8157313919287585E-5</v>
      </c>
    </row>
    <row r="1535" spans="1:29">
      <c r="A1535" s="10" t="s">
        <v>1128</v>
      </c>
      <c r="B1535" s="10" t="s">
        <v>358</v>
      </c>
      <c r="C1535" s="124">
        <v>46367</v>
      </c>
      <c r="D1535" s="124" t="s">
        <v>471</v>
      </c>
      <c r="E1535" s="21">
        <v>0.95931462999999995</v>
      </c>
      <c r="F1535" s="10"/>
      <c r="G1535" s="14">
        <v>5500000</v>
      </c>
      <c r="H1535" s="14">
        <v>5276230.49</v>
      </c>
      <c r="I1535" s="14">
        <v>5500000</v>
      </c>
      <c r="J1535" s="14">
        <v>5276230.49</v>
      </c>
      <c r="K1535" s="12">
        <v>58</v>
      </c>
      <c r="L1535" s="10" t="s">
        <v>101</v>
      </c>
      <c r="M1535" s="10" t="s">
        <v>102</v>
      </c>
      <c r="N1535" s="124" t="s">
        <v>365</v>
      </c>
      <c r="O1535" s="124" t="s">
        <v>365</v>
      </c>
      <c r="P1535" s="21">
        <v>36</v>
      </c>
      <c r="Q1535" s="10" t="s">
        <v>54</v>
      </c>
      <c r="R1535" s="10" t="s">
        <v>28</v>
      </c>
      <c r="S1535" s="10"/>
      <c r="T1535" s="10"/>
      <c r="U1535" s="10" t="s">
        <v>1322</v>
      </c>
      <c r="V1535" s="10" t="s">
        <v>1322</v>
      </c>
      <c r="W1535" s="50">
        <f>+J1535/$W$2</f>
        <v>6.4573915910481485E-5</v>
      </c>
    </row>
    <row r="1536" spans="1:29">
      <c r="A1536" s="10" t="s">
        <v>506</v>
      </c>
      <c r="B1536" s="10" t="s">
        <v>358</v>
      </c>
      <c r="C1536" s="124">
        <v>46367</v>
      </c>
      <c r="D1536" s="124" t="s">
        <v>471</v>
      </c>
      <c r="E1536" s="21">
        <v>0.96586399000000001</v>
      </c>
      <c r="F1536" s="10"/>
      <c r="G1536" s="14">
        <v>50000000</v>
      </c>
      <c r="H1536" s="14">
        <v>48293199.32</v>
      </c>
      <c r="I1536" s="14">
        <v>50000000</v>
      </c>
      <c r="J1536" s="14">
        <v>48293199.32</v>
      </c>
      <c r="K1536" s="12">
        <v>68017</v>
      </c>
      <c r="L1536" s="10" t="s">
        <v>101</v>
      </c>
      <c r="M1536" s="10" t="s">
        <v>102</v>
      </c>
      <c r="N1536" s="124" t="s">
        <v>344</v>
      </c>
      <c r="O1536" s="124" t="s">
        <v>344</v>
      </c>
      <c r="P1536" s="21">
        <v>30</v>
      </c>
      <c r="Q1536" s="10" t="s">
        <v>54</v>
      </c>
      <c r="R1536" s="10" t="s">
        <v>28</v>
      </c>
      <c r="S1536" s="10"/>
      <c r="T1536" s="10"/>
      <c r="U1536" s="10" t="s">
        <v>827</v>
      </c>
      <c r="V1536" s="10" t="s">
        <v>827</v>
      </c>
      <c r="W1536" s="50">
        <f>+J1536/$W$2</f>
        <v>5.9104335905117017E-4</v>
      </c>
    </row>
    <row r="1537" spans="1:29">
      <c r="A1537" s="10" t="s">
        <v>1743</v>
      </c>
      <c r="B1537" s="10" t="s">
        <v>358</v>
      </c>
      <c r="C1537" s="124">
        <v>46367</v>
      </c>
      <c r="D1537" s="124" t="s">
        <v>471</v>
      </c>
      <c r="E1537" s="21">
        <v>0.96257828000000001</v>
      </c>
      <c r="F1537" s="10"/>
      <c r="G1537" s="14">
        <v>2000000</v>
      </c>
      <c r="H1537" s="14">
        <v>1925156.56</v>
      </c>
      <c r="I1537" s="14">
        <v>2000000</v>
      </c>
      <c r="J1537" s="14">
        <v>1925156.56</v>
      </c>
      <c r="K1537" s="12">
        <v>13757789</v>
      </c>
      <c r="L1537" s="10" t="s">
        <v>101</v>
      </c>
      <c r="M1537" s="10" t="s">
        <v>102</v>
      </c>
      <c r="N1537" s="124" t="s">
        <v>417</v>
      </c>
      <c r="O1537" s="124" t="s">
        <v>417</v>
      </c>
      <c r="P1537" s="21">
        <v>33</v>
      </c>
      <c r="Q1537" s="10" t="s">
        <v>54</v>
      </c>
      <c r="R1537" s="10" t="s">
        <v>28</v>
      </c>
      <c r="S1537" s="10"/>
      <c r="T1537" s="10"/>
      <c r="U1537" s="10" t="s">
        <v>3242</v>
      </c>
      <c r="V1537" s="10" t="s">
        <v>3242</v>
      </c>
      <c r="W1537" s="50">
        <f>+J1537/$W$2</f>
        <v>2.3561309168650781E-5</v>
      </c>
    </row>
    <row r="1538" spans="1:29">
      <c r="A1538" s="10" t="s">
        <v>2435</v>
      </c>
      <c r="B1538" s="10" t="s">
        <v>358</v>
      </c>
      <c r="C1538" s="124">
        <v>46367</v>
      </c>
      <c r="D1538" s="124" t="s">
        <v>471</v>
      </c>
      <c r="E1538" s="21">
        <v>0.96696451000000005</v>
      </c>
      <c r="F1538" s="10"/>
      <c r="G1538" s="14">
        <v>450000</v>
      </c>
      <c r="H1538" s="14">
        <v>435134.03</v>
      </c>
      <c r="I1538" s="14">
        <v>450000</v>
      </c>
      <c r="J1538" s="14">
        <v>435134.03</v>
      </c>
      <c r="K1538" s="12">
        <v>11456510</v>
      </c>
      <c r="L1538" s="10" t="s">
        <v>101</v>
      </c>
      <c r="M1538" s="10" t="s">
        <v>102</v>
      </c>
      <c r="N1538" s="124" t="s">
        <v>469</v>
      </c>
      <c r="O1538" s="124" t="s">
        <v>469</v>
      </c>
      <c r="P1538" s="21">
        <v>29</v>
      </c>
      <c r="Q1538" s="10" t="s">
        <v>54</v>
      </c>
      <c r="R1538" s="10" t="s">
        <v>28</v>
      </c>
      <c r="S1538" s="10"/>
      <c r="T1538" s="10"/>
      <c r="U1538" s="10" t="s">
        <v>4039</v>
      </c>
      <c r="V1538" s="10" t="s">
        <v>4039</v>
      </c>
      <c r="W1538" s="50">
        <f>+J1538/$W$2</f>
        <v>5.3254512509003232E-6</v>
      </c>
    </row>
    <row r="1539" spans="1:29">
      <c r="A1539" s="10" t="s">
        <v>4163</v>
      </c>
      <c r="B1539" s="10" t="s">
        <v>358</v>
      </c>
      <c r="C1539" s="124">
        <v>46367</v>
      </c>
      <c r="D1539" s="124" t="s">
        <v>471</v>
      </c>
      <c r="E1539" s="21">
        <v>0.96257819</v>
      </c>
      <c r="F1539" s="10"/>
      <c r="G1539" s="14">
        <v>6362720</v>
      </c>
      <c r="H1539" s="14">
        <v>6124615.5300000003</v>
      </c>
      <c r="I1539" s="14">
        <v>6362720</v>
      </c>
      <c r="J1539" s="14">
        <v>6124615.5300000003</v>
      </c>
      <c r="K1539" s="12">
        <v>80218017</v>
      </c>
      <c r="L1539" s="10" t="s">
        <v>101</v>
      </c>
      <c r="M1539" s="10" t="s">
        <v>102</v>
      </c>
      <c r="N1539" s="124" t="s">
        <v>471</v>
      </c>
      <c r="O1539" s="124" t="s">
        <v>471</v>
      </c>
      <c r="P1539" s="21">
        <v>33</v>
      </c>
      <c r="Q1539" s="10" t="s">
        <v>54</v>
      </c>
      <c r="R1539" s="10" t="s">
        <v>28</v>
      </c>
      <c r="S1539" s="10"/>
      <c r="T1539" s="10"/>
      <c r="U1539" s="10" t="s">
        <v>4133</v>
      </c>
      <c r="V1539" s="10" t="s">
        <v>4133</v>
      </c>
      <c r="W1539" s="50">
        <f>+J1539/$W$2</f>
        <v>7.4956999882362784E-5</v>
      </c>
      <c r="AC1539" s="47"/>
    </row>
    <row r="1540" spans="1:29">
      <c r="A1540" s="10" t="s">
        <v>832</v>
      </c>
      <c r="B1540" s="10" t="s">
        <v>358</v>
      </c>
      <c r="C1540" s="124">
        <v>46367</v>
      </c>
      <c r="D1540" s="124" t="s">
        <v>471</v>
      </c>
      <c r="E1540" s="21">
        <v>0.96257811999999998</v>
      </c>
      <c r="F1540" s="10"/>
      <c r="G1540" s="14">
        <v>181355.13</v>
      </c>
      <c r="H1540" s="14">
        <v>174568.48</v>
      </c>
      <c r="I1540" s="14">
        <v>181355.13</v>
      </c>
      <c r="J1540" s="14">
        <v>174568.48</v>
      </c>
      <c r="K1540" s="12">
        <v>126690</v>
      </c>
      <c r="L1540" s="10" t="s">
        <v>101</v>
      </c>
      <c r="M1540" s="10" t="s">
        <v>102</v>
      </c>
      <c r="N1540" s="124" t="s">
        <v>446</v>
      </c>
      <c r="O1540" s="124" t="s">
        <v>446</v>
      </c>
      <c r="P1540" s="21">
        <v>33</v>
      </c>
      <c r="Q1540" s="10" t="s">
        <v>54</v>
      </c>
      <c r="R1540" s="10" t="s">
        <v>28</v>
      </c>
      <c r="S1540" s="10"/>
      <c r="T1540" s="10"/>
      <c r="U1540" s="10" t="s">
        <v>3073</v>
      </c>
      <c r="V1540" s="10" t="s">
        <v>3073</v>
      </c>
      <c r="W1540" s="50">
        <f>+J1540/$W$2</f>
        <v>2.1364817874248267E-6</v>
      </c>
    </row>
    <row r="1541" spans="1:29">
      <c r="A1541" s="10" t="s">
        <v>832</v>
      </c>
      <c r="B1541" s="10" t="s">
        <v>358</v>
      </c>
      <c r="C1541" s="124">
        <v>46367</v>
      </c>
      <c r="D1541" s="124" t="s">
        <v>471</v>
      </c>
      <c r="E1541" s="21">
        <v>0.96257751999999996</v>
      </c>
      <c r="F1541" s="10"/>
      <c r="G1541" s="14">
        <v>28964.94</v>
      </c>
      <c r="H1541" s="14">
        <v>27881</v>
      </c>
      <c r="I1541" s="14">
        <v>28964.94</v>
      </c>
      <c r="J1541" s="14">
        <v>27881</v>
      </c>
      <c r="K1541" s="12">
        <v>121297</v>
      </c>
      <c r="L1541" s="10" t="s">
        <v>101</v>
      </c>
      <c r="M1541" s="10" t="s">
        <v>102</v>
      </c>
      <c r="N1541" s="124" t="s">
        <v>447</v>
      </c>
      <c r="O1541" s="124" t="s">
        <v>447</v>
      </c>
      <c r="P1541" s="21">
        <v>33</v>
      </c>
      <c r="Q1541" s="10" t="s">
        <v>54</v>
      </c>
      <c r="R1541" s="10" t="s">
        <v>28</v>
      </c>
      <c r="S1541" s="10"/>
      <c r="T1541" s="10"/>
      <c r="U1541" s="10" t="s">
        <v>1614</v>
      </c>
      <c r="V1541" s="10" t="s">
        <v>1614</v>
      </c>
      <c r="W1541" s="50">
        <f>+J1541/$W$2</f>
        <v>3.4122568240951396E-7</v>
      </c>
    </row>
    <row r="1542" spans="1:29">
      <c r="A1542" s="10" t="s">
        <v>832</v>
      </c>
      <c r="B1542" s="10" t="s">
        <v>358</v>
      </c>
      <c r="C1542" s="124">
        <v>46367</v>
      </c>
      <c r="D1542" s="124" t="s">
        <v>471</v>
      </c>
      <c r="E1542" s="21">
        <v>0.96258105999999999</v>
      </c>
      <c r="F1542" s="10"/>
      <c r="G1542" s="14">
        <v>3890.81</v>
      </c>
      <c r="H1542" s="14">
        <v>3745.22</v>
      </c>
      <c r="I1542" s="14">
        <v>3890.81</v>
      </c>
      <c r="J1542" s="14">
        <v>3745.22</v>
      </c>
      <c r="K1542" s="12">
        <v>121965</v>
      </c>
      <c r="L1542" s="10" t="s">
        <v>101</v>
      </c>
      <c r="M1542" s="10" t="s">
        <v>102</v>
      </c>
      <c r="N1542" s="124" t="s">
        <v>447</v>
      </c>
      <c r="O1542" s="124" t="s">
        <v>447</v>
      </c>
      <c r="P1542" s="21">
        <v>33</v>
      </c>
      <c r="Q1542" s="10" t="s">
        <v>54</v>
      </c>
      <c r="R1542" s="10" t="s">
        <v>28</v>
      </c>
      <c r="S1542" s="10"/>
      <c r="T1542" s="10"/>
      <c r="U1542" s="10" t="s">
        <v>1616</v>
      </c>
      <c r="V1542" s="10" t="s">
        <v>1616</v>
      </c>
      <c r="W1542" s="50">
        <f>+J1542/$W$2</f>
        <v>4.5836420869902793E-8</v>
      </c>
    </row>
    <row r="1543" spans="1:29">
      <c r="A1543" s="10" t="s">
        <v>286</v>
      </c>
      <c r="B1543" s="10" t="s">
        <v>358</v>
      </c>
      <c r="C1543" s="124">
        <v>46367</v>
      </c>
      <c r="D1543" s="124" t="s">
        <v>471</v>
      </c>
      <c r="E1543" s="21">
        <v>0.96367102999999998</v>
      </c>
      <c r="F1543" s="10"/>
      <c r="G1543" s="14">
        <v>3000000</v>
      </c>
      <c r="H1543" s="14">
        <v>2891013.08</v>
      </c>
      <c r="I1543" s="14">
        <v>3000000</v>
      </c>
      <c r="J1543" s="14">
        <v>2891013.08</v>
      </c>
      <c r="K1543" s="12">
        <v>40789555</v>
      </c>
      <c r="L1543" s="10" t="s">
        <v>101</v>
      </c>
      <c r="M1543" s="10" t="s">
        <v>102</v>
      </c>
      <c r="N1543" s="124" t="s">
        <v>576</v>
      </c>
      <c r="O1543" s="124" t="s">
        <v>576</v>
      </c>
      <c r="P1543" s="21">
        <v>32</v>
      </c>
      <c r="Q1543" s="10" t="s">
        <v>54</v>
      </c>
      <c r="R1543" s="10" t="s">
        <v>28</v>
      </c>
      <c r="S1543" s="10"/>
      <c r="T1543" s="10"/>
      <c r="U1543" s="10" t="s">
        <v>2338</v>
      </c>
      <c r="V1543" s="10" t="s">
        <v>2338</v>
      </c>
      <c r="W1543" s="50">
        <f>+J1543/$W$2</f>
        <v>3.5382084971049485E-5</v>
      </c>
    </row>
    <row r="1544" spans="1:29">
      <c r="A1544" s="10" t="s">
        <v>286</v>
      </c>
      <c r="B1544" s="10" t="s">
        <v>358</v>
      </c>
      <c r="C1544" s="124">
        <v>46367</v>
      </c>
      <c r="D1544" s="124" t="s">
        <v>471</v>
      </c>
      <c r="E1544" s="21">
        <v>0.96367102999999998</v>
      </c>
      <c r="F1544" s="10"/>
      <c r="G1544" s="14">
        <v>3000000</v>
      </c>
      <c r="H1544" s="14">
        <v>2891013.08</v>
      </c>
      <c r="I1544" s="14">
        <v>3000000</v>
      </c>
      <c r="J1544" s="14">
        <v>2891013.08</v>
      </c>
      <c r="K1544" s="12">
        <v>40789556</v>
      </c>
      <c r="L1544" s="10" t="s">
        <v>101</v>
      </c>
      <c r="M1544" s="10" t="s">
        <v>102</v>
      </c>
      <c r="N1544" s="124" t="s">
        <v>576</v>
      </c>
      <c r="O1544" s="124" t="s">
        <v>576</v>
      </c>
      <c r="P1544" s="21">
        <v>32</v>
      </c>
      <c r="Q1544" s="10" t="s">
        <v>54</v>
      </c>
      <c r="R1544" s="10" t="s">
        <v>28</v>
      </c>
      <c r="S1544" s="10"/>
      <c r="T1544" s="10"/>
      <c r="U1544" s="10" t="s">
        <v>2339</v>
      </c>
      <c r="V1544" s="10" t="s">
        <v>2339</v>
      </c>
      <c r="W1544" s="50">
        <f>+J1544/$W$2</f>
        <v>3.5382084971049485E-5</v>
      </c>
    </row>
    <row r="1545" spans="1:29">
      <c r="A1545" s="10" t="s">
        <v>1765</v>
      </c>
      <c r="B1545" s="10" t="s">
        <v>358</v>
      </c>
      <c r="C1545" s="124">
        <v>46367</v>
      </c>
      <c r="D1545" s="124" t="s">
        <v>471</v>
      </c>
      <c r="E1545" s="21">
        <v>0.96257828999999995</v>
      </c>
      <c r="F1545" s="10"/>
      <c r="G1545" s="14">
        <v>649795.28</v>
      </c>
      <c r="H1545" s="14">
        <v>625478.82999999996</v>
      </c>
      <c r="I1545" s="14">
        <v>649795.28</v>
      </c>
      <c r="J1545" s="14">
        <v>625478.82999999996</v>
      </c>
      <c r="K1545" s="12">
        <v>19650</v>
      </c>
      <c r="L1545" s="10" t="s">
        <v>101</v>
      </c>
      <c r="M1545" s="10" t="s">
        <v>102</v>
      </c>
      <c r="N1545" s="124" t="s">
        <v>417</v>
      </c>
      <c r="O1545" s="124" t="s">
        <v>417</v>
      </c>
      <c r="P1545" s="21">
        <v>33</v>
      </c>
      <c r="Q1545" s="10" t="s">
        <v>54</v>
      </c>
      <c r="R1545" s="10" t="s">
        <v>28</v>
      </c>
      <c r="S1545" s="10"/>
      <c r="T1545" s="10"/>
      <c r="U1545" s="10" t="s">
        <v>3268</v>
      </c>
      <c r="V1545" s="10" t="s">
        <v>3268</v>
      </c>
      <c r="W1545" s="50">
        <f>+J1545/$W$2</f>
        <v>7.6550138301873806E-6</v>
      </c>
    </row>
    <row r="1546" spans="1:29">
      <c r="A1546" s="10" t="s">
        <v>1765</v>
      </c>
      <c r="B1546" s="10" t="s">
        <v>358</v>
      </c>
      <c r="C1546" s="124">
        <v>46367</v>
      </c>
      <c r="D1546" s="124" t="s">
        <v>471</v>
      </c>
      <c r="E1546" s="21">
        <v>0.96257828999999995</v>
      </c>
      <c r="F1546" s="10"/>
      <c r="G1546" s="14">
        <v>649795.28</v>
      </c>
      <c r="H1546" s="14">
        <v>625478.82999999996</v>
      </c>
      <c r="I1546" s="14">
        <v>649795.28</v>
      </c>
      <c r="J1546" s="14">
        <v>625478.82999999996</v>
      </c>
      <c r="K1546" s="12">
        <v>19649</v>
      </c>
      <c r="L1546" s="10" t="s">
        <v>101</v>
      </c>
      <c r="M1546" s="10" t="s">
        <v>102</v>
      </c>
      <c r="N1546" s="124" t="s">
        <v>417</v>
      </c>
      <c r="O1546" s="124" t="s">
        <v>417</v>
      </c>
      <c r="P1546" s="21">
        <v>33</v>
      </c>
      <c r="Q1546" s="10" t="s">
        <v>54</v>
      </c>
      <c r="R1546" s="10" t="s">
        <v>28</v>
      </c>
      <c r="S1546" s="10"/>
      <c r="T1546" s="10"/>
      <c r="U1546" s="10" t="s">
        <v>3269</v>
      </c>
      <c r="V1546" s="10" t="s">
        <v>3269</v>
      </c>
      <c r="W1546" s="50">
        <f>+J1546/$W$2</f>
        <v>7.6550138301873806E-6</v>
      </c>
    </row>
    <row r="1547" spans="1:29">
      <c r="A1547" s="10" t="s">
        <v>1765</v>
      </c>
      <c r="B1547" s="10" t="s">
        <v>358</v>
      </c>
      <c r="C1547" s="124">
        <v>46367</v>
      </c>
      <c r="D1547" s="124" t="s">
        <v>471</v>
      </c>
      <c r="E1547" s="21">
        <v>0.96257828999999995</v>
      </c>
      <c r="F1547" s="10"/>
      <c r="G1547" s="14">
        <v>649795.28</v>
      </c>
      <c r="H1547" s="14">
        <v>625478.82999999996</v>
      </c>
      <c r="I1547" s="14">
        <v>649795.28</v>
      </c>
      <c r="J1547" s="14">
        <v>625478.82999999996</v>
      </c>
      <c r="K1547" s="12">
        <v>19647</v>
      </c>
      <c r="L1547" s="10" t="s">
        <v>101</v>
      </c>
      <c r="M1547" s="10" t="s">
        <v>102</v>
      </c>
      <c r="N1547" s="124" t="s">
        <v>417</v>
      </c>
      <c r="O1547" s="124" t="s">
        <v>417</v>
      </c>
      <c r="P1547" s="21">
        <v>33</v>
      </c>
      <c r="Q1547" s="10" t="s">
        <v>54</v>
      </c>
      <c r="R1547" s="10" t="s">
        <v>28</v>
      </c>
      <c r="S1547" s="10"/>
      <c r="T1547" s="10"/>
      <c r="U1547" s="10" t="s">
        <v>3272</v>
      </c>
      <c r="V1547" s="10" t="s">
        <v>3272</v>
      </c>
      <c r="W1547" s="50">
        <f>+J1547/$W$2</f>
        <v>7.6550138301873806E-6</v>
      </c>
      <c r="AC1547" s="47"/>
    </row>
    <row r="1548" spans="1:29">
      <c r="A1548" s="10" t="s">
        <v>1765</v>
      </c>
      <c r="B1548" s="10" t="s">
        <v>358</v>
      </c>
      <c r="C1548" s="124">
        <v>46367</v>
      </c>
      <c r="D1548" s="124" t="s">
        <v>471</v>
      </c>
      <c r="E1548" s="21">
        <v>0.96257828999999995</v>
      </c>
      <c r="F1548" s="10"/>
      <c r="G1548" s="14">
        <v>649795.28</v>
      </c>
      <c r="H1548" s="14">
        <v>625478.82999999996</v>
      </c>
      <c r="I1548" s="14">
        <v>649795.28</v>
      </c>
      <c r="J1548" s="14">
        <v>625478.82999999996</v>
      </c>
      <c r="K1548" s="12">
        <v>19648</v>
      </c>
      <c r="L1548" s="10" t="s">
        <v>101</v>
      </c>
      <c r="M1548" s="10" t="s">
        <v>102</v>
      </c>
      <c r="N1548" s="124" t="s">
        <v>417</v>
      </c>
      <c r="O1548" s="124" t="s">
        <v>417</v>
      </c>
      <c r="P1548" s="21">
        <v>33</v>
      </c>
      <c r="Q1548" s="10" t="s">
        <v>54</v>
      </c>
      <c r="R1548" s="10" t="s">
        <v>28</v>
      </c>
      <c r="S1548" s="10"/>
      <c r="T1548" s="10"/>
      <c r="U1548" s="10" t="s">
        <v>3273</v>
      </c>
      <c r="V1548" s="10" t="s">
        <v>3273</v>
      </c>
      <c r="W1548" s="50">
        <f>+J1548/$W$2</f>
        <v>7.6550138301873806E-6</v>
      </c>
    </row>
    <row r="1549" spans="1:29">
      <c r="A1549" s="10" t="s">
        <v>1765</v>
      </c>
      <c r="B1549" s="10" t="s">
        <v>358</v>
      </c>
      <c r="C1549" s="124">
        <v>46367</v>
      </c>
      <c r="D1549" s="124" t="s">
        <v>471</v>
      </c>
      <c r="E1549" s="21">
        <v>0.9625783</v>
      </c>
      <c r="F1549" s="10"/>
      <c r="G1549" s="14">
        <v>604613.32999999996</v>
      </c>
      <c r="H1549" s="14">
        <v>581987.67000000004</v>
      </c>
      <c r="I1549" s="14">
        <v>604613.32999999996</v>
      </c>
      <c r="J1549" s="14">
        <v>581987.67000000004</v>
      </c>
      <c r="K1549" s="12">
        <v>19721</v>
      </c>
      <c r="L1549" s="10" t="s">
        <v>101</v>
      </c>
      <c r="M1549" s="10" t="s">
        <v>102</v>
      </c>
      <c r="N1549" s="124" t="s">
        <v>417</v>
      </c>
      <c r="O1549" s="124" t="s">
        <v>417</v>
      </c>
      <c r="P1549" s="21">
        <v>33</v>
      </c>
      <c r="Q1549" s="10" t="s">
        <v>54</v>
      </c>
      <c r="R1549" s="10" t="s">
        <v>28</v>
      </c>
      <c r="S1549" s="10"/>
      <c r="T1549" s="10"/>
      <c r="U1549" s="10" t="s">
        <v>3274</v>
      </c>
      <c r="V1549" s="10" t="s">
        <v>3274</v>
      </c>
      <c r="W1549" s="50">
        <f>+J1549/$W$2</f>
        <v>7.1227409292949684E-6</v>
      </c>
    </row>
    <row r="1550" spans="1:29">
      <c r="A1550" s="10" t="s">
        <v>1765</v>
      </c>
      <c r="B1550" s="10" t="s">
        <v>358</v>
      </c>
      <c r="C1550" s="124">
        <v>46367</v>
      </c>
      <c r="D1550" s="124" t="s">
        <v>471</v>
      </c>
      <c r="E1550" s="21">
        <v>0.96257828999999995</v>
      </c>
      <c r="F1550" s="10"/>
      <c r="G1550" s="14">
        <v>649795.28</v>
      </c>
      <c r="H1550" s="14">
        <v>625478.82999999996</v>
      </c>
      <c r="I1550" s="14">
        <v>649795.28</v>
      </c>
      <c r="J1550" s="14">
        <v>625478.82999999996</v>
      </c>
      <c r="K1550" s="12">
        <v>19646</v>
      </c>
      <c r="L1550" s="10" t="s">
        <v>101</v>
      </c>
      <c r="M1550" s="10" t="s">
        <v>102</v>
      </c>
      <c r="N1550" s="124" t="s">
        <v>417</v>
      </c>
      <c r="O1550" s="124" t="s">
        <v>417</v>
      </c>
      <c r="P1550" s="21">
        <v>33</v>
      </c>
      <c r="Q1550" s="10" t="s">
        <v>54</v>
      </c>
      <c r="R1550" s="10" t="s">
        <v>28</v>
      </c>
      <c r="S1550" s="10"/>
      <c r="T1550" s="10"/>
      <c r="U1550" s="10" t="s">
        <v>3276</v>
      </c>
      <c r="V1550" s="10" t="s">
        <v>3276</v>
      </c>
      <c r="W1550" s="50">
        <f>+J1550/$W$2</f>
        <v>7.6550138301873806E-6</v>
      </c>
    </row>
    <row r="1551" spans="1:29">
      <c r="A1551" s="10" t="s">
        <v>1765</v>
      </c>
      <c r="B1551" s="10" t="s">
        <v>358</v>
      </c>
      <c r="C1551" s="124">
        <v>46367</v>
      </c>
      <c r="D1551" s="124" t="s">
        <v>471</v>
      </c>
      <c r="E1551" s="21">
        <v>0.9625783</v>
      </c>
      <c r="F1551" s="10"/>
      <c r="G1551" s="14">
        <v>604613.32999999996</v>
      </c>
      <c r="H1551" s="14">
        <v>581987.67000000004</v>
      </c>
      <c r="I1551" s="14">
        <v>604613.32999999996</v>
      </c>
      <c r="J1551" s="14">
        <v>581987.67000000004</v>
      </c>
      <c r="K1551" s="12">
        <v>19720</v>
      </c>
      <c r="L1551" s="10" t="s">
        <v>101</v>
      </c>
      <c r="M1551" s="10" t="s">
        <v>102</v>
      </c>
      <c r="N1551" s="124" t="s">
        <v>417</v>
      </c>
      <c r="O1551" s="124" t="s">
        <v>417</v>
      </c>
      <c r="P1551" s="21">
        <v>33</v>
      </c>
      <c r="Q1551" s="10" t="s">
        <v>54</v>
      </c>
      <c r="R1551" s="10" t="s">
        <v>28</v>
      </c>
      <c r="S1551" s="10"/>
      <c r="T1551" s="10"/>
      <c r="U1551" s="10" t="s">
        <v>3284</v>
      </c>
      <c r="V1551" s="10" t="s">
        <v>3284</v>
      </c>
      <c r="W1551" s="50">
        <f>+J1551/$W$2</f>
        <v>7.1227409292949684E-6</v>
      </c>
    </row>
    <row r="1552" spans="1:29">
      <c r="A1552" s="10" t="s">
        <v>1765</v>
      </c>
      <c r="B1552" s="10" t="s">
        <v>358</v>
      </c>
      <c r="C1552" s="124">
        <v>46367</v>
      </c>
      <c r="D1552" s="124" t="s">
        <v>471</v>
      </c>
      <c r="E1552" s="21">
        <v>0.9625783</v>
      </c>
      <c r="F1552" s="10"/>
      <c r="G1552" s="14">
        <v>604613.32999999996</v>
      </c>
      <c r="H1552" s="14">
        <v>581987.67000000004</v>
      </c>
      <c r="I1552" s="14">
        <v>604613.32999999996</v>
      </c>
      <c r="J1552" s="14">
        <v>581987.67000000004</v>
      </c>
      <c r="K1552" s="12">
        <v>19719</v>
      </c>
      <c r="L1552" s="10" t="s">
        <v>101</v>
      </c>
      <c r="M1552" s="10" t="s">
        <v>102</v>
      </c>
      <c r="N1552" s="124" t="s">
        <v>417</v>
      </c>
      <c r="O1552" s="124" t="s">
        <v>417</v>
      </c>
      <c r="P1552" s="21">
        <v>33</v>
      </c>
      <c r="Q1552" s="10" t="s">
        <v>54</v>
      </c>
      <c r="R1552" s="10" t="s">
        <v>28</v>
      </c>
      <c r="S1552" s="10"/>
      <c r="T1552" s="10"/>
      <c r="U1552" s="10" t="s">
        <v>3285</v>
      </c>
      <c r="V1552" s="10" t="s">
        <v>3285</v>
      </c>
      <c r="W1552" s="50">
        <f>+J1552/$W$2</f>
        <v>7.1227409292949684E-6</v>
      </c>
    </row>
    <row r="1553" spans="1:29">
      <c r="A1553" s="10" t="s">
        <v>574</v>
      </c>
      <c r="B1553" s="10" t="s">
        <v>358</v>
      </c>
      <c r="C1553" s="124">
        <v>46367</v>
      </c>
      <c r="D1553" s="124" t="s">
        <v>471</v>
      </c>
      <c r="E1553" s="21">
        <v>0.96586399000000001</v>
      </c>
      <c r="F1553" s="10"/>
      <c r="G1553" s="14">
        <v>150000000</v>
      </c>
      <c r="H1553" s="14">
        <v>144879597.78</v>
      </c>
      <c r="I1553" s="14">
        <v>150000000</v>
      </c>
      <c r="J1553" s="14">
        <v>144879597.78</v>
      </c>
      <c r="K1553" s="12">
        <v>90004274</v>
      </c>
      <c r="L1553" s="10" t="s">
        <v>101</v>
      </c>
      <c r="M1553" s="10" t="s">
        <v>102</v>
      </c>
      <c r="N1553" s="124" t="s">
        <v>452</v>
      </c>
      <c r="O1553" s="124" t="s">
        <v>452</v>
      </c>
      <c r="P1553" s="21">
        <v>30</v>
      </c>
      <c r="Q1553" s="10" t="s">
        <v>54</v>
      </c>
      <c r="R1553" s="10" t="s">
        <v>28</v>
      </c>
      <c r="S1553" s="10"/>
      <c r="T1553" s="10"/>
      <c r="U1553" s="10" t="s">
        <v>2518</v>
      </c>
      <c r="V1553" s="10" t="s">
        <v>2518</v>
      </c>
      <c r="W1553" s="50">
        <f>+J1553/$W$2</f>
        <v>1.7731300749505542E-3</v>
      </c>
      <c r="AC1553" s="47"/>
    </row>
    <row r="1554" spans="1:29">
      <c r="A1554" s="10" t="s">
        <v>574</v>
      </c>
      <c r="B1554" s="10" t="s">
        <v>358</v>
      </c>
      <c r="C1554" s="124">
        <v>46367</v>
      </c>
      <c r="D1554" s="124" t="s">
        <v>471</v>
      </c>
      <c r="E1554" s="21">
        <v>0.96586413000000004</v>
      </c>
      <c r="F1554" s="10"/>
      <c r="G1554" s="14">
        <v>100000000</v>
      </c>
      <c r="H1554" s="14">
        <v>96586412.700000003</v>
      </c>
      <c r="I1554" s="14">
        <v>100000000</v>
      </c>
      <c r="J1554" s="14">
        <v>96586412.700000003</v>
      </c>
      <c r="K1554" s="12">
        <v>90004286</v>
      </c>
      <c r="L1554" s="10" t="s">
        <v>101</v>
      </c>
      <c r="M1554" s="10" t="s">
        <v>102</v>
      </c>
      <c r="N1554" s="124" t="s">
        <v>440</v>
      </c>
      <c r="O1554" s="124" t="s">
        <v>440</v>
      </c>
      <c r="P1554" s="21">
        <v>30</v>
      </c>
      <c r="Q1554" s="10" t="s">
        <v>54</v>
      </c>
      <c r="R1554" s="10" t="s">
        <v>28</v>
      </c>
      <c r="S1554" s="10"/>
      <c r="T1554" s="10"/>
      <c r="U1554" s="10" t="s">
        <v>2696</v>
      </c>
      <c r="V1554" s="10" t="s">
        <v>2696</v>
      </c>
      <c r="W1554" s="50">
        <f>+J1554/$W$2</f>
        <v>1.1820868901776997E-3</v>
      </c>
    </row>
    <row r="1555" spans="1:29">
      <c r="A1555" s="10" t="s">
        <v>3324</v>
      </c>
      <c r="B1555" s="10" t="s">
        <v>358</v>
      </c>
      <c r="C1555" s="124">
        <v>46367</v>
      </c>
      <c r="D1555" s="124" t="s">
        <v>471</v>
      </c>
      <c r="E1555" s="21">
        <v>0.96257828999999995</v>
      </c>
      <c r="F1555" s="10"/>
      <c r="G1555" s="14">
        <v>3171089.32</v>
      </c>
      <c r="H1555" s="14">
        <v>3052421.72</v>
      </c>
      <c r="I1555" s="14">
        <v>3171089.32</v>
      </c>
      <c r="J1555" s="14">
        <v>3052421.72</v>
      </c>
      <c r="K1555" s="12">
        <v>16802868</v>
      </c>
      <c r="L1555" s="10" t="s">
        <v>101</v>
      </c>
      <c r="M1555" s="10" t="s">
        <v>102</v>
      </c>
      <c r="N1555" s="124" t="s">
        <v>417</v>
      </c>
      <c r="O1555" s="124" t="s">
        <v>417</v>
      </c>
      <c r="P1555" s="21">
        <v>33</v>
      </c>
      <c r="Q1555" s="10" t="s">
        <v>54</v>
      </c>
      <c r="R1555" s="10" t="s">
        <v>28</v>
      </c>
      <c r="S1555" s="10"/>
      <c r="T1555" s="10"/>
      <c r="U1555" s="10" t="s">
        <v>3245</v>
      </c>
      <c r="V1555" s="10" t="s">
        <v>3245</v>
      </c>
      <c r="W1555" s="50">
        <f>+J1555/$W$2</f>
        <v>3.7357508138467855E-5</v>
      </c>
    </row>
    <row r="1556" spans="1:29">
      <c r="A1556" s="10" t="s">
        <v>589</v>
      </c>
      <c r="B1556" s="10" t="s">
        <v>358</v>
      </c>
      <c r="C1556" s="124">
        <v>46367</v>
      </c>
      <c r="D1556" s="124" t="s">
        <v>471</v>
      </c>
      <c r="E1556" s="21">
        <v>0.96367100999999999</v>
      </c>
      <c r="F1556" s="10"/>
      <c r="G1556" s="14">
        <v>25000000</v>
      </c>
      <c r="H1556" s="14">
        <v>24091775.32</v>
      </c>
      <c r="I1556" s="14">
        <v>25000000</v>
      </c>
      <c r="J1556" s="14">
        <v>24091775.32</v>
      </c>
      <c r="K1556" s="12">
        <v>467</v>
      </c>
      <c r="L1556" s="10" t="s">
        <v>101</v>
      </c>
      <c r="M1556" s="10" t="s">
        <v>102</v>
      </c>
      <c r="N1556" s="124" t="s">
        <v>448</v>
      </c>
      <c r="O1556" s="124" t="s">
        <v>448</v>
      </c>
      <c r="P1556" s="21">
        <v>32</v>
      </c>
      <c r="Q1556" s="10" t="s">
        <v>54</v>
      </c>
      <c r="R1556" s="10" t="s">
        <v>28</v>
      </c>
      <c r="S1556" s="10"/>
      <c r="T1556" s="10"/>
      <c r="U1556" s="10" t="s">
        <v>3158</v>
      </c>
      <c r="V1556" s="10" t="s">
        <v>3158</v>
      </c>
      <c r="W1556" s="50">
        <f>+J1556/$W$2</f>
        <v>2.9485070384934853E-4</v>
      </c>
    </row>
    <row r="1557" spans="1:29">
      <c r="A1557" s="10" t="s">
        <v>362</v>
      </c>
      <c r="B1557" s="10" t="s">
        <v>358</v>
      </c>
      <c r="C1557" s="124">
        <v>46367</v>
      </c>
      <c r="D1557" s="124" t="s">
        <v>471</v>
      </c>
      <c r="E1557" s="21">
        <v>0.96257824999999997</v>
      </c>
      <c r="F1557" s="10"/>
      <c r="G1557" s="14">
        <v>12000000</v>
      </c>
      <c r="H1557" s="14">
        <v>11550939.039999999</v>
      </c>
      <c r="I1557" s="14">
        <v>12000000</v>
      </c>
      <c r="J1557" s="14">
        <v>11550939.039999999</v>
      </c>
      <c r="K1557" s="12">
        <v>4340</v>
      </c>
      <c r="L1557" s="10" t="s">
        <v>101</v>
      </c>
      <c r="M1557" s="10" t="s">
        <v>102</v>
      </c>
      <c r="N1557" s="124" t="s">
        <v>412</v>
      </c>
      <c r="O1557" s="124" t="s">
        <v>412</v>
      </c>
      <c r="P1557" s="21">
        <v>33</v>
      </c>
      <c r="Q1557" s="10" t="s">
        <v>54</v>
      </c>
      <c r="R1557" s="10" t="s">
        <v>28</v>
      </c>
      <c r="S1557" s="10"/>
      <c r="T1557" s="10"/>
      <c r="U1557" s="10" t="s">
        <v>2800</v>
      </c>
      <c r="V1557" s="10" t="s">
        <v>2800</v>
      </c>
      <c r="W1557" s="50">
        <f>+J1557/$W$2</f>
        <v>1.4136785109553803E-4</v>
      </c>
    </row>
    <row r="1558" spans="1:29">
      <c r="A1558" s="10" t="s">
        <v>362</v>
      </c>
      <c r="B1558" s="10" t="s">
        <v>358</v>
      </c>
      <c r="C1558" s="124">
        <v>46367</v>
      </c>
      <c r="D1558" s="124" t="s">
        <v>471</v>
      </c>
      <c r="E1558" s="21">
        <v>0.96257819</v>
      </c>
      <c r="F1558" s="10"/>
      <c r="G1558" s="14">
        <v>25000000</v>
      </c>
      <c r="H1558" s="14">
        <v>24064454.649999999</v>
      </c>
      <c r="I1558" s="14">
        <v>25000000</v>
      </c>
      <c r="J1558" s="14">
        <v>24064454.649999999</v>
      </c>
      <c r="K1558" s="12">
        <v>4294</v>
      </c>
      <c r="L1558" s="10" t="s">
        <v>101</v>
      </c>
      <c r="M1558" s="10" t="s">
        <v>102</v>
      </c>
      <c r="N1558" s="124" t="s">
        <v>439</v>
      </c>
      <c r="O1558" s="124" t="s">
        <v>439</v>
      </c>
      <c r="P1558" s="21">
        <v>33</v>
      </c>
      <c r="Q1558" s="10" t="s">
        <v>54</v>
      </c>
      <c r="R1558" s="10" t="s">
        <v>28</v>
      </c>
      <c r="S1558" s="10"/>
      <c r="T1558" s="10"/>
      <c r="U1558" s="10" t="s">
        <v>2280</v>
      </c>
      <c r="V1558" s="10" t="s">
        <v>2280</v>
      </c>
      <c r="W1558" s="50">
        <f>+J1558/$W$2</f>
        <v>2.9451633584731717E-4</v>
      </c>
    </row>
    <row r="1559" spans="1:29">
      <c r="A1559" s="10" t="s">
        <v>583</v>
      </c>
      <c r="B1559" s="10" t="s">
        <v>358</v>
      </c>
      <c r="C1559" s="124">
        <v>46367</v>
      </c>
      <c r="D1559" s="124" t="s">
        <v>471</v>
      </c>
      <c r="E1559" s="21">
        <v>0.95715123999999996</v>
      </c>
      <c r="F1559" s="10"/>
      <c r="G1559" s="14">
        <v>50000000</v>
      </c>
      <c r="H1559" s="14">
        <v>47857562.119999997</v>
      </c>
      <c r="I1559" s="14">
        <v>50000000</v>
      </c>
      <c r="J1559" s="14">
        <v>47857562.119999997</v>
      </c>
      <c r="K1559" s="12">
        <v>70393092</v>
      </c>
      <c r="L1559" s="10" t="s">
        <v>101</v>
      </c>
      <c r="M1559" s="10" t="s">
        <v>102</v>
      </c>
      <c r="N1559" s="124" t="s">
        <v>412</v>
      </c>
      <c r="O1559" s="124" t="s">
        <v>412</v>
      </c>
      <c r="P1559" s="21">
        <v>38</v>
      </c>
      <c r="Q1559" s="10" t="s">
        <v>54</v>
      </c>
      <c r="R1559" s="10" t="s">
        <v>28</v>
      </c>
      <c r="S1559" s="10"/>
      <c r="T1559" s="10"/>
      <c r="U1559" s="10" t="s">
        <v>2801</v>
      </c>
      <c r="V1559" s="10" t="s">
        <v>2801</v>
      </c>
      <c r="W1559" s="50">
        <f>+J1559/$W$2</f>
        <v>5.8571174968088317E-4</v>
      </c>
    </row>
    <row r="1560" spans="1:29">
      <c r="A1560" s="10" t="s">
        <v>583</v>
      </c>
      <c r="B1560" s="10" t="s">
        <v>358</v>
      </c>
      <c r="C1560" s="124">
        <v>46367</v>
      </c>
      <c r="D1560" s="124" t="s">
        <v>471</v>
      </c>
      <c r="E1560" s="21">
        <v>0.95715123999999996</v>
      </c>
      <c r="F1560" s="10"/>
      <c r="G1560" s="14">
        <v>50000000</v>
      </c>
      <c r="H1560" s="14">
        <v>47857562.119999997</v>
      </c>
      <c r="I1560" s="14">
        <v>50000000</v>
      </c>
      <c r="J1560" s="14">
        <v>47857562.119999997</v>
      </c>
      <c r="K1560" s="12">
        <v>70393089</v>
      </c>
      <c r="L1560" s="10" t="s">
        <v>101</v>
      </c>
      <c r="M1560" s="10" t="s">
        <v>102</v>
      </c>
      <c r="N1560" s="124" t="s">
        <v>412</v>
      </c>
      <c r="O1560" s="124" t="s">
        <v>412</v>
      </c>
      <c r="P1560" s="21">
        <v>38</v>
      </c>
      <c r="Q1560" s="10" t="s">
        <v>54</v>
      </c>
      <c r="R1560" s="10" t="s">
        <v>28</v>
      </c>
      <c r="S1560" s="10"/>
      <c r="T1560" s="10"/>
      <c r="U1560" s="10" t="s">
        <v>2803</v>
      </c>
      <c r="V1560" s="10" t="s">
        <v>2803</v>
      </c>
      <c r="W1560" s="50">
        <f>+J1560/$W$2</f>
        <v>5.8571174968088317E-4</v>
      </c>
    </row>
    <row r="1561" spans="1:29">
      <c r="A1561" s="10" t="s">
        <v>583</v>
      </c>
      <c r="B1561" s="10" t="s">
        <v>358</v>
      </c>
      <c r="C1561" s="124">
        <v>46367</v>
      </c>
      <c r="D1561" s="124" t="s">
        <v>471</v>
      </c>
      <c r="E1561" s="21">
        <v>0.95715123999999996</v>
      </c>
      <c r="F1561" s="10"/>
      <c r="G1561" s="14">
        <v>25000000</v>
      </c>
      <c r="H1561" s="14">
        <v>23928781.059999999</v>
      </c>
      <c r="I1561" s="14">
        <v>25000000</v>
      </c>
      <c r="J1561" s="14">
        <v>23928781.059999999</v>
      </c>
      <c r="K1561" s="12">
        <v>70393091</v>
      </c>
      <c r="L1561" s="10" t="s">
        <v>101</v>
      </c>
      <c r="M1561" s="10" t="s">
        <v>102</v>
      </c>
      <c r="N1561" s="124" t="s">
        <v>412</v>
      </c>
      <c r="O1561" s="124" t="s">
        <v>412</v>
      </c>
      <c r="P1561" s="21">
        <v>38</v>
      </c>
      <c r="Q1561" s="10" t="s">
        <v>54</v>
      </c>
      <c r="R1561" s="10" t="s">
        <v>28</v>
      </c>
      <c r="S1561" s="10"/>
      <c r="T1561" s="10"/>
      <c r="U1561" s="10" t="s">
        <v>2804</v>
      </c>
      <c r="V1561" s="10" t="s">
        <v>2804</v>
      </c>
      <c r="W1561" s="50">
        <f>+J1561/$W$2</f>
        <v>2.9285587484044159E-4</v>
      </c>
    </row>
    <row r="1562" spans="1:29">
      <c r="A1562" s="10" t="s">
        <v>295</v>
      </c>
      <c r="B1562" s="10" t="s">
        <v>358</v>
      </c>
      <c r="C1562" s="124">
        <v>46367</v>
      </c>
      <c r="D1562" s="124" t="s">
        <v>471</v>
      </c>
      <c r="E1562" s="21">
        <v>0.97698081999999997</v>
      </c>
      <c r="F1562" s="10"/>
      <c r="G1562" s="14">
        <v>9300000</v>
      </c>
      <c r="H1562" s="14">
        <v>9085921.6699999999</v>
      </c>
      <c r="I1562" s="14">
        <v>9300000</v>
      </c>
      <c r="J1562" s="14">
        <v>9085921.6699999999</v>
      </c>
      <c r="K1562" s="12">
        <v>34618</v>
      </c>
      <c r="L1562" s="10" t="s">
        <v>101</v>
      </c>
      <c r="M1562" s="10" t="s">
        <v>102</v>
      </c>
      <c r="N1562" s="124" t="s">
        <v>440</v>
      </c>
      <c r="O1562" s="124" t="s">
        <v>440</v>
      </c>
      <c r="P1562" s="21">
        <v>20</v>
      </c>
      <c r="Q1562" s="10" t="s">
        <v>54</v>
      </c>
      <c r="R1562" s="10" t="s">
        <v>28</v>
      </c>
      <c r="S1562" s="10"/>
      <c r="T1562" s="10"/>
      <c r="U1562" s="10" t="s">
        <v>2680</v>
      </c>
      <c r="V1562" s="10" t="s">
        <v>2680</v>
      </c>
      <c r="W1562" s="50">
        <f>+J1562/$W$2</f>
        <v>1.1119937671407555E-4</v>
      </c>
    </row>
    <row r="1563" spans="1:29">
      <c r="A1563" s="10" t="s">
        <v>132</v>
      </c>
      <c r="B1563" s="10" t="s">
        <v>358</v>
      </c>
      <c r="C1563" s="124">
        <v>46367</v>
      </c>
      <c r="D1563" s="124" t="s">
        <v>471</v>
      </c>
      <c r="E1563" s="21">
        <v>0.96367099000000001</v>
      </c>
      <c r="F1563" s="10"/>
      <c r="G1563" s="14">
        <v>85000000</v>
      </c>
      <c r="H1563" s="14">
        <v>81912034.299999997</v>
      </c>
      <c r="I1563" s="14">
        <v>85000000</v>
      </c>
      <c r="J1563" s="14">
        <v>81912034.299999997</v>
      </c>
      <c r="K1563" s="12">
        <v>1042</v>
      </c>
      <c r="L1563" s="10" t="s">
        <v>101</v>
      </c>
      <c r="M1563" s="10" t="s">
        <v>102</v>
      </c>
      <c r="N1563" s="124" t="s">
        <v>471</v>
      </c>
      <c r="O1563" s="124" t="s">
        <v>471</v>
      </c>
      <c r="P1563" s="21">
        <v>32</v>
      </c>
      <c r="Q1563" s="10" t="s">
        <v>54</v>
      </c>
      <c r="R1563" s="10" t="s">
        <v>28</v>
      </c>
      <c r="S1563" s="10"/>
      <c r="T1563" s="10"/>
      <c r="U1563" s="10" t="s">
        <v>4138</v>
      </c>
      <c r="V1563" s="10" t="s">
        <v>4138</v>
      </c>
      <c r="W1563" s="50">
        <f>+J1563/$W$2</f>
        <v>1.0024923712050862E-3</v>
      </c>
    </row>
    <row r="1564" spans="1:29">
      <c r="A1564" s="10" t="s">
        <v>433</v>
      </c>
      <c r="B1564" s="10" t="s">
        <v>358</v>
      </c>
      <c r="C1564" s="124">
        <v>46367</v>
      </c>
      <c r="D1564" s="124" t="s">
        <v>471</v>
      </c>
      <c r="E1564" s="21">
        <v>0.96257820999999999</v>
      </c>
      <c r="F1564" s="10"/>
      <c r="G1564" s="14">
        <v>25000000</v>
      </c>
      <c r="H1564" s="14">
        <v>24064455.170000002</v>
      </c>
      <c r="I1564" s="14">
        <v>25000000</v>
      </c>
      <c r="J1564" s="14">
        <v>24064455.170000002</v>
      </c>
      <c r="K1564" s="12">
        <v>14422597</v>
      </c>
      <c r="L1564" s="10" t="s">
        <v>101</v>
      </c>
      <c r="M1564" s="10" t="s">
        <v>102</v>
      </c>
      <c r="N1564" s="124" t="s">
        <v>365</v>
      </c>
      <c r="O1564" s="124" t="s">
        <v>365</v>
      </c>
      <c r="P1564" s="21">
        <v>33</v>
      </c>
      <c r="Q1564" s="10" t="s">
        <v>54</v>
      </c>
      <c r="R1564" s="10" t="s">
        <v>28</v>
      </c>
      <c r="S1564" s="10"/>
      <c r="T1564" s="10"/>
      <c r="U1564" s="10" t="s">
        <v>1341</v>
      </c>
      <c r="V1564" s="10" t="s">
        <v>1341</v>
      </c>
      <c r="W1564" s="50">
        <f>+J1564/$W$2</f>
        <v>2.94516342211413E-4</v>
      </c>
    </row>
    <row r="1565" spans="1:29">
      <c r="A1565" s="10" t="s">
        <v>433</v>
      </c>
      <c r="B1565" s="10" t="s">
        <v>358</v>
      </c>
      <c r="C1565" s="124">
        <v>46367</v>
      </c>
      <c r="D1565" s="124" t="s">
        <v>471</v>
      </c>
      <c r="E1565" s="21">
        <v>0.96257822999999998</v>
      </c>
      <c r="F1565" s="10"/>
      <c r="G1565" s="14">
        <v>12500000</v>
      </c>
      <c r="H1565" s="14">
        <v>12032227.859999999</v>
      </c>
      <c r="I1565" s="14">
        <v>12500000</v>
      </c>
      <c r="J1565" s="14">
        <v>12032227.859999999</v>
      </c>
      <c r="K1565" s="12">
        <v>14651815</v>
      </c>
      <c r="L1565" s="10" t="s">
        <v>101</v>
      </c>
      <c r="M1565" s="10" t="s">
        <v>102</v>
      </c>
      <c r="N1565" s="124" t="s">
        <v>603</v>
      </c>
      <c r="O1565" s="124" t="s">
        <v>603</v>
      </c>
      <c r="P1565" s="21">
        <v>33</v>
      </c>
      <c r="Q1565" s="10" t="s">
        <v>54</v>
      </c>
      <c r="R1565" s="10" t="s">
        <v>28</v>
      </c>
      <c r="S1565" s="10"/>
      <c r="T1565" s="10"/>
      <c r="U1565" s="10" t="s">
        <v>2642</v>
      </c>
      <c r="V1565" s="10" t="s">
        <v>2642</v>
      </c>
      <c r="W1565" s="50">
        <f>+J1565/$W$2</f>
        <v>1.4725817447133407E-4</v>
      </c>
    </row>
    <row r="1566" spans="1:29">
      <c r="A1566" s="10" t="s">
        <v>433</v>
      </c>
      <c r="B1566" s="10" t="s">
        <v>358</v>
      </c>
      <c r="C1566" s="124">
        <v>46367</v>
      </c>
      <c r="D1566" s="124" t="s">
        <v>471</v>
      </c>
      <c r="E1566" s="21">
        <v>0.96257822999999998</v>
      </c>
      <c r="F1566" s="10"/>
      <c r="G1566" s="14">
        <v>12500000</v>
      </c>
      <c r="H1566" s="14">
        <v>12032227.859999999</v>
      </c>
      <c r="I1566" s="14">
        <v>12500000</v>
      </c>
      <c r="J1566" s="14">
        <v>12032227.859999999</v>
      </c>
      <c r="K1566" s="12">
        <v>14651818</v>
      </c>
      <c r="L1566" s="10" t="s">
        <v>101</v>
      </c>
      <c r="M1566" s="10" t="s">
        <v>102</v>
      </c>
      <c r="N1566" s="124" t="s">
        <v>603</v>
      </c>
      <c r="O1566" s="124" t="s">
        <v>603</v>
      </c>
      <c r="P1566" s="21">
        <v>33</v>
      </c>
      <c r="Q1566" s="10" t="s">
        <v>54</v>
      </c>
      <c r="R1566" s="10" t="s">
        <v>28</v>
      </c>
      <c r="S1566" s="10"/>
      <c r="T1566" s="10"/>
      <c r="U1566" s="10" t="s">
        <v>2643</v>
      </c>
      <c r="V1566" s="10" t="s">
        <v>2643</v>
      </c>
      <c r="W1566" s="50">
        <f>+J1566/$W$2</f>
        <v>1.4725817447133407E-4</v>
      </c>
    </row>
    <row r="1567" spans="1:29">
      <c r="A1567" s="10" t="s">
        <v>434</v>
      </c>
      <c r="B1567" s="10" t="s">
        <v>358</v>
      </c>
      <c r="C1567" s="124">
        <v>46367</v>
      </c>
      <c r="D1567" s="124" t="s">
        <v>471</v>
      </c>
      <c r="E1567" s="21">
        <v>0.96257813999999997</v>
      </c>
      <c r="F1567" s="10"/>
      <c r="G1567" s="14">
        <v>2500000</v>
      </c>
      <c r="H1567" s="14">
        <v>2406445.36</v>
      </c>
      <c r="I1567" s="14">
        <v>2500000</v>
      </c>
      <c r="J1567" s="14">
        <v>2406445.36</v>
      </c>
      <c r="K1567" s="12">
        <v>681</v>
      </c>
      <c r="L1567" s="10" t="s">
        <v>101</v>
      </c>
      <c r="M1567" s="10" t="s">
        <v>102</v>
      </c>
      <c r="N1567" s="124" t="s">
        <v>478</v>
      </c>
      <c r="O1567" s="124" t="s">
        <v>478</v>
      </c>
      <c r="P1567" s="21">
        <v>33</v>
      </c>
      <c r="Q1567" s="10" t="s">
        <v>54</v>
      </c>
      <c r="R1567" s="10" t="s">
        <v>28</v>
      </c>
      <c r="S1567" s="10"/>
      <c r="T1567" s="10"/>
      <c r="U1567" s="10" t="s">
        <v>2173</v>
      </c>
      <c r="V1567" s="10" t="s">
        <v>2173</v>
      </c>
      <c r="W1567" s="50">
        <f>+J1567/$W$2</f>
        <v>2.9451632299673913E-5</v>
      </c>
    </row>
    <row r="1568" spans="1:29">
      <c r="A1568" s="10" t="s">
        <v>444</v>
      </c>
      <c r="B1568" s="10" t="s">
        <v>358</v>
      </c>
      <c r="C1568" s="124">
        <v>46367</v>
      </c>
      <c r="D1568" s="124" t="s">
        <v>471</v>
      </c>
      <c r="E1568" s="21">
        <v>0.95823163</v>
      </c>
      <c r="F1568" s="10"/>
      <c r="G1568" s="14">
        <v>15000000</v>
      </c>
      <c r="H1568" s="14">
        <v>14373474.5</v>
      </c>
      <c r="I1568" s="14">
        <v>15000000</v>
      </c>
      <c r="J1568" s="14">
        <v>14373474.5</v>
      </c>
      <c r="K1568" s="12">
        <v>90023086</v>
      </c>
      <c r="L1568" s="10" t="s">
        <v>101</v>
      </c>
      <c r="M1568" s="10" t="s">
        <v>102</v>
      </c>
      <c r="N1568" s="124" t="s">
        <v>156</v>
      </c>
      <c r="O1568" s="124" t="s">
        <v>156</v>
      </c>
      <c r="P1568" s="21">
        <v>37</v>
      </c>
      <c r="Q1568" s="10" t="s">
        <v>54</v>
      </c>
      <c r="R1568" s="10" t="s">
        <v>28</v>
      </c>
      <c r="S1568" s="10"/>
      <c r="T1568" s="10"/>
      <c r="U1568" s="10" t="s">
        <v>555</v>
      </c>
      <c r="V1568" s="10" t="s">
        <v>555</v>
      </c>
      <c r="W1568" s="50">
        <f>+J1568/$W$2</f>
        <v>1.7591186273298114E-4</v>
      </c>
    </row>
    <row r="1569" spans="1:29">
      <c r="A1569" s="10" t="s">
        <v>3593</v>
      </c>
      <c r="B1569" s="10" t="s">
        <v>358</v>
      </c>
      <c r="C1569" s="124">
        <v>46367</v>
      </c>
      <c r="D1569" s="124" t="s">
        <v>471</v>
      </c>
      <c r="E1569" s="21">
        <v>0.96476622000000001</v>
      </c>
      <c r="F1569" s="10"/>
      <c r="G1569" s="14">
        <v>3798755.04</v>
      </c>
      <c r="H1569" s="14">
        <v>3664910.53</v>
      </c>
      <c r="I1569" s="14">
        <v>3798755.04</v>
      </c>
      <c r="J1569" s="14">
        <v>3664910.53</v>
      </c>
      <c r="K1569" s="12">
        <v>90001388</v>
      </c>
      <c r="L1569" s="10" t="s">
        <v>101</v>
      </c>
      <c r="M1569" s="10" t="s">
        <v>102</v>
      </c>
      <c r="N1569" s="124" t="s">
        <v>451</v>
      </c>
      <c r="O1569" s="124" t="s">
        <v>451</v>
      </c>
      <c r="P1569" s="21">
        <v>31</v>
      </c>
      <c r="Q1569" s="10" t="s">
        <v>54</v>
      </c>
      <c r="R1569" s="10" t="s">
        <v>28</v>
      </c>
      <c r="S1569" s="10"/>
      <c r="T1569" s="10"/>
      <c r="U1569" s="10" t="s">
        <v>3444</v>
      </c>
      <c r="V1569" s="10" t="s">
        <v>3444</v>
      </c>
      <c r="W1569" s="50">
        <f>+J1569/$W$2</f>
        <v>4.4853541715471585E-5</v>
      </c>
    </row>
    <row r="1570" spans="1:29">
      <c r="A1570" s="10" t="s">
        <v>3402</v>
      </c>
      <c r="B1570" s="10" t="s">
        <v>358</v>
      </c>
      <c r="C1570" s="124">
        <v>46367</v>
      </c>
      <c r="D1570" s="124" t="s">
        <v>471</v>
      </c>
      <c r="E1570" s="21">
        <v>0.96586408999999995</v>
      </c>
      <c r="F1570" s="10"/>
      <c r="G1570" s="14">
        <v>5280714.5999999996</v>
      </c>
      <c r="H1570" s="14">
        <v>5100452.62</v>
      </c>
      <c r="I1570" s="14">
        <v>5280714.5999999996</v>
      </c>
      <c r="J1570" s="14">
        <v>5100452.62</v>
      </c>
      <c r="K1570" s="12">
        <v>77</v>
      </c>
      <c r="L1570" s="10" t="s">
        <v>101</v>
      </c>
      <c r="M1570" s="10" t="s">
        <v>102</v>
      </c>
      <c r="N1570" s="124" t="s">
        <v>475</v>
      </c>
      <c r="O1570" s="124" t="s">
        <v>475</v>
      </c>
      <c r="P1570" s="21">
        <v>30</v>
      </c>
      <c r="Q1570" s="10" t="s">
        <v>54</v>
      </c>
      <c r="R1570" s="10" t="s">
        <v>28</v>
      </c>
      <c r="S1570" s="10"/>
      <c r="T1570" s="10"/>
      <c r="U1570" s="10" t="s">
        <v>3342</v>
      </c>
      <c r="V1570" s="10" t="s">
        <v>3342</v>
      </c>
      <c r="W1570" s="50">
        <f>+J1570/$W$2</f>
        <v>6.2422632827262048E-5</v>
      </c>
    </row>
    <row r="1571" spans="1:29">
      <c r="A1571" s="10" t="s">
        <v>3406</v>
      </c>
      <c r="B1571" s="10" t="s">
        <v>358</v>
      </c>
      <c r="C1571" s="124">
        <v>46367</v>
      </c>
      <c r="D1571" s="124" t="s">
        <v>471</v>
      </c>
      <c r="E1571" s="21">
        <v>0.96367104999999997</v>
      </c>
      <c r="F1571" s="10"/>
      <c r="G1571" s="14">
        <v>1380247.28</v>
      </c>
      <c r="H1571" s="14">
        <v>1330104.3400000001</v>
      </c>
      <c r="I1571" s="14">
        <v>1380247.28</v>
      </c>
      <c r="J1571" s="14">
        <v>1330104.3400000001</v>
      </c>
      <c r="K1571" s="12">
        <v>5366</v>
      </c>
      <c r="L1571" s="10" t="s">
        <v>101</v>
      </c>
      <c r="M1571" s="10" t="s">
        <v>102</v>
      </c>
      <c r="N1571" s="124" t="s">
        <v>475</v>
      </c>
      <c r="O1571" s="124" t="s">
        <v>475</v>
      </c>
      <c r="P1571" s="21">
        <v>32</v>
      </c>
      <c r="Q1571" s="10" t="s">
        <v>54</v>
      </c>
      <c r="R1571" s="10" t="s">
        <v>28</v>
      </c>
      <c r="S1571" s="10"/>
      <c r="T1571" s="10"/>
      <c r="U1571" s="10" t="s">
        <v>3361</v>
      </c>
      <c r="V1571" s="10" t="s">
        <v>3361</v>
      </c>
      <c r="W1571" s="50">
        <f>+J1571/$W$2</f>
        <v>1.6278675839903741E-5</v>
      </c>
    </row>
    <row r="1572" spans="1:29">
      <c r="A1572" s="10" t="s">
        <v>685</v>
      </c>
      <c r="B1572" s="10" t="s">
        <v>358</v>
      </c>
      <c r="C1572" s="124">
        <v>46367</v>
      </c>
      <c r="D1572" s="124" t="s">
        <v>471</v>
      </c>
      <c r="E1572" s="21">
        <v>0.9658641</v>
      </c>
      <c r="F1572" s="10"/>
      <c r="G1572" s="14">
        <v>1500000</v>
      </c>
      <c r="H1572" s="14">
        <v>1448796.15</v>
      </c>
      <c r="I1572" s="14">
        <v>1500000</v>
      </c>
      <c r="J1572" s="14">
        <v>1448796.15</v>
      </c>
      <c r="K1572" s="12">
        <v>10793608</v>
      </c>
      <c r="L1572" s="10" t="s">
        <v>101</v>
      </c>
      <c r="M1572" s="10" t="s">
        <v>102</v>
      </c>
      <c r="N1572" s="124" t="s">
        <v>475</v>
      </c>
      <c r="O1572" s="124" t="s">
        <v>475</v>
      </c>
      <c r="P1572" s="21">
        <v>30</v>
      </c>
      <c r="Q1572" s="10" t="s">
        <v>54</v>
      </c>
      <c r="R1572" s="10" t="s">
        <v>28</v>
      </c>
      <c r="S1572" s="10"/>
      <c r="T1572" s="10"/>
      <c r="U1572" s="10" t="s">
        <v>3327</v>
      </c>
      <c r="V1572" s="10" t="s">
        <v>3327</v>
      </c>
      <c r="W1572" s="50">
        <f>+J1572/$W$2</f>
        <v>1.7731302857000339E-5</v>
      </c>
    </row>
    <row r="1573" spans="1:29">
      <c r="A1573" s="10" t="s">
        <v>3304</v>
      </c>
      <c r="B1573" s="10" t="s">
        <v>358</v>
      </c>
      <c r="C1573" s="124">
        <v>46367</v>
      </c>
      <c r="D1573" s="124" t="s">
        <v>471</v>
      </c>
      <c r="E1573" s="21">
        <v>0.96257828000000001</v>
      </c>
      <c r="F1573" s="10"/>
      <c r="G1573" s="14">
        <v>1288598.56</v>
      </c>
      <c r="H1573" s="14">
        <v>1240376.99</v>
      </c>
      <c r="I1573" s="14">
        <v>1288598.56</v>
      </c>
      <c r="J1573" s="14">
        <v>1240376.99</v>
      </c>
      <c r="K1573" s="12">
        <v>9695</v>
      </c>
      <c r="L1573" s="10" t="s">
        <v>101</v>
      </c>
      <c r="M1573" s="10" t="s">
        <v>102</v>
      </c>
      <c r="N1573" s="124" t="s">
        <v>417</v>
      </c>
      <c r="O1573" s="124" t="s">
        <v>417</v>
      </c>
      <c r="P1573" s="21">
        <v>33</v>
      </c>
      <c r="Q1573" s="10" t="s">
        <v>54</v>
      </c>
      <c r="R1573" s="10" t="s">
        <v>28</v>
      </c>
      <c r="S1573" s="10"/>
      <c r="T1573" s="10"/>
      <c r="U1573" s="10" t="s">
        <v>3239</v>
      </c>
      <c r="V1573" s="10" t="s">
        <v>3239</v>
      </c>
      <c r="W1573" s="50">
        <f>+J1573/$W$2</f>
        <v>1.5180534588350806E-5</v>
      </c>
      <c r="AC1573" s="47"/>
    </row>
    <row r="1574" spans="1:29">
      <c r="A1574" s="10" t="s">
        <v>438</v>
      </c>
      <c r="B1574" s="10" t="s">
        <v>358</v>
      </c>
      <c r="C1574" s="124">
        <v>46367</v>
      </c>
      <c r="D1574" s="124" t="s">
        <v>471</v>
      </c>
      <c r="E1574" s="21">
        <v>0.97028024000000002</v>
      </c>
      <c r="F1574" s="10"/>
      <c r="G1574" s="14">
        <v>1483266.4</v>
      </c>
      <c r="H1574" s="14">
        <v>1439184.08</v>
      </c>
      <c r="I1574" s="14">
        <v>1483266.4</v>
      </c>
      <c r="J1574" s="14">
        <v>1439184.08</v>
      </c>
      <c r="K1574" s="12">
        <v>11</v>
      </c>
      <c r="L1574" s="10" t="s">
        <v>101</v>
      </c>
      <c r="M1574" s="10" t="s">
        <v>102</v>
      </c>
      <c r="N1574" s="124" t="s">
        <v>471</v>
      </c>
      <c r="O1574" s="124" t="s">
        <v>471</v>
      </c>
      <c r="P1574" s="21">
        <v>26</v>
      </c>
      <c r="Q1574" s="10" t="s">
        <v>54</v>
      </c>
      <c r="R1574" s="10" t="s">
        <v>28</v>
      </c>
      <c r="S1574" s="10"/>
      <c r="T1574" s="10"/>
      <c r="U1574" s="10" t="s">
        <v>4066</v>
      </c>
      <c r="V1574" s="10" t="s">
        <v>4066</v>
      </c>
      <c r="W1574" s="50">
        <f>+J1574/$W$2</f>
        <v>1.7613664137258652E-5</v>
      </c>
    </row>
    <row r="1575" spans="1:29">
      <c r="A1575" s="10" t="s">
        <v>3801</v>
      </c>
      <c r="B1575" s="10" t="s">
        <v>358</v>
      </c>
      <c r="C1575" s="124">
        <v>46367</v>
      </c>
      <c r="D1575" s="124" t="s">
        <v>471</v>
      </c>
      <c r="E1575" s="21">
        <v>0.96257828000000001</v>
      </c>
      <c r="F1575" s="10"/>
      <c r="G1575" s="14">
        <v>6406139.1799999997</v>
      </c>
      <c r="H1575" s="14">
        <v>6166410.4400000004</v>
      </c>
      <c r="I1575" s="14">
        <v>6406139.1799999997</v>
      </c>
      <c r="J1575" s="14">
        <v>6166410.4400000004</v>
      </c>
      <c r="K1575" s="12">
        <v>178</v>
      </c>
      <c r="L1575" s="10" t="s">
        <v>101</v>
      </c>
      <c r="M1575" s="10" t="s">
        <v>102</v>
      </c>
      <c r="N1575" s="124" t="s">
        <v>467</v>
      </c>
      <c r="O1575" s="124" t="s">
        <v>467</v>
      </c>
      <c r="P1575" s="21">
        <v>33</v>
      </c>
      <c r="Q1575" s="10" t="s">
        <v>54</v>
      </c>
      <c r="R1575" s="10" t="s">
        <v>28</v>
      </c>
      <c r="S1575" s="10"/>
      <c r="T1575" s="10"/>
      <c r="U1575" s="10" t="s">
        <v>3762</v>
      </c>
      <c r="V1575" s="10" t="s">
        <v>3762</v>
      </c>
      <c r="W1575" s="50">
        <f>+J1575/$W$2</f>
        <v>7.5468512980386322E-5</v>
      </c>
    </row>
    <row r="1576" spans="1:29">
      <c r="A1576" s="10" t="s">
        <v>367</v>
      </c>
      <c r="B1576" s="10" t="s">
        <v>358</v>
      </c>
      <c r="C1576" s="124">
        <v>46367</v>
      </c>
      <c r="D1576" s="124" t="s">
        <v>471</v>
      </c>
      <c r="E1576" s="21">
        <v>0.96148785999999997</v>
      </c>
      <c r="F1576" s="10"/>
      <c r="G1576" s="14">
        <v>4000000</v>
      </c>
      <c r="H1576" s="14">
        <v>3845951.46</v>
      </c>
      <c r="I1576" s="14">
        <v>4000000</v>
      </c>
      <c r="J1576" s="14">
        <v>3845951.46</v>
      </c>
      <c r="K1576" s="12">
        <v>90000054</v>
      </c>
      <c r="L1576" s="10" t="s">
        <v>101</v>
      </c>
      <c r="M1576" s="10" t="s">
        <v>102</v>
      </c>
      <c r="N1576" s="124" t="s">
        <v>316</v>
      </c>
      <c r="O1576" s="124" t="s">
        <v>316</v>
      </c>
      <c r="P1576" s="21">
        <v>34</v>
      </c>
      <c r="Q1576" s="10" t="s">
        <v>54</v>
      </c>
      <c r="R1576" s="10" t="s">
        <v>28</v>
      </c>
      <c r="S1576" s="10"/>
      <c r="T1576" s="10"/>
      <c r="U1576" s="10" t="s">
        <v>584</v>
      </c>
      <c r="V1576" s="10" t="s">
        <v>584</v>
      </c>
      <c r="W1576" s="50">
        <f>+J1576/$W$2</f>
        <v>4.706923752563991E-5</v>
      </c>
    </row>
    <row r="1577" spans="1:29">
      <c r="A1577" s="10" t="s">
        <v>2900</v>
      </c>
      <c r="B1577" s="10" t="s">
        <v>358</v>
      </c>
      <c r="C1577" s="124">
        <v>46367</v>
      </c>
      <c r="D1577" s="124" t="s">
        <v>471</v>
      </c>
      <c r="E1577" s="21">
        <v>0.96476625000000005</v>
      </c>
      <c r="F1577" s="10"/>
      <c r="G1577" s="14">
        <v>19203276.93</v>
      </c>
      <c r="H1577" s="14">
        <v>18526673.390000001</v>
      </c>
      <c r="I1577" s="14">
        <v>19203276.93</v>
      </c>
      <c r="J1577" s="14">
        <v>18526673.390000001</v>
      </c>
      <c r="K1577" s="12">
        <v>2019</v>
      </c>
      <c r="L1577" s="10" t="s">
        <v>101</v>
      </c>
      <c r="M1577" s="10" t="s">
        <v>102</v>
      </c>
      <c r="N1577" s="124" t="s">
        <v>413</v>
      </c>
      <c r="O1577" s="124" t="s">
        <v>413</v>
      </c>
      <c r="P1577" s="21">
        <v>31</v>
      </c>
      <c r="Q1577" s="10" t="s">
        <v>54</v>
      </c>
      <c r="R1577" s="10" t="s">
        <v>28</v>
      </c>
      <c r="S1577" s="10"/>
      <c r="T1577" s="10"/>
      <c r="U1577" s="10" t="s">
        <v>2877</v>
      </c>
      <c r="V1577" s="10" t="s">
        <v>2877</v>
      </c>
      <c r="W1577" s="50">
        <f>+J1577/$W$2</f>
        <v>2.2674139271478544E-4</v>
      </c>
    </row>
    <row r="1578" spans="1:29">
      <c r="A1578" s="10" t="s">
        <v>2967</v>
      </c>
      <c r="B1578" s="10" t="s">
        <v>358</v>
      </c>
      <c r="C1578" s="124">
        <v>46367</v>
      </c>
      <c r="D1578" s="124" t="s">
        <v>471</v>
      </c>
      <c r="E1578" s="21">
        <v>0.96586408000000001</v>
      </c>
      <c r="F1578" s="10"/>
      <c r="G1578" s="14">
        <v>2666356.5</v>
      </c>
      <c r="H1578" s="14">
        <v>2575337.96</v>
      </c>
      <c r="I1578" s="14">
        <v>2666356.5</v>
      </c>
      <c r="J1578" s="14">
        <v>2575337.96</v>
      </c>
      <c r="K1578" s="12">
        <v>656</v>
      </c>
      <c r="L1578" s="10" t="s">
        <v>101</v>
      </c>
      <c r="M1578" s="10" t="s">
        <v>102</v>
      </c>
      <c r="N1578" s="124" t="s">
        <v>411</v>
      </c>
      <c r="O1578" s="124" t="s">
        <v>411</v>
      </c>
      <c r="P1578" s="21">
        <v>30</v>
      </c>
      <c r="Q1578" s="10" t="s">
        <v>54</v>
      </c>
      <c r="R1578" s="10" t="s">
        <v>28</v>
      </c>
      <c r="S1578" s="10"/>
      <c r="T1578" s="10"/>
      <c r="U1578" s="10" t="s">
        <v>2913</v>
      </c>
      <c r="V1578" s="10" t="s">
        <v>2913</v>
      </c>
      <c r="W1578" s="50">
        <f>+J1578/$W$2</f>
        <v>3.1518649002407573E-5</v>
      </c>
    </row>
    <row r="1579" spans="1:29">
      <c r="A1579" s="10" t="s">
        <v>3059</v>
      </c>
      <c r="B1579" s="10" t="s">
        <v>358</v>
      </c>
      <c r="C1579" s="124">
        <v>46367</v>
      </c>
      <c r="D1579" s="124" t="s">
        <v>471</v>
      </c>
      <c r="E1579" s="21">
        <v>0.96257831000000005</v>
      </c>
      <c r="F1579" s="10"/>
      <c r="G1579" s="14">
        <v>10990958.880000001</v>
      </c>
      <c r="H1579" s="14">
        <v>10579658.66</v>
      </c>
      <c r="I1579" s="14">
        <v>10990958.880000001</v>
      </c>
      <c r="J1579" s="14">
        <v>10579658.66</v>
      </c>
      <c r="K1579" s="12">
        <v>40939688</v>
      </c>
      <c r="L1579" s="10" t="s">
        <v>101</v>
      </c>
      <c r="M1579" s="10" t="s">
        <v>102</v>
      </c>
      <c r="N1579" s="124" t="s">
        <v>508</v>
      </c>
      <c r="O1579" s="124" t="s">
        <v>508</v>
      </c>
      <c r="P1579" s="21">
        <v>33</v>
      </c>
      <c r="Q1579" s="10" t="s">
        <v>54</v>
      </c>
      <c r="R1579" s="10" t="s">
        <v>28</v>
      </c>
      <c r="S1579" s="10"/>
      <c r="T1579" s="10"/>
      <c r="U1579" s="10" t="s">
        <v>3025</v>
      </c>
      <c r="V1579" s="10" t="s">
        <v>3025</v>
      </c>
      <c r="W1579" s="50">
        <f>+J1579/$W$2</f>
        <v>1.2948069459195236E-4</v>
      </c>
    </row>
    <row r="1580" spans="1:29">
      <c r="A1580" s="10" t="s">
        <v>379</v>
      </c>
      <c r="B1580" s="10" t="s">
        <v>358</v>
      </c>
      <c r="C1580" s="124">
        <v>46367</v>
      </c>
      <c r="D1580" s="124" t="s">
        <v>471</v>
      </c>
      <c r="E1580" s="21">
        <v>0.96806716000000004</v>
      </c>
      <c r="F1580" s="10"/>
      <c r="G1580" s="14">
        <v>20519816.280000001</v>
      </c>
      <c r="H1580" s="14">
        <v>19864560.289999999</v>
      </c>
      <c r="I1580" s="14">
        <v>20519816.280000001</v>
      </c>
      <c r="J1580" s="14">
        <v>19864560.289999999</v>
      </c>
      <c r="K1580" s="12">
        <v>76906097</v>
      </c>
      <c r="L1580" s="10" t="s">
        <v>101</v>
      </c>
      <c r="M1580" s="10" t="s">
        <v>102</v>
      </c>
      <c r="N1580" s="124" t="s">
        <v>408</v>
      </c>
      <c r="O1580" s="124" t="s">
        <v>408</v>
      </c>
      <c r="P1580" s="21">
        <v>28</v>
      </c>
      <c r="Q1580" s="10" t="s">
        <v>54</v>
      </c>
      <c r="R1580" s="10" t="s">
        <v>28</v>
      </c>
      <c r="S1580" s="10"/>
      <c r="T1580" s="10"/>
      <c r="U1580" s="10" t="s">
        <v>2075</v>
      </c>
      <c r="V1580" s="10" t="s">
        <v>2075</v>
      </c>
      <c r="W1580" s="50">
        <f>+J1580/$W$2</f>
        <v>2.4311531654962814E-4</v>
      </c>
    </row>
    <row r="1581" spans="1:29">
      <c r="A1581" s="10" t="s">
        <v>622</v>
      </c>
      <c r="B1581" s="10" t="s">
        <v>358</v>
      </c>
      <c r="C1581" s="124">
        <v>46367</v>
      </c>
      <c r="D1581" s="124" t="s">
        <v>471</v>
      </c>
      <c r="E1581" s="21">
        <v>0.96806707000000003</v>
      </c>
      <c r="F1581" s="10"/>
      <c r="G1581" s="14">
        <v>69542230</v>
      </c>
      <c r="H1581" s="14">
        <v>67321542.959999993</v>
      </c>
      <c r="I1581" s="14">
        <v>69542230</v>
      </c>
      <c r="J1581" s="14">
        <v>67321542.959999993</v>
      </c>
      <c r="K1581" s="12">
        <v>155355</v>
      </c>
      <c r="L1581" s="10" t="s">
        <v>101</v>
      </c>
      <c r="M1581" s="10" t="s">
        <v>102</v>
      </c>
      <c r="N1581" s="124" t="s">
        <v>297</v>
      </c>
      <c r="O1581" s="124" t="s">
        <v>297</v>
      </c>
      <c r="P1581" s="21">
        <v>28</v>
      </c>
      <c r="Q1581" s="10" t="s">
        <v>54</v>
      </c>
      <c r="R1581" s="10" t="s">
        <v>28</v>
      </c>
      <c r="S1581" s="10"/>
      <c r="T1581" s="10"/>
      <c r="U1581" s="10" t="s">
        <v>619</v>
      </c>
      <c r="V1581" s="10" t="s">
        <v>619</v>
      </c>
      <c r="W1581" s="50">
        <f>+J1581/$W$2</f>
        <v>8.239245162435855E-4</v>
      </c>
    </row>
    <row r="1582" spans="1:29">
      <c r="A1582" s="10" t="s">
        <v>2320</v>
      </c>
      <c r="B1582" s="10" t="s">
        <v>358</v>
      </c>
      <c r="C1582" s="124">
        <v>46367</v>
      </c>
      <c r="D1582" s="124" t="s">
        <v>471</v>
      </c>
      <c r="E1582" s="21">
        <v>0.96696439999999995</v>
      </c>
      <c r="F1582" s="10"/>
      <c r="G1582" s="14">
        <v>70000000</v>
      </c>
      <c r="H1582" s="14">
        <v>67687507.909999996</v>
      </c>
      <c r="I1582" s="14">
        <v>70000000</v>
      </c>
      <c r="J1582" s="14">
        <v>67687507.909999996</v>
      </c>
      <c r="K1582" s="12">
        <v>83299238</v>
      </c>
      <c r="L1582" s="10" t="s">
        <v>101</v>
      </c>
      <c r="M1582" s="10" t="s">
        <v>102</v>
      </c>
      <c r="N1582" s="124" t="s">
        <v>477</v>
      </c>
      <c r="O1582" s="124" t="s">
        <v>477</v>
      </c>
      <c r="P1582" s="21">
        <v>29</v>
      </c>
      <c r="Q1582" s="10" t="s">
        <v>54</v>
      </c>
      <c r="R1582" s="10" t="s">
        <v>28</v>
      </c>
      <c r="S1582" s="10"/>
      <c r="T1582" s="10"/>
      <c r="U1582" s="10" t="s">
        <v>2374</v>
      </c>
      <c r="V1582" s="10" t="s">
        <v>2374</v>
      </c>
      <c r="W1582" s="50">
        <f>+J1582/$W$2</f>
        <v>8.2840343162688291E-4</v>
      </c>
    </row>
    <row r="1583" spans="1:29">
      <c r="A1583" s="10" t="s">
        <v>270</v>
      </c>
      <c r="B1583" s="10" t="s">
        <v>358</v>
      </c>
      <c r="C1583" s="124">
        <v>46367</v>
      </c>
      <c r="D1583" s="124" t="s">
        <v>471</v>
      </c>
      <c r="E1583" s="21">
        <v>0.96696433000000004</v>
      </c>
      <c r="F1583" s="10"/>
      <c r="G1583" s="14">
        <v>5311841.87</v>
      </c>
      <c r="H1583" s="14">
        <v>5136361.5999999996</v>
      </c>
      <c r="I1583" s="14">
        <v>5311841.87</v>
      </c>
      <c r="J1583" s="14">
        <v>5136361.5999999996</v>
      </c>
      <c r="K1583" s="12">
        <v>90000278</v>
      </c>
      <c r="L1583" s="10" t="s">
        <v>101</v>
      </c>
      <c r="M1583" s="10" t="s">
        <v>102</v>
      </c>
      <c r="N1583" s="124" t="s">
        <v>333</v>
      </c>
      <c r="O1583" s="124" t="s">
        <v>333</v>
      </c>
      <c r="P1583" s="21">
        <v>29</v>
      </c>
      <c r="Q1583" s="10" t="s">
        <v>54</v>
      </c>
      <c r="R1583" s="10" t="s">
        <v>28</v>
      </c>
      <c r="S1583" s="10"/>
      <c r="T1583" s="10"/>
      <c r="U1583" s="10" t="s">
        <v>643</v>
      </c>
      <c r="V1583" s="10" t="s">
        <v>643</v>
      </c>
      <c r="W1583" s="50">
        <f>+J1583/$W$2</f>
        <v>6.2862110113052718E-5</v>
      </c>
    </row>
    <row r="1584" spans="1:29">
      <c r="A1584" s="10" t="s">
        <v>3318</v>
      </c>
      <c r="B1584" s="10" t="s">
        <v>358</v>
      </c>
      <c r="C1584" s="124">
        <v>46367</v>
      </c>
      <c r="D1584" s="124" t="s">
        <v>471</v>
      </c>
      <c r="E1584" s="21">
        <v>0.96257828000000001</v>
      </c>
      <c r="F1584" s="10"/>
      <c r="G1584" s="14">
        <v>3966584.9</v>
      </c>
      <c r="H1584" s="14">
        <v>3818148.46</v>
      </c>
      <c r="I1584" s="14">
        <v>3966584.9</v>
      </c>
      <c r="J1584" s="14">
        <v>3818148.46</v>
      </c>
      <c r="K1584" s="12">
        <v>11396514</v>
      </c>
      <c r="L1584" s="10" t="s">
        <v>101</v>
      </c>
      <c r="M1584" s="10" t="s">
        <v>102</v>
      </c>
      <c r="N1584" s="124" t="s">
        <v>417</v>
      </c>
      <c r="O1584" s="124" t="s">
        <v>417</v>
      </c>
      <c r="P1584" s="21">
        <v>33</v>
      </c>
      <c r="Q1584" s="10" t="s">
        <v>54</v>
      </c>
      <c r="R1584" s="10" t="s">
        <v>28</v>
      </c>
      <c r="S1584" s="10"/>
      <c r="T1584" s="10"/>
      <c r="U1584" s="10" t="s">
        <v>3243</v>
      </c>
      <c r="V1584" s="10" t="s">
        <v>3243</v>
      </c>
      <c r="W1584" s="50">
        <f>+J1584/$W$2</f>
        <v>4.6728966457599609E-5</v>
      </c>
    </row>
    <row r="1585" spans="1:29">
      <c r="A1585" s="10" t="s">
        <v>3605</v>
      </c>
      <c r="B1585" s="10" t="s">
        <v>358</v>
      </c>
      <c r="C1585" s="124">
        <v>46367</v>
      </c>
      <c r="D1585" s="124" t="s">
        <v>471</v>
      </c>
      <c r="E1585" s="21">
        <v>0.96257813000000003</v>
      </c>
      <c r="F1585" s="10"/>
      <c r="G1585" s="14">
        <v>1094039.6000000001</v>
      </c>
      <c r="H1585" s="14">
        <v>1053098.5900000001</v>
      </c>
      <c r="I1585" s="14">
        <v>1094039.6000000001</v>
      </c>
      <c r="J1585" s="14">
        <v>1053098.5900000001</v>
      </c>
      <c r="K1585" s="12">
        <v>70366885</v>
      </c>
      <c r="L1585" s="10" t="s">
        <v>101</v>
      </c>
      <c r="M1585" s="10" t="s">
        <v>102</v>
      </c>
      <c r="N1585" s="124" t="s">
        <v>451</v>
      </c>
      <c r="O1585" s="124" t="s">
        <v>451</v>
      </c>
      <c r="P1585" s="21">
        <v>33</v>
      </c>
      <c r="Q1585" s="10" t="s">
        <v>54</v>
      </c>
      <c r="R1585" s="10" t="s">
        <v>28</v>
      </c>
      <c r="S1585" s="10"/>
      <c r="T1585" s="10"/>
      <c r="U1585" s="10" t="s">
        <v>3557</v>
      </c>
      <c r="V1585" s="10" t="s">
        <v>3557</v>
      </c>
      <c r="W1585" s="50">
        <f>+J1585/$W$2</f>
        <v>1.288850059241946E-5</v>
      </c>
    </row>
    <row r="1586" spans="1:29">
      <c r="A1586" s="10" t="s">
        <v>3605</v>
      </c>
      <c r="B1586" s="10" t="s">
        <v>358</v>
      </c>
      <c r="C1586" s="124">
        <v>46367</v>
      </c>
      <c r="D1586" s="124" t="s">
        <v>471</v>
      </c>
      <c r="E1586" s="21">
        <v>0.96257813000000003</v>
      </c>
      <c r="F1586" s="10"/>
      <c r="G1586" s="14">
        <v>1680593.48</v>
      </c>
      <c r="H1586" s="14">
        <v>1617702.53</v>
      </c>
      <c r="I1586" s="14">
        <v>1680593.48</v>
      </c>
      <c r="J1586" s="14">
        <v>1617702.53</v>
      </c>
      <c r="K1586" s="12">
        <v>70321503</v>
      </c>
      <c r="L1586" s="10" t="s">
        <v>101</v>
      </c>
      <c r="M1586" s="10" t="s">
        <v>102</v>
      </c>
      <c r="N1586" s="124" t="s">
        <v>451</v>
      </c>
      <c r="O1586" s="124" t="s">
        <v>451</v>
      </c>
      <c r="P1586" s="21">
        <v>33</v>
      </c>
      <c r="Q1586" s="10" t="s">
        <v>54</v>
      </c>
      <c r="R1586" s="10" t="s">
        <v>28</v>
      </c>
      <c r="S1586" s="10"/>
      <c r="T1586" s="10"/>
      <c r="U1586" s="10" t="s">
        <v>3560</v>
      </c>
      <c r="V1586" s="10" t="s">
        <v>3560</v>
      </c>
      <c r="W1586" s="50">
        <f>+J1586/$W$2</f>
        <v>1.9798488208272558E-5</v>
      </c>
    </row>
    <row r="1587" spans="1:29">
      <c r="A1587" s="10" t="s">
        <v>2677</v>
      </c>
      <c r="B1587" s="10" t="s">
        <v>358</v>
      </c>
      <c r="C1587" s="124">
        <v>46367</v>
      </c>
      <c r="D1587" s="124" t="s">
        <v>471</v>
      </c>
      <c r="E1587" s="21">
        <v>0.96257822999999998</v>
      </c>
      <c r="F1587" s="10"/>
      <c r="G1587" s="14">
        <v>7500000</v>
      </c>
      <c r="H1587" s="14">
        <v>7219336.71</v>
      </c>
      <c r="I1587" s="14">
        <v>7500000</v>
      </c>
      <c r="J1587" s="14">
        <v>7219336.71</v>
      </c>
      <c r="K1587" s="12">
        <v>70407057</v>
      </c>
      <c r="L1587" s="10" t="s">
        <v>101</v>
      </c>
      <c r="M1587" s="10" t="s">
        <v>102</v>
      </c>
      <c r="N1587" s="124" t="s">
        <v>603</v>
      </c>
      <c r="O1587" s="124" t="s">
        <v>603</v>
      </c>
      <c r="P1587" s="21">
        <v>33</v>
      </c>
      <c r="Q1587" s="10" t="s">
        <v>54</v>
      </c>
      <c r="R1587" s="10" t="s">
        <v>28</v>
      </c>
      <c r="S1587" s="10"/>
      <c r="T1587" s="10"/>
      <c r="U1587" s="10" t="s">
        <v>2613</v>
      </c>
      <c r="V1587" s="10" t="s">
        <v>2613</v>
      </c>
      <c r="W1587" s="50">
        <f>+J1587/$W$2</f>
        <v>8.8354904609368575E-5</v>
      </c>
    </row>
    <row r="1588" spans="1:29">
      <c r="A1588" s="10" t="s">
        <v>2741</v>
      </c>
      <c r="B1588" s="10" t="s">
        <v>358</v>
      </c>
      <c r="C1588" s="124">
        <v>46367</v>
      </c>
      <c r="D1588" s="124" t="s">
        <v>471</v>
      </c>
      <c r="E1588" s="21">
        <v>0.96367100000000006</v>
      </c>
      <c r="F1588" s="10"/>
      <c r="G1588" s="14">
        <v>50000000</v>
      </c>
      <c r="H1588" s="14">
        <v>48183550.140000001</v>
      </c>
      <c r="I1588" s="14">
        <v>50000000</v>
      </c>
      <c r="J1588" s="14">
        <v>48183550.140000001</v>
      </c>
      <c r="K1588" s="12">
        <v>587</v>
      </c>
      <c r="L1588" s="10" t="s">
        <v>101</v>
      </c>
      <c r="M1588" s="10" t="s">
        <v>102</v>
      </c>
      <c r="N1588" s="124" t="s">
        <v>466</v>
      </c>
      <c r="O1588" s="124" t="s">
        <v>466</v>
      </c>
      <c r="P1588" s="21">
        <v>32</v>
      </c>
      <c r="Q1588" s="10" t="s">
        <v>54</v>
      </c>
      <c r="R1588" s="10" t="s">
        <v>28</v>
      </c>
      <c r="S1588" s="10"/>
      <c r="T1588" s="10"/>
      <c r="U1588" s="10" t="s">
        <v>3647</v>
      </c>
      <c r="V1588" s="10" t="s">
        <v>3647</v>
      </c>
      <c r="W1588" s="50">
        <f>+J1588/$W$2</f>
        <v>5.8970140157937412E-4</v>
      </c>
    </row>
    <row r="1589" spans="1:29">
      <c r="A1589" s="10" t="s">
        <v>2016</v>
      </c>
      <c r="B1589" s="10" t="s">
        <v>358</v>
      </c>
      <c r="C1589" s="124">
        <v>46370</v>
      </c>
      <c r="D1589" s="124" t="s">
        <v>471</v>
      </c>
      <c r="E1589" s="21">
        <v>0.96474073999999999</v>
      </c>
      <c r="F1589" s="10"/>
      <c r="G1589" s="14">
        <v>1700854.14</v>
      </c>
      <c r="H1589" s="14">
        <v>1640883.28</v>
      </c>
      <c r="I1589" s="14">
        <v>1700854.14</v>
      </c>
      <c r="J1589" s="14">
        <v>1640883.28</v>
      </c>
      <c r="K1589" s="12">
        <v>7025</v>
      </c>
      <c r="L1589" s="10" t="s">
        <v>101</v>
      </c>
      <c r="M1589" s="10" t="s">
        <v>102</v>
      </c>
      <c r="N1589" s="124" t="s">
        <v>469</v>
      </c>
      <c r="O1589" s="124" t="s">
        <v>469</v>
      </c>
      <c r="P1589" s="21">
        <v>29</v>
      </c>
      <c r="Q1589" s="10" t="s">
        <v>54</v>
      </c>
      <c r="R1589" s="10" t="s">
        <v>28</v>
      </c>
      <c r="S1589" s="10"/>
      <c r="T1589" s="10"/>
      <c r="U1589" s="10" t="s">
        <v>3935</v>
      </c>
      <c r="V1589" s="10" t="s">
        <v>3935</v>
      </c>
      <c r="W1589" s="50">
        <f>+J1589/$W$2</f>
        <v>2.0082189195952855E-5</v>
      </c>
    </row>
    <row r="1590" spans="1:29">
      <c r="A1590" s="10" t="s">
        <v>400</v>
      </c>
      <c r="B1590" s="10" t="s">
        <v>358</v>
      </c>
      <c r="C1590" s="124">
        <v>46370</v>
      </c>
      <c r="D1590" s="124" t="s">
        <v>471</v>
      </c>
      <c r="E1590" s="21">
        <v>0.96591514000000001</v>
      </c>
      <c r="F1590" s="10"/>
      <c r="G1590" s="14">
        <v>40400000</v>
      </c>
      <c r="H1590" s="14">
        <v>39022971.780000001</v>
      </c>
      <c r="I1590" s="14">
        <v>40400000</v>
      </c>
      <c r="J1590" s="14">
        <v>39022971.780000001</v>
      </c>
      <c r="K1590" s="12">
        <v>82410318</v>
      </c>
      <c r="L1590" s="10" t="s">
        <v>101</v>
      </c>
      <c r="M1590" s="10" t="s">
        <v>102</v>
      </c>
      <c r="N1590" s="124" t="s">
        <v>478</v>
      </c>
      <c r="O1590" s="124" t="s">
        <v>478</v>
      </c>
      <c r="P1590" s="21">
        <v>28</v>
      </c>
      <c r="Q1590" s="10" t="s">
        <v>54</v>
      </c>
      <c r="R1590" s="10" t="s">
        <v>28</v>
      </c>
      <c r="S1590" s="10"/>
      <c r="T1590" s="10"/>
      <c r="U1590" s="10" t="s">
        <v>2145</v>
      </c>
      <c r="V1590" s="10" t="s">
        <v>2145</v>
      </c>
      <c r="W1590" s="50">
        <f>+J1590/$W$2</f>
        <v>4.7758832808284153E-4</v>
      </c>
      <c r="AC1590"/>
    </row>
    <row r="1591" spans="1:29">
      <c r="A1591" s="10" t="s">
        <v>334</v>
      </c>
      <c r="B1591" s="10" t="s">
        <v>358</v>
      </c>
      <c r="C1591" s="124">
        <v>46370</v>
      </c>
      <c r="D1591" s="124" t="s">
        <v>471</v>
      </c>
      <c r="E1591" s="21">
        <v>0.95659925000000001</v>
      </c>
      <c r="F1591" s="10"/>
      <c r="G1591" s="14">
        <v>3105640.28</v>
      </c>
      <c r="H1591" s="14">
        <v>2970853.16</v>
      </c>
      <c r="I1591" s="14">
        <v>3105640.28</v>
      </c>
      <c r="J1591" s="14">
        <v>2970853.16</v>
      </c>
      <c r="K1591" s="12">
        <v>3394</v>
      </c>
      <c r="L1591" s="10" t="s">
        <v>101</v>
      </c>
      <c r="M1591" s="10" t="s">
        <v>102</v>
      </c>
      <c r="N1591" s="124" t="s">
        <v>486</v>
      </c>
      <c r="O1591" s="124" t="s">
        <v>486</v>
      </c>
      <c r="P1591" s="21">
        <v>36</v>
      </c>
      <c r="Q1591" s="10" t="s">
        <v>54</v>
      </c>
      <c r="R1591" s="10" t="s">
        <v>28</v>
      </c>
      <c r="S1591" s="10"/>
      <c r="T1591" s="10"/>
      <c r="U1591" s="10" t="s">
        <v>1475</v>
      </c>
      <c r="V1591" s="10" t="s">
        <v>1475</v>
      </c>
      <c r="W1591" s="50">
        <f>+J1591/$W$2</f>
        <v>3.6359219427547823E-5</v>
      </c>
    </row>
    <row r="1592" spans="1:29">
      <c r="A1592" s="10" t="s">
        <v>334</v>
      </c>
      <c r="B1592" s="10" t="s">
        <v>358</v>
      </c>
      <c r="C1592" s="124">
        <v>46370</v>
      </c>
      <c r="D1592" s="124" t="s">
        <v>471</v>
      </c>
      <c r="E1592" s="21">
        <v>0.95659927</v>
      </c>
      <c r="F1592" s="10"/>
      <c r="G1592" s="14">
        <v>2874176.47</v>
      </c>
      <c r="H1592" s="14">
        <v>2749435.11</v>
      </c>
      <c r="I1592" s="14">
        <v>2874176.47</v>
      </c>
      <c r="J1592" s="14">
        <v>2749435.11</v>
      </c>
      <c r="K1592" s="12">
        <v>3442</v>
      </c>
      <c r="L1592" s="10" t="s">
        <v>101</v>
      </c>
      <c r="M1592" s="10" t="s">
        <v>102</v>
      </c>
      <c r="N1592" s="124" t="s">
        <v>487</v>
      </c>
      <c r="O1592" s="124" t="s">
        <v>487</v>
      </c>
      <c r="P1592" s="21">
        <v>36</v>
      </c>
      <c r="Q1592" s="10" t="s">
        <v>54</v>
      </c>
      <c r="R1592" s="10" t="s">
        <v>28</v>
      </c>
      <c r="S1592" s="10"/>
      <c r="T1592" s="10"/>
      <c r="U1592" s="10" t="s">
        <v>1564</v>
      </c>
      <c r="V1592" s="10" t="s">
        <v>1564</v>
      </c>
      <c r="W1592" s="50">
        <f>+J1592/$W$2</f>
        <v>3.3649362348926759E-5</v>
      </c>
    </row>
    <row r="1593" spans="1:29">
      <c r="A1593" s="10" t="s">
        <v>1831</v>
      </c>
      <c r="B1593" s="10" t="s">
        <v>358</v>
      </c>
      <c r="C1593" s="124">
        <v>46370</v>
      </c>
      <c r="D1593" s="124" t="s">
        <v>471</v>
      </c>
      <c r="E1593" s="21">
        <v>0.96123468999999995</v>
      </c>
      <c r="F1593" s="10"/>
      <c r="G1593" s="14">
        <v>8000000</v>
      </c>
      <c r="H1593" s="14">
        <v>7689877.5099999998</v>
      </c>
      <c r="I1593" s="14">
        <v>8000000</v>
      </c>
      <c r="J1593" s="14">
        <v>7689877.5099999998</v>
      </c>
      <c r="K1593" s="12">
        <v>1791</v>
      </c>
      <c r="L1593" s="10" t="s">
        <v>101</v>
      </c>
      <c r="M1593" s="10" t="s">
        <v>102</v>
      </c>
      <c r="N1593" s="124" t="s">
        <v>395</v>
      </c>
      <c r="O1593" s="124" t="s">
        <v>395</v>
      </c>
      <c r="P1593" s="21">
        <v>32</v>
      </c>
      <c r="Q1593" s="10" t="s">
        <v>54</v>
      </c>
      <c r="R1593" s="10" t="s">
        <v>28</v>
      </c>
      <c r="S1593" s="10"/>
      <c r="T1593" s="10"/>
      <c r="U1593" s="10" t="s">
        <v>1822</v>
      </c>
      <c r="V1593" s="10" t="s">
        <v>1822</v>
      </c>
      <c r="W1593" s="50">
        <f>+J1593/$W$2</f>
        <v>9.4113686775772887E-5</v>
      </c>
    </row>
    <row r="1594" spans="1:29">
      <c r="A1594" s="10" t="s">
        <v>2017</v>
      </c>
      <c r="B1594" s="10" t="s">
        <v>358</v>
      </c>
      <c r="C1594" s="124">
        <v>46370</v>
      </c>
      <c r="D1594" s="124" t="s">
        <v>471</v>
      </c>
      <c r="E1594" s="21">
        <v>0.95775390000000005</v>
      </c>
      <c r="F1594" s="10"/>
      <c r="G1594" s="14">
        <v>5000000</v>
      </c>
      <c r="H1594" s="14">
        <v>4788769.49</v>
      </c>
      <c r="I1594" s="14">
        <v>5000000</v>
      </c>
      <c r="J1594" s="14">
        <v>4788769.49</v>
      </c>
      <c r="K1594" s="12">
        <v>542</v>
      </c>
      <c r="L1594" s="10" t="s">
        <v>101</v>
      </c>
      <c r="M1594" s="10" t="s">
        <v>102</v>
      </c>
      <c r="N1594" s="124" t="s">
        <v>449</v>
      </c>
      <c r="O1594" s="124" t="s">
        <v>449</v>
      </c>
      <c r="P1594" s="21">
        <v>35</v>
      </c>
      <c r="Q1594" s="10" t="s">
        <v>54</v>
      </c>
      <c r="R1594" s="10" t="s">
        <v>28</v>
      </c>
      <c r="S1594" s="10"/>
      <c r="T1594" s="10"/>
      <c r="U1594" s="10" t="s">
        <v>1976</v>
      </c>
      <c r="V1594" s="10" t="s">
        <v>1976</v>
      </c>
      <c r="W1594" s="50">
        <f>+J1594/$W$2</f>
        <v>5.8608053410104015E-5</v>
      </c>
    </row>
    <row r="1595" spans="1:29">
      <c r="A1595" s="10" t="s">
        <v>401</v>
      </c>
      <c r="B1595" s="10" t="s">
        <v>358</v>
      </c>
      <c r="C1595" s="124">
        <v>46370</v>
      </c>
      <c r="D1595" s="124" t="s">
        <v>471</v>
      </c>
      <c r="E1595" s="21">
        <v>0.96591525</v>
      </c>
      <c r="F1595" s="10"/>
      <c r="G1595" s="14">
        <v>8400000</v>
      </c>
      <c r="H1595" s="14">
        <v>8113688.0700000003</v>
      </c>
      <c r="I1595" s="14">
        <v>8400000</v>
      </c>
      <c r="J1595" s="14">
        <v>8113688.0700000003</v>
      </c>
      <c r="K1595" s="12">
        <v>2456</v>
      </c>
      <c r="L1595" s="10" t="s">
        <v>101</v>
      </c>
      <c r="M1595" s="10" t="s">
        <v>102</v>
      </c>
      <c r="N1595" s="124" t="s">
        <v>408</v>
      </c>
      <c r="O1595" s="124" t="s">
        <v>408</v>
      </c>
      <c r="P1595" s="21">
        <v>28</v>
      </c>
      <c r="Q1595" s="10" t="s">
        <v>54</v>
      </c>
      <c r="R1595" s="10" t="s">
        <v>28</v>
      </c>
      <c r="S1595" s="10"/>
      <c r="T1595" s="10"/>
      <c r="U1595" s="10" t="s">
        <v>2063</v>
      </c>
      <c r="V1595" s="10" t="s">
        <v>2063</v>
      </c>
      <c r="W1595" s="50">
        <f>+J1595/$W$2</f>
        <v>9.9300554088579396E-5</v>
      </c>
    </row>
    <row r="1596" spans="1:29">
      <c r="A1596" s="10" t="s">
        <v>1600</v>
      </c>
      <c r="B1596" s="10" t="s">
        <v>358</v>
      </c>
      <c r="C1596" s="124">
        <v>46370</v>
      </c>
      <c r="D1596" s="124" t="s">
        <v>471</v>
      </c>
      <c r="E1596" s="21">
        <v>0.96007158000000004</v>
      </c>
      <c r="F1596" s="10"/>
      <c r="G1596" s="14">
        <v>5000000</v>
      </c>
      <c r="H1596" s="14">
        <v>4800357.9000000004</v>
      </c>
      <c r="I1596" s="14">
        <v>5000000</v>
      </c>
      <c r="J1596" s="14">
        <v>4800357.9000000004</v>
      </c>
      <c r="K1596" s="12">
        <v>2877</v>
      </c>
      <c r="L1596" s="10" t="s">
        <v>101</v>
      </c>
      <c r="M1596" s="10" t="s">
        <v>102</v>
      </c>
      <c r="N1596" s="124" t="s">
        <v>487</v>
      </c>
      <c r="O1596" s="124" t="s">
        <v>487</v>
      </c>
      <c r="P1596" s="21">
        <v>33</v>
      </c>
      <c r="Q1596" s="10" t="s">
        <v>54</v>
      </c>
      <c r="R1596" s="10" t="s">
        <v>28</v>
      </c>
      <c r="S1596" s="10"/>
      <c r="T1596" s="10"/>
      <c r="U1596" s="10" t="s">
        <v>1557</v>
      </c>
      <c r="V1596" s="10" t="s">
        <v>1557</v>
      </c>
      <c r="W1596" s="50">
        <f>+J1596/$W$2</f>
        <v>5.8749879855005249E-5</v>
      </c>
    </row>
    <row r="1597" spans="1:29">
      <c r="A1597" s="10" t="s">
        <v>1754</v>
      </c>
      <c r="B1597" s="10" t="s">
        <v>358</v>
      </c>
      <c r="C1597" s="124">
        <v>46370</v>
      </c>
      <c r="D1597" s="124" t="s">
        <v>471</v>
      </c>
      <c r="E1597" s="21">
        <v>0.96123464999999997</v>
      </c>
      <c r="F1597" s="10"/>
      <c r="G1597" s="14">
        <v>8123170.71</v>
      </c>
      <c r="H1597" s="14">
        <v>7808273.1200000001</v>
      </c>
      <c r="I1597" s="14">
        <v>8123170.71</v>
      </c>
      <c r="J1597" s="14">
        <v>7808273.1200000001</v>
      </c>
      <c r="K1597" s="12">
        <v>11245</v>
      </c>
      <c r="L1597" s="10" t="s">
        <v>101</v>
      </c>
      <c r="M1597" s="10" t="s">
        <v>102</v>
      </c>
      <c r="N1597" s="124" t="s">
        <v>398</v>
      </c>
      <c r="O1597" s="124" t="s">
        <v>398</v>
      </c>
      <c r="P1597" s="21">
        <v>32</v>
      </c>
      <c r="Q1597" s="10" t="s">
        <v>54</v>
      </c>
      <c r="R1597" s="10" t="s">
        <v>28</v>
      </c>
      <c r="S1597" s="10"/>
      <c r="T1597" s="10"/>
      <c r="U1597" s="10" t="s">
        <v>1703</v>
      </c>
      <c r="V1597" s="10" t="s">
        <v>1703</v>
      </c>
      <c r="W1597" s="50">
        <f>+J1597/$W$2</f>
        <v>9.5562688705995639E-5</v>
      </c>
    </row>
    <row r="1598" spans="1:29">
      <c r="A1598" s="10" t="s">
        <v>2826</v>
      </c>
      <c r="B1598" s="10" t="s">
        <v>358</v>
      </c>
      <c r="C1598" s="124">
        <v>46370</v>
      </c>
      <c r="D1598" s="124" t="s">
        <v>471</v>
      </c>
      <c r="E1598" s="21">
        <v>0.96123475000000003</v>
      </c>
      <c r="F1598" s="10"/>
      <c r="G1598" s="14">
        <v>5325299.2</v>
      </c>
      <c r="H1598" s="14">
        <v>5118862.67</v>
      </c>
      <c r="I1598" s="14">
        <v>5325299.2</v>
      </c>
      <c r="J1598" s="14">
        <v>5118862.67</v>
      </c>
      <c r="K1598" s="12">
        <v>52046620</v>
      </c>
      <c r="L1598" s="10" t="s">
        <v>101</v>
      </c>
      <c r="M1598" s="10" t="s">
        <v>102</v>
      </c>
      <c r="N1598" s="124" t="s">
        <v>412</v>
      </c>
      <c r="O1598" s="124" t="s">
        <v>412</v>
      </c>
      <c r="P1598" s="21">
        <v>32</v>
      </c>
      <c r="Q1598" s="10" t="s">
        <v>54</v>
      </c>
      <c r="R1598" s="10" t="s">
        <v>28</v>
      </c>
      <c r="S1598" s="10"/>
      <c r="T1598" s="10"/>
      <c r="U1598" s="10" t="s">
        <v>2777</v>
      </c>
      <c r="V1598" s="10" t="s">
        <v>2777</v>
      </c>
      <c r="W1598" s="50">
        <f>+J1598/$W$2</f>
        <v>6.2647946907619397E-5</v>
      </c>
    </row>
    <row r="1599" spans="1:29">
      <c r="A1599" s="10" t="s">
        <v>1759</v>
      </c>
      <c r="B1599" s="10" t="s">
        <v>358</v>
      </c>
      <c r="C1599" s="124">
        <v>46370</v>
      </c>
      <c r="D1599" s="124" t="s">
        <v>471</v>
      </c>
      <c r="E1599" s="21">
        <v>0.96123464999999997</v>
      </c>
      <c r="F1599" s="10"/>
      <c r="G1599" s="14">
        <v>428767.71</v>
      </c>
      <c r="H1599" s="14">
        <v>412146.38</v>
      </c>
      <c r="I1599" s="14">
        <v>428767.71</v>
      </c>
      <c r="J1599" s="14">
        <v>412146.38</v>
      </c>
      <c r="K1599" s="12">
        <v>1975206</v>
      </c>
      <c r="L1599" s="10" t="s">
        <v>101</v>
      </c>
      <c r="M1599" s="10" t="s">
        <v>102</v>
      </c>
      <c r="N1599" s="124" t="s">
        <v>398</v>
      </c>
      <c r="O1599" s="124" t="s">
        <v>398</v>
      </c>
      <c r="P1599" s="21">
        <v>32</v>
      </c>
      <c r="Q1599" s="10" t="s">
        <v>54</v>
      </c>
      <c r="R1599" s="10" t="s">
        <v>28</v>
      </c>
      <c r="S1599" s="10"/>
      <c r="T1599" s="10"/>
      <c r="U1599" s="10" t="s">
        <v>1726</v>
      </c>
      <c r="V1599" s="10" t="s">
        <v>1726</v>
      </c>
      <c r="W1599" s="50">
        <f>+J1599/$W$2</f>
        <v>5.0441135457161096E-6</v>
      </c>
    </row>
    <row r="1600" spans="1:29">
      <c r="A1600" s="10" t="s">
        <v>1761</v>
      </c>
      <c r="B1600" s="10" t="s">
        <v>358</v>
      </c>
      <c r="C1600" s="124">
        <v>46370</v>
      </c>
      <c r="D1600" s="124" t="s">
        <v>471</v>
      </c>
      <c r="E1600" s="21">
        <v>0.96123464999999997</v>
      </c>
      <c r="F1600" s="10"/>
      <c r="G1600" s="14">
        <v>17763197.079999998</v>
      </c>
      <c r="H1600" s="14">
        <v>17074600.440000001</v>
      </c>
      <c r="I1600" s="14">
        <v>17763197.079999998</v>
      </c>
      <c r="J1600" s="14">
        <v>17074600.440000001</v>
      </c>
      <c r="K1600" s="12">
        <v>1314</v>
      </c>
      <c r="L1600" s="10" t="s">
        <v>101</v>
      </c>
      <c r="M1600" s="10" t="s">
        <v>102</v>
      </c>
      <c r="N1600" s="124" t="s">
        <v>398</v>
      </c>
      <c r="O1600" s="124" t="s">
        <v>398</v>
      </c>
      <c r="P1600" s="21">
        <v>32</v>
      </c>
      <c r="Q1600" s="10" t="s">
        <v>54</v>
      </c>
      <c r="R1600" s="10" t="s">
        <v>28</v>
      </c>
      <c r="S1600" s="10"/>
      <c r="T1600" s="10"/>
      <c r="U1600" s="10" t="s">
        <v>1731</v>
      </c>
      <c r="V1600" s="10" t="s">
        <v>1731</v>
      </c>
      <c r="W1600" s="50">
        <f>+J1600/$W$2</f>
        <v>2.0896998626336168E-4</v>
      </c>
    </row>
    <row r="1601" spans="1:29">
      <c r="A1601" s="10" t="s">
        <v>2758</v>
      </c>
      <c r="B1601" s="10" t="s">
        <v>358</v>
      </c>
      <c r="C1601" s="124">
        <v>46370</v>
      </c>
      <c r="D1601" s="124" t="s">
        <v>471</v>
      </c>
      <c r="E1601" s="21">
        <v>0.96591521999999996</v>
      </c>
      <c r="F1601" s="10"/>
      <c r="G1601" s="14">
        <v>2600000</v>
      </c>
      <c r="H1601" s="14">
        <v>2511379.5699999998</v>
      </c>
      <c r="I1601" s="14">
        <v>2600000</v>
      </c>
      <c r="J1601" s="14">
        <v>2511379.5699999998</v>
      </c>
      <c r="K1601" s="12">
        <v>1757507</v>
      </c>
      <c r="L1601" s="10" t="s">
        <v>101</v>
      </c>
      <c r="M1601" s="10" t="s">
        <v>102</v>
      </c>
      <c r="N1601" s="124" t="s">
        <v>411</v>
      </c>
      <c r="O1601" s="124" t="s">
        <v>411</v>
      </c>
      <c r="P1601" s="21">
        <v>28</v>
      </c>
      <c r="Q1601" s="10" t="s">
        <v>54</v>
      </c>
      <c r="R1601" s="10" t="s">
        <v>28</v>
      </c>
      <c r="S1601" s="10"/>
      <c r="T1601" s="10"/>
      <c r="U1601" s="10" t="s">
        <v>2930</v>
      </c>
      <c r="V1601" s="10" t="s">
        <v>2930</v>
      </c>
      <c r="W1601" s="50">
        <f>+J1601/$W$2</f>
        <v>3.07358849238751E-5</v>
      </c>
    </row>
    <row r="1602" spans="1:29">
      <c r="A1602" s="10" t="s">
        <v>443</v>
      </c>
      <c r="B1602" s="10" t="s">
        <v>358</v>
      </c>
      <c r="C1602" s="124">
        <v>46370</v>
      </c>
      <c r="D1602" s="124" t="s">
        <v>471</v>
      </c>
      <c r="E1602" s="21">
        <v>0.96240053000000003</v>
      </c>
      <c r="F1602" s="10"/>
      <c r="G1602" s="14">
        <v>10000000</v>
      </c>
      <c r="H1602" s="14">
        <v>9624005.2799999993</v>
      </c>
      <c r="I1602" s="14">
        <v>10000000</v>
      </c>
      <c r="J1602" s="14">
        <v>9624005.2799999993</v>
      </c>
      <c r="K1602" s="12">
        <v>180</v>
      </c>
      <c r="L1602" s="10" t="s">
        <v>101</v>
      </c>
      <c r="M1602" s="10" t="s">
        <v>102</v>
      </c>
      <c r="N1602" s="124" t="s">
        <v>162</v>
      </c>
      <c r="O1602" s="124" t="s">
        <v>162</v>
      </c>
      <c r="P1602" s="21">
        <v>31</v>
      </c>
      <c r="Q1602" s="10" t="s">
        <v>54</v>
      </c>
      <c r="R1602" s="10" t="s">
        <v>28</v>
      </c>
      <c r="S1602" s="10"/>
      <c r="T1602" s="10"/>
      <c r="U1602" s="10" t="s">
        <v>1251</v>
      </c>
      <c r="V1602" s="10" t="s">
        <v>1251</v>
      </c>
      <c r="W1602" s="50">
        <f>+J1602/$W$2</f>
        <v>1.1778479140564417E-4</v>
      </c>
    </row>
    <row r="1603" spans="1:29">
      <c r="A1603" s="10" t="s">
        <v>4044</v>
      </c>
      <c r="B1603" s="10" t="s">
        <v>358</v>
      </c>
      <c r="C1603" s="124">
        <v>46370</v>
      </c>
      <c r="D1603" s="124" t="s">
        <v>471</v>
      </c>
      <c r="E1603" s="21">
        <v>0.96356920000000001</v>
      </c>
      <c r="F1603" s="10"/>
      <c r="G1603" s="14">
        <v>15000000</v>
      </c>
      <c r="H1603" s="14">
        <v>14453537.98</v>
      </c>
      <c r="I1603" s="14">
        <v>15000000</v>
      </c>
      <c r="J1603" s="14">
        <v>14453537.98</v>
      </c>
      <c r="K1603" s="12">
        <v>1415</v>
      </c>
      <c r="L1603" s="10" t="s">
        <v>101</v>
      </c>
      <c r="M1603" s="10" t="s">
        <v>102</v>
      </c>
      <c r="N1603" s="124" t="s">
        <v>469</v>
      </c>
      <c r="O1603" s="124" t="s">
        <v>469</v>
      </c>
      <c r="P1603" s="21">
        <v>30</v>
      </c>
      <c r="Q1603" s="10" t="s">
        <v>54</v>
      </c>
      <c r="R1603" s="10" t="s">
        <v>28</v>
      </c>
      <c r="S1603" s="10"/>
      <c r="T1603" s="10"/>
      <c r="U1603" s="10" t="s">
        <v>3957</v>
      </c>
      <c r="V1603" s="10" t="s">
        <v>3957</v>
      </c>
      <c r="W1603" s="50">
        <f>+J1603/$W$2</f>
        <v>1.7689173130294207E-4</v>
      </c>
    </row>
    <row r="1604" spans="1:29">
      <c r="A1604" s="10" t="s">
        <v>2759</v>
      </c>
      <c r="B1604" s="10" t="s">
        <v>358</v>
      </c>
      <c r="C1604" s="124">
        <v>46370</v>
      </c>
      <c r="D1604" s="124" t="s">
        <v>471</v>
      </c>
      <c r="E1604" s="21">
        <v>0.96356929000000002</v>
      </c>
      <c r="F1604" s="10"/>
      <c r="G1604" s="14">
        <v>6250000</v>
      </c>
      <c r="H1604" s="14">
        <v>6022308.0499999998</v>
      </c>
      <c r="I1604" s="14">
        <v>6250000</v>
      </c>
      <c r="J1604" s="14">
        <v>6022308.0499999998</v>
      </c>
      <c r="K1604" s="12">
        <v>390</v>
      </c>
      <c r="L1604" s="10" t="s">
        <v>101</v>
      </c>
      <c r="M1604" s="10" t="s">
        <v>102</v>
      </c>
      <c r="N1604" s="124" t="s">
        <v>411</v>
      </c>
      <c r="O1604" s="124" t="s">
        <v>411</v>
      </c>
      <c r="P1604" s="21">
        <v>30</v>
      </c>
      <c r="Q1604" s="10" t="s">
        <v>54</v>
      </c>
      <c r="R1604" s="10" t="s">
        <v>28</v>
      </c>
      <c r="S1604" s="10"/>
      <c r="T1604" s="10"/>
      <c r="U1604" s="10" t="s">
        <v>2910</v>
      </c>
      <c r="V1604" s="10" t="s">
        <v>2910</v>
      </c>
      <c r="W1604" s="50">
        <f>+J1604/$W$2</f>
        <v>7.3704894876136406E-5</v>
      </c>
    </row>
    <row r="1605" spans="1:29">
      <c r="A1605" s="10" t="s">
        <v>986</v>
      </c>
      <c r="B1605" s="10" t="s">
        <v>358</v>
      </c>
      <c r="C1605" s="124">
        <v>46370</v>
      </c>
      <c r="D1605" s="124" t="s">
        <v>471</v>
      </c>
      <c r="E1605" s="21">
        <v>0.96591510999999997</v>
      </c>
      <c r="F1605" s="10"/>
      <c r="G1605" s="14">
        <v>850000000</v>
      </c>
      <c r="H1605" s="14">
        <v>821027841.54999995</v>
      </c>
      <c r="I1605" s="14">
        <v>850000000</v>
      </c>
      <c r="J1605" s="14">
        <v>821027841.54999995</v>
      </c>
      <c r="K1605" s="12">
        <v>31</v>
      </c>
      <c r="L1605" s="10" t="s">
        <v>101</v>
      </c>
      <c r="M1605" s="10" t="s">
        <v>102</v>
      </c>
      <c r="N1605" s="124" t="s">
        <v>389</v>
      </c>
      <c r="O1605" s="124" t="s">
        <v>389</v>
      </c>
      <c r="P1605" s="21">
        <v>28</v>
      </c>
      <c r="Q1605" s="10" t="s">
        <v>54</v>
      </c>
      <c r="R1605" s="10" t="s">
        <v>28</v>
      </c>
      <c r="S1605" s="10"/>
      <c r="T1605" s="10"/>
      <c r="U1605" s="10" t="s">
        <v>981</v>
      </c>
      <c r="V1605" s="10" t="s">
        <v>981</v>
      </c>
      <c r="W1605" s="50">
        <f>+J1605/$W$2</f>
        <v>1.0048268911090313E-2</v>
      </c>
    </row>
    <row r="1606" spans="1:29">
      <c r="A1606" s="10" t="s">
        <v>1128</v>
      </c>
      <c r="B1606" s="10" t="s">
        <v>358</v>
      </c>
      <c r="C1606" s="124">
        <v>46370</v>
      </c>
      <c r="D1606" s="124" t="s">
        <v>471</v>
      </c>
      <c r="E1606" s="21">
        <v>0.95659932999999997</v>
      </c>
      <c r="F1606" s="10"/>
      <c r="G1606" s="14">
        <v>3250000</v>
      </c>
      <c r="H1606" s="14">
        <v>3108947.83</v>
      </c>
      <c r="I1606" s="14">
        <v>3250000</v>
      </c>
      <c r="J1606" s="14">
        <v>3108947.83</v>
      </c>
      <c r="K1606" s="12">
        <v>75</v>
      </c>
      <c r="L1606" s="10" t="s">
        <v>101</v>
      </c>
      <c r="M1606" s="10" t="s">
        <v>102</v>
      </c>
      <c r="N1606" s="124" t="s">
        <v>365</v>
      </c>
      <c r="O1606" s="124" t="s">
        <v>365</v>
      </c>
      <c r="P1606" s="21">
        <v>36</v>
      </c>
      <c r="Q1606" s="10" t="s">
        <v>54</v>
      </c>
      <c r="R1606" s="10" t="s">
        <v>28</v>
      </c>
      <c r="S1606" s="10"/>
      <c r="T1606" s="10"/>
      <c r="U1606" s="10" t="s">
        <v>1319</v>
      </c>
      <c r="V1606" s="10" t="s">
        <v>1319</v>
      </c>
      <c r="W1606" s="50">
        <f>+J1606/$W$2</f>
        <v>3.8049311174897869E-5</v>
      </c>
    </row>
    <row r="1607" spans="1:29">
      <c r="A1607" s="10" t="s">
        <v>2435</v>
      </c>
      <c r="B1607" s="10" t="s">
        <v>358</v>
      </c>
      <c r="C1607" s="124">
        <v>46370</v>
      </c>
      <c r="D1607" s="124" t="s">
        <v>471</v>
      </c>
      <c r="E1607" s="21">
        <v>0.96474073000000005</v>
      </c>
      <c r="F1607" s="10"/>
      <c r="G1607" s="14">
        <v>450000</v>
      </c>
      <c r="H1607" s="14">
        <v>434133.33</v>
      </c>
      <c r="I1607" s="14">
        <v>450000</v>
      </c>
      <c r="J1607" s="14">
        <v>434133.33</v>
      </c>
      <c r="K1607" s="12">
        <v>11456511</v>
      </c>
      <c r="L1607" s="10" t="s">
        <v>101</v>
      </c>
      <c r="M1607" s="10" t="s">
        <v>102</v>
      </c>
      <c r="N1607" s="124" t="s">
        <v>469</v>
      </c>
      <c r="O1607" s="124" t="s">
        <v>469</v>
      </c>
      <c r="P1607" s="21">
        <v>29</v>
      </c>
      <c r="Q1607" s="10" t="s">
        <v>54</v>
      </c>
      <c r="R1607" s="10" t="s">
        <v>28</v>
      </c>
      <c r="S1607" s="10"/>
      <c r="T1607" s="10"/>
      <c r="U1607" s="10" t="s">
        <v>4038</v>
      </c>
      <c r="V1607" s="10" t="s">
        <v>4038</v>
      </c>
      <c r="W1607" s="50">
        <f>+J1607/$W$2</f>
        <v>5.3132040380891899E-6</v>
      </c>
    </row>
    <row r="1608" spans="1:29">
      <c r="A1608" s="10" t="s">
        <v>623</v>
      </c>
      <c r="B1608" s="10" t="s">
        <v>358</v>
      </c>
      <c r="C1608" s="124">
        <v>46370</v>
      </c>
      <c r="D1608" s="124" t="s">
        <v>471</v>
      </c>
      <c r="E1608" s="21">
        <v>0.96123482000000005</v>
      </c>
      <c r="F1608" s="10"/>
      <c r="G1608" s="14">
        <v>5000000</v>
      </c>
      <c r="H1608" s="14">
        <v>4806174.12</v>
      </c>
      <c r="I1608" s="14">
        <v>5000000</v>
      </c>
      <c r="J1608" s="14">
        <v>4806174.12</v>
      </c>
      <c r="K1608" s="12">
        <v>55</v>
      </c>
      <c r="L1608" s="10" t="s">
        <v>101</v>
      </c>
      <c r="M1608" s="10" t="s">
        <v>102</v>
      </c>
      <c r="N1608" s="124" t="s">
        <v>450</v>
      </c>
      <c r="O1608" s="124" t="s">
        <v>450</v>
      </c>
      <c r="P1608" s="21">
        <v>32</v>
      </c>
      <c r="Q1608" s="10" t="s">
        <v>54</v>
      </c>
      <c r="R1608" s="10" t="s">
        <v>28</v>
      </c>
      <c r="S1608" s="10"/>
      <c r="T1608" s="10"/>
      <c r="U1608" s="10" t="s">
        <v>3428</v>
      </c>
      <c r="V1608" s="10" t="s">
        <v>3428</v>
      </c>
      <c r="W1608" s="50">
        <f>+J1608/$W$2</f>
        <v>5.8821062511242247E-5</v>
      </c>
    </row>
    <row r="1609" spans="1:29">
      <c r="A1609" s="10" t="s">
        <v>832</v>
      </c>
      <c r="B1609" s="10" t="s">
        <v>358</v>
      </c>
      <c r="C1609" s="124">
        <v>46370</v>
      </c>
      <c r="D1609" s="124" t="s">
        <v>471</v>
      </c>
      <c r="E1609" s="21">
        <v>0.96123473000000004</v>
      </c>
      <c r="F1609" s="10"/>
      <c r="G1609" s="14">
        <v>584336.13</v>
      </c>
      <c r="H1609" s="14">
        <v>561684.18000000005</v>
      </c>
      <c r="I1609" s="14">
        <v>584336.13</v>
      </c>
      <c r="J1609" s="14">
        <v>561684.18000000005</v>
      </c>
      <c r="K1609" s="12">
        <v>125419</v>
      </c>
      <c r="L1609" s="10" t="s">
        <v>101</v>
      </c>
      <c r="M1609" s="10" t="s">
        <v>102</v>
      </c>
      <c r="N1609" s="124" t="s">
        <v>413</v>
      </c>
      <c r="O1609" s="124" t="s">
        <v>413</v>
      </c>
      <c r="P1609" s="21">
        <v>32</v>
      </c>
      <c r="Q1609" s="10" t="s">
        <v>54</v>
      </c>
      <c r="R1609" s="10" t="s">
        <v>28</v>
      </c>
      <c r="S1609" s="10"/>
      <c r="T1609" s="10"/>
      <c r="U1609" s="10" t="s">
        <v>2895</v>
      </c>
      <c r="V1609" s="10" t="s">
        <v>2895</v>
      </c>
      <c r="W1609" s="50">
        <f>+J1609/$W$2</f>
        <v>6.8742537075115049E-6</v>
      </c>
    </row>
    <row r="1610" spans="1:29">
      <c r="A1610" s="10" t="s">
        <v>832</v>
      </c>
      <c r="B1610" s="10" t="s">
        <v>358</v>
      </c>
      <c r="C1610" s="124">
        <v>46370</v>
      </c>
      <c r="D1610" s="124" t="s">
        <v>471</v>
      </c>
      <c r="E1610" s="21">
        <v>0.96007111000000001</v>
      </c>
      <c r="F1610" s="10"/>
      <c r="G1610" s="14">
        <v>14698.63</v>
      </c>
      <c r="H1610" s="14">
        <v>14111.73</v>
      </c>
      <c r="I1610" s="14">
        <v>14698.63</v>
      </c>
      <c r="J1610" s="14">
        <v>14111.73</v>
      </c>
      <c r="K1610" s="12">
        <v>122353</v>
      </c>
      <c r="L1610" s="10" t="s">
        <v>101</v>
      </c>
      <c r="M1610" s="10" t="s">
        <v>102</v>
      </c>
      <c r="N1610" s="124" t="s">
        <v>447</v>
      </c>
      <c r="O1610" s="124" t="s">
        <v>447</v>
      </c>
      <c r="P1610" s="21">
        <v>33</v>
      </c>
      <c r="Q1610" s="10" t="s">
        <v>54</v>
      </c>
      <c r="R1610" s="10" t="s">
        <v>28</v>
      </c>
      <c r="S1610" s="10"/>
      <c r="T1610" s="10"/>
      <c r="U1610" s="10" t="s">
        <v>1613</v>
      </c>
      <c r="V1610" s="10" t="s">
        <v>1613</v>
      </c>
      <c r="W1610" s="50">
        <f>+J1610/$W$2</f>
        <v>1.7270846451808794E-7</v>
      </c>
      <c r="AC1610" s="47"/>
    </row>
    <row r="1611" spans="1:29">
      <c r="A1611" s="10" t="s">
        <v>1517</v>
      </c>
      <c r="B1611" s="10" t="s">
        <v>358</v>
      </c>
      <c r="C1611" s="124">
        <v>46370</v>
      </c>
      <c r="D1611" s="124" t="s">
        <v>471</v>
      </c>
      <c r="E1611" s="21">
        <v>0.97541425999999998</v>
      </c>
      <c r="F1611" s="10"/>
      <c r="G1611" s="14">
        <v>2409463.31</v>
      </c>
      <c r="H1611" s="14">
        <v>2350224.86</v>
      </c>
      <c r="I1611" s="14">
        <v>2409463.31</v>
      </c>
      <c r="J1611" s="14">
        <v>2350224.86</v>
      </c>
      <c r="K1611" s="12">
        <v>2669</v>
      </c>
      <c r="L1611" s="10" t="s">
        <v>101</v>
      </c>
      <c r="M1611" s="10" t="s">
        <v>102</v>
      </c>
      <c r="N1611" s="124" t="s">
        <v>405</v>
      </c>
      <c r="O1611" s="124" t="s">
        <v>405</v>
      </c>
      <c r="P1611" s="21">
        <v>20</v>
      </c>
      <c r="Q1611" s="10" t="s">
        <v>54</v>
      </c>
      <c r="R1611" s="10" t="s">
        <v>28</v>
      </c>
      <c r="S1611" s="10"/>
      <c r="T1611" s="10"/>
      <c r="U1611" s="10" t="s">
        <v>1494</v>
      </c>
      <c r="V1611" s="10" t="s">
        <v>1494</v>
      </c>
      <c r="W1611" s="50">
        <f>+J1611/$W$2</f>
        <v>2.8763569515774339E-5</v>
      </c>
    </row>
    <row r="1612" spans="1:29">
      <c r="A1612" s="10" t="s">
        <v>220</v>
      </c>
      <c r="B1612" s="10" t="s">
        <v>358</v>
      </c>
      <c r="C1612" s="124">
        <v>46370</v>
      </c>
      <c r="D1612" s="124" t="s">
        <v>471</v>
      </c>
      <c r="E1612" s="21">
        <v>0.96007162000000001</v>
      </c>
      <c r="F1612" s="10"/>
      <c r="G1612" s="14">
        <v>25000000</v>
      </c>
      <c r="H1612" s="14">
        <v>24001790.399999999</v>
      </c>
      <c r="I1612" s="14">
        <v>25000000</v>
      </c>
      <c r="J1612" s="14">
        <v>24001790.399999999</v>
      </c>
      <c r="K1612" s="12">
        <v>475887</v>
      </c>
      <c r="L1612" s="10" t="s">
        <v>101</v>
      </c>
      <c r="M1612" s="10" t="s">
        <v>102</v>
      </c>
      <c r="N1612" s="124" t="s">
        <v>332</v>
      </c>
      <c r="O1612" s="124" t="s">
        <v>332</v>
      </c>
      <c r="P1612" s="21">
        <v>33</v>
      </c>
      <c r="Q1612" s="10" t="s">
        <v>54</v>
      </c>
      <c r="R1612" s="10" t="s">
        <v>28</v>
      </c>
      <c r="S1612" s="10"/>
      <c r="T1612" s="10"/>
      <c r="U1612" s="10" t="s">
        <v>926</v>
      </c>
      <c r="V1612" s="10" t="s">
        <v>926</v>
      </c>
      <c r="W1612" s="50">
        <f>+J1612/$W$2</f>
        <v>2.9374941028980739E-4</v>
      </c>
    </row>
    <row r="1613" spans="1:29">
      <c r="A1613" s="10" t="s">
        <v>1765</v>
      </c>
      <c r="B1613" s="10" t="s">
        <v>358</v>
      </c>
      <c r="C1613" s="124">
        <v>46370</v>
      </c>
      <c r="D1613" s="124" t="s">
        <v>471</v>
      </c>
      <c r="E1613" s="21">
        <v>0.96007175</v>
      </c>
      <c r="F1613" s="10"/>
      <c r="G1613" s="14">
        <v>649795.28</v>
      </c>
      <c r="H1613" s="14">
        <v>623850.09</v>
      </c>
      <c r="I1613" s="14">
        <v>649795.28</v>
      </c>
      <c r="J1613" s="14">
        <v>623850.09</v>
      </c>
      <c r="K1613" s="12">
        <v>19651</v>
      </c>
      <c r="L1613" s="10" t="s">
        <v>101</v>
      </c>
      <c r="M1613" s="10" t="s">
        <v>102</v>
      </c>
      <c r="N1613" s="124" t="s">
        <v>417</v>
      </c>
      <c r="O1613" s="124" t="s">
        <v>417</v>
      </c>
      <c r="P1613" s="21">
        <v>33</v>
      </c>
      <c r="Q1613" s="10" t="s">
        <v>54</v>
      </c>
      <c r="R1613" s="10" t="s">
        <v>28</v>
      </c>
      <c r="S1613" s="10"/>
      <c r="T1613" s="10"/>
      <c r="U1613" s="10" t="s">
        <v>3267</v>
      </c>
      <c r="V1613" s="10" t="s">
        <v>3267</v>
      </c>
      <c r="W1613" s="50">
        <f>+J1613/$W$2</f>
        <v>7.6350802582937012E-6</v>
      </c>
    </row>
    <row r="1614" spans="1:29">
      <c r="A1614" s="10" t="s">
        <v>574</v>
      </c>
      <c r="B1614" s="10" t="s">
        <v>358</v>
      </c>
      <c r="C1614" s="124">
        <v>46370</v>
      </c>
      <c r="D1614" s="124" t="s">
        <v>471</v>
      </c>
      <c r="E1614" s="21">
        <v>0.96356920000000001</v>
      </c>
      <c r="F1614" s="10"/>
      <c r="G1614" s="14">
        <v>150000000</v>
      </c>
      <c r="H1614" s="14">
        <v>144535379.43000001</v>
      </c>
      <c r="I1614" s="14">
        <v>150000000</v>
      </c>
      <c r="J1614" s="14">
        <v>144535379.43000001</v>
      </c>
      <c r="K1614" s="12">
        <v>90004275</v>
      </c>
      <c r="L1614" s="10" t="s">
        <v>101</v>
      </c>
      <c r="M1614" s="10" t="s">
        <v>102</v>
      </c>
      <c r="N1614" s="124" t="s">
        <v>452</v>
      </c>
      <c r="O1614" s="124" t="s">
        <v>452</v>
      </c>
      <c r="P1614" s="21">
        <v>30</v>
      </c>
      <c r="Q1614" s="10" t="s">
        <v>54</v>
      </c>
      <c r="R1614" s="10" t="s">
        <v>28</v>
      </c>
      <c r="S1614" s="10"/>
      <c r="T1614" s="10"/>
      <c r="U1614" s="10" t="s">
        <v>2519</v>
      </c>
      <c r="V1614" s="10" t="s">
        <v>2519</v>
      </c>
      <c r="W1614" s="50">
        <f>+J1614/$W$2</f>
        <v>1.7689173085011218E-3</v>
      </c>
    </row>
    <row r="1615" spans="1:29">
      <c r="A1615" s="10" t="s">
        <v>574</v>
      </c>
      <c r="B1615" s="10" t="s">
        <v>358</v>
      </c>
      <c r="C1615" s="124">
        <v>46370</v>
      </c>
      <c r="D1615" s="124" t="s">
        <v>471</v>
      </c>
      <c r="E1615" s="21">
        <v>0.96356916999999997</v>
      </c>
      <c r="F1615" s="10"/>
      <c r="G1615" s="14">
        <v>100000000</v>
      </c>
      <c r="H1615" s="14">
        <v>96356916.579999998</v>
      </c>
      <c r="I1615" s="14">
        <v>100000000</v>
      </c>
      <c r="J1615" s="14">
        <v>96356916.579999998</v>
      </c>
      <c r="K1615" s="12">
        <v>90004287</v>
      </c>
      <c r="L1615" s="10" t="s">
        <v>101</v>
      </c>
      <c r="M1615" s="10" t="s">
        <v>102</v>
      </c>
      <c r="N1615" s="124" t="s">
        <v>440</v>
      </c>
      <c r="O1615" s="124" t="s">
        <v>440</v>
      </c>
      <c r="P1615" s="21">
        <v>30</v>
      </c>
      <c r="Q1615" s="10" t="s">
        <v>54</v>
      </c>
      <c r="R1615" s="10" t="s">
        <v>28</v>
      </c>
      <c r="S1615" s="10"/>
      <c r="T1615" s="10"/>
      <c r="U1615" s="10" t="s">
        <v>2694</v>
      </c>
      <c r="V1615" s="10" t="s">
        <v>2694</v>
      </c>
      <c r="W1615" s="50">
        <f>+J1615/$W$2</f>
        <v>1.1792781684619312E-3</v>
      </c>
    </row>
    <row r="1616" spans="1:29">
      <c r="A1616" s="10" t="s">
        <v>565</v>
      </c>
      <c r="B1616" s="10" t="s">
        <v>358</v>
      </c>
      <c r="C1616" s="124">
        <v>46370</v>
      </c>
      <c r="D1616" s="124" t="s">
        <v>471</v>
      </c>
      <c r="E1616" s="21">
        <v>0.96007156000000005</v>
      </c>
      <c r="F1616" s="10"/>
      <c r="G1616" s="14">
        <v>10051717.25</v>
      </c>
      <c r="H1616" s="14">
        <v>9650367.8200000003</v>
      </c>
      <c r="I1616" s="14">
        <v>10051717.25</v>
      </c>
      <c r="J1616" s="14">
        <v>9650367.8200000003</v>
      </c>
      <c r="K1616" s="12">
        <v>90002286</v>
      </c>
      <c r="L1616" s="10" t="s">
        <v>101</v>
      </c>
      <c r="M1616" s="10" t="s">
        <v>102</v>
      </c>
      <c r="N1616" s="124" t="s">
        <v>447</v>
      </c>
      <c r="O1616" s="124" t="s">
        <v>447</v>
      </c>
      <c r="P1616" s="21">
        <v>33</v>
      </c>
      <c r="Q1616" s="10" t="s">
        <v>54</v>
      </c>
      <c r="R1616" s="10" t="s">
        <v>28</v>
      </c>
      <c r="S1616" s="10"/>
      <c r="T1616" s="10"/>
      <c r="U1616" s="10" t="s">
        <v>1632</v>
      </c>
      <c r="V1616" s="10" t="s">
        <v>1632</v>
      </c>
      <c r="W1616" s="50">
        <f>+J1616/$W$2</f>
        <v>1.1810743319401432E-4</v>
      </c>
    </row>
    <row r="1617" spans="1:29">
      <c r="A1617" s="10" t="s">
        <v>362</v>
      </c>
      <c r="B1617" s="10" t="s">
        <v>358</v>
      </c>
      <c r="C1617" s="124">
        <v>46370</v>
      </c>
      <c r="D1617" s="124" t="s">
        <v>471</v>
      </c>
      <c r="E1617" s="21">
        <v>0.96007164</v>
      </c>
      <c r="F1617" s="10"/>
      <c r="G1617" s="14">
        <v>25000000</v>
      </c>
      <c r="H1617" s="14">
        <v>24001790.890000001</v>
      </c>
      <c r="I1617" s="14">
        <v>25000000</v>
      </c>
      <c r="J1617" s="14">
        <v>24001790.890000001</v>
      </c>
      <c r="K1617" s="12">
        <v>4295</v>
      </c>
      <c r="L1617" s="10" t="s">
        <v>101</v>
      </c>
      <c r="M1617" s="10" t="s">
        <v>102</v>
      </c>
      <c r="N1617" s="124" t="s">
        <v>439</v>
      </c>
      <c r="O1617" s="124" t="s">
        <v>439</v>
      </c>
      <c r="P1617" s="21">
        <v>33</v>
      </c>
      <c r="Q1617" s="10" t="s">
        <v>54</v>
      </c>
      <c r="R1617" s="10" t="s">
        <v>28</v>
      </c>
      <c r="S1617" s="10"/>
      <c r="T1617" s="10"/>
      <c r="U1617" s="10" t="s">
        <v>2279</v>
      </c>
      <c r="V1617" s="10" t="s">
        <v>2279</v>
      </c>
      <c r="W1617" s="50">
        <f>+J1617/$W$2</f>
        <v>2.9374941628674384E-4</v>
      </c>
    </row>
    <row r="1618" spans="1:29">
      <c r="A1618" s="10" t="s">
        <v>433</v>
      </c>
      <c r="B1618" s="10" t="s">
        <v>358</v>
      </c>
      <c r="C1618" s="124">
        <v>46370</v>
      </c>
      <c r="D1618" s="124" t="s">
        <v>471</v>
      </c>
      <c r="E1618" s="21">
        <v>0.96007155</v>
      </c>
      <c r="F1618" s="10"/>
      <c r="G1618" s="14">
        <v>25000000</v>
      </c>
      <c r="H1618" s="14">
        <v>24001788.800000001</v>
      </c>
      <c r="I1618" s="14">
        <v>25000000</v>
      </c>
      <c r="J1618" s="14">
        <v>24001788.800000001</v>
      </c>
      <c r="K1618" s="12">
        <v>14422658</v>
      </c>
      <c r="L1618" s="10" t="s">
        <v>101</v>
      </c>
      <c r="M1618" s="10" t="s">
        <v>102</v>
      </c>
      <c r="N1618" s="124" t="s">
        <v>396</v>
      </c>
      <c r="O1618" s="124" t="s">
        <v>396</v>
      </c>
      <c r="P1618" s="21">
        <v>33</v>
      </c>
      <c r="Q1618" s="10" t="s">
        <v>54</v>
      </c>
      <c r="R1618" s="10" t="s">
        <v>28</v>
      </c>
      <c r="S1618" s="10"/>
      <c r="T1618" s="10"/>
      <c r="U1618" s="10" t="s">
        <v>1380</v>
      </c>
      <c r="V1618" s="10" t="s">
        <v>1380</v>
      </c>
      <c r="W1618" s="50">
        <f>+J1618/$W$2</f>
        <v>2.9374939070797422E-4</v>
      </c>
    </row>
    <row r="1619" spans="1:29">
      <c r="A1619" s="10" t="s">
        <v>433</v>
      </c>
      <c r="B1619" s="10" t="s">
        <v>358</v>
      </c>
      <c r="C1619" s="124">
        <v>46370</v>
      </c>
      <c r="D1619" s="124" t="s">
        <v>471</v>
      </c>
      <c r="E1619" s="21">
        <v>0.96007156000000005</v>
      </c>
      <c r="F1619" s="10"/>
      <c r="G1619" s="14">
        <v>36666668</v>
      </c>
      <c r="H1619" s="14">
        <v>35202624.979999997</v>
      </c>
      <c r="I1619" s="14">
        <v>36666668</v>
      </c>
      <c r="J1619" s="14">
        <v>35202624.979999997</v>
      </c>
      <c r="K1619" s="12">
        <v>14537771</v>
      </c>
      <c r="L1619" s="10" t="s">
        <v>101</v>
      </c>
      <c r="M1619" s="10" t="s">
        <v>102</v>
      </c>
      <c r="N1619" s="124" t="s">
        <v>447</v>
      </c>
      <c r="O1619" s="124" t="s">
        <v>447</v>
      </c>
      <c r="P1619" s="21">
        <v>33</v>
      </c>
      <c r="Q1619" s="10" t="s">
        <v>54</v>
      </c>
      <c r="R1619" s="10" t="s">
        <v>28</v>
      </c>
      <c r="S1619" s="10"/>
      <c r="T1619" s="10"/>
      <c r="U1619" s="10" t="s">
        <v>1626</v>
      </c>
      <c r="V1619" s="10" t="s">
        <v>1626</v>
      </c>
      <c r="W1619" s="50">
        <f>+J1619/$W$2</f>
        <v>4.3083245692072383E-4</v>
      </c>
    </row>
    <row r="1620" spans="1:29">
      <c r="A1620" s="10" t="s">
        <v>433</v>
      </c>
      <c r="B1620" s="10" t="s">
        <v>358</v>
      </c>
      <c r="C1620" s="124">
        <v>46370</v>
      </c>
      <c r="D1620" s="124" t="s">
        <v>471</v>
      </c>
      <c r="E1620" s="21">
        <v>0.96123473000000004</v>
      </c>
      <c r="F1620" s="10"/>
      <c r="G1620" s="14">
        <v>11000000</v>
      </c>
      <c r="H1620" s="14">
        <v>10573581.99</v>
      </c>
      <c r="I1620" s="14">
        <v>11000000</v>
      </c>
      <c r="J1620" s="14">
        <v>10573581.99</v>
      </c>
      <c r="K1620" s="12">
        <v>14651800</v>
      </c>
      <c r="L1620" s="10" t="s">
        <v>101</v>
      </c>
      <c r="M1620" s="10" t="s">
        <v>102</v>
      </c>
      <c r="N1620" s="124" t="s">
        <v>603</v>
      </c>
      <c r="O1620" s="124" t="s">
        <v>603</v>
      </c>
      <c r="P1620" s="21">
        <v>32</v>
      </c>
      <c r="Q1620" s="10" t="s">
        <v>54</v>
      </c>
      <c r="R1620" s="10" t="s">
        <v>28</v>
      </c>
      <c r="S1620" s="10"/>
      <c r="T1620" s="10"/>
      <c r="U1620" s="10" t="s">
        <v>2586</v>
      </c>
      <c r="V1620" s="10" t="s">
        <v>2586</v>
      </c>
      <c r="W1620" s="50">
        <f>+J1620/$W$2</f>
        <v>1.294063243804274E-4</v>
      </c>
    </row>
    <row r="1621" spans="1:29">
      <c r="A1621" s="10" t="s">
        <v>433</v>
      </c>
      <c r="B1621" s="10" t="s">
        <v>358</v>
      </c>
      <c r="C1621" s="124">
        <v>46370</v>
      </c>
      <c r="D1621" s="124" t="s">
        <v>471</v>
      </c>
      <c r="E1621" s="21">
        <v>0.96007167999999998</v>
      </c>
      <c r="F1621" s="10"/>
      <c r="G1621" s="14">
        <v>12500000</v>
      </c>
      <c r="H1621" s="14">
        <v>12000896.029999999</v>
      </c>
      <c r="I1621" s="14">
        <v>12500000</v>
      </c>
      <c r="J1621" s="14">
        <v>12000896.029999999</v>
      </c>
      <c r="K1621" s="12">
        <v>14651816</v>
      </c>
      <c r="L1621" s="10" t="s">
        <v>101</v>
      </c>
      <c r="M1621" s="10" t="s">
        <v>102</v>
      </c>
      <c r="N1621" s="124" t="s">
        <v>603</v>
      </c>
      <c r="O1621" s="124" t="s">
        <v>603</v>
      </c>
      <c r="P1621" s="21">
        <v>33</v>
      </c>
      <c r="Q1621" s="10" t="s">
        <v>54</v>
      </c>
      <c r="R1621" s="10" t="s">
        <v>28</v>
      </c>
      <c r="S1621" s="10"/>
      <c r="T1621" s="10"/>
      <c r="U1621" s="10" t="s">
        <v>2644</v>
      </c>
      <c r="V1621" s="10" t="s">
        <v>2644</v>
      </c>
      <c r="W1621" s="50">
        <f>+J1621/$W$2</f>
        <v>1.4687471530297968E-4</v>
      </c>
    </row>
    <row r="1622" spans="1:29">
      <c r="A1622" s="10" t="s">
        <v>433</v>
      </c>
      <c r="B1622" s="10" t="s">
        <v>358</v>
      </c>
      <c r="C1622" s="124">
        <v>46370</v>
      </c>
      <c r="D1622" s="124" t="s">
        <v>471</v>
      </c>
      <c r="E1622" s="21">
        <v>0.96007167999999998</v>
      </c>
      <c r="F1622" s="10"/>
      <c r="G1622" s="14">
        <v>12500000</v>
      </c>
      <c r="H1622" s="14">
        <v>12000896.029999999</v>
      </c>
      <c r="I1622" s="14">
        <v>12500000</v>
      </c>
      <c r="J1622" s="14">
        <v>12000896.029999999</v>
      </c>
      <c r="K1622" s="12">
        <v>14651819</v>
      </c>
      <c r="L1622" s="10" t="s">
        <v>101</v>
      </c>
      <c r="M1622" s="10" t="s">
        <v>102</v>
      </c>
      <c r="N1622" s="124" t="s">
        <v>603</v>
      </c>
      <c r="O1622" s="124" t="s">
        <v>603</v>
      </c>
      <c r="P1622" s="21">
        <v>33</v>
      </c>
      <c r="Q1622" s="10" t="s">
        <v>54</v>
      </c>
      <c r="R1622" s="10" t="s">
        <v>28</v>
      </c>
      <c r="S1622" s="10"/>
      <c r="T1622" s="10"/>
      <c r="U1622" s="10" t="s">
        <v>2645</v>
      </c>
      <c r="V1622" s="10" t="s">
        <v>2645</v>
      </c>
      <c r="W1622" s="50">
        <f>+J1622/$W$2</f>
        <v>1.4687471530297968E-4</v>
      </c>
    </row>
    <row r="1623" spans="1:29">
      <c r="A1623" s="10" t="s">
        <v>3588</v>
      </c>
      <c r="B1623" s="10" t="s">
        <v>358</v>
      </c>
      <c r="C1623" s="124">
        <v>46370</v>
      </c>
      <c r="D1623" s="124" t="s">
        <v>471</v>
      </c>
      <c r="E1623" s="21">
        <v>0.96356920999999995</v>
      </c>
      <c r="F1623" s="10"/>
      <c r="G1623" s="14">
        <v>671045.38</v>
      </c>
      <c r="H1623" s="14">
        <v>646598.67000000004</v>
      </c>
      <c r="I1623" s="14">
        <v>671045.38</v>
      </c>
      <c r="J1623" s="14">
        <v>646598.67000000004</v>
      </c>
      <c r="K1623" s="12">
        <v>633</v>
      </c>
      <c r="L1623" s="10" t="s">
        <v>101</v>
      </c>
      <c r="M1623" s="10" t="s">
        <v>102</v>
      </c>
      <c r="N1623" s="124" t="s">
        <v>451</v>
      </c>
      <c r="O1623" s="124" t="s">
        <v>451</v>
      </c>
      <c r="P1623" s="21">
        <v>30</v>
      </c>
      <c r="Q1623" s="10" t="s">
        <v>54</v>
      </c>
      <c r="R1623" s="10" t="s">
        <v>28</v>
      </c>
      <c r="S1623" s="10"/>
      <c r="T1623" s="10"/>
      <c r="U1623" s="10" t="s">
        <v>3531</v>
      </c>
      <c r="V1623" s="10" t="s">
        <v>3531</v>
      </c>
      <c r="W1623" s="50">
        <f>+J1623/$W$2</f>
        <v>7.9134920704362863E-6</v>
      </c>
    </row>
    <row r="1624" spans="1:29">
      <c r="A1624" s="10" t="s">
        <v>3780</v>
      </c>
      <c r="B1624" s="10" t="s">
        <v>358</v>
      </c>
      <c r="C1624" s="124">
        <v>46370</v>
      </c>
      <c r="D1624" s="124" t="s">
        <v>471</v>
      </c>
      <c r="E1624" s="21">
        <v>0.96007175</v>
      </c>
      <c r="F1624" s="10"/>
      <c r="G1624" s="14">
        <v>13393171.84</v>
      </c>
      <c r="H1624" s="14">
        <v>12858405.9</v>
      </c>
      <c r="I1624" s="14">
        <v>13393171.84</v>
      </c>
      <c r="J1624" s="14">
        <v>12858405.9</v>
      </c>
      <c r="K1624" s="12">
        <v>6</v>
      </c>
      <c r="L1624" s="10" t="s">
        <v>101</v>
      </c>
      <c r="M1624" s="10" t="s">
        <v>102</v>
      </c>
      <c r="N1624" s="124" t="s">
        <v>467</v>
      </c>
      <c r="O1624" s="124" t="s">
        <v>467</v>
      </c>
      <c r="P1624" s="21">
        <v>33</v>
      </c>
      <c r="Q1624" s="10" t="s">
        <v>54</v>
      </c>
      <c r="R1624" s="10" t="s">
        <v>28</v>
      </c>
      <c r="S1624" s="10"/>
      <c r="T1624" s="10"/>
      <c r="U1624" s="10" t="s">
        <v>3758</v>
      </c>
      <c r="V1624" s="10" t="s">
        <v>3758</v>
      </c>
      <c r="W1624" s="50">
        <f>+J1624/$W$2</f>
        <v>1.5736947483684303E-4</v>
      </c>
    </row>
    <row r="1625" spans="1:29">
      <c r="A1625" s="10" t="s">
        <v>3789</v>
      </c>
      <c r="B1625" s="10" t="s">
        <v>358</v>
      </c>
      <c r="C1625" s="124">
        <v>46370</v>
      </c>
      <c r="D1625" s="124" t="s">
        <v>471</v>
      </c>
      <c r="E1625" s="21">
        <v>0.96474088000000002</v>
      </c>
      <c r="F1625" s="10"/>
      <c r="G1625" s="14">
        <v>781000</v>
      </c>
      <c r="H1625" s="14">
        <v>753462.63</v>
      </c>
      <c r="I1625" s="14">
        <v>781000</v>
      </c>
      <c r="J1625" s="14">
        <v>753462.63</v>
      </c>
      <c r="K1625" s="12">
        <v>11214459</v>
      </c>
      <c r="L1625" s="10" t="s">
        <v>101</v>
      </c>
      <c r="M1625" s="10" t="s">
        <v>102</v>
      </c>
      <c r="N1625" s="124" t="s">
        <v>467</v>
      </c>
      <c r="O1625" s="124" t="s">
        <v>467</v>
      </c>
      <c r="P1625" s="21">
        <v>29</v>
      </c>
      <c r="Q1625" s="10" t="s">
        <v>54</v>
      </c>
      <c r="R1625" s="10" t="s">
        <v>28</v>
      </c>
      <c r="S1625" s="10"/>
      <c r="T1625" s="10"/>
      <c r="U1625" s="10" t="s">
        <v>3725</v>
      </c>
      <c r="V1625" s="10" t="s">
        <v>3725</v>
      </c>
      <c r="W1625" s="50">
        <f>+J1625/$W$2</f>
        <v>9.2213622212910985E-6</v>
      </c>
    </row>
    <row r="1626" spans="1:29">
      <c r="A1626" s="10" t="s">
        <v>3790</v>
      </c>
      <c r="B1626" s="10" t="s">
        <v>358</v>
      </c>
      <c r="C1626" s="124">
        <v>46370</v>
      </c>
      <c r="D1626" s="124" t="s">
        <v>471</v>
      </c>
      <c r="E1626" s="21">
        <v>0.96474088999999996</v>
      </c>
      <c r="F1626" s="10"/>
      <c r="G1626" s="14">
        <v>1341680.96</v>
      </c>
      <c r="H1626" s="14">
        <v>1294374.48</v>
      </c>
      <c r="I1626" s="14">
        <v>1341680.96</v>
      </c>
      <c r="J1626" s="14">
        <v>1294374.48</v>
      </c>
      <c r="K1626" s="12">
        <v>11401307</v>
      </c>
      <c r="L1626" s="10" t="s">
        <v>101</v>
      </c>
      <c r="M1626" s="10" t="s">
        <v>102</v>
      </c>
      <c r="N1626" s="124" t="s">
        <v>467</v>
      </c>
      <c r="O1626" s="124" t="s">
        <v>467</v>
      </c>
      <c r="P1626" s="21">
        <v>29</v>
      </c>
      <c r="Q1626" s="10" t="s">
        <v>54</v>
      </c>
      <c r="R1626" s="10" t="s">
        <v>28</v>
      </c>
      <c r="S1626" s="10"/>
      <c r="T1626" s="10"/>
      <c r="U1626" s="10" t="s">
        <v>3733</v>
      </c>
      <c r="V1626" s="10" t="s">
        <v>3733</v>
      </c>
      <c r="W1626" s="50">
        <f>+J1626/$W$2</f>
        <v>1.5841390740341443E-5</v>
      </c>
    </row>
    <row r="1627" spans="1:29">
      <c r="A1627" s="10" t="s">
        <v>3442</v>
      </c>
      <c r="B1627" s="10" t="s">
        <v>358</v>
      </c>
      <c r="C1627" s="124">
        <v>46370</v>
      </c>
      <c r="D1627" s="124" t="s">
        <v>471</v>
      </c>
      <c r="E1627" s="21">
        <v>0.96007178000000004</v>
      </c>
      <c r="F1627" s="10"/>
      <c r="G1627" s="14">
        <v>8000000</v>
      </c>
      <c r="H1627" s="14">
        <v>7680574.2599999998</v>
      </c>
      <c r="I1627" s="14">
        <v>8000000</v>
      </c>
      <c r="J1627" s="14">
        <v>7680574.2599999998</v>
      </c>
      <c r="K1627" s="12">
        <v>242</v>
      </c>
      <c r="L1627" s="10" t="s">
        <v>101</v>
      </c>
      <c r="M1627" s="10" t="s">
        <v>102</v>
      </c>
      <c r="N1627" s="124" t="s">
        <v>450</v>
      </c>
      <c r="O1627" s="124" t="s">
        <v>450</v>
      </c>
      <c r="P1627" s="21">
        <v>33</v>
      </c>
      <c r="Q1627" s="10" t="s">
        <v>54</v>
      </c>
      <c r="R1627" s="10" t="s">
        <v>28</v>
      </c>
      <c r="S1627" s="10"/>
      <c r="T1627" s="10"/>
      <c r="U1627" s="10" t="s">
        <v>3412</v>
      </c>
      <c r="V1627" s="10" t="s">
        <v>3412</v>
      </c>
      <c r="W1627" s="50">
        <f>+J1627/$W$2</f>
        <v>9.3999827594614521E-5</v>
      </c>
      <c r="AC1627" s="47"/>
    </row>
    <row r="1628" spans="1:29">
      <c r="A1628" s="10" t="s">
        <v>2312</v>
      </c>
      <c r="B1628" s="10" t="s">
        <v>358</v>
      </c>
      <c r="C1628" s="124">
        <v>46370</v>
      </c>
      <c r="D1628" s="124" t="s">
        <v>471</v>
      </c>
      <c r="E1628" s="21">
        <v>0.96240057000000001</v>
      </c>
      <c r="F1628" s="10"/>
      <c r="G1628" s="14">
        <v>694088.77</v>
      </c>
      <c r="H1628" s="14">
        <v>667991.43000000005</v>
      </c>
      <c r="I1628" s="14">
        <v>694088.77</v>
      </c>
      <c r="J1628" s="14">
        <v>667991.43000000005</v>
      </c>
      <c r="K1628" s="12">
        <v>37824</v>
      </c>
      <c r="L1628" s="10" t="s">
        <v>101</v>
      </c>
      <c r="M1628" s="10" t="s">
        <v>102</v>
      </c>
      <c r="N1628" s="124" t="s">
        <v>439</v>
      </c>
      <c r="O1628" s="124" t="s">
        <v>439</v>
      </c>
      <c r="P1628" s="21">
        <v>31</v>
      </c>
      <c r="Q1628" s="10" t="s">
        <v>54</v>
      </c>
      <c r="R1628" s="10" t="s">
        <v>28</v>
      </c>
      <c r="S1628" s="10"/>
      <c r="T1628" s="10"/>
      <c r="U1628" s="10" t="s">
        <v>2254</v>
      </c>
      <c r="V1628" s="10" t="s">
        <v>2254</v>
      </c>
      <c r="W1628" s="50">
        <f>+J1628/$W$2</f>
        <v>8.1753104818857666E-6</v>
      </c>
    </row>
    <row r="1629" spans="1:29">
      <c r="A1629" s="10" t="s">
        <v>2969</v>
      </c>
      <c r="B1629" s="10" t="s">
        <v>358</v>
      </c>
      <c r="C1629" s="124">
        <v>46370</v>
      </c>
      <c r="D1629" s="124" t="s">
        <v>471</v>
      </c>
      <c r="E1629" s="21">
        <v>0.96356929000000002</v>
      </c>
      <c r="F1629" s="10"/>
      <c r="G1629" s="14">
        <v>4867830</v>
      </c>
      <c r="H1629" s="14">
        <v>4690491.49</v>
      </c>
      <c r="I1629" s="14">
        <v>4867830</v>
      </c>
      <c r="J1629" s="14">
        <v>4690491.49</v>
      </c>
      <c r="K1629" s="12">
        <v>90000434</v>
      </c>
      <c r="L1629" s="10" t="s">
        <v>101</v>
      </c>
      <c r="M1629" s="10" t="s">
        <v>102</v>
      </c>
      <c r="N1629" s="124" t="s">
        <v>411</v>
      </c>
      <c r="O1629" s="124" t="s">
        <v>411</v>
      </c>
      <c r="P1629" s="21">
        <v>30</v>
      </c>
      <c r="Q1629" s="10" t="s">
        <v>54</v>
      </c>
      <c r="R1629" s="10" t="s">
        <v>28</v>
      </c>
      <c r="S1629" s="10"/>
      <c r="T1629" s="10"/>
      <c r="U1629" s="10" t="s">
        <v>2920</v>
      </c>
      <c r="V1629" s="10" t="s">
        <v>2920</v>
      </c>
      <c r="W1629" s="50">
        <f>+J1629/$W$2</f>
        <v>5.740526378219102E-5</v>
      </c>
    </row>
    <row r="1630" spans="1:29">
      <c r="A1630" s="10" t="s">
        <v>3063</v>
      </c>
      <c r="B1630" s="10" t="s">
        <v>358</v>
      </c>
      <c r="C1630" s="124">
        <v>46370</v>
      </c>
      <c r="D1630" s="124" t="s">
        <v>471</v>
      </c>
      <c r="E1630" s="21">
        <v>0.96356916999999997</v>
      </c>
      <c r="F1630" s="10"/>
      <c r="G1630" s="14">
        <v>100000000</v>
      </c>
      <c r="H1630" s="14">
        <v>96356916.810000002</v>
      </c>
      <c r="I1630" s="14">
        <v>100000000</v>
      </c>
      <c r="J1630" s="14">
        <v>96356916.810000002</v>
      </c>
      <c r="K1630" s="12">
        <v>69674904</v>
      </c>
      <c r="L1630" s="10" t="s">
        <v>101</v>
      </c>
      <c r="M1630" s="10" t="s">
        <v>102</v>
      </c>
      <c r="N1630" s="124" t="s">
        <v>508</v>
      </c>
      <c r="O1630" s="124" t="s">
        <v>508</v>
      </c>
      <c r="P1630" s="21">
        <v>30</v>
      </c>
      <c r="Q1630" s="10" t="s">
        <v>54</v>
      </c>
      <c r="R1630" s="10" t="s">
        <v>28</v>
      </c>
      <c r="S1630" s="10"/>
      <c r="T1630" s="10"/>
      <c r="U1630" s="10" t="s">
        <v>2998</v>
      </c>
      <c r="V1630" s="10" t="s">
        <v>2998</v>
      </c>
      <c r="W1630" s="50">
        <f>+J1630/$W$2</f>
        <v>1.17927817127682E-3</v>
      </c>
    </row>
    <row r="1631" spans="1:29">
      <c r="A1631" s="10" t="s">
        <v>3169</v>
      </c>
      <c r="B1631" s="10" t="s">
        <v>358</v>
      </c>
      <c r="C1631" s="124">
        <v>46370</v>
      </c>
      <c r="D1631" s="124" t="s">
        <v>471</v>
      </c>
      <c r="E1631" s="21">
        <v>0.95775401000000004</v>
      </c>
      <c r="F1631" s="10"/>
      <c r="G1631" s="14">
        <v>30000000</v>
      </c>
      <c r="H1631" s="14">
        <v>28732620.27</v>
      </c>
      <c r="I1631" s="14">
        <v>30000000</v>
      </c>
      <c r="J1631" s="14">
        <v>28732620.27</v>
      </c>
      <c r="K1631" s="12">
        <v>14983</v>
      </c>
      <c r="L1631" s="10" t="s">
        <v>101</v>
      </c>
      <c r="M1631" s="10" t="s">
        <v>102</v>
      </c>
      <c r="N1631" s="124" t="s">
        <v>448</v>
      </c>
      <c r="O1631" s="124" t="s">
        <v>448</v>
      </c>
      <c r="P1631" s="21">
        <v>35</v>
      </c>
      <c r="Q1631" s="10" t="s">
        <v>54</v>
      </c>
      <c r="R1631" s="10" t="s">
        <v>28</v>
      </c>
      <c r="S1631" s="10"/>
      <c r="T1631" s="10"/>
      <c r="U1631" s="10" t="s">
        <v>3134</v>
      </c>
      <c r="V1631" s="10" t="s">
        <v>3134</v>
      </c>
      <c r="W1631" s="50">
        <f>+J1631/$W$2</f>
        <v>3.5164836121531447E-4</v>
      </c>
      <c r="AC1631" s="47"/>
    </row>
    <row r="1632" spans="1:29">
      <c r="A1632" s="10" t="s">
        <v>271</v>
      </c>
      <c r="B1632" s="10" t="s">
        <v>358</v>
      </c>
      <c r="C1632" s="124">
        <v>46370</v>
      </c>
      <c r="D1632" s="124" t="s">
        <v>471</v>
      </c>
      <c r="E1632" s="21">
        <v>0.96827253000000002</v>
      </c>
      <c r="F1632" s="10"/>
      <c r="G1632" s="14">
        <v>3729055.13</v>
      </c>
      <c r="H1632" s="14">
        <v>3610741.63</v>
      </c>
      <c r="I1632" s="14">
        <v>3729055.13</v>
      </c>
      <c r="J1632" s="14">
        <v>3610741.63</v>
      </c>
      <c r="K1632" s="12">
        <v>3031</v>
      </c>
      <c r="L1632" s="10" t="s">
        <v>101</v>
      </c>
      <c r="M1632" s="10" t="s">
        <v>102</v>
      </c>
      <c r="N1632" s="124" t="s">
        <v>478</v>
      </c>
      <c r="O1632" s="124" t="s">
        <v>478</v>
      </c>
      <c r="P1632" s="21">
        <v>26</v>
      </c>
      <c r="Q1632" s="10" t="s">
        <v>54</v>
      </c>
      <c r="R1632" s="10" t="s">
        <v>28</v>
      </c>
      <c r="S1632" s="10"/>
      <c r="T1632" s="10"/>
      <c r="U1632" s="10" t="s">
        <v>2091</v>
      </c>
      <c r="V1632" s="10" t="s">
        <v>2091</v>
      </c>
      <c r="W1632" s="50">
        <f>+J1632/$W$2</f>
        <v>4.4190587737211386E-5</v>
      </c>
    </row>
    <row r="1633" spans="1:23">
      <c r="A1633" s="10" t="s">
        <v>3319</v>
      </c>
      <c r="B1633" s="10" t="s">
        <v>358</v>
      </c>
      <c r="C1633" s="124">
        <v>46370</v>
      </c>
      <c r="D1633" s="124" t="s">
        <v>471</v>
      </c>
      <c r="E1633" s="21">
        <v>0.96007173999999995</v>
      </c>
      <c r="F1633" s="10"/>
      <c r="G1633" s="14">
        <v>1800000</v>
      </c>
      <c r="H1633" s="14">
        <v>1728129.13</v>
      </c>
      <c r="I1633" s="14">
        <v>1800000</v>
      </c>
      <c r="J1633" s="14">
        <v>1728129.13</v>
      </c>
      <c r="K1633" s="12">
        <v>30000440</v>
      </c>
      <c r="L1633" s="10" t="s">
        <v>101</v>
      </c>
      <c r="M1633" s="10" t="s">
        <v>102</v>
      </c>
      <c r="N1633" s="124" t="s">
        <v>417</v>
      </c>
      <c r="O1633" s="124" t="s">
        <v>417</v>
      </c>
      <c r="P1633" s="21">
        <v>33</v>
      </c>
      <c r="Q1633" s="10" t="s">
        <v>54</v>
      </c>
      <c r="R1633" s="10" t="s">
        <v>28</v>
      </c>
      <c r="S1633" s="10"/>
      <c r="T1633" s="10"/>
      <c r="U1633" s="10" t="s">
        <v>3297</v>
      </c>
      <c r="V1633" s="10" t="s">
        <v>3297</v>
      </c>
      <c r="W1633" s="50">
        <f>+J1633/$W$2</f>
        <v>2.1149960248054574E-5</v>
      </c>
    </row>
    <row r="1634" spans="1:23">
      <c r="A1634" s="10" t="s">
        <v>2486</v>
      </c>
      <c r="B1634" s="10" t="s">
        <v>358</v>
      </c>
      <c r="C1634" s="124">
        <v>46370</v>
      </c>
      <c r="D1634" s="124" t="s">
        <v>471</v>
      </c>
      <c r="E1634" s="21">
        <v>0.96123471999999999</v>
      </c>
      <c r="F1634" s="10"/>
      <c r="G1634" s="14">
        <v>75000000</v>
      </c>
      <c r="H1634" s="14">
        <v>72092603.799999997</v>
      </c>
      <c r="I1634" s="14">
        <v>75000000</v>
      </c>
      <c r="J1634" s="14">
        <v>72092603.799999997</v>
      </c>
      <c r="K1634" s="12">
        <v>21575</v>
      </c>
      <c r="L1634" s="10" t="s">
        <v>101</v>
      </c>
      <c r="M1634" s="10" t="s">
        <v>102</v>
      </c>
      <c r="N1634" s="124" t="s">
        <v>466</v>
      </c>
      <c r="O1634" s="124" t="s">
        <v>466</v>
      </c>
      <c r="P1634" s="21">
        <v>32</v>
      </c>
      <c r="Q1634" s="10" t="s">
        <v>54</v>
      </c>
      <c r="R1634" s="10" t="s">
        <v>28</v>
      </c>
      <c r="S1634" s="10"/>
      <c r="T1634" s="10"/>
      <c r="U1634" s="10" t="s">
        <v>3629</v>
      </c>
      <c r="V1634" s="10" t="s">
        <v>3629</v>
      </c>
      <c r="W1634" s="50">
        <f>+J1634/$W$2</f>
        <v>8.8231583975946764E-4</v>
      </c>
    </row>
    <row r="1635" spans="1:23">
      <c r="A1635" s="10" t="s">
        <v>2536</v>
      </c>
      <c r="B1635" s="10" t="s">
        <v>358</v>
      </c>
      <c r="C1635" s="124">
        <v>46370</v>
      </c>
      <c r="D1635" s="124" t="s">
        <v>471</v>
      </c>
      <c r="E1635" s="21">
        <v>0.96007158000000004</v>
      </c>
      <c r="F1635" s="10"/>
      <c r="G1635" s="14">
        <v>65000000</v>
      </c>
      <c r="H1635" s="14">
        <v>62404652.539999999</v>
      </c>
      <c r="I1635" s="14">
        <v>65000000</v>
      </c>
      <c r="J1635" s="14">
        <v>62404652.539999999</v>
      </c>
      <c r="K1635" s="12">
        <v>38498315</v>
      </c>
      <c r="L1635" s="10" t="s">
        <v>101</v>
      </c>
      <c r="M1635" s="10" t="s">
        <v>102</v>
      </c>
      <c r="N1635" s="124" t="s">
        <v>452</v>
      </c>
      <c r="O1635" s="124" t="s">
        <v>452</v>
      </c>
      <c r="P1635" s="21">
        <v>33</v>
      </c>
      <c r="Q1635" s="10" t="s">
        <v>54</v>
      </c>
      <c r="R1635" s="10" t="s">
        <v>28</v>
      </c>
      <c r="S1635" s="10"/>
      <c r="T1635" s="10"/>
      <c r="U1635" s="10" t="s">
        <v>2499</v>
      </c>
      <c r="V1635" s="10" t="s">
        <v>2499</v>
      </c>
      <c r="W1635" s="50">
        <f>+J1635/$W$2</f>
        <v>7.6374843615688488E-4</v>
      </c>
    </row>
    <row r="1636" spans="1:23">
      <c r="A1636" s="10" t="s">
        <v>2016</v>
      </c>
      <c r="B1636" s="10" t="s">
        <v>358</v>
      </c>
      <c r="C1636" s="124">
        <v>46371</v>
      </c>
      <c r="D1636" s="124" t="s">
        <v>471</v>
      </c>
      <c r="E1636" s="21">
        <v>0.96400202000000002</v>
      </c>
      <c r="F1636" s="10"/>
      <c r="G1636" s="14">
        <v>3305601.4</v>
      </c>
      <c r="H1636" s="14">
        <v>3186606.43</v>
      </c>
      <c r="I1636" s="14">
        <v>3305601.4</v>
      </c>
      <c r="J1636" s="14">
        <v>3186606.43</v>
      </c>
      <c r="K1636" s="12">
        <v>40775098</v>
      </c>
      <c r="L1636" s="10" t="s">
        <v>101</v>
      </c>
      <c r="M1636" s="10" t="s">
        <v>102</v>
      </c>
      <c r="N1636" s="124" t="s">
        <v>469</v>
      </c>
      <c r="O1636" s="124" t="s">
        <v>469</v>
      </c>
      <c r="P1636" s="21">
        <v>29</v>
      </c>
      <c r="Q1636" s="10" t="s">
        <v>54</v>
      </c>
      <c r="R1636" s="10" t="s">
        <v>28</v>
      </c>
      <c r="S1636" s="10"/>
      <c r="T1636" s="10"/>
      <c r="U1636" s="10" t="s">
        <v>3936</v>
      </c>
      <c r="V1636" s="10" t="s">
        <v>3936</v>
      </c>
      <c r="W1636" s="50">
        <f>+J1636/$W$2</f>
        <v>3.8999747270445647E-5</v>
      </c>
    </row>
    <row r="1637" spans="1:23">
      <c r="A1637" s="10" t="s">
        <v>334</v>
      </c>
      <c r="B1637" s="10" t="s">
        <v>358</v>
      </c>
      <c r="C1637" s="124">
        <v>46371</v>
      </c>
      <c r="D1637" s="124" t="s">
        <v>471</v>
      </c>
      <c r="E1637" s="21">
        <v>0.95687518000000005</v>
      </c>
      <c r="F1637" s="10"/>
      <c r="G1637" s="14">
        <v>4150625.28</v>
      </c>
      <c r="H1637" s="14">
        <v>3971630.29</v>
      </c>
      <c r="I1637" s="14">
        <v>4150625.28</v>
      </c>
      <c r="J1637" s="14">
        <v>3971630.29</v>
      </c>
      <c r="K1637" s="12">
        <v>3494</v>
      </c>
      <c r="L1637" s="10" t="s">
        <v>101</v>
      </c>
      <c r="M1637" s="10" t="s">
        <v>102</v>
      </c>
      <c r="N1637" s="124" t="s">
        <v>468</v>
      </c>
      <c r="O1637" s="124" t="s">
        <v>468</v>
      </c>
      <c r="P1637" s="21">
        <v>35</v>
      </c>
      <c r="Q1637" s="10" t="s">
        <v>54</v>
      </c>
      <c r="R1637" s="10" t="s">
        <v>28</v>
      </c>
      <c r="S1637" s="10"/>
      <c r="T1637" s="10"/>
      <c r="U1637" s="10" t="s">
        <v>3839</v>
      </c>
      <c r="V1637" s="10" t="s">
        <v>3839</v>
      </c>
      <c r="W1637" s="50">
        <f>+J1637/$W$2</f>
        <v>4.8607376205428277E-5</v>
      </c>
    </row>
    <row r="1638" spans="1:23">
      <c r="A1638" s="10" t="s">
        <v>334</v>
      </c>
      <c r="B1638" s="10" t="s">
        <v>358</v>
      </c>
      <c r="C1638" s="124">
        <v>46371</v>
      </c>
      <c r="D1638" s="124" t="s">
        <v>471</v>
      </c>
      <c r="E1638" s="21">
        <v>0.95569767000000005</v>
      </c>
      <c r="F1638" s="10"/>
      <c r="G1638" s="14">
        <v>3105640.28</v>
      </c>
      <c r="H1638" s="14">
        <v>2968053.17</v>
      </c>
      <c r="I1638" s="14">
        <v>3105640.28</v>
      </c>
      <c r="J1638" s="14">
        <v>2968053.17</v>
      </c>
      <c r="K1638" s="12">
        <v>3395</v>
      </c>
      <c r="L1638" s="10" t="s">
        <v>101</v>
      </c>
      <c r="M1638" s="10" t="s">
        <v>102</v>
      </c>
      <c r="N1638" s="124" t="s">
        <v>486</v>
      </c>
      <c r="O1638" s="124" t="s">
        <v>486</v>
      </c>
      <c r="P1638" s="21">
        <v>36</v>
      </c>
      <c r="Q1638" s="10" t="s">
        <v>54</v>
      </c>
      <c r="R1638" s="10" t="s">
        <v>28</v>
      </c>
      <c r="S1638" s="10"/>
      <c r="T1638" s="10"/>
      <c r="U1638" s="10" t="s">
        <v>1476</v>
      </c>
      <c r="V1638" s="10" t="s">
        <v>1476</v>
      </c>
      <c r="W1638" s="50">
        <f>+J1638/$W$2</f>
        <v>3.6324951341808797E-5</v>
      </c>
    </row>
    <row r="1639" spans="1:23">
      <c r="A1639" s="10" t="s">
        <v>334</v>
      </c>
      <c r="B1639" s="10" t="s">
        <v>358</v>
      </c>
      <c r="C1639" s="124">
        <v>46371</v>
      </c>
      <c r="D1639" s="124" t="s">
        <v>471</v>
      </c>
      <c r="E1639" s="21">
        <v>0.95569767999999999</v>
      </c>
      <c r="F1639" s="10"/>
      <c r="G1639" s="14">
        <v>2874176.47</v>
      </c>
      <c r="H1639" s="14">
        <v>2746843.78</v>
      </c>
      <c r="I1639" s="14">
        <v>2874176.47</v>
      </c>
      <c r="J1639" s="14">
        <v>2746843.78</v>
      </c>
      <c r="K1639" s="12">
        <v>3443</v>
      </c>
      <c r="L1639" s="10" t="s">
        <v>101</v>
      </c>
      <c r="M1639" s="10" t="s">
        <v>102</v>
      </c>
      <c r="N1639" s="124" t="s">
        <v>487</v>
      </c>
      <c r="O1639" s="124" t="s">
        <v>487</v>
      </c>
      <c r="P1639" s="21">
        <v>36</v>
      </c>
      <c r="Q1639" s="10" t="s">
        <v>54</v>
      </c>
      <c r="R1639" s="10" t="s">
        <v>28</v>
      </c>
      <c r="S1639" s="10"/>
      <c r="T1639" s="10"/>
      <c r="U1639" s="10" t="s">
        <v>1563</v>
      </c>
      <c r="V1639" s="10" t="s">
        <v>1563</v>
      </c>
      <c r="W1639" s="50">
        <f>+J1639/$W$2</f>
        <v>3.3617647979011824E-5</v>
      </c>
    </row>
    <row r="1640" spans="1:23">
      <c r="A1640" s="10" t="s">
        <v>1829</v>
      </c>
      <c r="B1640" s="10" t="s">
        <v>358</v>
      </c>
      <c r="C1640" s="124">
        <v>46371</v>
      </c>
      <c r="D1640" s="124" t="s">
        <v>471</v>
      </c>
      <c r="E1640" s="21">
        <v>0.95923879999999995</v>
      </c>
      <c r="F1640" s="10"/>
      <c r="G1640" s="14">
        <v>78805.34</v>
      </c>
      <c r="H1640" s="14">
        <v>75593.14</v>
      </c>
      <c r="I1640" s="14">
        <v>78805.34</v>
      </c>
      <c r="J1640" s="14">
        <v>75593.14</v>
      </c>
      <c r="K1640" s="12">
        <v>69702508</v>
      </c>
      <c r="L1640" s="10" t="s">
        <v>101</v>
      </c>
      <c r="M1640" s="10" t="s">
        <v>102</v>
      </c>
      <c r="N1640" s="124" t="s">
        <v>395</v>
      </c>
      <c r="O1640" s="124" t="s">
        <v>395</v>
      </c>
      <c r="P1640" s="21">
        <v>33</v>
      </c>
      <c r="Q1640" s="10" t="s">
        <v>54</v>
      </c>
      <c r="R1640" s="10" t="s">
        <v>28</v>
      </c>
      <c r="S1640" s="10"/>
      <c r="T1640" s="10"/>
      <c r="U1640" s="10" t="s">
        <v>1800</v>
      </c>
      <c r="V1640" s="10" t="s">
        <v>1800</v>
      </c>
      <c r="W1640" s="50">
        <f>+J1640/$W$2</f>
        <v>9.2515766227817959E-7</v>
      </c>
    </row>
    <row r="1641" spans="1:23">
      <c r="A1641" s="10" t="s">
        <v>401</v>
      </c>
      <c r="B1641" s="10" t="s">
        <v>358</v>
      </c>
      <c r="C1641" s="124">
        <v>46371</v>
      </c>
      <c r="D1641" s="124" t="s">
        <v>471</v>
      </c>
      <c r="E1641" s="21">
        <v>0.96520002000000005</v>
      </c>
      <c r="F1641" s="10"/>
      <c r="G1641" s="14">
        <v>8400000</v>
      </c>
      <c r="H1641" s="14">
        <v>8107680.1600000001</v>
      </c>
      <c r="I1641" s="14">
        <v>8400000</v>
      </c>
      <c r="J1641" s="14">
        <v>8107680.1600000001</v>
      </c>
      <c r="K1641" s="12">
        <v>2457</v>
      </c>
      <c r="L1641" s="10" t="s">
        <v>101</v>
      </c>
      <c r="M1641" s="10" t="s">
        <v>102</v>
      </c>
      <c r="N1641" s="124" t="s">
        <v>408</v>
      </c>
      <c r="O1641" s="124" t="s">
        <v>408</v>
      </c>
      <c r="P1641" s="21">
        <v>28</v>
      </c>
      <c r="Q1641" s="10" t="s">
        <v>54</v>
      </c>
      <c r="R1641" s="10" t="s">
        <v>28</v>
      </c>
      <c r="S1641" s="10"/>
      <c r="T1641" s="10"/>
      <c r="U1641" s="10" t="s">
        <v>2057</v>
      </c>
      <c r="V1641" s="10" t="s">
        <v>2057</v>
      </c>
      <c r="W1641" s="50">
        <f>+J1641/$W$2</f>
        <v>9.9227025406336828E-5</v>
      </c>
    </row>
    <row r="1642" spans="1:23">
      <c r="A1642" s="10" t="s">
        <v>1634</v>
      </c>
      <c r="B1642" s="10" t="s">
        <v>358</v>
      </c>
      <c r="C1642" s="124">
        <v>46371</v>
      </c>
      <c r="D1642" s="124" t="s">
        <v>471</v>
      </c>
      <c r="E1642" s="21">
        <v>0.96042532999999997</v>
      </c>
      <c r="F1642" s="10"/>
      <c r="G1642" s="14">
        <v>5000000</v>
      </c>
      <c r="H1642" s="14">
        <v>4802126.67</v>
      </c>
      <c r="I1642" s="14">
        <v>5000000</v>
      </c>
      <c r="J1642" s="14">
        <v>4802126.67</v>
      </c>
      <c r="K1642" s="12">
        <v>727</v>
      </c>
      <c r="L1642" s="10" t="s">
        <v>101</v>
      </c>
      <c r="M1642" s="10" t="s">
        <v>102</v>
      </c>
      <c r="N1642" s="124" t="s">
        <v>577</v>
      </c>
      <c r="O1642" s="124" t="s">
        <v>577</v>
      </c>
      <c r="P1642" s="21">
        <v>32</v>
      </c>
      <c r="Q1642" s="10" t="s">
        <v>54</v>
      </c>
      <c r="R1642" s="10" t="s">
        <v>28</v>
      </c>
      <c r="S1642" s="10"/>
      <c r="T1642" s="10"/>
      <c r="U1642" s="10" t="s">
        <v>2460</v>
      </c>
      <c r="V1642" s="10" t="s">
        <v>2460</v>
      </c>
      <c r="W1642" s="50">
        <f>+J1642/$W$2</f>
        <v>5.877152720446457E-5</v>
      </c>
    </row>
    <row r="1643" spans="1:23">
      <c r="A1643" s="10" t="s">
        <v>1755</v>
      </c>
      <c r="B1643" s="10" t="s">
        <v>358</v>
      </c>
      <c r="C1643" s="124">
        <v>46371</v>
      </c>
      <c r="D1643" s="124" t="s">
        <v>471</v>
      </c>
      <c r="E1643" s="21">
        <v>0.96042523999999996</v>
      </c>
      <c r="F1643" s="10"/>
      <c r="G1643" s="14">
        <v>1129854.56</v>
      </c>
      <c r="H1643" s="14">
        <v>1085140.8400000001</v>
      </c>
      <c r="I1643" s="14">
        <v>1129854.56</v>
      </c>
      <c r="J1643" s="14">
        <v>1085140.8400000001</v>
      </c>
      <c r="K1643" s="12">
        <v>1029</v>
      </c>
      <c r="L1643" s="10" t="s">
        <v>101</v>
      </c>
      <c r="M1643" s="10" t="s">
        <v>102</v>
      </c>
      <c r="N1643" s="124" t="s">
        <v>398</v>
      </c>
      <c r="O1643" s="124" t="s">
        <v>398</v>
      </c>
      <c r="P1643" s="21">
        <v>32</v>
      </c>
      <c r="Q1643" s="10" t="s">
        <v>54</v>
      </c>
      <c r="R1643" s="10" t="s">
        <v>28</v>
      </c>
      <c r="S1643" s="10"/>
      <c r="T1643" s="10"/>
      <c r="U1643" s="10" t="s">
        <v>1711</v>
      </c>
      <c r="V1643" s="10" t="s">
        <v>1711</v>
      </c>
      <c r="W1643" s="50">
        <f>+J1643/$W$2</f>
        <v>1.3280654339494035E-5</v>
      </c>
    </row>
    <row r="1644" spans="1:23">
      <c r="A1644" s="10" t="s">
        <v>453</v>
      </c>
      <c r="B1644" s="10" t="s">
        <v>358</v>
      </c>
      <c r="C1644" s="124">
        <v>46371</v>
      </c>
      <c r="D1644" s="124" t="s">
        <v>471</v>
      </c>
      <c r="E1644" s="21">
        <v>0.96520006000000003</v>
      </c>
      <c r="F1644" s="10"/>
      <c r="G1644" s="14">
        <v>35000000</v>
      </c>
      <c r="H1644" s="14">
        <v>33782002.079999998</v>
      </c>
      <c r="I1644" s="14">
        <v>35000000</v>
      </c>
      <c r="J1644" s="14">
        <v>33782002.079999998</v>
      </c>
      <c r="K1644" s="12">
        <v>69933224</v>
      </c>
      <c r="L1644" s="10" t="s">
        <v>101</v>
      </c>
      <c r="M1644" s="10" t="s">
        <v>102</v>
      </c>
      <c r="N1644" s="124" t="s">
        <v>478</v>
      </c>
      <c r="O1644" s="124" t="s">
        <v>478</v>
      </c>
      <c r="P1644" s="21">
        <v>28</v>
      </c>
      <c r="Q1644" s="10" t="s">
        <v>54</v>
      </c>
      <c r="R1644" s="10" t="s">
        <v>28</v>
      </c>
      <c r="S1644" s="10"/>
      <c r="T1644" s="10"/>
      <c r="U1644" s="10" t="s">
        <v>2206</v>
      </c>
      <c r="V1644" s="10" t="s">
        <v>2206</v>
      </c>
      <c r="W1644" s="50">
        <f>+J1644/$W$2</f>
        <v>4.1344595649035613E-4</v>
      </c>
    </row>
    <row r="1645" spans="1:23">
      <c r="A1645" s="10" t="s">
        <v>494</v>
      </c>
      <c r="B1645" s="10" t="s">
        <v>358</v>
      </c>
      <c r="C1645" s="124">
        <v>46371</v>
      </c>
      <c r="D1645" s="124" t="s">
        <v>471</v>
      </c>
      <c r="E1645" s="21">
        <v>0.96280668999999997</v>
      </c>
      <c r="F1645" s="10"/>
      <c r="G1645" s="14">
        <v>23167422.219999999</v>
      </c>
      <c r="H1645" s="14">
        <v>22305749.050000001</v>
      </c>
      <c r="I1645" s="14">
        <v>23167422.219999999</v>
      </c>
      <c r="J1645" s="14">
        <v>22305749.050000001</v>
      </c>
      <c r="K1645" s="12">
        <v>438</v>
      </c>
      <c r="L1645" s="10" t="s">
        <v>101</v>
      </c>
      <c r="M1645" s="10" t="s">
        <v>102</v>
      </c>
      <c r="N1645" s="124" t="s">
        <v>439</v>
      </c>
      <c r="O1645" s="124" t="s">
        <v>439</v>
      </c>
      <c r="P1645" s="21">
        <v>30</v>
      </c>
      <c r="Q1645" s="10" t="s">
        <v>54</v>
      </c>
      <c r="R1645" s="10" t="s">
        <v>28</v>
      </c>
      <c r="S1645" s="10"/>
      <c r="T1645" s="10"/>
      <c r="U1645" s="10" t="s">
        <v>2250</v>
      </c>
      <c r="V1645" s="10" t="s">
        <v>2250</v>
      </c>
      <c r="W1645" s="50">
        <f>+J1645/$W$2</f>
        <v>2.7299216101436883E-4</v>
      </c>
    </row>
    <row r="1646" spans="1:23">
      <c r="A1646" s="10" t="s">
        <v>443</v>
      </c>
      <c r="B1646" s="10" t="s">
        <v>358</v>
      </c>
      <c r="C1646" s="124">
        <v>46371</v>
      </c>
      <c r="D1646" s="124" t="s">
        <v>471</v>
      </c>
      <c r="E1646" s="21">
        <v>0.96161448999999999</v>
      </c>
      <c r="F1646" s="10"/>
      <c r="G1646" s="14">
        <v>10000000</v>
      </c>
      <c r="H1646" s="14">
        <v>9616144.8800000008</v>
      </c>
      <c r="I1646" s="14">
        <v>10000000</v>
      </c>
      <c r="J1646" s="14">
        <v>9616144.8800000008</v>
      </c>
      <c r="K1646" s="12">
        <v>181</v>
      </c>
      <c r="L1646" s="10" t="s">
        <v>101</v>
      </c>
      <c r="M1646" s="10" t="s">
        <v>102</v>
      </c>
      <c r="N1646" s="124" t="s">
        <v>162</v>
      </c>
      <c r="O1646" s="124" t="s">
        <v>162</v>
      </c>
      <c r="P1646" s="21">
        <v>31</v>
      </c>
      <c r="Q1646" s="10" t="s">
        <v>54</v>
      </c>
      <c r="R1646" s="10" t="s">
        <v>28</v>
      </c>
      <c r="S1646" s="10"/>
      <c r="T1646" s="10"/>
      <c r="U1646" s="10" t="s">
        <v>1252</v>
      </c>
      <c r="V1646" s="10" t="s">
        <v>1252</v>
      </c>
      <c r="W1646" s="50">
        <f>+J1646/$W$2</f>
        <v>1.1768859075451935E-4</v>
      </c>
    </row>
    <row r="1647" spans="1:23">
      <c r="A1647" s="10" t="s">
        <v>141</v>
      </c>
      <c r="B1647" s="10" t="s">
        <v>358</v>
      </c>
      <c r="C1647" s="124">
        <v>46371</v>
      </c>
      <c r="D1647" s="124" t="s">
        <v>471</v>
      </c>
      <c r="E1647" s="21">
        <v>0.95923895999999997</v>
      </c>
      <c r="F1647" s="10"/>
      <c r="G1647" s="14">
        <v>22500000</v>
      </c>
      <c r="H1647" s="14">
        <v>21582876.629999999</v>
      </c>
      <c r="I1647" s="14">
        <v>22500000</v>
      </c>
      <c r="J1647" s="14">
        <v>21582876.629999999</v>
      </c>
      <c r="K1647" s="12">
        <v>300</v>
      </c>
      <c r="L1647" s="10" t="s">
        <v>101</v>
      </c>
      <c r="M1647" s="10" t="s">
        <v>102</v>
      </c>
      <c r="N1647" s="124" t="s">
        <v>439</v>
      </c>
      <c r="O1647" s="124" t="s">
        <v>439</v>
      </c>
      <c r="P1647" s="21">
        <v>33</v>
      </c>
      <c r="Q1647" s="10" t="s">
        <v>54</v>
      </c>
      <c r="R1647" s="10" t="s">
        <v>28</v>
      </c>
      <c r="S1647" s="10"/>
      <c r="T1647" s="10"/>
      <c r="U1647" s="10" t="s">
        <v>2251</v>
      </c>
      <c r="V1647" s="10" t="s">
        <v>2251</v>
      </c>
      <c r="W1647" s="50">
        <f>+J1647/$W$2</f>
        <v>2.6414518153696425E-4</v>
      </c>
    </row>
    <row r="1648" spans="1:23">
      <c r="A1648" s="10" t="s">
        <v>265</v>
      </c>
      <c r="B1648" s="10" t="s">
        <v>358</v>
      </c>
      <c r="C1648" s="124">
        <v>46371</v>
      </c>
      <c r="D1648" s="124" t="s">
        <v>471</v>
      </c>
      <c r="E1648" s="21">
        <v>0.96519999000000001</v>
      </c>
      <c r="F1648" s="10"/>
      <c r="G1648" s="14">
        <v>50000000</v>
      </c>
      <c r="H1648" s="14">
        <v>48259999.670000002</v>
      </c>
      <c r="I1648" s="14">
        <v>50000000</v>
      </c>
      <c r="J1648" s="14">
        <v>48259999.670000002</v>
      </c>
      <c r="K1648" s="12">
        <v>40665393</v>
      </c>
      <c r="L1648" s="10" t="s">
        <v>101</v>
      </c>
      <c r="M1648" s="10" t="s">
        <v>102</v>
      </c>
      <c r="N1648" s="124" t="s">
        <v>366</v>
      </c>
      <c r="O1648" s="124" t="s">
        <v>366</v>
      </c>
      <c r="P1648" s="21">
        <v>28</v>
      </c>
      <c r="Q1648" s="10" t="s">
        <v>54</v>
      </c>
      <c r="R1648" s="10" t="s">
        <v>28</v>
      </c>
      <c r="S1648" s="10"/>
      <c r="T1648" s="10"/>
      <c r="U1648" s="10" t="s">
        <v>882</v>
      </c>
      <c r="V1648" s="10" t="s">
        <v>882</v>
      </c>
      <c r="W1648" s="50">
        <f>+J1648/$W$2</f>
        <v>5.9063704029549402E-4</v>
      </c>
    </row>
    <row r="1649" spans="1:29">
      <c r="A1649" s="10" t="s">
        <v>623</v>
      </c>
      <c r="B1649" s="10" t="s">
        <v>358</v>
      </c>
      <c r="C1649" s="124">
        <v>46371</v>
      </c>
      <c r="D1649" s="124" t="s">
        <v>471</v>
      </c>
      <c r="E1649" s="21">
        <v>0.96042538</v>
      </c>
      <c r="F1649" s="10"/>
      <c r="G1649" s="14">
        <v>5000000</v>
      </c>
      <c r="H1649" s="14">
        <v>4802126.9000000004</v>
      </c>
      <c r="I1649" s="14">
        <v>5000000</v>
      </c>
      <c r="J1649" s="14">
        <v>4802126.9000000004</v>
      </c>
      <c r="K1649" s="12">
        <v>57</v>
      </c>
      <c r="L1649" s="10" t="s">
        <v>101</v>
      </c>
      <c r="M1649" s="10" t="s">
        <v>102</v>
      </c>
      <c r="N1649" s="124" t="s">
        <v>450</v>
      </c>
      <c r="O1649" s="124" t="s">
        <v>450</v>
      </c>
      <c r="P1649" s="21">
        <v>32</v>
      </c>
      <c r="Q1649" s="10" t="s">
        <v>54</v>
      </c>
      <c r="R1649" s="10" t="s">
        <v>28</v>
      </c>
      <c r="S1649" s="10"/>
      <c r="T1649" s="10"/>
      <c r="U1649" s="10" t="s">
        <v>3429</v>
      </c>
      <c r="V1649" s="10" t="s">
        <v>3429</v>
      </c>
      <c r="W1649" s="50">
        <f>+J1649/$W$2</f>
        <v>5.8771530019353104E-5</v>
      </c>
    </row>
    <row r="1650" spans="1:29">
      <c r="A1650" s="10" t="s">
        <v>3573</v>
      </c>
      <c r="B1650" s="10" t="s">
        <v>358</v>
      </c>
      <c r="C1650" s="124">
        <v>46371</v>
      </c>
      <c r="D1650" s="124" t="s">
        <v>471</v>
      </c>
      <c r="E1650" s="21">
        <v>0.96280686999999998</v>
      </c>
      <c r="F1650" s="10"/>
      <c r="G1650" s="14">
        <v>2006000</v>
      </c>
      <c r="H1650" s="14">
        <v>1931390.58</v>
      </c>
      <c r="I1650" s="14">
        <v>2006000</v>
      </c>
      <c r="J1650" s="14">
        <v>1931390.58</v>
      </c>
      <c r="K1650" s="12">
        <v>70555950</v>
      </c>
      <c r="L1650" s="10" t="s">
        <v>101</v>
      </c>
      <c r="M1650" s="10" t="s">
        <v>102</v>
      </c>
      <c r="N1650" s="124" t="s">
        <v>451</v>
      </c>
      <c r="O1650" s="124" t="s">
        <v>451</v>
      </c>
      <c r="P1650" s="21">
        <v>30</v>
      </c>
      <c r="Q1650" s="10" t="s">
        <v>54</v>
      </c>
      <c r="R1650" s="10" t="s">
        <v>28</v>
      </c>
      <c r="S1650" s="10"/>
      <c r="T1650" s="10"/>
      <c r="U1650" s="10" t="s">
        <v>3542</v>
      </c>
      <c r="V1650" s="10" t="s">
        <v>3542</v>
      </c>
      <c r="W1650" s="50">
        <f>+J1650/$W$2</f>
        <v>2.3637605131085934E-5</v>
      </c>
    </row>
    <row r="1651" spans="1:29">
      <c r="A1651" s="10" t="s">
        <v>1765</v>
      </c>
      <c r="B1651" s="10" t="s">
        <v>358</v>
      </c>
      <c r="C1651" s="124">
        <v>46371</v>
      </c>
      <c r="D1651" s="124" t="s">
        <v>471</v>
      </c>
      <c r="E1651" s="21">
        <v>0.95923904999999998</v>
      </c>
      <c r="F1651" s="10"/>
      <c r="G1651" s="14">
        <v>672232.39</v>
      </c>
      <c r="H1651" s="14">
        <v>644831.56000000006</v>
      </c>
      <c r="I1651" s="14">
        <v>672232.39</v>
      </c>
      <c r="J1651" s="14">
        <v>644831.56000000006</v>
      </c>
      <c r="K1651" s="12">
        <v>19725</v>
      </c>
      <c r="L1651" s="10" t="s">
        <v>101</v>
      </c>
      <c r="M1651" s="10" t="s">
        <v>102</v>
      </c>
      <c r="N1651" s="124" t="s">
        <v>417</v>
      </c>
      <c r="O1651" s="124" t="s">
        <v>417</v>
      </c>
      <c r="P1651" s="21">
        <v>33</v>
      </c>
      <c r="Q1651" s="10" t="s">
        <v>54</v>
      </c>
      <c r="R1651" s="10" t="s">
        <v>28</v>
      </c>
      <c r="S1651" s="10"/>
      <c r="T1651" s="10"/>
      <c r="U1651" s="10" t="s">
        <v>3266</v>
      </c>
      <c r="V1651" s="10" t="s">
        <v>3266</v>
      </c>
      <c r="W1651" s="50">
        <f>+J1651/$W$2</f>
        <v>7.8918650371289209E-6</v>
      </c>
    </row>
    <row r="1652" spans="1:29">
      <c r="A1652" s="10" t="s">
        <v>1765</v>
      </c>
      <c r="B1652" s="10" t="s">
        <v>358</v>
      </c>
      <c r="C1652" s="124">
        <v>46371</v>
      </c>
      <c r="D1652" s="124" t="s">
        <v>471</v>
      </c>
      <c r="E1652" s="21">
        <v>0.95923904000000004</v>
      </c>
      <c r="F1652" s="10"/>
      <c r="G1652" s="14">
        <v>649795.28</v>
      </c>
      <c r="H1652" s="14">
        <v>623309</v>
      </c>
      <c r="I1652" s="14">
        <v>649795.28</v>
      </c>
      <c r="J1652" s="14">
        <v>623309</v>
      </c>
      <c r="K1652" s="12">
        <v>19652</v>
      </c>
      <c r="L1652" s="10" t="s">
        <v>101</v>
      </c>
      <c r="M1652" s="10" t="s">
        <v>102</v>
      </c>
      <c r="N1652" s="124" t="s">
        <v>417</v>
      </c>
      <c r="O1652" s="124" t="s">
        <v>417</v>
      </c>
      <c r="P1652" s="21">
        <v>33</v>
      </c>
      <c r="Q1652" s="10" t="s">
        <v>54</v>
      </c>
      <c r="R1652" s="10" t="s">
        <v>28</v>
      </c>
      <c r="S1652" s="10"/>
      <c r="T1652" s="10"/>
      <c r="U1652" s="10" t="s">
        <v>3283</v>
      </c>
      <c r="V1652" s="10" t="s">
        <v>3283</v>
      </c>
      <c r="W1652" s="50">
        <f>+J1652/$W$2</f>
        <v>7.6284580494599089E-6</v>
      </c>
      <c r="AC1652" s="47"/>
    </row>
    <row r="1653" spans="1:29">
      <c r="A1653" s="10" t="s">
        <v>574</v>
      </c>
      <c r="B1653" s="10" t="s">
        <v>358</v>
      </c>
      <c r="C1653" s="124">
        <v>46371</v>
      </c>
      <c r="D1653" s="124" t="s">
        <v>471</v>
      </c>
      <c r="E1653" s="21">
        <v>0.96280677999999997</v>
      </c>
      <c r="F1653" s="10"/>
      <c r="G1653" s="14">
        <v>100000000</v>
      </c>
      <c r="H1653" s="14">
        <v>96280677.5</v>
      </c>
      <c r="I1653" s="14">
        <v>100000000</v>
      </c>
      <c r="J1653" s="14">
        <v>96280677.5</v>
      </c>
      <c r="K1653" s="12">
        <v>90004288</v>
      </c>
      <c r="L1653" s="10" t="s">
        <v>101</v>
      </c>
      <c r="M1653" s="10" t="s">
        <v>102</v>
      </c>
      <c r="N1653" s="124" t="s">
        <v>440</v>
      </c>
      <c r="O1653" s="124" t="s">
        <v>440</v>
      </c>
      <c r="P1653" s="21">
        <v>30</v>
      </c>
      <c r="Q1653" s="10" t="s">
        <v>54</v>
      </c>
      <c r="R1653" s="10" t="s">
        <v>28</v>
      </c>
      <c r="S1653" s="10"/>
      <c r="T1653" s="10"/>
      <c r="U1653" s="10" t="s">
        <v>2695</v>
      </c>
      <c r="V1653" s="10" t="s">
        <v>2695</v>
      </c>
      <c r="W1653" s="50">
        <f>+J1653/$W$2</f>
        <v>1.1783451053688115E-3</v>
      </c>
    </row>
    <row r="1654" spans="1:29">
      <c r="A1654" s="10" t="s">
        <v>2437</v>
      </c>
      <c r="B1654" s="10" t="s">
        <v>358</v>
      </c>
      <c r="C1654" s="124">
        <v>46371</v>
      </c>
      <c r="D1654" s="124" t="s">
        <v>471</v>
      </c>
      <c r="E1654" s="21">
        <v>0.96400191000000002</v>
      </c>
      <c r="F1654" s="10"/>
      <c r="G1654" s="14">
        <v>2500000</v>
      </c>
      <c r="H1654" s="14">
        <v>2410004.77</v>
      </c>
      <c r="I1654" s="14">
        <v>2500000</v>
      </c>
      <c r="J1654" s="14">
        <v>2410004.77</v>
      </c>
      <c r="K1654" s="12">
        <v>365</v>
      </c>
      <c r="L1654" s="10" t="s">
        <v>101</v>
      </c>
      <c r="M1654" s="10" t="s">
        <v>102</v>
      </c>
      <c r="N1654" s="124" t="s">
        <v>467</v>
      </c>
      <c r="O1654" s="124" t="s">
        <v>467</v>
      </c>
      <c r="P1654" s="21">
        <v>29</v>
      </c>
      <c r="Q1654" s="10" t="s">
        <v>54</v>
      </c>
      <c r="R1654" s="10" t="s">
        <v>28</v>
      </c>
      <c r="S1654" s="10"/>
      <c r="T1654" s="10"/>
      <c r="U1654" s="10" t="s">
        <v>3734</v>
      </c>
      <c r="V1654" s="10" t="s">
        <v>3734</v>
      </c>
      <c r="W1654" s="50">
        <f>+J1654/$W$2</f>
        <v>2.9495194657775319E-5</v>
      </c>
      <c r="AC1654" s="47"/>
    </row>
    <row r="1655" spans="1:29">
      <c r="A1655" s="10" t="s">
        <v>2211</v>
      </c>
      <c r="B1655" s="10" t="s">
        <v>358</v>
      </c>
      <c r="C1655" s="124">
        <v>46371</v>
      </c>
      <c r="D1655" s="124" t="s">
        <v>471</v>
      </c>
      <c r="E1655" s="21">
        <v>0.96042530000000004</v>
      </c>
      <c r="F1655" s="10"/>
      <c r="G1655" s="14">
        <v>7166096.25</v>
      </c>
      <c r="H1655" s="14">
        <v>6882500.1399999997</v>
      </c>
      <c r="I1655" s="14">
        <v>7166096.25</v>
      </c>
      <c r="J1655" s="14">
        <v>6882500.1399999997</v>
      </c>
      <c r="K1655" s="12">
        <v>90000770</v>
      </c>
      <c r="L1655" s="10" t="s">
        <v>101</v>
      </c>
      <c r="M1655" s="10" t="s">
        <v>102</v>
      </c>
      <c r="N1655" s="124" t="s">
        <v>603</v>
      </c>
      <c r="O1655" s="124" t="s">
        <v>603</v>
      </c>
      <c r="P1655" s="21">
        <v>32</v>
      </c>
      <c r="Q1655" s="10" t="s">
        <v>54</v>
      </c>
      <c r="R1655" s="10" t="s">
        <v>28</v>
      </c>
      <c r="S1655" s="10"/>
      <c r="T1655" s="10"/>
      <c r="U1655" s="10" t="s">
        <v>2590</v>
      </c>
      <c r="V1655" s="10" t="s">
        <v>2590</v>
      </c>
      <c r="W1655" s="50">
        <f>+J1655/$W$2</f>
        <v>8.4232481150427717E-5</v>
      </c>
    </row>
    <row r="1656" spans="1:29">
      <c r="A1656" s="10" t="s">
        <v>438</v>
      </c>
      <c r="B1656" s="10" t="s">
        <v>358</v>
      </c>
      <c r="C1656" s="124">
        <v>46371</v>
      </c>
      <c r="D1656" s="124" t="s">
        <v>471</v>
      </c>
      <c r="E1656" s="21">
        <v>0.96400191000000002</v>
      </c>
      <c r="F1656" s="10"/>
      <c r="G1656" s="14">
        <v>30000000</v>
      </c>
      <c r="H1656" s="14">
        <v>28920057.32</v>
      </c>
      <c r="I1656" s="14">
        <v>30000000</v>
      </c>
      <c r="J1656" s="14">
        <v>28920057.32</v>
      </c>
      <c r="K1656" s="12">
        <v>9825620</v>
      </c>
      <c r="L1656" s="10" t="s">
        <v>101</v>
      </c>
      <c r="M1656" s="10" t="s">
        <v>102</v>
      </c>
      <c r="N1656" s="124" t="s">
        <v>410</v>
      </c>
      <c r="O1656" s="124" t="s">
        <v>410</v>
      </c>
      <c r="P1656" s="21">
        <v>29</v>
      </c>
      <c r="Q1656" s="10" t="s">
        <v>54</v>
      </c>
      <c r="R1656" s="10" t="s">
        <v>28</v>
      </c>
      <c r="S1656" s="10"/>
      <c r="T1656" s="10"/>
      <c r="U1656" s="10" t="s">
        <v>1242</v>
      </c>
      <c r="V1656" s="10" t="s">
        <v>1242</v>
      </c>
      <c r="W1656" s="50">
        <f>+J1656/$W$2</f>
        <v>3.5394233687239548E-4</v>
      </c>
      <c r="AC1656" s="47"/>
    </row>
    <row r="1657" spans="1:29">
      <c r="A1657" s="10" t="s">
        <v>2822</v>
      </c>
      <c r="B1657" s="10" t="s">
        <v>358</v>
      </c>
      <c r="C1657" s="124">
        <v>46371</v>
      </c>
      <c r="D1657" s="124" t="s">
        <v>471</v>
      </c>
      <c r="E1657" s="21">
        <v>0.96042532999999997</v>
      </c>
      <c r="F1657" s="10"/>
      <c r="G1657" s="14">
        <v>1858362</v>
      </c>
      <c r="H1657" s="14">
        <v>1784817.94</v>
      </c>
      <c r="I1657" s="14">
        <v>1858362</v>
      </c>
      <c r="J1657" s="14">
        <v>1784817.94</v>
      </c>
      <c r="K1657" s="12">
        <v>1486</v>
      </c>
      <c r="L1657" s="10" t="s">
        <v>101</v>
      </c>
      <c r="M1657" s="10" t="s">
        <v>102</v>
      </c>
      <c r="N1657" s="124" t="s">
        <v>412</v>
      </c>
      <c r="O1657" s="124" t="s">
        <v>412</v>
      </c>
      <c r="P1657" s="21">
        <v>32</v>
      </c>
      <c r="Q1657" s="10" t="s">
        <v>54</v>
      </c>
      <c r="R1657" s="10" t="s">
        <v>28</v>
      </c>
      <c r="S1657" s="10"/>
      <c r="T1657" s="10"/>
      <c r="U1657" s="10" t="s">
        <v>2772</v>
      </c>
      <c r="V1657" s="10" t="s">
        <v>2772</v>
      </c>
      <c r="W1657" s="50">
        <f>+J1657/$W$2</f>
        <v>2.1843754512149595E-5</v>
      </c>
    </row>
    <row r="1658" spans="1:29">
      <c r="A1658" s="10" t="s">
        <v>271</v>
      </c>
      <c r="B1658" s="10" t="s">
        <v>358</v>
      </c>
      <c r="C1658" s="124">
        <v>46371</v>
      </c>
      <c r="D1658" s="124" t="s">
        <v>471</v>
      </c>
      <c r="E1658" s="21">
        <v>0.96760515000000002</v>
      </c>
      <c r="F1658" s="10"/>
      <c r="G1658" s="14">
        <v>5000000</v>
      </c>
      <c r="H1658" s="14">
        <v>4838025.7300000004</v>
      </c>
      <c r="I1658" s="14">
        <v>5000000</v>
      </c>
      <c r="J1658" s="14">
        <v>4838025.7300000004</v>
      </c>
      <c r="K1658" s="12">
        <v>491508</v>
      </c>
      <c r="L1658" s="10" t="s">
        <v>101</v>
      </c>
      <c r="M1658" s="10" t="s">
        <v>102</v>
      </c>
      <c r="N1658" s="124" t="s">
        <v>342</v>
      </c>
      <c r="O1658" s="124" t="s">
        <v>342</v>
      </c>
      <c r="P1658" s="21">
        <v>26</v>
      </c>
      <c r="Q1658" s="10" t="s">
        <v>54</v>
      </c>
      <c r="R1658" s="10" t="s">
        <v>28</v>
      </c>
      <c r="S1658" s="10"/>
      <c r="T1658" s="10"/>
      <c r="U1658" s="10" t="s">
        <v>751</v>
      </c>
      <c r="V1658" s="10" t="s">
        <v>751</v>
      </c>
      <c r="W1658" s="50">
        <f>+J1658/$W$2</f>
        <v>5.9210883082889315E-5</v>
      </c>
    </row>
    <row r="1659" spans="1:29">
      <c r="A1659" s="10" t="s">
        <v>271</v>
      </c>
      <c r="B1659" s="10" t="s">
        <v>358</v>
      </c>
      <c r="C1659" s="124">
        <v>46371</v>
      </c>
      <c r="D1659" s="124" t="s">
        <v>471</v>
      </c>
      <c r="E1659" s="21">
        <v>0.96520006000000003</v>
      </c>
      <c r="F1659" s="10"/>
      <c r="G1659" s="14">
        <v>5000000</v>
      </c>
      <c r="H1659" s="14">
        <v>4826000.3099999996</v>
      </c>
      <c r="I1659" s="14">
        <v>5000000</v>
      </c>
      <c r="J1659" s="14">
        <v>4826000.3099999996</v>
      </c>
      <c r="K1659" s="12">
        <v>40797748</v>
      </c>
      <c r="L1659" s="10" t="s">
        <v>101</v>
      </c>
      <c r="M1659" s="10" t="s">
        <v>102</v>
      </c>
      <c r="N1659" s="124" t="s">
        <v>478</v>
      </c>
      <c r="O1659" s="124" t="s">
        <v>478</v>
      </c>
      <c r="P1659" s="21">
        <v>28</v>
      </c>
      <c r="Q1659" s="10" t="s">
        <v>54</v>
      </c>
      <c r="R1659" s="10" t="s">
        <v>28</v>
      </c>
      <c r="S1659" s="10"/>
      <c r="T1659" s="10"/>
      <c r="U1659" s="10" t="s">
        <v>2090</v>
      </c>
      <c r="V1659" s="10" t="s">
        <v>2090</v>
      </c>
      <c r="W1659" s="50">
        <f>+J1659/$W$2</f>
        <v>5.9063708227404884E-5</v>
      </c>
    </row>
    <row r="1660" spans="1:29">
      <c r="A1660" s="10" t="s">
        <v>3604</v>
      </c>
      <c r="B1660" s="10" t="s">
        <v>358</v>
      </c>
      <c r="C1660" s="124">
        <v>46371</v>
      </c>
      <c r="D1660" s="124" t="s">
        <v>471</v>
      </c>
      <c r="E1660" s="21">
        <v>0.95923915000000004</v>
      </c>
      <c r="F1660" s="10"/>
      <c r="G1660" s="14">
        <v>1508292.23</v>
      </c>
      <c r="H1660" s="14">
        <v>1446812.96</v>
      </c>
      <c r="I1660" s="14">
        <v>1508292.23</v>
      </c>
      <c r="J1660" s="14">
        <v>1446812.96</v>
      </c>
      <c r="K1660" s="12">
        <v>2</v>
      </c>
      <c r="L1660" s="10" t="s">
        <v>101</v>
      </c>
      <c r="M1660" s="10" t="s">
        <v>102</v>
      </c>
      <c r="N1660" s="124" t="s">
        <v>451</v>
      </c>
      <c r="O1660" s="124" t="s">
        <v>451</v>
      </c>
      <c r="P1660" s="21">
        <v>33</v>
      </c>
      <c r="Q1660" s="10" t="s">
        <v>54</v>
      </c>
      <c r="R1660" s="10" t="s">
        <v>28</v>
      </c>
      <c r="S1660" s="10"/>
      <c r="T1660" s="10"/>
      <c r="U1660" s="10" t="s">
        <v>3569</v>
      </c>
      <c r="V1660" s="10" t="s">
        <v>3569</v>
      </c>
      <c r="W1660" s="50">
        <f>+J1660/$W$2</f>
        <v>1.7707031297117348E-5</v>
      </c>
    </row>
    <row r="1661" spans="1:29">
      <c r="A1661" s="10" t="s">
        <v>3606</v>
      </c>
      <c r="B1661" s="10" t="s">
        <v>358</v>
      </c>
      <c r="C1661" s="124">
        <v>46371</v>
      </c>
      <c r="D1661" s="124" t="s">
        <v>471</v>
      </c>
      <c r="E1661" s="21">
        <v>0.95923915999999998</v>
      </c>
      <c r="F1661" s="10"/>
      <c r="G1661" s="14">
        <v>4725000</v>
      </c>
      <c r="H1661" s="14">
        <v>4532405.01</v>
      </c>
      <c r="I1661" s="14">
        <v>4725000</v>
      </c>
      <c r="J1661" s="14">
        <v>4532405.01</v>
      </c>
      <c r="K1661" s="12">
        <v>11163479</v>
      </c>
      <c r="L1661" s="10" t="s">
        <v>101</v>
      </c>
      <c r="M1661" s="10" t="s">
        <v>102</v>
      </c>
      <c r="N1661" s="124" t="s">
        <v>451</v>
      </c>
      <c r="O1661" s="124" t="s">
        <v>451</v>
      </c>
      <c r="P1661" s="21">
        <v>33</v>
      </c>
      <c r="Q1661" s="10" t="s">
        <v>54</v>
      </c>
      <c r="R1661" s="10" t="s">
        <v>28</v>
      </c>
      <c r="S1661" s="10"/>
      <c r="T1661" s="10"/>
      <c r="U1661" s="10" t="s">
        <v>3555</v>
      </c>
      <c r="V1661" s="10" t="s">
        <v>3555</v>
      </c>
      <c r="W1661" s="50">
        <f>+J1661/$W$2</f>
        <v>5.5470499354167705E-5</v>
      </c>
    </row>
    <row r="1662" spans="1:29">
      <c r="A1662" s="10" t="s">
        <v>2540</v>
      </c>
      <c r="B1662" s="10" t="s">
        <v>358</v>
      </c>
      <c r="C1662" s="124">
        <v>46371</v>
      </c>
      <c r="D1662" s="124" t="s">
        <v>471</v>
      </c>
      <c r="E1662" s="21">
        <v>0.96280679999999996</v>
      </c>
      <c r="F1662" s="10"/>
      <c r="G1662" s="14">
        <v>2195601.9</v>
      </c>
      <c r="H1662" s="14">
        <v>2113940.44</v>
      </c>
      <c r="I1662" s="14">
        <v>2195601.9</v>
      </c>
      <c r="J1662" s="14">
        <v>2113940.44</v>
      </c>
      <c r="K1662" s="12">
        <v>230</v>
      </c>
      <c r="L1662" s="10" t="s">
        <v>101</v>
      </c>
      <c r="M1662" s="10" t="s">
        <v>102</v>
      </c>
      <c r="N1662" s="124" t="s">
        <v>452</v>
      </c>
      <c r="O1662" s="124" t="s">
        <v>452</v>
      </c>
      <c r="P1662" s="21">
        <v>30</v>
      </c>
      <c r="Q1662" s="10" t="s">
        <v>54</v>
      </c>
      <c r="R1662" s="10" t="s">
        <v>28</v>
      </c>
      <c r="S1662" s="10"/>
      <c r="T1662" s="10"/>
      <c r="U1662" s="10" t="s">
        <v>2524</v>
      </c>
      <c r="V1662" s="10" t="s">
        <v>2524</v>
      </c>
      <c r="W1662" s="50">
        <f>+J1662/$W$2</f>
        <v>2.5871768200999537E-5</v>
      </c>
    </row>
    <row r="1663" spans="1:29">
      <c r="A1663" s="10" t="s">
        <v>2016</v>
      </c>
      <c r="B1663" s="10" t="s">
        <v>358</v>
      </c>
      <c r="C1663" s="124">
        <v>46372</v>
      </c>
      <c r="D1663" s="124" t="s">
        <v>471</v>
      </c>
      <c r="E1663" s="21">
        <v>0.96326416000000004</v>
      </c>
      <c r="F1663" s="10"/>
      <c r="G1663" s="14">
        <v>4000000</v>
      </c>
      <c r="H1663" s="14">
        <v>3853056.66</v>
      </c>
      <c r="I1663" s="14">
        <v>4000000</v>
      </c>
      <c r="J1663" s="14">
        <v>3853056.66</v>
      </c>
      <c r="K1663" s="12">
        <v>40775099</v>
      </c>
      <c r="L1663" s="10" t="s">
        <v>101</v>
      </c>
      <c r="M1663" s="10" t="s">
        <v>102</v>
      </c>
      <c r="N1663" s="124" t="s">
        <v>469</v>
      </c>
      <c r="O1663" s="124" t="s">
        <v>469</v>
      </c>
      <c r="P1663" s="21">
        <v>29</v>
      </c>
      <c r="Q1663" s="10" t="s">
        <v>54</v>
      </c>
      <c r="R1663" s="10" t="s">
        <v>28</v>
      </c>
      <c r="S1663" s="10"/>
      <c r="T1663" s="10"/>
      <c r="U1663" s="10" t="s">
        <v>3937</v>
      </c>
      <c r="V1663" s="10" t="s">
        <v>3937</v>
      </c>
      <c r="W1663" s="50">
        <f>+J1663/$W$2</f>
        <v>4.7156195551487486E-5</v>
      </c>
    </row>
    <row r="1664" spans="1:29">
      <c r="A1664" s="10" t="s">
        <v>379</v>
      </c>
      <c r="B1664" s="10" t="s">
        <v>358</v>
      </c>
      <c r="C1664" s="124">
        <v>46372</v>
      </c>
      <c r="D1664" s="124" t="s">
        <v>471</v>
      </c>
      <c r="E1664" s="21">
        <v>0.96204539</v>
      </c>
      <c r="F1664" s="10"/>
      <c r="G1664" s="14">
        <v>20000000</v>
      </c>
      <c r="H1664" s="14">
        <v>19240907.719999999</v>
      </c>
      <c r="I1664" s="14">
        <v>20000000</v>
      </c>
      <c r="J1664" s="14">
        <v>19240907.719999999</v>
      </c>
      <c r="K1664" s="12">
        <v>1063</v>
      </c>
      <c r="L1664" s="10" t="s">
        <v>101</v>
      </c>
      <c r="M1664" s="10" t="s">
        <v>102</v>
      </c>
      <c r="N1664" s="124" t="s">
        <v>397</v>
      </c>
      <c r="O1664" s="124" t="s">
        <v>395</v>
      </c>
      <c r="P1664" s="21">
        <v>30</v>
      </c>
      <c r="Q1664" s="10" t="s">
        <v>54</v>
      </c>
      <c r="R1664" s="10" t="s">
        <v>28</v>
      </c>
      <c r="S1664" s="10"/>
      <c r="T1664" s="10"/>
      <c r="U1664" s="10" t="s">
        <v>1833</v>
      </c>
      <c r="V1664" s="10" t="s">
        <v>1833</v>
      </c>
      <c r="W1664" s="50">
        <f>+J1664/$W$2</f>
        <v>2.3548265366864476E-4</v>
      </c>
    </row>
    <row r="1665" spans="1:29">
      <c r="A1665" s="10" t="s">
        <v>2017</v>
      </c>
      <c r="B1665" s="10" t="s">
        <v>358</v>
      </c>
      <c r="C1665" s="124">
        <v>46372</v>
      </c>
      <c r="D1665" s="124" t="s">
        <v>471</v>
      </c>
      <c r="E1665" s="21">
        <v>0.95599800999999995</v>
      </c>
      <c r="F1665" s="10"/>
      <c r="G1665" s="14">
        <v>5000000</v>
      </c>
      <c r="H1665" s="14">
        <v>4779990.05</v>
      </c>
      <c r="I1665" s="14">
        <v>5000000</v>
      </c>
      <c r="J1665" s="14">
        <v>4779990.05</v>
      </c>
      <c r="K1665" s="12">
        <v>543</v>
      </c>
      <c r="L1665" s="10" t="s">
        <v>101</v>
      </c>
      <c r="M1665" s="10" t="s">
        <v>102</v>
      </c>
      <c r="N1665" s="124" t="s">
        <v>449</v>
      </c>
      <c r="O1665" s="124" t="s">
        <v>449</v>
      </c>
      <c r="P1665" s="21">
        <v>35</v>
      </c>
      <c r="Q1665" s="10" t="s">
        <v>54</v>
      </c>
      <c r="R1665" s="10" t="s">
        <v>28</v>
      </c>
      <c r="S1665" s="10"/>
      <c r="T1665" s="10"/>
      <c r="U1665" s="10" t="s">
        <v>1977</v>
      </c>
      <c r="V1665" s="10" t="s">
        <v>1977</v>
      </c>
      <c r="W1665" s="50">
        <f>+J1665/$W$2</f>
        <v>5.8500604953980721E-5</v>
      </c>
    </row>
    <row r="1666" spans="1:29">
      <c r="A1666" s="10" t="s">
        <v>443</v>
      </c>
      <c r="B1666" s="10" t="s">
        <v>358</v>
      </c>
      <c r="C1666" s="124">
        <v>46372</v>
      </c>
      <c r="D1666" s="124" t="s">
        <v>471</v>
      </c>
      <c r="E1666" s="21">
        <v>0.96082984000000005</v>
      </c>
      <c r="F1666" s="10"/>
      <c r="G1666" s="14">
        <v>3700000</v>
      </c>
      <c r="H1666" s="14">
        <v>3555070.4</v>
      </c>
      <c r="I1666" s="14">
        <v>3700000</v>
      </c>
      <c r="J1666" s="14">
        <v>3555070.4</v>
      </c>
      <c r="K1666" s="12">
        <v>164534</v>
      </c>
      <c r="L1666" s="10" t="s">
        <v>101</v>
      </c>
      <c r="M1666" s="10" t="s">
        <v>102</v>
      </c>
      <c r="N1666" s="124" t="s">
        <v>449</v>
      </c>
      <c r="O1666" s="124" t="s">
        <v>449</v>
      </c>
      <c r="P1666" s="21">
        <v>31</v>
      </c>
      <c r="Q1666" s="10" t="s">
        <v>54</v>
      </c>
      <c r="R1666" s="10" t="s">
        <v>28</v>
      </c>
      <c r="S1666" s="10"/>
      <c r="T1666" s="10"/>
      <c r="U1666" s="10" t="s">
        <v>1902</v>
      </c>
      <c r="V1666" s="10" t="s">
        <v>1902</v>
      </c>
      <c r="W1666" s="50">
        <f>+J1666/$W$2</f>
        <v>4.3509247274267908E-5</v>
      </c>
    </row>
    <row r="1667" spans="1:29">
      <c r="A1667" s="10" t="s">
        <v>443</v>
      </c>
      <c r="B1667" s="10" t="s">
        <v>358</v>
      </c>
      <c r="C1667" s="124">
        <v>46372</v>
      </c>
      <c r="D1667" s="124" t="s">
        <v>471</v>
      </c>
      <c r="E1667" s="21">
        <v>0.96448582999999999</v>
      </c>
      <c r="F1667" s="10"/>
      <c r="G1667" s="14">
        <v>8000000</v>
      </c>
      <c r="H1667" s="14">
        <v>7715886.6500000004</v>
      </c>
      <c r="I1667" s="14">
        <v>8000000</v>
      </c>
      <c r="J1667" s="14">
        <v>7715886.6500000004</v>
      </c>
      <c r="K1667" s="12">
        <v>6499</v>
      </c>
      <c r="L1667" s="10" t="s">
        <v>101</v>
      </c>
      <c r="M1667" s="10" t="s">
        <v>102</v>
      </c>
      <c r="N1667" s="124" t="s">
        <v>397</v>
      </c>
      <c r="O1667" s="124" t="s">
        <v>397</v>
      </c>
      <c r="P1667" s="21">
        <v>28</v>
      </c>
      <c r="Q1667" s="10" t="s">
        <v>54</v>
      </c>
      <c r="R1667" s="10" t="s">
        <v>28</v>
      </c>
      <c r="S1667" s="10"/>
      <c r="T1667" s="10"/>
      <c r="U1667" s="10" t="s">
        <v>1850</v>
      </c>
      <c r="V1667" s="10" t="s">
        <v>1850</v>
      </c>
      <c r="W1667" s="50">
        <f>+J1667/$W$2</f>
        <v>9.4432003426731778E-5</v>
      </c>
    </row>
    <row r="1668" spans="1:29">
      <c r="A1668" s="10" t="s">
        <v>443</v>
      </c>
      <c r="B1668" s="10" t="s">
        <v>358</v>
      </c>
      <c r="C1668" s="124">
        <v>46372</v>
      </c>
      <c r="D1668" s="124" t="s">
        <v>471</v>
      </c>
      <c r="E1668" s="21">
        <v>0.96448582999999999</v>
      </c>
      <c r="F1668" s="10"/>
      <c r="G1668" s="14">
        <v>8000000</v>
      </c>
      <c r="H1668" s="14">
        <v>7715886.6500000004</v>
      </c>
      <c r="I1668" s="14">
        <v>8000000</v>
      </c>
      <c r="J1668" s="14">
        <v>7715886.6500000004</v>
      </c>
      <c r="K1668" s="12">
        <v>6498</v>
      </c>
      <c r="L1668" s="10" t="s">
        <v>101</v>
      </c>
      <c r="M1668" s="10" t="s">
        <v>102</v>
      </c>
      <c r="N1668" s="124" t="s">
        <v>397</v>
      </c>
      <c r="O1668" s="124" t="s">
        <v>397</v>
      </c>
      <c r="P1668" s="21">
        <v>28</v>
      </c>
      <c r="Q1668" s="10" t="s">
        <v>54</v>
      </c>
      <c r="R1668" s="10" t="s">
        <v>28</v>
      </c>
      <c r="S1668" s="10"/>
      <c r="T1668" s="10"/>
      <c r="U1668" s="10" t="s">
        <v>1852</v>
      </c>
      <c r="V1668" s="10" t="s">
        <v>1852</v>
      </c>
      <c r="W1668" s="50">
        <f>+J1668/$W$2</f>
        <v>9.4432003426731778E-5</v>
      </c>
    </row>
    <row r="1669" spans="1:29">
      <c r="A1669" s="10" t="s">
        <v>443</v>
      </c>
      <c r="B1669" s="10" t="s">
        <v>358</v>
      </c>
      <c r="C1669" s="124">
        <v>46372</v>
      </c>
      <c r="D1669" s="124" t="s">
        <v>471</v>
      </c>
      <c r="E1669" s="21">
        <v>0.96448588999999996</v>
      </c>
      <c r="F1669" s="10"/>
      <c r="G1669" s="14">
        <v>8000000</v>
      </c>
      <c r="H1669" s="14">
        <v>7715887.1100000003</v>
      </c>
      <c r="I1669" s="14">
        <v>8000000</v>
      </c>
      <c r="J1669" s="14">
        <v>7715887.1100000003</v>
      </c>
      <c r="K1669" s="12">
        <v>90000332</v>
      </c>
      <c r="L1669" s="10" t="s">
        <v>101</v>
      </c>
      <c r="M1669" s="10" t="s">
        <v>102</v>
      </c>
      <c r="N1669" s="124" t="s">
        <v>478</v>
      </c>
      <c r="O1669" s="124" t="s">
        <v>478</v>
      </c>
      <c r="P1669" s="21">
        <v>28</v>
      </c>
      <c r="Q1669" s="10" t="s">
        <v>54</v>
      </c>
      <c r="R1669" s="10" t="s">
        <v>28</v>
      </c>
      <c r="S1669" s="10"/>
      <c r="T1669" s="10"/>
      <c r="U1669" s="10" t="s">
        <v>2123</v>
      </c>
      <c r="V1669" s="10" t="s">
        <v>2123</v>
      </c>
      <c r="W1669" s="50">
        <f>+J1669/$W$2</f>
        <v>9.4432009056508818E-5</v>
      </c>
    </row>
    <row r="1670" spans="1:29">
      <c r="A1670" s="10" t="s">
        <v>401</v>
      </c>
      <c r="B1670" s="10" t="s">
        <v>358</v>
      </c>
      <c r="C1670" s="124">
        <v>46372</v>
      </c>
      <c r="D1670" s="124" t="s">
        <v>471</v>
      </c>
      <c r="E1670" s="21">
        <v>0.96448584999999998</v>
      </c>
      <c r="F1670" s="10"/>
      <c r="G1670" s="14">
        <v>8400000</v>
      </c>
      <c r="H1670" s="14">
        <v>8101681.1200000001</v>
      </c>
      <c r="I1670" s="14">
        <v>8400000</v>
      </c>
      <c r="J1670" s="14">
        <v>8101681.1200000001</v>
      </c>
      <c r="K1670" s="12">
        <v>2458</v>
      </c>
      <c r="L1670" s="10" t="s">
        <v>101</v>
      </c>
      <c r="M1670" s="10" t="s">
        <v>102</v>
      </c>
      <c r="N1670" s="124" t="s">
        <v>408</v>
      </c>
      <c r="O1670" s="124" t="s">
        <v>408</v>
      </c>
      <c r="P1670" s="21">
        <v>28</v>
      </c>
      <c r="Q1670" s="10" t="s">
        <v>54</v>
      </c>
      <c r="R1670" s="10" t="s">
        <v>28</v>
      </c>
      <c r="S1670" s="10"/>
      <c r="T1670" s="10"/>
      <c r="U1670" s="10" t="s">
        <v>2058</v>
      </c>
      <c r="V1670" s="10" t="s">
        <v>2058</v>
      </c>
      <c r="W1670" s="50">
        <f>+J1670/$W$2</f>
        <v>9.9153605280882142E-5</v>
      </c>
    </row>
    <row r="1671" spans="1:29">
      <c r="A1671" s="10" t="s">
        <v>1750</v>
      </c>
      <c r="B1671" s="10" t="s">
        <v>358</v>
      </c>
      <c r="C1671" s="124">
        <v>46372</v>
      </c>
      <c r="D1671" s="124" t="s">
        <v>471</v>
      </c>
      <c r="E1671" s="21">
        <v>0.95961733000000005</v>
      </c>
      <c r="F1671" s="10"/>
      <c r="G1671" s="14">
        <v>1869225</v>
      </c>
      <c r="H1671" s="14">
        <v>1793740.7</v>
      </c>
      <c r="I1671" s="14">
        <v>1869225</v>
      </c>
      <c r="J1671" s="14">
        <v>1793740.7</v>
      </c>
      <c r="K1671" s="12">
        <v>6</v>
      </c>
      <c r="L1671" s="10" t="s">
        <v>101</v>
      </c>
      <c r="M1671" s="10" t="s">
        <v>102</v>
      </c>
      <c r="N1671" s="124" t="s">
        <v>398</v>
      </c>
      <c r="O1671" s="124" t="s">
        <v>398</v>
      </c>
      <c r="P1671" s="21">
        <v>32</v>
      </c>
      <c r="Q1671" s="10" t="s">
        <v>54</v>
      </c>
      <c r="R1671" s="10" t="s">
        <v>28</v>
      </c>
      <c r="S1671" s="10"/>
      <c r="T1671" s="10"/>
      <c r="U1671" s="10" t="s">
        <v>1691</v>
      </c>
      <c r="V1671" s="10" t="s">
        <v>1691</v>
      </c>
      <c r="W1671" s="50">
        <f>+J1671/$W$2</f>
        <v>2.1952957010983077E-5</v>
      </c>
    </row>
    <row r="1672" spans="1:29">
      <c r="A1672" s="10" t="s">
        <v>1756</v>
      </c>
      <c r="B1672" s="10" t="s">
        <v>358</v>
      </c>
      <c r="C1672" s="124">
        <v>46372</v>
      </c>
      <c r="D1672" s="124" t="s">
        <v>471</v>
      </c>
      <c r="E1672" s="21">
        <v>0.95961733000000005</v>
      </c>
      <c r="F1672" s="10"/>
      <c r="G1672" s="14">
        <v>2112204.7400000002</v>
      </c>
      <c r="H1672" s="14">
        <v>2026908.28</v>
      </c>
      <c r="I1672" s="14">
        <v>2112204.7400000002</v>
      </c>
      <c r="J1672" s="14">
        <v>2026908.28</v>
      </c>
      <c r="K1672" s="12">
        <v>214</v>
      </c>
      <c r="L1672" s="10" t="s">
        <v>101</v>
      </c>
      <c r="M1672" s="10" t="s">
        <v>102</v>
      </c>
      <c r="N1672" s="124" t="s">
        <v>398</v>
      </c>
      <c r="O1672" s="124" t="s">
        <v>398</v>
      </c>
      <c r="P1672" s="21">
        <v>32</v>
      </c>
      <c r="Q1672" s="10" t="s">
        <v>54</v>
      </c>
      <c r="R1672" s="10" t="s">
        <v>28</v>
      </c>
      <c r="S1672" s="10"/>
      <c r="T1672" s="10"/>
      <c r="U1672" s="10" t="s">
        <v>1715</v>
      </c>
      <c r="V1672" s="10" t="s">
        <v>1715</v>
      </c>
      <c r="W1672" s="50">
        <f>+J1672/$W$2</f>
        <v>2.4806612425110082E-5</v>
      </c>
      <c r="AC1672" s="47"/>
    </row>
    <row r="1673" spans="1:29">
      <c r="A1673" s="10" t="s">
        <v>1760</v>
      </c>
      <c r="B1673" s="10" t="s">
        <v>358</v>
      </c>
      <c r="C1673" s="124">
        <v>46372</v>
      </c>
      <c r="D1673" s="124" t="s">
        <v>471</v>
      </c>
      <c r="E1673" s="21">
        <v>0.95961733999999999</v>
      </c>
      <c r="F1673" s="10"/>
      <c r="G1673" s="14">
        <v>1566916.35</v>
      </c>
      <c r="H1673" s="14">
        <v>1503640.1</v>
      </c>
      <c r="I1673" s="14">
        <v>1566916.35</v>
      </c>
      <c r="J1673" s="14">
        <v>1503640.1</v>
      </c>
      <c r="K1673" s="12">
        <v>1182</v>
      </c>
      <c r="L1673" s="10" t="s">
        <v>101</v>
      </c>
      <c r="M1673" s="10" t="s">
        <v>102</v>
      </c>
      <c r="N1673" s="124" t="s">
        <v>398</v>
      </c>
      <c r="O1673" s="124" t="s">
        <v>398</v>
      </c>
      <c r="P1673" s="21">
        <v>32</v>
      </c>
      <c r="Q1673" s="10" t="s">
        <v>54</v>
      </c>
      <c r="R1673" s="10" t="s">
        <v>28</v>
      </c>
      <c r="S1673" s="10"/>
      <c r="T1673" s="10"/>
      <c r="U1673" s="10" t="s">
        <v>1727</v>
      </c>
      <c r="V1673" s="10" t="s">
        <v>1727</v>
      </c>
      <c r="W1673" s="50">
        <f>+J1673/$W$2</f>
        <v>1.8402518533080227E-5</v>
      </c>
    </row>
    <row r="1674" spans="1:29">
      <c r="A1674" s="10" t="s">
        <v>453</v>
      </c>
      <c r="B1674" s="10" t="s">
        <v>358</v>
      </c>
      <c r="C1674" s="124">
        <v>46372</v>
      </c>
      <c r="D1674" s="124" t="s">
        <v>471</v>
      </c>
      <c r="E1674" s="21">
        <v>0.96448593000000005</v>
      </c>
      <c r="F1674" s="10"/>
      <c r="G1674" s="14">
        <v>72308420.969999999</v>
      </c>
      <c r="H1674" s="14">
        <v>69740454.680000007</v>
      </c>
      <c r="I1674" s="14">
        <v>72308420.969999999</v>
      </c>
      <c r="J1674" s="14">
        <v>69740454.680000007</v>
      </c>
      <c r="K1674" s="12">
        <v>76216</v>
      </c>
      <c r="L1674" s="10" t="s">
        <v>101</v>
      </c>
      <c r="M1674" s="10" t="s">
        <v>102</v>
      </c>
      <c r="N1674" s="124" t="s">
        <v>469</v>
      </c>
      <c r="O1674" s="124" t="s">
        <v>469</v>
      </c>
      <c r="P1674" s="21">
        <v>28</v>
      </c>
      <c r="Q1674" s="10" t="s">
        <v>54</v>
      </c>
      <c r="R1674" s="10" t="s">
        <v>28</v>
      </c>
      <c r="S1674" s="10"/>
      <c r="T1674" s="10"/>
      <c r="U1674" s="10" t="s">
        <v>3988</v>
      </c>
      <c r="V1674" s="10" t="s">
        <v>3988</v>
      </c>
      <c r="W1674" s="50">
        <f>+J1674/$W$2</f>
        <v>8.5352871990720502E-4</v>
      </c>
    </row>
    <row r="1675" spans="1:29">
      <c r="A1675" s="10" t="s">
        <v>2487</v>
      </c>
      <c r="B1675" s="10" t="s">
        <v>358</v>
      </c>
      <c r="C1675" s="124">
        <v>46372</v>
      </c>
      <c r="D1675" s="124" t="s">
        <v>471</v>
      </c>
      <c r="E1675" s="21">
        <v>0.95961744000000004</v>
      </c>
      <c r="F1675" s="10"/>
      <c r="G1675" s="14">
        <v>75000000</v>
      </c>
      <c r="H1675" s="14">
        <v>71971308.340000004</v>
      </c>
      <c r="I1675" s="14">
        <v>75000000</v>
      </c>
      <c r="J1675" s="14">
        <v>71971308.340000004</v>
      </c>
      <c r="K1675" s="12">
        <v>3498</v>
      </c>
      <c r="L1675" s="10" t="s">
        <v>101</v>
      </c>
      <c r="M1675" s="10" t="s">
        <v>102</v>
      </c>
      <c r="N1675" s="124" t="s">
        <v>466</v>
      </c>
      <c r="O1675" s="124" t="s">
        <v>466</v>
      </c>
      <c r="P1675" s="21">
        <v>32</v>
      </c>
      <c r="Q1675" s="10" t="s">
        <v>54</v>
      </c>
      <c r="R1675" s="10" t="s">
        <v>28</v>
      </c>
      <c r="S1675" s="10"/>
      <c r="T1675" s="10"/>
      <c r="U1675" s="10" t="s">
        <v>3654</v>
      </c>
      <c r="V1675" s="10" t="s">
        <v>3654</v>
      </c>
      <c r="W1675" s="50">
        <f>+J1675/$W$2</f>
        <v>8.8083134759234043E-4</v>
      </c>
    </row>
    <row r="1676" spans="1:29">
      <c r="A1676" s="10" t="s">
        <v>994</v>
      </c>
      <c r="B1676" s="10" t="s">
        <v>358</v>
      </c>
      <c r="C1676" s="124">
        <v>46372</v>
      </c>
      <c r="D1676" s="124" t="s">
        <v>471</v>
      </c>
      <c r="E1676" s="21">
        <v>0.95840789999999998</v>
      </c>
      <c r="F1676" s="10"/>
      <c r="G1676" s="14">
        <v>5000000</v>
      </c>
      <c r="H1676" s="14">
        <v>4792039.5</v>
      </c>
      <c r="I1676" s="14">
        <v>5000000</v>
      </c>
      <c r="J1676" s="14">
        <v>4792039.5</v>
      </c>
      <c r="K1676" s="12">
        <v>70108109</v>
      </c>
      <c r="L1676" s="10" t="s">
        <v>101</v>
      </c>
      <c r="M1676" s="10" t="s">
        <v>102</v>
      </c>
      <c r="N1676" s="124" t="s">
        <v>464</v>
      </c>
      <c r="O1676" s="124" t="s">
        <v>464</v>
      </c>
      <c r="P1676" s="21">
        <v>33</v>
      </c>
      <c r="Q1676" s="10" t="s">
        <v>54</v>
      </c>
      <c r="R1676" s="10" t="s">
        <v>28</v>
      </c>
      <c r="S1676" s="10"/>
      <c r="T1676" s="10"/>
      <c r="U1676" s="10" t="s">
        <v>2556</v>
      </c>
      <c r="V1676" s="10" t="s">
        <v>2556</v>
      </c>
      <c r="W1676" s="50">
        <f>+J1676/$W$2</f>
        <v>5.8648073904122735E-5</v>
      </c>
    </row>
    <row r="1677" spans="1:29">
      <c r="A1677" s="10" t="s">
        <v>1000</v>
      </c>
      <c r="B1677" s="10" t="s">
        <v>358</v>
      </c>
      <c r="C1677" s="124">
        <v>46372</v>
      </c>
      <c r="D1677" s="124" t="s">
        <v>471</v>
      </c>
      <c r="E1677" s="21">
        <v>0.95840773000000001</v>
      </c>
      <c r="F1677" s="10"/>
      <c r="G1677" s="14">
        <v>150000000</v>
      </c>
      <c r="H1677" s="14">
        <v>143761160.09</v>
      </c>
      <c r="I1677" s="14">
        <v>150000000</v>
      </c>
      <c r="J1677" s="14">
        <v>143761160.09</v>
      </c>
      <c r="K1677" s="12">
        <v>90016070</v>
      </c>
      <c r="L1677" s="10" t="s">
        <v>101</v>
      </c>
      <c r="M1677" s="10" t="s">
        <v>102</v>
      </c>
      <c r="N1677" s="124" t="s">
        <v>310</v>
      </c>
      <c r="O1677" s="124" t="s">
        <v>310</v>
      </c>
      <c r="P1677" s="21">
        <v>33</v>
      </c>
      <c r="Q1677" s="10" t="s">
        <v>54</v>
      </c>
      <c r="R1677" s="10" t="s">
        <v>28</v>
      </c>
      <c r="S1677" s="10"/>
      <c r="T1677" s="10"/>
      <c r="U1677" s="10" t="s">
        <v>1001</v>
      </c>
      <c r="V1677" s="10" t="s">
        <v>1001</v>
      </c>
      <c r="W1677" s="50">
        <f>+J1677/$W$2</f>
        <v>1.7594419122590162E-3</v>
      </c>
    </row>
    <row r="1678" spans="1:29">
      <c r="A1678" s="10" t="s">
        <v>1092</v>
      </c>
      <c r="B1678" s="10" t="s">
        <v>358</v>
      </c>
      <c r="C1678" s="124">
        <v>46372</v>
      </c>
      <c r="D1678" s="124" t="s">
        <v>471</v>
      </c>
      <c r="E1678" s="21">
        <v>0.95240581000000002</v>
      </c>
      <c r="F1678" s="10"/>
      <c r="G1678" s="14">
        <v>233000000</v>
      </c>
      <c r="H1678" s="14">
        <v>221910552.96000001</v>
      </c>
      <c r="I1678" s="14">
        <v>233000000</v>
      </c>
      <c r="J1678" s="14">
        <v>221910552.96000001</v>
      </c>
      <c r="K1678" s="12">
        <v>70417341</v>
      </c>
      <c r="L1678" s="10" t="s">
        <v>101</v>
      </c>
      <c r="M1678" s="10" t="s">
        <v>102</v>
      </c>
      <c r="N1678" s="124" t="s">
        <v>448</v>
      </c>
      <c r="O1678" s="124" t="s">
        <v>448</v>
      </c>
      <c r="P1678" s="21">
        <v>38</v>
      </c>
      <c r="Q1678" s="10" t="s">
        <v>54</v>
      </c>
      <c r="R1678" s="10" t="s">
        <v>28</v>
      </c>
      <c r="S1678" s="10"/>
      <c r="T1678" s="10"/>
      <c r="U1678" s="10" t="s">
        <v>3164</v>
      </c>
      <c r="V1678" s="10" t="s">
        <v>3164</v>
      </c>
      <c r="W1678" s="50">
        <f>+J1678/$W$2</f>
        <v>2.715884647883813E-3</v>
      </c>
    </row>
    <row r="1679" spans="1:29">
      <c r="A1679" s="10" t="s">
        <v>178</v>
      </c>
      <c r="B1679" s="10" t="s">
        <v>358</v>
      </c>
      <c r="C1679" s="124">
        <v>46372</v>
      </c>
      <c r="D1679" s="124" t="s">
        <v>471</v>
      </c>
      <c r="E1679" s="21">
        <v>0.96204542999999998</v>
      </c>
      <c r="F1679" s="10"/>
      <c r="G1679" s="14">
        <v>973250.02</v>
      </c>
      <c r="H1679" s="14">
        <v>936310.73</v>
      </c>
      <c r="I1679" s="14">
        <v>973250.02</v>
      </c>
      <c r="J1679" s="14">
        <v>936310.73</v>
      </c>
      <c r="K1679" s="12">
        <v>692243</v>
      </c>
      <c r="L1679" s="10" t="s">
        <v>101</v>
      </c>
      <c r="M1679" s="10" t="s">
        <v>102</v>
      </c>
      <c r="N1679" s="124" t="s">
        <v>508</v>
      </c>
      <c r="O1679" s="124" t="s">
        <v>508</v>
      </c>
      <c r="P1679" s="21">
        <v>30</v>
      </c>
      <c r="Q1679" s="10" t="s">
        <v>54</v>
      </c>
      <c r="R1679" s="10" t="s">
        <v>28</v>
      </c>
      <c r="S1679" s="10"/>
      <c r="T1679" s="10"/>
      <c r="U1679" s="10" t="s">
        <v>3037</v>
      </c>
      <c r="V1679" s="10" t="s">
        <v>3037</v>
      </c>
      <c r="W1679" s="50">
        <f>+J1679/$W$2</f>
        <v>1.1459175344915897E-5</v>
      </c>
    </row>
    <row r="1680" spans="1:29">
      <c r="A1680" s="10" t="s">
        <v>178</v>
      </c>
      <c r="B1680" s="10" t="s">
        <v>358</v>
      </c>
      <c r="C1680" s="124">
        <v>46372</v>
      </c>
      <c r="D1680" s="124" t="s">
        <v>471</v>
      </c>
      <c r="E1680" s="21">
        <v>0.96204542999999998</v>
      </c>
      <c r="F1680" s="10"/>
      <c r="G1680" s="14">
        <v>973250.02</v>
      </c>
      <c r="H1680" s="14">
        <v>936310.73</v>
      </c>
      <c r="I1680" s="14">
        <v>973250.02</v>
      </c>
      <c r="J1680" s="14">
        <v>936310.73</v>
      </c>
      <c r="K1680" s="12">
        <v>692200</v>
      </c>
      <c r="L1680" s="10" t="s">
        <v>101</v>
      </c>
      <c r="M1680" s="10" t="s">
        <v>102</v>
      </c>
      <c r="N1680" s="124" t="s">
        <v>508</v>
      </c>
      <c r="O1680" s="124" t="s">
        <v>508</v>
      </c>
      <c r="P1680" s="21">
        <v>30</v>
      </c>
      <c r="Q1680" s="10" t="s">
        <v>54</v>
      </c>
      <c r="R1680" s="10" t="s">
        <v>28</v>
      </c>
      <c r="S1680" s="10"/>
      <c r="T1680" s="10"/>
      <c r="U1680" s="10" t="s">
        <v>3038</v>
      </c>
      <c r="V1680" s="10" t="s">
        <v>3038</v>
      </c>
      <c r="W1680" s="50">
        <f>+J1680/$W$2</f>
        <v>1.1459175344915897E-5</v>
      </c>
    </row>
    <row r="1681" spans="1:29">
      <c r="A1681" s="10" t="s">
        <v>178</v>
      </c>
      <c r="B1681" s="10" t="s">
        <v>358</v>
      </c>
      <c r="C1681" s="124">
        <v>46372</v>
      </c>
      <c r="D1681" s="124" t="s">
        <v>471</v>
      </c>
      <c r="E1681" s="21">
        <v>0.96204542999999998</v>
      </c>
      <c r="F1681" s="10"/>
      <c r="G1681" s="14">
        <v>973250.02</v>
      </c>
      <c r="H1681" s="14">
        <v>936310.73</v>
      </c>
      <c r="I1681" s="14">
        <v>973250.02</v>
      </c>
      <c r="J1681" s="14">
        <v>936310.73</v>
      </c>
      <c r="K1681" s="12">
        <v>692198</v>
      </c>
      <c r="L1681" s="10" t="s">
        <v>101</v>
      </c>
      <c r="M1681" s="10" t="s">
        <v>102</v>
      </c>
      <c r="N1681" s="124" t="s">
        <v>508</v>
      </c>
      <c r="O1681" s="124" t="s">
        <v>508</v>
      </c>
      <c r="P1681" s="21">
        <v>30</v>
      </c>
      <c r="Q1681" s="10" t="s">
        <v>54</v>
      </c>
      <c r="R1681" s="10" t="s">
        <v>28</v>
      </c>
      <c r="S1681" s="10"/>
      <c r="T1681" s="10"/>
      <c r="U1681" s="10" t="s">
        <v>3043</v>
      </c>
      <c r="V1681" s="10" t="s">
        <v>3043</v>
      </c>
      <c r="W1681" s="50">
        <f>+J1681/$W$2</f>
        <v>1.1459175344915897E-5</v>
      </c>
    </row>
    <row r="1682" spans="1:29">
      <c r="A1682" s="10" t="s">
        <v>178</v>
      </c>
      <c r="B1682" s="10" t="s">
        <v>358</v>
      </c>
      <c r="C1682" s="124">
        <v>46372</v>
      </c>
      <c r="D1682" s="124" t="s">
        <v>471</v>
      </c>
      <c r="E1682" s="21">
        <v>0.96204542999999998</v>
      </c>
      <c r="F1682" s="10"/>
      <c r="G1682" s="14">
        <v>973250.02</v>
      </c>
      <c r="H1682" s="14">
        <v>936310.73</v>
      </c>
      <c r="I1682" s="14">
        <v>973250.02</v>
      </c>
      <c r="J1682" s="14">
        <v>936310.73</v>
      </c>
      <c r="K1682" s="12">
        <v>692175</v>
      </c>
      <c r="L1682" s="10" t="s">
        <v>101</v>
      </c>
      <c r="M1682" s="10" t="s">
        <v>102</v>
      </c>
      <c r="N1682" s="124" t="s">
        <v>508</v>
      </c>
      <c r="O1682" s="124" t="s">
        <v>508</v>
      </c>
      <c r="P1682" s="21">
        <v>30</v>
      </c>
      <c r="Q1682" s="10" t="s">
        <v>54</v>
      </c>
      <c r="R1682" s="10" t="s">
        <v>28</v>
      </c>
      <c r="S1682" s="10"/>
      <c r="T1682" s="10"/>
      <c r="U1682" s="10" t="s">
        <v>3044</v>
      </c>
      <c r="V1682" s="10" t="s">
        <v>3044</v>
      </c>
      <c r="W1682" s="50">
        <f>+J1682/$W$2</f>
        <v>1.1459175344915897E-5</v>
      </c>
    </row>
    <row r="1683" spans="1:29">
      <c r="A1683" s="10" t="s">
        <v>178</v>
      </c>
      <c r="B1683" s="10" t="s">
        <v>358</v>
      </c>
      <c r="C1683" s="124">
        <v>46372</v>
      </c>
      <c r="D1683" s="124" t="s">
        <v>471</v>
      </c>
      <c r="E1683" s="21">
        <v>0.96816981999999996</v>
      </c>
      <c r="F1683" s="10"/>
      <c r="G1683" s="14">
        <v>584965.91</v>
      </c>
      <c r="H1683" s="14">
        <v>566346.34</v>
      </c>
      <c r="I1683" s="14">
        <v>584965.91</v>
      </c>
      <c r="J1683" s="14">
        <v>566346.34</v>
      </c>
      <c r="K1683" s="12">
        <v>681549</v>
      </c>
      <c r="L1683" s="10" t="s">
        <v>101</v>
      </c>
      <c r="M1683" s="10" t="s">
        <v>102</v>
      </c>
      <c r="N1683" s="124" t="s">
        <v>449</v>
      </c>
      <c r="O1683" s="124" t="s">
        <v>449</v>
      </c>
      <c r="P1683" s="21">
        <v>25</v>
      </c>
      <c r="Q1683" s="10" t="s">
        <v>54</v>
      </c>
      <c r="R1683" s="10" t="s">
        <v>28</v>
      </c>
      <c r="S1683" s="10"/>
      <c r="T1683" s="10"/>
      <c r="U1683" s="10" t="s">
        <v>1988</v>
      </c>
      <c r="V1683" s="10" t="s">
        <v>1988</v>
      </c>
      <c r="W1683" s="50">
        <f>+J1683/$W$2</f>
        <v>6.9313122322237577E-6</v>
      </c>
    </row>
    <row r="1684" spans="1:29">
      <c r="A1684" s="10" t="s">
        <v>178</v>
      </c>
      <c r="B1684" s="10" t="s">
        <v>358</v>
      </c>
      <c r="C1684" s="124">
        <v>46372</v>
      </c>
      <c r="D1684" s="124" t="s">
        <v>471</v>
      </c>
      <c r="E1684" s="21">
        <v>0.96816985</v>
      </c>
      <c r="F1684" s="10"/>
      <c r="G1684" s="14">
        <v>839215.58</v>
      </c>
      <c r="H1684" s="14">
        <v>812503.22</v>
      </c>
      <c r="I1684" s="14">
        <v>839215.58</v>
      </c>
      <c r="J1684" s="14">
        <v>812503.22</v>
      </c>
      <c r="K1684" s="12">
        <v>681521</v>
      </c>
      <c r="L1684" s="10" t="s">
        <v>101</v>
      </c>
      <c r="M1684" s="10" t="s">
        <v>102</v>
      </c>
      <c r="N1684" s="124" t="s">
        <v>449</v>
      </c>
      <c r="O1684" s="124" t="s">
        <v>449</v>
      </c>
      <c r="P1684" s="21">
        <v>25</v>
      </c>
      <c r="Q1684" s="10" t="s">
        <v>54</v>
      </c>
      <c r="R1684" s="10" t="s">
        <v>28</v>
      </c>
      <c r="S1684" s="10"/>
      <c r="T1684" s="10"/>
      <c r="U1684" s="10" t="s">
        <v>1989</v>
      </c>
      <c r="V1684" s="10" t="s">
        <v>1989</v>
      </c>
      <c r="W1684" s="50">
        <f>+J1684/$W$2</f>
        <v>9.9439390877094585E-6</v>
      </c>
      <c r="AC1684" s="47"/>
    </row>
    <row r="1685" spans="1:29">
      <c r="A1685" s="10" t="s">
        <v>178</v>
      </c>
      <c r="B1685" s="10" t="s">
        <v>358</v>
      </c>
      <c r="C1685" s="124">
        <v>46372</v>
      </c>
      <c r="D1685" s="124" t="s">
        <v>471</v>
      </c>
      <c r="E1685" s="21">
        <v>0.96816983999999995</v>
      </c>
      <c r="F1685" s="10"/>
      <c r="G1685" s="14">
        <v>1676589.68</v>
      </c>
      <c r="H1685" s="14">
        <v>1623223.56</v>
      </c>
      <c r="I1685" s="14">
        <v>1676589.68</v>
      </c>
      <c r="J1685" s="14">
        <v>1623223.56</v>
      </c>
      <c r="K1685" s="12">
        <v>681500</v>
      </c>
      <c r="L1685" s="10" t="s">
        <v>101</v>
      </c>
      <c r="M1685" s="10" t="s">
        <v>102</v>
      </c>
      <c r="N1685" s="124" t="s">
        <v>449</v>
      </c>
      <c r="O1685" s="124" t="s">
        <v>449</v>
      </c>
      <c r="P1685" s="21">
        <v>25</v>
      </c>
      <c r="Q1685" s="10" t="s">
        <v>54</v>
      </c>
      <c r="R1685" s="10" t="s">
        <v>28</v>
      </c>
      <c r="S1685" s="10"/>
      <c r="T1685" s="10"/>
      <c r="U1685" s="10" t="s">
        <v>1990</v>
      </c>
      <c r="V1685" s="10" t="s">
        <v>1990</v>
      </c>
      <c r="W1685" s="50">
        <f>+J1685/$W$2</f>
        <v>1.9866058138667931E-5</v>
      </c>
      <c r="AC1685" s="47"/>
    </row>
    <row r="1686" spans="1:29">
      <c r="A1686" s="10" t="s">
        <v>178</v>
      </c>
      <c r="B1686" s="10" t="s">
        <v>358</v>
      </c>
      <c r="C1686" s="124">
        <v>46372</v>
      </c>
      <c r="D1686" s="124" t="s">
        <v>471</v>
      </c>
      <c r="E1686" s="21">
        <v>0.96816983000000001</v>
      </c>
      <c r="F1686" s="10"/>
      <c r="G1686" s="14">
        <v>2681816.6</v>
      </c>
      <c r="H1686" s="14">
        <v>2596453.92</v>
      </c>
      <c r="I1686" s="14">
        <v>2681816.6</v>
      </c>
      <c r="J1686" s="14">
        <v>2596453.92</v>
      </c>
      <c r="K1686" s="12">
        <v>681628</v>
      </c>
      <c r="L1686" s="10" t="s">
        <v>101</v>
      </c>
      <c r="M1686" s="10" t="s">
        <v>102</v>
      </c>
      <c r="N1686" s="124" t="s">
        <v>449</v>
      </c>
      <c r="O1686" s="124" t="s">
        <v>449</v>
      </c>
      <c r="P1686" s="21">
        <v>25</v>
      </c>
      <c r="Q1686" s="10" t="s">
        <v>54</v>
      </c>
      <c r="R1686" s="10" t="s">
        <v>28</v>
      </c>
      <c r="S1686" s="10"/>
      <c r="T1686" s="10"/>
      <c r="U1686" s="10" t="s">
        <v>1995</v>
      </c>
      <c r="V1686" s="10" t="s">
        <v>1995</v>
      </c>
      <c r="W1686" s="50">
        <f>+J1686/$W$2</f>
        <v>3.1777079756710931E-5</v>
      </c>
    </row>
    <row r="1687" spans="1:29">
      <c r="A1687" s="10" t="s">
        <v>178</v>
      </c>
      <c r="B1687" s="10" t="s">
        <v>358</v>
      </c>
      <c r="C1687" s="124">
        <v>46372</v>
      </c>
      <c r="D1687" s="124" t="s">
        <v>471</v>
      </c>
      <c r="E1687" s="21">
        <v>0.96816981000000002</v>
      </c>
      <c r="F1687" s="10"/>
      <c r="G1687" s="14">
        <v>669474.55000000005</v>
      </c>
      <c r="H1687" s="14">
        <v>648165.05000000005</v>
      </c>
      <c r="I1687" s="14">
        <v>669474.55000000005</v>
      </c>
      <c r="J1687" s="14">
        <v>648165.05000000005</v>
      </c>
      <c r="K1687" s="12">
        <v>681512</v>
      </c>
      <c r="L1687" s="10" t="s">
        <v>101</v>
      </c>
      <c r="M1687" s="10" t="s">
        <v>102</v>
      </c>
      <c r="N1687" s="124" t="s">
        <v>449</v>
      </c>
      <c r="O1687" s="124" t="s">
        <v>449</v>
      </c>
      <c r="P1687" s="21">
        <v>25</v>
      </c>
      <c r="Q1687" s="10" t="s">
        <v>54</v>
      </c>
      <c r="R1687" s="10" t="s">
        <v>28</v>
      </c>
      <c r="S1687" s="10"/>
      <c r="T1687" s="10"/>
      <c r="U1687" s="10" t="s">
        <v>1996</v>
      </c>
      <c r="V1687" s="10" t="s">
        <v>1996</v>
      </c>
      <c r="W1687" s="50">
        <f>+J1687/$W$2</f>
        <v>7.9326624403804292E-6</v>
      </c>
    </row>
    <row r="1688" spans="1:29">
      <c r="A1688" s="10" t="s">
        <v>178</v>
      </c>
      <c r="B1688" s="10" t="s">
        <v>358</v>
      </c>
      <c r="C1688" s="124">
        <v>46372</v>
      </c>
      <c r="D1688" s="124" t="s">
        <v>471</v>
      </c>
      <c r="E1688" s="21">
        <v>0.96571079000000004</v>
      </c>
      <c r="F1688" s="10"/>
      <c r="G1688" s="14">
        <v>285154.71999999997</v>
      </c>
      <c r="H1688" s="14">
        <v>275376.99</v>
      </c>
      <c r="I1688" s="14">
        <v>285154.71999999997</v>
      </c>
      <c r="J1688" s="14">
        <v>275376.99</v>
      </c>
      <c r="K1688" s="12">
        <v>670018</v>
      </c>
      <c r="L1688" s="10" t="s">
        <v>101</v>
      </c>
      <c r="M1688" s="10" t="s">
        <v>102</v>
      </c>
      <c r="N1688" s="124" t="s">
        <v>486</v>
      </c>
      <c r="O1688" s="124" t="s">
        <v>486</v>
      </c>
      <c r="P1688" s="21">
        <v>27</v>
      </c>
      <c r="Q1688" s="10" t="s">
        <v>54</v>
      </c>
      <c r="R1688" s="10" t="s">
        <v>28</v>
      </c>
      <c r="S1688" s="10"/>
      <c r="T1688" s="10"/>
      <c r="U1688" s="10" t="s">
        <v>1457</v>
      </c>
      <c r="V1688" s="10" t="s">
        <v>1457</v>
      </c>
      <c r="W1688" s="50">
        <f>+J1688/$W$2</f>
        <v>3.3702414308176855E-6</v>
      </c>
    </row>
    <row r="1689" spans="1:29">
      <c r="A1689" s="10" t="s">
        <v>178</v>
      </c>
      <c r="B1689" s="10" t="s">
        <v>358</v>
      </c>
      <c r="C1689" s="124">
        <v>46372</v>
      </c>
      <c r="D1689" s="124" t="s">
        <v>471</v>
      </c>
      <c r="E1689" s="21">
        <v>0.96571079000000004</v>
      </c>
      <c r="F1689" s="10"/>
      <c r="G1689" s="14">
        <v>285154.71999999997</v>
      </c>
      <c r="H1689" s="14">
        <v>275376.99</v>
      </c>
      <c r="I1689" s="14">
        <v>285154.71999999997</v>
      </c>
      <c r="J1689" s="14">
        <v>275376.99</v>
      </c>
      <c r="K1689" s="12">
        <v>670010</v>
      </c>
      <c r="L1689" s="10" t="s">
        <v>101</v>
      </c>
      <c r="M1689" s="10" t="s">
        <v>102</v>
      </c>
      <c r="N1689" s="124" t="s">
        <v>486</v>
      </c>
      <c r="O1689" s="124" t="s">
        <v>486</v>
      </c>
      <c r="P1689" s="21">
        <v>27</v>
      </c>
      <c r="Q1689" s="10" t="s">
        <v>54</v>
      </c>
      <c r="R1689" s="10" t="s">
        <v>28</v>
      </c>
      <c r="S1689" s="10"/>
      <c r="T1689" s="10"/>
      <c r="U1689" s="10" t="s">
        <v>1458</v>
      </c>
      <c r="V1689" s="10" t="s">
        <v>1458</v>
      </c>
      <c r="W1689" s="50">
        <f>+J1689/$W$2</f>
        <v>3.3702414308176855E-6</v>
      </c>
    </row>
    <row r="1690" spans="1:29">
      <c r="A1690" s="10" t="s">
        <v>178</v>
      </c>
      <c r="B1690" s="10" t="s">
        <v>358</v>
      </c>
      <c r="C1690" s="124">
        <v>46372</v>
      </c>
      <c r="D1690" s="124" t="s">
        <v>471</v>
      </c>
      <c r="E1690" s="21">
        <v>0.96571079000000004</v>
      </c>
      <c r="F1690" s="10"/>
      <c r="G1690" s="14">
        <v>285154.71999999997</v>
      </c>
      <c r="H1690" s="14">
        <v>275376.99</v>
      </c>
      <c r="I1690" s="14">
        <v>285154.71999999997</v>
      </c>
      <c r="J1690" s="14">
        <v>275376.99</v>
      </c>
      <c r="K1690" s="12">
        <v>670032</v>
      </c>
      <c r="L1690" s="10" t="s">
        <v>101</v>
      </c>
      <c r="M1690" s="10" t="s">
        <v>102</v>
      </c>
      <c r="N1690" s="124" t="s">
        <v>486</v>
      </c>
      <c r="O1690" s="124" t="s">
        <v>486</v>
      </c>
      <c r="P1690" s="21">
        <v>27</v>
      </c>
      <c r="Q1690" s="10" t="s">
        <v>54</v>
      </c>
      <c r="R1690" s="10" t="s">
        <v>28</v>
      </c>
      <c r="S1690" s="10"/>
      <c r="T1690" s="10"/>
      <c r="U1690" s="10" t="s">
        <v>1466</v>
      </c>
      <c r="V1690" s="10" t="s">
        <v>1466</v>
      </c>
      <c r="W1690" s="50">
        <f>+J1690/$W$2</f>
        <v>3.3702414308176855E-6</v>
      </c>
    </row>
    <row r="1691" spans="1:29">
      <c r="A1691" s="10" t="s">
        <v>178</v>
      </c>
      <c r="B1691" s="10" t="s">
        <v>358</v>
      </c>
      <c r="C1691" s="124">
        <v>46372</v>
      </c>
      <c r="D1691" s="124" t="s">
        <v>471</v>
      </c>
      <c r="E1691" s="21">
        <v>0.96571079000000004</v>
      </c>
      <c r="F1691" s="10"/>
      <c r="G1691" s="14">
        <v>285154.71999999997</v>
      </c>
      <c r="H1691" s="14">
        <v>275376.99</v>
      </c>
      <c r="I1691" s="14">
        <v>285154.71999999997</v>
      </c>
      <c r="J1691" s="14">
        <v>275376.99</v>
      </c>
      <c r="K1691" s="12">
        <v>670000</v>
      </c>
      <c r="L1691" s="10" t="s">
        <v>101</v>
      </c>
      <c r="M1691" s="10" t="s">
        <v>102</v>
      </c>
      <c r="N1691" s="124" t="s">
        <v>486</v>
      </c>
      <c r="O1691" s="124" t="s">
        <v>486</v>
      </c>
      <c r="P1691" s="21">
        <v>27</v>
      </c>
      <c r="Q1691" s="10" t="s">
        <v>54</v>
      </c>
      <c r="R1691" s="10" t="s">
        <v>28</v>
      </c>
      <c r="S1691" s="10"/>
      <c r="T1691" s="10"/>
      <c r="U1691" s="10" t="s">
        <v>1467</v>
      </c>
      <c r="V1691" s="10" t="s">
        <v>1467</v>
      </c>
      <c r="W1691" s="50">
        <f>+J1691/$W$2</f>
        <v>3.3702414308176855E-6</v>
      </c>
    </row>
    <row r="1692" spans="1:29">
      <c r="A1692" s="10" t="s">
        <v>178</v>
      </c>
      <c r="B1692" s="10" t="s">
        <v>358</v>
      </c>
      <c r="C1692" s="124">
        <v>46372</v>
      </c>
      <c r="D1692" s="124" t="s">
        <v>471</v>
      </c>
      <c r="E1692" s="21">
        <v>0.96571077000000005</v>
      </c>
      <c r="F1692" s="10"/>
      <c r="G1692" s="14">
        <v>2227815.85</v>
      </c>
      <c r="H1692" s="14">
        <v>2151425.75</v>
      </c>
      <c r="I1692" s="14">
        <v>2227815.85</v>
      </c>
      <c r="J1692" s="14">
        <v>2151425.75</v>
      </c>
      <c r="K1692" s="12">
        <v>666087</v>
      </c>
      <c r="L1692" s="10" t="s">
        <v>101</v>
      </c>
      <c r="M1692" s="10" t="s">
        <v>102</v>
      </c>
      <c r="N1692" s="124" t="s">
        <v>162</v>
      </c>
      <c r="O1692" s="124" t="s">
        <v>162</v>
      </c>
      <c r="P1692" s="21">
        <v>27</v>
      </c>
      <c r="Q1692" s="10" t="s">
        <v>54</v>
      </c>
      <c r="R1692" s="10" t="s">
        <v>28</v>
      </c>
      <c r="S1692" s="10"/>
      <c r="T1692" s="10"/>
      <c r="U1692" s="10" t="s">
        <v>1302</v>
      </c>
      <c r="V1692" s="10" t="s">
        <v>1302</v>
      </c>
      <c r="W1692" s="50">
        <f>+J1692/$W$2</f>
        <v>2.6330537631259652E-5</v>
      </c>
      <c r="AC1692" s="47"/>
    </row>
    <row r="1693" spans="1:29">
      <c r="A1693" s="10" t="s">
        <v>178</v>
      </c>
      <c r="B1693" s="10" t="s">
        <v>358</v>
      </c>
      <c r="C1693" s="124">
        <v>46372</v>
      </c>
      <c r="D1693" s="124" t="s">
        <v>471</v>
      </c>
      <c r="E1693" s="21">
        <v>0.96448586999999997</v>
      </c>
      <c r="F1693" s="10"/>
      <c r="G1693" s="14">
        <v>10746145.48</v>
      </c>
      <c r="H1693" s="14">
        <v>10364505.52</v>
      </c>
      <c r="I1693" s="14">
        <v>10746145.48</v>
      </c>
      <c r="J1693" s="14">
        <v>10364505.52</v>
      </c>
      <c r="K1693" s="12">
        <v>604620</v>
      </c>
      <c r="L1693" s="10" t="s">
        <v>101</v>
      </c>
      <c r="M1693" s="10" t="s">
        <v>102</v>
      </c>
      <c r="N1693" s="124" t="s">
        <v>485</v>
      </c>
      <c r="O1693" s="124" t="s">
        <v>485</v>
      </c>
      <c r="P1693" s="21">
        <v>28</v>
      </c>
      <c r="Q1693" s="10" t="s">
        <v>54</v>
      </c>
      <c r="R1693" s="10" t="s">
        <v>28</v>
      </c>
      <c r="S1693" s="10"/>
      <c r="T1693" s="10"/>
      <c r="U1693" s="10" t="s">
        <v>935</v>
      </c>
      <c r="V1693" s="10" t="s">
        <v>935</v>
      </c>
      <c r="W1693" s="50">
        <f>+J1693/$W$2</f>
        <v>1.2684751152753395E-4</v>
      </c>
    </row>
    <row r="1694" spans="1:29">
      <c r="A1694" s="10" t="s">
        <v>178</v>
      </c>
      <c r="B1694" s="10" t="s">
        <v>358</v>
      </c>
      <c r="C1694" s="124">
        <v>46372</v>
      </c>
      <c r="D1694" s="124" t="s">
        <v>471</v>
      </c>
      <c r="E1694" s="21">
        <v>0.96448586999999997</v>
      </c>
      <c r="F1694" s="10"/>
      <c r="G1694" s="14">
        <v>8521998.5999999996</v>
      </c>
      <c r="H1694" s="14">
        <v>8219347.2699999996</v>
      </c>
      <c r="I1694" s="14">
        <v>8521998.5999999996</v>
      </c>
      <c r="J1694" s="14">
        <v>8219347.2699999996</v>
      </c>
      <c r="K1694" s="12">
        <v>654243</v>
      </c>
      <c r="L1694" s="10" t="s">
        <v>101</v>
      </c>
      <c r="M1694" s="10" t="s">
        <v>102</v>
      </c>
      <c r="N1694" s="124" t="s">
        <v>485</v>
      </c>
      <c r="O1694" s="124" t="s">
        <v>485</v>
      </c>
      <c r="P1694" s="21">
        <v>28</v>
      </c>
      <c r="Q1694" s="10" t="s">
        <v>54</v>
      </c>
      <c r="R1694" s="10" t="s">
        <v>28</v>
      </c>
      <c r="S1694" s="10"/>
      <c r="T1694" s="10"/>
      <c r="U1694" s="10" t="s">
        <v>936</v>
      </c>
      <c r="V1694" s="10" t="s">
        <v>936</v>
      </c>
      <c r="W1694" s="50">
        <f>+J1694/$W$2</f>
        <v>1.0059367960856946E-4</v>
      </c>
    </row>
    <row r="1695" spans="1:29">
      <c r="A1695" s="10" t="s">
        <v>506</v>
      </c>
      <c r="B1695" s="10" t="s">
        <v>358</v>
      </c>
      <c r="C1695" s="124">
        <v>46372</v>
      </c>
      <c r="D1695" s="124" t="s">
        <v>471</v>
      </c>
      <c r="E1695" s="21">
        <v>0.96204542999999998</v>
      </c>
      <c r="F1695" s="10"/>
      <c r="G1695" s="14">
        <v>50000000</v>
      </c>
      <c r="H1695" s="14">
        <v>48102271.359999999</v>
      </c>
      <c r="I1695" s="14">
        <v>50000000</v>
      </c>
      <c r="J1695" s="14">
        <v>48102271.359999999</v>
      </c>
      <c r="K1695" s="12">
        <v>68075</v>
      </c>
      <c r="L1695" s="10" t="s">
        <v>101</v>
      </c>
      <c r="M1695" s="10" t="s">
        <v>102</v>
      </c>
      <c r="N1695" s="124" t="s">
        <v>449</v>
      </c>
      <c r="O1695" s="124" t="s">
        <v>449</v>
      </c>
      <c r="P1695" s="21">
        <v>30</v>
      </c>
      <c r="Q1695" s="10" t="s">
        <v>54</v>
      </c>
      <c r="R1695" s="10" t="s">
        <v>28</v>
      </c>
      <c r="S1695" s="10"/>
      <c r="T1695" s="10"/>
      <c r="U1695" s="10" t="s">
        <v>1948</v>
      </c>
      <c r="V1695" s="10" t="s">
        <v>1948</v>
      </c>
      <c r="W1695" s="50">
        <f>+J1695/$W$2</f>
        <v>5.8870665938322222E-4</v>
      </c>
    </row>
    <row r="1696" spans="1:29">
      <c r="A1696" s="10" t="s">
        <v>1743</v>
      </c>
      <c r="B1696" s="10" t="s">
        <v>358</v>
      </c>
      <c r="C1696" s="124">
        <v>46372</v>
      </c>
      <c r="D1696" s="124" t="s">
        <v>471</v>
      </c>
      <c r="E1696" s="21">
        <v>0.95840780000000003</v>
      </c>
      <c r="F1696" s="10"/>
      <c r="G1696" s="14">
        <v>5363359</v>
      </c>
      <c r="H1696" s="14">
        <v>5140285.09</v>
      </c>
      <c r="I1696" s="14">
        <v>5363359</v>
      </c>
      <c r="J1696" s="14">
        <v>5140285.09</v>
      </c>
      <c r="K1696" s="12">
        <v>13757790</v>
      </c>
      <c r="L1696" s="10" t="s">
        <v>101</v>
      </c>
      <c r="M1696" s="10" t="s">
        <v>102</v>
      </c>
      <c r="N1696" s="124" t="s">
        <v>417</v>
      </c>
      <c r="O1696" s="124" t="s">
        <v>417</v>
      </c>
      <c r="P1696" s="21">
        <v>33</v>
      </c>
      <c r="Q1696" s="10" t="s">
        <v>54</v>
      </c>
      <c r="R1696" s="10" t="s">
        <v>28</v>
      </c>
      <c r="S1696" s="10"/>
      <c r="T1696" s="10"/>
      <c r="U1696" s="10" t="s">
        <v>3241</v>
      </c>
      <c r="V1696" s="10" t="s">
        <v>3241</v>
      </c>
      <c r="W1696" s="50">
        <f>+J1696/$W$2</f>
        <v>6.2910128317302089E-5</v>
      </c>
    </row>
    <row r="1697" spans="1:29">
      <c r="A1697" s="10" t="s">
        <v>3322</v>
      </c>
      <c r="B1697" s="10" t="s">
        <v>358</v>
      </c>
      <c r="C1697" s="124">
        <v>46372</v>
      </c>
      <c r="D1697" s="124" t="s">
        <v>471</v>
      </c>
      <c r="E1697" s="21">
        <v>0.95840780000000003</v>
      </c>
      <c r="F1697" s="10"/>
      <c r="G1697" s="14">
        <v>528139.15</v>
      </c>
      <c r="H1697" s="14">
        <v>506172.68</v>
      </c>
      <c r="I1697" s="14">
        <v>528139.15</v>
      </c>
      <c r="J1697" s="14">
        <v>506172.68</v>
      </c>
      <c r="K1697" s="12">
        <v>17703</v>
      </c>
      <c r="L1697" s="10" t="s">
        <v>101</v>
      </c>
      <c r="M1697" s="10" t="s">
        <v>102</v>
      </c>
      <c r="N1697" s="124" t="s">
        <v>417</v>
      </c>
      <c r="O1697" s="124" t="s">
        <v>417</v>
      </c>
      <c r="P1697" s="21">
        <v>33</v>
      </c>
      <c r="Q1697" s="10" t="s">
        <v>54</v>
      </c>
      <c r="R1697" s="10" t="s">
        <v>28</v>
      </c>
      <c r="S1697" s="10"/>
      <c r="T1697" s="10"/>
      <c r="U1697" s="10" t="s">
        <v>3230</v>
      </c>
      <c r="V1697" s="10" t="s">
        <v>3230</v>
      </c>
      <c r="W1697" s="50">
        <f>+J1697/$W$2</f>
        <v>6.1948681234551314E-6</v>
      </c>
    </row>
    <row r="1698" spans="1:29">
      <c r="A1698" s="10" t="s">
        <v>2435</v>
      </c>
      <c r="B1698" s="10" t="s">
        <v>358</v>
      </c>
      <c r="C1698" s="124">
        <v>46372</v>
      </c>
      <c r="D1698" s="124" t="s">
        <v>471</v>
      </c>
      <c r="E1698" s="21">
        <v>0.96326416000000004</v>
      </c>
      <c r="F1698" s="10"/>
      <c r="G1698" s="14">
        <v>450000</v>
      </c>
      <c r="H1698" s="14">
        <v>433468.87</v>
      </c>
      <c r="I1698" s="14">
        <v>450000</v>
      </c>
      <c r="J1698" s="14">
        <v>433468.87</v>
      </c>
      <c r="K1698" s="12">
        <v>11456512</v>
      </c>
      <c r="L1698" s="10" t="s">
        <v>101</v>
      </c>
      <c r="M1698" s="10" t="s">
        <v>102</v>
      </c>
      <c r="N1698" s="124" t="s">
        <v>469</v>
      </c>
      <c r="O1698" s="124" t="s">
        <v>469</v>
      </c>
      <c r="P1698" s="21">
        <v>29</v>
      </c>
      <c r="Q1698" s="10" t="s">
        <v>54</v>
      </c>
      <c r="R1698" s="10" t="s">
        <v>28</v>
      </c>
      <c r="S1698" s="10"/>
      <c r="T1698" s="10"/>
      <c r="U1698" s="10" t="s">
        <v>4037</v>
      </c>
      <c r="V1698" s="10" t="s">
        <v>4037</v>
      </c>
      <c r="W1698" s="50">
        <f>+J1698/$W$2</f>
        <v>5.3050719475280973E-6</v>
      </c>
    </row>
    <row r="1699" spans="1:29">
      <c r="A1699" s="10" t="s">
        <v>623</v>
      </c>
      <c r="B1699" s="10" t="s">
        <v>358</v>
      </c>
      <c r="C1699" s="124">
        <v>46372</v>
      </c>
      <c r="D1699" s="124" t="s">
        <v>471</v>
      </c>
      <c r="E1699" s="21">
        <v>0.95840775</v>
      </c>
      <c r="F1699" s="10"/>
      <c r="G1699" s="14">
        <v>40000000</v>
      </c>
      <c r="H1699" s="14">
        <v>38336310.130000003</v>
      </c>
      <c r="I1699" s="14">
        <v>40000000</v>
      </c>
      <c r="J1699" s="14">
        <v>38336310.130000003</v>
      </c>
      <c r="K1699" s="12">
        <v>6</v>
      </c>
      <c r="L1699" s="10" t="s">
        <v>101</v>
      </c>
      <c r="M1699" s="10" t="s">
        <v>102</v>
      </c>
      <c r="N1699" s="124" t="s">
        <v>480</v>
      </c>
      <c r="O1699" s="124" t="s">
        <v>480</v>
      </c>
      <c r="P1699" s="21">
        <v>33</v>
      </c>
      <c r="Q1699" s="10" t="s">
        <v>54</v>
      </c>
      <c r="R1699" s="10" t="s">
        <v>28</v>
      </c>
      <c r="S1699" s="10"/>
      <c r="T1699" s="10"/>
      <c r="U1699" s="10" t="s">
        <v>1519</v>
      </c>
      <c r="V1699" s="10" t="s">
        <v>1519</v>
      </c>
      <c r="W1699" s="50">
        <f>+J1699/$W$2</f>
        <v>4.6918451939213129E-4</v>
      </c>
    </row>
    <row r="1700" spans="1:29">
      <c r="A1700" s="10" t="s">
        <v>3068</v>
      </c>
      <c r="B1700" s="10" t="s">
        <v>358</v>
      </c>
      <c r="C1700" s="124">
        <v>46372</v>
      </c>
      <c r="D1700" s="124" t="s">
        <v>471</v>
      </c>
      <c r="E1700" s="21">
        <v>0.96204542999999998</v>
      </c>
      <c r="F1700" s="10"/>
      <c r="G1700" s="14">
        <v>4396000</v>
      </c>
      <c r="H1700" s="14">
        <v>4229151.7</v>
      </c>
      <c r="I1700" s="14">
        <v>4396000</v>
      </c>
      <c r="J1700" s="14">
        <v>4229151.7</v>
      </c>
      <c r="K1700" s="12">
        <v>6405483</v>
      </c>
      <c r="L1700" s="10" t="s">
        <v>101</v>
      </c>
      <c r="M1700" s="10" t="s">
        <v>102</v>
      </c>
      <c r="N1700" s="124" t="s">
        <v>508</v>
      </c>
      <c r="O1700" s="124" t="s">
        <v>508</v>
      </c>
      <c r="P1700" s="21">
        <v>30</v>
      </c>
      <c r="Q1700" s="10" t="s">
        <v>54</v>
      </c>
      <c r="R1700" s="10" t="s">
        <v>28</v>
      </c>
      <c r="S1700" s="10"/>
      <c r="T1700" s="10"/>
      <c r="U1700" s="10" t="s">
        <v>3027</v>
      </c>
      <c r="V1700" s="10" t="s">
        <v>3027</v>
      </c>
      <c r="W1700" s="50">
        <f>+J1700/$W$2</f>
        <v>5.1759089517802659E-5</v>
      </c>
    </row>
    <row r="1701" spans="1:29">
      <c r="A1701" s="10" t="s">
        <v>832</v>
      </c>
      <c r="B1701" s="10" t="s">
        <v>358</v>
      </c>
      <c r="C1701" s="124">
        <v>46372</v>
      </c>
      <c r="D1701" s="124" t="s">
        <v>471</v>
      </c>
      <c r="E1701" s="21">
        <v>0.95599794999999999</v>
      </c>
      <c r="F1701" s="10"/>
      <c r="G1701" s="14">
        <v>335087.09999999998</v>
      </c>
      <c r="H1701" s="14">
        <v>320342.58</v>
      </c>
      <c r="I1701" s="14">
        <v>335087.09999999998</v>
      </c>
      <c r="J1701" s="14">
        <v>320342.58</v>
      </c>
      <c r="K1701" s="12">
        <v>30105965</v>
      </c>
      <c r="L1701" s="10" t="s">
        <v>101</v>
      </c>
      <c r="M1701" s="10" t="s">
        <v>102</v>
      </c>
      <c r="N1701" s="124" t="s">
        <v>417</v>
      </c>
      <c r="O1701" s="124" t="s">
        <v>417</v>
      </c>
      <c r="P1701" s="21">
        <v>35</v>
      </c>
      <c r="Q1701" s="10" t="s">
        <v>54</v>
      </c>
      <c r="R1701" s="10" t="s">
        <v>28</v>
      </c>
      <c r="S1701" s="10"/>
      <c r="T1701" s="10"/>
      <c r="U1701" s="10" t="s">
        <v>3215</v>
      </c>
      <c r="V1701" s="10" t="s">
        <v>3215</v>
      </c>
      <c r="W1701" s="50">
        <f>+J1701/$W$2</f>
        <v>3.9205593581766906E-6</v>
      </c>
    </row>
    <row r="1702" spans="1:29">
      <c r="A1702" s="10" t="s">
        <v>832</v>
      </c>
      <c r="B1702" s="10" t="s">
        <v>358</v>
      </c>
      <c r="C1702" s="124">
        <v>46372</v>
      </c>
      <c r="D1702" s="124" t="s">
        <v>471</v>
      </c>
      <c r="E1702" s="21">
        <v>0.95840793000000002</v>
      </c>
      <c r="F1702" s="10"/>
      <c r="G1702" s="14">
        <v>395997.4</v>
      </c>
      <c r="H1702" s="14">
        <v>379527.05</v>
      </c>
      <c r="I1702" s="14">
        <v>395997.4</v>
      </c>
      <c r="J1702" s="14">
        <v>379527.05</v>
      </c>
      <c r="K1702" s="12">
        <v>30104988</v>
      </c>
      <c r="L1702" s="10" t="s">
        <v>101</v>
      </c>
      <c r="M1702" s="10" t="s">
        <v>102</v>
      </c>
      <c r="N1702" s="124" t="s">
        <v>446</v>
      </c>
      <c r="O1702" s="124" t="s">
        <v>446</v>
      </c>
      <c r="P1702" s="21">
        <v>33</v>
      </c>
      <c r="Q1702" s="10" t="s">
        <v>54</v>
      </c>
      <c r="R1702" s="10" t="s">
        <v>28</v>
      </c>
      <c r="S1702" s="10"/>
      <c r="T1702" s="10"/>
      <c r="U1702" s="10" t="s">
        <v>3074</v>
      </c>
      <c r="V1702" s="10" t="s">
        <v>3074</v>
      </c>
      <c r="W1702" s="50">
        <f>+J1702/$W$2</f>
        <v>4.6448971209468709E-6</v>
      </c>
    </row>
    <row r="1703" spans="1:29">
      <c r="A1703" s="10" t="s">
        <v>832</v>
      </c>
      <c r="B1703" s="10" t="s">
        <v>358</v>
      </c>
      <c r="C1703" s="124">
        <v>46372</v>
      </c>
      <c r="D1703" s="124" t="s">
        <v>471</v>
      </c>
      <c r="E1703" s="21">
        <v>0.95599867000000005</v>
      </c>
      <c r="F1703" s="10"/>
      <c r="G1703" s="14">
        <v>29431.84</v>
      </c>
      <c r="H1703" s="14">
        <v>28136.799999999999</v>
      </c>
      <c r="I1703" s="14">
        <v>29431.84</v>
      </c>
      <c r="J1703" s="14">
        <v>28136.799999999999</v>
      </c>
      <c r="K1703" s="12">
        <v>30099838</v>
      </c>
      <c r="L1703" s="10" t="s">
        <v>101</v>
      </c>
      <c r="M1703" s="10" t="s">
        <v>102</v>
      </c>
      <c r="N1703" s="124" t="s">
        <v>395</v>
      </c>
      <c r="O1703" s="124" t="s">
        <v>395</v>
      </c>
      <c r="P1703" s="21">
        <v>35</v>
      </c>
      <c r="Q1703" s="10" t="s">
        <v>54</v>
      </c>
      <c r="R1703" s="10" t="s">
        <v>28</v>
      </c>
      <c r="S1703" s="10"/>
      <c r="T1703" s="10"/>
      <c r="U1703" s="10" t="s">
        <v>1784</v>
      </c>
      <c r="V1703" s="10" t="s">
        <v>1784</v>
      </c>
      <c r="W1703" s="50">
        <f>+J1703/$W$2</f>
        <v>3.4435632799469214E-7</v>
      </c>
    </row>
    <row r="1704" spans="1:29">
      <c r="A1704" s="10" t="s">
        <v>1765</v>
      </c>
      <c r="B1704" s="10" t="s">
        <v>358</v>
      </c>
      <c r="C1704" s="124">
        <v>46372</v>
      </c>
      <c r="D1704" s="124" t="s">
        <v>471</v>
      </c>
      <c r="E1704" s="21">
        <v>0.95840778999999998</v>
      </c>
      <c r="F1704" s="10"/>
      <c r="G1704" s="14">
        <v>672232.39</v>
      </c>
      <c r="H1704" s="14">
        <v>644272.76</v>
      </c>
      <c r="I1704" s="14">
        <v>672232.39</v>
      </c>
      <c r="J1704" s="14">
        <v>644272.76</v>
      </c>
      <c r="K1704" s="12">
        <v>19728</v>
      </c>
      <c r="L1704" s="10" t="s">
        <v>101</v>
      </c>
      <c r="M1704" s="10" t="s">
        <v>102</v>
      </c>
      <c r="N1704" s="124" t="s">
        <v>417</v>
      </c>
      <c r="O1704" s="124" t="s">
        <v>417</v>
      </c>
      <c r="P1704" s="21">
        <v>33</v>
      </c>
      <c r="Q1704" s="10" t="s">
        <v>54</v>
      </c>
      <c r="R1704" s="10" t="s">
        <v>28</v>
      </c>
      <c r="S1704" s="10"/>
      <c r="T1704" s="10"/>
      <c r="U1704" s="10" t="s">
        <v>3261</v>
      </c>
      <c r="V1704" s="10" t="s">
        <v>3261</v>
      </c>
      <c r="W1704" s="50">
        <f>+J1704/$W$2</f>
        <v>7.885026081878734E-6</v>
      </c>
      <c r="AC1704" s="47"/>
    </row>
    <row r="1705" spans="1:29">
      <c r="A1705" s="10" t="s">
        <v>1765</v>
      </c>
      <c r="B1705" s="10" t="s">
        <v>358</v>
      </c>
      <c r="C1705" s="124">
        <v>46372</v>
      </c>
      <c r="D1705" s="124" t="s">
        <v>471</v>
      </c>
      <c r="E1705" s="21">
        <v>0.95840778999999998</v>
      </c>
      <c r="F1705" s="10"/>
      <c r="G1705" s="14">
        <v>672232.39</v>
      </c>
      <c r="H1705" s="14">
        <v>644272.76</v>
      </c>
      <c r="I1705" s="14">
        <v>672232.39</v>
      </c>
      <c r="J1705" s="14">
        <v>644272.76</v>
      </c>
      <c r="K1705" s="12">
        <v>19726</v>
      </c>
      <c r="L1705" s="10" t="s">
        <v>101</v>
      </c>
      <c r="M1705" s="10" t="s">
        <v>102</v>
      </c>
      <c r="N1705" s="124" t="s">
        <v>417</v>
      </c>
      <c r="O1705" s="124" t="s">
        <v>417</v>
      </c>
      <c r="P1705" s="21">
        <v>33</v>
      </c>
      <c r="Q1705" s="10" t="s">
        <v>54</v>
      </c>
      <c r="R1705" s="10" t="s">
        <v>28</v>
      </c>
      <c r="S1705" s="10"/>
      <c r="T1705" s="10"/>
      <c r="U1705" s="10" t="s">
        <v>3264</v>
      </c>
      <c r="V1705" s="10" t="s">
        <v>3264</v>
      </c>
      <c r="W1705" s="50">
        <f>+J1705/$W$2</f>
        <v>7.885026081878734E-6</v>
      </c>
    </row>
    <row r="1706" spans="1:29">
      <c r="A1706" s="10" t="s">
        <v>1765</v>
      </c>
      <c r="B1706" s="10" t="s">
        <v>358</v>
      </c>
      <c r="C1706" s="124">
        <v>46372</v>
      </c>
      <c r="D1706" s="124" t="s">
        <v>471</v>
      </c>
      <c r="E1706" s="21">
        <v>0.95840778999999998</v>
      </c>
      <c r="F1706" s="10"/>
      <c r="G1706" s="14">
        <v>649795.28</v>
      </c>
      <c r="H1706" s="14">
        <v>622768.86</v>
      </c>
      <c r="I1706" s="14">
        <v>649795.28</v>
      </c>
      <c r="J1706" s="14">
        <v>622768.86</v>
      </c>
      <c r="K1706" s="12">
        <v>19653</v>
      </c>
      <c r="L1706" s="10" t="s">
        <v>101</v>
      </c>
      <c r="M1706" s="10" t="s">
        <v>102</v>
      </c>
      <c r="N1706" s="124" t="s">
        <v>417</v>
      </c>
      <c r="O1706" s="124" t="s">
        <v>417</v>
      </c>
      <c r="P1706" s="21">
        <v>33</v>
      </c>
      <c r="Q1706" s="10" t="s">
        <v>54</v>
      </c>
      <c r="R1706" s="10" t="s">
        <v>28</v>
      </c>
      <c r="S1706" s="10"/>
      <c r="T1706" s="10"/>
      <c r="U1706" s="10" t="s">
        <v>3265</v>
      </c>
      <c r="V1706" s="10" t="s">
        <v>3265</v>
      </c>
      <c r="W1706" s="50">
        <f>+J1706/$W$2</f>
        <v>7.6218474673395873E-6</v>
      </c>
    </row>
    <row r="1707" spans="1:29">
      <c r="A1707" s="10" t="s">
        <v>1765</v>
      </c>
      <c r="B1707" s="10" t="s">
        <v>358</v>
      </c>
      <c r="C1707" s="124">
        <v>46372</v>
      </c>
      <c r="D1707" s="124" t="s">
        <v>471</v>
      </c>
      <c r="E1707" s="21">
        <v>0.95840778999999998</v>
      </c>
      <c r="F1707" s="10"/>
      <c r="G1707" s="14">
        <v>672232.39</v>
      </c>
      <c r="H1707" s="14">
        <v>644272.76</v>
      </c>
      <c r="I1707" s="14">
        <v>672232.39</v>
      </c>
      <c r="J1707" s="14">
        <v>644272.76</v>
      </c>
      <c r="K1707" s="12">
        <v>19727</v>
      </c>
      <c r="L1707" s="10" t="s">
        <v>101</v>
      </c>
      <c r="M1707" s="10" t="s">
        <v>102</v>
      </c>
      <c r="N1707" s="124" t="s">
        <v>417</v>
      </c>
      <c r="O1707" s="124" t="s">
        <v>417</v>
      </c>
      <c r="P1707" s="21">
        <v>33</v>
      </c>
      <c r="Q1707" s="10" t="s">
        <v>54</v>
      </c>
      <c r="R1707" s="10" t="s">
        <v>28</v>
      </c>
      <c r="S1707" s="10"/>
      <c r="T1707" s="10"/>
      <c r="U1707" s="10" t="s">
        <v>3270</v>
      </c>
      <c r="V1707" s="10" t="s">
        <v>3270</v>
      </c>
      <c r="W1707" s="50">
        <f>+J1707/$W$2</f>
        <v>7.885026081878734E-6</v>
      </c>
    </row>
    <row r="1708" spans="1:29">
      <c r="A1708" s="10" t="s">
        <v>1765</v>
      </c>
      <c r="B1708" s="10" t="s">
        <v>358</v>
      </c>
      <c r="C1708" s="124">
        <v>46372</v>
      </c>
      <c r="D1708" s="124" t="s">
        <v>471</v>
      </c>
      <c r="E1708" s="21">
        <v>0.95840778999999998</v>
      </c>
      <c r="F1708" s="10"/>
      <c r="G1708" s="14">
        <v>649795.28</v>
      </c>
      <c r="H1708" s="14">
        <v>622768.86</v>
      </c>
      <c r="I1708" s="14">
        <v>649795.28</v>
      </c>
      <c r="J1708" s="14">
        <v>622768.86</v>
      </c>
      <c r="K1708" s="12">
        <v>19655</v>
      </c>
      <c r="L1708" s="10" t="s">
        <v>101</v>
      </c>
      <c r="M1708" s="10" t="s">
        <v>102</v>
      </c>
      <c r="N1708" s="124" t="s">
        <v>417</v>
      </c>
      <c r="O1708" s="124" t="s">
        <v>417</v>
      </c>
      <c r="P1708" s="21">
        <v>33</v>
      </c>
      <c r="Q1708" s="10" t="s">
        <v>54</v>
      </c>
      <c r="R1708" s="10" t="s">
        <v>28</v>
      </c>
      <c r="S1708" s="10"/>
      <c r="T1708" s="10"/>
      <c r="U1708" s="10" t="s">
        <v>3281</v>
      </c>
      <c r="V1708" s="10" t="s">
        <v>3281</v>
      </c>
      <c r="W1708" s="50">
        <f>+J1708/$W$2</f>
        <v>7.6218474673395873E-6</v>
      </c>
    </row>
    <row r="1709" spans="1:29">
      <c r="A1709" s="10" t="s">
        <v>1765</v>
      </c>
      <c r="B1709" s="10" t="s">
        <v>358</v>
      </c>
      <c r="C1709" s="124">
        <v>46372</v>
      </c>
      <c r="D1709" s="124" t="s">
        <v>471</v>
      </c>
      <c r="E1709" s="21">
        <v>0.95840778999999998</v>
      </c>
      <c r="F1709" s="10"/>
      <c r="G1709" s="14">
        <v>649795.28</v>
      </c>
      <c r="H1709" s="14">
        <v>622768.86</v>
      </c>
      <c r="I1709" s="14">
        <v>649795.28</v>
      </c>
      <c r="J1709" s="14">
        <v>622768.86</v>
      </c>
      <c r="K1709" s="12">
        <v>19654</v>
      </c>
      <c r="L1709" s="10" t="s">
        <v>101</v>
      </c>
      <c r="M1709" s="10" t="s">
        <v>102</v>
      </c>
      <c r="N1709" s="124" t="s">
        <v>417</v>
      </c>
      <c r="O1709" s="124" t="s">
        <v>417</v>
      </c>
      <c r="P1709" s="21">
        <v>33</v>
      </c>
      <c r="Q1709" s="10" t="s">
        <v>54</v>
      </c>
      <c r="R1709" s="10" t="s">
        <v>28</v>
      </c>
      <c r="S1709" s="10"/>
      <c r="T1709" s="10"/>
      <c r="U1709" s="10" t="s">
        <v>3282</v>
      </c>
      <c r="V1709" s="10" t="s">
        <v>3282</v>
      </c>
      <c r="W1709" s="50">
        <f>+J1709/$W$2</f>
        <v>7.6218474673395873E-6</v>
      </c>
    </row>
    <row r="1710" spans="1:29">
      <c r="A1710" s="10" t="s">
        <v>1768</v>
      </c>
      <c r="B1710" s="10" t="s">
        <v>358</v>
      </c>
      <c r="C1710" s="124">
        <v>46372</v>
      </c>
      <c r="D1710" s="124" t="s">
        <v>471</v>
      </c>
      <c r="E1710" s="21">
        <v>0.95840780000000003</v>
      </c>
      <c r="F1710" s="10"/>
      <c r="G1710" s="14">
        <v>2787075</v>
      </c>
      <c r="H1710" s="14">
        <v>2671154.41</v>
      </c>
      <c r="I1710" s="14">
        <v>2787075</v>
      </c>
      <c r="J1710" s="14">
        <v>2671154.41</v>
      </c>
      <c r="K1710" s="12">
        <v>70327755</v>
      </c>
      <c r="L1710" s="10" t="s">
        <v>101</v>
      </c>
      <c r="M1710" s="10" t="s">
        <v>102</v>
      </c>
      <c r="N1710" s="124" t="s">
        <v>417</v>
      </c>
      <c r="O1710" s="124" t="s">
        <v>417</v>
      </c>
      <c r="P1710" s="21">
        <v>33</v>
      </c>
      <c r="Q1710" s="10" t="s">
        <v>54</v>
      </c>
      <c r="R1710" s="10" t="s">
        <v>28</v>
      </c>
      <c r="S1710" s="10"/>
      <c r="T1710" s="10"/>
      <c r="U1710" s="10" t="s">
        <v>3257</v>
      </c>
      <c r="V1710" s="10" t="s">
        <v>3257</v>
      </c>
      <c r="W1710" s="50">
        <f>+J1710/$W$2</f>
        <v>3.2691312591852254E-5</v>
      </c>
    </row>
    <row r="1711" spans="1:29">
      <c r="A1711" s="10" t="s">
        <v>3799</v>
      </c>
      <c r="B1711" s="10" t="s">
        <v>358</v>
      </c>
      <c r="C1711" s="124">
        <v>46372</v>
      </c>
      <c r="D1711" s="124" t="s">
        <v>471</v>
      </c>
      <c r="E1711" s="21">
        <v>0.95840778999999998</v>
      </c>
      <c r="F1711" s="10"/>
      <c r="G1711" s="14">
        <v>8000000</v>
      </c>
      <c r="H1711" s="14">
        <v>7667262.29</v>
      </c>
      <c r="I1711" s="14">
        <v>8000000</v>
      </c>
      <c r="J1711" s="14">
        <v>7667262.29</v>
      </c>
      <c r="K1711" s="12">
        <v>70434063</v>
      </c>
      <c r="L1711" s="10" t="s">
        <v>101</v>
      </c>
      <c r="M1711" s="10" t="s">
        <v>102</v>
      </c>
      <c r="N1711" s="124" t="s">
        <v>467</v>
      </c>
      <c r="O1711" s="124" t="s">
        <v>467</v>
      </c>
      <c r="P1711" s="21">
        <v>33</v>
      </c>
      <c r="Q1711" s="10" t="s">
        <v>54</v>
      </c>
      <c r="R1711" s="10" t="s">
        <v>28</v>
      </c>
      <c r="S1711" s="10"/>
      <c r="T1711" s="10"/>
      <c r="U1711" s="10" t="s">
        <v>3761</v>
      </c>
      <c r="V1711" s="10" t="s">
        <v>3761</v>
      </c>
      <c r="W1711" s="50">
        <f>+J1711/$W$2</f>
        <v>9.3836907109428737E-5</v>
      </c>
    </row>
    <row r="1712" spans="1:29">
      <c r="A1712" s="10" t="s">
        <v>164</v>
      </c>
      <c r="B1712" s="10" t="s">
        <v>358</v>
      </c>
      <c r="C1712" s="124">
        <v>46372</v>
      </c>
      <c r="D1712" s="124" t="s">
        <v>471</v>
      </c>
      <c r="E1712" s="21">
        <v>0.95240581000000002</v>
      </c>
      <c r="F1712" s="10"/>
      <c r="G1712" s="14">
        <v>286000000</v>
      </c>
      <c r="H1712" s="14">
        <v>272388060.72000003</v>
      </c>
      <c r="I1712" s="14">
        <v>286000000</v>
      </c>
      <c r="J1712" s="14">
        <v>272388060.72000003</v>
      </c>
      <c r="K1712" s="12">
        <v>70424956</v>
      </c>
      <c r="L1712" s="10" t="s">
        <v>101</v>
      </c>
      <c r="M1712" s="10" t="s">
        <v>102</v>
      </c>
      <c r="N1712" s="124" t="s">
        <v>448</v>
      </c>
      <c r="O1712" s="124" t="s">
        <v>448</v>
      </c>
      <c r="P1712" s="21">
        <v>38</v>
      </c>
      <c r="Q1712" s="10" t="s">
        <v>54</v>
      </c>
      <c r="R1712" s="10" t="s">
        <v>28</v>
      </c>
      <c r="S1712" s="10"/>
      <c r="T1712" s="10"/>
      <c r="U1712" s="10" t="s">
        <v>3163</v>
      </c>
      <c r="V1712" s="10" t="s">
        <v>3163</v>
      </c>
      <c r="W1712" s="50">
        <f>+J1712/$W$2</f>
        <v>3.3336609841607594E-3</v>
      </c>
    </row>
    <row r="1713" spans="1:23">
      <c r="A1713" s="10" t="s">
        <v>1609</v>
      </c>
      <c r="B1713" s="10" t="s">
        <v>358</v>
      </c>
      <c r="C1713" s="124">
        <v>46372</v>
      </c>
      <c r="D1713" s="124" t="s">
        <v>471</v>
      </c>
      <c r="E1713" s="21">
        <v>0.97437273999999996</v>
      </c>
      <c r="F1713" s="10"/>
      <c r="G1713" s="14">
        <v>642000</v>
      </c>
      <c r="H1713" s="14">
        <v>625547.30000000005</v>
      </c>
      <c r="I1713" s="14">
        <v>642000</v>
      </c>
      <c r="J1713" s="14">
        <v>625547.30000000005</v>
      </c>
      <c r="K1713" s="12">
        <v>205</v>
      </c>
      <c r="L1713" s="10" t="s">
        <v>101</v>
      </c>
      <c r="M1713" s="10" t="s">
        <v>102</v>
      </c>
      <c r="N1713" s="124" t="s">
        <v>487</v>
      </c>
      <c r="O1713" s="124" t="s">
        <v>487</v>
      </c>
      <c r="P1713" s="21">
        <v>20</v>
      </c>
      <c r="Q1713" s="10" t="s">
        <v>54</v>
      </c>
      <c r="R1713" s="10" t="s">
        <v>28</v>
      </c>
      <c r="S1713" s="10"/>
      <c r="T1713" s="10"/>
      <c r="U1713" s="10" t="s">
        <v>1554</v>
      </c>
      <c r="V1713" s="10" t="s">
        <v>1554</v>
      </c>
      <c r="W1713" s="50">
        <f>+J1713/$W$2</f>
        <v>7.6558518102625067E-6</v>
      </c>
    </row>
    <row r="1714" spans="1:23">
      <c r="A1714" s="10" t="s">
        <v>295</v>
      </c>
      <c r="B1714" s="10" t="s">
        <v>358</v>
      </c>
      <c r="C1714" s="124">
        <v>46372</v>
      </c>
      <c r="D1714" s="124" t="s">
        <v>471</v>
      </c>
      <c r="E1714" s="21">
        <v>0.97437271999999997</v>
      </c>
      <c r="F1714" s="10"/>
      <c r="G1714" s="14">
        <v>11000000</v>
      </c>
      <c r="H1714" s="14">
        <v>10718099.91</v>
      </c>
      <c r="I1714" s="14">
        <v>11000000</v>
      </c>
      <c r="J1714" s="14">
        <v>10718099.91</v>
      </c>
      <c r="K1714" s="12">
        <v>542</v>
      </c>
      <c r="L1714" s="10" t="s">
        <v>101</v>
      </c>
      <c r="M1714" s="10" t="s">
        <v>102</v>
      </c>
      <c r="N1714" s="124" t="s">
        <v>474</v>
      </c>
      <c r="O1714" s="124" t="s">
        <v>474</v>
      </c>
      <c r="P1714" s="21">
        <v>20</v>
      </c>
      <c r="Q1714" s="10" t="s">
        <v>54</v>
      </c>
      <c r="R1714" s="10" t="s">
        <v>28</v>
      </c>
      <c r="S1714" s="10"/>
      <c r="T1714" s="10"/>
      <c r="U1714" s="10" t="s">
        <v>3886</v>
      </c>
      <c r="V1714" s="10" t="s">
        <v>3886</v>
      </c>
      <c r="W1714" s="50">
        <f>+J1714/$W$2</f>
        <v>1.3117502800914961E-4</v>
      </c>
    </row>
    <row r="1715" spans="1:23">
      <c r="A1715" s="10" t="s">
        <v>286</v>
      </c>
      <c r="B1715" s="10" t="s">
        <v>358</v>
      </c>
      <c r="C1715" s="124">
        <v>46372</v>
      </c>
      <c r="D1715" s="124" t="s">
        <v>471</v>
      </c>
      <c r="E1715" s="21">
        <v>0.95961726000000003</v>
      </c>
      <c r="F1715" s="10"/>
      <c r="G1715" s="14">
        <v>6000000</v>
      </c>
      <c r="H1715" s="14">
        <v>5757703.5499999998</v>
      </c>
      <c r="I1715" s="14">
        <v>6000000</v>
      </c>
      <c r="J1715" s="14">
        <v>5757703.5499999998</v>
      </c>
      <c r="K1715" s="12">
        <v>40789622</v>
      </c>
      <c r="L1715" s="10" t="s">
        <v>101</v>
      </c>
      <c r="M1715" s="10" t="s">
        <v>102</v>
      </c>
      <c r="N1715" s="124" t="s">
        <v>412</v>
      </c>
      <c r="O1715" s="124" t="s">
        <v>412</v>
      </c>
      <c r="P1715" s="21">
        <v>32</v>
      </c>
      <c r="Q1715" s="10" t="s">
        <v>54</v>
      </c>
      <c r="R1715" s="10" t="s">
        <v>28</v>
      </c>
      <c r="S1715" s="10"/>
      <c r="T1715" s="10"/>
      <c r="U1715" s="10" t="s">
        <v>2813</v>
      </c>
      <c r="V1715" s="10" t="s">
        <v>2813</v>
      </c>
      <c r="W1715" s="50">
        <f>+J1715/$W$2</f>
        <v>7.0466494134372186E-5</v>
      </c>
    </row>
    <row r="1716" spans="1:23">
      <c r="A1716" s="10" t="s">
        <v>432</v>
      </c>
      <c r="B1716" s="10" t="s">
        <v>125</v>
      </c>
      <c r="C1716" s="124">
        <v>46372</v>
      </c>
      <c r="D1716" s="124" t="s">
        <v>471</v>
      </c>
      <c r="E1716" s="21">
        <v>0.98958968999999997</v>
      </c>
      <c r="F1716" s="10" t="s">
        <v>4162</v>
      </c>
      <c r="G1716" s="14">
        <v>18230</v>
      </c>
      <c r="H1716" s="14">
        <v>18040.22</v>
      </c>
      <c r="I1716" s="14">
        <v>28066780.77</v>
      </c>
      <c r="J1716" s="14">
        <v>27774596.809999999</v>
      </c>
      <c r="K1716" s="12">
        <v>146447</v>
      </c>
      <c r="L1716" s="10" t="s">
        <v>101</v>
      </c>
      <c r="M1716" s="10" t="s">
        <v>102</v>
      </c>
      <c r="N1716" s="124" t="s">
        <v>294</v>
      </c>
      <c r="O1716" s="124" t="s">
        <v>294</v>
      </c>
      <c r="P1716" s="21">
        <v>8</v>
      </c>
      <c r="Q1716" s="10" t="s">
        <v>54</v>
      </c>
      <c r="R1716" s="10" t="s">
        <v>28</v>
      </c>
      <c r="S1716" s="10"/>
      <c r="T1716" s="10"/>
      <c r="U1716" s="10" t="s">
        <v>418</v>
      </c>
      <c r="V1716" s="10" t="s">
        <v>418</v>
      </c>
      <c r="W1716" s="50">
        <f>+J1716/$W$2</f>
        <v>3.3992345145946552E-4</v>
      </c>
    </row>
    <row r="1717" spans="1:23">
      <c r="A1717" s="10" t="s">
        <v>437</v>
      </c>
      <c r="B1717" s="10" t="s">
        <v>358</v>
      </c>
      <c r="C1717" s="124">
        <v>46372</v>
      </c>
      <c r="D1717" s="124" t="s">
        <v>471</v>
      </c>
      <c r="E1717" s="21">
        <v>0.95840782000000002</v>
      </c>
      <c r="F1717" s="10"/>
      <c r="G1717" s="14">
        <v>2600411.64</v>
      </c>
      <c r="H1717" s="14">
        <v>2492254.85</v>
      </c>
      <c r="I1717" s="14">
        <v>2600411.64</v>
      </c>
      <c r="J1717" s="14">
        <v>2492254.85</v>
      </c>
      <c r="K1717" s="12">
        <v>90000276</v>
      </c>
      <c r="L1717" s="10" t="s">
        <v>101</v>
      </c>
      <c r="M1717" s="10" t="s">
        <v>102</v>
      </c>
      <c r="N1717" s="124" t="s">
        <v>409</v>
      </c>
      <c r="O1717" s="124" t="s">
        <v>409</v>
      </c>
      <c r="P1717" s="21">
        <v>33</v>
      </c>
      <c r="Q1717" s="10" t="s">
        <v>54</v>
      </c>
      <c r="R1717" s="10" t="s">
        <v>28</v>
      </c>
      <c r="S1717" s="10"/>
      <c r="T1717" s="10"/>
      <c r="U1717" s="10" t="s">
        <v>887</v>
      </c>
      <c r="V1717" s="10" t="s">
        <v>887</v>
      </c>
      <c r="W1717" s="50">
        <f>+J1717/$W$2</f>
        <v>3.0501824250553093E-5</v>
      </c>
    </row>
    <row r="1718" spans="1:23">
      <c r="A1718" s="10" t="s">
        <v>3587</v>
      </c>
      <c r="B1718" s="10" t="s">
        <v>358</v>
      </c>
      <c r="C1718" s="124">
        <v>46372</v>
      </c>
      <c r="D1718" s="124" t="s">
        <v>471</v>
      </c>
      <c r="E1718" s="21">
        <v>0.96326416000000004</v>
      </c>
      <c r="F1718" s="10"/>
      <c r="G1718" s="14">
        <v>4796238.45</v>
      </c>
      <c r="H1718" s="14">
        <v>4620044.62</v>
      </c>
      <c r="I1718" s="14">
        <v>4796238.45</v>
      </c>
      <c r="J1718" s="14">
        <v>4620044.62</v>
      </c>
      <c r="K1718" s="12">
        <v>12700546</v>
      </c>
      <c r="L1718" s="10" t="s">
        <v>101</v>
      </c>
      <c r="M1718" s="10" t="s">
        <v>102</v>
      </c>
      <c r="N1718" s="124" t="s">
        <v>469</v>
      </c>
      <c r="O1718" s="124" t="s">
        <v>469</v>
      </c>
      <c r="P1718" s="21">
        <v>29</v>
      </c>
      <c r="Q1718" s="10" t="s">
        <v>54</v>
      </c>
      <c r="R1718" s="10" t="s">
        <v>28</v>
      </c>
      <c r="S1718" s="10"/>
      <c r="T1718" s="10"/>
      <c r="U1718" s="10" t="s">
        <v>3985</v>
      </c>
      <c r="V1718" s="10" t="s">
        <v>3985</v>
      </c>
      <c r="W1718" s="50">
        <f>+J1718/$W$2</f>
        <v>5.6543089495423534E-5</v>
      </c>
    </row>
    <row r="1719" spans="1:23">
      <c r="A1719" s="10" t="s">
        <v>621</v>
      </c>
      <c r="B1719" s="10" t="s">
        <v>358</v>
      </c>
      <c r="C1719" s="124">
        <v>46372</v>
      </c>
      <c r="D1719" s="124" t="s">
        <v>471</v>
      </c>
      <c r="E1719" s="21">
        <v>0.96448588999999996</v>
      </c>
      <c r="F1719" s="10"/>
      <c r="G1719" s="14">
        <v>14700000</v>
      </c>
      <c r="H1719" s="14">
        <v>14177942.550000001</v>
      </c>
      <c r="I1719" s="14">
        <v>14700000</v>
      </c>
      <c r="J1719" s="14">
        <v>14177942.550000001</v>
      </c>
      <c r="K1719" s="12">
        <v>90000383</v>
      </c>
      <c r="L1719" s="10" t="s">
        <v>101</v>
      </c>
      <c r="M1719" s="10" t="s">
        <v>102</v>
      </c>
      <c r="N1719" s="124" t="s">
        <v>478</v>
      </c>
      <c r="O1719" s="124" t="s">
        <v>478</v>
      </c>
      <c r="P1719" s="21">
        <v>28</v>
      </c>
      <c r="Q1719" s="10" t="s">
        <v>54</v>
      </c>
      <c r="R1719" s="10" t="s">
        <v>28</v>
      </c>
      <c r="S1719" s="10"/>
      <c r="T1719" s="10"/>
      <c r="U1719" s="10" t="s">
        <v>2125</v>
      </c>
      <c r="V1719" s="10" t="s">
        <v>2125</v>
      </c>
      <c r="W1719" s="50">
        <f>+J1719/$W$2</f>
        <v>1.7351881646234476E-4</v>
      </c>
    </row>
    <row r="1720" spans="1:23">
      <c r="A1720" s="10" t="s">
        <v>621</v>
      </c>
      <c r="B1720" s="10" t="s">
        <v>358</v>
      </c>
      <c r="C1720" s="124">
        <v>46372</v>
      </c>
      <c r="D1720" s="124" t="s">
        <v>471</v>
      </c>
      <c r="E1720" s="21">
        <v>0.96448588999999996</v>
      </c>
      <c r="F1720" s="10"/>
      <c r="G1720" s="14">
        <v>14200000</v>
      </c>
      <c r="H1720" s="14">
        <v>13695699.619999999</v>
      </c>
      <c r="I1720" s="14">
        <v>14200000</v>
      </c>
      <c r="J1720" s="14">
        <v>13695699.619999999</v>
      </c>
      <c r="K1720" s="12">
        <v>90000359</v>
      </c>
      <c r="L1720" s="10" t="s">
        <v>101</v>
      </c>
      <c r="M1720" s="10" t="s">
        <v>102</v>
      </c>
      <c r="N1720" s="124" t="s">
        <v>478</v>
      </c>
      <c r="O1720" s="124" t="s">
        <v>478</v>
      </c>
      <c r="P1720" s="21">
        <v>28</v>
      </c>
      <c r="Q1720" s="10" t="s">
        <v>54</v>
      </c>
      <c r="R1720" s="10" t="s">
        <v>28</v>
      </c>
      <c r="S1720" s="10"/>
      <c r="T1720" s="10"/>
      <c r="U1720" s="10" t="s">
        <v>2126</v>
      </c>
      <c r="V1720" s="10" t="s">
        <v>2126</v>
      </c>
      <c r="W1720" s="50">
        <f>+J1720/$W$2</f>
        <v>1.6761681607224349E-4</v>
      </c>
    </row>
    <row r="1721" spans="1:23">
      <c r="A1721" s="10" t="s">
        <v>621</v>
      </c>
      <c r="B1721" s="10" t="s">
        <v>358</v>
      </c>
      <c r="C1721" s="124">
        <v>46372</v>
      </c>
      <c r="D1721" s="124" t="s">
        <v>471</v>
      </c>
      <c r="E1721" s="21">
        <v>0.96448588999999996</v>
      </c>
      <c r="F1721" s="10"/>
      <c r="G1721" s="14">
        <v>6500000</v>
      </c>
      <c r="H1721" s="14">
        <v>6269158.2800000003</v>
      </c>
      <c r="I1721" s="14">
        <v>6500000</v>
      </c>
      <c r="J1721" s="14">
        <v>6269158.2800000003</v>
      </c>
      <c r="K1721" s="12">
        <v>90000279</v>
      </c>
      <c r="L1721" s="10" t="s">
        <v>101</v>
      </c>
      <c r="M1721" s="10" t="s">
        <v>102</v>
      </c>
      <c r="N1721" s="124" t="s">
        <v>478</v>
      </c>
      <c r="O1721" s="124" t="s">
        <v>478</v>
      </c>
      <c r="P1721" s="21">
        <v>28</v>
      </c>
      <c r="Q1721" s="10" t="s">
        <v>54</v>
      </c>
      <c r="R1721" s="10" t="s">
        <v>28</v>
      </c>
      <c r="S1721" s="10"/>
      <c r="T1721" s="10"/>
      <c r="U1721" s="10" t="s">
        <v>2127</v>
      </c>
      <c r="V1721" s="10" t="s">
        <v>2127</v>
      </c>
      <c r="W1721" s="50">
        <f>+J1721/$W$2</f>
        <v>7.6726007396659183E-5</v>
      </c>
    </row>
    <row r="1722" spans="1:23">
      <c r="A1722" s="10" t="s">
        <v>621</v>
      </c>
      <c r="B1722" s="10" t="s">
        <v>358</v>
      </c>
      <c r="C1722" s="124">
        <v>46372</v>
      </c>
      <c r="D1722" s="124" t="s">
        <v>471</v>
      </c>
      <c r="E1722" s="21">
        <v>0.96448588999999996</v>
      </c>
      <c r="F1722" s="10"/>
      <c r="G1722" s="14">
        <v>16500000</v>
      </c>
      <c r="H1722" s="14">
        <v>15914017.17</v>
      </c>
      <c r="I1722" s="14">
        <v>16500000</v>
      </c>
      <c r="J1722" s="14">
        <v>15914017.17</v>
      </c>
      <c r="K1722" s="12">
        <v>90000318</v>
      </c>
      <c r="L1722" s="10" t="s">
        <v>101</v>
      </c>
      <c r="M1722" s="10" t="s">
        <v>102</v>
      </c>
      <c r="N1722" s="124" t="s">
        <v>478</v>
      </c>
      <c r="O1722" s="124" t="s">
        <v>478</v>
      </c>
      <c r="P1722" s="21">
        <v>28</v>
      </c>
      <c r="Q1722" s="10" t="s">
        <v>54</v>
      </c>
      <c r="R1722" s="10" t="s">
        <v>28</v>
      </c>
      <c r="S1722" s="10"/>
      <c r="T1722" s="10"/>
      <c r="U1722" s="10" t="s">
        <v>2128</v>
      </c>
      <c r="V1722" s="10" t="s">
        <v>2128</v>
      </c>
      <c r="W1722" s="50">
        <f>+J1722/$W$2</f>
        <v>1.9476601874789183E-4</v>
      </c>
    </row>
    <row r="1723" spans="1:23">
      <c r="A1723" s="10" t="s">
        <v>621</v>
      </c>
      <c r="B1723" s="10" t="s">
        <v>358</v>
      </c>
      <c r="C1723" s="124">
        <v>46372</v>
      </c>
      <c r="D1723" s="124" t="s">
        <v>471</v>
      </c>
      <c r="E1723" s="21">
        <v>0.96448588999999996</v>
      </c>
      <c r="F1723" s="10"/>
      <c r="G1723" s="14">
        <v>16500000</v>
      </c>
      <c r="H1723" s="14">
        <v>15914017.17</v>
      </c>
      <c r="I1723" s="14">
        <v>16500000</v>
      </c>
      <c r="J1723" s="14">
        <v>15914017.17</v>
      </c>
      <c r="K1723" s="12">
        <v>90016966</v>
      </c>
      <c r="L1723" s="10" t="s">
        <v>101</v>
      </c>
      <c r="M1723" s="10" t="s">
        <v>102</v>
      </c>
      <c r="N1723" s="124" t="s">
        <v>478</v>
      </c>
      <c r="O1723" s="124" t="s">
        <v>478</v>
      </c>
      <c r="P1723" s="21">
        <v>28</v>
      </c>
      <c r="Q1723" s="10" t="s">
        <v>54</v>
      </c>
      <c r="R1723" s="10" t="s">
        <v>28</v>
      </c>
      <c r="S1723" s="10"/>
      <c r="T1723" s="10"/>
      <c r="U1723" s="10" t="s">
        <v>2129</v>
      </c>
      <c r="V1723" s="10" t="s">
        <v>2129</v>
      </c>
      <c r="W1723" s="50">
        <f>+J1723/$W$2</f>
        <v>1.9476601874789183E-4</v>
      </c>
    </row>
    <row r="1724" spans="1:23">
      <c r="A1724" s="10" t="s">
        <v>621</v>
      </c>
      <c r="B1724" s="10" t="s">
        <v>358</v>
      </c>
      <c r="C1724" s="124">
        <v>46372</v>
      </c>
      <c r="D1724" s="124" t="s">
        <v>471</v>
      </c>
      <c r="E1724" s="21">
        <v>0.96448588999999996</v>
      </c>
      <c r="F1724" s="10"/>
      <c r="G1724" s="14">
        <v>13000000</v>
      </c>
      <c r="H1724" s="14">
        <v>12538316.560000001</v>
      </c>
      <c r="I1724" s="14">
        <v>13000000</v>
      </c>
      <c r="J1724" s="14">
        <v>12538316.560000001</v>
      </c>
      <c r="K1724" s="12">
        <v>90000331</v>
      </c>
      <c r="L1724" s="10" t="s">
        <v>101</v>
      </c>
      <c r="M1724" s="10" t="s">
        <v>102</v>
      </c>
      <c r="N1724" s="124" t="s">
        <v>478</v>
      </c>
      <c r="O1724" s="124" t="s">
        <v>478</v>
      </c>
      <c r="P1724" s="21">
        <v>28</v>
      </c>
      <c r="Q1724" s="10" t="s">
        <v>54</v>
      </c>
      <c r="R1724" s="10" t="s">
        <v>28</v>
      </c>
      <c r="S1724" s="10"/>
      <c r="T1724" s="10"/>
      <c r="U1724" s="10" t="s">
        <v>2130</v>
      </c>
      <c r="V1724" s="10" t="s">
        <v>2130</v>
      </c>
      <c r="W1724" s="50">
        <f>+J1724/$W$2</f>
        <v>1.5345201479331837E-4</v>
      </c>
    </row>
    <row r="1725" spans="1:23">
      <c r="A1725" s="10" t="s">
        <v>3317</v>
      </c>
      <c r="B1725" s="10" t="s">
        <v>358</v>
      </c>
      <c r="C1725" s="124">
        <v>46372</v>
      </c>
      <c r="D1725" s="124" t="s">
        <v>471</v>
      </c>
      <c r="E1725" s="21">
        <v>0.95840778999999998</v>
      </c>
      <c r="F1725" s="10"/>
      <c r="G1725" s="14">
        <v>700000</v>
      </c>
      <c r="H1725" s="14">
        <v>670885.44999999995</v>
      </c>
      <c r="I1725" s="14">
        <v>700000</v>
      </c>
      <c r="J1725" s="14">
        <v>670885.44999999995</v>
      </c>
      <c r="K1725" s="12">
        <v>11943273</v>
      </c>
      <c r="L1725" s="10" t="s">
        <v>101</v>
      </c>
      <c r="M1725" s="10" t="s">
        <v>102</v>
      </c>
      <c r="N1725" s="124" t="s">
        <v>417</v>
      </c>
      <c r="O1725" s="124" t="s">
        <v>417</v>
      </c>
      <c r="P1725" s="21">
        <v>33</v>
      </c>
      <c r="Q1725" s="10" t="s">
        <v>54</v>
      </c>
      <c r="R1725" s="10" t="s">
        <v>28</v>
      </c>
      <c r="S1725" s="10"/>
      <c r="T1725" s="10"/>
      <c r="U1725" s="10" t="s">
        <v>3287</v>
      </c>
      <c r="V1725" s="10" t="s">
        <v>3287</v>
      </c>
      <c r="W1725" s="50">
        <f>+J1725/$W$2</f>
        <v>8.2107293674855222E-6</v>
      </c>
    </row>
    <row r="1726" spans="1:23">
      <c r="A1726" s="10" t="s">
        <v>3599</v>
      </c>
      <c r="B1726" s="10" t="s">
        <v>358</v>
      </c>
      <c r="C1726" s="124">
        <v>46372</v>
      </c>
      <c r="D1726" s="124" t="s">
        <v>471</v>
      </c>
      <c r="E1726" s="21">
        <v>0.95720148999999999</v>
      </c>
      <c r="F1726" s="10"/>
      <c r="G1726" s="14">
        <v>1416494.71</v>
      </c>
      <c r="H1726" s="14">
        <v>1355870.84</v>
      </c>
      <c r="I1726" s="14">
        <v>1416494.71</v>
      </c>
      <c r="J1726" s="14">
        <v>1355870.84</v>
      </c>
      <c r="K1726" s="12">
        <v>253</v>
      </c>
      <c r="L1726" s="10" t="s">
        <v>101</v>
      </c>
      <c r="M1726" s="10" t="s">
        <v>102</v>
      </c>
      <c r="N1726" s="124" t="s">
        <v>451</v>
      </c>
      <c r="O1726" s="124" t="s">
        <v>451</v>
      </c>
      <c r="P1726" s="21">
        <v>34</v>
      </c>
      <c r="Q1726" s="10" t="s">
        <v>54</v>
      </c>
      <c r="R1726" s="10" t="s">
        <v>28</v>
      </c>
      <c r="S1726" s="10"/>
      <c r="T1726" s="10"/>
      <c r="U1726" s="10" t="s">
        <v>3473</v>
      </c>
      <c r="V1726" s="10" t="s">
        <v>3473</v>
      </c>
      <c r="W1726" s="50">
        <f>+J1726/$W$2</f>
        <v>1.6594022905855632E-5</v>
      </c>
    </row>
    <row r="1727" spans="1:23">
      <c r="A1727" s="10" t="s">
        <v>621</v>
      </c>
      <c r="B1727" s="10" t="s">
        <v>358</v>
      </c>
      <c r="C1727" s="124">
        <v>46372</v>
      </c>
      <c r="D1727" s="124" t="s">
        <v>471</v>
      </c>
      <c r="E1727" s="21">
        <v>0.96448588999999996</v>
      </c>
      <c r="F1727" s="10"/>
      <c r="G1727" s="14">
        <v>13200000</v>
      </c>
      <c r="H1727" s="14">
        <v>12731213.73</v>
      </c>
      <c r="I1727" s="14">
        <v>13200000</v>
      </c>
      <c r="J1727" s="14">
        <v>12731213.73</v>
      </c>
      <c r="K1727" s="12">
        <v>90000288</v>
      </c>
      <c r="L1727" s="10" t="s">
        <v>101</v>
      </c>
      <c r="M1727" s="10" t="s">
        <v>102</v>
      </c>
      <c r="N1727" s="124" t="s">
        <v>478</v>
      </c>
      <c r="O1727" s="124" t="s">
        <v>478</v>
      </c>
      <c r="P1727" s="21">
        <v>28</v>
      </c>
      <c r="Q1727" s="10" t="s">
        <v>54</v>
      </c>
      <c r="R1727" s="10" t="s">
        <v>28</v>
      </c>
      <c r="S1727" s="10"/>
      <c r="T1727" s="10"/>
      <c r="U1727" s="10" t="s">
        <v>2131</v>
      </c>
      <c r="V1727" s="10" t="s">
        <v>2131</v>
      </c>
      <c r="W1727" s="50">
        <f>+J1727/$W$2</f>
        <v>1.5581281492488158E-4</v>
      </c>
    </row>
    <row r="1728" spans="1:23">
      <c r="A1728" s="10" t="s">
        <v>621</v>
      </c>
      <c r="B1728" s="10" t="s">
        <v>358</v>
      </c>
      <c r="C1728" s="124">
        <v>46372</v>
      </c>
      <c r="D1728" s="124" t="s">
        <v>471</v>
      </c>
      <c r="E1728" s="21">
        <v>0.96448588999999996</v>
      </c>
      <c r="F1728" s="10"/>
      <c r="G1728" s="14">
        <v>9300000</v>
      </c>
      <c r="H1728" s="14">
        <v>8969718.7699999996</v>
      </c>
      <c r="I1728" s="14">
        <v>9300000</v>
      </c>
      <c r="J1728" s="14">
        <v>8969718.7699999996</v>
      </c>
      <c r="K1728" s="12">
        <v>90000358</v>
      </c>
      <c r="L1728" s="10" t="s">
        <v>101</v>
      </c>
      <c r="M1728" s="10" t="s">
        <v>102</v>
      </c>
      <c r="N1728" s="124" t="s">
        <v>478</v>
      </c>
      <c r="O1728" s="124" t="s">
        <v>478</v>
      </c>
      <c r="P1728" s="21">
        <v>28</v>
      </c>
      <c r="Q1728" s="10" t="s">
        <v>54</v>
      </c>
      <c r="R1728" s="10" t="s">
        <v>28</v>
      </c>
      <c r="S1728" s="10"/>
      <c r="T1728" s="10"/>
      <c r="U1728" s="10" t="s">
        <v>2132</v>
      </c>
      <c r="V1728" s="10" t="s">
        <v>2132</v>
      </c>
      <c r="W1728" s="50">
        <f>+J1728/$W$2</f>
        <v>1.0977721058479522E-4</v>
      </c>
    </row>
    <row r="1729" spans="1:29">
      <c r="A1729" s="10" t="s">
        <v>621</v>
      </c>
      <c r="B1729" s="10" t="s">
        <v>358</v>
      </c>
      <c r="C1729" s="124">
        <v>46372</v>
      </c>
      <c r="D1729" s="124" t="s">
        <v>471</v>
      </c>
      <c r="E1729" s="21">
        <v>0.96448588999999996</v>
      </c>
      <c r="F1729" s="10"/>
      <c r="G1729" s="14">
        <v>14600000</v>
      </c>
      <c r="H1729" s="14">
        <v>14081493.98</v>
      </c>
      <c r="I1729" s="14">
        <v>14600000</v>
      </c>
      <c r="J1729" s="14">
        <v>14081493.98</v>
      </c>
      <c r="K1729" s="12">
        <v>90000325</v>
      </c>
      <c r="L1729" s="10" t="s">
        <v>101</v>
      </c>
      <c r="M1729" s="10" t="s">
        <v>102</v>
      </c>
      <c r="N1729" s="124" t="s">
        <v>478</v>
      </c>
      <c r="O1729" s="124" t="s">
        <v>478</v>
      </c>
      <c r="P1729" s="21">
        <v>28</v>
      </c>
      <c r="Q1729" s="10" t="s">
        <v>54</v>
      </c>
      <c r="R1729" s="10" t="s">
        <v>28</v>
      </c>
      <c r="S1729" s="10"/>
      <c r="T1729" s="10"/>
      <c r="U1729" s="10" t="s">
        <v>2133</v>
      </c>
      <c r="V1729" s="10" t="s">
        <v>2133</v>
      </c>
      <c r="W1729" s="50">
        <f>+J1729/$W$2</f>
        <v>1.7233841658014285E-4</v>
      </c>
    </row>
    <row r="1730" spans="1:29">
      <c r="A1730" s="10" t="s">
        <v>621</v>
      </c>
      <c r="B1730" s="10" t="s">
        <v>358</v>
      </c>
      <c r="C1730" s="124">
        <v>46372</v>
      </c>
      <c r="D1730" s="124" t="s">
        <v>471</v>
      </c>
      <c r="E1730" s="21">
        <v>0.96448588999999996</v>
      </c>
      <c r="F1730" s="10"/>
      <c r="G1730" s="14">
        <v>15300000</v>
      </c>
      <c r="H1730" s="14">
        <v>14756634.1</v>
      </c>
      <c r="I1730" s="14">
        <v>15300000</v>
      </c>
      <c r="J1730" s="14">
        <v>14756634.1</v>
      </c>
      <c r="K1730" s="12">
        <v>90000368</v>
      </c>
      <c r="L1730" s="10" t="s">
        <v>101</v>
      </c>
      <c r="M1730" s="10" t="s">
        <v>102</v>
      </c>
      <c r="N1730" s="124" t="s">
        <v>478</v>
      </c>
      <c r="O1730" s="124" t="s">
        <v>478</v>
      </c>
      <c r="P1730" s="21">
        <v>28</v>
      </c>
      <c r="Q1730" s="10" t="s">
        <v>54</v>
      </c>
      <c r="R1730" s="10" t="s">
        <v>28</v>
      </c>
      <c r="S1730" s="10"/>
      <c r="T1730" s="10"/>
      <c r="U1730" s="10" t="s">
        <v>2134</v>
      </c>
      <c r="V1730" s="10" t="s">
        <v>2134</v>
      </c>
      <c r="W1730" s="50">
        <f>+J1730/$W$2</f>
        <v>1.8060121734658023E-4</v>
      </c>
    </row>
    <row r="1731" spans="1:29">
      <c r="A1731" s="10" t="s">
        <v>621</v>
      </c>
      <c r="B1731" s="10" t="s">
        <v>358</v>
      </c>
      <c r="C1731" s="124">
        <v>46372</v>
      </c>
      <c r="D1731" s="124" t="s">
        <v>471</v>
      </c>
      <c r="E1731" s="21">
        <v>0.96448588999999996</v>
      </c>
      <c r="F1731" s="10"/>
      <c r="G1731" s="14">
        <v>16500000</v>
      </c>
      <c r="H1731" s="14">
        <v>15914017.17</v>
      </c>
      <c r="I1731" s="14">
        <v>16500000</v>
      </c>
      <c r="J1731" s="14">
        <v>15914017.17</v>
      </c>
      <c r="K1731" s="12">
        <v>90016598</v>
      </c>
      <c r="L1731" s="10" t="s">
        <v>101</v>
      </c>
      <c r="M1731" s="10" t="s">
        <v>102</v>
      </c>
      <c r="N1731" s="124" t="s">
        <v>478</v>
      </c>
      <c r="O1731" s="124" t="s">
        <v>478</v>
      </c>
      <c r="P1731" s="21">
        <v>28</v>
      </c>
      <c r="Q1731" s="10" t="s">
        <v>54</v>
      </c>
      <c r="R1731" s="10" t="s">
        <v>28</v>
      </c>
      <c r="S1731" s="10"/>
      <c r="T1731" s="10"/>
      <c r="U1731" s="10" t="s">
        <v>2135</v>
      </c>
      <c r="V1731" s="10" t="s">
        <v>2135</v>
      </c>
      <c r="W1731" s="50">
        <f>+J1731/$W$2</f>
        <v>1.9476601874789183E-4</v>
      </c>
      <c r="AC1731" s="47"/>
    </row>
    <row r="1732" spans="1:29">
      <c r="A1732" s="10" t="s">
        <v>621</v>
      </c>
      <c r="B1732" s="10" t="s">
        <v>358</v>
      </c>
      <c r="C1732" s="124">
        <v>46372</v>
      </c>
      <c r="D1732" s="124" t="s">
        <v>471</v>
      </c>
      <c r="E1732" s="21">
        <v>0.96448588999999996</v>
      </c>
      <c r="F1732" s="10"/>
      <c r="G1732" s="14">
        <v>13100000</v>
      </c>
      <c r="H1732" s="14">
        <v>12634765.140000001</v>
      </c>
      <c r="I1732" s="14">
        <v>13100000</v>
      </c>
      <c r="J1732" s="14">
        <v>12634765.140000001</v>
      </c>
      <c r="K1732" s="12">
        <v>90000418</v>
      </c>
      <c r="L1732" s="10" t="s">
        <v>101</v>
      </c>
      <c r="M1732" s="10" t="s">
        <v>102</v>
      </c>
      <c r="N1732" s="124" t="s">
        <v>478</v>
      </c>
      <c r="O1732" s="124" t="s">
        <v>478</v>
      </c>
      <c r="P1732" s="21">
        <v>28</v>
      </c>
      <c r="Q1732" s="10" t="s">
        <v>54</v>
      </c>
      <c r="R1732" s="10" t="s">
        <v>28</v>
      </c>
      <c r="S1732" s="10"/>
      <c r="T1732" s="10"/>
      <c r="U1732" s="10" t="s">
        <v>2136</v>
      </c>
      <c r="V1732" s="10" t="s">
        <v>2136</v>
      </c>
      <c r="W1732" s="50">
        <f>+J1732/$W$2</f>
        <v>1.5463241479790675E-4</v>
      </c>
    </row>
    <row r="1733" spans="1:29">
      <c r="A1733" s="10" t="s">
        <v>621</v>
      </c>
      <c r="B1733" s="10" t="s">
        <v>358</v>
      </c>
      <c r="C1733" s="124">
        <v>46372</v>
      </c>
      <c r="D1733" s="124" t="s">
        <v>471</v>
      </c>
      <c r="E1733" s="21">
        <v>0.96448588999999996</v>
      </c>
      <c r="F1733" s="10"/>
      <c r="G1733" s="14">
        <v>11000000</v>
      </c>
      <c r="H1733" s="14">
        <v>10609344.76</v>
      </c>
      <c r="I1733" s="14">
        <v>11000000</v>
      </c>
      <c r="J1733" s="14">
        <v>10609344.76</v>
      </c>
      <c r="K1733" s="12">
        <v>90000244</v>
      </c>
      <c r="L1733" s="10" t="s">
        <v>101</v>
      </c>
      <c r="M1733" s="10" t="s">
        <v>102</v>
      </c>
      <c r="N1733" s="124" t="s">
        <v>478</v>
      </c>
      <c r="O1733" s="124" t="s">
        <v>478</v>
      </c>
      <c r="P1733" s="21">
        <v>28</v>
      </c>
      <c r="Q1733" s="10" t="s">
        <v>54</v>
      </c>
      <c r="R1733" s="10" t="s">
        <v>28</v>
      </c>
      <c r="S1733" s="10"/>
      <c r="T1733" s="10"/>
      <c r="U1733" s="10" t="s">
        <v>2137</v>
      </c>
      <c r="V1733" s="10" t="s">
        <v>2137</v>
      </c>
      <c r="W1733" s="50">
        <f>+J1733/$W$2</f>
        <v>1.2984401225382163E-4</v>
      </c>
      <c r="AC1733" s="47"/>
    </row>
    <row r="1734" spans="1:29">
      <c r="A1734" s="10" t="s">
        <v>621</v>
      </c>
      <c r="B1734" s="10" t="s">
        <v>358</v>
      </c>
      <c r="C1734" s="124">
        <v>46372</v>
      </c>
      <c r="D1734" s="124" t="s">
        <v>471</v>
      </c>
      <c r="E1734" s="21">
        <v>0.96448588999999996</v>
      </c>
      <c r="F1734" s="10"/>
      <c r="G1734" s="14">
        <v>16500000</v>
      </c>
      <c r="H1734" s="14">
        <v>15914017.17</v>
      </c>
      <c r="I1734" s="14">
        <v>16500000</v>
      </c>
      <c r="J1734" s="14">
        <v>15914017.17</v>
      </c>
      <c r="K1734" s="12">
        <v>90000275</v>
      </c>
      <c r="L1734" s="10" t="s">
        <v>101</v>
      </c>
      <c r="M1734" s="10" t="s">
        <v>102</v>
      </c>
      <c r="N1734" s="124" t="s">
        <v>478</v>
      </c>
      <c r="O1734" s="124" t="s">
        <v>478</v>
      </c>
      <c r="P1734" s="21">
        <v>28</v>
      </c>
      <c r="Q1734" s="10" t="s">
        <v>54</v>
      </c>
      <c r="R1734" s="10" t="s">
        <v>28</v>
      </c>
      <c r="S1734" s="10"/>
      <c r="T1734" s="10"/>
      <c r="U1734" s="10" t="s">
        <v>2138</v>
      </c>
      <c r="V1734" s="10" t="s">
        <v>2138</v>
      </c>
      <c r="W1734" s="50">
        <f>+J1734/$W$2</f>
        <v>1.9476601874789183E-4</v>
      </c>
    </row>
    <row r="1735" spans="1:29">
      <c r="A1735" s="10" t="s">
        <v>621</v>
      </c>
      <c r="B1735" s="10" t="s">
        <v>358</v>
      </c>
      <c r="C1735" s="124">
        <v>46372</v>
      </c>
      <c r="D1735" s="124" t="s">
        <v>471</v>
      </c>
      <c r="E1735" s="21">
        <v>0.96448588999999996</v>
      </c>
      <c r="F1735" s="10"/>
      <c r="G1735" s="14">
        <v>13200000</v>
      </c>
      <c r="H1735" s="14">
        <v>12731213.73</v>
      </c>
      <c r="I1735" s="14">
        <v>13200000</v>
      </c>
      <c r="J1735" s="14">
        <v>12731213.73</v>
      </c>
      <c r="K1735" s="12">
        <v>90000278</v>
      </c>
      <c r="L1735" s="10" t="s">
        <v>101</v>
      </c>
      <c r="M1735" s="10" t="s">
        <v>102</v>
      </c>
      <c r="N1735" s="124" t="s">
        <v>478</v>
      </c>
      <c r="O1735" s="124" t="s">
        <v>478</v>
      </c>
      <c r="P1735" s="21">
        <v>28</v>
      </c>
      <c r="Q1735" s="10" t="s">
        <v>54</v>
      </c>
      <c r="R1735" s="10" t="s">
        <v>28</v>
      </c>
      <c r="S1735" s="10"/>
      <c r="T1735" s="10"/>
      <c r="U1735" s="10" t="s">
        <v>2139</v>
      </c>
      <c r="V1735" s="10" t="s">
        <v>2139</v>
      </c>
      <c r="W1735" s="50">
        <f>+J1735/$W$2</f>
        <v>1.5581281492488158E-4</v>
      </c>
    </row>
    <row r="1736" spans="1:29">
      <c r="A1736" s="10" t="s">
        <v>621</v>
      </c>
      <c r="B1736" s="10" t="s">
        <v>358</v>
      </c>
      <c r="C1736" s="124">
        <v>46372</v>
      </c>
      <c r="D1736" s="124" t="s">
        <v>471</v>
      </c>
      <c r="E1736" s="21">
        <v>0.96448588999999996</v>
      </c>
      <c r="F1736" s="10"/>
      <c r="G1736" s="14">
        <v>16500000</v>
      </c>
      <c r="H1736" s="14">
        <v>15914017.17</v>
      </c>
      <c r="I1736" s="14">
        <v>16500000</v>
      </c>
      <c r="J1736" s="14">
        <v>15914017.17</v>
      </c>
      <c r="K1736" s="12">
        <v>90000283</v>
      </c>
      <c r="L1736" s="10" t="s">
        <v>101</v>
      </c>
      <c r="M1736" s="10" t="s">
        <v>102</v>
      </c>
      <c r="N1736" s="124" t="s">
        <v>478</v>
      </c>
      <c r="O1736" s="124" t="s">
        <v>478</v>
      </c>
      <c r="P1736" s="21">
        <v>28</v>
      </c>
      <c r="Q1736" s="10" t="s">
        <v>54</v>
      </c>
      <c r="R1736" s="10" t="s">
        <v>28</v>
      </c>
      <c r="S1736" s="10"/>
      <c r="T1736" s="10"/>
      <c r="U1736" s="10" t="s">
        <v>2140</v>
      </c>
      <c r="V1736" s="10" t="s">
        <v>2140</v>
      </c>
      <c r="W1736" s="50">
        <f>+J1736/$W$2</f>
        <v>1.9476601874789183E-4</v>
      </c>
    </row>
    <row r="1737" spans="1:29">
      <c r="A1737" s="10" t="s">
        <v>3779</v>
      </c>
      <c r="B1737" s="10" t="s">
        <v>358</v>
      </c>
      <c r="C1737" s="124">
        <v>46372</v>
      </c>
      <c r="D1737" s="124" t="s">
        <v>471</v>
      </c>
      <c r="E1737" s="21">
        <v>0.96326405999999998</v>
      </c>
      <c r="F1737" s="10"/>
      <c r="G1737" s="14">
        <v>993500</v>
      </c>
      <c r="H1737" s="14">
        <v>957002.84</v>
      </c>
      <c r="I1737" s="14">
        <v>993500</v>
      </c>
      <c r="J1737" s="14">
        <v>957002.84</v>
      </c>
      <c r="K1737" s="12">
        <v>726189</v>
      </c>
      <c r="L1737" s="10" t="s">
        <v>101</v>
      </c>
      <c r="M1737" s="10" t="s">
        <v>102</v>
      </c>
      <c r="N1737" s="124" t="s">
        <v>467</v>
      </c>
      <c r="O1737" s="124" t="s">
        <v>467</v>
      </c>
      <c r="P1737" s="21">
        <v>29</v>
      </c>
      <c r="Q1737" s="10" t="s">
        <v>54</v>
      </c>
      <c r="R1737" s="10" t="s">
        <v>28</v>
      </c>
      <c r="S1737" s="10"/>
      <c r="T1737" s="10"/>
      <c r="U1737" s="10" t="s">
        <v>3736</v>
      </c>
      <c r="V1737" s="10" t="s">
        <v>3736</v>
      </c>
      <c r="W1737" s="50">
        <f>+J1737/$W$2</f>
        <v>1.1712418749214263E-5</v>
      </c>
    </row>
    <row r="1738" spans="1:29">
      <c r="A1738" s="10" t="s">
        <v>3093</v>
      </c>
      <c r="B1738" s="10" t="s">
        <v>358</v>
      </c>
      <c r="C1738" s="124">
        <v>46372</v>
      </c>
      <c r="D1738" s="124" t="s">
        <v>471</v>
      </c>
      <c r="E1738" s="21">
        <v>0.9620455</v>
      </c>
      <c r="F1738" s="10"/>
      <c r="G1738" s="14">
        <v>3930000</v>
      </c>
      <c r="H1738" s="14">
        <v>3780838.8</v>
      </c>
      <c r="I1738" s="14">
        <v>3930000</v>
      </c>
      <c r="J1738" s="14">
        <v>3780838.8</v>
      </c>
      <c r="K1738" s="12">
        <v>90000103</v>
      </c>
      <c r="L1738" s="10" t="s">
        <v>101</v>
      </c>
      <c r="M1738" s="10" t="s">
        <v>102</v>
      </c>
      <c r="N1738" s="124" t="s">
        <v>446</v>
      </c>
      <c r="O1738" s="124" t="s">
        <v>446</v>
      </c>
      <c r="P1738" s="21">
        <v>30</v>
      </c>
      <c r="Q1738" s="10" t="s">
        <v>54</v>
      </c>
      <c r="R1738" s="10" t="s">
        <v>28</v>
      </c>
      <c r="S1738" s="10"/>
      <c r="T1738" s="10"/>
      <c r="U1738" s="10" t="s">
        <v>3099</v>
      </c>
      <c r="V1738" s="10" t="s">
        <v>3099</v>
      </c>
      <c r="W1738" s="50">
        <f>+J1738/$W$2</f>
        <v>4.6272346745467083E-5</v>
      </c>
    </row>
    <row r="1739" spans="1:29">
      <c r="A1739" s="10" t="s">
        <v>3100</v>
      </c>
      <c r="B1739" s="10" t="s">
        <v>358</v>
      </c>
      <c r="C1739" s="124">
        <v>46372</v>
      </c>
      <c r="D1739" s="124" t="s">
        <v>471</v>
      </c>
      <c r="E1739" s="21">
        <v>0.95961737000000003</v>
      </c>
      <c r="F1739" s="10"/>
      <c r="G1739" s="14">
        <v>5286601</v>
      </c>
      <c r="H1739" s="14">
        <v>5073114.1399999997</v>
      </c>
      <c r="I1739" s="14">
        <v>5286601</v>
      </c>
      <c r="J1739" s="14">
        <v>5073114.1399999997</v>
      </c>
      <c r="K1739" s="12">
        <v>41055286</v>
      </c>
      <c r="L1739" s="10" t="s">
        <v>101</v>
      </c>
      <c r="M1739" s="10" t="s">
        <v>102</v>
      </c>
      <c r="N1739" s="124" t="s">
        <v>469</v>
      </c>
      <c r="O1739" s="124" t="s">
        <v>469</v>
      </c>
      <c r="P1739" s="21">
        <v>32</v>
      </c>
      <c r="Q1739" s="10" t="s">
        <v>54</v>
      </c>
      <c r="R1739" s="10" t="s">
        <v>28</v>
      </c>
      <c r="S1739" s="10"/>
      <c r="T1739" s="10"/>
      <c r="U1739" s="10" t="s">
        <v>4004</v>
      </c>
      <c r="V1739" s="10" t="s">
        <v>4004</v>
      </c>
      <c r="W1739" s="50">
        <f>+J1739/$W$2</f>
        <v>6.2088046854949763E-5</v>
      </c>
    </row>
    <row r="1740" spans="1:29">
      <c r="A1740" s="10" t="s">
        <v>2320</v>
      </c>
      <c r="B1740" s="10" t="s">
        <v>358</v>
      </c>
      <c r="C1740" s="124">
        <v>46372</v>
      </c>
      <c r="D1740" s="124" t="s">
        <v>471</v>
      </c>
      <c r="E1740" s="21">
        <v>0.96326409999999996</v>
      </c>
      <c r="F1740" s="10"/>
      <c r="G1740" s="14">
        <v>70000000</v>
      </c>
      <c r="H1740" s="14">
        <v>67428486.840000004</v>
      </c>
      <c r="I1740" s="14">
        <v>70000000</v>
      </c>
      <c r="J1740" s="14">
        <v>67428486.840000004</v>
      </c>
      <c r="K1740" s="12">
        <v>83299239</v>
      </c>
      <c r="L1740" s="10" t="s">
        <v>101</v>
      </c>
      <c r="M1740" s="10" t="s">
        <v>102</v>
      </c>
      <c r="N1740" s="124" t="s">
        <v>477</v>
      </c>
      <c r="O1740" s="124" t="s">
        <v>477</v>
      </c>
      <c r="P1740" s="21">
        <v>29</v>
      </c>
      <c r="Q1740" s="10" t="s">
        <v>54</v>
      </c>
      <c r="R1740" s="10" t="s">
        <v>28</v>
      </c>
      <c r="S1740" s="10"/>
      <c r="T1740" s="10"/>
      <c r="U1740" s="10" t="s">
        <v>2375</v>
      </c>
      <c r="V1740" s="10" t="s">
        <v>2375</v>
      </c>
      <c r="W1740" s="50">
        <f>+J1740/$W$2</f>
        <v>8.2523336450700951E-4</v>
      </c>
    </row>
    <row r="1741" spans="1:29">
      <c r="A1741" s="10" t="s">
        <v>270</v>
      </c>
      <c r="B1741" s="10" t="s">
        <v>358</v>
      </c>
      <c r="C1741" s="124">
        <v>46372</v>
      </c>
      <c r="D1741" s="124" t="s">
        <v>471</v>
      </c>
      <c r="E1741" s="21">
        <v>0.96326405000000004</v>
      </c>
      <c r="F1741" s="10"/>
      <c r="G1741" s="14">
        <v>4396334.17</v>
      </c>
      <c r="H1741" s="14">
        <v>4234830.67</v>
      </c>
      <c r="I1741" s="14">
        <v>4396334.17</v>
      </c>
      <c r="J1741" s="14">
        <v>4234830.67</v>
      </c>
      <c r="K1741" s="12">
        <v>90000109</v>
      </c>
      <c r="L1741" s="10" t="s">
        <v>101</v>
      </c>
      <c r="M1741" s="10" t="s">
        <v>102</v>
      </c>
      <c r="N1741" s="124" t="s">
        <v>333</v>
      </c>
      <c r="O1741" s="124" t="s">
        <v>333</v>
      </c>
      <c r="P1741" s="21">
        <v>29</v>
      </c>
      <c r="Q1741" s="10" t="s">
        <v>54</v>
      </c>
      <c r="R1741" s="10" t="s">
        <v>28</v>
      </c>
      <c r="S1741" s="10"/>
      <c r="T1741" s="10"/>
      <c r="U1741" s="10" t="s">
        <v>642</v>
      </c>
      <c r="V1741" s="10" t="s">
        <v>642</v>
      </c>
      <c r="W1741" s="50">
        <f>+J1741/$W$2</f>
        <v>5.1828592419909223E-5</v>
      </c>
    </row>
    <row r="1742" spans="1:29">
      <c r="A1742" s="10" t="s">
        <v>150</v>
      </c>
      <c r="B1742" s="10" t="s">
        <v>358</v>
      </c>
      <c r="C1742" s="124">
        <v>46372</v>
      </c>
      <c r="D1742" s="124" t="s">
        <v>471</v>
      </c>
      <c r="E1742" s="21">
        <v>0.96449812000000001</v>
      </c>
      <c r="F1742" s="10"/>
      <c r="G1742" s="14">
        <v>10000000</v>
      </c>
      <c r="H1742" s="14">
        <v>9644981.2100000009</v>
      </c>
      <c r="I1742" s="14">
        <v>10000000</v>
      </c>
      <c r="J1742" s="14">
        <v>9644981.2100000009</v>
      </c>
      <c r="K1742" s="12">
        <v>69881537</v>
      </c>
      <c r="L1742" s="10" t="s">
        <v>101</v>
      </c>
      <c r="M1742" s="10" t="s">
        <v>102</v>
      </c>
      <c r="N1742" s="124" t="s">
        <v>478</v>
      </c>
      <c r="O1742" s="124" t="s">
        <v>478</v>
      </c>
      <c r="P1742" s="21">
        <v>27.99</v>
      </c>
      <c r="Q1742" s="10" t="s">
        <v>54</v>
      </c>
      <c r="R1742" s="10" t="s">
        <v>28</v>
      </c>
      <c r="S1742" s="10"/>
      <c r="T1742" s="10"/>
      <c r="U1742" s="10" t="s">
        <v>2144</v>
      </c>
      <c r="V1742" s="10" t="s">
        <v>2144</v>
      </c>
      <c r="W1742" s="50">
        <f>+J1742/$W$2</f>
        <v>1.180415083823819E-4</v>
      </c>
    </row>
    <row r="1743" spans="1:29">
      <c r="A1743" s="10" t="s">
        <v>3319</v>
      </c>
      <c r="B1743" s="10" t="s">
        <v>358</v>
      </c>
      <c r="C1743" s="124">
        <v>46372</v>
      </c>
      <c r="D1743" s="124" t="s">
        <v>471</v>
      </c>
      <c r="E1743" s="21">
        <v>0.95840780999999997</v>
      </c>
      <c r="F1743" s="10"/>
      <c r="G1743" s="14">
        <v>1800000</v>
      </c>
      <c r="H1743" s="14">
        <v>1725134.05</v>
      </c>
      <c r="I1743" s="14">
        <v>1800000</v>
      </c>
      <c r="J1743" s="14">
        <v>1725134.05</v>
      </c>
      <c r="K1743" s="12">
        <v>30000441</v>
      </c>
      <c r="L1743" s="10" t="s">
        <v>101</v>
      </c>
      <c r="M1743" s="10" t="s">
        <v>102</v>
      </c>
      <c r="N1743" s="124" t="s">
        <v>417</v>
      </c>
      <c r="O1743" s="124" t="s">
        <v>417</v>
      </c>
      <c r="P1743" s="21">
        <v>33</v>
      </c>
      <c r="Q1743" s="10" t="s">
        <v>54</v>
      </c>
      <c r="R1743" s="10" t="s">
        <v>28</v>
      </c>
      <c r="S1743" s="10"/>
      <c r="T1743" s="10"/>
      <c r="U1743" s="10" t="s">
        <v>3296</v>
      </c>
      <c r="V1743" s="10" t="s">
        <v>3296</v>
      </c>
      <c r="W1743" s="50">
        <f>+J1743/$W$2</f>
        <v>2.1113304524914406E-5</v>
      </c>
    </row>
    <row r="1744" spans="1:29">
      <c r="A1744" s="10" t="s">
        <v>348</v>
      </c>
      <c r="B1744" s="10" t="s">
        <v>358</v>
      </c>
      <c r="C1744" s="124">
        <v>46372</v>
      </c>
      <c r="D1744" s="124" t="s">
        <v>471</v>
      </c>
      <c r="E1744" s="21">
        <v>0.95961722999999999</v>
      </c>
      <c r="F1744" s="10"/>
      <c r="G1744" s="14">
        <v>530200000</v>
      </c>
      <c r="H1744" s="14">
        <v>508789053.54000002</v>
      </c>
      <c r="I1744" s="14">
        <v>530200000</v>
      </c>
      <c r="J1744" s="14">
        <v>508789053.54000002</v>
      </c>
      <c r="K1744" s="12">
        <v>182</v>
      </c>
      <c r="L1744" s="10" t="s">
        <v>101</v>
      </c>
      <c r="M1744" s="10" t="s">
        <v>102</v>
      </c>
      <c r="N1744" s="124" t="s">
        <v>480</v>
      </c>
      <c r="O1744" s="124" t="s">
        <v>480</v>
      </c>
      <c r="P1744" s="21">
        <v>32</v>
      </c>
      <c r="Q1744" s="10" t="s">
        <v>54</v>
      </c>
      <c r="R1744" s="10" t="s">
        <v>28</v>
      </c>
      <c r="S1744" s="10"/>
      <c r="T1744" s="10"/>
      <c r="U1744" s="10" t="s">
        <v>1518</v>
      </c>
      <c r="V1744" s="10" t="s">
        <v>1518</v>
      </c>
      <c r="W1744" s="50">
        <f>+J1744/$W$2</f>
        <v>6.2268889923846786E-3</v>
      </c>
    </row>
    <row r="1745" spans="1:29">
      <c r="A1745" s="10" t="s">
        <v>2443</v>
      </c>
      <c r="B1745" s="10" t="s">
        <v>358</v>
      </c>
      <c r="C1745" s="124">
        <v>46372</v>
      </c>
      <c r="D1745" s="124" t="s">
        <v>471</v>
      </c>
      <c r="E1745" s="21">
        <v>0.96204540999999999</v>
      </c>
      <c r="F1745" s="10"/>
      <c r="G1745" s="14">
        <v>700000</v>
      </c>
      <c r="H1745" s="14">
        <v>673431.79</v>
      </c>
      <c r="I1745" s="14">
        <v>700000</v>
      </c>
      <c r="J1745" s="14">
        <v>673431.79</v>
      </c>
      <c r="K1745" s="12">
        <v>69995902</v>
      </c>
      <c r="L1745" s="10" t="s">
        <v>101</v>
      </c>
      <c r="M1745" s="10" t="s">
        <v>102</v>
      </c>
      <c r="N1745" s="124" t="s">
        <v>477</v>
      </c>
      <c r="O1745" s="124" t="s">
        <v>477</v>
      </c>
      <c r="P1745" s="21">
        <v>30</v>
      </c>
      <c r="Q1745" s="10" t="s">
        <v>54</v>
      </c>
      <c r="R1745" s="10" t="s">
        <v>28</v>
      </c>
      <c r="S1745" s="10"/>
      <c r="T1745" s="10"/>
      <c r="U1745" s="10" t="s">
        <v>2424</v>
      </c>
      <c r="V1745" s="10" t="s">
        <v>2424</v>
      </c>
      <c r="W1745" s="50">
        <f>+J1745/$W$2</f>
        <v>8.241893120727754E-6</v>
      </c>
    </row>
    <row r="1746" spans="1:29">
      <c r="A1746" s="10" t="s">
        <v>2486</v>
      </c>
      <c r="B1746" s="10" t="s">
        <v>358</v>
      </c>
      <c r="C1746" s="124">
        <v>46372</v>
      </c>
      <c r="D1746" s="124" t="s">
        <v>471</v>
      </c>
      <c r="E1746" s="21">
        <v>0.95840780000000003</v>
      </c>
      <c r="F1746" s="10"/>
      <c r="G1746" s="14">
        <v>60000000</v>
      </c>
      <c r="H1746" s="14">
        <v>57504467.729999997</v>
      </c>
      <c r="I1746" s="14">
        <v>60000000</v>
      </c>
      <c r="J1746" s="14">
        <v>57504467.729999997</v>
      </c>
      <c r="K1746" s="12">
        <v>20864</v>
      </c>
      <c r="L1746" s="10" t="s">
        <v>101</v>
      </c>
      <c r="M1746" s="10" t="s">
        <v>102</v>
      </c>
      <c r="N1746" s="124" t="s">
        <v>577</v>
      </c>
      <c r="O1746" s="124" t="s">
        <v>577</v>
      </c>
      <c r="P1746" s="21">
        <v>33</v>
      </c>
      <c r="Q1746" s="10" t="s">
        <v>54</v>
      </c>
      <c r="R1746" s="10" t="s">
        <v>28</v>
      </c>
      <c r="S1746" s="10"/>
      <c r="T1746" s="10"/>
      <c r="U1746" s="10" t="s">
        <v>2468</v>
      </c>
      <c r="V1746" s="10" t="s">
        <v>2468</v>
      </c>
      <c r="W1746" s="50">
        <f>+J1746/$W$2</f>
        <v>7.0377681011316387E-4</v>
      </c>
    </row>
    <row r="1747" spans="1:29">
      <c r="A1747" s="10" t="s">
        <v>2486</v>
      </c>
      <c r="B1747" s="10" t="s">
        <v>358</v>
      </c>
      <c r="C1747" s="124">
        <v>46372</v>
      </c>
      <c r="D1747" s="124" t="s">
        <v>471</v>
      </c>
      <c r="E1747" s="21">
        <v>0.95840780000000003</v>
      </c>
      <c r="F1747" s="10"/>
      <c r="G1747" s="14">
        <v>100000000</v>
      </c>
      <c r="H1747" s="14">
        <v>95840779.549999997</v>
      </c>
      <c r="I1747" s="14">
        <v>100000000</v>
      </c>
      <c r="J1747" s="14">
        <v>95840779.549999997</v>
      </c>
      <c r="K1747" s="12">
        <v>20869</v>
      </c>
      <c r="L1747" s="10" t="s">
        <v>101</v>
      </c>
      <c r="M1747" s="10" t="s">
        <v>102</v>
      </c>
      <c r="N1747" s="124" t="s">
        <v>577</v>
      </c>
      <c r="O1747" s="124" t="s">
        <v>577</v>
      </c>
      <c r="P1747" s="21">
        <v>33</v>
      </c>
      <c r="Q1747" s="10" t="s">
        <v>54</v>
      </c>
      <c r="R1747" s="10" t="s">
        <v>28</v>
      </c>
      <c r="S1747" s="10"/>
      <c r="T1747" s="10"/>
      <c r="U1747" s="10" t="s">
        <v>2469</v>
      </c>
      <c r="V1747" s="10" t="s">
        <v>2469</v>
      </c>
      <c r="W1747" s="50">
        <f>+J1747/$W$2</f>
        <v>1.1729613501886066E-3</v>
      </c>
    </row>
    <row r="1748" spans="1:29">
      <c r="A1748" s="10" t="s">
        <v>2486</v>
      </c>
      <c r="B1748" s="10" t="s">
        <v>358</v>
      </c>
      <c r="C1748" s="124">
        <v>46372</v>
      </c>
      <c r="D1748" s="124" t="s">
        <v>471</v>
      </c>
      <c r="E1748" s="21">
        <v>0.95961744000000004</v>
      </c>
      <c r="F1748" s="10"/>
      <c r="G1748" s="14">
        <v>75000000</v>
      </c>
      <c r="H1748" s="14">
        <v>71971308.340000004</v>
      </c>
      <c r="I1748" s="14">
        <v>75000000</v>
      </c>
      <c r="J1748" s="14">
        <v>71971308.340000004</v>
      </c>
      <c r="K1748" s="12">
        <v>21572</v>
      </c>
      <c r="L1748" s="10" t="s">
        <v>101</v>
      </c>
      <c r="M1748" s="10" t="s">
        <v>102</v>
      </c>
      <c r="N1748" s="124" t="s">
        <v>466</v>
      </c>
      <c r="O1748" s="124" t="s">
        <v>466</v>
      </c>
      <c r="P1748" s="21">
        <v>32</v>
      </c>
      <c r="Q1748" s="10" t="s">
        <v>54</v>
      </c>
      <c r="R1748" s="10" t="s">
        <v>28</v>
      </c>
      <c r="S1748" s="10"/>
      <c r="T1748" s="10"/>
      <c r="U1748" s="10" t="s">
        <v>3630</v>
      </c>
      <c r="V1748" s="10" t="s">
        <v>3630</v>
      </c>
      <c r="W1748" s="50">
        <f>+J1748/$W$2</f>
        <v>8.8083134759234043E-4</v>
      </c>
    </row>
    <row r="1749" spans="1:29">
      <c r="A1749" s="10" t="s">
        <v>2541</v>
      </c>
      <c r="B1749" s="10" t="s">
        <v>358</v>
      </c>
      <c r="C1749" s="124">
        <v>46372</v>
      </c>
      <c r="D1749" s="124" t="s">
        <v>471</v>
      </c>
      <c r="E1749" s="21">
        <v>0.96204544000000003</v>
      </c>
      <c r="F1749" s="10"/>
      <c r="G1749" s="14">
        <v>5900000</v>
      </c>
      <c r="H1749" s="14">
        <v>5676068.1100000003</v>
      </c>
      <c r="I1749" s="14">
        <v>5900000</v>
      </c>
      <c r="J1749" s="14">
        <v>5676068.1100000003</v>
      </c>
      <c r="K1749" s="12">
        <v>1028</v>
      </c>
      <c r="L1749" s="10" t="s">
        <v>101</v>
      </c>
      <c r="M1749" s="10" t="s">
        <v>102</v>
      </c>
      <c r="N1749" s="124" t="s">
        <v>452</v>
      </c>
      <c r="O1749" s="124" t="s">
        <v>452</v>
      </c>
      <c r="P1749" s="21">
        <v>30</v>
      </c>
      <c r="Q1749" s="10" t="s">
        <v>54</v>
      </c>
      <c r="R1749" s="10" t="s">
        <v>28</v>
      </c>
      <c r="S1749" s="10"/>
      <c r="T1749" s="10"/>
      <c r="U1749" s="10" t="s">
        <v>2526</v>
      </c>
      <c r="V1749" s="10" t="s">
        <v>2526</v>
      </c>
      <c r="W1749" s="50">
        <f>+J1749/$W$2</f>
        <v>6.9467386902823789E-5</v>
      </c>
    </row>
    <row r="1750" spans="1:29">
      <c r="A1750" s="10" t="s">
        <v>400</v>
      </c>
      <c r="B1750" s="10" t="s">
        <v>358</v>
      </c>
      <c r="C1750" s="124">
        <v>46373</v>
      </c>
      <c r="D1750" s="124" t="s">
        <v>471</v>
      </c>
      <c r="E1750" s="21">
        <v>0.96502138999999998</v>
      </c>
      <c r="F1750" s="10"/>
      <c r="G1750" s="14">
        <v>2019362</v>
      </c>
      <c r="H1750" s="14">
        <v>1948727.52</v>
      </c>
      <c r="I1750" s="14">
        <v>2019362</v>
      </c>
      <c r="J1750" s="14">
        <v>1948727.52</v>
      </c>
      <c r="K1750" s="12">
        <v>40765638</v>
      </c>
      <c r="L1750" s="10" t="s">
        <v>101</v>
      </c>
      <c r="M1750" s="10" t="s">
        <v>102</v>
      </c>
      <c r="N1750" s="124" t="s">
        <v>395</v>
      </c>
      <c r="O1750" s="124" t="s">
        <v>395</v>
      </c>
      <c r="P1750" s="21">
        <v>27</v>
      </c>
      <c r="Q1750" s="10" t="s">
        <v>54</v>
      </c>
      <c r="R1750" s="10" t="s">
        <v>28</v>
      </c>
      <c r="S1750" s="10"/>
      <c r="T1750" s="10"/>
      <c r="U1750" s="10" t="s">
        <v>1823</v>
      </c>
      <c r="V1750" s="10" t="s">
        <v>1823</v>
      </c>
      <c r="W1750" s="50">
        <f>+J1750/$W$2</f>
        <v>2.3849785798292736E-5</v>
      </c>
    </row>
    <row r="1751" spans="1:29">
      <c r="A1751" s="10" t="s">
        <v>379</v>
      </c>
      <c r="B1751" s="10" t="s">
        <v>358</v>
      </c>
      <c r="C1751" s="124">
        <v>46373</v>
      </c>
      <c r="D1751" s="124" t="s">
        <v>471</v>
      </c>
      <c r="E1751" s="21">
        <v>0.96377276000000001</v>
      </c>
      <c r="F1751" s="10"/>
      <c r="G1751" s="14">
        <v>13500000</v>
      </c>
      <c r="H1751" s="14">
        <v>13010932.220000001</v>
      </c>
      <c r="I1751" s="14">
        <v>13500000</v>
      </c>
      <c r="J1751" s="14">
        <v>13010932.220000001</v>
      </c>
      <c r="K1751" s="12">
        <v>164</v>
      </c>
      <c r="L1751" s="10" t="s">
        <v>101</v>
      </c>
      <c r="M1751" s="10" t="s">
        <v>102</v>
      </c>
      <c r="N1751" s="124" t="s">
        <v>449</v>
      </c>
      <c r="O1751" s="124" t="s">
        <v>449</v>
      </c>
      <c r="P1751" s="21">
        <v>28</v>
      </c>
      <c r="Q1751" s="10" t="s">
        <v>54</v>
      </c>
      <c r="R1751" s="10" t="s">
        <v>28</v>
      </c>
      <c r="S1751" s="10"/>
      <c r="T1751" s="10"/>
      <c r="U1751" s="10" t="s">
        <v>1943</v>
      </c>
      <c r="V1751" s="10" t="s">
        <v>1943</v>
      </c>
      <c r="W1751" s="50">
        <f>+J1751/$W$2</f>
        <v>1.592361904362624E-4</v>
      </c>
    </row>
    <row r="1752" spans="1:29">
      <c r="A1752" s="10" t="s">
        <v>334</v>
      </c>
      <c r="B1752" s="10" t="s">
        <v>358</v>
      </c>
      <c r="C1752" s="124">
        <v>46373</v>
      </c>
      <c r="D1752" s="124" t="s">
        <v>471</v>
      </c>
      <c r="E1752" s="21">
        <v>0.95389932</v>
      </c>
      <c r="F1752" s="10"/>
      <c r="G1752" s="14">
        <v>2954385</v>
      </c>
      <c r="H1752" s="14">
        <v>2818185.83</v>
      </c>
      <c r="I1752" s="14">
        <v>2954385</v>
      </c>
      <c r="J1752" s="14">
        <v>2818185.83</v>
      </c>
      <c r="K1752" s="12">
        <v>3330</v>
      </c>
      <c r="L1752" s="10" t="s">
        <v>101</v>
      </c>
      <c r="M1752" s="10" t="s">
        <v>102</v>
      </c>
      <c r="N1752" s="124" t="s">
        <v>331</v>
      </c>
      <c r="O1752" s="124" t="s">
        <v>331</v>
      </c>
      <c r="P1752" s="21">
        <v>36</v>
      </c>
      <c r="Q1752" s="10" t="s">
        <v>54</v>
      </c>
      <c r="R1752" s="10" t="s">
        <v>28</v>
      </c>
      <c r="S1752" s="10"/>
      <c r="T1752" s="10"/>
      <c r="U1752" s="10" t="s">
        <v>1237</v>
      </c>
      <c r="V1752" s="10" t="s">
        <v>1237</v>
      </c>
      <c r="W1752" s="50">
        <f>+J1752/$W$2</f>
        <v>3.4490778056689948E-5</v>
      </c>
    </row>
    <row r="1753" spans="1:29">
      <c r="A1753" s="10" t="s">
        <v>334</v>
      </c>
      <c r="B1753" s="10" t="s">
        <v>358</v>
      </c>
      <c r="C1753" s="124">
        <v>46373</v>
      </c>
      <c r="D1753" s="124" t="s">
        <v>471</v>
      </c>
      <c r="E1753" s="21">
        <v>0.95389928000000002</v>
      </c>
      <c r="F1753" s="10"/>
      <c r="G1753" s="14">
        <v>3105640.28</v>
      </c>
      <c r="H1753" s="14">
        <v>2962468.02</v>
      </c>
      <c r="I1753" s="14">
        <v>3105640.28</v>
      </c>
      <c r="J1753" s="14">
        <v>2962468.02</v>
      </c>
      <c r="K1753" s="12">
        <v>3396</v>
      </c>
      <c r="L1753" s="10" t="s">
        <v>101</v>
      </c>
      <c r="M1753" s="10" t="s">
        <v>102</v>
      </c>
      <c r="N1753" s="124" t="s">
        <v>486</v>
      </c>
      <c r="O1753" s="124" t="s">
        <v>486</v>
      </c>
      <c r="P1753" s="21">
        <v>36</v>
      </c>
      <c r="Q1753" s="10" t="s">
        <v>54</v>
      </c>
      <c r="R1753" s="10" t="s">
        <v>28</v>
      </c>
      <c r="S1753" s="10"/>
      <c r="T1753" s="10"/>
      <c r="U1753" s="10" t="s">
        <v>1477</v>
      </c>
      <c r="V1753" s="10" t="s">
        <v>1477</v>
      </c>
      <c r="W1753" s="50">
        <f>+J1753/$W$2</f>
        <v>3.625659666944735E-5</v>
      </c>
    </row>
    <row r="1754" spans="1:29">
      <c r="A1754" s="10" t="s">
        <v>334</v>
      </c>
      <c r="B1754" s="10" t="s">
        <v>358</v>
      </c>
      <c r="C1754" s="124">
        <v>46373</v>
      </c>
      <c r="D1754" s="124" t="s">
        <v>471</v>
      </c>
      <c r="E1754" s="21">
        <v>0.95389930000000001</v>
      </c>
      <c r="F1754" s="10"/>
      <c r="G1754" s="14">
        <v>2874176.47</v>
      </c>
      <c r="H1754" s="14">
        <v>2741674.92</v>
      </c>
      <c r="I1754" s="14">
        <v>2874176.47</v>
      </c>
      <c r="J1754" s="14">
        <v>2741674.92</v>
      </c>
      <c r="K1754" s="12">
        <v>3444</v>
      </c>
      <c r="L1754" s="10" t="s">
        <v>101</v>
      </c>
      <c r="M1754" s="10" t="s">
        <v>102</v>
      </c>
      <c r="N1754" s="124" t="s">
        <v>487</v>
      </c>
      <c r="O1754" s="124" t="s">
        <v>487</v>
      </c>
      <c r="P1754" s="21">
        <v>36</v>
      </c>
      <c r="Q1754" s="10" t="s">
        <v>54</v>
      </c>
      <c r="R1754" s="10" t="s">
        <v>28</v>
      </c>
      <c r="S1754" s="10"/>
      <c r="T1754" s="10"/>
      <c r="U1754" s="10" t="s">
        <v>1562</v>
      </c>
      <c r="V1754" s="10" t="s">
        <v>1562</v>
      </c>
      <c r="W1754" s="50">
        <f>+J1754/$W$2</f>
        <v>3.3554388132493435E-5</v>
      </c>
      <c r="AC1754" s="47"/>
    </row>
    <row r="1755" spans="1:29">
      <c r="A1755" s="10" t="s">
        <v>1825</v>
      </c>
      <c r="B1755" s="10" t="s">
        <v>358</v>
      </c>
      <c r="C1755" s="124">
        <v>46373</v>
      </c>
      <c r="D1755" s="124" t="s">
        <v>471</v>
      </c>
      <c r="E1755" s="21">
        <v>0.95881068000000003</v>
      </c>
      <c r="F1755" s="10"/>
      <c r="G1755" s="14">
        <v>1027513.96</v>
      </c>
      <c r="H1755" s="14">
        <v>985191.36</v>
      </c>
      <c r="I1755" s="14">
        <v>1027513.96</v>
      </c>
      <c r="J1755" s="14">
        <v>985191.36</v>
      </c>
      <c r="K1755" s="12">
        <v>3585516</v>
      </c>
      <c r="L1755" s="10" t="s">
        <v>101</v>
      </c>
      <c r="M1755" s="10" t="s">
        <v>102</v>
      </c>
      <c r="N1755" s="124" t="s">
        <v>395</v>
      </c>
      <c r="O1755" s="124" t="s">
        <v>395</v>
      </c>
      <c r="P1755" s="21">
        <v>32</v>
      </c>
      <c r="Q1755" s="10" t="s">
        <v>54</v>
      </c>
      <c r="R1755" s="10" t="s">
        <v>28</v>
      </c>
      <c r="S1755" s="10"/>
      <c r="T1755" s="10"/>
      <c r="U1755" s="10" t="s">
        <v>1790</v>
      </c>
      <c r="V1755" s="10" t="s">
        <v>1790</v>
      </c>
      <c r="W1755" s="50">
        <f>+J1755/$W$2</f>
        <v>1.2057408059967616E-5</v>
      </c>
    </row>
    <row r="1756" spans="1:29">
      <c r="A1756" s="10" t="s">
        <v>2439</v>
      </c>
      <c r="B1756" s="10" t="s">
        <v>358</v>
      </c>
      <c r="C1756" s="124">
        <v>46373</v>
      </c>
      <c r="D1756" s="124" t="s">
        <v>471</v>
      </c>
      <c r="E1756" s="21">
        <v>0.96128539000000002</v>
      </c>
      <c r="F1756" s="10"/>
      <c r="G1756" s="14">
        <v>2763396.02</v>
      </c>
      <c r="H1756" s="14">
        <v>2656412.21</v>
      </c>
      <c r="I1756" s="14">
        <v>2763396.02</v>
      </c>
      <c r="J1756" s="14">
        <v>2656412.21</v>
      </c>
      <c r="K1756" s="12">
        <v>3749</v>
      </c>
      <c r="L1756" s="10" t="s">
        <v>101</v>
      </c>
      <c r="M1756" s="10" t="s">
        <v>102</v>
      </c>
      <c r="N1756" s="124" t="s">
        <v>448</v>
      </c>
      <c r="O1756" s="124" t="s">
        <v>448</v>
      </c>
      <c r="P1756" s="21">
        <v>30</v>
      </c>
      <c r="Q1756" s="10" t="s">
        <v>54</v>
      </c>
      <c r="R1756" s="10" t="s">
        <v>28</v>
      </c>
      <c r="S1756" s="10"/>
      <c r="T1756" s="10"/>
      <c r="U1756" s="10" t="s">
        <v>3145</v>
      </c>
      <c r="V1756" s="10" t="s">
        <v>3145</v>
      </c>
      <c r="W1756" s="50">
        <f>+J1756/$W$2</f>
        <v>3.2510888028342422E-5</v>
      </c>
    </row>
    <row r="1757" spans="1:29">
      <c r="A1757" s="10" t="s">
        <v>443</v>
      </c>
      <c r="B1757" s="10" t="s">
        <v>358</v>
      </c>
      <c r="C1757" s="124">
        <v>46373</v>
      </c>
      <c r="D1757" s="124" t="s">
        <v>471</v>
      </c>
      <c r="E1757" s="21">
        <v>0.96377272999999997</v>
      </c>
      <c r="F1757" s="10"/>
      <c r="G1757" s="14">
        <v>30000000</v>
      </c>
      <c r="H1757" s="14">
        <v>28913182.030000001</v>
      </c>
      <c r="I1757" s="14">
        <v>30000000</v>
      </c>
      <c r="J1757" s="14">
        <v>28913182.030000001</v>
      </c>
      <c r="K1757" s="12">
        <v>29600864</v>
      </c>
      <c r="L1757" s="10" t="s">
        <v>101</v>
      </c>
      <c r="M1757" s="10" t="s">
        <v>102</v>
      </c>
      <c r="N1757" s="124" t="s">
        <v>370</v>
      </c>
      <c r="O1757" s="124" t="s">
        <v>370</v>
      </c>
      <c r="P1757" s="21">
        <v>28</v>
      </c>
      <c r="Q1757" s="10" t="s">
        <v>54</v>
      </c>
      <c r="R1757" s="10" t="s">
        <v>28</v>
      </c>
      <c r="S1757" s="10"/>
      <c r="T1757" s="10"/>
      <c r="U1757" s="10" t="s">
        <v>668</v>
      </c>
      <c r="V1757" s="10" t="s">
        <v>668</v>
      </c>
      <c r="W1757" s="50">
        <f>+J1757/$W$2</f>
        <v>3.5385819263359443E-4</v>
      </c>
    </row>
    <row r="1758" spans="1:29">
      <c r="A1758" s="10" t="s">
        <v>443</v>
      </c>
      <c r="B1758" s="10" t="s">
        <v>358</v>
      </c>
      <c r="C1758" s="124">
        <v>46373</v>
      </c>
      <c r="D1758" s="124" t="s">
        <v>471</v>
      </c>
      <c r="E1758" s="21">
        <v>0.96377281999999997</v>
      </c>
      <c r="F1758" s="10"/>
      <c r="G1758" s="14">
        <v>32500000</v>
      </c>
      <c r="H1758" s="14">
        <v>31322616.5</v>
      </c>
      <c r="I1758" s="14">
        <v>32500000</v>
      </c>
      <c r="J1758" s="14">
        <v>31322616.5</v>
      </c>
      <c r="K1758" s="12">
        <v>1367874</v>
      </c>
      <c r="L1758" s="10" t="s">
        <v>101</v>
      </c>
      <c r="M1758" s="10" t="s">
        <v>102</v>
      </c>
      <c r="N1758" s="124" t="s">
        <v>439</v>
      </c>
      <c r="O1758" s="124" t="s">
        <v>439</v>
      </c>
      <c r="P1758" s="21">
        <v>28</v>
      </c>
      <c r="Q1758" s="10" t="s">
        <v>54</v>
      </c>
      <c r="R1758" s="10" t="s">
        <v>28</v>
      </c>
      <c r="S1758" s="10"/>
      <c r="T1758" s="10"/>
      <c r="U1758" s="10" t="s">
        <v>2235</v>
      </c>
      <c r="V1758" s="10" t="s">
        <v>2235</v>
      </c>
      <c r="W1758" s="50">
        <f>+J1758/$W$2</f>
        <v>3.8334640759169332E-4</v>
      </c>
    </row>
    <row r="1759" spans="1:29">
      <c r="A1759" s="10" t="s">
        <v>443</v>
      </c>
      <c r="B1759" s="10" t="s">
        <v>358</v>
      </c>
      <c r="C1759" s="124">
        <v>46373</v>
      </c>
      <c r="D1759" s="124" t="s">
        <v>471</v>
      </c>
      <c r="E1759" s="21">
        <v>0.96377278</v>
      </c>
      <c r="F1759" s="10"/>
      <c r="G1759" s="14">
        <v>5000000</v>
      </c>
      <c r="H1759" s="14">
        <v>4818863.88</v>
      </c>
      <c r="I1759" s="14">
        <v>5000000</v>
      </c>
      <c r="J1759" s="14">
        <v>4818863.88</v>
      </c>
      <c r="K1759" s="12">
        <v>40797746</v>
      </c>
      <c r="L1759" s="10" t="s">
        <v>101</v>
      </c>
      <c r="M1759" s="10" t="s">
        <v>102</v>
      </c>
      <c r="N1759" s="124" t="s">
        <v>478</v>
      </c>
      <c r="O1759" s="124" t="s">
        <v>478</v>
      </c>
      <c r="P1759" s="21">
        <v>28</v>
      </c>
      <c r="Q1759" s="10" t="s">
        <v>54</v>
      </c>
      <c r="R1759" s="10" t="s">
        <v>28</v>
      </c>
      <c r="S1759" s="10"/>
      <c r="T1759" s="10"/>
      <c r="U1759" s="10" t="s">
        <v>2088</v>
      </c>
      <c r="V1759" s="10" t="s">
        <v>2088</v>
      </c>
      <c r="W1759" s="50">
        <f>+J1759/$W$2</f>
        <v>5.8976367988650266E-5</v>
      </c>
    </row>
    <row r="1760" spans="1:29">
      <c r="A1760" s="10" t="s">
        <v>401</v>
      </c>
      <c r="B1760" s="10" t="s">
        <v>358</v>
      </c>
      <c r="C1760" s="124">
        <v>46373</v>
      </c>
      <c r="D1760" s="124" t="s">
        <v>471</v>
      </c>
      <c r="E1760" s="21">
        <v>0.96377272999999997</v>
      </c>
      <c r="F1760" s="10"/>
      <c r="G1760" s="14">
        <v>8400000</v>
      </c>
      <c r="H1760" s="14">
        <v>8095690.9500000002</v>
      </c>
      <c r="I1760" s="14">
        <v>8400000</v>
      </c>
      <c r="J1760" s="14">
        <v>8095690.9500000002</v>
      </c>
      <c r="K1760" s="12">
        <v>2459</v>
      </c>
      <c r="L1760" s="10" t="s">
        <v>101</v>
      </c>
      <c r="M1760" s="10" t="s">
        <v>102</v>
      </c>
      <c r="N1760" s="124" t="s">
        <v>408</v>
      </c>
      <c r="O1760" s="124" t="s">
        <v>408</v>
      </c>
      <c r="P1760" s="21">
        <v>28</v>
      </c>
      <c r="Q1760" s="10" t="s">
        <v>54</v>
      </c>
      <c r="R1760" s="10" t="s">
        <v>28</v>
      </c>
      <c r="S1760" s="10"/>
      <c r="T1760" s="10"/>
      <c r="U1760" s="10" t="s">
        <v>2059</v>
      </c>
      <c r="V1760" s="10" t="s">
        <v>2059</v>
      </c>
      <c r="W1760" s="50">
        <f>+J1760/$W$2</f>
        <v>9.908029371221535E-5</v>
      </c>
    </row>
    <row r="1761" spans="1:23">
      <c r="A1761" s="10" t="s">
        <v>1601</v>
      </c>
      <c r="B1761" s="10" t="s">
        <v>358</v>
      </c>
      <c r="C1761" s="124">
        <v>46373</v>
      </c>
      <c r="D1761" s="124" t="s">
        <v>471</v>
      </c>
      <c r="E1761" s="21">
        <v>0.95881061000000001</v>
      </c>
      <c r="F1761" s="10"/>
      <c r="G1761" s="14">
        <v>108911054</v>
      </c>
      <c r="H1761" s="14">
        <v>104425074.39</v>
      </c>
      <c r="I1761" s="14">
        <v>108911054</v>
      </c>
      <c r="J1761" s="14">
        <v>104425074.39</v>
      </c>
      <c r="K1761" s="12">
        <v>90000135</v>
      </c>
      <c r="L1761" s="10" t="s">
        <v>101</v>
      </c>
      <c r="M1761" s="10" t="s">
        <v>102</v>
      </c>
      <c r="N1761" s="124" t="s">
        <v>487</v>
      </c>
      <c r="O1761" s="124" t="s">
        <v>487</v>
      </c>
      <c r="P1761" s="21">
        <v>32</v>
      </c>
      <c r="Q1761" s="10" t="s">
        <v>54</v>
      </c>
      <c r="R1761" s="10" t="s">
        <v>28</v>
      </c>
      <c r="S1761" s="10"/>
      <c r="T1761" s="10"/>
      <c r="U1761" s="10" t="s">
        <v>1576</v>
      </c>
      <c r="V1761" s="10" t="s">
        <v>1576</v>
      </c>
      <c r="W1761" s="50">
        <f>+J1761/$W$2</f>
        <v>1.2780214938270509E-3</v>
      </c>
    </row>
    <row r="1762" spans="1:23">
      <c r="A1762" s="10" t="s">
        <v>1745</v>
      </c>
      <c r="B1762" s="10" t="s">
        <v>358</v>
      </c>
      <c r="C1762" s="124">
        <v>46373</v>
      </c>
      <c r="D1762" s="124" t="s">
        <v>471</v>
      </c>
      <c r="E1762" s="21">
        <v>0.95757806000000001</v>
      </c>
      <c r="F1762" s="10"/>
      <c r="G1762" s="14">
        <v>5559577.1900000004</v>
      </c>
      <c r="H1762" s="14">
        <v>5323729.17</v>
      </c>
      <c r="I1762" s="14">
        <v>5559577.1900000004</v>
      </c>
      <c r="J1762" s="14">
        <v>5323729.17</v>
      </c>
      <c r="K1762" s="12">
        <v>14101160</v>
      </c>
      <c r="L1762" s="10" t="s">
        <v>101</v>
      </c>
      <c r="M1762" s="10" t="s">
        <v>102</v>
      </c>
      <c r="N1762" s="124" t="s">
        <v>398</v>
      </c>
      <c r="O1762" s="124" t="s">
        <v>398</v>
      </c>
      <c r="P1762" s="21">
        <v>33</v>
      </c>
      <c r="Q1762" s="10" t="s">
        <v>54</v>
      </c>
      <c r="R1762" s="10" t="s">
        <v>28</v>
      </c>
      <c r="S1762" s="10"/>
      <c r="T1762" s="10"/>
      <c r="U1762" s="10" t="s">
        <v>1660</v>
      </c>
      <c r="V1762" s="10" t="s">
        <v>1660</v>
      </c>
      <c r="W1762" s="50">
        <f>+J1762/$W$2</f>
        <v>6.5155235429026408E-5</v>
      </c>
    </row>
    <row r="1763" spans="1:23">
      <c r="A1763" s="10" t="s">
        <v>1762</v>
      </c>
      <c r="B1763" s="10" t="s">
        <v>358</v>
      </c>
      <c r="C1763" s="124">
        <v>46373</v>
      </c>
      <c r="D1763" s="124" t="s">
        <v>471</v>
      </c>
      <c r="E1763" s="21">
        <v>0.95881063</v>
      </c>
      <c r="F1763" s="10"/>
      <c r="G1763" s="14">
        <v>5000000</v>
      </c>
      <c r="H1763" s="14">
        <v>4794053.16</v>
      </c>
      <c r="I1763" s="14">
        <v>5000000</v>
      </c>
      <c r="J1763" s="14">
        <v>4794053.16</v>
      </c>
      <c r="K1763" s="12">
        <v>1269</v>
      </c>
      <c r="L1763" s="10" t="s">
        <v>101</v>
      </c>
      <c r="M1763" s="10" t="s">
        <v>102</v>
      </c>
      <c r="N1763" s="124" t="s">
        <v>398</v>
      </c>
      <c r="O1763" s="124" t="s">
        <v>398</v>
      </c>
      <c r="P1763" s="21">
        <v>32</v>
      </c>
      <c r="Q1763" s="10" t="s">
        <v>54</v>
      </c>
      <c r="R1763" s="10" t="s">
        <v>28</v>
      </c>
      <c r="S1763" s="10"/>
      <c r="T1763" s="10"/>
      <c r="U1763" s="10" t="s">
        <v>1734</v>
      </c>
      <c r="V1763" s="10" t="s">
        <v>1734</v>
      </c>
      <c r="W1763" s="50">
        <f>+J1763/$W$2</f>
        <v>5.8672718375542005E-5</v>
      </c>
    </row>
    <row r="1764" spans="1:23">
      <c r="A1764" s="10" t="s">
        <v>1764</v>
      </c>
      <c r="B1764" s="10" t="s">
        <v>358</v>
      </c>
      <c r="C1764" s="124">
        <v>46373</v>
      </c>
      <c r="D1764" s="124" t="s">
        <v>471</v>
      </c>
      <c r="E1764" s="21">
        <v>0.95757806999999995</v>
      </c>
      <c r="F1764" s="10"/>
      <c r="G1764" s="14">
        <v>375000000</v>
      </c>
      <c r="H1764" s="14">
        <v>359091774.79000002</v>
      </c>
      <c r="I1764" s="14">
        <v>375000000</v>
      </c>
      <c r="J1764" s="14">
        <v>359091774.79000002</v>
      </c>
      <c r="K1764" s="12">
        <v>91648904</v>
      </c>
      <c r="L1764" s="10" t="s">
        <v>101</v>
      </c>
      <c r="M1764" s="10" t="s">
        <v>102</v>
      </c>
      <c r="N1764" s="124" t="s">
        <v>398</v>
      </c>
      <c r="O1764" s="124" t="s">
        <v>398</v>
      </c>
      <c r="P1764" s="21">
        <v>33</v>
      </c>
      <c r="Q1764" s="10" t="s">
        <v>54</v>
      </c>
      <c r="R1764" s="10" t="s">
        <v>28</v>
      </c>
      <c r="S1764" s="10"/>
      <c r="T1764" s="10"/>
      <c r="U1764" s="10" t="s">
        <v>1740</v>
      </c>
      <c r="V1764" s="10" t="s">
        <v>1740</v>
      </c>
      <c r="W1764" s="50">
        <f>+J1764/$W$2</f>
        <v>4.3947970266619294E-3</v>
      </c>
    </row>
    <row r="1765" spans="1:23">
      <c r="A1765" s="10" t="s">
        <v>453</v>
      </c>
      <c r="B1765" s="10" t="s">
        <v>358</v>
      </c>
      <c r="C1765" s="124">
        <v>46373</v>
      </c>
      <c r="D1765" s="124" t="s">
        <v>471</v>
      </c>
      <c r="E1765" s="21">
        <v>0.96502131999999996</v>
      </c>
      <c r="F1765" s="10"/>
      <c r="G1765" s="14">
        <v>26231345.640000001</v>
      </c>
      <c r="H1765" s="14">
        <v>25313807.850000001</v>
      </c>
      <c r="I1765" s="14">
        <v>26231345.640000001</v>
      </c>
      <c r="J1765" s="14">
        <v>25313807.850000001</v>
      </c>
      <c r="K1765" s="12">
        <v>14072119</v>
      </c>
      <c r="L1765" s="10" t="s">
        <v>101</v>
      </c>
      <c r="M1765" s="10" t="s">
        <v>102</v>
      </c>
      <c r="N1765" s="124" t="s">
        <v>477</v>
      </c>
      <c r="O1765" s="124" t="s">
        <v>477</v>
      </c>
      <c r="P1765" s="21">
        <v>27</v>
      </c>
      <c r="Q1765" s="10" t="s">
        <v>54</v>
      </c>
      <c r="R1765" s="10" t="s">
        <v>28</v>
      </c>
      <c r="S1765" s="10"/>
      <c r="T1765" s="10"/>
      <c r="U1765" s="10" t="s">
        <v>2390</v>
      </c>
      <c r="V1765" s="10" t="s">
        <v>2390</v>
      </c>
      <c r="W1765" s="50">
        <f>+J1765/$W$2</f>
        <v>3.0980672709011732E-4</v>
      </c>
    </row>
    <row r="1766" spans="1:23">
      <c r="A1766" s="10" t="s">
        <v>453</v>
      </c>
      <c r="B1766" s="10" t="s">
        <v>358</v>
      </c>
      <c r="C1766" s="124">
        <v>46373</v>
      </c>
      <c r="D1766" s="124" t="s">
        <v>471</v>
      </c>
      <c r="E1766" s="21">
        <v>0.96502136000000005</v>
      </c>
      <c r="F1766" s="10"/>
      <c r="G1766" s="14">
        <v>25000000</v>
      </c>
      <c r="H1766" s="14">
        <v>24125534.02</v>
      </c>
      <c r="I1766" s="14">
        <v>25000000</v>
      </c>
      <c r="J1766" s="14">
        <v>24125534.02</v>
      </c>
      <c r="K1766" s="12">
        <v>9508925</v>
      </c>
      <c r="L1766" s="10" t="s">
        <v>101</v>
      </c>
      <c r="M1766" s="10" t="s">
        <v>102</v>
      </c>
      <c r="N1766" s="124" t="s">
        <v>476</v>
      </c>
      <c r="O1766" s="124" t="s">
        <v>476</v>
      </c>
      <c r="P1766" s="21">
        <v>27</v>
      </c>
      <c r="Q1766" s="10" t="s">
        <v>54</v>
      </c>
      <c r="R1766" s="10" t="s">
        <v>28</v>
      </c>
      <c r="S1766" s="10"/>
      <c r="T1766" s="10"/>
      <c r="U1766" s="10" t="s">
        <v>680</v>
      </c>
      <c r="V1766" s="10" t="s">
        <v>680</v>
      </c>
      <c r="W1766" s="50">
        <f>+J1766/$W$2</f>
        <v>2.9526386461993628E-4</v>
      </c>
    </row>
    <row r="1767" spans="1:23">
      <c r="A1767" s="10" t="s">
        <v>453</v>
      </c>
      <c r="B1767" s="10" t="s">
        <v>358</v>
      </c>
      <c r="C1767" s="124">
        <v>46373</v>
      </c>
      <c r="D1767" s="124" t="s">
        <v>471</v>
      </c>
      <c r="E1767" s="21">
        <v>0.9662731</v>
      </c>
      <c r="F1767" s="10"/>
      <c r="G1767" s="14">
        <v>15000000</v>
      </c>
      <c r="H1767" s="14">
        <v>14494096.560000001</v>
      </c>
      <c r="I1767" s="14">
        <v>15000000</v>
      </c>
      <c r="J1767" s="14">
        <v>14494096.560000001</v>
      </c>
      <c r="K1767" s="12">
        <v>20411019</v>
      </c>
      <c r="L1767" s="10" t="s">
        <v>101</v>
      </c>
      <c r="M1767" s="10" t="s">
        <v>102</v>
      </c>
      <c r="N1767" s="124" t="s">
        <v>308</v>
      </c>
      <c r="O1767" s="124" t="s">
        <v>308</v>
      </c>
      <c r="P1767" s="21">
        <v>26</v>
      </c>
      <c r="Q1767" s="10" t="s">
        <v>54</v>
      </c>
      <c r="R1767" s="10" t="s">
        <v>28</v>
      </c>
      <c r="S1767" s="10"/>
      <c r="T1767" s="10"/>
      <c r="U1767" s="10" t="s">
        <v>739</v>
      </c>
      <c r="V1767" s="10" t="s">
        <v>739</v>
      </c>
      <c r="W1767" s="50">
        <f>+J1767/$W$2</f>
        <v>1.7738811339605424E-4</v>
      </c>
    </row>
    <row r="1768" spans="1:23">
      <c r="A1768" s="10" t="s">
        <v>3322</v>
      </c>
      <c r="B1768" s="10" t="s">
        <v>358</v>
      </c>
      <c r="C1768" s="124">
        <v>46373</v>
      </c>
      <c r="D1768" s="124" t="s">
        <v>471</v>
      </c>
      <c r="E1768" s="21">
        <v>0.95757798000000005</v>
      </c>
      <c r="F1768" s="10"/>
      <c r="G1768" s="14">
        <v>528139.15</v>
      </c>
      <c r="H1768" s="14">
        <v>505734.42</v>
      </c>
      <c r="I1768" s="14">
        <v>528139.15</v>
      </c>
      <c r="J1768" s="14">
        <v>505734.42</v>
      </c>
      <c r="K1768" s="12">
        <v>17704</v>
      </c>
      <c r="L1768" s="10" t="s">
        <v>101</v>
      </c>
      <c r="M1768" s="10" t="s">
        <v>102</v>
      </c>
      <c r="N1768" s="124" t="s">
        <v>417</v>
      </c>
      <c r="O1768" s="124" t="s">
        <v>417</v>
      </c>
      <c r="P1768" s="21">
        <v>33</v>
      </c>
      <c r="Q1768" s="10" t="s">
        <v>54</v>
      </c>
      <c r="R1768" s="10" t="s">
        <v>28</v>
      </c>
      <c r="S1768" s="10"/>
      <c r="T1768" s="10"/>
      <c r="U1768" s="10" t="s">
        <v>3222</v>
      </c>
      <c r="V1768" s="10" t="s">
        <v>3222</v>
      </c>
      <c r="W1768" s="50">
        <f>+J1768/$W$2</f>
        <v>6.1895044145647473E-6</v>
      </c>
    </row>
    <row r="1769" spans="1:23">
      <c r="A1769" s="10" t="s">
        <v>832</v>
      </c>
      <c r="B1769" s="10" t="s">
        <v>358</v>
      </c>
      <c r="C1769" s="124">
        <v>46373</v>
      </c>
      <c r="D1769" s="124" t="s">
        <v>471</v>
      </c>
      <c r="E1769" s="21">
        <v>0.95757809000000005</v>
      </c>
      <c r="F1769" s="10"/>
      <c r="G1769" s="14">
        <v>165489.23000000001</v>
      </c>
      <c r="H1769" s="14">
        <v>158468.85999999999</v>
      </c>
      <c r="I1769" s="14">
        <v>165489.23000000001</v>
      </c>
      <c r="J1769" s="14">
        <v>158468.85999999999</v>
      </c>
      <c r="K1769" s="12">
        <v>30101249</v>
      </c>
      <c r="L1769" s="10" t="s">
        <v>101</v>
      </c>
      <c r="M1769" s="10" t="s">
        <v>102</v>
      </c>
      <c r="N1769" s="124" t="s">
        <v>397</v>
      </c>
      <c r="O1769" s="124" t="s">
        <v>397</v>
      </c>
      <c r="P1769" s="21">
        <v>33</v>
      </c>
      <c r="Q1769" s="10" t="s">
        <v>54</v>
      </c>
      <c r="R1769" s="10" t="s">
        <v>28</v>
      </c>
      <c r="S1769" s="10"/>
      <c r="T1769" s="10"/>
      <c r="U1769" s="10" t="s">
        <v>1890</v>
      </c>
      <c r="V1769" s="10" t="s">
        <v>1890</v>
      </c>
      <c r="W1769" s="50">
        <f>+J1769/$W$2</f>
        <v>1.9394442413886775E-6</v>
      </c>
    </row>
    <row r="1770" spans="1:23">
      <c r="A1770" s="10" t="s">
        <v>1765</v>
      </c>
      <c r="B1770" s="10" t="s">
        <v>358</v>
      </c>
      <c r="C1770" s="124">
        <v>46373</v>
      </c>
      <c r="D1770" s="124" t="s">
        <v>471</v>
      </c>
      <c r="E1770" s="21">
        <v>0.95757798999999999</v>
      </c>
      <c r="F1770" s="10"/>
      <c r="G1770" s="14">
        <v>672232.39</v>
      </c>
      <c r="H1770" s="14">
        <v>643714.93999999994</v>
      </c>
      <c r="I1770" s="14">
        <v>672232.39</v>
      </c>
      <c r="J1770" s="14">
        <v>643714.93999999994</v>
      </c>
      <c r="K1770" s="12">
        <v>19729</v>
      </c>
      <c r="L1770" s="10" t="s">
        <v>101</v>
      </c>
      <c r="M1770" s="10" t="s">
        <v>102</v>
      </c>
      <c r="N1770" s="124" t="s">
        <v>417</v>
      </c>
      <c r="O1770" s="124" t="s">
        <v>417</v>
      </c>
      <c r="P1770" s="21">
        <v>33</v>
      </c>
      <c r="Q1770" s="10" t="s">
        <v>54</v>
      </c>
      <c r="R1770" s="10" t="s">
        <v>28</v>
      </c>
      <c r="S1770" s="10"/>
      <c r="T1770" s="10"/>
      <c r="U1770" s="10" t="s">
        <v>3262</v>
      </c>
      <c r="V1770" s="10" t="s">
        <v>3262</v>
      </c>
      <c r="W1770" s="50">
        <f>+J1770/$W$2</f>
        <v>7.8781991205013914E-6</v>
      </c>
    </row>
    <row r="1771" spans="1:23">
      <c r="A1771" s="10" t="s">
        <v>3324</v>
      </c>
      <c r="B1771" s="10" t="s">
        <v>358</v>
      </c>
      <c r="C1771" s="124">
        <v>46373</v>
      </c>
      <c r="D1771" s="124" t="s">
        <v>471</v>
      </c>
      <c r="E1771" s="21">
        <v>0.95757798000000005</v>
      </c>
      <c r="F1771" s="10"/>
      <c r="G1771" s="14">
        <v>3171089.33</v>
      </c>
      <c r="H1771" s="14">
        <v>3036565.33</v>
      </c>
      <c r="I1771" s="14">
        <v>3171089.33</v>
      </c>
      <c r="J1771" s="14">
        <v>3036565.33</v>
      </c>
      <c r="K1771" s="12">
        <v>12302869</v>
      </c>
      <c r="L1771" s="10" t="s">
        <v>101</v>
      </c>
      <c r="M1771" s="10" t="s">
        <v>102</v>
      </c>
      <c r="N1771" s="124" t="s">
        <v>417</v>
      </c>
      <c r="O1771" s="124" t="s">
        <v>417</v>
      </c>
      <c r="P1771" s="21">
        <v>33</v>
      </c>
      <c r="Q1771" s="10" t="s">
        <v>54</v>
      </c>
      <c r="R1771" s="10" t="s">
        <v>28</v>
      </c>
      <c r="S1771" s="10"/>
      <c r="T1771" s="10"/>
      <c r="U1771" s="10" t="s">
        <v>3246</v>
      </c>
      <c r="V1771" s="10" t="s">
        <v>3246</v>
      </c>
      <c r="W1771" s="50">
        <f>+J1771/$W$2</f>
        <v>3.7163447398239695E-5</v>
      </c>
    </row>
    <row r="1772" spans="1:23">
      <c r="A1772" s="10" t="s">
        <v>3325</v>
      </c>
      <c r="B1772" s="10" t="s">
        <v>358</v>
      </c>
      <c r="C1772" s="124">
        <v>46373</v>
      </c>
      <c r="D1772" s="124" t="s">
        <v>471</v>
      </c>
      <c r="E1772" s="21">
        <v>0.95757798999999999</v>
      </c>
      <c r="F1772" s="10"/>
      <c r="G1772" s="14">
        <v>1210000</v>
      </c>
      <c r="H1772" s="14">
        <v>1158669.3700000001</v>
      </c>
      <c r="I1772" s="14">
        <v>1210000</v>
      </c>
      <c r="J1772" s="14">
        <v>1158669.3700000001</v>
      </c>
      <c r="K1772" s="12">
        <v>4521</v>
      </c>
      <c r="L1772" s="10" t="s">
        <v>101</v>
      </c>
      <c r="M1772" s="10" t="s">
        <v>102</v>
      </c>
      <c r="N1772" s="124" t="s">
        <v>417</v>
      </c>
      <c r="O1772" s="124" t="s">
        <v>417</v>
      </c>
      <c r="P1772" s="21">
        <v>33</v>
      </c>
      <c r="Q1772" s="10" t="s">
        <v>54</v>
      </c>
      <c r="R1772" s="10" t="s">
        <v>28</v>
      </c>
      <c r="S1772" s="10"/>
      <c r="T1772" s="10"/>
      <c r="U1772" s="10" t="s">
        <v>3248</v>
      </c>
      <c r="V1772" s="10" t="s">
        <v>3248</v>
      </c>
      <c r="W1772" s="50">
        <f>+J1772/$W$2</f>
        <v>1.4180543971351516E-5</v>
      </c>
    </row>
    <row r="1773" spans="1:23">
      <c r="A1773" s="10" t="s">
        <v>4050</v>
      </c>
      <c r="B1773" s="10" t="s">
        <v>358</v>
      </c>
      <c r="C1773" s="124">
        <v>46373</v>
      </c>
      <c r="D1773" s="124" t="s">
        <v>471</v>
      </c>
      <c r="E1773" s="21">
        <v>0.96252742999999996</v>
      </c>
      <c r="F1773" s="10"/>
      <c r="G1773" s="14">
        <v>588927.54</v>
      </c>
      <c r="H1773" s="14">
        <v>566858.91</v>
      </c>
      <c r="I1773" s="14">
        <v>588927.54</v>
      </c>
      <c r="J1773" s="14">
        <v>566858.91</v>
      </c>
      <c r="K1773" s="12">
        <v>41032878</v>
      </c>
      <c r="L1773" s="10" t="s">
        <v>101</v>
      </c>
      <c r="M1773" s="10" t="s">
        <v>102</v>
      </c>
      <c r="N1773" s="124" t="s">
        <v>469</v>
      </c>
      <c r="O1773" s="124" t="s">
        <v>469</v>
      </c>
      <c r="P1773" s="21">
        <v>29</v>
      </c>
      <c r="Q1773" s="10" t="s">
        <v>54</v>
      </c>
      <c r="R1773" s="10" t="s">
        <v>28</v>
      </c>
      <c r="S1773" s="10"/>
      <c r="T1773" s="10"/>
      <c r="U1773" s="10" t="s">
        <v>3986</v>
      </c>
      <c r="V1773" s="10" t="s">
        <v>3986</v>
      </c>
      <c r="W1773" s="50">
        <f>+J1773/$W$2</f>
        <v>6.9375853948805014E-6</v>
      </c>
    </row>
    <row r="1774" spans="1:23">
      <c r="A1774" s="10" t="s">
        <v>362</v>
      </c>
      <c r="B1774" s="10" t="s">
        <v>358</v>
      </c>
      <c r="C1774" s="124">
        <v>46373</v>
      </c>
      <c r="D1774" s="124" t="s">
        <v>471</v>
      </c>
      <c r="E1774" s="21">
        <v>0.95757811000000004</v>
      </c>
      <c r="F1774" s="10"/>
      <c r="G1774" s="14">
        <v>25000000</v>
      </c>
      <c r="H1774" s="14">
        <v>23939452.699999999</v>
      </c>
      <c r="I1774" s="14">
        <v>25000000</v>
      </c>
      <c r="J1774" s="14">
        <v>23939452.699999999</v>
      </c>
      <c r="K1774" s="12">
        <v>4296</v>
      </c>
      <c r="L1774" s="10" t="s">
        <v>101</v>
      </c>
      <c r="M1774" s="10" t="s">
        <v>102</v>
      </c>
      <c r="N1774" s="124" t="s">
        <v>439</v>
      </c>
      <c r="O1774" s="124" t="s">
        <v>439</v>
      </c>
      <c r="P1774" s="21">
        <v>33</v>
      </c>
      <c r="Q1774" s="10" t="s">
        <v>54</v>
      </c>
      <c r="R1774" s="10" t="s">
        <v>28</v>
      </c>
      <c r="S1774" s="10"/>
      <c r="T1774" s="10"/>
      <c r="U1774" s="10" t="s">
        <v>2278</v>
      </c>
      <c r="V1774" s="10" t="s">
        <v>2278</v>
      </c>
      <c r="W1774" s="50">
        <f>+J1774/$W$2</f>
        <v>2.9298648126207025E-4</v>
      </c>
    </row>
    <row r="1775" spans="1:23">
      <c r="A1775" s="10" t="s">
        <v>286</v>
      </c>
      <c r="B1775" s="10" t="s">
        <v>358</v>
      </c>
      <c r="C1775" s="124">
        <v>46373</v>
      </c>
      <c r="D1775" s="124" t="s">
        <v>471</v>
      </c>
      <c r="E1775" s="21">
        <v>0.95881057999999997</v>
      </c>
      <c r="F1775" s="10"/>
      <c r="G1775" s="14">
        <v>6000000</v>
      </c>
      <c r="H1775" s="14">
        <v>5752863.5</v>
      </c>
      <c r="I1775" s="14">
        <v>6000000</v>
      </c>
      <c r="J1775" s="14">
        <v>5752863.5</v>
      </c>
      <c r="K1775" s="12">
        <v>40789600</v>
      </c>
      <c r="L1775" s="10" t="s">
        <v>101</v>
      </c>
      <c r="M1775" s="10" t="s">
        <v>102</v>
      </c>
      <c r="N1775" s="124" t="s">
        <v>440</v>
      </c>
      <c r="O1775" s="124" t="s">
        <v>440</v>
      </c>
      <c r="P1775" s="21">
        <v>32</v>
      </c>
      <c r="Q1775" s="10" t="s">
        <v>54</v>
      </c>
      <c r="R1775" s="10" t="s">
        <v>28</v>
      </c>
      <c r="S1775" s="10"/>
      <c r="T1775" s="10"/>
      <c r="U1775" s="10" t="s">
        <v>2684</v>
      </c>
      <c r="V1775" s="10" t="s">
        <v>2684</v>
      </c>
      <c r="W1775" s="50">
        <f>+J1775/$W$2</f>
        <v>7.0407258476965843E-5</v>
      </c>
    </row>
    <row r="1776" spans="1:23">
      <c r="A1776" s="10" t="s">
        <v>433</v>
      </c>
      <c r="B1776" s="10" t="s">
        <v>358</v>
      </c>
      <c r="C1776" s="124">
        <v>46373</v>
      </c>
      <c r="D1776" s="124" t="s">
        <v>471</v>
      </c>
      <c r="E1776" s="21">
        <v>0.95757815999999996</v>
      </c>
      <c r="F1776" s="10"/>
      <c r="G1776" s="14">
        <v>12500000</v>
      </c>
      <c r="H1776" s="14">
        <v>11969726.960000001</v>
      </c>
      <c r="I1776" s="14">
        <v>12500000</v>
      </c>
      <c r="J1776" s="14">
        <v>11969726.960000001</v>
      </c>
      <c r="K1776" s="12">
        <v>14651820</v>
      </c>
      <c r="L1776" s="10" t="s">
        <v>101</v>
      </c>
      <c r="M1776" s="10" t="s">
        <v>102</v>
      </c>
      <c r="N1776" s="124" t="s">
        <v>603</v>
      </c>
      <c r="O1776" s="124" t="s">
        <v>603</v>
      </c>
      <c r="P1776" s="21">
        <v>33</v>
      </c>
      <c r="Q1776" s="10" t="s">
        <v>54</v>
      </c>
      <c r="R1776" s="10" t="s">
        <v>28</v>
      </c>
      <c r="S1776" s="10"/>
      <c r="T1776" s="10"/>
      <c r="U1776" s="10" t="s">
        <v>2646</v>
      </c>
      <c r="V1776" s="10" t="s">
        <v>2646</v>
      </c>
      <c r="W1776" s="50">
        <f>+J1776/$W$2</f>
        <v>1.4649324809660905E-4</v>
      </c>
    </row>
    <row r="1777" spans="1:29">
      <c r="A1777" s="10" t="s">
        <v>433</v>
      </c>
      <c r="B1777" s="10" t="s">
        <v>358</v>
      </c>
      <c r="C1777" s="124">
        <v>46373</v>
      </c>
      <c r="D1777" s="124" t="s">
        <v>471</v>
      </c>
      <c r="E1777" s="21">
        <v>0.95757809000000005</v>
      </c>
      <c r="F1777" s="10"/>
      <c r="G1777" s="14">
        <v>15000000</v>
      </c>
      <c r="H1777" s="14">
        <v>14363671.380000001</v>
      </c>
      <c r="I1777" s="14">
        <v>15000000</v>
      </c>
      <c r="J1777" s="14">
        <v>14363671.380000001</v>
      </c>
      <c r="K1777" s="12">
        <v>14724991</v>
      </c>
      <c r="L1777" s="10" t="s">
        <v>101</v>
      </c>
      <c r="M1777" s="10" t="s">
        <v>102</v>
      </c>
      <c r="N1777" s="124" t="s">
        <v>446</v>
      </c>
      <c r="O1777" s="124" t="s">
        <v>446</v>
      </c>
      <c r="P1777" s="21">
        <v>33</v>
      </c>
      <c r="Q1777" s="10" t="s">
        <v>54</v>
      </c>
      <c r="R1777" s="10" t="s">
        <v>28</v>
      </c>
      <c r="S1777" s="10"/>
      <c r="T1777" s="10"/>
      <c r="U1777" s="10" t="s">
        <v>3091</v>
      </c>
      <c r="V1777" s="10" t="s">
        <v>3091</v>
      </c>
      <c r="W1777" s="50">
        <f>+J1777/$W$2</f>
        <v>1.7579188581996719E-4</v>
      </c>
    </row>
    <row r="1778" spans="1:29">
      <c r="A1778" s="10" t="s">
        <v>3788</v>
      </c>
      <c r="B1778" s="10" t="s">
        <v>358</v>
      </c>
      <c r="C1778" s="124">
        <v>46373</v>
      </c>
      <c r="D1778" s="124" t="s">
        <v>471</v>
      </c>
      <c r="E1778" s="21">
        <v>0.96252757</v>
      </c>
      <c r="F1778" s="10"/>
      <c r="G1778" s="14">
        <v>486000</v>
      </c>
      <c r="H1778" s="14">
        <v>467788.4</v>
      </c>
      <c r="I1778" s="14">
        <v>486000</v>
      </c>
      <c r="J1778" s="14">
        <v>467788.4</v>
      </c>
      <c r="K1778" s="12">
        <v>6645338</v>
      </c>
      <c r="L1778" s="10" t="s">
        <v>101</v>
      </c>
      <c r="M1778" s="10" t="s">
        <v>102</v>
      </c>
      <c r="N1778" s="124" t="s">
        <v>467</v>
      </c>
      <c r="O1778" s="124" t="s">
        <v>467</v>
      </c>
      <c r="P1778" s="21">
        <v>29</v>
      </c>
      <c r="Q1778" s="10" t="s">
        <v>54</v>
      </c>
      <c r="R1778" s="10" t="s">
        <v>28</v>
      </c>
      <c r="S1778" s="10"/>
      <c r="T1778" s="10"/>
      <c r="U1778" s="10" t="s">
        <v>3724</v>
      </c>
      <c r="V1778" s="10" t="s">
        <v>3724</v>
      </c>
      <c r="W1778" s="50">
        <f>+J1778/$W$2</f>
        <v>5.7250965178169603E-6</v>
      </c>
    </row>
    <row r="1779" spans="1:29">
      <c r="A1779" s="10" t="s">
        <v>217</v>
      </c>
      <c r="B1779" s="10" t="s">
        <v>358</v>
      </c>
      <c r="C1779" s="124">
        <v>46373</v>
      </c>
      <c r="D1779" s="124" t="s">
        <v>471</v>
      </c>
      <c r="E1779" s="21">
        <v>0.95881066999999998</v>
      </c>
      <c r="F1779" s="10"/>
      <c r="G1779" s="14">
        <v>50000000</v>
      </c>
      <c r="H1779" s="14">
        <v>47940533.710000001</v>
      </c>
      <c r="I1779" s="14">
        <v>50000000</v>
      </c>
      <c r="J1779" s="14">
        <v>47940533.710000001</v>
      </c>
      <c r="K1779" s="12">
        <v>5356</v>
      </c>
      <c r="L1779" s="10" t="s">
        <v>101</v>
      </c>
      <c r="M1779" s="10" t="s">
        <v>102</v>
      </c>
      <c r="N1779" s="124" t="s">
        <v>395</v>
      </c>
      <c r="O1779" s="124" t="s">
        <v>395</v>
      </c>
      <c r="P1779" s="21">
        <v>32</v>
      </c>
      <c r="Q1779" s="10" t="s">
        <v>54</v>
      </c>
      <c r="R1779" s="10" t="s">
        <v>28</v>
      </c>
      <c r="S1779" s="10"/>
      <c r="T1779" s="10"/>
      <c r="U1779" s="10" t="s">
        <v>1804</v>
      </c>
      <c r="V1779" s="10" t="s">
        <v>1804</v>
      </c>
      <c r="W1779" s="50">
        <f>+J1779/$W$2</f>
        <v>5.8672720957896258E-4</v>
      </c>
    </row>
    <row r="1780" spans="1:29">
      <c r="A1780" s="10" t="s">
        <v>217</v>
      </c>
      <c r="B1780" s="10" t="s">
        <v>358</v>
      </c>
      <c r="C1780" s="124">
        <v>46373</v>
      </c>
      <c r="D1780" s="124" t="s">
        <v>471</v>
      </c>
      <c r="E1780" s="21">
        <v>0.95881061999999995</v>
      </c>
      <c r="F1780" s="10"/>
      <c r="G1780" s="14">
        <v>50000000</v>
      </c>
      <c r="H1780" s="14">
        <v>47940530.75</v>
      </c>
      <c r="I1780" s="14">
        <v>50000000</v>
      </c>
      <c r="J1780" s="14">
        <v>47940530.75</v>
      </c>
      <c r="K1780" s="12">
        <v>5407</v>
      </c>
      <c r="L1780" s="10" t="s">
        <v>101</v>
      </c>
      <c r="M1780" s="10" t="s">
        <v>102</v>
      </c>
      <c r="N1780" s="124" t="s">
        <v>452</v>
      </c>
      <c r="O1780" s="124" t="s">
        <v>452</v>
      </c>
      <c r="P1780" s="21">
        <v>32</v>
      </c>
      <c r="Q1780" s="10" t="s">
        <v>54</v>
      </c>
      <c r="R1780" s="10" t="s">
        <v>28</v>
      </c>
      <c r="S1780" s="10"/>
      <c r="T1780" s="10"/>
      <c r="U1780" s="10" t="s">
        <v>2516</v>
      </c>
      <c r="V1780" s="10" t="s">
        <v>2516</v>
      </c>
      <c r="W1780" s="50">
        <f>+J1780/$W$2</f>
        <v>5.8672717335257123E-4</v>
      </c>
      <c r="AC1780" s="47"/>
    </row>
    <row r="1781" spans="1:29">
      <c r="A1781" s="10" t="s">
        <v>3440</v>
      </c>
      <c r="B1781" s="10" t="s">
        <v>358</v>
      </c>
      <c r="C1781" s="124">
        <v>46373</v>
      </c>
      <c r="D1781" s="124" t="s">
        <v>471</v>
      </c>
      <c r="E1781" s="21">
        <v>0.96004632000000001</v>
      </c>
      <c r="F1781" s="10"/>
      <c r="G1781" s="14">
        <v>10000000</v>
      </c>
      <c r="H1781" s="14">
        <v>9600463.1999999993</v>
      </c>
      <c r="I1781" s="14">
        <v>10000000</v>
      </c>
      <c r="J1781" s="14">
        <v>9600463.1999999993</v>
      </c>
      <c r="K1781" s="12">
        <v>363</v>
      </c>
      <c r="L1781" s="10" t="s">
        <v>101</v>
      </c>
      <c r="M1781" s="10" t="s">
        <v>102</v>
      </c>
      <c r="N1781" s="124" t="s">
        <v>450</v>
      </c>
      <c r="O1781" s="124" t="s">
        <v>450</v>
      </c>
      <c r="P1781" s="21">
        <v>31</v>
      </c>
      <c r="Q1781" s="10" t="s">
        <v>54</v>
      </c>
      <c r="R1781" s="10" t="s">
        <v>28</v>
      </c>
      <c r="S1781" s="10"/>
      <c r="T1781" s="10"/>
      <c r="U1781" s="10" t="s">
        <v>3419</v>
      </c>
      <c r="V1781" s="10" t="s">
        <v>3419</v>
      </c>
      <c r="W1781" s="50">
        <f>+J1781/$W$2</f>
        <v>1.1749666822809173E-4</v>
      </c>
    </row>
    <row r="1782" spans="1:29">
      <c r="A1782" s="10" t="s">
        <v>3596</v>
      </c>
      <c r="B1782" s="10" t="s">
        <v>358</v>
      </c>
      <c r="C1782" s="124">
        <v>46373</v>
      </c>
      <c r="D1782" s="124" t="s">
        <v>471</v>
      </c>
      <c r="E1782" s="21">
        <v>0.95634869</v>
      </c>
      <c r="F1782" s="10"/>
      <c r="G1782" s="14">
        <v>1260746.67</v>
      </c>
      <c r="H1782" s="14">
        <v>1205713.42</v>
      </c>
      <c r="I1782" s="14">
        <v>1260746.67</v>
      </c>
      <c r="J1782" s="14">
        <v>1205713.42</v>
      </c>
      <c r="K1782" s="12">
        <v>70472501</v>
      </c>
      <c r="L1782" s="10" t="s">
        <v>101</v>
      </c>
      <c r="M1782" s="10" t="s">
        <v>102</v>
      </c>
      <c r="N1782" s="124" t="s">
        <v>451</v>
      </c>
      <c r="O1782" s="124" t="s">
        <v>451</v>
      </c>
      <c r="P1782" s="21">
        <v>34</v>
      </c>
      <c r="Q1782" s="10" t="s">
        <v>54</v>
      </c>
      <c r="R1782" s="10" t="s">
        <v>28</v>
      </c>
      <c r="S1782" s="10"/>
      <c r="T1782" s="10"/>
      <c r="U1782" s="10" t="s">
        <v>3458</v>
      </c>
      <c r="V1782" s="10" t="s">
        <v>3458</v>
      </c>
      <c r="W1782" s="50">
        <f>+J1782/$W$2</f>
        <v>1.4756299434374982E-5</v>
      </c>
      <c r="AC1782" s="47"/>
    </row>
    <row r="1783" spans="1:29">
      <c r="A1783" s="10" t="s">
        <v>3598</v>
      </c>
      <c r="B1783" s="10" t="s">
        <v>358</v>
      </c>
      <c r="C1783" s="124">
        <v>46373</v>
      </c>
      <c r="D1783" s="124" t="s">
        <v>471</v>
      </c>
      <c r="E1783" s="21">
        <v>0.95634867999999995</v>
      </c>
      <c r="F1783" s="10"/>
      <c r="G1783" s="14">
        <v>1183000</v>
      </c>
      <c r="H1783" s="14">
        <v>1131360.49</v>
      </c>
      <c r="I1783" s="14">
        <v>1183000</v>
      </c>
      <c r="J1783" s="14">
        <v>1131360.49</v>
      </c>
      <c r="K1783" s="12">
        <v>23</v>
      </c>
      <c r="L1783" s="10" t="s">
        <v>101</v>
      </c>
      <c r="M1783" s="10" t="s">
        <v>102</v>
      </c>
      <c r="N1783" s="124" t="s">
        <v>451</v>
      </c>
      <c r="O1783" s="124" t="s">
        <v>451</v>
      </c>
      <c r="P1783" s="21">
        <v>34</v>
      </c>
      <c r="Q1783" s="10" t="s">
        <v>54</v>
      </c>
      <c r="R1783" s="10" t="s">
        <v>28</v>
      </c>
      <c r="S1783" s="10"/>
      <c r="T1783" s="10"/>
      <c r="U1783" s="10" t="s">
        <v>3467</v>
      </c>
      <c r="V1783" s="10" t="s">
        <v>3467</v>
      </c>
      <c r="W1783" s="50">
        <f>+J1783/$W$2</f>
        <v>1.3846320262953699E-5</v>
      </c>
      <c r="AC1783" s="47"/>
    </row>
    <row r="1784" spans="1:29">
      <c r="A1784" s="10" t="s">
        <v>685</v>
      </c>
      <c r="B1784" s="10" t="s">
        <v>358</v>
      </c>
      <c r="C1784" s="124">
        <v>46373</v>
      </c>
      <c r="D1784" s="124" t="s">
        <v>471</v>
      </c>
      <c r="E1784" s="21">
        <v>0.96128541999999995</v>
      </c>
      <c r="F1784" s="10"/>
      <c r="G1784" s="14">
        <v>1500000</v>
      </c>
      <c r="H1784" s="14">
        <v>1441928.13</v>
      </c>
      <c r="I1784" s="14">
        <v>1500000</v>
      </c>
      <c r="J1784" s="14">
        <v>1441928.13</v>
      </c>
      <c r="K1784" s="12">
        <v>10793607</v>
      </c>
      <c r="L1784" s="10" t="s">
        <v>101</v>
      </c>
      <c r="M1784" s="10" t="s">
        <v>102</v>
      </c>
      <c r="N1784" s="124" t="s">
        <v>475</v>
      </c>
      <c r="O1784" s="124" t="s">
        <v>475</v>
      </c>
      <c r="P1784" s="21">
        <v>30</v>
      </c>
      <c r="Q1784" s="10" t="s">
        <v>54</v>
      </c>
      <c r="R1784" s="10" t="s">
        <v>28</v>
      </c>
      <c r="S1784" s="10"/>
      <c r="T1784" s="10"/>
      <c r="U1784" s="10" t="s">
        <v>3332</v>
      </c>
      <c r="V1784" s="10" t="s">
        <v>3332</v>
      </c>
      <c r="W1784" s="50">
        <f>+J1784/$W$2</f>
        <v>1.7647247593153915E-5</v>
      </c>
    </row>
    <row r="1785" spans="1:29">
      <c r="A1785" s="10" t="s">
        <v>135</v>
      </c>
      <c r="B1785" s="10" t="s">
        <v>358</v>
      </c>
      <c r="C1785" s="124">
        <v>46373</v>
      </c>
      <c r="D1785" s="124" t="s">
        <v>471</v>
      </c>
      <c r="E1785" s="21">
        <v>0.95512240000000004</v>
      </c>
      <c r="F1785" s="10"/>
      <c r="G1785" s="14">
        <v>115000000</v>
      </c>
      <c r="H1785" s="14">
        <v>109839076.31</v>
      </c>
      <c r="I1785" s="14">
        <v>115000000</v>
      </c>
      <c r="J1785" s="14">
        <v>109839076.31</v>
      </c>
      <c r="K1785" s="12">
        <v>1196</v>
      </c>
      <c r="L1785" s="10" t="s">
        <v>101</v>
      </c>
      <c r="M1785" s="10" t="s">
        <v>102</v>
      </c>
      <c r="N1785" s="124" t="s">
        <v>487</v>
      </c>
      <c r="O1785" s="124" t="s">
        <v>487</v>
      </c>
      <c r="P1785" s="21">
        <v>35</v>
      </c>
      <c r="Q1785" s="10" t="s">
        <v>54</v>
      </c>
      <c r="R1785" s="10" t="s">
        <v>28</v>
      </c>
      <c r="S1785" s="10"/>
      <c r="T1785" s="10"/>
      <c r="U1785" s="10" t="s">
        <v>1555</v>
      </c>
      <c r="V1785" s="10" t="s">
        <v>1555</v>
      </c>
      <c r="W1785" s="50">
        <f>+J1785/$W$2</f>
        <v>1.3442815454650272E-3</v>
      </c>
    </row>
    <row r="1786" spans="1:29">
      <c r="A1786" s="10" t="s">
        <v>367</v>
      </c>
      <c r="B1786" s="10" t="s">
        <v>358</v>
      </c>
      <c r="C1786" s="124">
        <v>46373</v>
      </c>
      <c r="D1786" s="124" t="s">
        <v>471</v>
      </c>
      <c r="E1786" s="21">
        <v>0.95757802999999997</v>
      </c>
      <c r="F1786" s="10"/>
      <c r="G1786" s="14">
        <v>2000000</v>
      </c>
      <c r="H1786" s="14">
        <v>1915156.06</v>
      </c>
      <c r="I1786" s="14">
        <v>2000000</v>
      </c>
      <c r="J1786" s="14">
        <v>1915156.06</v>
      </c>
      <c r="K1786" s="12">
        <v>43</v>
      </c>
      <c r="L1786" s="10" t="s">
        <v>101</v>
      </c>
      <c r="M1786" s="10" t="s">
        <v>102</v>
      </c>
      <c r="N1786" s="124" t="s">
        <v>442</v>
      </c>
      <c r="O1786" s="124" t="s">
        <v>442</v>
      </c>
      <c r="P1786" s="21">
        <v>33</v>
      </c>
      <c r="Q1786" s="10" t="s">
        <v>54</v>
      </c>
      <c r="R1786" s="10" t="s">
        <v>28</v>
      </c>
      <c r="S1786" s="10"/>
      <c r="T1786" s="10"/>
      <c r="U1786" s="10" t="s">
        <v>988</v>
      </c>
      <c r="V1786" s="10" t="s">
        <v>988</v>
      </c>
      <c r="W1786" s="50">
        <f>+J1786/$W$2</f>
        <v>2.3438916591736882E-5</v>
      </c>
    </row>
    <row r="1787" spans="1:29">
      <c r="A1787" s="10" t="s">
        <v>3311</v>
      </c>
      <c r="B1787" s="10" t="s">
        <v>358</v>
      </c>
      <c r="C1787" s="124">
        <v>46373</v>
      </c>
      <c r="D1787" s="124" t="s">
        <v>471</v>
      </c>
      <c r="E1787" s="21">
        <v>0.95757797</v>
      </c>
      <c r="F1787" s="10"/>
      <c r="G1787" s="14">
        <v>1040712.9</v>
      </c>
      <c r="H1787" s="14">
        <v>996563.75</v>
      </c>
      <c r="I1787" s="14">
        <v>1040712.9</v>
      </c>
      <c r="J1787" s="14">
        <v>996563.75</v>
      </c>
      <c r="K1787" s="12">
        <v>53305548</v>
      </c>
      <c r="L1787" s="10" t="s">
        <v>101</v>
      </c>
      <c r="M1787" s="10" t="s">
        <v>102</v>
      </c>
      <c r="N1787" s="124" t="s">
        <v>417</v>
      </c>
      <c r="O1787" s="124" t="s">
        <v>417</v>
      </c>
      <c r="P1787" s="21">
        <v>33</v>
      </c>
      <c r="Q1787" s="10" t="s">
        <v>54</v>
      </c>
      <c r="R1787" s="10" t="s">
        <v>28</v>
      </c>
      <c r="S1787" s="10"/>
      <c r="T1787" s="10"/>
      <c r="U1787" s="10" t="s">
        <v>3221</v>
      </c>
      <c r="V1787" s="10" t="s">
        <v>3221</v>
      </c>
      <c r="W1787" s="50">
        <f>+J1787/$W$2</f>
        <v>1.2196590712611966E-5</v>
      </c>
    </row>
    <row r="1788" spans="1:29">
      <c r="A1788" s="10" t="s">
        <v>271</v>
      </c>
      <c r="B1788" s="10" t="s">
        <v>358</v>
      </c>
      <c r="C1788" s="124">
        <v>46373</v>
      </c>
      <c r="D1788" s="124" t="s">
        <v>471</v>
      </c>
      <c r="E1788" s="21">
        <v>0.96627317000000001</v>
      </c>
      <c r="F1788" s="10"/>
      <c r="G1788" s="14">
        <v>5000000</v>
      </c>
      <c r="H1788" s="14">
        <v>4831365.8499999996</v>
      </c>
      <c r="I1788" s="14">
        <v>5000000</v>
      </c>
      <c r="J1788" s="14">
        <v>4831365.8499999996</v>
      </c>
      <c r="K1788" s="12">
        <v>491509</v>
      </c>
      <c r="L1788" s="10" t="s">
        <v>101</v>
      </c>
      <c r="M1788" s="10" t="s">
        <v>102</v>
      </c>
      <c r="N1788" s="124" t="s">
        <v>342</v>
      </c>
      <c r="O1788" s="124" t="s">
        <v>342</v>
      </c>
      <c r="P1788" s="21">
        <v>26</v>
      </c>
      <c r="Q1788" s="10" t="s">
        <v>54</v>
      </c>
      <c r="R1788" s="10" t="s">
        <v>28</v>
      </c>
      <c r="S1788" s="10"/>
      <c r="T1788" s="10"/>
      <c r="U1788" s="10" t="s">
        <v>756</v>
      </c>
      <c r="V1788" s="10" t="s">
        <v>756</v>
      </c>
      <c r="W1788" s="50">
        <f>+J1788/$W$2</f>
        <v>5.9129375170771175E-5</v>
      </c>
    </row>
    <row r="1789" spans="1:29">
      <c r="A1789" s="10" t="s">
        <v>150</v>
      </c>
      <c r="B1789" s="10" t="s">
        <v>358</v>
      </c>
      <c r="C1789" s="124">
        <v>46373</v>
      </c>
      <c r="D1789" s="124" t="s">
        <v>471</v>
      </c>
      <c r="E1789" s="21">
        <v>0.96377276000000001</v>
      </c>
      <c r="F1789" s="10"/>
      <c r="G1789" s="14">
        <v>40000000</v>
      </c>
      <c r="H1789" s="14">
        <v>38550910.270000003</v>
      </c>
      <c r="I1789" s="14">
        <v>40000000</v>
      </c>
      <c r="J1789" s="14">
        <v>38550910.270000003</v>
      </c>
      <c r="K1789" s="12">
        <v>54029681</v>
      </c>
      <c r="L1789" s="10" t="s">
        <v>101</v>
      </c>
      <c r="M1789" s="10" t="s">
        <v>102</v>
      </c>
      <c r="N1789" s="124" t="s">
        <v>449</v>
      </c>
      <c r="O1789" s="124" t="s">
        <v>449</v>
      </c>
      <c r="P1789" s="21">
        <v>28</v>
      </c>
      <c r="Q1789" s="10" t="s">
        <v>54</v>
      </c>
      <c r="R1789" s="10" t="s">
        <v>28</v>
      </c>
      <c r="S1789" s="10"/>
      <c r="T1789" s="10"/>
      <c r="U1789" s="10" t="s">
        <v>1929</v>
      </c>
      <c r="V1789" s="10" t="s">
        <v>1929</v>
      </c>
      <c r="W1789" s="50">
        <f>+J1789/$W$2</f>
        <v>4.7181093448544494E-4</v>
      </c>
    </row>
    <row r="1790" spans="1:29">
      <c r="A1790" s="10" t="s">
        <v>3319</v>
      </c>
      <c r="B1790" s="10" t="s">
        <v>358</v>
      </c>
      <c r="C1790" s="124">
        <v>46373</v>
      </c>
      <c r="D1790" s="124" t="s">
        <v>471</v>
      </c>
      <c r="E1790" s="21">
        <v>0.95757798000000005</v>
      </c>
      <c r="F1790" s="10"/>
      <c r="G1790" s="14">
        <v>1800000</v>
      </c>
      <c r="H1790" s="14">
        <v>1723640.37</v>
      </c>
      <c r="I1790" s="14">
        <v>1800000</v>
      </c>
      <c r="J1790" s="14">
        <v>1723640.37</v>
      </c>
      <c r="K1790" s="12">
        <v>30000442</v>
      </c>
      <c r="L1790" s="10" t="s">
        <v>101</v>
      </c>
      <c r="M1790" s="10" t="s">
        <v>102</v>
      </c>
      <c r="N1790" s="124" t="s">
        <v>417</v>
      </c>
      <c r="O1790" s="124" t="s">
        <v>417</v>
      </c>
      <c r="P1790" s="21">
        <v>33</v>
      </c>
      <c r="Q1790" s="10" t="s">
        <v>54</v>
      </c>
      <c r="R1790" s="10" t="s">
        <v>28</v>
      </c>
      <c r="S1790" s="10"/>
      <c r="T1790" s="10"/>
      <c r="U1790" s="10" t="s">
        <v>3291</v>
      </c>
      <c r="V1790" s="10" t="s">
        <v>3291</v>
      </c>
      <c r="W1790" s="50">
        <f>+J1790/$W$2</f>
        <v>2.109502390451695E-5</v>
      </c>
    </row>
    <row r="1791" spans="1:29">
      <c r="A1791" s="10" t="s">
        <v>2444</v>
      </c>
      <c r="B1791" s="10" t="s">
        <v>358</v>
      </c>
      <c r="C1791" s="124">
        <v>46373</v>
      </c>
      <c r="D1791" s="124" t="s">
        <v>471</v>
      </c>
      <c r="E1791" s="21">
        <v>0.96128522999999999</v>
      </c>
      <c r="F1791" s="10"/>
      <c r="G1791" s="14">
        <v>20000000</v>
      </c>
      <c r="H1791" s="14">
        <v>19225704.550000001</v>
      </c>
      <c r="I1791" s="14">
        <v>20000000</v>
      </c>
      <c r="J1791" s="14">
        <v>19225704.550000001</v>
      </c>
      <c r="K1791" s="12">
        <v>2487411</v>
      </c>
      <c r="L1791" s="10" t="s">
        <v>101</v>
      </c>
      <c r="M1791" s="10" t="s">
        <v>102</v>
      </c>
      <c r="N1791" s="124" t="s">
        <v>417</v>
      </c>
      <c r="O1791" s="124" t="s">
        <v>417</v>
      </c>
      <c r="P1791" s="21">
        <v>30</v>
      </c>
      <c r="Q1791" s="10" t="s">
        <v>54</v>
      </c>
      <c r="R1791" s="10" t="s">
        <v>28</v>
      </c>
      <c r="S1791" s="10"/>
      <c r="T1791" s="10"/>
      <c r="U1791" s="10" t="s">
        <v>3203</v>
      </c>
      <c r="V1791" s="10" t="s">
        <v>3203</v>
      </c>
      <c r="W1791" s="50">
        <f>+J1791/$W$2</f>
        <v>2.3529658745659939E-4</v>
      </c>
    </row>
    <row r="1792" spans="1:29">
      <c r="A1792" s="10" t="s">
        <v>2486</v>
      </c>
      <c r="B1792" s="10" t="s">
        <v>358</v>
      </c>
      <c r="C1792" s="124">
        <v>46373</v>
      </c>
      <c r="D1792" s="124" t="s">
        <v>471</v>
      </c>
      <c r="E1792" s="21">
        <v>0.95757809999999999</v>
      </c>
      <c r="F1792" s="10"/>
      <c r="G1792" s="14">
        <v>80000000</v>
      </c>
      <c r="H1792" s="14">
        <v>76606248.239999995</v>
      </c>
      <c r="I1792" s="14">
        <v>80000000</v>
      </c>
      <c r="J1792" s="14">
        <v>76606248.239999995</v>
      </c>
      <c r="K1792" s="12">
        <v>20883</v>
      </c>
      <c r="L1792" s="10" t="s">
        <v>101</v>
      </c>
      <c r="M1792" s="10" t="s">
        <v>102</v>
      </c>
      <c r="N1792" s="124" t="s">
        <v>464</v>
      </c>
      <c r="O1792" s="124" t="s">
        <v>464</v>
      </c>
      <c r="P1792" s="21">
        <v>33</v>
      </c>
      <c r="Q1792" s="10" t="s">
        <v>54</v>
      </c>
      <c r="R1792" s="10" t="s">
        <v>28</v>
      </c>
      <c r="S1792" s="10"/>
      <c r="T1792" s="10"/>
      <c r="U1792" s="10" t="s">
        <v>2545</v>
      </c>
      <c r="V1792" s="10" t="s">
        <v>2545</v>
      </c>
      <c r="W1792" s="50">
        <f>+J1792/$W$2</f>
        <v>9.3755673514316648E-4</v>
      </c>
    </row>
    <row r="1793" spans="1:29">
      <c r="A1793" s="10" t="s">
        <v>2674</v>
      </c>
      <c r="B1793" s="10" t="s">
        <v>358</v>
      </c>
      <c r="C1793" s="124">
        <v>46373</v>
      </c>
      <c r="D1793" s="124" t="s">
        <v>471</v>
      </c>
      <c r="E1793" s="21">
        <v>0.95881057999999997</v>
      </c>
      <c r="F1793" s="10"/>
      <c r="G1793" s="14">
        <v>50000000</v>
      </c>
      <c r="H1793" s="14">
        <v>47940529.149999999</v>
      </c>
      <c r="I1793" s="14">
        <v>50000000</v>
      </c>
      <c r="J1793" s="14">
        <v>47940529.149999999</v>
      </c>
      <c r="K1793" s="12">
        <v>5465</v>
      </c>
      <c r="L1793" s="10" t="s">
        <v>101</v>
      </c>
      <c r="M1793" s="10" t="s">
        <v>102</v>
      </c>
      <c r="N1793" s="124" t="s">
        <v>440</v>
      </c>
      <c r="O1793" s="124" t="s">
        <v>440</v>
      </c>
      <c r="P1793" s="21">
        <v>32</v>
      </c>
      <c r="Q1793" s="10" t="s">
        <v>54</v>
      </c>
      <c r="R1793" s="10" t="s">
        <v>28</v>
      </c>
      <c r="S1793" s="10"/>
      <c r="T1793" s="10"/>
      <c r="U1793" s="10" t="s">
        <v>2700</v>
      </c>
      <c r="V1793" s="10" t="s">
        <v>2700</v>
      </c>
      <c r="W1793" s="50">
        <f>+J1793/$W$2</f>
        <v>5.8672715377073789E-4</v>
      </c>
    </row>
    <row r="1794" spans="1:29">
      <c r="A1794" s="10" t="s">
        <v>400</v>
      </c>
      <c r="B1794" s="10" t="s">
        <v>358</v>
      </c>
      <c r="C1794" s="124">
        <v>46374</v>
      </c>
      <c r="D1794" s="124" t="s">
        <v>471</v>
      </c>
      <c r="E1794" s="21">
        <v>0.96052632999999998</v>
      </c>
      <c r="F1794" s="10"/>
      <c r="G1794" s="14">
        <v>5580000</v>
      </c>
      <c r="H1794" s="14">
        <v>5359736.91</v>
      </c>
      <c r="I1794" s="14">
        <v>5580000</v>
      </c>
      <c r="J1794" s="14">
        <v>5359736.91</v>
      </c>
      <c r="K1794" s="12">
        <v>11415148</v>
      </c>
      <c r="L1794" s="10" t="s">
        <v>101</v>
      </c>
      <c r="M1794" s="10" t="s">
        <v>102</v>
      </c>
      <c r="N1794" s="124" t="s">
        <v>449</v>
      </c>
      <c r="O1794" s="124" t="s">
        <v>449</v>
      </c>
      <c r="P1794" s="21">
        <v>30</v>
      </c>
      <c r="Q1794" s="10" t="s">
        <v>54</v>
      </c>
      <c r="R1794" s="10" t="s">
        <v>28</v>
      </c>
      <c r="S1794" s="10"/>
      <c r="T1794" s="10"/>
      <c r="U1794" s="10" t="s">
        <v>1922</v>
      </c>
      <c r="V1794" s="10" t="s">
        <v>1922</v>
      </c>
      <c r="W1794" s="50">
        <f>+J1794/$W$2</f>
        <v>6.5595921403472249E-5</v>
      </c>
    </row>
    <row r="1795" spans="1:29">
      <c r="A1795" s="10" t="s">
        <v>334</v>
      </c>
      <c r="B1795" s="10" t="s">
        <v>358</v>
      </c>
      <c r="C1795" s="124">
        <v>46374</v>
      </c>
      <c r="D1795" s="124" t="s">
        <v>471</v>
      </c>
      <c r="E1795" s="21">
        <v>0.95300271999999997</v>
      </c>
      <c r="F1795" s="10"/>
      <c r="G1795" s="14">
        <v>2954385</v>
      </c>
      <c r="H1795" s="14">
        <v>2815536.93</v>
      </c>
      <c r="I1795" s="14">
        <v>2954385</v>
      </c>
      <c r="J1795" s="14">
        <v>2815536.93</v>
      </c>
      <c r="K1795" s="12">
        <v>3331</v>
      </c>
      <c r="L1795" s="10" t="s">
        <v>101</v>
      </c>
      <c r="M1795" s="10" t="s">
        <v>102</v>
      </c>
      <c r="N1795" s="124" t="s">
        <v>365</v>
      </c>
      <c r="O1795" s="124" t="s">
        <v>365</v>
      </c>
      <c r="P1795" s="21">
        <v>36</v>
      </c>
      <c r="Q1795" s="10" t="s">
        <v>54</v>
      </c>
      <c r="R1795" s="10" t="s">
        <v>28</v>
      </c>
      <c r="S1795" s="10"/>
      <c r="T1795" s="10"/>
      <c r="U1795" s="10" t="s">
        <v>1323</v>
      </c>
      <c r="V1795" s="10" t="s">
        <v>1323</v>
      </c>
      <c r="W1795" s="50">
        <f>+J1795/$W$2</f>
        <v>3.4458359107938665E-5</v>
      </c>
    </row>
    <row r="1796" spans="1:29">
      <c r="A1796" s="10" t="s">
        <v>334</v>
      </c>
      <c r="B1796" s="10" t="s">
        <v>358</v>
      </c>
      <c r="C1796" s="124">
        <v>46374</v>
      </c>
      <c r="D1796" s="124" t="s">
        <v>471</v>
      </c>
      <c r="E1796" s="21">
        <v>0.95300260999999997</v>
      </c>
      <c r="F1796" s="10"/>
      <c r="G1796" s="14">
        <v>3105640.28</v>
      </c>
      <c r="H1796" s="14">
        <v>2959683.3</v>
      </c>
      <c r="I1796" s="14">
        <v>3105640.28</v>
      </c>
      <c r="J1796" s="14">
        <v>2959683.3</v>
      </c>
      <c r="K1796" s="12">
        <v>3397</v>
      </c>
      <c r="L1796" s="10" t="s">
        <v>101</v>
      </c>
      <c r="M1796" s="10" t="s">
        <v>102</v>
      </c>
      <c r="N1796" s="124" t="s">
        <v>486</v>
      </c>
      <c r="O1796" s="124" t="s">
        <v>486</v>
      </c>
      <c r="P1796" s="21">
        <v>36</v>
      </c>
      <c r="Q1796" s="10" t="s">
        <v>54</v>
      </c>
      <c r="R1796" s="10" t="s">
        <v>28</v>
      </c>
      <c r="S1796" s="10"/>
      <c r="T1796" s="10"/>
      <c r="U1796" s="10" t="s">
        <v>1478</v>
      </c>
      <c r="V1796" s="10" t="s">
        <v>1478</v>
      </c>
      <c r="W1796" s="50">
        <f>+J1796/$W$2</f>
        <v>3.6222515467829065E-5</v>
      </c>
    </row>
    <row r="1797" spans="1:29">
      <c r="A1797" s="10" t="s">
        <v>334</v>
      </c>
      <c r="B1797" s="10" t="s">
        <v>358</v>
      </c>
      <c r="C1797" s="124">
        <v>46374</v>
      </c>
      <c r="D1797" s="124" t="s">
        <v>471</v>
      </c>
      <c r="E1797" s="21">
        <v>0.95300262999999996</v>
      </c>
      <c r="F1797" s="10"/>
      <c r="G1797" s="14">
        <v>2874176.47</v>
      </c>
      <c r="H1797" s="14">
        <v>2739097.75</v>
      </c>
      <c r="I1797" s="14">
        <v>2874176.47</v>
      </c>
      <c r="J1797" s="14">
        <v>2739097.75</v>
      </c>
      <c r="K1797" s="12">
        <v>3445</v>
      </c>
      <c r="L1797" s="10" t="s">
        <v>101</v>
      </c>
      <c r="M1797" s="10" t="s">
        <v>102</v>
      </c>
      <c r="N1797" s="124" t="s">
        <v>487</v>
      </c>
      <c r="O1797" s="124" t="s">
        <v>487</v>
      </c>
      <c r="P1797" s="21">
        <v>36</v>
      </c>
      <c r="Q1797" s="10" t="s">
        <v>54</v>
      </c>
      <c r="R1797" s="10" t="s">
        <v>28</v>
      </c>
      <c r="S1797" s="10"/>
      <c r="T1797" s="10"/>
      <c r="U1797" s="10" t="s">
        <v>1569</v>
      </c>
      <c r="V1797" s="10" t="s">
        <v>1569</v>
      </c>
      <c r="W1797" s="50">
        <f>+J1797/$W$2</f>
        <v>3.352284706180245E-5</v>
      </c>
    </row>
    <row r="1798" spans="1:29">
      <c r="A1798" s="10" t="s">
        <v>1826</v>
      </c>
      <c r="B1798" s="10" t="s">
        <v>358</v>
      </c>
      <c r="C1798" s="124">
        <v>46374</v>
      </c>
      <c r="D1798" s="124" t="s">
        <v>471</v>
      </c>
      <c r="E1798" s="21">
        <v>0.95800532999999999</v>
      </c>
      <c r="F1798" s="10"/>
      <c r="G1798" s="14">
        <v>21145734.48</v>
      </c>
      <c r="H1798" s="14">
        <v>20257726.359999999</v>
      </c>
      <c r="I1798" s="14">
        <v>21145734.48</v>
      </c>
      <c r="J1798" s="14">
        <v>20257726.359999999</v>
      </c>
      <c r="K1798" s="12">
        <v>1985961</v>
      </c>
      <c r="L1798" s="10" t="s">
        <v>101</v>
      </c>
      <c r="M1798" s="10" t="s">
        <v>102</v>
      </c>
      <c r="N1798" s="124" t="s">
        <v>395</v>
      </c>
      <c r="O1798" s="124" t="s">
        <v>395</v>
      </c>
      <c r="P1798" s="21">
        <v>32</v>
      </c>
      <c r="Q1798" s="10" t="s">
        <v>54</v>
      </c>
      <c r="R1798" s="10" t="s">
        <v>28</v>
      </c>
      <c r="S1798" s="10"/>
      <c r="T1798" s="10"/>
      <c r="U1798" s="10" t="s">
        <v>1794</v>
      </c>
      <c r="V1798" s="10" t="s">
        <v>1794</v>
      </c>
      <c r="W1798" s="50">
        <f>+J1798/$W$2</f>
        <v>2.4792713680485629E-4</v>
      </c>
    </row>
    <row r="1799" spans="1:29">
      <c r="A1799" s="10" t="s">
        <v>2439</v>
      </c>
      <c r="B1799" s="10" t="s">
        <v>358</v>
      </c>
      <c r="C1799" s="124">
        <v>46374</v>
      </c>
      <c r="D1799" s="124" t="s">
        <v>471</v>
      </c>
      <c r="E1799" s="21">
        <v>0.96052641999999999</v>
      </c>
      <c r="F1799" s="10"/>
      <c r="G1799" s="14">
        <v>3396000</v>
      </c>
      <c r="H1799" s="14">
        <v>3261947.71</v>
      </c>
      <c r="I1799" s="14">
        <v>3396000</v>
      </c>
      <c r="J1799" s="14">
        <v>3261947.71</v>
      </c>
      <c r="K1799" s="12">
        <v>3970</v>
      </c>
      <c r="L1799" s="10" t="s">
        <v>101</v>
      </c>
      <c r="M1799" s="10" t="s">
        <v>102</v>
      </c>
      <c r="N1799" s="124" t="s">
        <v>448</v>
      </c>
      <c r="O1799" s="124" t="s">
        <v>448</v>
      </c>
      <c r="P1799" s="21">
        <v>30</v>
      </c>
      <c r="Q1799" s="10" t="s">
        <v>54</v>
      </c>
      <c r="R1799" s="10" t="s">
        <v>28</v>
      </c>
      <c r="S1799" s="10"/>
      <c r="T1799" s="10"/>
      <c r="U1799" s="10" t="s">
        <v>3146</v>
      </c>
      <c r="V1799" s="10" t="s">
        <v>3146</v>
      </c>
      <c r="W1799" s="50">
        <f>+J1799/$W$2</f>
        <v>3.9921822507402939E-5</v>
      </c>
    </row>
    <row r="1800" spans="1:29">
      <c r="A1800" s="10" t="s">
        <v>401</v>
      </c>
      <c r="B1800" s="10" t="s">
        <v>358</v>
      </c>
      <c r="C1800" s="124">
        <v>46374</v>
      </c>
      <c r="D1800" s="124" t="s">
        <v>471</v>
      </c>
      <c r="E1800" s="21">
        <v>0.96306082000000004</v>
      </c>
      <c r="F1800" s="10"/>
      <c r="G1800" s="14">
        <v>8400000</v>
      </c>
      <c r="H1800" s="14">
        <v>8089710.8600000003</v>
      </c>
      <c r="I1800" s="14">
        <v>8400000</v>
      </c>
      <c r="J1800" s="14">
        <v>8089710.8600000003</v>
      </c>
      <c r="K1800" s="12">
        <v>2460</v>
      </c>
      <c r="L1800" s="10" t="s">
        <v>101</v>
      </c>
      <c r="M1800" s="10" t="s">
        <v>102</v>
      </c>
      <c r="N1800" s="124" t="s">
        <v>408</v>
      </c>
      <c r="O1800" s="124" t="s">
        <v>408</v>
      </c>
      <c r="P1800" s="21">
        <v>28</v>
      </c>
      <c r="Q1800" s="10" t="s">
        <v>54</v>
      </c>
      <c r="R1800" s="10" t="s">
        <v>28</v>
      </c>
      <c r="S1800" s="10"/>
      <c r="T1800" s="10"/>
      <c r="U1800" s="10" t="s">
        <v>2060</v>
      </c>
      <c r="V1800" s="10" t="s">
        <v>2060</v>
      </c>
      <c r="W1800" s="50">
        <f>+J1800/$W$2</f>
        <v>9.9007105509097806E-5</v>
      </c>
    </row>
    <row r="1801" spans="1:29">
      <c r="A1801" s="10" t="s">
        <v>1764</v>
      </c>
      <c r="B1801" s="10" t="s">
        <v>358</v>
      </c>
      <c r="C1801" s="124">
        <v>46374</v>
      </c>
      <c r="D1801" s="124" t="s">
        <v>471</v>
      </c>
      <c r="E1801" s="21">
        <v>0.95674979000000004</v>
      </c>
      <c r="F1801" s="10"/>
      <c r="G1801" s="14">
        <v>385000000</v>
      </c>
      <c r="H1801" s="14">
        <v>368348670.69</v>
      </c>
      <c r="I1801" s="14">
        <v>385000000</v>
      </c>
      <c r="J1801" s="14">
        <v>368348670.69</v>
      </c>
      <c r="K1801" s="12">
        <v>91310506</v>
      </c>
      <c r="L1801" s="10" t="s">
        <v>101</v>
      </c>
      <c r="M1801" s="10" t="s">
        <v>102</v>
      </c>
      <c r="N1801" s="124" t="s">
        <v>603</v>
      </c>
      <c r="O1801" s="124" t="s">
        <v>603</v>
      </c>
      <c r="P1801" s="21">
        <v>33</v>
      </c>
      <c r="Q1801" s="10" t="s">
        <v>54</v>
      </c>
      <c r="R1801" s="10" t="s">
        <v>28</v>
      </c>
      <c r="S1801" s="10"/>
      <c r="T1801" s="10"/>
      <c r="U1801" s="10" t="s">
        <v>2596</v>
      </c>
      <c r="V1801" s="10" t="s">
        <v>2596</v>
      </c>
      <c r="W1801" s="50">
        <f>+J1801/$W$2</f>
        <v>4.5080888964109094E-3</v>
      </c>
    </row>
    <row r="1802" spans="1:29">
      <c r="A1802" s="10" t="s">
        <v>3322</v>
      </c>
      <c r="B1802" s="10" t="s">
        <v>358</v>
      </c>
      <c r="C1802" s="124">
        <v>46374</v>
      </c>
      <c r="D1802" s="124" t="s">
        <v>471</v>
      </c>
      <c r="E1802" s="21">
        <v>0.95674985999999995</v>
      </c>
      <c r="F1802" s="10"/>
      <c r="G1802" s="14">
        <v>528139.15</v>
      </c>
      <c r="H1802" s="14">
        <v>505297.06</v>
      </c>
      <c r="I1802" s="14">
        <v>528139.15</v>
      </c>
      <c r="J1802" s="14">
        <v>505297.06</v>
      </c>
      <c r="K1802" s="12">
        <v>17705</v>
      </c>
      <c r="L1802" s="10" t="s">
        <v>101</v>
      </c>
      <c r="M1802" s="10" t="s">
        <v>102</v>
      </c>
      <c r="N1802" s="124" t="s">
        <v>417</v>
      </c>
      <c r="O1802" s="124" t="s">
        <v>417</v>
      </c>
      <c r="P1802" s="21">
        <v>33</v>
      </c>
      <c r="Q1802" s="10" t="s">
        <v>54</v>
      </c>
      <c r="R1802" s="10" t="s">
        <v>28</v>
      </c>
      <c r="S1802" s="10"/>
      <c r="T1802" s="10"/>
      <c r="U1802" s="10" t="s">
        <v>3223</v>
      </c>
      <c r="V1802" s="10" t="s">
        <v>3223</v>
      </c>
      <c r="W1802" s="50">
        <f>+J1802/$W$2</f>
        <v>6.1841517204555472E-6</v>
      </c>
    </row>
    <row r="1803" spans="1:29">
      <c r="A1803" s="10" t="s">
        <v>2435</v>
      </c>
      <c r="B1803" s="10" t="s">
        <v>358</v>
      </c>
      <c r="C1803" s="124">
        <v>46374</v>
      </c>
      <c r="D1803" s="124" t="s">
        <v>471</v>
      </c>
      <c r="E1803" s="21">
        <v>0.96179183999999995</v>
      </c>
      <c r="F1803" s="10"/>
      <c r="G1803" s="14">
        <v>450000</v>
      </c>
      <c r="H1803" s="14">
        <v>432806.33</v>
      </c>
      <c r="I1803" s="14">
        <v>450000</v>
      </c>
      <c r="J1803" s="14">
        <v>432806.33</v>
      </c>
      <c r="K1803" s="12">
        <v>11456513</v>
      </c>
      <c r="L1803" s="10" t="s">
        <v>101</v>
      </c>
      <c r="M1803" s="10" t="s">
        <v>102</v>
      </c>
      <c r="N1803" s="124" t="s">
        <v>469</v>
      </c>
      <c r="O1803" s="124" t="s">
        <v>469</v>
      </c>
      <c r="P1803" s="21">
        <v>29</v>
      </c>
      <c r="Q1803" s="10" t="s">
        <v>54</v>
      </c>
      <c r="R1803" s="10" t="s">
        <v>28</v>
      </c>
      <c r="S1803" s="10"/>
      <c r="T1803" s="10"/>
      <c r="U1803" s="10" t="s">
        <v>4036</v>
      </c>
      <c r="V1803" s="10" t="s">
        <v>4036</v>
      </c>
      <c r="W1803" s="50">
        <f>+J1803/$W$2</f>
        <v>5.2969633551668625E-6</v>
      </c>
    </row>
    <row r="1804" spans="1:29">
      <c r="A1804" s="10" t="s">
        <v>710</v>
      </c>
      <c r="B1804" s="10" t="s">
        <v>358</v>
      </c>
      <c r="C1804" s="124">
        <v>46374</v>
      </c>
      <c r="D1804" s="124" t="s">
        <v>471</v>
      </c>
      <c r="E1804" s="21">
        <v>0.96052641000000005</v>
      </c>
      <c r="F1804" s="10"/>
      <c r="G1804" s="14">
        <v>1094384</v>
      </c>
      <c r="H1804" s="14">
        <v>1051184.74</v>
      </c>
      <c r="I1804" s="14">
        <v>1094384</v>
      </c>
      <c r="J1804" s="14">
        <v>1051184.74</v>
      </c>
      <c r="K1804" s="12">
        <v>2528</v>
      </c>
      <c r="L1804" s="10" t="s">
        <v>101</v>
      </c>
      <c r="M1804" s="10" t="s">
        <v>102</v>
      </c>
      <c r="N1804" s="124" t="s">
        <v>448</v>
      </c>
      <c r="O1804" s="124" t="s">
        <v>448</v>
      </c>
      <c r="P1804" s="21">
        <v>30</v>
      </c>
      <c r="Q1804" s="10" t="s">
        <v>54</v>
      </c>
      <c r="R1804" s="10" t="s">
        <v>28</v>
      </c>
      <c r="S1804" s="10"/>
      <c r="T1804" s="10"/>
      <c r="U1804" s="10" t="s">
        <v>3152</v>
      </c>
      <c r="V1804" s="10" t="s">
        <v>3152</v>
      </c>
      <c r="W1804" s="50">
        <f>+J1804/$W$2</f>
        <v>1.2865077660233402E-5</v>
      </c>
      <c r="AC1804" s="47"/>
    </row>
    <row r="1805" spans="1:29">
      <c r="A1805" s="10" t="s">
        <v>832</v>
      </c>
      <c r="B1805" s="10" t="s">
        <v>358</v>
      </c>
      <c r="C1805" s="124">
        <v>46374</v>
      </c>
      <c r="D1805" s="124" t="s">
        <v>471</v>
      </c>
      <c r="E1805" s="21">
        <v>0.95674970000000004</v>
      </c>
      <c r="F1805" s="10"/>
      <c r="G1805" s="14">
        <v>12839.68</v>
      </c>
      <c r="H1805" s="14">
        <v>12284.36</v>
      </c>
      <c r="I1805" s="14">
        <v>12839.68</v>
      </c>
      <c r="J1805" s="14">
        <v>12284.36</v>
      </c>
      <c r="K1805" s="12">
        <v>30101605</v>
      </c>
      <c r="L1805" s="10" t="s">
        <v>101</v>
      </c>
      <c r="M1805" s="10" t="s">
        <v>102</v>
      </c>
      <c r="N1805" s="124" t="s">
        <v>408</v>
      </c>
      <c r="O1805" s="124" t="s">
        <v>408</v>
      </c>
      <c r="P1805" s="21">
        <v>33</v>
      </c>
      <c r="Q1805" s="10" t="s">
        <v>54</v>
      </c>
      <c r="R1805" s="10" t="s">
        <v>28</v>
      </c>
      <c r="S1805" s="10"/>
      <c r="T1805" s="10"/>
      <c r="U1805" s="10" t="s">
        <v>2048</v>
      </c>
      <c r="V1805" s="10" t="s">
        <v>2048</v>
      </c>
      <c r="W1805" s="50">
        <f>+J1805/$W$2</f>
        <v>1.5034393041727831E-7</v>
      </c>
      <c r="AC1805" s="47"/>
    </row>
    <row r="1806" spans="1:29">
      <c r="A1806" s="10" t="s">
        <v>220</v>
      </c>
      <c r="B1806" s="10" t="s">
        <v>358</v>
      </c>
      <c r="C1806" s="124">
        <v>46374</v>
      </c>
      <c r="D1806" s="124" t="s">
        <v>471</v>
      </c>
      <c r="E1806" s="21">
        <v>0.95674974000000002</v>
      </c>
      <c r="F1806" s="10"/>
      <c r="G1806" s="14">
        <v>25000000</v>
      </c>
      <c r="H1806" s="14">
        <v>23918743.41</v>
      </c>
      <c r="I1806" s="14">
        <v>25000000</v>
      </c>
      <c r="J1806" s="14">
        <v>23918743.41</v>
      </c>
      <c r="K1806" s="12">
        <v>475888</v>
      </c>
      <c r="L1806" s="10" t="s">
        <v>101</v>
      </c>
      <c r="M1806" s="10" t="s">
        <v>102</v>
      </c>
      <c r="N1806" s="124" t="s">
        <v>332</v>
      </c>
      <c r="O1806" s="124" t="s">
        <v>332</v>
      </c>
      <c r="P1806" s="21">
        <v>33</v>
      </c>
      <c r="Q1806" s="10" t="s">
        <v>54</v>
      </c>
      <c r="R1806" s="10" t="s">
        <v>28</v>
      </c>
      <c r="S1806" s="10"/>
      <c r="T1806" s="10"/>
      <c r="U1806" s="10" t="s">
        <v>919</v>
      </c>
      <c r="V1806" s="10" t="s">
        <v>919</v>
      </c>
      <c r="W1806" s="50">
        <f>+J1806/$W$2</f>
        <v>2.9273302759783774E-4</v>
      </c>
      <c r="AC1806" s="47"/>
    </row>
    <row r="1807" spans="1:29">
      <c r="A1807" s="10" t="s">
        <v>2015</v>
      </c>
      <c r="B1807" s="10" t="s">
        <v>358</v>
      </c>
      <c r="C1807" s="124">
        <v>46374</v>
      </c>
      <c r="D1807" s="124" t="s">
        <v>471</v>
      </c>
      <c r="E1807" s="21">
        <v>0.96306069999999999</v>
      </c>
      <c r="F1807" s="10"/>
      <c r="G1807" s="14">
        <v>160000000</v>
      </c>
      <c r="H1807" s="14">
        <v>154089711.38999999</v>
      </c>
      <c r="I1807" s="14">
        <v>160000000</v>
      </c>
      <c r="J1807" s="14">
        <v>154089711.38999999</v>
      </c>
      <c r="K1807" s="12">
        <v>39</v>
      </c>
      <c r="L1807" s="10" t="s">
        <v>101</v>
      </c>
      <c r="M1807" s="10" t="s">
        <v>102</v>
      </c>
      <c r="N1807" s="124" t="s">
        <v>449</v>
      </c>
      <c r="O1807" s="124" t="s">
        <v>449</v>
      </c>
      <c r="P1807" s="21">
        <v>28</v>
      </c>
      <c r="Q1807" s="10" t="s">
        <v>54</v>
      </c>
      <c r="R1807" s="10" t="s">
        <v>28</v>
      </c>
      <c r="S1807" s="10"/>
      <c r="T1807" s="10"/>
      <c r="U1807" s="10" t="s">
        <v>1941</v>
      </c>
      <c r="V1807" s="10" t="s">
        <v>1941</v>
      </c>
      <c r="W1807" s="50">
        <f>+J1807/$W$2</f>
        <v>1.8858493928244251E-3</v>
      </c>
    </row>
    <row r="1808" spans="1:29">
      <c r="A1808" s="10" t="s">
        <v>564</v>
      </c>
      <c r="B1808" s="10" t="s">
        <v>358</v>
      </c>
      <c r="C1808" s="124">
        <v>46374</v>
      </c>
      <c r="D1808" s="124" t="s">
        <v>471</v>
      </c>
      <c r="E1808" s="21">
        <v>0.95674970000000004</v>
      </c>
      <c r="F1808" s="10"/>
      <c r="G1808" s="14">
        <v>6820314.5199999996</v>
      </c>
      <c r="H1808" s="14">
        <v>6525333.9000000004</v>
      </c>
      <c r="I1808" s="14">
        <v>6820314.5199999996</v>
      </c>
      <c r="J1808" s="14">
        <v>6525333.9000000004</v>
      </c>
      <c r="K1808" s="12">
        <v>769</v>
      </c>
      <c r="L1808" s="10" t="s">
        <v>101</v>
      </c>
      <c r="M1808" s="10" t="s">
        <v>102</v>
      </c>
      <c r="N1808" s="124" t="s">
        <v>409</v>
      </c>
      <c r="O1808" s="124" t="s">
        <v>409</v>
      </c>
      <c r="P1808" s="21">
        <v>33</v>
      </c>
      <c r="Q1808" s="10" t="s">
        <v>54</v>
      </c>
      <c r="R1808" s="10" t="s">
        <v>28</v>
      </c>
      <c r="S1808" s="10"/>
      <c r="T1808" s="10"/>
      <c r="U1808" s="10" t="s">
        <v>895</v>
      </c>
      <c r="V1808" s="10" t="s">
        <v>895</v>
      </c>
      <c r="W1808" s="50">
        <f>+J1808/$W$2</f>
        <v>7.9861250061957428E-5</v>
      </c>
    </row>
    <row r="1809" spans="1:29">
      <c r="A1809" s="10" t="s">
        <v>582</v>
      </c>
      <c r="B1809" s="10" t="s">
        <v>358</v>
      </c>
      <c r="C1809" s="124">
        <v>46374</v>
      </c>
      <c r="D1809" s="124" t="s">
        <v>471</v>
      </c>
      <c r="E1809" s="21">
        <v>0.95300264999999995</v>
      </c>
      <c r="F1809" s="10"/>
      <c r="G1809" s="14">
        <v>22578937.030000001</v>
      </c>
      <c r="H1809" s="14">
        <v>21517786.870000001</v>
      </c>
      <c r="I1809" s="14">
        <v>22578937.030000001</v>
      </c>
      <c r="J1809" s="14">
        <v>21517786.870000001</v>
      </c>
      <c r="K1809" s="12">
        <v>67998226</v>
      </c>
      <c r="L1809" s="10" t="s">
        <v>101</v>
      </c>
      <c r="M1809" s="10" t="s">
        <v>102</v>
      </c>
      <c r="N1809" s="124" t="s">
        <v>297</v>
      </c>
      <c r="O1809" s="124" t="s">
        <v>297</v>
      </c>
      <c r="P1809" s="21">
        <v>36</v>
      </c>
      <c r="Q1809" s="10" t="s">
        <v>54</v>
      </c>
      <c r="R1809" s="10" t="s">
        <v>28</v>
      </c>
      <c r="S1809" s="10"/>
      <c r="T1809" s="10"/>
      <c r="U1809" s="10" t="s">
        <v>613</v>
      </c>
      <c r="V1809" s="10" t="s">
        <v>613</v>
      </c>
      <c r="W1809" s="50">
        <f>+J1809/$W$2</f>
        <v>2.6334857102177934E-4</v>
      </c>
    </row>
    <row r="1810" spans="1:29">
      <c r="A1810" s="10" t="s">
        <v>295</v>
      </c>
      <c r="B1810" s="10" t="s">
        <v>358</v>
      </c>
      <c r="C1810" s="124">
        <v>46374</v>
      </c>
      <c r="D1810" s="124" t="s">
        <v>471</v>
      </c>
      <c r="E1810" s="21">
        <v>0.97333347000000003</v>
      </c>
      <c r="F1810" s="10"/>
      <c r="G1810" s="14">
        <v>11000000</v>
      </c>
      <c r="H1810" s="14">
        <v>10706668.18</v>
      </c>
      <c r="I1810" s="14">
        <v>11000000</v>
      </c>
      <c r="J1810" s="14">
        <v>10706668.18</v>
      </c>
      <c r="K1810" s="12">
        <v>543</v>
      </c>
      <c r="L1810" s="10" t="s">
        <v>101</v>
      </c>
      <c r="M1810" s="10" t="s">
        <v>102</v>
      </c>
      <c r="N1810" s="124" t="s">
        <v>474</v>
      </c>
      <c r="O1810" s="124" t="s">
        <v>474</v>
      </c>
      <c r="P1810" s="21">
        <v>20</v>
      </c>
      <c r="Q1810" s="10" t="s">
        <v>54</v>
      </c>
      <c r="R1810" s="10" t="s">
        <v>28</v>
      </c>
      <c r="S1810" s="10"/>
      <c r="T1810" s="10"/>
      <c r="U1810" s="10" t="s">
        <v>3887</v>
      </c>
      <c r="V1810" s="10" t="s">
        <v>3887</v>
      </c>
      <c r="W1810" s="50">
        <f>+J1810/$W$2</f>
        <v>1.310351191152659E-4</v>
      </c>
      <c r="AC1810" s="47"/>
    </row>
    <row r="1811" spans="1:29">
      <c r="A1811" s="10" t="s">
        <v>433</v>
      </c>
      <c r="B1811" s="10" t="s">
        <v>358</v>
      </c>
      <c r="C1811" s="124">
        <v>46374</v>
      </c>
      <c r="D1811" s="124" t="s">
        <v>471</v>
      </c>
      <c r="E1811" s="21">
        <v>0.95674977000000005</v>
      </c>
      <c r="F1811" s="10"/>
      <c r="G1811" s="14">
        <v>25000000</v>
      </c>
      <c r="H1811" s="14">
        <v>23918744.219999999</v>
      </c>
      <c r="I1811" s="14">
        <v>25000000</v>
      </c>
      <c r="J1811" s="14">
        <v>23918744.219999999</v>
      </c>
      <c r="K1811" s="12">
        <v>14422598</v>
      </c>
      <c r="L1811" s="10" t="s">
        <v>101</v>
      </c>
      <c r="M1811" s="10" t="s">
        <v>102</v>
      </c>
      <c r="N1811" s="124" t="s">
        <v>365</v>
      </c>
      <c r="O1811" s="124" t="s">
        <v>365</v>
      </c>
      <c r="P1811" s="21">
        <v>33</v>
      </c>
      <c r="Q1811" s="10" t="s">
        <v>54</v>
      </c>
      <c r="R1811" s="10" t="s">
        <v>28</v>
      </c>
      <c r="S1811" s="10"/>
      <c r="T1811" s="10"/>
      <c r="U1811" s="10" t="s">
        <v>1339</v>
      </c>
      <c r="V1811" s="10" t="s">
        <v>1339</v>
      </c>
      <c r="W1811" s="50">
        <f>+J1811/$W$2</f>
        <v>2.9273303751114078E-4</v>
      </c>
    </row>
    <row r="1812" spans="1:29">
      <c r="A1812" s="10" t="s">
        <v>3796</v>
      </c>
      <c r="B1812" s="10" t="s">
        <v>358</v>
      </c>
      <c r="C1812" s="124">
        <v>46374</v>
      </c>
      <c r="D1812" s="124" t="s">
        <v>471</v>
      </c>
      <c r="E1812" s="21">
        <v>0.95424854999999997</v>
      </c>
      <c r="F1812" s="10"/>
      <c r="G1812" s="14">
        <v>391319.8</v>
      </c>
      <c r="H1812" s="14">
        <v>373416.35</v>
      </c>
      <c r="I1812" s="14">
        <v>391319.8</v>
      </c>
      <c r="J1812" s="14">
        <v>373416.35</v>
      </c>
      <c r="K1812" s="12">
        <v>285</v>
      </c>
      <c r="L1812" s="10" t="s">
        <v>101</v>
      </c>
      <c r="M1812" s="10" t="s">
        <v>102</v>
      </c>
      <c r="N1812" s="124" t="s">
        <v>467</v>
      </c>
      <c r="O1812" s="124" t="s">
        <v>467</v>
      </c>
      <c r="P1812" s="21">
        <v>35</v>
      </c>
      <c r="Q1812" s="10" t="s">
        <v>54</v>
      </c>
      <c r="R1812" s="10" t="s">
        <v>28</v>
      </c>
      <c r="S1812" s="10"/>
      <c r="T1812" s="10"/>
      <c r="U1812" s="10" t="s">
        <v>3754</v>
      </c>
      <c r="V1812" s="10" t="s">
        <v>3754</v>
      </c>
      <c r="W1812" s="50">
        <f>+J1812/$W$2</f>
        <v>4.5701104283067282E-6</v>
      </c>
    </row>
    <row r="1813" spans="1:29">
      <c r="A1813" s="10" t="s">
        <v>3601</v>
      </c>
      <c r="B1813" s="10" t="s">
        <v>358</v>
      </c>
      <c r="C1813" s="124">
        <v>46374</v>
      </c>
      <c r="D1813" s="124" t="s">
        <v>471</v>
      </c>
      <c r="E1813" s="21">
        <v>0.95549740000000005</v>
      </c>
      <c r="F1813" s="10"/>
      <c r="G1813" s="14">
        <v>618696.5</v>
      </c>
      <c r="H1813" s="14">
        <v>591162.9</v>
      </c>
      <c r="I1813" s="14">
        <v>618696.5</v>
      </c>
      <c r="J1813" s="14">
        <v>591162.9</v>
      </c>
      <c r="K1813" s="12">
        <v>70496809</v>
      </c>
      <c r="L1813" s="10" t="s">
        <v>101</v>
      </c>
      <c r="M1813" s="10" t="s">
        <v>102</v>
      </c>
      <c r="N1813" s="124" t="s">
        <v>451</v>
      </c>
      <c r="O1813" s="124" t="s">
        <v>451</v>
      </c>
      <c r="P1813" s="21">
        <v>34</v>
      </c>
      <c r="Q1813" s="10" t="s">
        <v>54</v>
      </c>
      <c r="R1813" s="10" t="s">
        <v>28</v>
      </c>
      <c r="S1813" s="10"/>
      <c r="T1813" s="10"/>
      <c r="U1813" s="10" t="s">
        <v>3487</v>
      </c>
      <c r="V1813" s="10" t="s">
        <v>3487</v>
      </c>
      <c r="W1813" s="50">
        <f>+J1813/$W$2</f>
        <v>7.2350333190232507E-6</v>
      </c>
    </row>
    <row r="1814" spans="1:29">
      <c r="A1814" s="10" t="s">
        <v>376</v>
      </c>
      <c r="B1814" s="10" t="s">
        <v>358</v>
      </c>
      <c r="C1814" s="124">
        <v>46374</v>
      </c>
      <c r="D1814" s="124" t="s">
        <v>471</v>
      </c>
      <c r="E1814" s="21">
        <v>0.95674970999999998</v>
      </c>
      <c r="F1814" s="10"/>
      <c r="G1814" s="14">
        <v>55000000</v>
      </c>
      <c r="H1814" s="14">
        <v>52621234.189999998</v>
      </c>
      <c r="I1814" s="14">
        <v>55000000</v>
      </c>
      <c r="J1814" s="14">
        <v>52621234.189999998</v>
      </c>
      <c r="K1814" s="12">
        <v>2328</v>
      </c>
      <c r="L1814" s="10" t="s">
        <v>101</v>
      </c>
      <c r="M1814" s="10" t="s">
        <v>102</v>
      </c>
      <c r="N1814" s="124" t="s">
        <v>398</v>
      </c>
      <c r="O1814" s="124" t="s">
        <v>398</v>
      </c>
      <c r="P1814" s="21">
        <v>33</v>
      </c>
      <c r="Q1814" s="10" t="s">
        <v>54</v>
      </c>
      <c r="R1814" s="10" t="s">
        <v>28</v>
      </c>
      <c r="S1814" s="10"/>
      <c r="T1814" s="10"/>
      <c r="U1814" s="10" t="s">
        <v>1675</v>
      </c>
      <c r="V1814" s="10" t="s">
        <v>1675</v>
      </c>
      <c r="W1814" s="50">
        <f>+J1814/$W$2</f>
        <v>6.4401264465813982E-4</v>
      </c>
    </row>
    <row r="1815" spans="1:29">
      <c r="A1815" s="10" t="s">
        <v>376</v>
      </c>
      <c r="B1815" s="10" t="s">
        <v>358</v>
      </c>
      <c r="C1815" s="124">
        <v>46374</v>
      </c>
      <c r="D1815" s="124" t="s">
        <v>471</v>
      </c>
      <c r="E1815" s="21">
        <v>0.95674977000000005</v>
      </c>
      <c r="F1815" s="10"/>
      <c r="G1815" s="14">
        <v>50000000</v>
      </c>
      <c r="H1815" s="14">
        <v>47837488.450000003</v>
      </c>
      <c r="I1815" s="14">
        <v>50000000</v>
      </c>
      <c r="J1815" s="14">
        <v>47837488.450000003</v>
      </c>
      <c r="K1815" s="12">
        <v>2265</v>
      </c>
      <c r="L1815" s="10" t="s">
        <v>101</v>
      </c>
      <c r="M1815" s="10" t="s">
        <v>102</v>
      </c>
      <c r="N1815" s="124" t="s">
        <v>365</v>
      </c>
      <c r="O1815" s="124" t="s">
        <v>365</v>
      </c>
      <c r="P1815" s="21">
        <v>33</v>
      </c>
      <c r="Q1815" s="10" t="s">
        <v>54</v>
      </c>
      <c r="R1815" s="10" t="s">
        <v>28</v>
      </c>
      <c r="S1815" s="10"/>
      <c r="T1815" s="10"/>
      <c r="U1815" s="10" t="s">
        <v>1326</v>
      </c>
      <c r="V1815" s="10" t="s">
        <v>1326</v>
      </c>
      <c r="W1815" s="50">
        <f>+J1815/$W$2</f>
        <v>5.8546607514466814E-4</v>
      </c>
      <c r="AC1815" s="47"/>
    </row>
    <row r="1816" spans="1:29">
      <c r="A1816" s="10" t="s">
        <v>3304</v>
      </c>
      <c r="B1816" s="10" t="s">
        <v>358</v>
      </c>
      <c r="C1816" s="124">
        <v>46374</v>
      </c>
      <c r="D1816" s="124" t="s">
        <v>471</v>
      </c>
      <c r="E1816" s="21">
        <v>0.95674983999999996</v>
      </c>
      <c r="F1816" s="10"/>
      <c r="G1816" s="14">
        <v>1288598.56</v>
      </c>
      <c r="H1816" s="14">
        <v>1232866.47</v>
      </c>
      <c r="I1816" s="14">
        <v>1288598.56</v>
      </c>
      <c r="J1816" s="14">
        <v>1232866.47</v>
      </c>
      <c r="K1816" s="12">
        <v>9696</v>
      </c>
      <c r="L1816" s="10" t="s">
        <v>101</v>
      </c>
      <c r="M1816" s="10" t="s">
        <v>102</v>
      </c>
      <c r="N1816" s="124" t="s">
        <v>417</v>
      </c>
      <c r="O1816" s="124" t="s">
        <v>417</v>
      </c>
      <c r="P1816" s="21">
        <v>33</v>
      </c>
      <c r="Q1816" s="10" t="s">
        <v>54</v>
      </c>
      <c r="R1816" s="10" t="s">
        <v>28</v>
      </c>
      <c r="S1816" s="10"/>
      <c r="T1816" s="10"/>
      <c r="U1816" s="10" t="s">
        <v>3238</v>
      </c>
      <c r="V1816" s="10" t="s">
        <v>3238</v>
      </c>
      <c r="W1816" s="50">
        <f>+J1816/$W$2</f>
        <v>1.5088615994604158E-5</v>
      </c>
    </row>
    <row r="1817" spans="1:29">
      <c r="A1817" s="10" t="s">
        <v>379</v>
      </c>
      <c r="B1817" s="10" t="s">
        <v>358</v>
      </c>
      <c r="C1817" s="124">
        <v>46374</v>
      </c>
      <c r="D1817" s="124" t="s">
        <v>471</v>
      </c>
      <c r="E1817" s="21">
        <v>0.96306082000000004</v>
      </c>
      <c r="F1817" s="10"/>
      <c r="G1817" s="14">
        <v>34000000</v>
      </c>
      <c r="H1817" s="14">
        <v>32744067.77</v>
      </c>
      <c r="I1817" s="14">
        <v>34000000</v>
      </c>
      <c r="J1817" s="14">
        <v>32744067.77</v>
      </c>
      <c r="K1817" s="12">
        <v>1343</v>
      </c>
      <c r="L1817" s="10" t="s">
        <v>101</v>
      </c>
      <c r="M1817" s="10" t="s">
        <v>102</v>
      </c>
      <c r="N1817" s="124" t="s">
        <v>408</v>
      </c>
      <c r="O1817" s="124" t="s">
        <v>408</v>
      </c>
      <c r="P1817" s="21">
        <v>28</v>
      </c>
      <c r="Q1817" s="10" t="s">
        <v>54</v>
      </c>
      <c r="R1817" s="10" t="s">
        <v>28</v>
      </c>
      <c r="S1817" s="10"/>
      <c r="T1817" s="10"/>
      <c r="U1817" s="10" t="s">
        <v>2073</v>
      </c>
      <c r="V1817" s="10" t="s">
        <v>2073</v>
      </c>
      <c r="W1817" s="50">
        <f>+J1817/$W$2</f>
        <v>4.0074304614904851E-4</v>
      </c>
    </row>
    <row r="1818" spans="1:29">
      <c r="A1818" s="10" t="s">
        <v>379</v>
      </c>
      <c r="B1818" s="10" t="s">
        <v>358</v>
      </c>
      <c r="C1818" s="124">
        <v>46374</v>
      </c>
      <c r="D1818" s="124" t="s">
        <v>471</v>
      </c>
      <c r="E1818" s="21">
        <v>0.96433290000000005</v>
      </c>
      <c r="F1818" s="10"/>
      <c r="G1818" s="14">
        <v>20000000</v>
      </c>
      <c r="H1818" s="14">
        <v>19286657.989999998</v>
      </c>
      <c r="I1818" s="14">
        <v>20000000</v>
      </c>
      <c r="J1818" s="14">
        <v>19286657.989999998</v>
      </c>
      <c r="K1818" s="12">
        <v>23018</v>
      </c>
      <c r="L1818" s="10" t="s">
        <v>101</v>
      </c>
      <c r="M1818" s="10" t="s">
        <v>102</v>
      </c>
      <c r="N1818" s="124" t="s">
        <v>469</v>
      </c>
      <c r="O1818" s="124" t="s">
        <v>469</v>
      </c>
      <c r="P1818" s="21">
        <v>27</v>
      </c>
      <c r="Q1818" s="10" t="s">
        <v>54</v>
      </c>
      <c r="R1818" s="10" t="s">
        <v>28</v>
      </c>
      <c r="S1818" s="10"/>
      <c r="T1818" s="10"/>
      <c r="U1818" s="10" t="s">
        <v>4023</v>
      </c>
      <c r="V1818" s="10" t="s">
        <v>4023</v>
      </c>
      <c r="W1818" s="50">
        <f>+J1818/$W$2</f>
        <v>2.36042575016558E-4</v>
      </c>
    </row>
    <row r="1819" spans="1:29">
      <c r="A1819" s="10" t="s">
        <v>3318</v>
      </c>
      <c r="B1819" s="10" t="s">
        <v>358</v>
      </c>
      <c r="C1819" s="124">
        <v>46374</v>
      </c>
      <c r="D1819" s="124" t="s">
        <v>471</v>
      </c>
      <c r="E1819" s="21">
        <v>0.95674985000000001</v>
      </c>
      <c r="F1819" s="10"/>
      <c r="G1819" s="14">
        <v>2030740.4</v>
      </c>
      <c r="H1819" s="14">
        <v>1942910.58</v>
      </c>
      <c r="I1819" s="14">
        <v>2030740.4</v>
      </c>
      <c r="J1819" s="14">
        <v>1942910.58</v>
      </c>
      <c r="K1819" s="12">
        <v>11396515</v>
      </c>
      <c r="L1819" s="10" t="s">
        <v>101</v>
      </c>
      <c r="M1819" s="10" t="s">
        <v>102</v>
      </c>
      <c r="N1819" s="124" t="s">
        <v>417</v>
      </c>
      <c r="O1819" s="124" t="s">
        <v>417</v>
      </c>
      <c r="P1819" s="21">
        <v>33</v>
      </c>
      <c r="Q1819" s="10" t="s">
        <v>54</v>
      </c>
      <c r="R1819" s="10" t="s">
        <v>28</v>
      </c>
      <c r="S1819" s="10"/>
      <c r="T1819" s="10"/>
      <c r="U1819" s="10" t="s">
        <v>3244</v>
      </c>
      <c r="V1819" s="10" t="s">
        <v>3244</v>
      </c>
      <c r="W1819" s="50">
        <f>+J1819/$W$2</f>
        <v>2.3778594330230787E-5</v>
      </c>
    </row>
    <row r="1820" spans="1:29">
      <c r="A1820" s="10" t="s">
        <v>2674</v>
      </c>
      <c r="B1820" s="10" t="s">
        <v>358</v>
      </c>
      <c r="C1820" s="124">
        <v>46374</v>
      </c>
      <c r="D1820" s="124" t="s">
        <v>471</v>
      </c>
      <c r="E1820" s="21">
        <v>0.95800534999999998</v>
      </c>
      <c r="F1820" s="10"/>
      <c r="G1820" s="14">
        <v>62500000</v>
      </c>
      <c r="H1820" s="14">
        <v>59875334.289999999</v>
      </c>
      <c r="I1820" s="14">
        <v>62500000</v>
      </c>
      <c r="J1820" s="14">
        <v>59875334.289999999</v>
      </c>
      <c r="K1820" s="12">
        <v>5764</v>
      </c>
      <c r="L1820" s="10" t="s">
        <v>101</v>
      </c>
      <c r="M1820" s="10" t="s">
        <v>102</v>
      </c>
      <c r="N1820" s="124" t="s">
        <v>466</v>
      </c>
      <c r="O1820" s="124" t="s">
        <v>466</v>
      </c>
      <c r="P1820" s="21">
        <v>32</v>
      </c>
      <c r="Q1820" s="10" t="s">
        <v>54</v>
      </c>
      <c r="R1820" s="10" t="s">
        <v>28</v>
      </c>
      <c r="S1820" s="10"/>
      <c r="T1820" s="10"/>
      <c r="U1820" s="10" t="s">
        <v>3644</v>
      </c>
      <c r="V1820" s="10" t="s">
        <v>3644</v>
      </c>
      <c r="W1820" s="50">
        <f>+J1820/$W$2</f>
        <v>7.3279300608310389E-4</v>
      </c>
    </row>
    <row r="1821" spans="1:29">
      <c r="A1821" s="10" t="s">
        <v>2741</v>
      </c>
      <c r="B1821" s="10" t="s">
        <v>358</v>
      </c>
      <c r="C1821" s="124">
        <v>46374</v>
      </c>
      <c r="D1821" s="124" t="s">
        <v>471</v>
      </c>
      <c r="E1821" s="21">
        <v>0.95800534999999998</v>
      </c>
      <c r="F1821" s="10"/>
      <c r="G1821" s="14">
        <v>75000000</v>
      </c>
      <c r="H1821" s="14">
        <v>71850401.150000006</v>
      </c>
      <c r="I1821" s="14">
        <v>75000000</v>
      </c>
      <c r="J1821" s="14">
        <v>71850401.150000006</v>
      </c>
      <c r="K1821" s="12">
        <v>582</v>
      </c>
      <c r="L1821" s="10" t="s">
        <v>101</v>
      </c>
      <c r="M1821" s="10" t="s">
        <v>102</v>
      </c>
      <c r="N1821" s="124" t="s">
        <v>466</v>
      </c>
      <c r="O1821" s="124" t="s">
        <v>466</v>
      </c>
      <c r="P1821" s="21">
        <v>32</v>
      </c>
      <c r="Q1821" s="10" t="s">
        <v>54</v>
      </c>
      <c r="R1821" s="10" t="s">
        <v>28</v>
      </c>
      <c r="S1821" s="10"/>
      <c r="T1821" s="10"/>
      <c r="U1821" s="10" t="s">
        <v>3648</v>
      </c>
      <c r="V1821" s="10" t="s">
        <v>3648</v>
      </c>
      <c r="W1821" s="50">
        <f>+J1821/$W$2</f>
        <v>8.79351607324202E-4</v>
      </c>
    </row>
    <row r="1822" spans="1:29">
      <c r="A1822" s="10" t="s">
        <v>2016</v>
      </c>
      <c r="B1822" s="10" t="s">
        <v>358</v>
      </c>
      <c r="C1822" s="124">
        <v>46377</v>
      </c>
      <c r="D1822" s="124" t="s">
        <v>471</v>
      </c>
      <c r="E1822" s="21">
        <v>0.96093094999999995</v>
      </c>
      <c r="F1822" s="10"/>
      <c r="G1822" s="14">
        <v>200000000</v>
      </c>
      <c r="H1822" s="14">
        <v>192186190.90000001</v>
      </c>
      <c r="I1822" s="14">
        <v>200000000</v>
      </c>
      <c r="J1822" s="14">
        <v>192186190.90000001</v>
      </c>
      <c r="K1822" s="12">
        <v>10969394</v>
      </c>
      <c r="L1822" s="10" t="s">
        <v>101</v>
      </c>
      <c r="M1822" s="10" t="s">
        <v>102</v>
      </c>
      <c r="N1822" s="124" t="s">
        <v>449</v>
      </c>
      <c r="O1822" s="124" t="s">
        <v>449</v>
      </c>
      <c r="P1822" s="21">
        <v>28</v>
      </c>
      <c r="Q1822" s="10" t="s">
        <v>54</v>
      </c>
      <c r="R1822" s="10" t="s">
        <v>28</v>
      </c>
      <c r="S1822" s="10"/>
      <c r="T1822" s="10"/>
      <c r="U1822" s="10" t="s">
        <v>2014</v>
      </c>
      <c r="V1822" s="10" t="s">
        <v>2014</v>
      </c>
      <c r="W1822" s="50">
        <f>+J1822/$W$2</f>
        <v>2.3520987102161909E-3</v>
      </c>
    </row>
    <row r="1823" spans="1:29">
      <c r="A1823" s="10" t="s">
        <v>334</v>
      </c>
      <c r="B1823" s="10" t="s">
        <v>358</v>
      </c>
      <c r="C1823" s="124">
        <v>46377</v>
      </c>
      <c r="D1823" s="124" t="s">
        <v>471</v>
      </c>
      <c r="E1823" s="21">
        <v>0.95032287999999998</v>
      </c>
      <c r="F1823" s="10"/>
      <c r="G1823" s="14">
        <v>3105640.28</v>
      </c>
      <c r="H1823" s="14">
        <v>2951361.01</v>
      </c>
      <c r="I1823" s="14">
        <v>3105640.28</v>
      </c>
      <c r="J1823" s="14">
        <v>2951361.01</v>
      </c>
      <c r="K1823" s="12">
        <v>3398</v>
      </c>
      <c r="L1823" s="10" t="s">
        <v>101</v>
      </c>
      <c r="M1823" s="10" t="s">
        <v>102</v>
      </c>
      <c r="N1823" s="124" t="s">
        <v>486</v>
      </c>
      <c r="O1823" s="124" t="s">
        <v>486</v>
      </c>
      <c r="P1823" s="21">
        <v>36</v>
      </c>
      <c r="Q1823" s="10" t="s">
        <v>54</v>
      </c>
      <c r="R1823" s="10" t="s">
        <v>28</v>
      </c>
      <c r="S1823" s="10"/>
      <c r="T1823" s="10"/>
      <c r="U1823" s="10" t="s">
        <v>1479</v>
      </c>
      <c r="V1823" s="10" t="s">
        <v>1479</v>
      </c>
      <c r="W1823" s="50">
        <f>+J1823/$W$2</f>
        <v>3.6120661908614548E-5</v>
      </c>
    </row>
    <row r="1824" spans="1:29">
      <c r="A1824" s="10" t="s">
        <v>334</v>
      </c>
      <c r="B1824" s="10" t="s">
        <v>358</v>
      </c>
      <c r="C1824" s="124">
        <v>46377</v>
      </c>
      <c r="D1824" s="124" t="s">
        <v>471</v>
      </c>
      <c r="E1824" s="21">
        <v>0.95032291000000002</v>
      </c>
      <c r="F1824" s="10"/>
      <c r="G1824" s="14">
        <v>2874176.47</v>
      </c>
      <c r="H1824" s="14">
        <v>2731395.75</v>
      </c>
      <c r="I1824" s="14">
        <v>2874176.47</v>
      </c>
      <c r="J1824" s="14">
        <v>2731395.75</v>
      </c>
      <c r="K1824" s="12">
        <v>3446</v>
      </c>
      <c r="L1824" s="10" t="s">
        <v>101</v>
      </c>
      <c r="M1824" s="10" t="s">
        <v>102</v>
      </c>
      <c r="N1824" s="124" t="s">
        <v>487</v>
      </c>
      <c r="O1824" s="124" t="s">
        <v>487</v>
      </c>
      <c r="P1824" s="21">
        <v>36</v>
      </c>
      <c r="Q1824" s="10" t="s">
        <v>54</v>
      </c>
      <c r="R1824" s="10" t="s">
        <v>28</v>
      </c>
      <c r="S1824" s="10"/>
      <c r="T1824" s="10"/>
      <c r="U1824" s="10" t="s">
        <v>1570</v>
      </c>
      <c r="V1824" s="10" t="s">
        <v>1570</v>
      </c>
      <c r="W1824" s="50">
        <f>+J1824/$W$2</f>
        <v>3.3428585012165852E-5</v>
      </c>
      <c r="AC1824" s="47"/>
    </row>
    <row r="1825" spans="1:29">
      <c r="A1825" s="10" t="s">
        <v>2017</v>
      </c>
      <c r="B1825" s="10" t="s">
        <v>358</v>
      </c>
      <c r="C1825" s="124">
        <v>46377</v>
      </c>
      <c r="D1825" s="124" t="s">
        <v>471</v>
      </c>
      <c r="E1825" s="21">
        <v>0.95163608</v>
      </c>
      <c r="F1825" s="10"/>
      <c r="G1825" s="14">
        <v>5000000</v>
      </c>
      <c r="H1825" s="14">
        <v>4758180.38</v>
      </c>
      <c r="I1825" s="14">
        <v>5000000</v>
      </c>
      <c r="J1825" s="14">
        <v>4758180.38</v>
      </c>
      <c r="K1825" s="12">
        <v>544</v>
      </c>
      <c r="L1825" s="10" t="s">
        <v>101</v>
      </c>
      <c r="M1825" s="10" t="s">
        <v>102</v>
      </c>
      <c r="N1825" s="124" t="s">
        <v>449</v>
      </c>
      <c r="O1825" s="124" t="s">
        <v>449</v>
      </c>
      <c r="P1825" s="21">
        <v>35</v>
      </c>
      <c r="Q1825" s="10" t="s">
        <v>54</v>
      </c>
      <c r="R1825" s="10" t="s">
        <v>28</v>
      </c>
      <c r="S1825" s="10"/>
      <c r="T1825" s="10"/>
      <c r="U1825" s="10" t="s">
        <v>1979</v>
      </c>
      <c r="V1825" s="10" t="s">
        <v>1979</v>
      </c>
      <c r="W1825" s="50">
        <f>+J1825/$W$2</f>
        <v>5.8233684128727819E-5</v>
      </c>
    </row>
    <row r="1826" spans="1:29">
      <c r="A1826" s="10" t="s">
        <v>443</v>
      </c>
      <c r="B1826" s="10" t="s">
        <v>358</v>
      </c>
      <c r="C1826" s="124">
        <v>46377</v>
      </c>
      <c r="D1826" s="124" t="s">
        <v>471</v>
      </c>
      <c r="E1826" s="21">
        <v>0.95959203000000004</v>
      </c>
      <c r="F1826" s="10"/>
      <c r="G1826" s="14">
        <v>11000000</v>
      </c>
      <c r="H1826" s="14">
        <v>10555512.33</v>
      </c>
      <c r="I1826" s="14">
        <v>11000000</v>
      </c>
      <c r="J1826" s="14">
        <v>10555512.33</v>
      </c>
      <c r="K1826" s="12">
        <v>69878769</v>
      </c>
      <c r="L1826" s="10" t="s">
        <v>101</v>
      </c>
      <c r="M1826" s="10" t="s">
        <v>102</v>
      </c>
      <c r="N1826" s="124" t="s">
        <v>478</v>
      </c>
      <c r="O1826" s="124" t="s">
        <v>478</v>
      </c>
      <c r="P1826" s="21">
        <v>29</v>
      </c>
      <c r="Q1826" s="10" t="s">
        <v>54</v>
      </c>
      <c r="R1826" s="10" t="s">
        <v>28</v>
      </c>
      <c r="S1826" s="10"/>
      <c r="T1826" s="10"/>
      <c r="U1826" s="10" t="s">
        <v>2124</v>
      </c>
      <c r="V1826" s="10" t="s">
        <v>2124</v>
      </c>
      <c r="W1826" s="50">
        <f>+J1826/$W$2</f>
        <v>1.2918517621269998E-4</v>
      </c>
    </row>
    <row r="1827" spans="1:29">
      <c r="A1827" s="10" t="s">
        <v>401</v>
      </c>
      <c r="B1827" s="10" t="s">
        <v>358</v>
      </c>
      <c r="C1827" s="124">
        <v>46377</v>
      </c>
      <c r="D1827" s="124" t="s">
        <v>471</v>
      </c>
      <c r="E1827" s="21">
        <v>0.96093092999999996</v>
      </c>
      <c r="F1827" s="10"/>
      <c r="G1827" s="14">
        <v>8400000</v>
      </c>
      <c r="H1827" s="14">
        <v>8071819.7999999998</v>
      </c>
      <c r="I1827" s="14">
        <v>8400000</v>
      </c>
      <c r="J1827" s="14">
        <v>8071819.7999999998</v>
      </c>
      <c r="K1827" s="12">
        <v>2461</v>
      </c>
      <c r="L1827" s="10" t="s">
        <v>101</v>
      </c>
      <c r="M1827" s="10" t="s">
        <v>102</v>
      </c>
      <c r="N1827" s="124" t="s">
        <v>408</v>
      </c>
      <c r="O1827" s="124" t="s">
        <v>408</v>
      </c>
      <c r="P1827" s="21">
        <v>28</v>
      </c>
      <c r="Q1827" s="10" t="s">
        <v>54</v>
      </c>
      <c r="R1827" s="10" t="s">
        <v>28</v>
      </c>
      <c r="S1827" s="10"/>
      <c r="T1827" s="10"/>
      <c r="U1827" s="10" t="s">
        <v>2061</v>
      </c>
      <c r="V1827" s="10" t="s">
        <v>2061</v>
      </c>
      <c r="W1827" s="50">
        <f>+J1827/$W$2</f>
        <v>9.8788143163502961E-5</v>
      </c>
      <c r="AC1827" s="47"/>
    </row>
    <row r="1828" spans="1:29">
      <c r="A1828" s="10" t="s">
        <v>494</v>
      </c>
      <c r="B1828" s="10" t="s">
        <v>358</v>
      </c>
      <c r="C1828" s="124">
        <v>46377</v>
      </c>
      <c r="D1828" s="124" t="s">
        <v>471</v>
      </c>
      <c r="E1828" s="21">
        <v>0.95959205999999997</v>
      </c>
      <c r="F1828" s="10"/>
      <c r="G1828" s="14">
        <v>14000000</v>
      </c>
      <c r="H1828" s="14">
        <v>13434288.810000001</v>
      </c>
      <c r="I1828" s="14">
        <v>14000000</v>
      </c>
      <c r="J1828" s="14">
        <v>13434288.810000001</v>
      </c>
      <c r="K1828" s="12">
        <v>118</v>
      </c>
      <c r="L1828" s="10" t="s">
        <v>101</v>
      </c>
      <c r="M1828" s="10" t="s">
        <v>102</v>
      </c>
      <c r="N1828" s="124" t="s">
        <v>369</v>
      </c>
      <c r="O1828" s="124" t="s">
        <v>369</v>
      </c>
      <c r="P1828" s="21">
        <v>29</v>
      </c>
      <c r="Q1828" s="10" t="s">
        <v>54</v>
      </c>
      <c r="R1828" s="10" t="s">
        <v>28</v>
      </c>
      <c r="S1828" s="10"/>
      <c r="T1828" s="10"/>
      <c r="U1828" s="10" t="s">
        <v>662</v>
      </c>
      <c r="V1828" s="10" t="s">
        <v>662</v>
      </c>
      <c r="W1828" s="50">
        <f>+J1828/$W$2</f>
        <v>1.6441750177105367E-4</v>
      </c>
    </row>
    <row r="1829" spans="1:29">
      <c r="A1829" s="10" t="s">
        <v>2487</v>
      </c>
      <c r="B1829" s="10" t="s">
        <v>358</v>
      </c>
      <c r="C1829" s="124">
        <v>46377</v>
      </c>
      <c r="D1829" s="124" t="s">
        <v>471</v>
      </c>
      <c r="E1829" s="21">
        <v>0.95559759</v>
      </c>
      <c r="F1829" s="10"/>
      <c r="G1829" s="14">
        <v>75000000</v>
      </c>
      <c r="H1829" s="14">
        <v>71669819.200000003</v>
      </c>
      <c r="I1829" s="14">
        <v>75000000</v>
      </c>
      <c r="J1829" s="14">
        <v>71669819.200000003</v>
      </c>
      <c r="K1829" s="12">
        <v>3499</v>
      </c>
      <c r="L1829" s="10" t="s">
        <v>101</v>
      </c>
      <c r="M1829" s="10" t="s">
        <v>102</v>
      </c>
      <c r="N1829" s="124" t="s">
        <v>466</v>
      </c>
      <c r="O1829" s="124" t="s">
        <v>466</v>
      </c>
      <c r="P1829" s="21">
        <v>32</v>
      </c>
      <c r="Q1829" s="10" t="s">
        <v>54</v>
      </c>
      <c r="R1829" s="10" t="s">
        <v>28</v>
      </c>
      <c r="S1829" s="10"/>
      <c r="T1829" s="10"/>
      <c r="U1829" s="10" t="s">
        <v>3658</v>
      </c>
      <c r="V1829" s="10" t="s">
        <v>3658</v>
      </c>
      <c r="W1829" s="50">
        <f>+J1829/$W$2</f>
        <v>8.7714152880766423E-4</v>
      </c>
    </row>
    <row r="1830" spans="1:29">
      <c r="A1830" s="10" t="s">
        <v>1090</v>
      </c>
      <c r="B1830" s="10" t="s">
        <v>358</v>
      </c>
      <c r="C1830" s="124">
        <v>46377</v>
      </c>
      <c r="D1830" s="124" t="s">
        <v>471</v>
      </c>
      <c r="E1830" s="21">
        <v>0.95825676000000004</v>
      </c>
      <c r="F1830" s="10"/>
      <c r="G1830" s="14">
        <v>50000000</v>
      </c>
      <c r="H1830" s="14">
        <v>47912838.149999999</v>
      </c>
      <c r="I1830" s="14">
        <v>50000000</v>
      </c>
      <c r="J1830" s="14">
        <v>47912838.149999999</v>
      </c>
      <c r="K1830" s="12">
        <v>197095</v>
      </c>
      <c r="L1830" s="10" t="s">
        <v>101</v>
      </c>
      <c r="M1830" s="10" t="s">
        <v>102</v>
      </c>
      <c r="N1830" s="124" t="s">
        <v>161</v>
      </c>
      <c r="O1830" s="124" t="s">
        <v>161</v>
      </c>
      <c r="P1830" s="21">
        <v>30</v>
      </c>
      <c r="Q1830" s="10" t="s">
        <v>54</v>
      </c>
      <c r="R1830" s="10" t="s">
        <v>28</v>
      </c>
      <c r="S1830" s="10"/>
      <c r="T1830" s="10"/>
      <c r="U1830" s="10" t="s">
        <v>1037</v>
      </c>
      <c r="V1830" s="10" t="s">
        <v>1037</v>
      </c>
      <c r="W1830" s="50">
        <f>+J1830/$W$2</f>
        <v>5.8638825343102267E-4</v>
      </c>
    </row>
    <row r="1831" spans="1:29">
      <c r="A1831" s="10" t="s">
        <v>1367</v>
      </c>
      <c r="B1831" s="10" t="s">
        <v>358</v>
      </c>
      <c r="C1831" s="124">
        <v>46377</v>
      </c>
      <c r="D1831" s="124" t="s">
        <v>471</v>
      </c>
      <c r="E1831" s="21">
        <v>0.95692540999999998</v>
      </c>
      <c r="F1831" s="10"/>
      <c r="G1831" s="14">
        <v>482400</v>
      </c>
      <c r="H1831" s="14">
        <v>461620.82</v>
      </c>
      <c r="I1831" s="14">
        <v>482400</v>
      </c>
      <c r="J1831" s="14">
        <v>461620.82</v>
      </c>
      <c r="K1831" s="12">
        <v>3979</v>
      </c>
      <c r="L1831" s="10" t="s">
        <v>101</v>
      </c>
      <c r="M1831" s="10" t="s">
        <v>102</v>
      </c>
      <c r="N1831" s="124" t="s">
        <v>365</v>
      </c>
      <c r="O1831" s="124" t="s">
        <v>365</v>
      </c>
      <c r="P1831" s="21">
        <v>31</v>
      </c>
      <c r="Q1831" s="10" t="s">
        <v>54</v>
      </c>
      <c r="R1831" s="10" t="s">
        <v>28</v>
      </c>
      <c r="S1831" s="10"/>
      <c r="T1831" s="10"/>
      <c r="U1831" s="10" t="s">
        <v>1352</v>
      </c>
      <c r="V1831" s="10" t="s">
        <v>1352</v>
      </c>
      <c r="W1831" s="50">
        <f>+J1831/$W$2</f>
        <v>5.6496136910060401E-6</v>
      </c>
    </row>
    <row r="1832" spans="1:29">
      <c r="A1832" s="10" t="s">
        <v>3322</v>
      </c>
      <c r="B1832" s="10" t="s">
        <v>358</v>
      </c>
      <c r="C1832" s="124">
        <v>46377</v>
      </c>
      <c r="D1832" s="124" t="s">
        <v>471</v>
      </c>
      <c r="E1832" s="21">
        <v>0.95427355000000003</v>
      </c>
      <c r="F1832" s="10"/>
      <c r="G1832" s="14">
        <v>528139.15</v>
      </c>
      <c r="H1832" s="14">
        <v>503989.22</v>
      </c>
      <c r="I1832" s="14">
        <v>528139.15</v>
      </c>
      <c r="J1832" s="14">
        <v>503989.22</v>
      </c>
      <c r="K1832" s="12">
        <v>17706</v>
      </c>
      <c r="L1832" s="10" t="s">
        <v>101</v>
      </c>
      <c r="M1832" s="10" t="s">
        <v>102</v>
      </c>
      <c r="N1832" s="124" t="s">
        <v>417</v>
      </c>
      <c r="O1832" s="124" t="s">
        <v>417</v>
      </c>
      <c r="P1832" s="21">
        <v>33</v>
      </c>
      <c r="Q1832" s="10" t="s">
        <v>54</v>
      </c>
      <c r="R1832" s="10" t="s">
        <v>28</v>
      </c>
      <c r="S1832" s="10"/>
      <c r="T1832" s="10"/>
      <c r="U1832" s="10" t="s">
        <v>3224</v>
      </c>
      <c r="V1832" s="10" t="s">
        <v>3224</v>
      </c>
      <c r="W1832" s="50">
        <f>+J1832/$W$2</f>
        <v>6.168145529985963E-6</v>
      </c>
    </row>
    <row r="1833" spans="1:29">
      <c r="A1833" s="10" t="s">
        <v>3572</v>
      </c>
      <c r="B1833" s="10" t="s">
        <v>358</v>
      </c>
      <c r="C1833" s="124">
        <v>46377</v>
      </c>
      <c r="D1833" s="124" t="s">
        <v>471</v>
      </c>
      <c r="E1833" s="21">
        <v>0.95427339</v>
      </c>
      <c r="F1833" s="10"/>
      <c r="G1833" s="14">
        <v>5383000</v>
      </c>
      <c r="H1833" s="14">
        <v>5136853.6500000004</v>
      </c>
      <c r="I1833" s="14">
        <v>5383000</v>
      </c>
      <c r="J1833" s="14">
        <v>5136853.6500000004</v>
      </c>
      <c r="K1833" s="12">
        <v>13981361</v>
      </c>
      <c r="L1833" s="10" t="s">
        <v>101</v>
      </c>
      <c r="M1833" s="10" t="s">
        <v>102</v>
      </c>
      <c r="N1833" s="124" t="s">
        <v>451</v>
      </c>
      <c r="O1833" s="124" t="s">
        <v>451</v>
      </c>
      <c r="P1833" s="21">
        <v>33</v>
      </c>
      <c r="Q1833" s="10" t="s">
        <v>54</v>
      </c>
      <c r="R1833" s="10" t="s">
        <v>28</v>
      </c>
      <c r="S1833" s="10"/>
      <c r="T1833" s="10"/>
      <c r="U1833" s="10" t="s">
        <v>3564</v>
      </c>
      <c r="V1833" s="10" t="s">
        <v>3564</v>
      </c>
      <c r="W1833" s="50">
        <f>+J1833/$W$2</f>
        <v>6.2868132138698484E-5</v>
      </c>
    </row>
    <row r="1834" spans="1:29">
      <c r="A1834" s="10" t="s">
        <v>832</v>
      </c>
      <c r="B1834" s="10" t="s">
        <v>358</v>
      </c>
      <c r="C1834" s="124">
        <v>46377</v>
      </c>
      <c r="D1834" s="124" t="s">
        <v>471</v>
      </c>
      <c r="E1834" s="21">
        <v>0.95427340999999999</v>
      </c>
      <c r="F1834" s="10"/>
      <c r="G1834" s="14">
        <v>388578.52</v>
      </c>
      <c r="H1834" s="14">
        <v>370810.15</v>
      </c>
      <c r="I1834" s="14">
        <v>388578.52</v>
      </c>
      <c r="J1834" s="14">
        <v>370810.15</v>
      </c>
      <c r="K1834" s="12">
        <v>30104449</v>
      </c>
      <c r="L1834" s="10" t="s">
        <v>101</v>
      </c>
      <c r="M1834" s="10" t="s">
        <v>102</v>
      </c>
      <c r="N1834" s="124" t="s">
        <v>446</v>
      </c>
      <c r="O1834" s="124" t="s">
        <v>446</v>
      </c>
      <c r="P1834" s="21">
        <v>33</v>
      </c>
      <c r="Q1834" s="10" t="s">
        <v>54</v>
      </c>
      <c r="R1834" s="10" t="s">
        <v>28</v>
      </c>
      <c r="S1834" s="10"/>
      <c r="T1834" s="10"/>
      <c r="U1834" s="10" t="s">
        <v>3075</v>
      </c>
      <c r="V1834" s="10" t="s">
        <v>3075</v>
      </c>
      <c r="W1834" s="50">
        <f>+J1834/$W$2</f>
        <v>4.5382140697293582E-6</v>
      </c>
    </row>
    <row r="1835" spans="1:29">
      <c r="A1835" s="10" t="s">
        <v>832</v>
      </c>
      <c r="B1835" s="10" t="s">
        <v>358</v>
      </c>
      <c r="C1835" s="124">
        <v>46377</v>
      </c>
      <c r="D1835" s="124" t="s">
        <v>471</v>
      </c>
      <c r="E1835" s="21">
        <v>0.95427326000000001</v>
      </c>
      <c r="F1835" s="10"/>
      <c r="G1835" s="14">
        <v>204051.5</v>
      </c>
      <c r="H1835" s="14">
        <v>194720.89</v>
      </c>
      <c r="I1835" s="14">
        <v>204051.5</v>
      </c>
      <c r="J1835" s="14">
        <v>194720.89</v>
      </c>
      <c r="K1835" s="12">
        <v>30101907</v>
      </c>
      <c r="L1835" s="10" t="s">
        <v>101</v>
      </c>
      <c r="M1835" s="10" t="s">
        <v>102</v>
      </c>
      <c r="N1835" s="124" t="s">
        <v>408</v>
      </c>
      <c r="O1835" s="124" t="s">
        <v>408</v>
      </c>
      <c r="P1835" s="21">
        <v>33</v>
      </c>
      <c r="Q1835" s="10" t="s">
        <v>54</v>
      </c>
      <c r="R1835" s="10" t="s">
        <v>28</v>
      </c>
      <c r="S1835" s="10"/>
      <c r="T1835" s="10"/>
      <c r="U1835" s="10" t="s">
        <v>2050</v>
      </c>
      <c r="V1835" s="10" t="s">
        <v>2050</v>
      </c>
      <c r="W1835" s="50">
        <f>+J1835/$W$2</f>
        <v>2.383119994607005E-6</v>
      </c>
    </row>
    <row r="1836" spans="1:29">
      <c r="A1836" s="10" t="s">
        <v>1765</v>
      </c>
      <c r="B1836" s="10" t="s">
        <v>358</v>
      </c>
      <c r="C1836" s="124">
        <v>46377</v>
      </c>
      <c r="D1836" s="124" t="s">
        <v>471</v>
      </c>
      <c r="E1836" s="21">
        <v>0.95427353999999998</v>
      </c>
      <c r="F1836" s="10"/>
      <c r="G1836" s="14">
        <v>672232.39</v>
      </c>
      <c r="H1836" s="14">
        <v>641493.57999999996</v>
      </c>
      <c r="I1836" s="14">
        <v>672232.39</v>
      </c>
      <c r="J1836" s="14">
        <v>641493.57999999996</v>
      </c>
      <c r="K1836" s="12">
        <v>19731</v>
      </c>
      <c r="L1836" s="10" t="s">
        <v>101</v>
      </c>
      <c r="M1836" s="10" t="s">
        <v>102</v>
      </c>
      <c r="N1836" s="124" t="s">
        <v>417</v>
      </c>
      <c r="O1836" s="124" t="s">
        <v>417</v>
      </c>
      <c r="P1836" s="21">
        <v>33</v>
      </c>
      <c r="Q1836" s="10" t="s">
        <v>54</v>
      </c>
      <c r="R1836" s="10" t="s">
        <v>28</v>
      </c>
      <c r="S1836" s="10"/>
      <c r="T1836" s="10"/>
      <c r="U1836" s="10" t="s">
        <v>3280</v>
      </c>
      <c r="V1836" s="10" t="s">
        <v>3280</v>
      </c>
      <c r="W1836" s="50">
        <f>+J1836/$W$2</f>
        <v>7.8510126823579544E-6</v>
      </c>
    </row>
    <row r="1837" spans="1:29">
      <c r="A1837" s="10" t="s">
        <v>574</v>
      </c>
      <c r="B1837" s="10" t="s">
        <v>358</v>
      </c>
      <c r="C1837" s="124">
        <v>46377</v>
      </c>
      <c r="D1837" s="124" t="s">
        <v>471</v>
      </c>
      <c r="E1837" s="21">
        <v>0.95825676000000004</v>
      </c>
      <c r="F1837" s="10"/>
      <c r="G1837" s="14">
        <v>150000000</v>
      </c>
      <c r="H1837" s="14">
        <v>143738514.05000001</v>
      </c>
      <c r="I1837" s="14">
        <v>150000000</v>
      </c>
      <c r="J1837" s="14">
        <v>143738514.05000001</v>
      </c>
      <c r="K1837" s="12">
        <v>90004317</v>
      </c>
      <c r="L1837" s="10" t="s">
        <v>101</v>
      </c>
      <c r="M1837" s="10" t="s">
        <v>102</v>
      </c>
      <c r="N1837" s="124" t="s">
        <v>465</v>
      </c>
      <c r="O1837" s="124" t="s">
        <v>465</v>
      </c>
      <c r="P1837" s="21">
        <v>30</v>
      </c>
      <c r="Q1837" s="10" t="s">
        <v>54</v>
      </c>
      <c r="R1837" s="10" t="s">
        <v>28</v>
      </c>
      <c r="S1837" s="10"/>
      <c r="T1837" s="10"/>
      <c r="U1837" s="10" t="s">
        <v>2982</v>
      </c>
      <c r="V1837" s="10" t="s">
        <v>2982</v>
      </c>
      <c r="W1837" s="50">
        <f>+J1837/$W$2</f>
        <v>1.7591647553976098E-3</v>
      </c>
    </row>
    <row r="1838" spans="1:29">
      <c r="A1838" s="10" t="s">
        <v>362</v>
      </c>
      <c r="B1838" s="10" t="s">
        <v>358</v>
      </c>
      <c r="C1838" s="124">
        <v>46377</v>
      </c>
      <c r="D1838" s="124" t="s">
        <v>471</v>
      </c>
      <c r="E1838" s="21">
        <v>0.95427342999999998</v>
      </c>
      <c r="F1838" s="10"/>
      <c r="G1838" s="14">
        <v>25000000</v>
      </c>
      <c r="H1838" s="14">
        <v>23856835.640000001</v>
      </c>
      <c r="I1838" s="14">
        <v>25000000</v>
      </c>
      <c r="J1838" s="14">
        <v>23856835.640000001</v>
      </c>
      <c r="K1838" s="12">
        <v>4297</v>
      </c>
      <c r="L1838" s="10" t="s">
        <v>101</v>
      </c>
      <c r="M1838" s="10" t="s">
        <v>102</v>
      </c>
      <c r="N1838" s="124" t="s">
        <v>439</v>
      </c>
      <c r="O1838" s="124" t="s">
        <v>439</v>
      </c>
      <c r="P1838" s="21">
        <v>33</v>
      </c>
      <c r="Q1838" s="10" t="s">
        <v>54</v>
      </c>
      <c r="R1838" s="10" t="s">
        <v>28</v>
      </c>
      <c r="S1838" s="10"/>
      <c r="T1838" s="10"/>
      <c r="U1838" s="10" t="s">
        <v>2277</v>
      </c>
      <c r="V1838" s="10" t="s">
        <v>2277</v>
      </c>
      <c r="W1838" s="50">
        <f>+J1838/$W$2</f>
        <v>2.9197536033107182E-4</v>
      </c>
    </row>
    <row r="1839" spans="1:29">
      <c r="A1839" s="10" t="s">
        <v>164</v>
      </c>
      <c r="B1839" s="10" t="s">
        <v>358</v>
      </c>
      <c r="C1839" s="124">
        <v>46377</v>
      </c>
      <c r="D1839" s="124" t="s">
        <v>471</v>
      </c>
      <c r="E1839" s="21">
        <v>0.94770750000000004</v>
      </c>
      <c r="F1839" s="10"/>
      <c r="G1839" s="14">
        <v>269000000</v>
      </c>
      <c r="H1839" s="14">
        <v>254933316.61000001</v>
      </c>
      <c r="I1839" s="14">
        <v>269000000</v>
      </c>
      <c r="J1839" s="14">
        <v>254933316.61000001</v>
      </c>
      <c r="K1839" s="12">
        <v>70424990</v>
      </c>
      <c r="L1839" s="10" t="s">
        <v>101</v>
      </c>
      <c r="M1839" s="10" t="s">
        <v>102</v>
      </c>
      <c r="N1839" s="124" t="s">
        <v>466</v>
      </c>
      <c r="O1839" s="124" t="s">
        <v>466</v>
      </c>
      <c r="P1839" s="21">
        <v>38</v>
      </c>
      <c r="Q1839" s="10" t="s">
        <v>54</v>
      </c>
      <c r="R1839" s="10" t="s">
        <v>28</v>
      </c>
      <c r="S1839" s="10"/>
      <c r="T1839" s="10"/>
      <c r="U1839" s="10" t="s">
        <v>3624</v>
      </c>
      <c r="V1839" s="10" t="s">
        <v>3624</v>
      </c>
      <c r="W1839" s="50">
        <f>+J1839/$W$2</f>
        <v>3.1200385541827027E-3</v>
      </c>
    </row>
    <row r="1840" spans="1:29">
      <c r="A1840" s="10" t="s">
        <v>433</v>
      </c>
      <c r="B1840" s="10" t="s">
        <v>358</v>
      </c>
      <c r="C1840" s="124">
        <v>46377</v>
      </c>
      <c r="D1840" s="124" t="s">
        <v>471</v>
      </c>
      <c r="E1840" s="21">
        <v>0.95559760000000005</v>
      </c>
      <c r="F1840" s="10"/>
      <c r="G1840" s="14">
        <v>11000000</v>
      </c>
      <c r="H1840" s="14">
        <v>10511573.6</v>
      </c>
      <c r="I1840" s="14">
        <v>11000000</v>
      </c>
      <c r="J1840" s="14">
        <v>10511573.6</v>
      </c>
      <c r="K1840" s="12">
        <v>14651801</v>
      </c>
      <c r="L1840" s="10" t="s">
        <v>101</v>
      </c>
      <c r="M1840" s="10" t="s">
        <v>102</v>
      </c>
      <c r="N1840" s="124" t="s">
        <v>603</v>
      </c>
      <c r="O1840" s="124" t="s">
        <v>603</v>
      </c>
      <c r="P1840" s="21">
        <v>32</v>
      </c>
      <c r="Q1840" s="10" t="s">
        <v>54</v>
      </c>
      <c r="R1840" s="10" t="s">
        <v>28</v>
      </c>
      <c r="S1840" s="10"/>
      <c r="T1840" s="10"/>
      <c r="U1840" s="10" t="s">
        <v>2588</v>
      </c>
      <c r="V1840" s="10" t="s">
        <v>2588</v>
      </c>
      <c r="W1840" s="50">
        <f>+J1840/$W$2</f>
        <v>1.2864742566112518E-4</v>
      </c>
    </row>
    <row r="1841" spans="1:29">
      <c r="A1841" s="10" t="s">
        <v>433</v>
      </c>
      <c r="B1841" s="10" t="s">
        <v>358</v>
      </c>
      <c r="C1841" s="124">
        <v>46377</v>
      </c>
      <c r="D1841" s="124" t="s">
        <v>471</v>
      </c>
      <c r="E1841" s="21">
        <v>0.95427346999999996</v>
      </c>
      <c r="F1841" s="10"/>
      <c r="G1841" s="14">
        <v>12500000</v>
      </c>
      <c r="H1841" s="14">
        <v>11928418.41</v>
      </c>
      <c r="I1841" s="14">
        <v>12500000</v>
      </c>
      <c r="J1841" s="14">
        <v>11928418.41</v>
      </c>
      <c r="K1841" s="12">
        <v>14651817</v>
      </c>
      <c r="L1841" s="10" t="s">
        <v>101</v>
      </c>
      <c r="M1841" s="10" t="s">
        <v>102</v>
      </c>
      <c r="N1841" s="124" t="s">
        <v>603</v>
      </c>
      <c r="O1841" s="124" t="s">
        <v>603</v>
      </c>
      <c r="P1841" s="21">
        <v>33</v>
      </c>
      <c r="Q1841" s="10" t="s">
        <v>54</v>
      </c>
      <c r="R1841" s="10" t="s">
        <v>28</v>
      </c>
      <c r="S1841" s="10"/>
      <c r="T1841" s="10"/>
      <c r="U1841" s="10" t="s">
        <v>2648</v>
      </c>
      <c r="V1841" s="10" t="s">
        <v>2648</v>
      </c>
      <c r="W1841" s="50">
        <f>+J1841/$W$2</f>
        <v>1.4598768738633691E-4</v>
      </c>
    </row>
    <row r="1842" spans="1:29">
      <c r="A1842" s="10" t="s">
        <v>433</v>
      </c>
      <c r="B1842" s="10" t="s">
        <v>358</v>
      </c>
      <c r="C1842" s="124">
        <v>46377</v>
      </c>
      <c r="D1842" s="124" t="s">
        <v>471</v>
      </c>
      <c r="E1842" s="21">
        <v>0.95427346999999996</v>
      </c>
      <c r="F1842" s="10"/>
      <c r="G1842" s="14">
        <v>12500000</v>
      </c>
      <c r="H1842" s="14">
        <v>11928418.41</v>
      </c>
      <c r="I1842" s="14">
        <v>12500000</v>
      </c>
      <c r="J1842" s="14">
        <v>11928418.41</v>
      </c>
      <c r="K1842" s="12">
        <v>14651821</v>
      </c>
      <c r="L1842" s="10" t="s">
        <v>101</v>
      </c>
      <c r="M1842" s="10" t="s">
        <v>102</v>
      </c>
      <c r="N1842" s="124" t="s">
        <v>603</v>
      </c>
      <c r="O1842" s="124" t="s">
        <v>603</v>
      </c>
      <c r="P1842" s="21">
        <v>33</v>
      </c>
      <c r="Q1842" s="10" t="s">
        <v>54</v>
      </c>
      <c r="R1842" s="10" t="s">
        <v>28</v>
      </c>
      <c r="S1842" s="10"/>
      <c r="T1842" s="10"/>
      <c r="U1842" s="10" t="s">
        <v>2649</v>
      </c>
      <c r="V1842" s="10" t="s">
        <v>2649</v>
      </c>
      <c r="W1842" s="50">
        <f>+J1842/$W$2</f>
        <v>1.4598768738633691E-4</v>
      </c>
    </row>
    <row r="1843" spans="1:29">
      <c r="A1843" s="10" t="s">
        <v>3442</v>
      </c>
      <c r="B1843" s="10" t="s">
        <v>358</v>
      </c>
      <c r="C1843" s="124">
        <v>46377</v>
      </c>
      <c r="D1843" s="124" t="s">
        <v>471</v>
      </c>
      <c r="E1843" s="21">
        <v>0.95427331999999998</v>
      </c>
      <c r="F1843" s="10"/>
      <c r="G1843" s="14">
        <v>8000000</v>
      </c>
      <c r="H1843" s="14">
        <v>7634186.54</v>
      </c>
      <c r="I1843" s="14">
        <v>8000000</v>
      </c>
      <c r="J1843" s="14">
        <v>7634186.54</v>
      </c>
      <c r="K1843" s="12">
        <v>243</v>
      </c>
      <c r="L1843" s="10" t="s">
        <v>101</v>
      </c>
      <c r="M1843" s="10" t="s">
        <v>102</v>
      </c>
      <c r="N1843" s="124" t="s">
        <v>450</v>
      </c>
      <c r="O1843" s="124" t="s">
        <v>450</v>
      </c>
      <c r="P1843" s="21">
        <v>33</v>
      </c>
      <c r="Q1843" s="10" t="s">
        <v>54</v>
      </c>
      <c r="R1843" s="10" t="s">
        <v>28</v>
      </c>
      <c r="S1843" s="10"/>
      <c r="T1843" s="10"/>
      <c r="U1843" s="10" t="s">
        <v>3414</v>
      </c>
      <c r="V1843" s="10" t="s">
        <v>3414</v>
      </c>
      <c r="W1843" s="50">
        <f>+J1843/$W$2</f>
        <v>9.3432104721962123E-5</v>
      </c>
    </row>
    <row r="1844" spans="1:29">
      <c r="A1844" s="10" t="s">
        <v>3779</v>
      </c>
      <c r="B1844" s="10" t="s">
        <v>358</v>
      </c>
      <c r="C1844" s="124">
        <v>46377</v>
      </c>
      <c r="D1844" s="124" t="s">
        <v>471</v>
      </c>
      <c r="E1844" s="21">
        <v>0.95959203000000004</v>
      </c>
      <c r="F1844" s="10"/>
      <c r="G1844" s="14">
        <v>1100000</v>
      </c>
      <c r="H1844" s="14">
        <v>1055551.23</v>
      </c>
      <c r="I1844" s="14">
        <v>1100000</v>
      </c>
      <c r="J1844" s="14">
        <v>1055551.23</v>
      </c>
      <c r="K1844" s="12">
        <v>726192</v>
      </c>
      <c r="L1844" s="10" t="s">
        <v>101</v>
      </c>
      <c r="M1844" s="10" t="s">
        <v>102</v>
      </c>
      <c r="N1844" s="124" t="s">
        <v>469</v>
      </c>
      <c r="O1844" s="124" t="s">
        <v>469</v>
      </c>
      <c r="P1844" s="21">
        <v>29</v>
      </c>
      <c r="Q1844" s="10" t="s">
        <v>54</v>
      </c>
      <c r="R1844" s="10" t="s">
        <v>28</v>
      </c>
      <c r="S1844" s="10"/>
      <c r="T1844" s="10"/>
      <c r="U1844" s="10" t="s">
        <v>3981</v>
      </c>
      <c r="V1844" s="10" t="s">
        <v>3981</v>
      </c>
      <c r="W1844" s="50">
        <f>+J1844/$W$2</f>
        <v>1.2918517584554062E-5</v>
      </c>
    </row>
    <row r="1845" spans="1:29">
      <c r="A1845" s="10" t="s">
        <v>379</v>
      </c>
      <c r="B1845" s="10" t="s">
        <v>358</v>
      </c>
      <c r="C1845" s="124">
        <v>46377</v>
      </c>
      <c r="D1845" s="124" t="s">
        <v>471</v>
      </c>
      <c r="E1845" s="21">
        <v>0.96362011000000003</v>
      </c>
      <c r="F1845" s="10"/>
      <c r="G1845" s="14">
        <v>20000000</v>
      </c>
      <c r="H1845" s="14">
        <v>19272402.210000001</v>
      </c>
      <c r="I1845" s="14">
        <v>20000000</v>
      </c>
      <c r="J1845" s="14">
        <v>19272402.210000001</v>
      </c>
      <c r="K1845" s="12">
        <v>79700360</v>
      </c>
      <c r="L1845" s="10" t="s">
        <v>101</v>
      </c>
      <c r="M1845" s="10" t="s">
        <v>102</v>
      </c>
      <c r="N1845" s="124" t="s">
        <v>342</v>
      </c>
      <c r="O1845" s="124" t="s">
        <v>342</v>
      </c>
      <c r="P1845" s="21">
        <v>26</v>
      </c>
      <c r="Q1845" s="10" t="s">
        <v>54</v>
      </c>
      <c r="R1845" s="10" t="s">
        <v>28</v>
      </c>
      <c r="S1845" s="10"/>
      <c r="T1845" s="10"/>
      <c r="U1845" s="10" t="s">
        <v>760</v>
      </c>
      <c r="V1845" s="10" t="s">
        <v>760</v>
      </c>
      <c r="W1845" s="50">
        <f>+J1845/$W$2</f>
        <v>2.3586810357511834E-4</v>
      </c>
    </row>
    <row r="1846" spans="1:29">
      <c r="A1846" s="10" t="s">
        <v>379</v>
      </c>
      <c r="B1846" s="10" t="s">
        <v>358</v>
      </c>
      <c r="C1846" s="124">
        <v>46377</v>
      </c>
      <c r="D1846" s="124" t="s">
        <v>471</v>
      </c>
      <c r="E1846" s="21">
        <v>0.95959212000000005</v>
      </c>
      <c r="F1846" s="10"/>
      <c r="G1846" s="14">
        <v>10000000</v>
      </c>
      <c r="H1846" s="14">
        <v>9595921.1899999995</v>
      </c>
      <c r="I1846" s="14">
        <v>10000000</v>
      </c>
      <c r="J1846" s="14">
        <v>9595921.1899999995</v>
      </c>
      <c r="K1846" s="12">
        <v>90002276</v>
      </c>
      <c r="L1846" s="10" t="s">
        <v>101</v>
      </c>
      <c r="M1846" s="10" t="s">
        <v>102</v>
      </c>
      <c r="N1846" s="124" t="s">
        <v>576</v>
      </c>
      <c r="O1846" s="124" t="s">
        <v>576</v>
      </c>
      <c r="P1846" s="21">
        <v>29</v>
      </c>
      <c r="Q1846" s="10" t="s">
        <v>54</v>
      </c>
      <c r="R1846" s="10" t="s">
        <v>28</v>
      </c>
      <c r="S1846" s="10"/>
      <c r="T1846" s="10"/>
      <c r="U1846" s="10" t="s">
        <v>2351</v>
      </c>
      <c r="V1846" s="10" t="s">
        <v>2351</v>
      </c>
      <c r="W1846" s="50">
        <f>+J1846/$W$2</f>
        <v>1.1744108017666743E-4</v>
      </c>
    </row>
    <row r="1847" spans="1:29">
      <c r="A1847" s="10" t="s">
        <v>379</v>
      </c>
      <c r="B1847" s="10" t="s">
        <v>358</v>
      </c>
      <c r="C1847" s="124">
        <v>46377</v>
      </c>
      <c r="D1847" s="124" t="s">
        <v>471</v>
      </c>
      <c r="E1847" s="21">
        <v>0.96227364999999998</v>
      </c>
      <c r="F1847" s="10"/>
      <c r="G1847" s="14">
        <v>20000000</v>
      </c>
      <c r="H1847" s="14">
        <v>19245473.039999999</v>
      </c>
      <c r="I1847" s="14">
        <v>20000000</v>
      </c>
      <c r="J1847" s="14">
        <v>19245473.039999999</v>
      </c>
      <c r="K1847" s="12">
        <v>23019</v>
      </c>
      <c r="L1847" s="10" t="s">
        <v>101</v>
      </c>
      <c r="M1847" s="10" t="s">
        <v>102</v>
      </c>
      <c r="N1847" s="124" t="s">
        <v>469</v>
      </c>
      <c r="O1847" s="124" t="s">
        <v>469</v>
      </c>
      <c r="P1847" s="21">
        <v>27</v>
      </c>
      <c r="Q1847" s="10" t="s">
        <v>54</v>
      </c>
      <c r="R1847" s="10" t="s">
        <v>28</v>
      </c>
      <c r="S1847" s="10"/>
      <c r="T1847" s="10"/>
      <c r="U1847" s="10" t="s">
        <v>4022</v>
      </c>
      <c r="V1847" s="10" t="s">
        <v>4022</v>
      </c>
      <c r="W1847" s="50">
        <f>+J1847/$W$2</f>
        <v>2.3553852700290169E-4</v>
      </c>
    </row>
    <row r="1848" spans="1:29">
      <c r="A1848" s="10" t="s">
        <v>271</v>
      </c>
      <c r="B1848" s="10" t="s">
        <v>358</v>
      </c>
      <c r="C1848" s="124">
        <v>46377</v>
      </c>
      <c r="D1848" s="124" t="s">
        <v>471</v>
      </c>
      <c r="E1848" s="21">
        <v>0.96362011000000003</v>
      </c>
      <c r="F1848" s="10"/>
      <c r="G1848" s="14">
        <v>5000000</v>
      </c>
      <c r="H1848" s="14">
        <v>4818100.5599999996</v>
      </c>
      <c r="I1848" s="14">
        <v>5000000</v>
      </c>
      <c r="J1848" s="14">
        <v>4818100.5599999996</v>
      </c>
      <c r="K1848" s="12">
        <v>491510</v>
      </c>
      <c r="L1848" s="10" t="s">
        <v>101</v>
      </c>
      <c r="M1848" s="10" t="s">
        <v>102</v>
      </c>
      <c r="N1848" s="124" t="s">
        <v>342</v>
      </c>
      <c r="O1848" s="124" t="s">
        <v>342</v>
      </c>
      <c r="P1848" s="21">
        <v>26</v>
      </c>
      <c r="Q1848" s="10" t="s">
        <v>54</v>
      </c>
      <c r="R1848" s="10" t="s">
        <v>28</v>
      </c>
      <c r="S1848" s="10"/>
      <c r="T1848" s="10"/>
      <c r="U1848" s="10" t="s">
        <v>753</v>
      </c>
      <c r="V1848" s="10" t="s">
        <v>753</v>
      </c>
      <c r="W1848" s="50">
        <f>+J1848/$W$2</f>
        <v>5.8967025985569422E-5</v>
      </c>
    </row>
    <row r="1849" spans="1:29">
      <c r="A1849" s="10" t="s">
        <v>271</v>
      </c>
      <c r="B1849" s="10" t="s">
        <v>358</v>
      </c>
      <c r="C1849" s="124">
        <v>46377</v>
      </c>
      <c r="D1849" s="124" t="s">
        <v>471</v>
      </c>
      <c r="E1849" s="21">
        <v>0.96227364999999998</v>
      </c>
      <c r="F1849" s="10"/>
      <c r="G1849" s="14">
        <v>50000000</v>
      </c>
      <c r="H1849" s="14">
        <v>48113682.590000004</v>
      </c>
      <c r="I1849" s="14">
        <v>50000000</v>
      </c>
      <c r="J1849" s="14">
        <v>48113682.590000004</v>
      </c>
      <c r="K1849" s="12">
        <v>4545</v>
      </c>
      <c r="L1849" s="10" t="s">
        <v>101</v>
      </c>
      <c r="M1849" s="10" t="s">
        <v>102</v>
      </c>
      <c r="N1849" s="124" t="s">
        <v>478</v>
      </c>
      <c r="O1849" s="124" t="s">
        <v>478</v>
      </c>
      <c r="P1849" s="21">
        <v>27</v>
      </c>
      <c r="Q1849" s="10" t="s">
        <v>54</v>
      </c>
      <c r="R1849" s="10" t="s">
        <v>28</v>
      </c>
      <c r="S1849" s="10"/>
      <c r="T1849" s="10"/>
      <c r="U1849" s="10" t="s">
        <v>2120</v>
      </c>
      <c r="V1849" s="10" t="s">
        <v>2120</v>
      </c>
      <c r="W1849" s="50">
        <f>+J1849/$W$2</f>
        <v>5.8884631738486792E-4</v>
      </c>
    </row>
    <row r="1850" spans="1:29">
      <c r="A1850" s="10" t="s">
        <v>150</v>
      </c>
      <c r="B1850" s="10" t="s">
        <v>358</v>
      </c>
      <c r="C1850" s="124">
        <v>46377</v>
      </c>
      <c r="D1850" s="124" t="s">
        <v>471</v>
      </c>
      <c r="E1850" s="21">
        <v>0.96093094999999995</v>
      </c>
      <c r="F1850" s="10"/>
      <c r="G1850" s="14">
        <v>40000000</v>
      </c>
      <c r="H1850" s="14">
        <v>38437238.18</v>
      </c>
      <c r="I1850" s="14">
        <v>40000000</v>
      </c>
      <c r="J1850" s="14">
        <v>38437238.18</v>
      </c>
      <c r="K1850" s="12">
        <v>54029682</v>
      </c>
      <c r="L1850" s="10" t="s">
        <v>101</v>
      </c>
      <c r="M1850" s="10" t="s">
        <v>102</v>
      </c>
      <c r="N1850" s="124" t="s">
        <v>449</v>
      </c>
      <c r="O1850" s="124" t="s">
        <v>449</v>
      </c>
      <c r="P1850" s="21">
        <v>28</v>
      </c>
      <c r="Q1850" s="10" t="s">
        <v>54</v>
      </c>
      <c r="R1850" s="10" t="s">
        <v>28</v>
      </c>
      <c r="S1850" s="10"/>
      <c r="T1850" s="10"/>
      <c r="U1850" s="10" t="s">
        <v>1930</v>
      </c>
      <c r="V1850" s="10" t="s">
        <v>1930</v>
      </c>
      <c r="W1850" s="50">
        <f>+J1850/$W$2</f>
        <v>4.7041974204323819E-4</v>
      </c>
      <c r="AC1850" s="47"/>
    </row>
    <row r="1851" spans="1:29">
      <c r="A1851" s="10" t="s">
        <v>3800</v>
      </c>
      <c r="B1851" s="10" t="s">
        <v>358</v>
      </c>
      <c r="C1851" s="124">
        <v>46377</v>
      </c>
      <c r="D1851" s="124" t="s">
        <v>471</v>
      </c>
      <c r="E1851" s="21">
        <v>0.95427353999999998</v>
      </c>
      <c r="F1851" s="10"/>
      <c r="G1851" s="14">
        <v>28666627.02</v>
      </c>
      <c r="H1851" s="14">
        <v>27355803.620000001</v>
      </c>
      <c r="I1851" s="14">
        <v>28666627.02</v>
      </c>
      <c r="J1851" s="14">
        <v>27355803.620000001</v>
      </c>
      <c r="K1851" s="12">
        <v>90023112</v>
      </c>
      <c r="L1851" s="10" t="s">
        <v>101</v>
      </c>
      <c r="M1851" s="10" t="s">
        <v>102</v>
      </c>
      <c r="N1851" s="124" t="s">
        <v>467</v>
      </c>
      <c r="O1851" s="124" t="s">
        <v>467</v>
      </c>
      <c r="P1851" s="21">
        <v>33</v>
      </c>
      <c r="Q1851" s="10" t="s">
        <v>54</v>
      </c>
      <c r="R1851" s="10" t="s">
        <v>28</v>
      </c>
      <c r="S1851" s="10"/>
      <c r="T1851" s="10"/>
      <c r="U1851" s="10" t="s">
        <v>3759</v>
      </c>
      <c r="V1851" s="10" t="s">
        <v>3759</v>
      </c>
      <c r="W1851" s="50">
        <f>+J1851/$W$2</f>
        <v>3.347979899607314E-4</v>
      </c>
    </row>
    <row r="1852" spans="1:29">
      <c r="A1852" s="10" t="s">
        <v>677</v>
      </c>
      <c r="B1852" s="10" t="s">
        <v>358</v>
      </c>
      <c r="C1852" s="124">
        <v>46377</v>
      </c>
      <c r="D1852" s="124" t="s">
        <v>471</v>
      </c>
      <c r="E1852" s="21">
        <v>0.94901329999999995</v>
      </c>
      <c r="F1852" s="10"/>
      <c r="G1852" s="14">
        <v>20000000</v>
      </c>
      <c r="H1852" s="14">
        <v>18980266.010000002</v>
      </c>
      <c r="I1852" s="14">
        <v>20000000</v>
      </c>
      <c r="J1852" s="14">
        <v>18980266.010000002</v>
      </c>
      <c r="K1852" s="12">
        <v>2638</v>
      </c>
      <c r="L1852" s="10" t="s">
        <v>101</v>
      </c>
      <c r="M1852" s="10" t="s">
        <v>102</v>
      </c>
      <c r="N1852" s="124" t="s">
        <v>389</v>
      </c>
      <c r="O1852" s="124" t="s">
        <v>389</v>
      </c>
      <c r="P1852" s="21">
        <v>37</v>
      </c>
      <c r="Q1852" s="10" t="s">
        <v>54</v>
      </c>
      <c r="R1852" s="10" t="s">
        <v>28</v>
      </c>
      <c r="S1852" s="10"/>
      <c r="T1852" s="10"/>
      <c r="U1852" s="10" t="s">
        <v>970</v>
      </c>
      <c r="V1852" s="10" t="s">
        <v>970</v>
      </c>
      <c r="W1852" s="50">
        <f>+J1852/$W$2</f>
        <v>2.3229275210990828E-4</v>
      </c>
    </row>
    <row r="1853" spans="1:29">
      <c r="A1853" s="10" t="s">
        <v>3319</v>
      </c>
      <c r="B1853" s="10" t="s">
        <v>358</v>
      </c>
      <c r="C1853" s="124">
        <v>46377</v>
      </c>
      <c r="D1853" s="124" t="s">
        <v>471</v>
      </c>
      <c r="E1853" s="21">
        <v>0.95427353999999998</v>
      </c>
      <c r="F1853" s="10"/>
      <c r="G1853" s="14">
        <v>1800000</v>
      </c>
      <c r="H1853" s="14">
        <v>1717692.37</v>
      </c>
      <c r="I1853" s="14">
        <v>1800000</v>
      </c>
      <c r="J1853" s="14">
        <v>1717692.37</v>
      </c>
      <c r="K1853" s="12">
        <v>30000443</v>
      </c>
      <c r="L1853" s="10" t="s">
        <v>101</v>
      </c>
      <c r="M1853" s="10" t="s">
        <v>102</v>
      </c>
      <c r="N1853" s="124" t="s">
        <v>417</v>
      </c>
      <c r="O1853" s="124" t="s">
        <v>417</v>
      </c>
      <c r="P1853" s="21">
        <v>33</v>
      </c>
      <c r="Q1853" s="10" t="s">
        <v>54</v>
      </c>
      <c r="R1853" s="10" t="s">
        <v>28</v>
      </c>
      <c r="S1853" s="10"/>
      <c r="T1853" s="10"/>
      <c r="U1853" s="10" t="s">
        <v>3295</v>
      </c>
      <c r="V1853" s="10" t="s">
        <v>3295</v>
      </c>
      <c r="W1853" s="50">
        <f>+J1853/$W$2</f>
        <v>2.1022228439541815E-5</v>
      </c>
    </row>
    <row r="1854" spans="1:29">
      <c r="A1854" s="10" t="s">
        <v>2016</v>
      </c>
      <c r="B1854" s="10" t="s">
        <v>358</v>
      </c>
      <c r="C1854" s="124">
        <v>46378</v>
      </c>
      <c r="D1854" s="124" t="s">
        <v>471</v>
      </c>
      <c r="E1854" s="21">
        <v>0.95886117000000004</v>
      </c>
      <c r="F1854" s="10"/>
      <c r="G1854" s="14">
        <v>574138.31000000006</v>
      </c>
      <c r="H1854" s="14">
        <v>550518.93000000005</v>
      </c>
      <c r="I1854" s="14">
        <v>574138.31000000006</v>
      </c>
      <c r="J1854" s="14">
        <v>550518.93000000005</v>
      </c>
      <c r="K1854" s="12">
        <v>7070</v>
      </c>
      <c r="L1854" s="10" t="s">
        <v>101</v>
      </c>
      <c r="M1854" s="10" t="s">
        <v>102</v>
      </c>
      <c r="N1854" s="124" t="s">
        <v>469</v>
      </c>
      <c r="O1854" s="124" t="s">
        <v>469</v>
      </c>
      <c r="P1854" s="21">
        <v>29</v>
      </c>
      <c r="Q1854" s="10" t="s">
        <v>54</v>
      </c>
      <c r="R1854" s="10" t="s">
        <v>28</v>
      </c>
      <c r="S1854" s="10"/>
      <c r="T1854" s="10"/>
      <c r="U1854" s="10" t="s">
        <v>3939</v>
      </c>
      <c r="V1854" s="10" t="s">
        <v>3939</v>
      </c>
      <c r="W1854" s="50">
        <f>+J1854/$W$2</f>
        <v>6.7376061679496947E-6</v>
      </c>
    </row>
    <row r="1855" spans="1:29">
      <c r="A1855" s="10" t="s">
        <v>400</v>
      </c>
      <c r="B1855" s="10" t="s">
        <v>358</v>
      </c>
      <c r="C1855" s="124">
        <v>46378</v>
      </c>
      <c r="D1855" s="124" t="s">
        <v>471</v>
      </c>
      <c r="E1855" s="21">
        <v>0.9602231</v>
      </c>
      <c r="F1855" s="10"/>
      <c r="G1855" s="14">
        <v>10000000</v>
      </c>
      <c r="H1855" s="14">
        <v>9602230.9800000004</v>
      </c>
      <c r="I1855" s="14">
        <v>10000000</v>
      </c>
      <c r="J1855" s="14">
        <v>9602230.9800000004</v>
      </c>
      <c r="K1855" s="12">
        <v>12794378</v>
      </c>
      <c r="L1855" s="10" t="s">
        <v>101</v>
      </c>
      <c r="M1855" s="10" t="s">
        <v>102</v>
      </c>
      <c r="N1855" s="124" t="s">
        <v>478</v>
      </c>
      <c r="O1855" s="124" t="s">
        <v>478</v>
      </c>
      <c r="P1855" s="21">
        <v>28</v>
      </c>
      <c r="Q1855" s="10" t="s">
        <v>54</v>
      </c>
      <c r="R1855" s="10" t="s">
        <v>28</v>
      </c>
      <c r="S1855" s="10"/>
      <c r="T1855" s="10"/>
      <c r="U1855" s="10" t="s">
        <v>2087</v>
      </c>
      <c r="V1855" s="10" t="s">
        <v>2087</v>
      </c>
      <c r="W1855" s="50">
        <f>+J1855/$W$2</f>
        <v>1.1751830346129178E-4</v>
      </c>
    </row>
    <row r="1856" spans="1:29">
      <c r="A1856" s="10" t="s">
        <v>334</v>
      </c>
      <c r="B1856" s="10" t="s">
        <v>358</v>
      </c>
      <c r="C1856" s="124">
        <v>46378</v>
      </c>
      <c r="D1856" s="124" t="s">
        <v>471</v>
      </c>
      <c r="E1856" s="21">
        <v>0.94943310000000003</v>
      </c>
      <c r="F1856" s="10"/>
      <c r="G1856" s="14">
        <v>3105640.28</v>
      </c>
      <c r="H1856" s="14">
        <v>2948597.67</v>
      </c>
      <c r="I1856" s="14">
        <v>3105640.28</v>
      </c>
      <c r="J1856" s="14">
        <v>2948597.67</v>
      </c>
      <c r="K1856" s="12">
        <v>3399</v>
      </c>
      <c r="L1856" s="10" t="s">
        <v>101</v>
      </c>
      <c r="M1856" s="10" t="s">
        <v>102</v>
      </c>
      <c r="N1856" s="124" t="s">
        <v>486</v>
      </c>
      <c r="O1856" s="124" t="s">
        <v>486</v>
      </c>
      <c r="P1856" s="21">
        <v>36</v>
      </c>
      <c r="Q1856" s="10" t="s">
        <v>54</v>
      </c>
      <c r="R1856" s="10" t="s">
        <v>28</v>
      </c>
      <c r="S1856" s="10"/>
      <c r="T1856" s="10"/>
      <c r="U1856" s="10" t="s">
        <v>1480</v>
      </c>
      <c r="V1856" s="10" t="s">
        <v>1480</v>
      </c>
      <c r="W1856" s="50">
        <f>+J1856/$W$2</f>
        <v>3.6086842369242597E-5</v>
      </c>
    </row>
    <row r="1857" spans="1:29">
      <c r="A1857" s="10" t="s">
        <v>2018</v>
      </c>
      <c r="B1857" s="10" t="s">
        <v>358</v>
      </c>
      <c r="C1857" s="124">
        <v>46378</v>
      </c>
      <c r="D1857" s="124" t="s">
        <v>471</v>
      </c>
      <c r="E1857" s="21">
        <v>0.95076859999999996</v>
      </c>
      <c r="F1857" s="10"/>
      <c r="G1857" s="14">
        <v>25000000</v>
      </c>
      <c r="H1857" s="14">
        <v>23769215.109999999</v>
      </c>
      <c r="I1857" s="14">
        <v>25000000</v>
      </c>
      <c r="J1857" s="14">
        <v>23769215.109999999</v>
      </c>
      <c r="K1857" s="12">
        <v>10685425</v>
      </c>
      <c r="L1857" s="10" t="s">
        <v>101</v>
      </c>
      <c r="M1857" s="10" t="s">
        <v>102</v>
      </c>
      <c r="N1857" s="124" t="s">
        <v>449</v>
      </c>
      <c r="O1857" s="124" t="s">
        <v>449</v>
      </c>
      <c r="P1857" s="21">
        <v>35</v>
      </c>
      <c r="Q1857" s="10" t="s">
        <v>54</v>
      </c>
      <c r="R1857" s="10" t="s">
        <v>28</v>
      </c>
      <c r="S1857" s="10"/>
      <c r="T1857" s="10"/>
      <c r="U1857" s="10" t="s">
        <v>1980</v>
      </c>
      <c r="V1857" s="10" t="s">
        <v>1980</v>
      </c>
      <c r="W1857" s="50">
        <f>+J1857/$W$2</f>
        <v>2.9090300370317705E-4</v>
      </c>
    </row>
    <row r="1858" spans="1:29">
      <c r="A1858" s="10" t="s">
        <v>401</v>
      </c>
      <c r="B1858" s="10" t="s">
        <v>358</v>
      </c>
      <c r="C1858" s="124">
        <v>46378</v>
      </c>
      <c r="D1858" s="124" t="s">
        <v>471</v>
      </c>
      <c r="E1858" s="21">
        <v>0.96022320999999999</v>
      </c>
      <c r="F1858" s="10"/>
      <c r="G1858" s="14">
        <v>8400000</v>
      </c>
      <c r="H1858" s="14">
        <v>8065874.9400000004</v>
      </c>
      <c r="I1858" s="14">
        <v>8400000</v>
      </c>
      <c r="J1858" s="14">
        <v>8065874.9400000004</v>
      </c>
      <c r="K1858" s="12">
        <v>2462</v>
      </c>
      <c r="L1858" s="10" t="s">
        <v>101</v>
      </c>
      <c r="M1858" s="10" t="s">
        <v>102</v>
      </c>
      <c r="N1858" s="124" t="s">
        <v>408</v>
      </c>
      <c r="O1858" s="124" t="s">
        <v>408</v>
      </c>
      <c r="P1858" s="21">
        <v>28</v>
      </c>
      <c r="Q1858" s="10" t="s">
        <v>54</v>
      </c>
      <c r="R1858" s="10" t="s">
        <v>28</v>
      </c>
      <c r="S1858" s="10"/>
      <c r="T1858" s="10"/>
      <c r="U1858" s="10" t="s">
        <v>2062</v>
      </c>
      <c r="V1858" s="10" t="s">
        <v>2062</v>
      </c>
      <c r="W1858" s="50">
        <f>+J1858/$W$2</f>
        <v>9.8715386127875516E-5</v>
      </c>
    </row>
    <row r="1859" spans="1:29">
      <c r="A1859" s="10" t="s">
        <v>494</v>
      </c>
      <c r="B1859" s="10" t="s">
        <v>358</v>
      </c>
      <c r="C1859" s="124">
        <v>46378</v>
      </c>
      <c r="D1859" s="124" t="s">
        <v>471</v>
      </c>
      <c r="E1859" s="21">
        <v>0.95750268000000005</v>
      </c>
      <c r="F1859" s="10"/>
      <c r="G1859" s="14">
        <v>23167422.219999999</v>
      </c>
      <c r="H1859" s="14">
        <v>22182868.870000001</v>
      </c>
      <c r="I1859" s="14">
        <v>23167422.219999999</v>
      </c>
      <c r="J1859" s="14">
        <v>22182868.870000001</v>
      </c>
      <c r="K1859" s="12">
        <v>439</v>
      </c>
      <c r="L1859" s="10" t="s">
        <v>101</v>
      </c>
      <c r="M1859" s="10" t="s">
        <v>102</v>
      </c>
      <c r="N1859" s="124" t="s">
        <v>439</v>
      </c>
      <c r="O1859" s="124" t="s">
        <v>439</v>
      </c>
      <c r="P1859" s="21">
        <v>30</v>
      </c>
      <c r="Q1859" s="10" t="s">
        <v>54</v>
      </c>
      <c r="R1859" s="10" t="s">
        <v>28</v>
      </c>
      <c r="S1859" s="10"/>
      <c r="T1859" s="10"/>
      <c r="U1859" s="10" t="s">
        <v>2249</v>
      </c>
      <c r="V1859" s="10" t="s">
        <v>2249</v>
      </c>
      <c r="W1859" s="50">
        <f>+J1859/$W$2</f>
        <v>2.714882740205342E-4</v>
      </c>
    </row>
    <row r="1860" spans="1:29">
      <c r="A1860" s="10" t="s">
        <v>206</v>
      </c>
      <c r="B1860" s="10" t="s">
        <v>358</v>
      </c>
      <c r="C1860" s="124">
        <v>46378</v>
      </c>
      <c r="D1860" s="124" t="s">
        <v>471</v>
      </c>
      <c r="E1860" s="21">
        <v>0.95345084000000002</v>
      </c>
      <c r="F1860" s="10"/>
      <c r="G1860" s="14">
        <v>2170000</v>
      </c>
      <c r="H1860" s="14">
        <v>2068988.32</v>
      </c>
      <c r="I1860" s="14">
        <v>2170000</v>
      </c>
      <c r="J1860" s="14">
        <v>2068988.32</v>
      </c>
      <c r="K1860" s="12">
        <v>260745</v>
      </c>
      <c r="L1860" s="10" t="s">
        <v>101</v>
      </c>
      <c r="M1860" s="10" t="s">
        <v>102</v>
      </c>
      <c r="N1860" s="124" t="s">
        <v>479</v>
      </c>
      <c r="O1860" s="124" t="s">
        <v>479</v>
      </c>
      <c r="P1860" s="21">
        <v>33</v>
      </c>
      <c r="Q1860" s="10" t="s">
        <v>54</v>
      </c>
      <c r="R1860" s="10" t="s">
        <v>28</v>
      </c>
      <c r="S1860" s="10"/>
      <c r="T1860" s="10"/>
      <c r="U1860" s="10" t="s">
        <v>1217</v>
      </c>
      <c r="V1860" s="10" t="s">
        <v>1217</v>
      </c>
      <c r="W1860" s="50">
        <f>+J1860/$W$2</f>
        <v>2.532161512819891E-5</v>
      </c>
      <c r="AC1860" s="47"/>
    </row>
    <row r="1861" spans="1:29">
      <c r="A1861" s="10" t="s">
        <v>2759</v>
      </c>
      <c r="B1861" s="10" t="s">
        <v>358</v>
      </c>
      <c r="C1861" s="124">
        <v>46378</v>
      </c>
      <c r="D1861" s="124" t="s">
        <v>471</v>
      </c>
      <c r="E1861" s="21">
        <v>0.95479765000000005</v>
      </c>
      <c r="F1861" s="10"/>
      <c r="G1861" s="14">
        <v>10000000</v>
      </c>
      <c r="H1861" s="14">
        <v>9547976.4499999993</v>
      </c>
      <c r="I1861" s="14">
        <v>10000000</v>
      </c>
      <c r="J1861" s="14">
        <v>9547976.4499999993</v>
      </c>
      <c r="K1861" s="12">
        <v>426</v>
      </c>
      <c r="L1861" s="10" t="s">
        <v>101</v>
      </c>
      <c r="M1861" s="10" t="s">
        <v>102</v>
      </c>
      <c r="N1861" s="124" t="s">
        <v>475</v>
      </c>
      <c r="O1861" s="124" t="s">
        <v>475</v>
      </c>
      <c r="P1861" s="21">
        <v>32</v>
      </c>
      <c r="Q1861" s="10" t="s">
        <v>54</v>
      </c>
      <c r="R1861" s="10" t="s">
        <v>28</v>
      </c>
      <c r="S1861" s="10"/>
      <c r="T1861" s="10"/>
      <c r="U1861" s="10" t="s">
        <v>3359</v>
      </c>
      <c r="V1861" s="10" t="s">
        <v>3359</v>
      </c>
      <c r="W1861" s="50">
        <f>+J1861/$W$2</f>
        <v>1.1685430148779521E-4</v>
      </c>
    </row>
    <row r="1862" spans="1:29">
      <c r="A1862" s="10" t="s">
        <v>1090</v>
      </c>
      <c r="B1862" s="10" t="s">
        <v>358</v>
      </c>
      <c r="C1862" s="124">
        <v>46378</v>
      </c>
      <c r="D1862" s="124" t="s">
        <v>471</v>
      </c>
      <c r="E1862" s="21">
        <v>0.95750270999999998</v>
      </c>
      <c r="F1862" s="10"/>
      <c r="G1862" s="14">
        <v>50000000</v>
      </c>
      <c r="H1862" s="14">
        <v>47875135.640000001</v>
      </c>
      <c r="I1862" s="14">
        <v>50000000</v>
      </c>
      <c r="J1862" s="14">
        <v>47875135.640000001</v>
      </c>
      <c r="K1862" s="12">
        <v>197096</v>
      </c>
      <c r="L1862" s="10" t="s">
        <v>101</v>
      </c>
      <c r="M1862" s="10" t="s">
        <v>102</v>
      </c>
      <c r="N1862" s="124" t="s">
        <v>161</v>
      </c>
      <c r="O1862" s="124" t="s">
        <v>161</v>
      </c>
      <c r="P1862" s="21">
        <v>30</v>
      </c>
      <c r="Q1862" s="10" t="s">
        <v>54</v>
      </c>
      <c r="R1862" s="10" t="s">
        <v>28</v>
      </c>
      <c r="S1862" s="10"/>
      <c r="T1862" s="10"/>
      <c r="U1862" s="10" t="s">
        <v>1038</v>
      </c>
      <c r="V1862" s="10" t="s">
        <v>1038</v>
      </c>
      <c r="W1862" s="50">
        <f>+J1862/$W$2</f>
        <v>5.8592682576690371E-4</v>
      </c>
    </row>
    <row r="1863" spans="1:29">
      <c r="A1863" s="10" t="s">
        <v>3322</v>
      </c>
      <c r="B1863" s="10" t="s">
        <v>358</v>
      </c>
      <c r="C1863" s="124">
        <v>46378</v>
      </c>
      <c r="D1863" s="124" t="s">
        <v>471</v>
      </c>
      <c r="E1863" s="21">
        <v>0.95345084999999996</v>
      </c>
      <c r="F1863" s="10"/>
      <c r="G1863" s="14">
        <v>528139.15</v>
      </c>
      <c r="H1863" s="14">
        <v>503554.72</v>
      </c>
      <c r="I1863" s="14">
        <v>528139.15</v>
      </c>
      <c r="J1863" s="14">
        <v>503554.72</v>
      </c>
      <c r="K1863" s="12">
        <v>17707</v>
      </c>
      <c r="L1863" s="10" t="s">
        <v>101</v>
      </c>
      <c r="M1863" s="10" t="s">
        <v>102</v>
      </c>
      <c r="N1863" s="124" t="s">
        <v>417</v>
      </c>
      <c r="O1863" s="124" t="s">
        <v>417</v>
      </c>
      <c r="P1863" s="21">
        <v>33</v>
      </c>
      <c r="Q1863" s="10" t="s">
        <v>54</v>
      </c>
      <c r="R1863" s="10" t="s">
        <v>28</v>
      </c>
      <c r="S1863" s="10"/>
      <c r="T1863" s="10"/>
      <c r="U1863" s="10" t="s">
        <v>3225</v>
      </c>
      <c r="V1863" s="10" t="s">
        <v>3225</v>
      </c>
      <c r="W1863" s="50">
        <f>+J1863/$W$2</f>
        <v>6.1628278384036333E-6</v>
      </c>
    </row>
    <row r="1864" spans="1:29">
      <c r="A1864" s="10" t="s">
        <v>3572</v>
      </c>
      <c r="B1864" s="10" t="s">
        <v>358</v>
      </c>
      <c r="C1864" s="124">
        <v>46378</v>
      </c>
      <c r="D1864" s="124" t="s">
        <v>471</v>
      </c>
      <c r="E1864" s="21">
        <v>0.95345071000000003</v>
      </c>
      <c r="F1864" s="10"/>
      <c r="G1864" s="14">
        <v>5384000</v>
      </c>
      <c r="H1864" s="14">
        <v>5133378.6399999997</v>
      </c>
      <c r="I1864" s="14">
        <v>5384000</v>
      </c>
      <c r="J1864" s="14">
        <v>5133378.6399999997</v>
      </c>
      <c r="K1864" s="12">
        <v>13981362</v>
      </c>
      <c r="L1864" s="10" t="s">
        <v>101</v>
      </c>
      <c r="M1864" s="10" t="s">
        <v>102</v>
      </c>
      <c r="N1864" s="124" t="s">
        <v>451</v>
      </c>
      <c r="O1864" s="124" t="s">
        <v>451</v>
      </c>
      <c r="P1864" s="21">
        <v>33</v>
      </c>
      <c r="Q1864" s="10" t="s">
        <v>54</v>
      </c>
      <c r="R1864" s="10" t="s">
        <v>28</v>
      </c>
      <c r="S1864" s="10"/>
      <c r="T1864" s="10"/>
      <c r="U1864" s="10" t="s">
        <v>3568</v>
      </c>
      <c r="V1864" s="10" t="s">
        <v>3568</v>
      </c>
      <c r="W1864" s="50">
        <f>+J1864/$W$2</f>
        <v>6.2825602722299149E-5</v>
      </c>
    </row>
    <row r="1865" spans="1:29">
      <c r="A1865" s="10" t="s">
        <v>832</v>
      </c>
      <c r="B1865" s="10" t="s">
        <v>358</v>
      </c>
      <c r="C1865" s="124">
        <v>46378</v>
      </c>
      <c r="D1865" s="124" t="s">
        <v>471</v>
      </c>
      <c r="E1865" s="21">
        <v>0.95076841999999995</v>
      </c>
      <c r="F1865" s="10"/>
      <c r="G1865" s="14">
        <v>181355.13</v>
      </c>
      <c r="H1865" s="14">
        <v>172426.73</v>
      </c>
      <c r="I1865" s="14">
        <v>181355.13</v>
      </c>
      <c r="J1865" s="14">
        <v>172426.73</v>
      </c>
      <c r="K1865" s="12">
        <v>127540</v>
      </c>
      <c r="L1865" s="10" t="s">
        <v>101</v>
      </c>
      <c r="M1865" s="10" t="s">
        <v>102</v>
      </c>
      <c r="N1865" s="124" t="s">
        <v>451</v>
      </c>
      <c r="O1865" s="124" t="s">
        <v>451</v>
      </c>
      <c r="P1865" s="21">
        <v>35</v>
      </c>
      <c r="Q1865" s="10" t="s">
        <v>54</v>
      </c>
      <c r="R1865" s="10" t="s">
        <v>28</v>
      </c>
      <c r="S1865" s="10"/>
      <c r="T1865" s="10"/>
      <c r="U1865" s="10" t="s">
        <v>3510</v>
      </c>
      <c r="V1865" s="10" t="s">
        <v>3510</v>
      </c>
      <c r="W1865" s="50">
        <f>+J1865/$W$2</f>
        <v>2.1102696678702706E-6</v>
      </c>
    </row>
    <row r="1866" spans="1:29">
      <c r="A1866" s="10" t="s">
        <v>574</v>
      </c>
      <c r="B1866" s="10" t="s">
        <v>358</v>
      </c>
      <c r="C1866" s="124">
        <v>46378</v>
      </c>
      <c r="D1866" s="124" t="s">
        <v>471</v>
      </c>
      <c r="E1866" s="21">
        <v>0.95750276999999995</v>
      </c>
      <c r="F1866" s="10"/>
      <c r="G1866" s="14">
        <v>150000000</v>
      </c>
      <c r="H1866" s="14">
        <v>143625415.25999999</v>
      </c>
      <c r="I1866" s="14">
        <v>150000000</v>
      </c>
      <c r="J1866" s="14">
        <v>143625415.25999999</v>
      </c>
      <c r="K1866" s="12">
        <v>90004318</v>
      </c>
      <c r="L1866" s="10" t="s">
        <v>101</v>
      </c>
      <c r="M1866" s="10" t="s">
        <v>102</v>
      </c>
      <c r="N1866" s="124" t="s">
        <v>465</v>
      </c>
      <c r="O1866" s="124" t="s">
        <v>465</v>
      </c>
      <c r="P1866" s="21">
        <v>30</v>
      </c>
      <c r="Q1866" s="10" t="s">
        <v>54</v>
      </c>
      <c r="R1866" s="10" t="s">
        <v>28</v>
      </c>
      <c r="S1866" s="10"/>
      <c r="T1866" s="10"/>
      <c r="U1866" s="10" t="s">
        <v>2983</v>
      </c>
      <c r="V1866" s="10" t="s">
        <v>2983</v>
      </c>
      <c r="W1866" s="50">
        <f>+J1866/$W$2</f>
        <v>1.7577805793710165E-3</v>
      </c>
    </row>
    <row r="1867" spans="1:29">
      <c r="A1867" s="10" t="s">
        <v>4164</v>
      </c>
      <c r="B1867" s="10" t="s">
        <v>358</v>
      </c>
      <c r="C1867" s="124">
        <v>46378</v>
      </c>
      <c r="D1867" s="124" t="s">
        <v>471</v>
      </c>
      <c r="E1867" s="21">
        <v>0.95345078000000005</v>
      </c>
      <c r="F1867" s="10"/>
      <c r="G1867" s="14">
        <v>234304.66</v>
      </c>
      <c r="H1867" s="14">
        <v>223397.96</v>
      </c>
      <c r="I1867" s="14">
        <v>234304.66</v>
      </c>
      <c r="J1867" s="14">
        <v>223397.96</v>
      </c>
      <c r="K1867" s="12">
        <v>76726210</v>
      </c>
      <c r="L1867" s="10" t="s">
        <v>101</v>
      </c>
      <c r="M1867" s="10" t="s">
        <v>102</v>
      </c>
      <c r="N1867" s="124" t="s">
        <v>471</v>
      </c>
      <c r="O1867" s="124" t="s">
        <v>471</v>
      </c>
      <c r="P1867" s="21">
        <v>33</v>
      </c>
      <c r="Q1867" s="10" t="s">
        <v>54</v>
      </c>
      <c r="R1867" s="10" t="s">
        <v>28</v>
      </c>
      <c r="S1867" s="10"/>
      <c r="T1867" s="10"/>
      <c r="U1867" s="10" t="s">
        <v>4136</v>
      </c>
      <c r="V1867" s="10" t="s">
        <v>4136</v>
      </c>
      <c r="W1867" s="50">
        <f>+J1867/$W$2</f>
        <v>2.7340884957459668E-6</v>
      </c>
    </row>
    <row r="1868" spans="1:29">
      <c r="A1868" s="10" t="s">
        <v>3325</v>
      </c>
      <c r="B1868" s="10" t="s">
        <v>358</v>
      </c>
      <c r="C1868" s="124">
        <v>46378</v>
      </c>
      <c r="D1868" s="124" t="s">
        <v>471</v>
      </c>
      <c r="E1868" s="21">
        <v>0.95345086999999995</v>
      </c>
      <c r="F1868" s="10"/>
      <c r="G1868" s="14">
        <v>1217088.83</v>
      </c>
      <c r="H1868" s="14">
        <v>1160434.3999999999</v>
      </c>
      <c r="I1868" s="14">
        <v>1217088.83</v>
      </c>
      <c r="J1868" s="14">
        <v>1160434.3999999999</v>
      </c>
      <c r="K1868" s="12">
        <v>4522</v>
      </c>
      <c r="L1868" s="10" t="s">
        <v>101</v>
      </c>
      <c r="M1868" s="10" t="s">
        <v>102</v>
      </c>
      <c r="N1868" s="124" t="s">
        <v>417</v>
      </c>
      <c r="O1868" s="124" t="s">
        <v>417</v>
      </c>
      <c r="P1868" s="21">
        <v>33</v>
      </c>
      <c r="Q1868" s="10" t="s">
        <v>54</v>
      </c>
      <c r="R1868" s="10" t="s">
        <v>28</v>
      </c>
      <c r="S1868" s="10"/>
      <c r="T1868" s="10"/>
      <c r="U1868" s="10" t="s">
        <v>3249</v>
      </c>
      <c r="V1868" s="10" t="s">
        <v>3249</v>
      </c>
      <c r="W1868" s="50">
        <f>+J1868/$W$2</f>
        <v>1.4202145548275701E-5</v>
      </c>
    </row>
    <row r="1869" spans="1:29">
      <c r="A1869" s="10" t="s">
        <v>2437</v>
      </c>
      <c r="B1869" s="10" t="s">
        <v>358</v>
      </c>
      <c r="C1869" s="124">
        <v>46378</v>
      </c>
      <c r="D1869" s="124" t="s">
        <v>471</v>
      </c>
      <c r="E1869" s="21">
        <v>0.95886106000000004</v>
      </c>
      <c r="F1869" s="10"/>
      <c r="G1869" s="14">
        <v>2500000</v>
      </c>
      <c r="H1869" s="14">
        <v>2397152.65</v>
      </c>
      <c r="I1869" s="14">
        <v>2500000</v>
      </c>
      <c r="J1869" s="14">
        <v>2397152.65</v>
      </c>
      <c r="K1869" s="12">
        <v>366</v>
      </c>
      <c r="L1869" s="10" t="s">
        <v>101</v>
      </c>
      <c r="M1869" s="10" t="s">
        <v>102</v>
      </c>
      <c r="N1869" s="124" t="s">
        <v>467</v>
      </c>
      <c r="O1869" s="124" t="s">
        <v>467</v>
      </c>
      <c r="P1869" s="21">
        <v>29</v>
      </c>
      <c r="Q1869" s="10" t="s">
        <v>54</v>
      </c>
      <c r="R1869" s="10" t="s">
        <v>28</v>
      </c>
      <c r="S1869" s="10"/>
      <c r="T1869" s="10"/>
      <c r="U1869" s="10" t="s">
        <v>3735</v>
      </c>
      <c r="V1869" s="10" t="s">
        <v>3735</v>
      </c>
      <c r="W1869" s="50">
        <f>+J1869/$W$2</f>
        <v>2.9337902113841853E-5</v>
      </c>
    </row>
    <row r="1870" spans="1:29">
      <c r="A1870" s="10" t="s">
        <v>4049</v>
      </c>
      <c r="B1870" s="10" t="s">
        <v>358</v>
      </c>
      <c r="C1870" s="124">
        <v>46378</v>
      </c>
      <c r="D1870" s="124" t="s">
        <v>471</v>
      </c>
      <c r="E1870" s="21">
        <v>0.95886117000000004</v>
      </c>
      <c r="F1870" s="10"/>
      <c r="G1870" s="14">
        <v>1474432.5</v>
      </c>
      <c r="H1870" s="14">
        <v>1413776.07</v>
      </c>
      <c r="I1870" s="14">
        <v>1474432.5</v>
      </c>
      <c r="J1870" s="14">
        <v>1413776.07</v>
      </c>
      <c r="K1870" s="12">
        <v>696</v>
      </c>
      <c r="L1870" s="10" t="s">
        <v>101</v>
      </c>
      <c r="M1870" s="10" t="s">
        <v>102</v>
      </c>
      <c r="N1870" s="124" t="s">
        <v>469</v>
      </c>
      <c r="O1870" s="124" t="s">
        <v>469</v>
      </c>
      <c r="P1870" s="21">
        <v>29</v>
      </c>
      <c r="Q1870" s="10" t="s">
        <v>54</v>
      </c>
      <c r="R1870" s="10" t="s">
        <v>28</v>
      </c>
      <c r="S1870" s="10"/>
      <c r="T1870" s="10"/>
      <c r="U1870" s="10" t="s">
        <v>3983</v>
      </c>
      <c r="V1870" s="10" t="s">
        <v>3983</v>
      </c>
      <c r="W1870" s="50">
        <f>+J1870/$W$2</f>
        <v>1.7302704503424939E-5</v>
      </c>
    </row>
    <row r="1871" spans="1:29">
      <c r="A1871" s="10" t="s">
        <v>4049</v>
      </c>
      <c r="B1871" s="10" t="s">
        <v>358</v>
      </c>
      <c r="C1871" s="124">
        <v>46378</v>
      </c>
      <c r="D1871" s="124" t="s">
        <v>471</v>
      </c>
      <c r="E1871" s="21">
        <v>0.95886117000000004</v>
      </c>
      <c r="F1871" s="10"/>
      <c r="G1871" s="14">
        <v>4212174.99</v>
      </c>
      <c r="H1871" s="14">
        <v>4038891.04</v>
      </c>
      <c r="I1871" s="14">
        <v>4212174.99</v>
      </c>
      <c r="J1871" s="14">
        <v>4038891.04</v>
      </c>
      <c r="K1871" s="12">
        <v>692</v>
      </c>
      <c r="L1871" s="10" t="s">
        <v>101</v>
      </c>
      <c r="M1871" s="10" t="s">
        <v>102</v>
      </c>
      <c r="N1871" s="124" t="s">
        <v>469</v>
      </c>
      <c r="O1871" s="124" t="s">
        <v>469</v>
      </c>
      <c r="P1871" s="21">
        <v>29</v>
      </c>
      <c r="Q1871" s="10" t="s">
        <v>54</v>
      </c>
      <c r="R1871" s="10" t="s">
        <v>28</v>
      </c>
      <c r="S1871" s="10"/>
      <c r="T1871" s="10"/>
      <c r="U1871" s="10" t="s">
        <v>3984</v>
      </c>
      <c r="V1871" s="10" t="s">
        <v>3984</v>
      </c>
      <c r="W1871" s="50">
        <f>+J1871/$W$2</f>
        <v>4.9430556698169773E-5</v>
      </c>
    </row>
    <row r="1872" spans="1:29">
      <c r="A1872" s="10" t="s">
        <v>295</v>
      </c>
      <c r="B1872" s="10" t="s">
        <v>358</v>
      </c>
      <c r="C1872" s="124">
        <v>46378</v>
      </c>
      <c r="D1872" s="124" t="s">
        <v>471</v>
      </c>
      <c r="E1872" s="21">
        <v>0.97126142999999998</v>
      </c>
      <c r="F1872" s="10"/>
      <c r="G1872" s="14">
        <v>11000000</v>
      </c>
      <c r="H1872" s="14">
        <v>10683875.720000001</v>
      </c>
      <c r="I1872" s="14">
        <v>11000000</v>
      </c>
      <c r="J1872" s="14">
        <v>10683875.720000001</v>
      </c>
      <c r="K1872" s="12">
        <v>544</v>
      </c>
      <c r="L1872" s="10" t="s">
        <v>101</v>
      </c>
      <c r="M1872" s="10" t="s">
        <v>102</v>
      </c>
      <c r="N1872" s="124" t="s">
        <v>474</v>
      </c>
      <c r="O1872" s="124" t="s">
        <v>474</v>
      </c>
      <c r="P1872" s="21">
        <v>20</v>
      </c>
      <c r="Q1872" s="10" t="s">
        <v>54</v>
      </c>
      <c r="R1872" s="10" t="s">
        <v>28</v>
      </c>
      <c r="S1872" s="10"/>
      <c r="T1872" s="10"/>
      <c r="U1872" s="10" t="s">
        <v>3888</v>
      </c>
      <c r="V1872" s="10" t="s">
        <v>3888</v>
      </c>
      <c r="W1872" s="50">
        <f>+J1872/$W$2</f>
        <v>1.3075617027134742E-4</v>
      </c>
    </row>
    <row r="1873" spans="1:29">
      <c r="A1873" s="10" t="s">
        <v>286</v>
      </c>
      <c r="B1873" s="10" t="s">
        <v>358</v>
      </c>
      <c r="C1873" s="124">
        <v>46378</v>
      </c>
      <c r="D1873" s="124" t="s">
        <v>471</v>
      </c>
      <c r="E1873" s="21">
        <v>0.95479771999999996</v>
      </c>
      <c r="F1873" s="10"/>
      <c r="G1873" s="14">
        <v>5000000</v>
      </c>
      <c r="H1873" s="14">
        <v>4773988.58</v>
      </c>
      <c r="I1873" s="14">
        <v>5000000</v>
      </c>
      <c r="J1873" s="14">
        <v>4773988.58</v>
      </c>
      <c r="K1873" s="12">
        <v>40796986</v>
      </c>
      <c r="L1873" s="10" t="s">
        <v>101</v>
      </c>
      <c r="M1873" s="10" t="s">
        <v>102</v>
      </c>
      <c r="N1873" s="124" t="s">
        <v>508</v>
      </c>
      <c r="O1873" s="124" t="s">
        <v>508</v>
      </c>
      <c r="P1873" s="21">
        <v>32</v>
      </c>
      <c r="Q1873" s="10" t="s">
        <v>54</v>
      </c>
      <c r="R1873" s="10" t="s">
        <v>28</v>
      </c>
      <c r="S1873" s="10"/>
      <c r="T1873" s="10"/>
      <c r="U1873" s="10" t="s">
        <v>2992</v>
      </c>
      <c r="V1873" s="10" t="s">
        <v>2992</v>
      </c>
      <c r="W1873" s="50">
        <f>+J1873/$W$2</f>
        <v>5.842715508861685E-5</v>
      </c>
    </row>
    <row r="1874" spans="1:29">
      <c r="A1874" s="10" t="s">
        <v>3792</v>
      </c>
      <c r="B1874" s="10" t="s">
        <v>358</v>
      </c>
      <c r="C1874" s="124">
        <v>46378</v>
      </c>
      <c r="D1874" s="124" t="s">
        <v>471</v>
      </c>
      <c r="E1874" s="21">
        <v>0.95076857999999997</v>
      </c>
      <c r="F1874" s="10"/>
      <c r="G1874" s="14">
        <v>240000</v>
      </c>
      <c r="H1874" s="14">
        <v>228184.46</v>
      </c>
      <c r="I1874" s="14">
        <v>240000</v>
      </c>
      <c r="J1874" s="14">
        <v>228184.46</v>
      </c>
      <c r="K1874" s="12">
        <v>70595539</v>
      </c>
      <c r="L1874" s="10" t="s">
        <v>101</v>
      </c>
      <c r="M1874" s="10" t="s">
        <v>102</v>
      </c>
      <c r="N1874" s="124" t="s">
        <v>467</v>
      </c>
      <c r="O1874" s="124" t="s">
        <v>467</v>
      </c>
      <c r="P1874" s="21">
        <v>35</v>
      </c>
      <c r="Q1874" s="10" t="s">
        <v>54</v>
      </c>
      <c r="R1874" s="10" t="s">
        <v>28</v>
      </c>
      <c r="S1874" s="10"/>
      <c r="T1874" s="10"/>
      <c r="U1874" s="10" t="s">
        <v>3745</v>
      </c>
      <c r="V1874" s="10" t="s">
        <v>3745</v>
      </c>
      <c r="W1874" s="50">
        <f>+J1874/$W$2</f>
        <v>2.7926687736719068E-6</v>
      </c>
    </row>
    <row r="1875" spans="1:29">
      <c r="A1875" s="10" t="s">
        <v>444</v>
      </c>
      <c r="B1875" s="10" t="s">
        <v>358</v>
      </c>
      <c r="C1875" s="124">
        <v>46378</v>
      </c>
      <c r="D1875" s="124" t="s">
        <v>471</v>
      </c>
      <c r="E1875" s="21">
        <v>0.94810125999999995</v>
      </c>
      <c r="F1875" s="10"/>
      <c r="G1875" s="14">
        <v>15000000</v>
      </c>
      <c r="H1875" s="14">
        <v>14221518.880000001</v>
      </c>
      <c r="I1875" s="14">
        <v>15000000</v>
      </c>
      <c r="J1875" s="14">
        <v>14221518.880000001</v>
      </c>
      <c r="K1875" s="12">
        <v>90023099</v>
      </c>
      <c r="L1875" s="10" t="s">
        <v>101</v>
      </c>
      <c r="M1875" s="10" t="s">
        <v>102</v>
      </c>
      <c r="N1875" s="124" t="s">
        <v>291</v>
      </c>
      <c r="O1875" s="124" t="s">
        <v>291</v>
      </c>
      <c r="P1875" s="21">
        <v>37</v>
      </c>
      <c r="Q1875" s="10" t="s">
        <v>54</v>
      </c>
      <c r="R1875" s="10" t="s">
        <v>28</v>
      </c>
      <c r="S1875" s="10"/>
      <c r="T1875" s="10"/>
      <c r="U1875" s="10" t="s">
        <v>572</v>
      </c>
      <c r="V1875" s="10" t="s">
        <v>572</v>
      </c>
      <c r="W1875" s="50">
        <f>+J1875/$W$2</f>
        <v>1.7405213172869648E-4</v>
      </c>
    </row>
    <row r="1876" spans="1:29">
      <c r="A1876" s="10" t="s">
        <v>3316</v>
      </c>
      <c r="B1876" s="10" t="s">
        <v>358</v>
      </c>
      <c r="C1876" s="124">
        <v>46378</v>
      </c>
      <c r="D1876" s="124" t="s">
        <v>471</v>
      </c>
      <c r="E1876" s="21">
        <v>0.95345084000000002</v>
      </c>
      <c r="F1876" s="10"/>
      <c r="G1876" s="14">
        <v>557284</v>
      </c>
      <c r="H1876" s="14">
        <v>531342.9</v>
      </c>
      <c r="I1876" s="14">
        <v>557284</v>
      </c>
      <c r="J1876" s="14">
        <v>531342.9</v>
      </c>
      <c r="K1876" s="12">
        <v>14644764</v>
      </c>
      <c r="L1876" s="10" t="s">
        <v>101</v>
      </c>
      <c r="M1876" s="10" t="s">
        <v>102</v>
      </c>
      <c r="N1876" s="124" t="s">
        <v>417</v>
      </c>
      <c r="O1876" s="124" t="s">
        <v>417</v>
      </c>
      <c r="P1876" s="21">
        <v>33</v>
      </c>
      <c r="Q1876" s="10" t="s">
        <v>54</v>
      </c>
      <c r="R1876" s="10" t="s">
        <v>28</v>
      </c>
      <c r="S1876" s="10"/>
      <c r="T1876" s="10"/>
      <c r="U1876" s="10" t="s">
        <v>3260</v>
      </c>
      <c r="V1876" s="10" t="s">
        <v>3260</v>
      </c>
      <c r="W1876" s="50">
        <f>+J1876/$W$2</f>
        <v>6.5029175297137883E-6</v>
      </c>
    </row>
    <row r="1877" spans="1:29">
      <c r="A1877" s="10" t="s">
        <v>3577</v>
      </c>
      <c r="B1877" s="10" t="s">
        <v>358</v>
      </c>
      <c r="C1877" s="124">
        <v>46378</v>
      </c>
      <c r="D1877" s="124" t="s">
        <v>471</v>
      </c>
      <c r="E1877" s="21">
        <v>0.95210768999999995</v>
      </c>
      <c r="F1877" s="10"/>
      <c r="G1877" s="14">
        <v>4927055.72</v>
      </c>
      <c r="H1877" s="14">
        <v>4691087.62</v>
      </c>
      <c r="I1877" s="14">
        <v>4927055.72</v>
      </c>
      <c r="J1877" s="14">
        <v>4691087.62</v>
      </c>
      <c r="K1877" s="12">
        <v>1495</v>
      </c>
      <c r="L1877" s="10" t="s">
        <v>101</v>
      </c>
      <c r="M1877" s="10" t="s">
        <v>102</v>
      </c>
      <c r="N1877" s="124" t="s">
        <v>451</v>
      </c>
      <c r="O1877" s="124" t="s">
        <v>451</v>
      </c>
      <c r="P1877" s="21">
        <v>34</v>
      </c>
      <c r="Q1877" s="10" t="s">
        <v>54</v>
      </c>
      <c r="R1877" s="10" t="s">
        <v>28</v>
      </c>
      <c r="S1877" s="10"/>
      <c r="T1877" s="10"/>
      <c r="U1877" s="10" t="s">
        <v>3491</v>
      </c>
      <c r="V1877" s="10" t="s">
        <v>3491</v>
      </c>
      <c r="W1877" s="50">
        <f>+J1877/$W$2</f>
        <v>5.7412559606087393E-5</v>
      </c>
    </row>
    <row r="1878" spans="1:29">
      <c r="A1878" s="10" t="s">
        <v>3310</v>
      </c>
      <c r="B1878" s="10" t="s">
        <v>358</v>
      </c>
      <c r="C1878" s="124">
        <v>46378</v>
      </c>
      <c r="D1878" s="124" t="s">
        <v>471</v>
      </c>
      <c r="E1878" s="21">
        <v>0.95345088</v>
      </c>
      <c r="F1878" s="10"/>
      <c r="G1878" s="14">
        <v>260000</v>
      </c>
      <c r="H1878" s="14">
        <v>247897.23</v>
      </c>
      <c r="I1878" s="14">
        <v>260000</v>
      </c>
      <c r="J1878" s="14">
        <v>247897.23</v>
      </c>
      <c r="K1878" s="12">
        <v>70312578</v>
      </c>
      <c r="L1878" s="10" t="s">
        <v>101</v>
      </c>
      <c r="M1878" s="10" t="s">
        <v>102</v>
      </c>
      <c r="N1878" s="124" t="s">
        <v>417</v>
      </c>
      <c r="O1878" s="124" t="s">
        <v>417</v>
      </c>
      <c r="P1878" s="21">
        <v>33</v>
      </c>
      <c r="Q1878" s="10" t="s">
        <v>54</v>
      </c>
      <c r="R1878" s="10" t="s">
        <v>28</v>
      </c>
      <c r="S1878" s="10"/>
      <c r="T1878" s="10"/>
      <c r="U1878" s="10" t="s">
        <v>3220</v>
      </c>
      <c r="V1878" s="10" t="s">
        <v>3220</v>
      </c>
      <c r="W1878" s="50">
        <f>+J1878/$W$2</f>
        <v>3.0339263826325537E-6</v>
      </c>
    </row>
    <row r="1879" spans="1:29">
      <c r="A1879" s="10" t="s">
        <v>379</v>
      </c>
      <c r="B1879" s="10" t="s">
        <v>358</v>
      </c>
      <c r="C1879" s="124">
        <v>46378</v>
      </c>
      <c r="D1879" s="124" t="s">
        <v>471</v>
      </c>
      <c r="E1879" s="21">
        <v>0.96295909999999996</v>
      </c>
      <c r="F1879" s="10"/>
      <c r="G1879" s="14">
        <v>20000000</v>
      </c>
      <c r="H1879" s="14">
        <v>19259181.989999998</v>
      </c>
      <c r="I1879" s="14">
        <v>20000000</v>
      </c>
      <c r="J1879" s="14">
        <v>19259181.989999998</v>
      </c>
      <c r="K1879" s="12">
        <v>79700361</v>
      </c>
      <c r="L1879" s="10" t="s">
        <v>101</v>
      </c>
      <c r="M1879" s="10" t="s">
        <v>102</v>
      </c>
      <c r="N1879" s="124" t="s">
        <v>342</v>
      </c>
      <c r="O1879" s="124" t="s">
        <v>342</v>
      </c>
      <c r="P1879" s="21">
        <v>26</v>
      </c>
      <c r="Q1879" s="10" t="s">
        <v>54</v>
      </c>
      <c r="R1879" s="10" t="s">
        <v>28</v>
      </c>
      <c r="S1879" s="10"/>
      <c r="T1879" s="10"/>
      <c r="U1879" s="10" t="s">
        <v>759</v>
      </c>
      <c r="V1879" s="10" t="s">
        <v>759</v>
      </c>
      <c r="W1879" s="50">
        <f>+J1879/$W$2</f>
        <v>2.3570630598568093E-4</v>
      </c>
    </row>
    <row r="1880" spans="1:29">
      <c r="A1880" s="10" t="s">
        <v>379</v>
      </c>
      <c r="B1880" s="10" t="s">
        <v>358</v>
      </c>
      <c r="C1880" s="124">
        <v>46378</v>
      </c>
      <c r="D1880" s="124" t="s">
        <v>471</v>
      </c>
      <c r="E1880" s="21">
        <v>0.96158935000000001</v>
      </c>
      <c r="F1880" s="10"/>
      <c r="G1880" s="14">
        <v>20000000</v>
      </c>
      <c r="H1880" s="14">
        <v>19231787.07</v>
      </c>
      <c r="I1880" s="14">
        <v>20000000</v>
      </c>
      <c r="J1880" s="14">
        <v>19231787.07</v>
      </c>
      <c r="K1880" s="12">
        <v>23020</v>
      </c>
      <c r="L1880" s="10" t="s">
        <v>101</v>
      </c>
      <c r="M1880" s="10" t="s">
        <v>102</v>
      </c>
      <c r="N1880" s="124" t="s">
        <v>469</v>
      </c>
      <c r="O1880" s="124" t="s">
        <v>469</v>
      </c>
      <c r="P1880" s="21">
        <v>27</v>
      </c>
      <c r="Q1880" s="10" t="s">
        <v>54</v>
      </c>
      <c r="R1880" s="10" t="s">
        <v>28</v>
      </c>
      <c r="S1880" s="10"/>
      <c r="T1880" s="10"/>
      <c r="U1880" s="10" t="s">
        <v>4021</v>
      </c>
      <c r="V1880" s="10" t="s">
        <v>4021</v>
      </c>
      <c r="W1880" s="50">
        <f>+J1880/$W$2</f>
        <v>2.3537102926420202E-4</v>
      </c>
    </row>
    <row r="1881" spans="1:29">
      <c r="A1881" s="10" t="s">
        <v>271</v>
      </c>
      <c r="B1881" s="10" t="s">
        <v>358</v>
      </c>
      <c r="C1881" s="124">
        <v>46378</v>
      </c>
      <c r="D1881" s="124" t="s">
        <v>471</v>
      </c>
      <c r="E1881" s="21">
        <v>0.9602231</v>
      </c>
      <c r="F1881" s="10"/>
      <c r="G1881" s="14">
        <v>5000000</v>
      </c>
      <c r="H1881" s="14">
        <v>4801115.49</v>
      </c>
      <c r="I1881" s="14">
        <v>5000000</v>
      </c>
      <c r="J1881" s="14">
        <v>4801115.49</v>
      </c>
      <c r="K1881" s="12">
        <v>40797747</v>
      </c>
      <c r="L1881" s="10" t="s">
        <v>101</v>
      </c>
      <c r="M1881" s="10" t="s">
        <v>102</v>
      </c>
      <c r="N1881" s="124" t="s">
        <v>478</v>
      </c>
      <c r="O1881" s="124" t="s">
        <v>478</v>
      </c>
      <c r="P1881" s="21">
        <v>28</v>
      </c>
      <c r="Q1881" s="10" t="s">
        <v>54</v>
      </c>
      <c r="R1881" s="10" t="s">
        <v>28</v>
      </c>
      <c r="S1881" s="10"/>
      <c r="T1881" s="10"/>
      <c r="U1881" s="10" t="s">
        <v>2089</v>
      </c>
      <c r="V1881" s="10" t="s">
        <v>2089</v>
      </c>
      <c r="W1881" s="50">
        <f>+J1881/$W$2</f>
        <v>5.8759151730645888E-5</v>
      </c>
      <c r="AC1881" s="47"/>
    </row>
    <row r="1882" spans="1:29">
      <c r="A1882" s="10" t="s">
        <v>3606</v>
      </c>
      <c r="B1882" s="10" t="s">
        <v>358</v>
      </c>
      <c r="C1882" s="124">
        <v>46378</v>
      </c>
      <c r="D1882" s="124" t="s">
        <v>471</v>
      </c>
      <c r="E1882" s="21">
        <v>0.95345071000000003</v>
      </c>
      <c r="F1882" s="10"/>
      <c r="G1882" s="14">
        <v>4725000</v>
      </c>
      <c r="H1882" s="14">
        <v>4505054.6100000003</v>
      </c>
      <c r="I1882" s="14">
        <v>4725000</v>
      </c>
      <c r="J1882" s="14">
        <v>4505054.6100000003</v>
      </c>
      <c r="K1882" s="12">
        <v>11163480</v>
      </c>
      <c r="L1882" s="10" t="s">
        <v>101</v>
      </c>
      <c r="M1882" s="10" t="s">
        <v>102</v>
      </c>
      <c r="N1882" s="124" t="s">
        <v>451</v>
      </c>
      <c r="O1882" s="124" t="s">
        <v>451</v>
      </c>
      <c r="P1882" s="21">
        <v>33</v>
      </c>
      <c r="Q1882" s="10" t="s">
        <v>54</v>
      </c>
      <c r="R1882" s="10" t="s">
        <v>28</v>
      </c>
      <c r="S1882" s="10"/>
      <c r="T1882" s="10"/>
      <c r="U1882" s="10" t="s">
        <v>3556</v>
      </c>
      <c r="V1882" s="10" t="s">
        <v>3556</v>
      </c>
      <c r="W1882" s="50">
        <f>+J1882/$W$2</f>
        <v>5.5135767497197977E-5</v>
      </c>
    </row>
    <row r="1883" spans="1:29">
      <c r="A1883" s="10" t="s">
        <v>2485</v>
      </c>
      <c r="B1883" s="10" t="s">
        <v>358</v>
      </c>
      <c r="C1883" s="124">
        <v>46378</v>
      </c>
      <c r="D1883" s="124" t="s">
        <v>471</v>
      </c>
      <c r="E1883" s="21">
        <v>0.95345084000000002</v>
      </c>
      <c r="F1883" s="10"/>
      <c r="G1883" s="14">
        <v>6355928.2300000004</v>
      </c>
      <c r="H1883" s="14">
        <v>6060065.1299999999</v>
      </c>
      <c r="I1883" s="14">
        <v>6355928.2300000004</v>
      </c>
      <c r="J1883" s="14">
        <v>6060065.1299999999</v>
      </c>
      <c r="K1883" s="12">
        <v>11545</v>
      </c>
      <c r="L1883" s="10" t="s">
        <v>101</v>
      </c>
      <c r="M1883" s="10" t="s">
        <v>102</v>
      </c>
      <c r="N1883" s="124" t="s">
        <v>577</v>
      </c>
      <c r="O1883" s="124" t="s">
        <v>577</v>
      </c>
      <c r="P1883" s="21">
        <v>33</v>
      </c>
      <c r="Q1883" s="10" t="s">
        <v>54</v>
      </c>
      <c r="R1883" s="10" t="s">
        <v>28</v>
      </c>
      <c r="S1883" s="10"/>
      <c r="T1883" s="10"/>
      <c r="U1883" s="10" t="s">
        <v>2463</v>
      </c>
      <c r="V1883" s="10" t="s">
        <v>2463</v>
      </c>
      <c r="W1883" s="50">
        <f>+J1883/$W$2</f>
        <v>7.4166990403154475E-5</v>
      </c>
    </row>
    <row r="1884" spans="1:29">
      <c r="A1884" s="10" t="s">
        <v>2485</v>
      </c>
      <c r="B1884" s="10" t="s">
        <v>358</v>
      </c>
      <c r="C1884" s="124">
        <v>46378</v>
      </c>
      <c r="D1884" s="124" t="s">
        <v>471</v>
      </c>
      <c r="E1884" s="21">
        <v>0.95345084000000002</v>
      </c>
      <c r="F1884" s="10"/>
      <c r="G1884" s="14">
        <v>6355928.2400000002</v>
      </c>
      <c r="H1884" s="14">
        <v>6060065.1399999997</v>
      </c>
      <c r="I1884" s="14">
        <v>6355928.2400000002</v>
      </c>
      <c r="J1884" s="14">
        <v>6060065.1399999997</v>
      </c>
      <c r="K1884" s="12">
        <v>11544</v>
      </c>
      <c r="L1884" s="10" t="s">
        <v>101</v>
      </c>
      <c r="M1884" s="10" t="s">
        <v>102</v>
      </c>
      <c r="N1884" s="124" t="s">
        <v>577</v>
      </c>
      <c r="O1884" s="124" t="s">
        <v>577</v>
      </c>
      <c r="P1884" s="21">
        <v>33</v>
      </c>
      <c r="Q1884" s="10" t="s">
        <v>54</v>
      </c>
      <c r="R1884" s="10" t="s">
        <v>28</v>
      </c>
      <c r="S1884" s="10"/>
      <c r="T1884" s="10"/>
      <c r="U1884" s="10" t="s">
        <v>2465</v>
      </c>
      <c r="V1884" s="10" t="s">
        <v>2465</v>
      </c>
      <c r="W1884" s="50">
        <f>+J1884/$W$2</f>
        <v>7.4166990525540924E-5</v>
      </c>
    </row>
    <row r="1885" spans="1:29">
      <c r="A1885" s="10" t="s">
        <v>2486</v>
      </c>
      <c r="B1885" s="10" t="s">
        <v>358</v>
      </c>
      <c r="C1885" s="124">
        <v>46378</v>
      </c>
      <c r="D1885" s="124" t="s">
        <v>471</v>
      </c>
      <c r="E1885" s="21">
        <v>0.95479760000000002</v>
      </c>
      <c r="F1885" s="10"/>
      <c r="G1885" s="14">
        <v>75000000</v>
      </c>
      <c r="H1885" s="14">
        <v>71609820.359999999</v>
      </c>
      <c r="I1885" s="14">
        <v>75000000</v>
      </c>
      <c r="J1885" s="14">
        <v>71609820.359999999</v>
      </c>
      <c r="K1885" s="12">
        <v>21573</v>
      </c>
      <c r="L1885" s="10" t="s">
        <v>101</v>
      </c>
      <c r="M1885" s="10" t="s">
        <v>102</v>
      </c>
      <c r="N1885" s="124" t="s">
        <v>466</v>
      </c>
      <c r="O1885" s="124" t="s">
        <v>466</v>
      </c>
      <c r="P1885" s="21">
        <v>32</v>
      </c>
      <c r="Q1885" s="10" t="s">
        <v>54</v>
      </c>
      <c r="R1885" s="10" t="s">
        <v>28</v>
      </c>
      <c r="S1885" s="10"/>
      <c r="T1885" s="10"/>
      <c r="U1885" s="10" t="s">
        <v>3632</v>
      </c>
      <c r="V1885" s="10" t="s">
        <v>3632</v>
      </c>
      <c r="W1885" s="50">
        <f>+J1885/$W$2</f>
        <v>8.7640722425894708E-4</v>
      </c>
    </row>
    <row r="1886" spans="1:29">
      <c r="A1886" s="10" t="s">
        <v>2016</v>
      </c>
      <c r="B1886" s="10" t="s">
        <v>358</v>
      </c>
      <c r="C1886" s="124">
        <v>46379</v>
      </c>
      <c r="D1886" s="124" t="s">
        <v>471</v>
      </c>
      <c r="E1886" s="21">
        <v>0.95951637000000001</v>
      </c>
      <c r="F1886" s="10"/>
      <c r="G1886" s="14">
        <v>5000000</v>
      </c>
      <c r="H1886" s="14">
        <v>4797581.87</v>
      </c>
      <c r="I1886" s="14">
        <v>5000000</v>
      </c>
      <c r="J1886" s="14">
        <v>4797581.87</v>
      </c>
      <c r="K1886" s="12">
        <v>17</v>
      </c>
      <c r="L1886" s="10" t="s">
        <v>101</v>
      </c>
      <c r="M1886" s="10" t="s">
        <v>102</v>
      </c>
      <c r="N1886" s="124" t="s">
        <v>408</v>
      </c>
      <c r="O1886" s="124" t="s">
        <v>408</v>
      </c>
      <c r="P1886" s="21">
        <v>28</v>
      </c>
      <c r="Q1886" s="10" t="s">
        <v>54</v>
      </c>
      <c r="R1886" s="10" t="s">
        <v>28</v>
      </c>
      <c r="S1886" s="10"/>
      <c r="T1886" s="10"/>
      <c r="U1886" s="10" t="s">
        <v>2068</v>
      </c>
      <c r="V1886" s="10" t="s">
        <v>2068</v>
      </c>
      <c r="W1886" s="50">
        <f>+J1886/$W$2</f>
        <v>5.871590500721861E-5</v>
      </c>
    </row>
    <row r="1887" spans="1:29">
      <c r="A1887" s="10" t="s">
        <v>2016</v>
      </c>
      <c r="B1887" s="10" t="s">
        <v>358</v>
      </c>
      <c r="C1887" s="124">
        <v>46379</v>
      </c>
      <c r="D1887" s="124" t="s">
        <v>471</v>
      </c>
      <c r="E1887" s="21">
        <v>0.95813115999999998</v>
      </c>
      <c r="F1887" s="10"/>
      <c r="G1887" s="14">
        <v>1956389.88</v>
      </c>
      <c r="H1887" s="14">
        <v>1874478.1</v>
      </c>
      <c r="I1887" s="14">
        <v>1956389.88</v>
      </c>
      <c r="J1887" s="14">
        <v>1874478.1</v>
      </c>
      <c r="K1887" s="12">
        <v>40793574</v>
      </c>
      <c r="L1887" s="10" t="s">
        <v>101</v>
      </c>
      <c r="M1887" s="10" t="s">
        <v>102</v>
      </c>
      <c r="N1887" s="124" t="s">
        <v>469</v>
      </c>
      <c r="O1887" s="124" t="s">
        <v>469</v>
      </c>
      <c r="P1887" s="21">
        <v>29</v>
      </c>
      <c r="Q1887" s="10" t="s">
        <v>54</v>
      </c>
      <c r="R1887" s="10" t="s">
        <v>28</v>
      </c>
      <c r="S1887" s="10"/>
      <c r="T1887" s="10"/>
      <c r="U1887" s="10" t="s">
        <v>3917</v>
      </c>
      <c r="V1887" s="10" t="s">
        <v>3917</v>
      </c>
      <c r="W1887" s="50">
        <f>+J1887/$W$2</f>
        <v>2.2941073449093974E-5</v>
      </c>
    </row>
    <row r="1888" spans="1:29">
      <c r="A1888" s="10" t="s">
        <v>400</v>
      </c>
      <c r="B1888" s="10" t="s">
        <v>358</v>
      </c>
      <c r="C1888" s="124">
        <v>46379</v>
      </c>
      <c r="D1888" s="124" t="s">
        <v>471</v>
      </c>
      <c r="E1888" s="21">
        <v>0.95743984000000004</v>
      </c>
      <c r="F1888" s="10"/>
      <c r="G1888" s="14">
        <v>5633315</v>
      </c>
      <c r="H1888" s="14">
        <v>5393560.2300000004</v>
      </c>
      <c r="I1888" s="14">
        <v>5633315</v>
      </c>
      <c r="J1888" s="14">
        <v>5393560.2300000004</v>
      </c>
      <c r="K1888" s="12">
        <v>69874632</v>
      </c>
      <c r="L1888" s="10" t="s">
        <v>101</v>
      </c>
      <c r="M1888" s="10" t="s">
        <v>102</v>
      </c>
      <c r="N1888" s="124" t="s">
        <v>439</v>
      </c>
      <c r="O1888" s="124" t="s">
        <v>439</v>
      </c>
      <c r="P1888" s="21">
        <v>29.5</v>
      </c>
      <c r="Q1888" s="10" t="s">
        <v>54</v>
      </c>
      <c r="R1888" s="10" t="s">
        <v>28</v>
      </c>
      <c r="S1888" s="10"/>
      <c r="T1888" s="10"/>
      <c r="U1888" s="10" t="s">
        <v>2225</v>
      </c>
      <c r="V1888" s="10" t="s">
        <v>2225</v>
      </c>
      <c r="W1888" s="50">
        <f>+J1888/$W$2</f>
        <v>6.6009873035348981E-5</v>
      </c>
    </row>
    <row r="1889" spans="1:23">
      <c r="A1889" s="10" t="s">
        <v>379</v>
      </c>
      <c r="B1889" s="10" t="s">
        <v>358</v>
      </c>
      <c r="C1889" s="124">
        <v>46379</v>
      </c>
      <c r="D1889" s="124" t="s">
        <v>471</v>
      </c>
      <c r="E1889" s="21">
        <v>0.96229898999999997</v>
      </c>
      <c r="F1889" s="10"/>
      <c r="G1889" s="14">
        <v>20000000</v>
      </c>
      <c r="H1889" s="14">
        <v>19245979.879999999</v>
      </c>
      <c r="I1889" s="14">
        <v>20000000</v>
      </c>
      <c r="J1889" s="14">
        <v>19245979.879999999</v>
      </c>
      <c r="K1889" s="12">
        <v>79700362</v>
      </c>
      <c r="L1889" s="10" t="s">
        <v>101</v>
      </c>
      <c r="M1889" s="10" t="s">
        <v>102</v>
      </c>
      <c r="N1889" s="124" t="s">
        <v>342</v>
      </c>
      <c r="O1889" s="124" t="s">
        <v>342</v>
      </c>
      <c r="P1889" s="21">
        <v>26</v>
      </c>
      <c r="Q1889" s="10" t="s">
        <v>54</v>
      </c>
      <c r="R1889" s="10" t="s">
        <v>28</v>
      </c>
      <c r="S1889" s="10"/>
      <c r="T1889" s="10"/>
      <c r="U1889" s="10" t="s">
        <v>758</v>
      </c>
      <c r="V1889" s="10" t="s">
        <v>758</v>
      </c>
      <c r="W1889" s="50">
        <f>+J1889/$W$2</f>
        <v>2.3554473003811825E-4</v>
      </c>
    </row>
    <row r="1890" spans="1:23">
      <c r="A1890" s="10" t="s">
        <v>1896</v>
      </c>
      <c r="B1890" s="10" t="s">
        <v>358</v>
      </c>
      <c r="C1890" s="124">
        <v>46379</v>
      </c>
      <c r="D1890" s="124" t="s">
        <v>471</v>
      </c>
      <c r="E1890" s="21">
        <v>0.95951631000000004</v>
      </c>
      <c r="F1890" s="10"/>
      <c r="G1890" s="14">
        <v>70000000</v>
      </c>
      <c r="H1890" s="14">
        <v>67166141.680000007</v>
      </c>
      <c r="I1890" s="14">
        <v>70000000</v>
      </c>
      <c r="J1890" s="14">
        <v>67166141.680000007</v>
      </c>
      <c r="K1890" s="12">
        <v>11169840</v>
      </c>
      <c r="L1890" s="10" t="s">
        <v>101</v>
      </c>
      <c r="M1890" s="10" t="s">
        <v>102</v>
      </c>
      <c r="N1890" s="124" t="s">
        <v>439</v>
      </c>
      <c r="O1890" s="124" t="s">
        <v>439</v>
      </c>
      <c r="P1890" s="21">
        <v>28</v>
      </c>
      <c r="Q1890" s="10" t="s">
        <v>54</v>
      </c>
      <c r="R1890" s="10" t="s">
        <v>28</v>
      </c>
      <c r="S1890" s="10"/>
      <c r="T1890" s="10"/>
      <c r="U1890" s="10" t="s">
        <v>2246</v>
      </c>
      <c r="V1890" s="10" t="s">
        <v>2246</v>
      </c>
      <c r="W1890" s="50">
        <f>+J1890/$W$2</f>
        <v>8.2202261502715469E-4</v>
      </c>
    </row>
    <row r="1891" spans="1:23">
      <c r="A1891" s="10" t="s">
        <v>2017</v>
      </c>
      <c r="B1891" s="10" t="s">
        <v>358</v>
      </c>
      <c r="C1891" s="124">
        <v>46379</v>
      </c>
      <c r="D1891" s="124" t="s">
        <v>471</v>
      </c>
      <c r="E1891" s="21">
        <v>0.94990253000000002</v>
      </c>
      <c r="F1891" s="10"/>
      <c r="G1891" s="14">
        <v>5000000</v>
      </c>
      <c r="H1891" s="14">
        <v>4749512.66</v>
      </c>
      <c r="I1891" s="14">
        <v>5000000</v>
      </c>
      <c r="J1891" s="14">
        <v>4749512.66</v>
      </c>
      <c r="K1891" s="12">
        <v>545</v>
      </c>
      <c r="L1891" s="10" t="s">
        <v>101</v>
      </c>
      <c r="M1891" s="10" t="s">
        <v>102</v>
      </c>
      <c r="N1891" s="124" t="s">
        <v>449</v>
      </c>
      <c r="O1891" s="124" t="s">
        <v>449</v>
      </c>
      <c r="P1891" s="21">
        <v>35</v>
      </c>
      <c r="Q1891" s="10" t="s">
        <v>54</v>
      </c>
      <c r="R1891" s="10" t="s">
        <v>28</v>
      </c>
      <c r="S1891" s="10"/>
      <c r="T1891" s="10"/>
      <c r="U1891" s="10" t="s">
        <v>1978</v>
      </c>
      <c r="V1891" s="10" t="s">
        <v>1978</v>
      </c>
      <c r="W1891" s="50">
        <f>+J1891/$W$2</f>
        <v>5.8127602974108741E-5</v>
      </c>
    </row>
    <row r="1892" spans="1:23">
      <c r="A1892" s="10" t="s">
        <v>2079</v>
      </c>
      <c r="B1892" s="10" t="s">
        <v>358</v>
      </c>
      <c r="C1892" s="124">
        <v>46379</v>
      </c>
      <c r="D1892" s="124" t="s">
        <v>471</v>
      </c>
      <c r="E1892" s="21">
        <v>0.95674968000000005</v>
      </c>
      <c r="F1892" s="10"/>
      <c r="G1892" s="14">
        <v>10000000</v>
      </c>
      <c r="H1892" s="14">
        <v>9567496.75</v>
      </c>
      <c r="I1892" s="14">
        <v>10000000</v>
      </c>
      <c r="J1892" s="14">
        <v>9567496.75</v>
      </c>
      <c r="K1892" s="12">
        <v>52709</v>
      </c>
      <c r="L1892" s="10" t="s">
        <v>101</v>
      </c>
      <c r="M1892" s="10" t="s">
        <v>102</v>
      </c>
      <c r="N1892" s="124" t="s">
        <v>466</v>
      </c>
      <c r="O1892" s="124" t="s">
        <v>466</v>
      </c>
      <c r="P1892" s="21">
        <v>30</v>
      </c>
      <c r="Q1892" s="10" t="s">
        <v>54</v>
      </c>
      <c r="R1892" s="10" t="s">
        <v>28</v>
      </c>
      <c r="S1892" s="10"/>
      <c r="T1892" s="10"/>
      <c r="U1892" s="10" t="s">
        <v>3639</v>
      </c>
      <c r="V1892" s="10" t="s">
        <v>3639</v>
      </c>
      <c r="W1892" s="50">
        <f>+J1892/$W$2</f>
        <v>1.170932035246066E-4</v>
      </c>
    </row>
    <row r="1893" spans="1:23">
      <c r="A1893" s="10" t="s">
        <v>2318</v>
      </c>
      <c r="B1893" s="10" t="s">
        <v>358</v>
      </c>
      <c r="C1893" s="124">
        <v>46379</v>
      </c>
      <c r="D1893" s="124" t="s">
        <v>471</v>
      </c>
      <c r="E1893" s="21">
        <v>0.95537234000000004</v>
      </c>
      <c r="F1893" s="10"/>
      <c r="G1893" s="14">
        <v>619400</v>
      </c>
      <c r="H1893" s="14">
        <v>591757.63</v>
      </c>
      <c r="I1893" s="14">
        <v>619400</v>
      </c>
      <c r="J1893" s="14">
        <v>591757.63</v>
      </c>
      <c r="K1893" s="12">
        <v>605</v>
      </c>
      <c r="L1893" s="10" t="s">
        <v>101</v>
      </c>
      <c r="M1893" s="10" t="s">
        <v>102</v>
      </c>
      <c r="N1893" s="124" t="s">
        <v>439</v>
      </c>
      <c r="O1893" s="124" t="s">
        <v>439</v>
      </c>
      <c r="P1893" s="21">
        <v>31</v>
      </c>
      <c r="Q1893" s="10" t="s">
        <v>54</v>
      </c>
      <c r="R1893" s="10" t="s">
        <v>28</v>
      </c>
      <c r="S1893" s="10"/>
      <c r="T1893" s="10"/>
      <c r="U1893" s="10" t="s">
        <v>2259</v>
      </c>
      <c r="V1893" s="10" t="s">
        <v>2259</v>
      </c>
      <c r="W1893" s="50">
        <f>+J1893/$W$2</f>
        <v>7.2423120088155611E-6</v>
      </c>
    </row>
    <row r="1894" spans="1:23">
      <c r="A1894" s="10" t="s">
        <v>2439</v>
      </c>
      <c r="B1894" s="10" t="s">
        <v>358</v>
      </c>
      <c r="C1894" s="124">
        <v>46379</v>
      </c>
      <c r="D1894" s="124" t="s">
        <v>471</v>
      </c>
      <c r="E1894" s="21">
        <v>0.95813115999999998</v>
      </c>
      <c r="F1894" s="10"/>
      <c r="G1894" s="14">
        <v>3726452</v>
      </c>
      <c r="H1894" s="14">
        <v>3570429.78</v>
      </c>
      <c r="I1894" s="14">
        <v>3726452</v>
      </c>
      <c r="J1894" s="14">
        <v>3570429.78</v>
      </c>
      <c r="K1894" s="12">
        <v>4146</v>
      </c>
      <c r="L1894" s="10" t="s">
        <v>101</v>
      </c>
      <c r="M1894" s="10" t="s">
        <v>102</v>
      </c>
      <c r="N1894" s="124" t="s">
        <v>469</v>
      </c>
      <c r="O1894" s="124" t="s">
        <v>469</v>
      </c>
      <c r="P1894" s="21">
        <v>29</v>
      </c>
      <c r="Q1894" s="10" t="s">
        <v>54</v>
      </c>
      <c r="R1894" s="10" t="s">
        <v>28</v>
      </c>
      <c r="S1894" s="10"/>
      <c r="T1894" s="10"/>
      <c r="U1894" s="10" t="s">
        <v>3978</v>
      </c>
      <c r="V1894" s="10" t="s">
        <v>3978</v>
      </c>
      <c r="W1894" s="50">
        <f>+J1894/$W$2</f>
        <v>4.3697225285167344E-5</v>
      </c>
    </row>
    <row r="1895" spans="1:23">
      <c r="A1895" s="10" t="s">
        <v>443</v>
      </c>
      <c r="B1895" s="10" t="s">
        <v>358</v>
      </c>
      <c r="C1895" s="124">
        <v>46379</v>
      </c>
      <c r="D1895" s="124" t="s">
        <v>471</v>
      </c>
      <c r="E1895" s="21">
        <v>0.95813106000000003</v>
      </c>
      <c r="F1895" s="10"/>
      <c r="G1895" s="14">
        <v>22000000</v>
      </c>
      <c r="H1895" s="14">
        <v>21078883.390000001</v>
      </c>
      <c r="I1895" s="14">
        <v>22000000</v>
      </c>
      <c r="J1895" s="14">
        <v>21078883.390000001</v>
      </c>
      <c r="K1895" s="12">
        <v>90000360</v>
      </c>
      <c r="L1895" s="10" t="s">
        <v>101</v>
      </c>
      <c r="M1895" s="10" t="s">
        <v>102</v>
      </c>
      <c r="N1895" s="124" t="s">
        <v>577</v>
      </c>
      <c r="O1895" s="124" t="s">
        <v>577</v>
      </c>
      <c r="P1895" s="21">
        <v>29</v>
      </c>
      <c r="Q1895" s="10" t="s">
        <v>54</v>
      </c>
      <c r="R1895" s="10" t="s">
        <v>28</v>
      </c>
      <c r="S1895" s="10"/>
      <c r="T1895" s="10"/>
      <c r="U1895" s="10" t="s">
        <v>2453</v>
      </c>
      <c r="V1895" s="10" t="s">
        <v>2453</v>
      </c>
      <c r="W1895" s="50">
        <f>+J1895/$W$2</f>
        <v>2.5797698680762236E-4</v>
      </c>
    </row>
    <row r="1896" spans="1:23">
      <c r="A1896" s="10" t="s">
        <v>443</v>
      </c>
      <c r="B1896" s="10" t="s">
        <v>358</v>
      </c>
      <c r="C1896" s="124">
        <v>46379</v>
      </c>
      <c r="D1896" s="124" t="s">
        <v>471</v>
      </c>
      <c r="E1896" s="21">
        <v>0.95813106000000003</v>
      </c>
      <c r="F1896" s="10"/>
      <c r="G1896" s="14">
        <v>30000000</v>
      </c>
      <c r="H1896" s="14">
        <v>28743931.890000001</v>
      </c>
      <c r="I1896" s="14">
        <v>30000000</v>
      </c>
      <c r="J1896" s="14">
        <v>28743931.890000001</v>
      </c>
      <c r="K1896" s="12">
        <v>90000214</v>
      </c>
      <c r="L1896" s="10" t="s">
        <v>101</v>
      </c>
      <c r="M1896" s="10" t="s">
        <v>102</v>
      </c>
      <c r="N1896" s="124" t="s">
        <v>577</v>
      </c>
      <c r="O1896" s="124" t="s">
        <v>577</v>
      </c>
      <c r="P1896" s="21">
        <v>29</v>
      </c>
      <c r="Q1896" s="10" t="s">
        <v>54</v>
      </c>
      <c r="R1896" s="10" t="s">
        <v>28</v>
      </c>
      <c r="S1896" s="10"/>
      <c r="T1896" s="10"/>
      <c r="U1896" s="10" t="s">
        <v>2454</v>
      </c>
      <c r="V1896" s="10" t="s">
        <v>2454</v>
      </c>
      <c r="W1896" s="50">
        <f>+J1896/$W$2</f>
        <v>3.5178680012545605E-4</v>
      </c>
    </row>
    <row r="1897" spans="1:23">
      <c r="A1897" s="10" t="s">
        <v>443</v>
      </c>
      <c r="B1897" s="10" t="s">
        <v>358</v>
      </c>
      <c r="C1897" s="124">
        <v>46379</v>
      </c>
      <c r="D1897" s="124" t="s">
        <v>471</v>
      </c>
      <c r="E1897" s="21">
        <v>0.95813106000000003</v>
      </c>
      <c r="F1897" s="10"/>
      <c r="G1897" s="14">
        <v>10000000</v>
      </c>
      <c r="H1897" s="14">
        <v>9581310.6300000008</v>
      </c>
      <c r="I1897" s="14">
        <v>10000000</v>
      </c>
      <c r="J1897" s="14">
        <v>9581310.6300000008</v>
      </c>
      <c r="K1897" s="12">
        <v>90000280</v>
      </c>
      <c r="L1897" s="10" t="s">
        <v>101</v>
      </c>
      <c r="M1897" s="10" t="s">
        <v>102</v>
      </c>
      <c r="N1897" s="124" t="s">
        <v>577</v>
      </c>
      <c r="O1897" s="124" t="s">
        <v>577</v>
      </c>
      <c r="P1897" s="21">
        <v>29</v>
      </c>
      <c r="Q1897" s="10" t="s">
        <v>54</v>
      </c>
      <c r="R1897" s="10" t="s">
        <v>28</v>
      </c>
      <c r="S1897" s="10"/>
      <c r="T1897" s="10"/>
      <c r="U1897" s="10" t="s">
        <v>2455</v>
      </c>
      <c r="V1897" s="10" t="s">
        <v>2455</v>
      </c>
      <c r="W1897" s="50">
        <f>+J1897/$W$2</f>
        <v>1.1726226670848535E-4</v>
      </c>
    </row>
    <row r="1898" spans="1:23">
      <c r="A1898" s="10" t="s">
        <v>443</v>
      </c>
      <c r="B1898" s="10" t="s">
        <v>358</v>
      </c>
      <c r="C1898" s="124">
        <v>46379</v>
      </c>
      <c r="D1898" s="124" t="s">
        <v>471</v>
      </c>
      <c r="E1898" s="21">
        <v>0.95813106000000003</v>
      </c>
      <c r="F1898" s="10"/>
      <c r="G1898" s="14">
        <v>18000000</v>
      </c>
      <c r="H1898" s="14">
        <v>17246359.129999999</v>
      </c>
      <c r="I1898" s="14">
        <v>18000000</v>
      </c>
      <c r="J1898" s="14">
        <v>17246359.129999999</v>
      </c>
      <c r="K1898" s="12">
        <v>90000356</v>
      </c>
      <c r="L1898" s="10" t="s">
        <v>101</v>
      </c>
      <c r="M1898" s="10" t="s">
        <v>102</v>
      </c>
      <c r="N1898" s="124" t="s">
        <v>577</v>
      </c>
      <c r="O1898" s="124" t="s">
        <v>577</v>
      </c>
      <c r="P1898" s="21">
        <v>29</v>
      </c>
      <c r="Q1898" s="10" t="s">
        <v>54</v>
      </c>
      <c r="R1898" s="10" t="s">
        <v>28</v>
      </c>
      <c r="S1898" s="10"/>
      <c r="T1898" s="10"/>
      <c r="U1898" s="10" t="s">
        <v>2456</v>
      </c>
      <c r="V1898" s="10" t="s">
        <v>2456</v>
      </c>
      <c r="W1898" s="50">
        <f>+J1898/$W$2</f>
        <v>2.1107208002631901E-4</v>
      </c>
    </row>
    <row r="1899" spans="1:23">
      <c r="A1899" s="10" t="s">
        <v>443</v>
      </c>
      <c r="B1899" s="10" t="s">
        <v>358</v>
      </c>
      <c r="C1899" s="124">
        <v>46379</v>
      </c>
      <c r="D1899" s="124" t="s">
        <v>471</v>
      </c>
      <c r="E1899" s="21">
        <v>0.95813106000000003</v>
      </c>
      <c r="F1899" s="10"/>
      <c r="G1899" s="14">
        <v>15000000</v>
      </c>
      <c r="H1899" s="14">
        <v>14371965.949999999</v>
      </c>
      <c r="I1899" s="14">
        <v>15000000</v>
      </c>
      <c r="J1899" s="14">
        <v>14371965.949999999</v>
      </c>
      <c r="K1899" s="12">
        <v>90000247</v>
      </c>
      <c r="L1899" s="10" t="s">
        <v>101</v>
      </c>
      <c r="M1899" s="10" t="s">
        <v>102</v>
      </c>
      <c r="N1899" s="124" t="s">
        <v>577</v>
      </c>
      <c r="O1899" s="124" t="s">
        <v>577</v>
      </c>
      <c r="P1899" s="21">
        <v>29</v>
      </c>
      <c r="Q1899" s="10" t="s">
        <v>54</v>
      </c>
      <c r="R1899" s="10" t="s">
        <v>28</v>
      </c>
      <c r="S1899" s="10"/>
      <c r="T1899" s="10"/>
      <c r="U1899" s="10" t="s">
        <v>2457</v>
      </c>
      <c r="V1899" s="10" t="s">
        <v>2457</v>
      </c>
      <c r="W1899" s="50">
        <f>+J1899/$W$2</f>
        <v>1.7589340012392124E-4</v>
      </c>
    </row>
    <row r="1900" spans="1:23">
      <c r="A1900" s="10" t="s">
        <v>443</v>
      </c>
      <c r="B1900" s="10" t="s">
        <v>358</v>
      </c>
      <c r="C1900" s="124">
        <v>46379</v>
      </c>
      <c r="D1900" s="124" t="s">
        <v>471</v>
      </c>
      <c r="E1900" s="21">
        <v>0.95813106000000003</v>
      </c>
      <c r="F1900" s="10"/>
      <c r="G1900" s="14">
        <v>12000000</v>
      </c>
      <c r="H1900" s="14">
        <v>11497572.76</v>
      </c>
      <c r="I1900" s="14">
        <v>12000000</v>
      </c>
      <c r="J1900" s="14">
        <v>11497572.76</v>
      </c>
      <c r="K1900" s="12">
        <v>90000421</v>
      </c>
      <c r="L1900" s="10" t="s">
        <v>101</v>
      </c>
      <c r="M1900" s="10" t="s">
        <v>102</v>
      </c>
      <c r="N1900" s="124" t="s">
        <v>577</v>
      </c>
      <c r="O1900" s="124" t="s">
        <v>577</v>
      </c>
      <c r="P1900" s="21">
        <v>29</v>
      </c>
      <c r="Q1900" s="10" t="s">
        <v>54</v>
      </c>
      <c r="R1900" s="10" t="s">
        <v>28</v>
      </c>
      <c r="S1900" s="10"/>
      <c r="T1900" s="10"/>
      <c r="U1900" s="10" t="s">
        <v>2458</v>
      </c>
      <c r="V1900" s="10" t="s">
        <v>2458</v>
      </c>
      <c r="W1900" s="50">
        <f>+J1900/$W$2</f>
        <v>1.4071472009913698E-4</v>
      </c>
    </row>
    <row r="1901" spans="1:23">
      <c r="A1901" s="10" t="s">
        <v>443</v>
      </c>
      <c r="B1901" s="10" t="s">
        <v>358</v>
      </c>
      <c r="C1901" s="124">
        <v>46379</v>
      </c>
      <c r="D1901" s="124" t="s">
        <v>471</v>
      </c>
      <c r="E1901" s="21">
        <v>0.95813106000000003</v>
      </c>
      <c r="F1901" s="10"/>
      <c r="G1901" s="14">
        <v>24600000</v>
      </c>
      <c r="H1901" s="14">
        <v>23570024.149999999</v>
      </c>
      <c r="I1901" s="14">
        <v>24600000</v>
      </c>
      <c r="J1901" s="14">
        <v>23570024.149999999</v>
      </c>
      <c r="K1901" s="12">
        <v>90000321</v>
      </c>
      <c r="L1901" s="10" t="s">
        <v>101</v>
      </c>
      <c r="M1901" s="10" t="s">
        <v>102</v>
      </c>
      <c r="N1901" s="124" t="s">
        <v>577</v>
      </c>
      <c r="O1901" s="124" t="s">
        <v>577</v>
      </c>
      <c r="P1901" s="21">
        <v>29</v>
      </c>
      <c r="Q1901" s="10" t="s">
        <v>54</v>
      </c>
      <c r="R1901" s="10" t="s">
        <v>28</v>
      </c>
      <c r="S1901" s="10"/>
      <c r="T1901" s="10"/>
      <c r="U1901" s="10" t="s">
        <v>2459</v>
      </c>
      <c r="V1901" s="10" t="s">
        <v>2459</v>
      </c>
      <c r="W1901" s="50">
        <f>+J1901/$W$2</f>
        <v>2.8846517610532163E-4</v>
      </c>
    </row>
    <row r="1902" spans="1:23">
      <c r="A1902" s="10" t="s">
        <v>401</v>
      </c>
      <c r="B1902" s="10" t="s">
        <v>358</v>
      </c>
      <c r="C1902" s="124">
        <v>46379</v>
      </c>
      <c r="D1902" s="124" t="s">
        <v>471</v>
      </c>
      <c r="E1902" s="21">
        <v>0.96090567999999998</v>
      </c>
      <c r="F1902" s="10"/>
      <c r="G1902" s="14">
        <v>265000000</v>
      </c>
      <c r="H1902" s="14">
        <v>254640005.33000001</v>
      </c>
      <c r="I1902" s="14">
        <v>265000000</v>
      </c>
      <c r="J1902" s="14">
        <v>254640005.33000001</v>
      </c>
      <c r="K1902" s="12">
        <v>13200</v>
      </c>
      <c r="L1902" s="10" t="s">
        <v>101</v>
      </c>
      <c r="M1902" s="10" t="s">
        <v>102</v>
      </c>
      <c r="N1902" s="124" t="s">
        <v>397</v>
      </c>
      <c r="O1902" s="124" t="s">
        <v>397</v>
      </c>
      <c r="P1902" s="21">
        <v>27</v>
      </c>
      <c r="Q1902" s="10" t="s">
        <v>54</v>
      </c>
      <c r="R1902" s="10" t="s">
        <v>28</v>
      </c>
      <c r="S1902" s="10"/>
      <c r="T1902" s="10"/>
      <c r="U1902" s="10" t="s">
        <v>1838</v>
      </c>
      <c r="V1902" s="10" t="s">
        <v>1838</v>
      </c>
      <c r="W1902" s="50">
        <f>+J1902/$W$2</f>
        <v>3.1164488213296336E-3</v>
      </c>
    </row>
    <row r="1903" spans="1:23">
      <c r="A1903" s="10" t="s">
        <v>206</v>
      </c>
      <c r="B1903" s="10" t="s">
        <v>358</v>
      </c>
      <c r="C1903" s="124">
        <v>46379</v>
      </c>
      <c r="D1903" s="124" t="s">
        <v>471</v>
      </c>
      <c r="E1903" s="21">
        <v>0.95262959999999997</v>
      </c>
      <c r="F1903" s="10"/>
      <c r="G1903" s="14">
        <v>2170000</v>
      </c>
      <c r="H1903" s="14">
        <v>2067206.24</v>
      </c>
      <c r="I1903" s="14">
        <v>2170000</v>
      </c>
      <c r="J1903" s="14">
        <v>2067206.24</v>
      </c>
      <c r="K1903" s="12">
        <v>260747</v>
      </c>
      <c r="L1903" s="10" t="s">
        <v>101</v>
      </c>
      <c r="M1903" s="10" t="s">
        <v>102</v>
      </c>
      <c r="N1903" s="124" t="s">
        <v>479</v>
      </c>
      <c r="O1903" s="124" t="s">
        <v>479</v>
      </c>
      <c r="P1903" s="21">
        <v>33</v>
      </c>
      <c r="Q1903" s="10" t="s">
        <v>54</v>
      </c>
      <c r="R1903" s="10" t="s">
        <v>28</v>
      </c>
      <c r="S1903" s="10"/>
      <c r="T1903" s="10"/>
      <c r="U1903" s="10" t="s">
        <v>1210</v>
      </c>
      <c r="V1903" s="10" t="s">
        <v>1210</v>
      </c>
      <c r="W1903" s="50">
        <f>+J1903/$W$2</f>
        <v>2.529980488236453E-5</v>
      </c>
    </row>
    <row r="1904" spans="1:23">
      <c r="A1904" s="10" t="s">
        <v>4044</v>
      </c>
      <c r="B1904" s="10" t="s">
        <v>358</v>
      </c>
      <c r="C1904" s="124">
        <v>46379</v>
      </c>
      <c r="D1904" s="124" t="s">
        <v>471</v>
      </c>
      <c r="E1904" s="21">
        <v>0.95674985000000001</v>
      </c>
      <c r="F1904" s="10"/>
      <c r="G1904" s="14">
        <v>15000000</v>
      </c>
      <c r="H1904" s="14">
        <v>14351247.73</v>
      </c>
      <c r="I1904" s="14">
        <v>15000000</v>
      </c>
      <c r="J1904" s="14">
        <v>14351247.73</v>
      </c>
      <c r="K1904" s="12">
        <v>1416</v>
      </c>
      <c r="L1904" s="10" t="s">
        <v>101</v>
      </c>
      <c r="M1904" s="10" t="s">
        <v>102</v>
      </c>
      <c r="N1904" s="124" t="s">
        <v>469</v>
      </c>
      <c r="O1904" s="124" t="s">
        <v>469</v>
      </c>
      <c r="P1904" s="21">
        <v>30</v>
      </c>
      <c r="Q1904" s="10" t="s">
        <v>54</v>
      </c>
      <c r="R1904" s="10" t="s">
        <v>28</v>
      </c>
      <c r="S1904" s="10"/>
      <c r="T1904" s="10"/>
      <c r="U1904" s="10" t="s">
        <v>3954</v>
      </c>
      <c r="V1904" s="10" t="s">
        <v>3954</v>
      </c>
      <c r="W1904" s="50">
        <f>+J1904/$W$2</f>
        <v>1.756398371685821E-4</v>
      </c>
    </row>
    <row r="1905" spans="1:23">
      <c r="A1905" s="10" t="s">
        <v>575</v>
      </c>
      <c r="B1905" s="10" t="s">
        <v>358</v>
      </c>
      <c r="C1905" s="124">
        <v>46379</v>
      </c>
      <c r="D1905" s="124" t="s">
        <v>471</v>
      </c>
      <c r="E1905" s="21">
        <v>0.95262952000000001</v>
      </c>
      <c r="F1905" s="10"/>
      <c r="G1905" s="14">
        <v>5800000</v>
      </c>
      <c r="H1905" s="14">
        <v>5525251.2199999997</v>
      </c>
      <c r="I1905" s="14">
        <v>5800000</v>
      </c>
      <c r="J1905" s="14">
        <v>5525251.2199999997</v>
      </c>
      <c r="K1905" s="12">
        <v>6578</v>
      </c>
      <c r="L1905" s="10" t="s">
        <v>101</v>
      </c>
      <c r="M1905" s="10" t="s">
        <v>102</v>
      </c>
      <c r="N1905" s="124" t="s">
        <v>392</v>
      </c>
      <c r="O1905" s="124" t="s">
        <v>392</v>
      </c>
      <c r="P1905" s="21">
        <v>33</v>
      </c>
      <c r="Q1905" s="10" t="s">
        <v>54</v>
      </c>
      <c r="R1905" s="10" t="s">
        <v>28</v>
      </c>
      <c r="S1905" s="10"/>
      <c r="T1905" s="10"/>
      <c r="U1905" s="10" t="s">
        <v>1094</v>
      </c>
      <c r="V1905" s="10" t="s">
        <v>1094</v>
      </c>
      <c r="W1905" s="50">
        <f>+J1905/$W$2</f>
        <v>6.7621592411624376E-5</v>
      </c>
    </row>
    <row r="1906" spans="1:23">
      <c r="A1906" s="10" t="s">
        <v>2487</v>
      </c>
      <c r="B1906" s="10" t="s">
        <v>358</v>
      </c>
      <c r="C1906" s="124">
        <v>46379</v>
      </c>
      <c r="D1906" s="124" t="s">
        <v>471</v>
      </c>
      <c r="E1906" s="21">
        <v>0.95262957000000004</v>
      </c>
      <c r="F1906" s="10"/>
      <c r="G1906" s="14">
        <v>95000000</v>
      </c>
      <c r="H1906" s="14">
        <v>90499809.189999998</v>
      </c>
      <c r="I1906" s="14">
        <v>95000000</v>
      </c>
      <c r="J1906" s="14">
        <v>90499809.189999998</v>
      </c>
      <c r="K1906" s="12">
        <v>3103</v>
      </c>
      <c r="L1906" s="10" t="s">
        <v>101</v>
      </c>
      <c r="M1906" s="10" t="s">
        <v>102</v>
      </c>
      <c r="N1906" s="124" t="s">
        <v>603</v>
      </c>
      <c r="O1906" s="124" t="s">
        <v>603</v>
      </c>
      <c r="P1906" s="21">
        <v>33</v>
      </c>
      <c r="Q1906" s="10" t="s">
        <v>54</v>
      </c>
      <c r="R1906" s="10" t="s">
        <v>28</v>
      </c>
      <c r="S1906" s="10"/>
      <c r="T1906" s="10"/>
      <c r="U1906" s="10" t="s">
        <v>2597</v>
      </c>
      <c r="V1906" s="10" t="s">
        <v>2597</v>
      </c>
      <c r="W1906" s="50">
        <f>+J1906/$W$2</f>
        <v>1.1075951059427048E-3</v>
      </c>
    </row>
    <row r="1907" spans="1:23">
      <c r="A1907" s="10" t="s">
        <v>2487</v>
      </c>
      <c r="B1907" s="10" t="s">
        <v>358</v>
      </c>
      <c r="C1907" s="124">
        <v>46379</v>
      </c>
      <c r="D1907" s="124" t="s">
        <v>471</v>
      </c>
      <c r="E1907" s="21">
        <v>0.95262959999999997</v>
      </c>
      <c r="F1907" s="10"/>
      <c r="G1907" s="14">
        <v>80000000</v>
      </c>
      <c r="H1907" s="14">
        <v>76210368.150000006</v>
      </c>
      <c r="I1907" s="14">
        <v>80000000</v>
      </c>
      <c r="J1907" s="14">
        <v>76210368.150000006</v>
      </c>
      <c r="K1907" s="12">
        <v>3037</v>
      </c>
      <c r="L1907" s="10" t="s">
        <v>101</v>
      </c>
      <c r="M1907" s="10" t="s">
        <v>102</v>
      </c>
      <c r="N1907" s="124" t="s">
        <v>577</v>
      </c>
      <c r="O1907" s="124" t="s">
        <v>577</v>
      </c>
      <c r="P1907" s="21">
        <v>33</v>
      </c>
      <c r="Q1907" s="10" t="s">
        <v>54</v>
      </c>
      <c r="R1907" s="10" t="s">
        <v>28</v>
      </c>
      <c r="S1907" s="10"/>
      <c r="T1907" s="10"/>
      <c r="U1907" s="10" t="s">
        <v>2476</v>
      </c>
      <c r="V1907" s="10" t="s">
        <v>2476</v>
      </c>
      <c r="W1907" s="50">
        <f>+J1907/$W$2</f>
        <v>9.3271169895857528E-4</v>
      </c>
    </row>
    <row r="1908" spans="1:23">
      <c r="A1908" s="10" t="s">
        <v>984</v>
      </c>
      <c r="B1908" s="10" t="s">
        <v>358</v>
      </c>
      <c r="C1908" s="124">
        <v>46379</v>
      </c>
      <c r="D1908" s="124" t="s">
        <v>471</v>
      </c>
      <c r="E1908" s="21">
        <v>0.95951635999999996</v>
      </c>
      <c r="F1908" s="10"/>
      <c r="G1908" s="14">
        <v>150000000</v>
      </c>
      <c r="H1908" s="14">
        <v>143927453.75</v>
      </c>
      <c r="I1908" s="14">
        <v>150000000</v>
      </c>
      <c r="J1908" s="14">
        <v>143927453.75</v>
      </c>
      <c r="K1908" s="12">
        <v>90000174</v>
      </c>
      <c r="L1908" s="10" t="s">
        <v>101</v>
      </c>
      <c r="M1908" s="10" t="s">
        <v>102</v>
      </c>
      <c r="N1908" s="124" t="s">
        <v>389</v>
      </c>
      <c r="O1908" s="124" t="s">
        <v>389</v>
      </c>
      <c r="P1908" s="21">
        <v>28</v>
      </c>
      <c r="Q1908" s="10" t="s">
        <v>54</v>
      </c>
      <c r="R1908" s="10" t="s">
        <v>28</v>
      </c>
      <c r="S1908" s="10"/>
      <c r="T1908" s="10"/>
      <c r="U1908" s="10" t="s">
        <v>969</v>
      </c>
      <c r="V1908" s="10" t="s">
        <v>969</v>
      </c>
      <c r="W1908" s="50">
        <f>+J1908/$W$2</f>
        <v>1.7614771214557407E-3</v>
      </c>
    </row>
    <row r="1909" spans="1:23">
      <c r="A1909" s="10" t="s">
        <v>994</v>
      </c>
      <c r="B1909" s="10" t="s">
        <v>358</v>
      </c>
      <c r="C1909" s="124">
        <v>46379</v>
      </c>
      <c r="D1909" s="124" t="s">
        <v>471</v>
      </c>
      <c r="E1909" s="21">
        <v>0.95262970999999996</v>
      </c>
      <c r="F1909" s="10"/>
      <c r="G1909" s="14">
        <v>5000000</v>
      </c>
      <c r="H1909" s="14">
        <v>4763148.5599999996</v>
      </c>
      <c r="I1909" s="14">
        <v>5000000</v>
      </c>
      <c r="J1909" s="14">
        <v>4763148.5599999996</v>
      </c>
      <c r="K1909" s="12">
        <v>70108167</v>
      </c>
      <c r="L1909" s="10" t="s">
        <v>101</v>
      </c>
      <c r="M1909" s="10" t="s">
        <v>102</v>
      </c>
      <c r="N1909" s="124" t="s">
        <v>464</v>
      </c>
      <c r="O1909" s="124" t="s">
        <v>464</v>
      </c>
      <c r="P1909" s="21">
        <v>33</v>
      </c>
      <c r="Q1909" s="10" t="s">
        <v>54</v>
      </c>
      <c r="R1909" s="10" t="s">
        <v>28</v>
      </c>
      <c r="S1909" s="10"/>
      <c r="T1909" s="10"/>
      <c r="U1909" s="10" t="s">
        <v>2557</v>
      </c>
      <c r="V1909" s="10" t="s">
        <v>2557</v>
      </c>
      <c r="W1909" s="50">
        <f>+J1909/$W$2</f>
        <v>5.8294487923815271E-5</v>
      </c>
    </row>
    <row r="1910" spans="1:23">
      <c r="A1910" s="10" t="s">
        <v>994</v>
      </c>
      <c r="B1910" s="10" t="s">
        <v>358</v>
      </c>
      <c r="C1910" s="124">
        <v>46379</v>
      </c>
      <c r="D1910" s="124" t="s">
        <v>471</v>
      </c>
      <c r="E1910" s="21">
        <v>0.95262957000000004</v>
      </c>
      <c r="F1910" s="10"/>
      <c r="G1910" s="14">
        <v>10000000</v>
      </c>
      <c r="H1910" s="14">
        <v>9526295.6999999993</v>
      </c>
      <c r="I1910" s="14">
        <v>10000000</v>
      </c>
      <c r="J1910" s="14">
        <v>9526295.6999999993</v>
      </c>
      <c r="K1910" s="12">
        <v>150</v>
      </c>
      <c r="L1910" s="10" t="s">
        <v>101</v>
      </c>
      <c r="M1910" s="10" t="s">
        <v>102</v>
      </c>
      <c r="N1910" s="124" t="s">
        <v>603</v>
      </c>
      <c r="O1910" s="124" t="s">
        <v>603</v>
      </c>
      <c r="P1910" s="21">
        <v>33</v>
      </c>
      <c r="Q1910" s="10" t="s">
        <v>54</v>
      </c>
      <c r="R1910" s="10" t="s">
        <v>28</v>
      </c>
      <c r="S1910" s="10"/>
      <c r="T1910" s="10"/>
      <c r="U1910" s="10" t="s">
        <v>2663</v>
      </c>
      <c r="V1910" s="10" t="s">
        <v>2663</v>
      </c>
      <c r="W1910" s="50">
        <f>+J1910/$W$2</f>
        <v>1.1658895846875356E-4</v>
      </c>
    </row>
    <row r="1911" spans="1:23">
      <c r="A1911" s="10" t="s">
        <v>1090</v>
      </c>
      <c r="B1911" s="10" t="s">
        <v>358</v>
      </c>
      <c r="C1911" s="124">
        <v>46379</v>
      </c>
      <c r="D1911" s="124" t="s">
        <v>471</v>
      </c>
      <c r="E1911" s="21">
        <v>0.95674972999999996</v>
      </c>
      <c r="F1911" s="10"/>
      <c r="G1911" s="14">
        <v>50000000</v>
      </c>
      <c r="H1911" s="14">
        <v>47837486.520000003</v>
      </c>
      <c r="I1911" s="14">
        <v>50000000</v>
      </c>
      <c r="J1911" s="14">
        <v>47837486.520000003</v>
      </c>
      <c r="K1911" s="12">
        <v>163597</v>
      </c>
      <c r="L1911" s="10" t="s">
        <v>101</v>
      </c>
      <c r="M1911" s="10" t="s">
        <v>102</v>
      </c>
      <c r="N1911" s="124" t="s">
        <v>161</v>
      </c>
      <c r="O1911" s="124" t="s">
        <v>161</v>
      </c>
      <c r="P1911" s="21">
        <v>30</v>
      </c>
      <c r="Q1911" s="10" t="s">
        <v>54</v>
      </c>
      <c r="R1911" s="10" t="s">
        <v>28</v>
      </c>
      <c r="S1911" s="10"/>
      <c r="T1911" s="10"/>
      <c r="U1911" s="10" t="s">
        <v>1039</v>
      </c>
      <c r="V1911" s="10" t="s">
        <v>1039</v>
      </c>
      <c r="W1911" s="50">
        <f>+J1911/$W$2</f>
        <v>5.8546605152408186E-4</v>
      </c>
    </row>
    <row r="1912" spans="1:23">
      <c r="A1912" s="10" t="s">
        <v>1090</v>
      </c>
      <c r="B1912" s="10" t="s">
        <v>358</v>
      </c>
      <c r="C1912" s="124">
        <v>46379</v>
      </c>
      <c r="D1912" s="124" t="s">
        <v>471</v>
      </c>
      <c r="E1912" s="21">
        <v>0.95674972999999996</v>
      </c>
      <c r="F1912" s="10"/>
      <c r="G1912" s="14">
        <v>50000000</v>
      </c>
      <c r="H1912" s="14">
        <v>47837486.520000003</v>
      </c>
      <c r="I1912" s="14">
        <v>50000000</v>
      </c>
      <c r="J1912" s="14">
        <v>47837486.520000003</v>
      </c>
      <c r="K1912" s="12">
        <v>197097</v>
      </c>
      <c r="L1912" s="10" t="s">
        <v>101</v>
      </c>
      <c r="M1912" s="10" t="s">
        <v>102</v>
      </c>
      <c r="N1912" s="124" t="s">
        <v>161</v>
      </c>
      <c r="O1912" s="124" t="s">
        <v>161</v>
      </c>
      <c r="P1912" s="21">
        <v>30</v>
      </c>
      <c r="Q1912" s="10" t="s">
        <v>54</v>
      </c>
      <c r="R1912" s="10" t="s">
        <v>28</v>
      </c>
      <c r="S1912" s="10"/>
      <c r="T1912" s="10"/>
      <c r="U1912" s="10" t="s">
        <v>1040</v>
      </c>
      <c r="V1912" s="10" t="s">
        <v>1040</v>
      </c>
      <c r="W1912" s="50">
        <f>+J1912/$W$2</f>
        <v>5.8546605152408186E-4</v>
      </c>
    </row>
    <row r="1913" spans="1:23">
      <c r="A1913" s="10" t="s">
        <v>1091</v>
      </c>
      <c r="B1913" s="10" t="s">
        <v>358</v>
      </c>
      <c r="C1913" s="124">
        <v>46379</v>
      </c>
      <c r="D1913" s="124" t="s">
        <v>471</v>
      </c>
      <c r="E1913" s="21">
        <v>0.95674972999999996</v>
      </c>
      <c r="F1913" s="10"/>
      <c r="G1913" s="14">
        <v>50000000</v>
      </c>
      <c r="H1913" s="14">
        <v>47837486.520000003</v>
      </c>
      <c r="I1913" s="14">
        <v>50000000</v>
      </c>
      <c r="J1913" s="14">
        <v>47837486.520000003</v>
      </c>
      <c r="K1913" s="12">
        <v>196470</v>
      </c>
      <c r="L1913" s="10" t="s">
        <v>101</v>
      </c>
      <c r="M1913" s="10" t="s">
        <v>102</v>
      </c>
      <c r="N1913" s="124" t="s">
        <v>161</v>
      </c>
      <c r="O1913" s="124" t="s">
        <v>161</v>
      </c>
      <c r="P1913" s="21">
        <v>30</v>
      </c>
      <c r="Q1913" s="10" t="s">
        <v>54</v>
      </c>
      <c r="R1913" s="10" t="s">
        <v>28</v>
      </c>
      <c r="S1913" s="10"/>
      <c r="T1913" s="10"/>
      <c r="U1913" s="10" t="s">
        <v>1043</v>
      </c>
      <c r="V1913" s="10" t="s">
        <v>1043</v>
      </c>
      <c r="W1913" s="50">
        <f>+J1913/$W$2</f>
        <v>5.8546605152408186E-4</v>
      </c>
    </row>
    <row r="1914" spans="1:23">
      <c r="A1914" s="10" t="s">
        <v>1422</v>
      </c>
      <c r="B1914" s="10" t="s">
        <v>358</v>
      </c>
      <c r="C1914" s="124">
        <v>46379</v>
      </c>
      <c r="D1914" s="124" t="s">
        <v>471</v>
      </c>
      <c r="E1914" s="21">
        <v>0.94990253999999996</v>
      </c>
      <c r="F1914" s="10"/>
      <c r="G1914" s="14">
        <v>15000000</v>
      </c>
      <c r="H1914" s="14">
        <v>14248538.15</v>
      </c>
      <c r="I1914" s="14">
        <v>15000000</v>
      </c>
      <c r="J1914" s="14">
        <v>14248538.15</v>
      </c>
      <c r="K1914" s="12">
        <v>50535</v>
      </c>
      <c r="L1914" s="10" t="s">
        <v>101</v>
      </c>
      <c r="M1914" s="10" t="s">
        <v>102</v>
      </c>
      <c r="N1914" s="124" t="s">
        <v>391</v>
      </c>
      <c r="O1914" s="124" t="s">
        <v>391</v>
      </c>
      <c r="P1914" s="21">
        <v>35</v>
      </c>
      <c r="Q1914" s="10" t="s">
        <v>54</v>
      </c>
      <c r="R1914" s="10" t="s">
        <v>28</v>
      </c>
      <c r="S1914" s="10"/>
      <c r="T1914" s="10"/>
      <c r="U1914" s="10" t="s">
        <v>1398</v>
      </c>
      <c r="V1914" s="10" t="s">
        <v>1398</v>
      </c>
      <c r="W1914" s="50">
        <f>+J1914/$W$2</f>
        <v>1.74382811002896E-4</v>
      </c>
    </row>
    <row r="1915" spans="1:23">
      <c r="A1915" s="10" t="s">
        <v>178</v>
      </c>
      <c r="B1915" s="10" t="s">
        <v>358</v>
      </c>
      <c r="C1915" s="124">
        <v>46379</v>
      </c>
      <c r="D1915" s="124" t="s">
        <v>471</v>
      </c>
      <c r="E1915" s="21">
        <v>0.96229907000000003</v>
      </c>
      <c r="F1915" s="10"/>
      <c r="G1915" s="14">
        <v>712621.85</v>
      </c>
      <c r="H1915" s="14">
        <v>685755.34</v>
      </c>
      <c r="I1915" s="14">
        <v>712621.85</v>
      </c>
      <c r="J1915" s="14">
        <v>685755.34</v>
      </c>
      <c r="K1915" s="12">
        <v>682191</v>
      </c>
      <c r="L1915" s="10" t="s">
        <v>101</v>
      </c>
      <c r="M1915" s="10" t="s">
        <v>102</v>
      </c>
      <c r="N1915" s="124" t="s">
        <v>477</v>
      </c>
      <c r="O1915" s="124" t="s">
        <v>477</v>
      </c>
      <c r="P1915" s="21">
        <v>26</v>
      </c>
      <c r="Q1915" s="10" t="s">
        <v>54</v>
      </c>
      <c r="R1915" s="10" t="s">
        <v>28</v>
      </c>
      <c r="S1915" s="10"/>
      <c r="T1915" s="10"/>
      <c r="U1915" s="10" t="s">
        <v>2433</v>
      </c>
      <c r="V1915" s="10" t="s">
        <v>2433</v>
      </c>
      <c r="W1915" s="50">
        <f>+J1915/$W$2</f>
        <v>8.3927166836723305E-6</v>
      </c>
    </row>
    <row r="1916" spans="1:23">
      <c r="A1916" s="10" t="s">
        <v>3322</v>
      </c>
      <c r="B1916" s="10" t="s">
        <v>358</v>
      </c>
      <c r="C1916" s="124">
        <v>46379</v>
      </c>
      <c r="D1916" s="124" t="s">
        <v>471</v>
      </c>
      <c r="E1916" s="21">
        <v>0.95262961000000002</v>
      </c>
      <c r="F1916" s="10"/>
      <c r="G1916" s="14">
        <v>528139.15</v>
      </c>
      <c r="H1916" s="14">
        <v>503120.99</v>
      </c>
      <c r="I1916" s="14">
        <v>528139.15</v>
      </c>
      <c r="J1916" s="14">
        <v>503120.99</v>
      </c>
      <c r="K1916" s="12">
        <v>17708</v>
      </c>
      <c r="L1916" s="10" t="s">
        <v>101</v>
      </c>
      <c r="M1916" s="10" t="s">
        <v>102</v>
      </c>
      <c r="N1916" s="124" t="s">
        <v>417</v>
      </c>
      <c r="O1916" s="124" t="s">
        <v>417</v>
      </c>
      <c r="P1916" s="21">
        <v>33</v>
      </c>
      <c r="Q1916" s="10" t="s">
        <v>54</v>
      </c>
      <c r="R1916" s="10" t="s">
        <v>28</v>
      </c>
      <c r="S1916" s="10"/>
      <c r="T1916" s="10"/>
      <c r="U1916" s="10" t="s">
        <v>3226</v>
      </c>
      <c r="V1916" s="10" t="s">
        <v>3226</v>
      </c>
      <c r="W1916" s="50">
        <f>+J1916/$W$2</f>
        <v>6.1575195705785383E-6</v>
      </c>
    </row>
    <row r="1917" spans="1:23">
      <c r="A1917" s="10" t="s">
        <v>3572</v>
      </c>
      <c r="B1917" s="10" t="s">
        <v>358</v>
      </c>
      <c r="C1917" s="124">
        <v>46379</v>
      </c>
      <c r="D1917" s="124" t="s">
        <v>471</v>
      </c>
      <c r="E1917" s="21">
        <v>0.95262970999999996</v>
      </c>
      <c r="F1917" s="10"/>
      <c r="G1917" s="14">
        <v>5385316.5800000001</v>
      </c>
      <c r="H1917" s="14">
        <v>5130212.58</v>
      </c>
      <c r="I1917" s="14">
        <v>5385316.5800000001</v>
      </c>
      <c r="J1917" s="14">
        <v>5130212.58</v>
      </c>
      <c r="K1917" s="12">
        <v>13981363</v>
      </c>
      <c r="L1917" s="10" t="s">
        <v>101</v>
      </c>
      <c r="M1917" s="10" t="s">
        <v>102</v>
      </c>
      <c r="N1917" s="124" t="s">
        <v>451</v>
      </c>
      <c r="O1917" s="124" t="s">
        <v>451</v>
      </c>
      <c r="P1917" s="21">
        <v>33</v>
      </c>
      <c r="Q1917" s="10" t="s">
        <v>54</v>
      </c>
      <c r="R1917" s="10" t="s">
        <v>28</v>
      </c>
      <c r="S1917" s="10"/>
      <c r="T1917" s="10"/>
      <c r="U1917" s="10" t="s">
        <v>3567</v>
      </c>
      <c r="V1917" s="10" t="s">
        <v>3567</v>
      </c>
      <c r="W1917" s="50">
        <f>+J1917/$W$2</f>
        <v>6.2786854435507093E-5</v>
      </c>
    </row>
    <row r="1918" spans="1:23">
      <c r="A1918" s="10" t="s">
        <v>3067</v>
      </c>
      <c r="B1918" s="10" t="s">
        <v>358</v>
      </c>
      <c r="C1918" s="124">
        <v>46379</v>
      </c>
      <c r="D1918" s="124" t="s">
        <v>471</v>
      </c>
      <c r="E1918" s="21">
        <v>0.95262964999999999</v>
      </c>
      <c r="F1918" s="10"/>
      <c r="G1918" s="14">
        <v>16321601.68</v>
      </c>
      <c r="H1918" s="14">
        <v>15548441.619999999</v>
      </c>
      <c r="I1918" s="14">
        <v>16321601.68</v>
      </c>
      <c r="J1918" s="14">
        <v>15548441.619999999</v>
      </c>
      <c r="K1918" s="12">
        <v>318</v>
      </c>
      <c r="L1918" s="10" t="s">
        <v>101</v>
      </c>
      <c r="M1918" s="10" t="s">
        <v>102</v>
      </c>
      <c r="N1918" s="124" t="s">
        <v>508</v>
      </c>
      <c r="O1918" s="124" t="s">
        <v>508</v>
      </c>
      <c r="P1918" s="21">
        <v>33</v>
      </c>
      <c r="Q1918" s="10" t="s">
        <v>54</v>
      </c>
      <c r="R1918" s="10" t="s">
        <v>28</v>
      </c>
      <c r="S1918" s="10"/>
      <c r="T1918" s="10"/>
      <c r="U1918" s="10" t="s">
        <v>3052</v>
      </c>
      <c r="V1918" s="10" t="s">
        <v>3052</v>
      </c>
      <c r="W1918" s="50">
        <f>+J1918/$W$2</f>
        <v>1.9029186909325305E-4</v>
      </c>
    </row>
    <row r="1919" spans="1:23">
      <c r="A1919" s="10" t="s">
        <v>4163</v>
      </c>
      <c r="B1919" s="10" t="s">
        <v>358</v>
      </c>
      <c r="C1919" s="124">
        <v>46379</v>
      </c>
      <c r="D1919" s="124" t="s">
        <v>471</v>
      </c>
      <c r="E1919" s="21">
        <v>0.95262979999999997</v>
      </c>
      <c r="F1919" s="10"/>
      <c r="G1919" s="14">
        <v>4173925</v>
      </c>
      <c r="H1919" s="14">
        <v>3976205.33</v>
      </c>
      <c r="I1919" s="14">
        <v>4173925</v>
      </c>
      <c r="J1919" s="14">
        <v>3976205.33</v>
      </c>
      <c r="K1919" s="12">
        <v>80218019</v>
      </c>
      <c r="L1919" s="10" t="s">
        <v>101</v>
      </c>
      <c r="M1919" s="10" t="s">
        <v>102</v>
      </c>
      <c r="N1919" s="124" t="s">
        <v>471</v>
      </c>
      <c r="O1919" s="124" t="s">
        <v>471</v>
      </c>
      <c r="P1919" s="21">
        <v>33</v>
      </c>
      <c r="Q1919" s="10" t="s">
        <v>54</v>
      </c>
      <c r="R1919" s="10" t="s">
        <v>28</v>
      </c>
      <c r="S1919" s="10"/>
      <c r="T1919" s="10"/>
      <c r="U1919" s="10" t="s">
        <v>4134</v>
      </c>
      <c r="V1919" s="10" t="s">
        <v>4134</v>
      </c>
      <c r="W1919" s="50">
        <f>+J1919/$W$2</f>
        <v>4.8663368499321997E-5</v>
      </c>
    </row>
    <row r="1920" spans="1:23">
      <c r="A1920" s="10" t="s">
        <v>768</v>
      </c>
      <c r="B1920" s="10" t="s">
        <v>358</v>
      </c>
      <c r="C1920" s="124">
        <v>46379</v>
      </c>
      <c r="D1920" s="124" t="s">
        <v>471</v>
      </c>
      <c r="E1920" s="21">
        <v>0.95262966000000004</v>
      </c>
      <c r="F1920" s="10"/>
      <c r="G1920" s="14">
        <v>11666666.66</v>
      </c>
      <c r="H1920" s="14">
        <v>11114012.699999999</v>
      </c>
      <c r="I1920" s="14">
        <v>11666666.66</v>
      </c>
      <c r="J1920" s="14">
        <v>11114012.699999999</v>
      </c>
      <c r="K1920" s="12">
        <v>69879019</v>
      </c>
      <c r="L1920" s="10" t="s">
        <v>101</v>
      </c>
      <c r="M1920" s="10" t="s">
        <v>102</v>
      </c>
      <c r="N1920" s="124" t="s">
        <v>478</v>
      </c>
      <c r="O1920" s="124" t="s">
        <v>478</v>
      </c>
      <c r="P1920" s="21">
        <v>33</v>
      </c>
      <c r="Q1920" s="10" t="s">
        <v>54</v>
      </c>
      <c r="R1920" s="10" t="s">
        <v>28</v>
      </c>
      <c r="S1920" s="10"/>
      <c r="T1920" s="10"/>
      <c r="U1920" s="10" t="s">
        <v>2160</v>
      </c>
      <c r="V1920" s="10" t="s">
        <v>2160</v>
      </c>
      <c r="W1920" s="50">
        <f>+J1920/$W$2</f>
        <v>1.3602046439745719E-4</v>
      </c>
    </row>
    <row r="1921" spans="1:29">
      <c r="A1921" s="10" t="s">
        <v>832</v>
      </c>
      <c r="B1921" s="10" t="s">
        <v>358</v>
      </c>
      <c r="C1921" s="124">
        <v>46379</v>
      </c>
      <c r="D1921" s="124" t="s">
        <v>471</v>
      </c>
      <c r="E1921" s="21">
        <v>0.95262954</v>
      </c>
      <c r="F1921" s="10"/>
      <c r="G1921" s="14">
        <v>357707.35</v>
      </c>
      <c r="H1921" s="14">
        <v>340762.59</v>
      </c>
      <c r="I1921" s="14">
        <v>357707.35</v>
      </c>
      <c r="J1921" s="14">
        <v>340762.59</v>
      </c>
      <c r="K1921" s="12">
        <v>129159</v>
      </c>
      <c r="L1921" s="10" t="s">
        <v>101</v>
      </c>
      <c r="M1921" s="10" t="s">
        <v>102</v>
      </c>
      <c r="N1921" s="124" t="s">
        <v>468</v>
      </c>
      <c r="O1921" s="124" t="s">
        <v>468</v>
      </c>
      <c r="P1921" s="21">
        <v>33</v>
      </c>
      <c r="Q1921" s="10" t="s">
        <v>54</v>
      </c>
      <c r="R1921" s="10" t="s">
        <v>28</v>
      </c>
      <c r="S1921" s="10"/>
      <c r="T1921" s="10"/>
      <c r="U1921" s="10" t="s">
        <v>3850</v>
      </c>
      <c r="V1921" s="10" t="s">
        <v>3850</v>
      </c>
      <c r="W1921" s="50">
        <f>+J1921/$W$2</f>
        <v>4.1704726269640045E-6</v>
      </c>
    </row>
    <row r="1922" spans="1:29">
      <c r="A1922" s="10" t="s">
        <v>220</v>
      </c>
      <c r="B1922" s="10" t="s">
        <v>358</v>
      </c>
      <c r="C1922" s="124">
        <v>46379</v>
      </c>
      <c r="D1922" s="124" t="s">
        <v>471</v>
      </c>
      <c r="E1922" s="21">
        <v>0.95262954</v>
      </c>
      <c r="F1922" s="10"/>
      <c r="G1922" s="14">
        <v>25000000</v>
      </c>
      <c r="H1922" s="14">
        <v>23815738.539999999</v>
      </c>
      <c r="I1922" s="14">
        <v>25000000</v>
      </c>
      <c r="J1922" s="14">
        <v>23815738.539999999</v>
      </c>
      <c r="K1922" s="12">
        <v>475889</v>
      </c>
      <c r="L1922" s="10" t="s">
        <v>101</v>
      </c>
      <c r="M1922" s="10" t="s">
        <v>102</v>
      </c>
      <c r="N1922" s="124" t="s">
        <v>332</v>
      </c>
      <c r="O1922" s="124" t="s">
        <v>332</v>
      </c>
      <c r="P1922" s="21">
        <v>33</v>
      </c>
      <c r="Q1922" s="10" t="s">
        <v>54</v>
      </c>
      <c r="R1922" s="10" t="s">
        <v>28</v>
      </c>
      <c r="S1922" s="10"/>
      <c r="T1922" s="10"/>
      <c r="U1922" s="10" t="s">
        <v>922</v>
      </c>
      <c r="V1922" s="10" t="s">
        <v>922</v>
      </c>
      <c r="W1922" s="50">
        <f>+J1922/$W$2</f>
        <v>2.9147238748244541E-4</v>
      </c>
    </row>
    <row r="1923" spans="1:29">
      <c r="A1923" s="10" t="s">
        <v>574</v>
      </c>
      <c r="B1923" s="10" t="s">
        <v>358</v>
      </c>
      <c r="C1923" s="124">
        <v>46379</v>
      </c>
      <c r="D1923" s="124" t="s">
        <v>471</v>
      </c>
      <c r="E1923" s="21">
        <v>0.95674979000000004</v>
      </c>
      <c r="F1923" s="10"/>
      <c r="G1923" s="14">
        <v>150000000</v>
      </c>
      <c r="H1923" s="14">
        <v>143512468.44</v>
      </c>
      <c r="I1923" s="14">
        <v>150000000</v>
      </c>
      <c r="J1923" s="14">
        <v>143512468.44</v>
      </c>
      <c r="K1923" s="12">
        <v>90004321</v>
      </c>
      <c r="L1923" s="10" t="s">
        <v>101</v>
      </c>
      <c r="M1923" s="10" t="s">
        <v>102</v>
      </c>
      <c r="N1923" s="124" t="s">
        <v>508</v>
      </c>
      <c r="O1923" s="124" t="s">
        <v>508</v>
      </c>
      <c r="P1923" s="21">
        <v>30</v>
      </c>
      <c r="Q1923" s="10" t="s">
        <v>54</v>
      </c>
      <c r="R1923" s="10" t="s">
        <v>28</v>
      </c>
      <c r="S1923" s="10"/>
      <c r="T1923" s="10"/>
      <c r="U1923" s="10" t="s">
        <v>3032</v>
      </c>
      <c r="V1923" s="10" t="s">
        <v>3032</v>
      </c>
      <c r="W1923" s="50">
        <f>+J1923/$W$2</f>
        <v>1.7563982632514197E-3</v>
      </c>
    </row>
    <row r="1924" spans="1:29">
      <c r="A1924" s="10" t="s">
        <v>582</v>
      </c>
      <c r="B1924" s="10" t="s">
        <v>358</v>
      </c>
      <c r="C1924" s="124">
        <v>46379</v>
      </c>
      <c r="D1924" s="124" t="s">
        <v>471</v>
      </c>
      <c r="E1924" s="21">
        <v>0.94854477000000004</v>
      </c>
      <c r="F1924" s="10"/>
      <c r="G1924" s="14">
        <v>20078937.030000001</v>
      </c>
      <c r="H1924" s="14">
        <v>19045770.739999998</v>
      </c>
      <c r="I1924" s="14">
        <v>20078937.030000001</v>
      </c>
      <c r="J1924" s="14">
        <v>19045770.739999998</v>
      </c>
      <c r="K1924" s="12">
        <v>67998257</v>
      </c>
      <c r="L1924" s="10" t="s">
        <v>101</v>
      </c>
      <c r="M1924" s="10" t="s">
        <v>102</v>
      </c>
      <c r="N1924" s="124" t="s">
        <v>370</v>
      </c>
      <c r="O1924" s="124" t="s">
        <v>370</v>
      </c>
      <c r="P1924" s="21">
        <v>36</v>
      </c>
      <c r="Q1924" s="10" t="s">
        <v>54</v>
      </c>
      <c r="R1924" s="10" t="s">
        <v>28</v>
      </c>
      <c r="S1924" s="10"/>
      <c r="T1924" s="10"/>
      <c r="U1924" s="10" t="s">
        <v>669</v>
      </c>
      <c r="V1924" s="10" t="s">
        <v>669</v>
      </c>
      <c r="W1924" s="50">
        <f>+J1924/$W$2</f>
        <v>2.3309444129592384E-4</v>
      </c>
    </row>
    <row r="1925" spans="1:29">
      <c r="A1925" s="10" t="s">
        <v>4051</v>
      </c>
      <c r="B1925" s="10" t="s">
        <v>358</v>
      </c>
      <c r="C1925" s="124">
        <v>46379</v>
      </c>
      <c r="D1925" s="124" t="s">
        <v>471</v>
      </c>
      <c r="E1925" s="21">
        <v>0.95813115999999998</v>
      </c>
      <c r="F1925" s="10"/>
      <c r="G1925" s="14">
        <v>1691517</v>
      </c>
      <c r="H1925" s="14">
        <v>1620695.15</v>
      </c>
      <c r="I1925" s="14">
        <v>1691517</v>
      </c>
      <c r="J1925" s="14">
        <v>1620695.15</v>
      </c>
      <c r="K1925" s="12">
        <v>70559934</v>
      </c>
      <c r="L1925" s="10" t="s">
        <v>101</v>
      </c>
      <c r="M1925" s="10" t="s">
        <v>102</v>
      </c>
      <c r="N1925" s="124" t="s">
        <v>469</v>
      </c>
      <c r="O1925" s="124" t="s">
        <v>469</v>
      </c>
      <c r="P1925" s="21">
        <v>29</v>
      </c>
      <c r="Q1925" s="10" t="s">
        <v>54</v>
      </c>
      <c r="R1925" s="10" t="s">
        <v>28</v>
      </c>
      <c r="S1925" s="10"/>
      <c r="T1925" s="10"/>
      <c r="U1925" s="10" t="s">
        <v>3987</v>
      </c>
      <c r="V1925" s="10" t="s">
        <v>3987</v>
      </c>
      <c r="W1925" s="50">
        <f>+J1925/$W$2</f>
        <v>1.9835113824344158E-5</v>
      </c>
    </row>
    <row r="1926" spans="1:29">
      <c r="A1926" s="10" t="s">
        <v>306</v>
      </c>
      <c r="B1926" s="10" t="s">
        <v>358</v>
      </c>
      <c r="C1926" s="124">
        <v>46379</v>
      </c>
      <c r="D1926" s="124" t="s">
        <v>471</v>
      </c>
      <c r="E1926" s="21">
        <v>0.95674977000000005</v>
      </c>
      <c r="F1926" s="10"/>
      <c r="G1926" s="14">
        <v>200000000</v>
      </c>
      <c r="H1926" s="14">
        <v>191349954.06</v>
      </c>
      <c r="I1926" s="14">
        <v>200000000</v>
      </c>
      <c r="J1926" s="14">
        <v>191349954.06</v>
      </c>
      <c r="K1926" s="12">
        <v>7006</v>
      </c>
      <c r="L1926" s="10" t="s">
        <v>101</v>
      </c>
      <c r="M1926" s="10" t="s">
        <v>102</v>
      </c>
      <c r="N1926" s="124" t="s">
        <v>440</v>
      </c>
      <c r="O1926" s="124" t="s">
        <v>440</v>
      </c>
      <c r="P1926" s="21">
        <v>30</v>
      </c>
      <c r="Q1926" s="10" t="s">
        <v>54</v>
      </c>
      <c r="R1926" s="10" t="s">
        <v>28</v>
      </c>
      <c r="S1926" s="10"/>
      <c r="T1926" s="10"/>
      <c r="U1926" s="10" t="s">
        <v>2736</v>
      </c>
      <c r="V1926" s="10" t="s">
        <v>2736</v>
      </c>
      <c r="W1926" s="50">
        <f>+J1926/$W$2</f>
        <v>2.3418643037607205E-3</v>
      </c>
    </row>
    <row r="1927" spans="1:29">
      <c r="A1927" s="10" t="s">
        <v>286</v>
      </c>
      <c r="B1927" s="10" t="s">
        <v>358</v>
      </c>
      <c r="C1927" s="124">
        <v>46379</v>
      </c>
      <c r="D1927" s="124" t="s">
        <v>471</v>
      </c>
      <c r="E1927" s="21">
        <v>0.95399908</v>
      </c>
      <c r="F1927" s="10"/>
      <c r="G1927" s="14">
        <v>5000000</v>
      </c>
      <c r="H1927" s="14">
        <v>4769995.4000000004</v>
      </c>
      <c r="I1927" s="14">
        <v>5000000</v>
      </c>
      <c r="J1927" s="14">
        <v>4769995.4000000004</v>
      </c>
      <c r="K1927" s="12">
        <v>40796994</v>
      </c>
      <c r="L1927" s="10" t="s">
        <v>101</v>
      </c>
      <c r="M1927" s="10" t="s">
        <v>102</v>
      </c>
      <c r="N1927" s="124" t="s">
        <v>508</v>
      </c>
      <c r="O1927" s="124" t="s">
        <v>508</v>
      </c>
      <c r="P1927" s="21">
        <v>32</v>
      </c>
      <c r="Q1927" s="10" t="s">
        <v>54</v>
      </c>
      <c r="R1927" s="10" t="s">
        <v>28</v>
      </c>
      <c r="S1927" s="10"/>
      <c r="T1927" s="10"/>
      <c r="U1927" s="10" t="s">
        <v>2991</v>
      </c>
      <c r="V1927" s="10" t="s">
        <v>2991</v>
      </c>
      <c r="W1927" s="50">
        <f>+J1927/$W$2</f>
        <v>5.8378283973144528E-5</v>
      </c>
    </row>
    <row r="1928" spans="1:29">
      <c r="A1928" s="10" t="s">
        <v>433</v>
      </c>
      <c r="B1928" s="10" t="s">
        <v>358</v>
      </c>
      <c r="C1928" s="124">
        <v>46379</v>
      </c>
      <c r="D1928" s="124" t="s">
        <v>471</v>
      </c>
      <c r="E1928" s="21">
        <v>0.95262961000000002</v>
      </c>
      <c r="F1928" s="10"/>
      <c r="G1928" s="14">
        <v>25000000</v>
      </c>
      <c r="H1928" s="14">
        <v>23815740.149999999</v>
      </c>
      <c r="I1928" s="14">
        <v>25000000</v>
      </c>
      <c r="J1928" s="14">
        <v>23815740.149999999</v>
      </c>
      <c r="K1928" s="12">
        <v>14422659</v>
      </c>
      <c r="L1928" s="10" t="s">
        <v>101</v>
      </c>
      <c r="M1928" s="10" t="s">
        <v>102</v>
      </c>
      <c r="N1928" s="124" t="s">
        <v>396</v>
      </c>
      <c r="O1928" s="124" t="s">
        <v>396</v>
      </c>
      <c r="P1928" s="21">
        <v>33</v>
      </c>
      <c r="Q1928" s="10" t="s">
        <v>54</v>
      </c>
      <c r="R1928" s="10" t="s">
        <v>28</v>
      </c>
      <c r="S1928" s="10"/>
      <c r="T1928" s="10"/>
      <c r="U1928" s="10" t="s">
        <v>1381</v>
      </c>
      <c r="V1928" s="10" t="s">
        <v>1381</v>
      </c>
      <c r="W1928" s="50">
        <f>+J1928/$W$2</f>
        <v>2.9147240718666506E-4</v>
      </c>
    </row>
    <row r="1929" spans="1:29">
      <c r="A1929" s="10" t="s">
        <v>3581</v>
      </c>
      <c r="B1929" s="10" t="s">
        <v>358</v>
      </c>
      <c r="C1929" s="124">
        <v>46379</v>
      </c>
      <c r="D1929" s="124" t="s">
        <v>471</v>
      </c>
      <c r="E1929" s="21">
        <v>0.95126421000000005</v>
      </c>
      <c r="F1929" s="10"/>
      <c r="G1929" s="14">
        <v>1257626.54</v>
      </c>
      <c r="H1929" s="14">
        <v>1196335.1200000001</v>
      </c>
      <c r="I1929" s="14">
        <v>1257626.54</v>
      </c>
      <c r="J1929" s="14">
        <v>1196335.1200000001</v>
      </c>
      <c r="K1929" s="12">
        <v>114</v>
      </c>
      <c r="L1929" s="10" t="s">
        <v>101</v>
      </c>
      <c r="M1929" s="10" t="s">
        <v>102</v>
      </c>
      <c r="N1929" s="124" t="s">
        <v>451</v>
      </c>
      <c r="O1929" s="124" t="s">
        <v>451</v>
      </c>
      <c r="P1929" s="21">
        <v>34</v>
      </c>
      <c r="Q1929" s="10" t="s">
        <v>54</v>
      </c>
      <c r="R1929" s="10" t="s">
        <v>28</v>
      </c>
      <c r="S1929" s="10"/>
      <c r="T1929" s="10"/>
      <c r="U1929" s="10" t="s">
        <v>3503</v>
      </c>
      <c r="V1929" s="10" t="s">
        <v>3503</v>
      </c>
      <c r="W1929" s="50">
        <f>+J1929/$W$2</f>
        <v>1.46415217428524E-5</v>
      </c>
    </row>
    <row r="1930" spans="1:29">
      <c r="A1930" s="10" t="s">
        <v>3583</v>
      </c>
      <c r="B1930" s="10" t="s">
        <v>358</v>
      </c>
      <c r="C1930" s="124">
        <v>46379</v>
      </c>
      <c r="D1930" s="124" t="s">
        <v>471</v>
      </c>
      <c r="E1930" s="21">
        <v>0.95399913999999997</v>
      </c>
      <c r="F1930" s="10"/>
      <c r="G1930" s="14">
        <v>6600211.2000000002</v>
      </c>
      <c r="H1930" s="14">
        <v>6296595.8200000003</v>
      </c>
      <c r="I1930" s="14">
        <v>6600211.2000000002</v>
      </c>
      <c r="J1930" s="14">
        <v>6296595.8200000003</v>
      </c>
      <c r="K1930" s="12">
        <v>69202679</v>
      </c>
      <c r="L1930" s="10" t="s">
        <v>101</v>
      </c>
      <c r="M1930" s="10" t="s">
        <v>102</v>
      </c>
      <c r="N1930" s="124" t="s">
        <v>451</v>
      </c>
      <c r="O1930" s="124" t="s">
        <v>451</v>
      </c>
      <c r="P1930" s="21">
        <v>32</v>
      </c>
      <c r="Q1930" s="10" t="s">
        <v>54</v>
      </c>
      <c r="R1930" s="10" t="s">
        <v>28</v>
      </c>
      <c r="S1930" s="10"/>
      <c r="T1930" s="10"/>
      <c r="U1930" s="10" t="s">
        <v>3520</v>
      </c>
      <c r="V1930" s="10" t="s">
        <v>3520</v>
      </c>
      <c r="W1930" s="50">
        <f>+J1930/$W$2</f>
        <v>7.7061805729220363E-5</v>
      </c>
    </row>
    <row r="1931" spans="1:29">
      <c r="A1931" s="10" t="s">
        <v>4177</v>
      </c>
      <c r="B1931" s="10" t="s">
        <v>358</v>
      </c>
      <c r="C1931" s="124">
        <v>46379</v>
      </c>
      <c r="D1931" s="124" t="s">
        <v>471</v>
      </c>
      <c r="E1931" s="21">
        <v>0.95674992999999997</v>
      </c>
      <c r="F1931" s="10"/>
      <c r="G1931" s="14">
        <v>50000000</v>
      </c>
      <c r="H1931" s="14">
        <v>47837496.450000003</v>
      </c>
      <c r="I1931" s="14">
        <v>50000000</v>
      </c>
      <c r="J1931" s="14">
        <v>47837496.450000003</v>
      </c>
      <c r="K1931" s="12">
        <v>171041</v>
      </c>
      <c r="L1931" s="10" t="s">
        <v>101</v>
      </c>
      <c r="M1931" s="10" t="s">
        <v>102</v>
      </c>
      <c r="N1931" s="124" t="s">
        <v>471</v>
      </c>
      <c r="O1931" s="124" t="s">
        <v>471</v>
      </c>
      <c r="P1931" s="21">
        <v>30</v>
      </c>
      <c r="Q1931" s="10" t="s">
        <v>54</v>
      </c>
      <c r="R1931" s="10" t="s">
        <v>28</v>
      </c>
      <c r="S1931" s="10"/>
      <c r="T1931" s="10"/>
      <c r="U1931" s="10" t="s">
        <v>4130</v>
      </c>
      <c r="V1931" s="10" t="s">
        <v>4130</v>
      </c>
      <c r="W1931" s="50">
        <f>+J1931/$W$2</f>
        <v>5.8546617305383416E-4</v>
      </c>
    </row>
    <row r="1932" spans="1:29">
      <c r="A1932" s="10" t="s">
        <v>4177</v>
      </c>
      <c r="B1932" s="10" t="s">
        <v>358</v>
      </c>
      <c r="C1932" s="124">
        <v>46379</v>
      </c>
      <c r="D1932" s="124" t="s">
        <v>471</v>
      </c>
      <c r="E1932" s="21">
        <v>0.95674992999999997</v>
      </c>
      <c r="F1932" s="10"/>
      <c r="G1932" s="14">
        <v>250000000</v>
      </c>
      <c r="H1932" s="14">
        <v>239187481.88</v>
      </c>
      <c r="I1932" s="14">
        <v>250000000</v>
      </c>
      <c r="J1932" s="14">
        <v>239187481.88</v>
      </c>
      <c r="K1932" s="12">
        <v>171034</v>
      </c>
      <c r="L1932" s="10" t="s">
        <v>101</v>
      </c>
      <c r="M1932" s="10" t="s">
        <v>102</v>
      </c>
      <c r="N1932" s="124" t="s">
        <v>471</v>
      </c>
      <c r="O1932" s="124" t="s">
        <v>471</v>
      </c>
      <c r="P1932" s="21">
        <v>30</v>
      </c>
      <c r="Q1932" s="10" t="s">
        <v>54</v>
      </c>
      <c r="R1932" s="10" t="s">
        <v>28</v>
      </c>
      <c r="S1932" s="10"/>
      <c r="T1932" s="10"/>
      <c r="U1932" s="10" t="s">
        <v>4131</v>
      </c>
      <c r="V1932" s="10" t="s">
        <v>4131</v>
      </c>
      <c r="W1932" s="50">
        <f>+J1932/$W$2</f>
        <v>2.9273308607408719E-3</v>
      </c>
      <c r="AC1932" s="47"/>
    </row>
    <row r="1933" spans="1:29">
      <c r="A1933" s="10" t="s">
        <v>4177</v>
      </c>
      <c r="B1933" s="10" t="s">
        <v>358</v>
      </c>
      <c r="C1933" s="124">
        <v>46379</v>
      </c>
      <c r="D1933" s="124" t="s">
        <v>471</v>
      </c>
      <c r="E1933" s="21">
        <v>0.95674992999999997</v>
      </c>
      <c r="F1933" s="10"/>
      <c r="G1933" s="14">
        <v>50000000</v>
      </c>
      <c r="H1933" s="14">
        <v>47837496.450000003</v>
      </c>
      <c r="I1933" s="14">
        <v>50000000</v>
      </c>
      <c r="J1933" s="14">
        <v>47837496.450000003</v>
      </c>
      <c r="K1933" s="12">
        <v>171037</v>
      </c>
      <c r="L1933" s="10" t="s">
        <v>101</v>
      </c>
      <c r="M1933" s="10" t="s">
        <v>102</v>
      </c>
      <c r="N1933" s="124" t="s">
        <v>471</v>
      </c>
      <c r="O1933" s="124" t="s">
        <v>471</v>
      </c>
      <c r="P1933" s="21">
        <v>30</v>
      </c>
      <c r="Q1933" s="10" t="s">
        <v>54</v>
      </c>
      <c r="R1933" s="10" t="s">
        <v>28</v>
      </c>
      <c r="S1933" s="10"/>
      <c r="T1933" s="10"/>
      <c r="U1933" s="10" t="s">
        <v>4132</v>
      </c>
      <c r="V1933" s="10" t="s">
        <v>4132</v>
      </c>
      <c r="W1933" s="50">
        <f>+J1933/$W$2</f>
        <v>5.8546617305383416E-4</v>
      </c>
    </row>
    <row r="1934" spans="1:29">
      <c r="A1934" s="10" t="s">
        <v>621</v>
      </c>
      <c r="B1934" s="10" t="s">
        <v>358</v>
      </c>
      <c r="C1934" s="124">
        <v>46379</v>
      </c>
      <c r="D1934" s="124" t="s">
        <v>471</v>
      </c>
      <c r="E1934" s="21">
        <v>0.95951640000000005</v>
      </c>
      <c r="F1934" s="10"/>
      <c r="G1934" s="14">
        <v>50000000</v>
      </c>
      <c r="H1934" s="14">
        <v>47975820.07</v>
      </c>
      <c r="I1934" s="14">
        <v>50000000</v>
      </c>
      <c r="J1934" s="14">
        <v>47975820.07</v>
      </c>
      <c r="K1934" s="12">
        <v>580</v>
      </c>
      <c r="L1934" s="10" t="s">
        <v>101</v>
      </c>
      <c r="M1934" s="10" t="s">
        <v>102</v>
      </c>
      <c r="N1934" s="124" t="s">
        <v>449</v>
      </c>
      <c r="O1934" s="124" t="s">
        <v>449</v>
      </c>
      <c r="P1934" s="21">
        <v>28</v>
      </c>
      <c r="Q1934" s="10" t="s">
        <v>54</v>
      </c>
      <c r="R1934" s="10" t="s">
        <v>28</v>
      </c>
      <c r="S1934" s="10"/>
      <c r="T1934" s="10"/>
      <c r="U1934" s="10" t="s">
        <v>1932</v>
      </c>
      <c r="V1934" s="10" t="s">
        <v>1932</v>
      </c>
      <c r="W1934" s="50">
        <f>+J1934/$W$2</f>
        <v>5.8715906683913077E-4</v>
      </c>
    </row>
    <row r="1935" spans="1:29">
      <c r="A1935" s="10" t="s">
        <v>621</v>
      </c>
      <c r="B1935" s="10" t="s">
        <v>358</v>
      </c>
      <c r="C1935" s="124">
        <v>46379</v>
      </c>
      <c r="D1935" s="124" t="s">
        <v>471</v>
      </c>
      <c r="E1935" s="21">
        <v>0.95674970000000004</v>
      </c>
      <c r="F1935" s="10"/>
      <c r="G1935" s="14">
        <v>83000000</v>
      </c>
      <c r="H1935" s="14">
        <v>79410225.439999998</v>
      </c>
      <c r="I1935" s="14">
        <v>83000000</v>
      </c>
      <c r="J1935" s="14">
        <v>79410225.439999998</v>
      </c>
      <c r="K1935" s="12">
        <v>68158784</v>
      </c>
      <c r="L1935" s="10" t="s">
        <v>101</v>
      </c>
      <c r="M1935" s="10" t="s">
        <v>102</v>
      </c>
      <c r="N1935" s="124" t="s">
        <v>476</v>
      </c>
      <c r="O1935" s="124" t="s">
        <v>476</v>
      </c>
      <c r="P1935" s="21">
        <v>30</v>
      </c>
      <c r="Q1935" s="10" t="s">
        <v>54</v>
      </c>
      <c r="R1935" s="10" t="s">
        <v>28</v>
      </c>
      <c r="S1935" s="10"/>
      <c r="T1935" s="10"/>
      <c r="U1935" s="10" t="s">
        <v>679</v>
      </c>
      <c r="V1935" s="10" t="s">
        <v>679</v>
      </c>
      <c r="W1935" s="50">
        <f>+J1935/$W$2</f>
        <v>9.7187361881056426E-4</v>
      </c>
    </row>
    <row r="1936" spans="1:29">
      <c r="A1936" s="10" t="s">
        <v>685</v>
      </c>
      <c r="B1936" s="10" t="s">
        <v>358</v>
      </c>
      <c r="C1936" s="124">
        <v>46379</v>
      </c>
      <c r="D1936" s="124" t="s">
        <v>471</v>
      </c>
      <c r="E1936" s="21">
        <v>0.95674970999999998</v>
      </c>
      <c r="F1936" s="10"/>
      <c r="G1936" s="14">
        <v>1500000</v>
      </c>
      <c r="H1936" s="14">
        <v>1435124.57</v>
      </c>
      <c r="I1936" s="14">
        <v>1500000</v>
      </c>
      <c r="J1936" s="14">
        <v>1435124.57</v>
      </c>
      <c r="K1936" s="12">
        <v>10793606</v>
      </c>
      <c r="L1936" s="10" t="s">
        <v>101</v>
      </c>
      <c r="M1936" s="10" t="s">
        <v>102</v>
      </c>
      <c r="N1936" s="124" t="s">
        <v>475</v>
      </c>
      <c r="O1936" s="124" t="s">
        <v>475</v>
      </c>
      <c r="P1936" s="21">
        <v>30</v>
      </c>
      <c r="Q1936" s="10" t="s">
        <v>54</v>
      </c>
      <c r="R1936" s="10" t="s">
        <v>28</v>
      </c>
      <c r="S1936" s="10"/>
      <c r="T1936" s="10"/>
      <c r="U1936" s="10" t="s">
        <v>3333</v>
      </c>
      <c r="V1936" s="10" t="s">
        <v>3333</v>
      </c>
      <c r="W1936" s="50">
        <f>+J1936/$W$2</f>
        <v>1.7563981232413123E-5</v>
      </c>
    </row>
    <row r="1937" spans="1:29">
      <c r="A1937" s="10" t="s">
        <v>135</v>
      </c>
      <c r="B1937" s="10" t="s">
        <v>358</v>
      </c>
      <c r="C1937" s="124">
        <v>46379</v>
      </c>
      <c r="D1937" s="124" t="s">
        <v>471</v>
      </c>
      <c r="E1937" s="21">
        <v>0.95262959000000003</v>
      </c>
      <c r="F1937" s="10"/>
      <c r="G1937" s="14">
        <v>100000000</v>
      </c>
      <c r="H1937" s="14">
        <v>95262959.230000004</v>
      </c>
      <c r="I1937" s="14">
        <v>100000000</v>
      </c>
      <c r="J1937" s="14">
        <v>95262959.230000004</v>
      </c>
      <c r="K1937" s="12">
        <v>1564</v>
      </c>
      <c r="L1937" s="10" t="s">
        <v>101</v>
      </c>
      <c r="M1937" s="10" t="s">
        <v>102</v>
      </c>
      <c r="N1937" s="124" t="s">
        <v>412</v>
      </c>
      <c r="O1937" s="124" t="s">
        <v>412</v>
      </c>
      <c r="P1937" s="21">
        <v>33</v>
      </c>
      <c r="Q1937" s="10" t="s">
        <v>54</v>
      </c>
      <c r="R1937" s="10" t="s">
        <v>28</v>
      </c>
      <c r="S1937" s="10"/>
      <c r="T1937" s="10"/>
      <c r="U1937" s="10" t="s">
        <v>2815</v>
      </c>
      <c r="V1937" s="10" t="s">
        <v>2815</v>
      </c>
      <c r="W1937" s="50">
        <f>+J1937/$W$2</f>
        <v>1.1658896119797158E-3</v>
      </c>
    </row>
    <row r="1938" spans="1:29">
      <c r="A1938" s="10" t="s">
        <v>438</v>
      </c>
      <c r="B1938" s="10" t="s">
        <v>358</v>
      </c>
      <c r="C1938" s="124">
        <v>46379</v>
      </c>
      <c r="D1938" s="124" t="s">
        <v>471</v>
      </c>
      <c r="E1938" s="21">
        <v>0.96090584999999995</v>
      </c>
      <c r="F1938" s="10"/>
      <c r="G1938" s="14">
        <v>10186597.130000001</v>
      </c>
      <c r="H1938" s="14">
        <v>9788360.8000000007</v>
      </c>
      <c r="I1938" s="14">
        <v>10186597.130000001</v>
      </c>
      <c r="J1938" s="14">
        <v>9788360.8000000007</v>
      </c>
      <c r="K1938" s="12">
        <v>54487131</v>
      </c>
      <c r="L1938" s="10" t="s">
        <v>101</v>
      </c>
      <c r="M1938" s="10" t="s">
        <v>102</v>
      </c>
      <c r="N1938" s="124" t="s">
        <v>471</v>
      </c>
      <c r="O1938" s="124" t="s">
        <v>471</v>
      </c>
      <c r="P1938" s="21">
        <v>27</v>
      </c>
      <c r="Q1938" s="10" t="s">
        <v>54</v>
      </c>
      <c r="R1938" s="10" t="s">
        <v>28</v>
      </c>
      <c r="S1938" s="10"/>
      <c r="T1938" s="10"/>
      <c r="U1938" s="10" t="s">
        <v>4100</v>
      </c>
      <c r="V1938" s="10" t="s">
        <v>4100</v>
      </c>
      <c r="W1938" s="50">
        <f>+J1938/$W$2</f>
        <v>1.1979628039347713E-4</v>
      </c>
    </row>
    <row r="1939" spans="1:29">
      <c r="A1939" s="10" t="s">
        <v>367</v>
      </c>
      <c r="B1939" s="10" t="s">
        <v>358</v>
      </c>
      <c r="C1939" s="124">
        <v>46379</v>
      </c>
      <c r="D1939" s="124" t="s">
        <v>471</v>
      </c>
      <c r="E1939" s="21">
        <v>0.95126405000000003</v>
      </c>
      <c r="F1939" s="10"/>
      <c r="G1939" s="14">
        <v>4000000</v>
      </c>
      <c r="H1939" s="14">
        <v>3805056.22</v>
      </c>
      <c r="I1939" s="14">
        <v>4000000</v>
      </c>
      <c r="J1939" s="14">
        <v>3805056.22</v>
      </c>
      <c r="K1939" s="12">
        <v>90000055</v>
      </c>
      <c r="L1939" s="10" t="s">
        <v>101</v>
      </c>
      <c r="M1939" s="10" t="s">
        <v>102</v>
      </c>
      <c r="N1939" s="124" t="s">
        <v>316</v>
      </c>
      <c r="O1939" s="124" t="s">
        <v>316</v>
      </c>
      <c r="P1939" s="21">
        <v>34</v>
      </c>
      <c r="Q1939" s="10" t="s">
        <v>54</v>
      </c>
      <c r="R1939" s="10" t="s">
        <v>28</v>
      </c>
      <c r="S1939" s="10"/>
      <c r="T1939" s="10"/>
      <c r="U1939" s="10" t="s">
        <v>586</v>
      </c>
      <c r="V1939" s="10" t="s">
        <v>586</v>
      </c>
      <c r="W1939" s="50">
        <f>+J1939/$W$2</f>
        <v>4.6568735170046468E-5</v>
      </c>
    </row>
    <row r="1940" spans="1:29">
      <c r="A1940" s="10" t="s">
        <v>3057</v>
      </c>
      <c r="B1940" s="10" t="s">
        <v>358</v>
      </c>
      <c r="C1940" s="124">
        <v>46379</v>
      </c>
      <c r="D1940" s="124" t="s">
        <v>471</v>
      </c>
      <c r="E1940" s="21">
        <v>0.95262964000000006</v>
      </c>
      <c r="F1940" s="10"/>
      <c r="G1940" s="14">
        <v>1129289.6499999999</v>
      </c>
      <c r="H1940" s="14">
        <v>1075794.79</v>
      </c>
      <c r="I1940" s="14">
        <v>1129289.6499999999</v>
      </c>
      <c r="J1940" s="14">
        <v>1075794.79</v>
      </c>
      <c r="K1940" s="12">
        <v>247</v>
      </c>
      <c r="L1940" s="10" t="s">
        <v>101</v>
      </c>
      <c r="M1940" s="10" t="s">
        <v>102</v>
      </c>
      <c r="N1940" s="124" t="s">
        <v>508</v>
      </c>
      <c r="O1940" s="124" t="s">
        <v>508</v>
      </c>
      <c r="P1940" s="21">
        <v>33</v>
      </c>
      <c r="Q1940" s="10" t="s">
        <v>54</v>
      </c>
      <c r="R1940" s="10" t="s">
        <v>28</v>
      </c>
      <c r="S1940" s="10"/>
      <c r="T1940" s="10"/>
      <c r="U1940" s="10" t="s">
        <v>3023</v>
      </c>
      <c r="V1940" s="10" t="s">
        <v>3023</v>
      </c>
      <c r="W1940" s="50">
        <f>+J1940/$W$2</f>
        <v>1.3166271344297182E-5</v>
      </c>
    </row>
    <row r="1941" spans="1:29">
      <c r="A1941" s="10" t="s">
        <v>3061</v>
      </c>
      <c r="B1941" s="10" t="s">
        <v>358</v>
      </c>
      <c r="C1941" s="124">
        <v>46379</v>
      </c>
      <c r="D1941" s="124" t="s">
        <v>471</v>
      </c>
      <c r="E1941" s="21">
        <v>0.95262964999999999</v>
      </c>
      <c r="F1941" s="10"/>
      <c r="G1941" s="14">
        <v>3275889.74</v>
      </c>
      <c r="H1941" s="14">
        <v>3120709.69</v>
      </c>
      <c r="I1941" s="14">
        <v>3275889.74</v>
      </c>
      <c r="J1941" s="14">
        <v>3120709.69</v>
      </c>
      <c r="K1941" s="12">
        <v>607</v>
      </c>
      <c r="L1941" s="10" t="s">
        <v>101</v>
      </c>
      <c r="M1941" s="10" t="s">
        <v>102</v>
      </c>
      <c r="N1941" s="124" t="s">
        <v>508</v>
      </c>
      <c r="O1941" s="124" t="s">
        <v>508</v>
      </c>
      <c r="P1941" s="21">
        <v>33</v>
      </c>
      <c r="Q1941" s="10" t="s">
        <v>54</v>
      </c>
      <c r="R1941" s="10" t="s">
        <v>28</v>
      </c>
      <c r="S1941" s="10"/>
      <c r="T1941" s="10"/>
      <c r="U1941" s="10" t="s">
        <v>3051</v>
      </c>
      <c r="V1941" s="10" t="s">
        <v>3051</v>
      </c>
      <c r="W1941" s="50">
        <f>+J1941/$W$2</f>
        <v>3.819326041290602E-5</v>
      </c>
    </row>
    <row r="1942" spans="1:29">
      <c r="A1942" s="10" t="s">
        <v>3312</v>
      </c>
      <c r="B1942" s="10" t="s">
        <v>358</v>
      </c>
      <c r="C1942" s="124">
        <v>46379</v>
      </c>
      <c r="D1942" s="124" t="s">
        <v>471</v>
      </c>
      <c r="E1942" s="21">
        <v>0.95262961000000002</v>
      </c>
      <c r="F1942" s="10"/>
      <c r="G1942" s="14">
        <v>1418543.31</v>
      </c>
      <c r="H1942" s="14">
        <v>1351346.36</v>
      </c>
      <c r="I1942" s="14">
        <v>1418543.31</v>
      </c>
      <c r="J1942" s="14">
        <v>1351346.36</v>
      </c>
      <c r="K1942" s="12">
        <v>2126</v>
      </c>
      <c r="L1942" s="10" t="s">
        <v>101</v>
      </c>
      <c r="M1942" s="10" t="s">
        <v>102</v>
      </c>
      <c r="N1942" s="124" t="s">
        <v>417</v>
      </c>
      <c r="O1942" s="124" t="s">
        <v>417</v>
      </c>
      <c r="P1942" s="21">
        <v>33</v>
      </c>
      <c r="Q1942" s="10" t="s">
        <v>54</v>
      </c>
      <c r="R1942" s="10" t="s">
        <v>28</v>
      </c>
      <c r="S1942" s="10"/>
      <c r="T1942" s="10"/>
      <c r="U1942" s="10" t="s">
        <v>3236</v>
      </c>
      <c r="V1942" s="10" t="s">
        <v>3236</v>
      </c>
      <c r="W1942" s="50">
        <f>+J1942/$W$2</f>
        <v>1.6538649397891493E-5</v>
      </c>
    </row>
    <row r="1943" spans="1:29">
      <c r="A1943" s="10" t="s">
        <v>3313</v>
      </c>
      <c r="B1943" s="10" t="s">
        <v>358</v>
      </c>
      <c r="C1943" s="124">
        <v>46379</v>
      </c>
      <c r="D1943" s="124" t="s">
        <v>471</v>
      </c>
      <c r="E1943" s="21">
        <v>0.95262959999999997</v>
      </c>
      <c r="F1943" s="10"/>
      <c r="G1943" s="14">
        <v>1088222</v>
      </c>
      <c r="H1943" s="14">
        <v>1036672.49</v>
      </c>
      <c r="I1943" s="14">
        <v>1088222</v>
      </c>
      <c r="J1943" s="14">
        <v>1036672.49</v>
      </c>
      <c r="K1943" s="12">
        <v>835</v>
      </c>
      <c r="L1943" s="10" t="s">
        <v>101</v>
      </c>
      <c r="M1943" s="10" t="s">
        <v>102</v>
      </c>
      <c r="N1943" s="124" t="s">
        <v>417</v>
      </c>
      <c r="O1943" s="124" t="s">
        <v>417</v>
      </c>
      <c r="P1943" s="21">
        <v>33</v>
      </c>
      <c r="Q1943" s="10" t="s">
        <v>54</v>
      </c>
      <c r="R1943" s="10" t="s">
        <v>28</v>
      </c>
      <c r="S1943" s="10"/>
      <c r="T1943" s="10"/>
      <c r="U1943" s="10" t="s">
        <v>3253</v>
      </c>
      <c r="V1943" s="10" t="s">
        <v>3253</v>
      </c>
      <c r="W1943" s="50">
        <f>+J1943/$W$2</f>
        <v>1.2687467373315878E-5</v>
      </c>
      <c r="AC1943" s="47"/>
    </row>
    <row r="1944" spans="1:29">
      <c r="A1944" s="10" t="s">
        <v>3315</v>
      </c>
      <c r="B1944" s="10" t="s">
        <v>358</v>
      </c>
      <c r="C1944" s="124">
        <v>46379</v>
      </c>
      <c r="D1944" s="124" t="s">
        <v>471</v>
      </c>
      <c r="E1944" s="21">
        <v>0.95262959000000003</v>
      </c>
      <c r="F1944" s="10"/>
      <c r="G1944" s="14">
        <v>290287.13</v>
      </c>
      <c r="H1944" s="14">
        <v>276536.11</v>
      </c>
      <c r="I1944" s="14">
        <v>290287.13</v>
      </c>
      <c r="J1944" s="14">
        <v>276536.11</v>
      </c>
      <c r="K1944" s="12">
        <v>1501</v>
      </c>
      <c r="L1944" s="10" t="s">
        <v>101</v>
      </c>
      <c r="M1944" s="10" t="s">
        <v>102</v>
      </c>
      <c r="N1944" s="124" t="s">
        <v>417</v>
      </c>
      <c r="O1944" s="124" t="s">
        <v>417</v>
      </c>
      <c r="P1944" s="21">
        <v>33</v>
      </c>
      <c r="Q1944" s="10" t="s">
        <v>54</v>
      </c>
      <c r="R1944" s="10" t="s">
        <v>28</v>
      </c>
      <c r="S1944" s="10"/>
      <c r="T1944" s="10"/>
      <c r="U1944" s="10" t="s">
        <v>3255</v>
      </c>
      <c r="V1944" s="10" t="s">
        <v>3255</v>
      </c>
      <c r="W1944" s="50">
        <f>+J1944/$W$2</f>
        <v>3.3844274898899756E-6</v>
      </c>
    </row>
    <row r="1945" spans="1:29">
      <c r="A1945" s="10" t="s">
        <v>379</v>
      </c>
      <c r="B1945" s="10" t="s">
        <v>358</v>
      </c>
      <c r="C1945" s="124">
        <v>46379</v>
      </c>
      <c r="D1945" s="124" t="s">
        <v>471</v>
      </c>
      <c r="E1945" s="21">
        <v>0.95813104000000004</v>
      </c>
      <c r="F1945" s="10"/>
      <c r="G1945" s="14">
        <v>10000000</v>
      </c>
      <c r="H1945" s="14">
        <v>9581310.4399999995</v>
      </c>
      <c r="I1945" s="14">
        <v>10000000</v>
      </c>
      <c r="J1945" s="14">
        <v>9581310.4399999995</v>
      </c>
      <c r="K1945" s="12">
        <v>90002277</v>
      </c>
      <c r="L1945" s="10" t="s">
        <v>101</v>
      </c>
      <c r="M1945" s="10" t="s">
        <v>102</v>
      </c>
      <c r="N1945" s="124" t="s">
        <v>576</v>
      </c>
      <c r="O1945" s="124" t="s">
        <v>576</v>
      </c>
      <c r="P1945" s="21">
        <v>29</v>
      </c>
      <c r="Q1945" s="10" t="s">
        <v>54</v>
      </c>
      <c r="R1945" s="10" t="s">
        <v>28</v>
      </c>
      <c r="S1945" s="10"/>
      <c r="T1945" s="10"/>
      <c r="U1945" s="10" t="s">
        <v>2352</v>
      </c>
      <c r="V1945" s="10" t="s">
        <v>2352</v>
      </c>
      <c r="W1945" s="50">
        <f>+J1945/$W$2</f>
        <v>1.1726226438314265E-4</v>
      </c>
    </row>
    <row r="1946" spans="1:29">
      <c r="A1946" s="10" t="s">
        <v>3319</v>
      </c>
      <c r="B1946" s="10" t="s">
        <v>358</v>
      </c>
      <c r="C1946" s="124">
        <v>46379</v>
      </c>
      <c r="D1946" s="124" t="s">
        <v>471</v>
      </c>
      <c r="E1946" s="21">
        <v>0.95262961000000002</v>
      </c>
      <c r="F1946" s="10"/>
      <c r="G1946" s="14">
        <v>1800000</v>
      </c>
      <c r="H1946" s="14">
        <v>1714733.3</v>
      </c>
      <c r="I1946" s="14">
        <v>1800000</v>
      </c>
      <c r="J1946" s="14">
        <v>1714733.3</v>
      </c>
      <c r="K1946" s="12">
        <v>30000444</v>
      </c>
      <c r="L1946" s="10" t="s">
        <v>101</v>
      </c>
      <c r="M1946" s="10" t="s">
        <v>102</v>
      </c>
      <c r="N1946" s="124" t="s">
        <v>417</v>
      </c>
      <c r="O1946" s="124" t="s">
        <v>417</v>
      </c>
      <c r="P1946" s="21">
        <v>33</v>
      </c>
      <c r="Q1946" s="10" t="s">
        <v>54</v>
      </c>
      <c r="R1946" s="10" t="s">
        <v>28</v>
      </c>
      <c r="S1946" s="10"/>
      <c r="T1946" s="10"/>
      <c r="U1946" s="10" t="s">
        <v>3294</v>
      </c>
      <c r="V1946" s="10" t="s">
        <v>3294</v>
      </c>
      <c r="W1946" s="50">
        <f>+J1946/$W$2</f>
        <v>2.098601343003543E-5</v>
      </c>
    </row>
    <row r="1947" spans="1:29">
      <c r="A1947" s="10" t="s">
        <v>2440</v>
      </c>
      <c r="B1947" s="10" t="s">
        <v>358</v>
      </c>
      <c r="C1947" s="124">
        <v>46379</v>
      </c>
      <c r="D1947" s="124" t="s">
        <v>471</v>
      </c>
      <c r="E1947" s="21">
        <v>0.95813106999999997</v>
      </c>
      <c r="F1947" s="10"/>
      <c r="G1947" s="14">
        <v>474646.69</v>
      </c>
      <c r="H1947" s="14">
        <v>454773.74</v>
      </c>
      <c r="I1947" s="14">
        <v>474646.69</v>
      </c>
      <c r="J1947" s="14">
        <v>454773.74</v>
      </c>
      <c r="K1947" s="12">
        <v>11204219</v>
      </c>
      <c r="L1947" s="10" t="s">
        <v>101</v>
      </c>
      <c r="M1947" s="10" t="s">
        <v>102</v>
      </c>
      <c r="N1947" s="124" t="s">
        <v>467</v>
      </c>
      <c r="O1947" s="124" t="s">
        <v>467</v>
      </c>
      <c r="P1947" s="21">
        <v>29</v>
      </c>
      <c r="Q1947" s="10" t="s">
        <v>54</v>
      </c>
      <c r="R1947" s="10" t="s">
        <v>28</v>
      </c>
      <c r="S1947" s="10"/>
      <c r="T1947" s="10"/>
      <c r="U1947" s="10" t="s">
        <v>3732</v>
      </c>
      <c r="V1947" s="10" t="s">
        <v>3732</v>
      </c>
      <c r="W1947" s="50">
        <f>+J1947/$W$2</f>
        <v>5.5658147044018097E-6</v>
      </c>
    </row>
    <row r="1948" spans="1:29">
      <c r="A1948" s="10" t="s">
        <v>2486</v>
      </c>
      <c r="B1948" s="10" t="s">
        <v>358</v>
      </c>
      <c r="C1948" s="124">
        <v>46379</v>
      </c>
      <c r="D1948" s="124" t="s">
        <v>471</v>
      </c>
      <c r="E1948" s="21">
        <v>0.95262970999999996</v>
      </c>
      <c r="F1948" s="10"/>
      <c r="G1948" s="14">
        <v>80000000</v>
      </c>
      <c r="H1948" s="14">
        <v>76210376.900000006</v>
      </c>
      <c r="I1948" s="14">
        <v>80000000</v>
      </c>
      <c r="J1948" s="14">
        <v>76210376.900000006</v>
      </c>
      <c r="K1948" s="12">
        <v>20885</v>
      </c>
      <c r="L1948" s="10" t="s">
        <v>101</v>
      </c>
      <c r="M1948" s="10" t="s">
        <v>102</v>
      </c>
      <c r="N1948" s="124" t="s">
        <v>464</v>
      </c>
      <c r="O1948" s="124" t="s">
        <v>464</v>
      </c>
      <c r="P1948" s="21">
        <v>33</v>
      </c>
      <c r="Q1948" s="10" t="s">
        <v>54</v>
      </c>
      <c r="R1948" s="10" t="s">
        <v>28</v>
      </c>
      <c r="S1948" s="10"/>
      <c r="T1948" s="10"/>
      <c r="U1948" s="10" t="s">
        <v>2546</v>
      </c>
      <c r="V1948" s="10" t="s">
        <v>2546</v>
      </c>
      <c r="W1948" s="50">
        <f>+J1948/$W$2</f>
        <v>9.327118060467257E-4</v>
      </c>
      <c r="AC1948" s="47"/>
    </row>
    <row r="1949" spans="1:29">
      <c r="A1949" s="10" t="s">
        <v>2486</v>
      </c>
      <c r="B1949" s="10" t="s">
        <v>358</v>
      </c>
      <c r="C1949" s="124">
        <v>46379</v>
      </c>
      <c r="D1949" s="124" t="s">
        <v>471</v>
      </c>
      <c r="E1949" s="21">
        <v>0.95399895999999995</v>
      </c>
      <c r="F1949" s="10"/>
      <c r="G1949" s="14">
        <v>75000000</v>
      </c>
      <c r="H1949" s="14">
        <v>71549921.900000006</v>
      </c>
      <c r="I1949" s="14">
        <v>75000000</v>
      </c>
      <c r="J1949" s="14">
        <v>71549921.900000006</v>
      </c>
      <c r="K1949" s="12">
        <v>21568</v>
      </c>
      <c r="L1949" s="10" t="s">
        <v>101</v>
      </c>
      <c r="M1949" s="10" t="s">
        <v>102</v>
      </c>
      <c r="N1949" s="124" t="s">
        <v>466</v>
      </c>
      <c r="O1949" s="124" t="s">
        <v>466</v>
      </c>
      <c r="P1949" s="21">
        <v>32</v>
      </c>
      <c r="Q1949" s="10" t="s">
        <v>54</v>
      </c>
      <c r="R1949" s="10" t="s">
        <v>28</v>
      </c>
      <c r="S1949" s="10"/>
      <c r="T1949" s="10"/>
      <c r="U1949" s="10" t="s">
        <v>3634</v>
      </c>
      <c r="V1949" s="10" t="s">
        <v>3634</v>
      </c>
      <c r="W1949" s="50">
        <f>+J1949/$W$2</f>
        <v>8.7567414822549146E-4</v>
      </c>
    </row>
    <row r="1950" spans="1:29">
      <c r="A1950" s="10" t="s">
        <v>2674</v>
      </c>
      <c r="B1950" s="10" t="s">
        <v>358</v>
      </c>
      <c r="C1950" s="124">
        <v>46379</v>
      </c>
      <c r="D1950" s="124" t="s">
        <v>471</v>
      </c>
      <c r="E1950" s="21">
        <v>0.95399895999999995</v>
      </c>
      <c r="F1950" s="10"/>
      <c r="G1950" s="14">
        <v>62500000</v>
      </c>
      <c r="H1950" s="14">
        <v>59624934.909999996</v>
      </c>
      <c r="I1950" s="14">
        <v>62500000</v>
      </c>
      <c r="J1950" s="14">
        <v>59624934.909999996</v>
      </c>
      <c r="K1950" s="12">
        <v>5765</v>
      </c>
      <c r="L1950" s="10" t="s">
        <v>101</v>
      </c>
      <c r="M1950" s="10" t="s">
        <v>102</v>
      </c>
      <c r="N1950" s="124" t="s">
        <v>466</v>
      </c>
      <c r="O1950" s="124" t="s">
        <v>466</v>
      </c>
      <c r="P1950" s="21">
        <v>32</v>
      </c>
      <c r="Q1950" s="10" t="s">
        <v>54</v>
      </c>
      <c r="R1950" s="10" t="s">
        <v>28</v>
      </c>
      <c r="S1950" s="10"/>
      <c r="T1950" s="10"/>
      <c r="U1950" s="10" t="s">
        <v>3643</v>
      </c>
      <c r="V1950" s="10" t="s">
        <v>3643</v>
      </c>
      <c r="W1950" s="50">
        <f>+J1950/$W$2</f>
        <v>7.2972845677298512E-4</v>
      </c>
    </row>
    <row r="1951" spans="1:29">
      <c r="A1951" s="10" t="s">
        <v>2741</v>
      </c>
      <c r="B1951" s="10" t="s">
        <v>358</v>
      </c>
      <c r="C1951" s="124">
        <v>46379</v>
      </c>
      <c r="D1951" s="124" t="s">
        <v>471</v>
      </c>
      <c r="E1951" s="21">
        <v>0.95399895999999995</v>
      </c>
      <c r="F1951" s="10"/>
      <c r="G1951" s="14">
        <v>75000000</v>
      </c>
      <c r="H1951" s="14">
        <v>71549921.900000006</v>
      </c>
      <c r="I1951" s="14">
        <v>75000000</v>
      </c>
      <c r="J1951" s="14">
        <v>71549921.900000006</v>
      </c>
      <c r="K1951" s="12">
        <v>583</v>
      </c>
      <c r="L1951" s="10" t="s">
        <v>101</v>
      </c>
      <c r="M1951" s="10" t="s">
        <v>102</v>
      </c>
      <c r="N1951" s="124" t="s">
        <v>466</v>
      </c>
      <c r="O1951" s="124" t="s">
        <v>466</v>
      </c>
      <c r="P1951" s="21">
        <v>32</v>
      </c>
      <c r="Q1951" s="10" t="s">
        <v>54</v>
      </c>
      <c r="R1951" s="10" t="s">
        <v>28</v>
      </c>
      <c r="S1951" s="10"/>
      <c r="T1951" s="10"/>
      <c r="U1951" s="10" t="s">
        <v>3649</v>
      </c>
      <c r="V1951" s="10" t="s">
        <v>3649</v>
      </c>
      <c r="W1951" s="50">
        <f>+J1951/$W$2</f>
        <v>8.7567414822549146E-4</v>
      </c>
    </row>
    <row r="1952" spans="1:29">
      <c r="A1952" s="10" t="s">
        <v>2016</v>
      </c>
      <c r="B1952" s="10" t="s">
        <v>358</v>
      </c>
      <c r="C1952" s="124">
        <v>46384</v>
      </c>
      <c r="D1952" s="124" t="s">
        <v>471</v>
      </c>
      <c r="E1952" s="21">
        <v>0.95449797999999997</v>
      </c>
      <c r="F1952" s="10"/>
      <c r="G1952" s="14">
        <v>3889452.32</v>
      </c>
      <c r="H1952" s="14">
        <v>3712474.39</v>
      </c>
      <c r="I1952" s="14">
        <v>3889452.32</v>
      </c>
      <c r="J1952" s="14">
        <v>3712474.39</v>
      </c>
      <c r="K1952" s="12">
        <v>9792739</v>
      </c>
      <c r="L1952" s="10" t="s">
        <v>101</v>
      </c>
      <c r="M1952" s="10" t="s">
        <v>102</v>
      </c>
      <c r="N1952" s="124" t="s">
        <v>469</v>
      </c>
      <c r="O1952" s="124" t="s">
        <v>469</v>
      </c>
      <c r="P1952" s="21">
        <v>29</v>
      </c>
      <c r="Q1952" s="10" t="s">
        <v>54</v>
      </c>
      <c r="R1952" s="10" t="s">
        <v>28</v>
      </c>
      <c r="S1952" s="10"/>
      <c r="T1952" s="10"/>
      <c r="U1952" s="10" t="s">
        <v>3916</v>
      </c>
      <c r="V1952" s="10" t="s">
        <v>3916</v>
      </c>
      <c r="W1952" s="50">
        <f>+J1952/$W$2</f>
        <v>4.5435658948947099E-5</v>
      </c>
      <c r="AC1952" s="47"/>
    </row>
    <row r="1953" spans="1:29">
      <c r="A1953" s="10" t="s">
        <v>379</v>
      </c>
      <c r="B1953" s="10" t="s">
        <v>358</v>
      </c>
      <c r="C1953" s="124">
        <v>46384</v>
      </c>
      <c r="D1953" s="124" t="s">
        <v>471</v>
      </c>
      <c r="E1953" s="21">
        <v>0.95901217000000005</v>
      </c>
      <c r="F1953" s="10"/>
      <c r="G1953" s="14">
        <v>20000000</v>
      </c>
      <c r="H1953" s="14">
        <v>19180243.329999998</v>
      </c>
      <c r="I1953" s="14">
        <v>20000000</v>
      </c>
      <c r="J1953" s="14">
        <v>19180243.329999998</v>
      </c>
      <c r="K1953" s="12">
        <v>79700363</v>
      </c>
      <c r="L1953" s="10" t="s">
        <v>101</v>
      </c>
      <c r="M1953" s="10" t="s">
        <v>102</v>
      </c>
      <c r="N1953" s="124" t="s">
        <v>342</v>
      </c>
      <c r="O1953" s="124" t="s">
        <v>342</v>
      </c>
      <c r="P1953" s="21">
        <v>26</v>
      </c>
      <c r="Q1953" s="10" t="s">
        <v>54</v>
      </c>
      <c r="R1953" s="10" t="s">
        <v>28</v>
      </c>
      <c r="S1953" s="10"/>
      <c r="T1953" s="10"/>
      <c r="U1953" s="10" t="s">
        <v>757</v>
      </c>
      <c r="V1953" s="10" t="s">
        <v>757</v>
      </c>
      <c r="W1953" s="50">
        <f>+J1953/$W$2</f>
        <v>2.3474020368924277E-4</v>
      </c>
    </row>
    <row r="1954" spans="1:29">
      <c r="A1954" s="10" t="s">
        <v>334</v>
      </c>
      <c r="B1954" s="10" t="s">
        <v>358</v>
      </c>
      <c r="C1954" s="124">
        <v>46384</v>
      </c>
      <c r="D1954" s="124" t="s">
        <v>471</v>
      </c>
      <c r="E1954" s="21">
        <v>0.94412834999999995</v>
      </c>
      <c r="F1954" s="10"/>
      <c r="G1954" s="14">
        <v>3105640.28</v>
      </c>
      <c r="H1954" s="14">
        <v>2932123.04</v>
      </c>
      <c r="I1954" s="14">
        <v>3105640.28</v>
      </c>
      <c r="J1954" s="14">
        <v>2932123.04</v>
      </c>
      <c r="K1954" s="12">
        <v>3400</v>
      </c>
      <c r="L1954" s="10" t="s">
        <v>101</v>
      </c>
      <c r="M1954" s="10" t="s">
        <v>102</v>
      </c>
      <c r="N1954" s="124" t="s">
        <v>486</v>
      </c>
      <c r="O1954" s="124" t="s">
        <v>486</v>
      </c>
      <c r="P1954" s="21">
        <v>36</v>
      </c>
      <c r="Q1954" s="10" t="s">
        <v>54</v>
      </c>
      <c r="R1954" s="10" t="s">
        <v>28</v>
      </c>
      <c r="S1954" s="10"/>
      <c r="T1954" s="10"/>
      <c r="U1954" s="10" t="s">
        <v>1481</v>
      </c>
      <c r="V1954" s="10" t="s">
        <v>1481</v>
      </c>
      <c r="W1954" s="50">
        <f>+J1954/$W$2</f>
        <v>3.5885215208660327E-5</v>
      </c>
    </row>
    <row r="1955" spans="1:29">
      <c r="A1955" s="10" t="s">
        <v>401</v>
      </c>
      <c r="B1955" s="10" t="s">
        <v>358</v>
      </c>
      <c r="C1955" s="124">
        <v>46384</v>
      </c>
      <c r="D1955" s="124" t="s">
        <v>471</v>
      </c>
      <c r="E1955" s="21">
        <v>0.95750263000000002</v>
      </c>
      <c r="F1955" s="10"/>
      <c r="G1955" s="14">
        <v>250000000</v>
      </c>
      <c r="H1955" s="14">
        <v>239375657.69999999</v>
      </c>
      <c r="I1955" s="14">
        <v>250000000</v>
      </c>
      <c r="J1955" s="14">
        <v>239375657.69999999</v>
      </c>
      <c r="K1955" s="12">
        <v>13199</v>
      </c>
      <c r="L1955" s="10" t="s">
        <v>101</v>
      </c>
      <c r="M1955" s="10" t="s">
        <v>102</v>
      </c>
      <c r="N1955" s="124" t="s">
        <v>397</v>
      </c>
      <c r="O1955" s="124" t="s">
        <v>397</v>
      </c>
      <c r="P1955" s="21">
        <v>27</v>
      </c>
      <c r="Q1955" s="10" t="s">
        <v>54</v>
      </c>
      <c r="R1955" s="10" t="s">
        <v>28</v>
      </c>
      <c r="S1955" s="10"/>
      <c r="T1955" s="10"/>
      <c r="U1955" s="10" t="s">
        <v>1837</v>
      </c>
      <c r="V1955" s="10" t="s">
        <v>1837</v>
      </c>
      <c r="W1955" s="50">
        <f>+J1955/$W$2</f>
        <v>2.9296338779422801E-3</v>
      </c>
    </row>
    <row r="1956" spans="1:29">
      <c r="A1956" s="10" t="s">
        <v>2016</v>
      </c>
      <c r="B1956" s="10" t="s">
        <v>358</v>
      </c>
      <c r="C1956" s="124">
        <v>46384</v>
      </c>
      <c r="D1956" s="124" t="s">
        <v>471</v>
      </c>
      <c r="E1956" s="21">
        <v>0.95901212000000002</v>
      </c>
      <c r="F1956" s="10"/>
      <c r="G1956" s="14">
        <v>8752704.4100000001</v>
      </c>
      <c r="H1956" s="14">
        <v>8393949.6500000004</v>
      </c>
      <c r="I1956" s="14">
        <v>8752704.4100000001</v>
      </c>
      <c r="J1956" s="14">
        <v>8393949.6500000004</v>
      </c>
      <c r="K1956" s="12">
        <v>69934207</v>
      </c>
      <c r="L1956" s="10" t="s">
        <v>101</v>
      </c>
      <c r="M1956" s="10" t="s">
        <v>102</v>
      </c>
      <c r="N1956" s="124" t="s">
        <v>477</v>
      </c>
      <c r="O1956" s="124" t="s">
        <v>477</v>
      </c>
      <c r="P1956" s="21">
        <v>26</v>
      </c>
      <c r="Q1956" s="10" t="s">
        <v>54</v>
      </c>
      <c r="R1956" s="10" t="s">
        <v>28</v>
      </c>
      <c r="S1956" s="10"/>
      <c r="T1956" s="10"/>
      <c r="U1956" s="10" t="s">
        <v>2379</v>
      </c>
      <c r="V1956" s="10" t="s">
        <v>2379</v>
      </c>
      <c r="W1956" s="50">
        <f>+J1956/$W$2</f>
        <v>1.0273057628608553E-4</v>
      </c>
    </row>
    <row r="1957" spans="1:29">
      <c r="A1957" s="10" t="s">
        <v>1758</v>
      </c>
      <c r="B1957" s="10" t="s">
        <v>358</v>
      </c>
      <c r="C1957" s="124">
        <v>46384</v>
      </c>
      <c r="D1957" s="124" t="s">
        <v>471</v>
      </c>
      <c r="E1957" s="21">
        <v>0.95002611999999997</v>
      </c>
      <c r="F1957" s="10"/>
      <c r="G1957" s="14">
        <v>1620000</v>
      </c>
      <c r="H1957" s="14">
        <v>1539042.32</v>
      </c>
      <c r="I1957" s="14">
        <v>1620000</v>
      </c>
      <c r="J1957" s="14">
        <v>1539042.32</v>
      </c>
      <c r="K1957" s="12">
        <v>3410388</v>
      </c>
      <c r="L1957" s="10" t="s">
        <v>101</v>
      </c>
      <c r="M1957" s="10" t="s">
        <v>102</v>
      </c>
      <c r="N1957" s="124" t="s">
        <v>398</v>
      </c>
      <c r="O1957" s="124" t="s">
        <v>398</v>
      </c>
      <c r="P1957" s="21">
        <v>32</v>
      </c>
      <c r="Q1957" s="10" t="s">
        <v>54</v>
      </c>
      <c r="R1957" s="10" t="s">
        <v>28</v>
      </c>
      <c r="S1957" s="10"/>
      <c r="T1957" s="10"/>
      <c r="U1957" s="10" t="s">
        <v>1723</v>
      </c>
      <c r="V1957" s="10" t="s">
        <v>1723</v>
      </c>
      <c r="W1957" s="50">
        <f>+J1957/$W$2</f>
        <v>1.8835793762746011E-5</v>
      </c>
    </row>
    <row r="1958" spans="1:29">
      <c r="A1958" s="10" t="s">
        <v>453</v>
      </c>
      <c r="B1958" s="10" t="s">
        <v>358</v>
      </c>
      <c r="C1958" s="124">
        <v>46384</v>
      </c>
      <c r="D1958" s="124" t="s">
        <v>471</v>
      </c>
      <c r="E1958" s="21">
        <v>0.95599798999999996</v>
      </c>
      <c r="F1958" s="10"/>
      <c r="G1958" s="14">
        <v>20000000</v>
      </c>
      <c r="H1958" s="14">
        <v>19119959.75</v>
      </c>
      <c r="I1958" s="14">
        <v>20000000</v>
      </c>
      <c r="J1958" s="14">
        <v>19119959.75</v>
      </c>
      <c r="K1958" s="12">
        <v>20411015</v>
      </c>
      <c r="L1958" s="10" t="s">
        <v>101</v>
      </c>
      <c r="M1958" s="10" t="s">
        <v>102</v>
      </c>
      <c r="N1958" s="124" t="s">
        <v>317</v>
      </c>
      <c r="O1958" s="124" t="s">
        <v>317</v>
      </c>
      <c r="P1958" s="21">
        <v>28</v>
      </c>
      <c r="Q1958" s="10" t="s">
        <v>54</v>
      </c>
      <c r="R1958" s="10" t="s">
        <v>28</v>
      </c>
      <c r="S1958" s="10"/>
      <c r="T1958" s="10"/>
      <c r="U1958" s="10" t="s">
        <v>626</v>
      </c>
      <c r="V1958" s="10" t="s">
        <v>626</v>
      </c>
      <c r="W1958" s="50">
        <f>+J1958/$W$2</f>
        <v>2.3400241430853231E-4</v>
      </c>
    </row>
    <row r="1959" spans="1:29">
      <c r="A1959" s="10" t="s">
        <v>141</v>
      </c>
      <c r="B1959" s="10" t="s">
        <v>358</v>
      </c>
      <c r="C1959" s="124">
        <v>46384</v>
      </c>
      <c r="D1959" s="124" t="s">
        <v>471</v>
      </c>
      <c r="E1959" s="21">
        <v>0.94854483000000001</v>
      </c>
      <c r="F1959" s="10"/>
      <c r="G1959" s="14">
        <v>33500000</v>
      </c>
      <c r="H1959" s="14">
        <v>31776251.760000002</v>
      </c>
      <c r="I1959" s="14">
        <v>33500000</v>
      </c>
      <c r="J1959" s="14">
        <v>31776251.760000002</v>
      </c>
      <c r="K1959" s="12">
        <v>301</v>
      </c>
      <c r="L1959" s="10" t="s">
        <v>101</v>
      </c>
      <c r="M1959" s="10" t="s">
        <v>102</v>
      </c>
      <c r="N1959" s="124" t="s">
        <v>439</v>
      </c>
      <c r="O1959" s="124" t="s">
        <v>439</v>
      </c>
      <c r="P1959" s="21">
        <v>33</v>
      </c>
      <c r="Q1959" s="10" t="s">
        <v>54</v>
      </c>
      <c r="R1959" s="10" t="s">
        <v>28</v>
      </c>
      <c r="S1959" s="10"/>
      <c r="T1959" s="10"/>
      <c r="U1959" s="10" t="s">
        <v>2252</v>
      </c>
      <c r="V1959" s="10" t="s">
        <v>2252</v>
      </c>
      <c r="W1959" s="50">
        <f>+J1959/$W$2</f>
        <v>3.8889828884267129E-4</v>
      </c>
      <c r="AC1959" s="47"/>
    </row>
    <row r="1960" spans="1:29">
      <c r="A1960" s="10" t="s">
        <v>1090</v>
      </c>
      <c r="B1960" s="10" t="s">
        <v>358</v>
      </c>
      <c r="C1960" s="124">
        <v>46384</v>
      </c>
      <c r="D1960" s="124" t="s">
        <v>471</v>
      </c>
      <c r="E1960" s="21">
        <v>0.95300262000000002</v>
      </c>
      <c r="F1960" s="10"/>
      <c r="G1960" s="14">
        <v>50000000</v>
      </c>
      <c r="H1960" s="14">
        <v>47650131.219999999</v>
      </c>
      <c r="I1960" s="14">
        <v>50000000</v>
      </c>
      <c r="J1960" s="14">
        <v>47650131.219999999</v>
      </c>
      <c r="K1960" s="12">
        <v>197098</v>
      </c>
      <c r="L1960" s="10" t="s">
        <v>101</v>
      </c>
      <c r="M1960" s="10" t="s">
        <v>102</v>
      </c>
      <c r="N1960" s="124" t="s">
        <v>161</v>
      </c>
      <c r="O1960" s="124" t="s">
        <v>161</v>
      </c>
      <c r="P1960" s="21">
        <v>30</v>
      </c>
      <c r="Q1960" s="10" t="s">
        <v>54</v>
      </c>
      <c r="R1960" s="10" t="s">
        <v>28</v>
      </c>
      <c r="S1960" s="10"/>
      <c r="T1960" s="10"/>
      <c r="U1960" s="10" t="s">
        <v>1041</v>
      </c>
      <c r="V1960" s="10" t="s">
        <v>1041</v>
      </c>
      <c r="W1960" s="50">
        <f>+J1960/$W$2</f>
        <v>5.8317307637629156E-4</v>
      </c>
      <c r="AC1960" s="47"/>
    </row>
    <row r="1961" spans="1:29">
      <c r="A1961" s="10" t="s">
        <v>1091</v>
      </c>
      <c r="B1961" s="10" t="s">
        <v>358</v>
      </c>
      <c r="C1961" s="124">
        <v>46384</v>
      </c>
      <c r="D1961" s="124" t="s">
        <v>471</v>
      </c>
      <c r="E1961" s="21">
        <v>0.95300262000000002</v>
      </c>
      <c r="F1961" s="10"/>
      <c r="G1961" s="14">
        <v>50000000</v>
      </c>
      <c r="H1961" s="14">
        <v>47650131.219999999</v>
      </c>
      <c r="I1961" s="14">
        <v>50000000</v>
      </c>
      <c r="J1961" s="14">
        <v>47650131.219999999</v>
      </c>
      <c r="K1961" s="12">
        <v>196471</v>
      </c>
      <c r="L1961" s="10" t="s">
        <v>101</v>
      </c>
      <c r="M1961" s="10" t="s">
        <v>102</v>
      </c>
      <c r="N1961" s="124" t="s">
        <v>161</v>
      </c>
      <c r="O1961" s="124" t="s">
        <v>161</v>
      </c>
      <c r="P1961" s="21">
        <v>30</v>
      </c>
      <c r="Q1961" s="10" t="s">
        <v>54</v>
      </c>
      <c r="R1961" s="10" t="s">
        <v>28</v>
      </c>
      <c r="S1961" s="10"/>
      <c r="T1961" s="10"/>
      <c r="U1961" s="10" t="s">
        <v>1044</v>
      </c>
      <c r="V1961" s="10" t="s">
        <v>1044</v>
      </c>
      <c r="W1961" s="50">
        <f>+J1961/$W$2</f>
        <v>5.8317307637629156E-4</v>
      </c>
    </row>
    <row r="1962" spans="1:29">
      <c r="A1962" s="10" t="s">
        <v>3322</v>
      </c>
      <c r="B1962" s="10" t="s">
        <v>358</v>
      </c>
      <c r="C1962" s="124">
        <v>46384</v>
      </c>
      <c r="D1962" s="124" t="s">
        <v>471</v>
      </c>
      <c r="E1962" s="21">
        <v>0.94854468000000003</v>
      </c>
      <c r="F1962" s="10"/>
      <c r="G1962" s="14">
        <v>528139.15</v>
      </c>
      <c r="H1962" s="14">
        <v>500963.58</v>
      </c>
      <c r="I1962" s="14">
        <v>528139.15</v>
      </c>
      <c r="J1962" s="14">
        <v>500963.58</v>
      </c>
      <c r="K1962" s="12">
        <v>17709</v>
      </c>
      <c r="L1962" s="10" t="s">
        <v>101</v>
      </c>
      <c r="M1962" s="10" t="s">
        <v>102</v>
      </c>
      <c r="N1962" s="124" t="s">
        <v>417</v>
      </c>
      <c r="O1962" s="124" t="s">
        <v>417</v>
      </c>
      <c r="P1962" s="21">
        <v>33</v>
      </c>
      <c r="Q1962" s="10" t="s">
        <v>54</v>
      </c>
      <c r="R1962" s="10" t="s">
        <v>28</v>
      </c>
      <c r="S1962" s="10"/>
      <c r="T1962" s="10"/>
      <c r="U1962" s="10" t="s">
        <v>3234</v>
      </c>
      <c r="V1962" s="10" t="s">
        <v>3234</v>
      </c>
      <c r="W1962" s="50">
        <f>+J1962/$W$2</f>
        <v>6.1311157938313955E-6</v>
      </c>
    </row>
    <row r="1963" spans="1:29">
      <c r="A1963" s="10" t="s">
        <v>206</v>
      </c>
      <c r="B1963" s="10" t="s">
        <v>358</v>
      </c>
      <c r="C1963" s="124">
        <v>46384</v>
      </c>
      <c r="D1963" s="124" t="s">
        <v>471</v>
      </c>
      <c r="E1963" s="21">
        <v>0.94854472999999995</v>
      </c>
      <c r="F1963" s="10"/>
      <c r="G1963" s="14">
        <v>2170000</v>
      </c>
      <c r="H1963" s="14">
        <v>2058342.07</v>
      </c>
      <c r="I1963" s="14">
        <v>2170000</v>
      </c>
      <c r="J1963" s="14">
        <v>2058342.07</v>
      </c>
      <c r="K1963" s="12">
        <v>260748</v>
      </c>
      <c r="L1963" s="10" t="s">
        <v>101</v>
      </c>
      <c r="M1963" s="10" t="s">
        <v>102</v>
      </c>
      <c r="N1963" s="124" t="s">
        <v>479</v>
      </c>
      <c r="O1963" s="124" t="s">
        <v>479</v>
      </c>
      <c r="P1963" s="21">
        <v>33</v>
      </c>
      <c r="Q1963" s="10" t="s">
        <v>54</v>
      </c>
      <c r="R1963" s="10" t="s">
        <v>28</v>
      </c>
      <c r="S1963" s="10"/>
      <c r="T1963" s="10"/>
      <c r="U1963" s="10" t="s">
        <v>1196</v>
      </c>
      <c r="V1963" s="10" t="s">
        <v>1196</v>
      </c>
      <c r="W1963" s="50">
        <f>+J1963/$W$2</f>
        <v>2.5191319445786073E-5</v>
      </c>
    </row>
    <row r="1964" spans="1:29">
      <c r="A1964" s="10" t="s">
        <v>710</v>
      </c>
      <c r="B1964" s="10" t="s">
        <v>358</v>
      </c>
      <c r="C1964" s="124">
        <v>46384</v>
      </c>
      <c r="D1964" s="124" t="s">
        <v>471</v>
      </c>
      <c r="E1964" s="21">
        <v>0.95449812000000001</v>
      </c>
      <c r="F1964" s="10"/>
      <c r="G1964" s="14">
        <v>1187961</v>
      </c>
      <c r="H1964" s="14">
        <v>1133906.54</v>
      </c>
      <c r="I1964" s="14">
        <v>1187961</v>
      </c>
      <c r="J1964" s="14">
        <v>1133906.54</v>
      </c>
      <c r="K1964" s="12">
        <v>2597</v>
      </c>
      <c r="L1964" s="10" t="s">
        <v>101</v>
      </c>
      <c r="M1964" s="10" t="s">
        <v>102</v>
      </c>
      <c r="N1964" s="124" t="s">
        <v>467</v>
      </c>
      <c r="O1964" s="124" t="s">
        <v>467</v>
      </c>
      <c r="P1964" s="21">
        <v>29</v>
      </c>
      <c r="Q1964" s="10" t="s">
        <v>54</v>
      </c>
      <c r="R1964" s="10" t="s">
        <v>28</v>
      </c>
      <c r="S1964" s="10"/>
      <c r="T1964" s="10"/>
      <c r="U1964" s="10" t="s">
        <v>3728</v>
      </c>
      <c r="V1964" s="10" t="s">
        <v>3728</v>
      </c>
      <c r="W1964" s="50">
        <f>+J1964/$W$2</f>
        <v>1.387748046698866E-5</v>
      </c>
    </row>
    <row r="1965" spans="1:29">
      <c r="A1965" s="10" t="s">
        <v>3321</v>
      </c>
      <c r="B1965" s="10" t="s">
        <v>358</v>
      </c>
      <c r="C1965" s="124">
        <v>46384</v>
      </c>
      <c r="D1965" s="124" t="s">
        <v>471</v>
      </c>
      <c r="E1965" s="21">
        <v>0.94854470000000002</v>
      </c>
      <c r="F1965" s="10"/>
      <c r="G1965" s="14">
        <v>1391500</v>
      </c>
      <c r="H1965" s="14">
        <v>1319899.95</v>
      </c>
      <c r="I1965" s="14">
        <v>1391500</v>
      </c>
      <c r="J1965" s="14">
        <v>1319899.95</v>
      </c>
      <c r="K1965" s="12">
        <v>9126</v>
      </c>
      <c r="L1965" s="10" t="s">
        <v>101</v>
      </c>
      <c r="M1965" s="10" t="s">
        <v>102</v>
      </c>
      <c r="N1965" s="124" t="s">
        <v>417</v>
      </c>
      <c r="O1965" s="124" t="s">
        <v>417</v>
      </c>
      <c r="P1965" s="21">
        <v>33</v>
      </c>
      <c r="Q1965" s="10" t="s">
        <v>54</v>
      </c>
      <c r="R1965" s="10" t="s">
        <v>28</v>
      </c>
      <c r="S1965" s="10"/>
      <c r="T1965" s="10"/>
      <c r="U1965" s="10" t="s">
        <v>3237</v>
      </c>
      <c r="V1965" s="10" t="s">
        <v>3237</v>
      </c>
      <c r="W1965" s="50">
        <f>+J1965/$W$2</f>
        <v>1.6153787925506019E-5</v>
      </c>
    </row>
    <row r="1966" spans="1:29">
      <c r="A1966" s="10" t="s">
        <v>832</v>
      </c>
      <c r="B1966" s="10" t="s">
        <v>358</v>
      </c>
      <c r="C1966" s="124">
        <v>46384</v>
      </c>
      <c r="D1966" s="124" t="s">
        <v>471</v>
      </c>
      <c r="E1966" s="21">
        <v>0.94854486000000005</v>
      </c>
      <c r="F1966" s="10"/>
      <c r="G1966" s="14">
        <v>706225.7</v>
      </c>
      <c r="H1966" s="14">
        <v>669886.76</v>
      </c>
      <c r="I1966" s="14">
        <v>706225.7</v>
      </c>
      <c r="J1966" s="14">
        <v>669886.76</v>
      </c>
      <c r="K1966" s="12">
        <v>124049</v>
      </c>
      <c r="L1966" s="10" t="s">
        <v>101</v>
      </c>
      <c r="M1966" s="10" t="s">
        <v>102</v>
      </c>
      <c r="N1966" s="124" t="s">
        <v>576</v>
      </c>
      <c r="O1966" s="124" t="s">
        <v>576</v>
      </c>
      <c r="P1966" s="21">
        <v>33</v>
      </c>
      <c r="Q1966" s="10" t="s">
        <v>54</v>
      </c>
      <c r="R1966" s="10" t="s">
        <v>28</v>
      </c>
      <c r="S1966" s="10"/>
      <c r="T1966" s="10"/>
      <c r="U1966" s="10" t="s">
        <v>2345</v>
      </c>
      <c r="V1966" s="10" t="s">
        <v>2345</v>
      </c>
      <c r="W1966" s="50">
        <f>+J1966/$W$2</f>
        <v>8.1985067543523649E-6</v>
      </c>
    </row>
    <row r="1967" spans="1:29">
      <c r="A1967" s="10" t="s">
        <v>574</v>
      </c>
      <c r="B1967" s="10" t="s">
        <v>358</v>
      </c>
      <c r="C1967" s="124">
        <v>46384</v>
      </c>
      <c r="D1967" s="124" t="s">
        <v>471</v>
      </c>
      <c r="E1967" s="21">
        <v>0.95300264000000001</v>
      </c>
      <c r="F1967" s="10"/>
      <c r="G1967" s="14">
        <v>15000000</v>
      </c>
      <c r="H1967" s="14">
        <v>14295039.539999999</v>
      </c>
      <c r="I1967" s="14">
        <v>15000000</v>
      </c>
      <c r="J1967" s="14">
        <v>14295039.539999999</v>
      </c>
      <c r="K1967" s="12">
        <v>90004193</v>
      </c>
      <c r="L1967" s="10" t="s">
        <v>101</v>
      </c>
      <c r="M1967" s="10" t="s">
        <v>102</v>
      </c>
      <c r="N1967" s="124" t="s">
        <v>408</v>
      </c>
      <c r="O1967" s="124" t="s">
        <v>408</v>
      </c>
      <c r="P1967" s="21">
        <v>30</v>
      </c>
      <c r="Q1967" s="10" t="s">
        <v>54</v>
      </c>
      <c r="R1967" s="10" t="s">
        <v>28</v>
      </c>
      <c r="S1967" s="10"/>
      <c r="T1967" s="10"/>
      <c r="U1967" s="10" t="s">
        <v>2029</v>
      </c>
      <c r="V1967" s="10" t="s">
        <v>2029</v>
      </c>
      <c r="W1967" s="50">
        <f>+J1967/$W$2</f>
        <v>1.7495192504241182E-4</v>
      </c>
    </row>
    <row r="1968" spans="1:29">
      <c r="A1968" s="10" t="s">
        <v>574</v>
      </c>
      <c r="B1968" s="10" t="s">
        <v>358</v>
      </c>
      <c r="C1968" s="124">
        <v>46384</v>
      </c>
      <c r="D1968" s="124" t="s">
        <v>471</v>
      </c>
      <c r="E1968" s="21">
        <v>0.95300264999999995</v>
      </c>
      <c r="F1968" s="10"/>
      <c r="G1968" s="14">
        <v>150000000</v>
      </c>
      <c r="H1968" s="14">
        <v>142950397.47</v>
      </c>
      <c r="I1968" s="14">
        <v>150000000</v>
      </c>
      <c r="J1968" s="14">
        <v>142950397.47</v>
      </c>
      <c r="K1968" s="12">
        <v>90004322</v>
      </c>
      <c r="L1968" s="10" t="s">
        <v>101</v>
      </c>
      <c r="M1968" s="10" t="s">
        <v>102</v>
      </c>
      <c r="N1968" s="124" t="s">
        <v>508</v>
      </c>
      <c r="O1968" s="124" t="s">
        <v>508</v>
      </c>
      <c r="P1968" s="21">
        <v>30</v>
      </c>
      <c r="Q1968" s="10" t="s">
        <v>54</v>
      </c>
      <c r="R1968" s="10" t="s">
        <v>28</v>
      </c>
      <c r="S1968" s="10"/>
      <c r="T1968" s="10"/>
      <c r="U1968" s="10" t="s">
        <v>3033</v>
      </c>
      <c r="V1968" s="10" t="s">
        <v>3033</v>
      </c>
      <c r="W1968" s="50">
        <f>+J1968/$W$2</f>
        <v>1.7495192757581151E-3</v>
      </c>
    </row>
    <row r="1969" spans="1:29">
      <c r="A1969" s="10" t="s">
        <v>3323</v>
      </c>
      <c r="B1969" s="10" t="s">
        <v>358</v>
      </c>
      <c r="C1969" s="124">
        <v>46384</v>
      </c>
      <c r="D1969" s="124" t="s">
        <v>471</v>
      </c>
      <c r="E1969" s="21">
        <v>0.94854470000000002</v>
      </c>
      <c r="F1969" s="10"/>
      <c r="G1969" s="14">
        <v>4000000</v>
      </c>
      <c r="H1969" s="14">
        <v>3794178.81</v>
      </c>
      <c r="I1969" s="14">
        <v>4000000</v>
      </c>
      <c r="J1969" s="14">
        <v>3794178.81</v>
      </c>
      <c r="K1969" s="12">
        <v>70263469</v>
      </c>
      <c r="L1969" s="10" t="s">
        <v>101</v>
      </c>
      <c r="M1969" s="10" t="s">
        <v>102</v>
      </c>
      <c r="N1969" s="124" t="s">
        <v>417</v>
      </c>
      <c r="O1969" s="124" t="s">
        <v>417</v>
      </c>
      <c r="P1969" s="21">
        <v>33</v>
      </c>
      <c r="Q1969" s="10" t="s">
        <v>54</v>
      </c>
      <c r="R1969" s="10" t="s">
        <v>28</v>
      </c>
      <c r="S1969" s="10"/>
      <c r="T1969" s="10"/>
      <c r="U1969" s="10" t="s">
        <v>3217</v>
      </c>
      <c r="V1969" s="10" t="s">
        <v>3217</v>
      </c>
      <c r="W1969" s="50">
        <f>+J1969/$W$2</f>
        <v>4.6435610402279955E-5</v>
      </c>
    </row>
    <row r="1970" spans="1:29">
      <c r="A1970" s="10" t="s">
        <v>565</v>
      </c>
      <c r="B1970" s="10" t="s">
        <v>358</v>
      </c>
      <c r="C1970" s="124">
        <v>46384</v>
      </c>
      <c r="D1970" s="124" t="s">
        <v>471</v>
      </c>
      <c r="E1970" s="21">
        <v>0.94854477000000004</v>
      </c>
      <c r="F1970" s="10"/>
      <c r="G1970" s="14">
        <v>9356284.2599999998</v>
      </c>
      <c r="H1970" s="14">
        <v>8874854.4700000007</v>
      </c>
      <c r="I1970" s="14">
        <v>9356284.2599999998</v>
      </c>
      <c r="J1970" s="14">
        <v>8874854.4700000007</v>
      </c>
      <c r="K1970" s="12">
        <v>90002090</v>
      </c>
      <c r="L1970" s="10" t="s">
        <v>101</v>
      </c>
      <c r="M1970" s="10" t="s">
        <v>102</v>
      </c>
      <c r="N1970" s="124" t="s">
        <v>409</v>
      </c>
      <c r="O1970" s="124" t="s">
        <v>409</v>
      </c>
      <c r="P1970" s="21">
        <v>33</v>
      </c>
      <c r="Q1970" s="10" t="s">
        <v>54</v>
      </c>
      <c r="R1970" s="10" t="s">
        <v>28</v>
      </c>
      <c r="S1970" s="10"/>
      <c r="T1970" s="10"/>
      <c r="U1970" s="10" t="s">
        <v>893</v>
      </c>
      <c r="V1970" s="10" t="s">
        <v>893</v>
      </c>
      <c r="W1970" s="50">
        <f>+J1970/$W$2</f>
        <v>1.0861620002191009E-4</v>
      </c>
      <c r="AC1970" s="47"/>
    </row>
    <row r="1971" spans="1:29">
      <c r="A1971" s="10" t="s">
        <v>3166</v>
      </c>
      <c r="B1971" s="10" t="s">
        <v>358</v>
      </c>
      <c r="C1971" s="124">
        <v>46384</v>
      </c>
      <c r="D1971" s="124" t="s">
        <v>471</v>
      </c>
      <c r="E1971" s="21">
        <v>0.95300280000000004</v>
      </c>
      <c r="F1971" s="10"/>
      <c r="G1971" s="14">
        <v>4175312.5</v>
      </c>
      <c r="H1971" s="14">
        <v>3979084.49</v>
      </c>
      <c r="I1971" s="14">
        <v>4175312.5</v>
      </c>
      <c r="J1971" s="14">
        <v>3979084.49</v>
      </c>
      <c r="K1971" s="12">
        <v>40952795</v>
      </c>
      <c r="L1971" s="10" t="s">
        <v>101</v>
      </c>
      <c r="M1971" s="10" t="s">
        <v>102</v>
      </c>
      <c r="N1971" s="124" t="s">
        <v>475</v>
      </c>
      <c r="O1971" s="124" t="s">
        <v>475</v>
      </c>
      <c r="P1971" s="21">
        <v>30</v>
      </c>
      <c r="Q1971" s="10" t="s">
        <v>54</v>
      </c>
      <c r="R1971" s="10" t="s">
        <v>28</v>
      </c>
      <c r="S1971" s="10"/>
      <c r="T1971" s="10"/>
      <c r="U1971" s="10" t="s">
        <v>3383</v>
      </c>
      <c r="V1971" s="10" t="s">
        <v>3383</v>
      </c>
      <c r="W1971" s="50">
        <f>+J1971/$W$2</f>
        <v>4.869860551864577E-5</v>
      </c>
      <c r="AC1971" s="47"/>
    </row>
    <row r="1972" spans="1:29">
      <c r="A1972" s="10" t="s">
        <v>3815</v>
      </c>
      <c r="B1972" s="10" t="s">
        <v>358</v>
      </c>
      <c r="C1972" s="124">
        <v>46384</v>
      </c>
      <c r="D1972" s="124" t="s">
        <v>471</v>
      </c>
      <c r="E1972" s="21">
        <v>0.94854490999999996</v>
      </c>
      <c r="F1972" s="10"/>
      <c r="G1972" s="14">
        <v>5368571.43</v>
      </c>
      <c r="H1972" s="14">
        <v>5092331.08</v>
      </c>
      <c r="I1972" s="14">
        <v>5368571.43</v>
      </c>
      <c r="J1972" s="14">
        <v>5092331.08</v>
      </c>
      <c r="K1972" s="12">
        <v>467</v>
      </c>
      <c r="L1972" s="10" t="s">
        <v>101</v>
      </c>
      <c r="M1972" s="10" t="s">
        <v>102</v>
      </c>
      <c r="N1972" s="124" t="s">
        <v>468</v>
      </c>
      <c r="O1972" s="124" t="s">
        <v>468</v>
      </c>
      <c r="P1972" s="21">
        <v>33</v>
      </c>
      <c r="Q1972" s="10" t="s">
        <v>54</v>
      </c>
      <c r="R1972" s="10" t="s">
        <v>28</v>
      </c>
      <c r="S1972" s="10"/>
      <c r="T1972" s="10"/>
      <c r="U1972" s="10" t="s">
        <v>3819</v>
      </c>
      <c r="V1972" s="10" t="s">
        <v>3819</v>
      </c>
      <c r="W1972" s="50">
        <f>+J1972/$W$2</f>
        <v>6.2323236176183678E-5</v>
      </c>
    </row>
    <row r="1973" spans="1:29">
      <c r="A1973" s="10" t="s">
        <v>362</v>
      </c>
      <c r="B1973" s="10" t="s">
        <v>358</v>
      </c>
      <c r="C1973" s="124">
        <v>46384</v>
      </c>
      <c r="D1973" s="124" t="s">
        <v>471</v>
      </c>
      <c r="E1973" s="21">
        <v>0.94854483000000001</v>
      </c>
      <c r="F1973" s="10"/>
      <c r="G1973" s="14">
        <v>25000000</v>
      </c>
      <c r="H1973" s="14">
        <v>23713620.719999999</v>
      </c>
      <c r="I1973" s="14">
        <v>25000000</v>
      </c>
      <c r="J1973" s="14">
        <v>23713620.719999999</v>
      </c>
      <c r="K1973" s="12">
        <v>4298</v>
      </c>
      <c r="L1973" s="10" t="s">
        <v>101</v>
      </c>
      <c r="M1973" s="10" t="s">
        <v>102</v>
      </c>
      <c r="N1973" s="124" t="s">
        <v>439</v>
      </c>
      <c r="O1973" s="124" t="s">
        <v>439</v>
      </c>
      <c r="P1973" s="21">
        <v>33</v>
      </c>
      <c r="Q1973" s="10" t="s">
        <v>54</v>
      </c>
      <c r="R1973" s="10" t="s">
        <v>28</v>
      </c>
      <c r="S1973" s="10"/>
      <c r="T1973" s="10"/>
      <c r="U1973" s="10" t="s">
        <v>2276</v>
      </c>
      <c r="V1973" s="10" t="s">
        <v>2276</v>
      </c>
      <c r="W1973" s="50">
        <f>+J1973/$W$2</f>
        <v>2.902226036577737E-4</v>
      </c>
    </row>
    <row r="1974" spans="1:29">
      <c r="A1974" s="10" t="s">
        <v>164</v>
      </c>
      <c r="B1974" s="10" t="s">
        <v>358</v>
      </c>
      <c r="C1974" s="124">
        <v>46384</v>
      </c>
      <c r="D1974" s="124" t="s">
        <v>471</v>
      </c>
      <c r="E1974" s="21">
        <v>0.94120691999999995</v>
      </c>
      <c r="F1974" s="10"/>
      <c r="G1974" s="14">
        <v>162700000</v>
      </c>
      <c r="H1974" s="14">
        <v>153134365.36000001</v>
      </c>
      <c r="I1974" s="14">
        <v>162700000</v>
      </c>
      <c r="J1974" s="14">
        <v>153134365.36000001</v>
      </c>
      <c r="K1974" s="12">
        <v>70424989</v>
      </c>
      <c r="L1974" s="10" t="s">
        <v>101</v>
      </c>
      <c r="M1974" s="10" t="s">
        <v>102</v>
      </c>
      <c r="N1974" s="124" t="s">
        <v>451</v>
      </c>
      <c r="O1974" s="124" t="s">
        <v>451</v>
      </c>
      <c r="P1974" s="21">
        <v>38</v>
      </c>
      <c r="Q1974" s="10" t="s">
        <v>54</v>
      </c>
      <c r="R1974" s="10" t="s">
        <v>28</v>
      </c>
      <c r="S1974" s="10"/>
      <c r="T1974" s="10"/>
      <c r="U1974" s="10" t="s">
        <v>3548</v>
      </c>
      <c r="V1974" s="10" t="s">
        <v>3548</v>
      </c>
      <c r="W1974" s="50">
        <f>+J1974/$W$2</f>
        <v>1.8741572511858913E-3</v>
      </c>
    </row>
    <row r="1975" spans="1:29">
      <c r="A1975" s="10" t="s">
        <v>164</v>
      </c>
      <c r="B1975" s="10" t="s">
        <v>358</v>
      </c>
      <c r="C1975" s="124">
        <v>46384</v>
      </c>
      <c r="D1975" s="124" t="s">
        <v>471</v>
      </c>
      <c r="E1975" s="21">
        <v>0.94120709000000002</v>
      </c>
      <c r="F1975" s="10"/>
      <c r="G1975" s="14">
        <v>325000000</v>
      </c>
      <c r="H1975" s="14">
        <v>305892303.82999998</v>
      </c>
      <c r="I1975" s="14">
        <v>325000000</v>
      </c>
      <c r="J1975" s="14">
        <v>305892303.82999998</v>
      </c>
      <c r="K1975" s="12">
        <v>70427225</v>
      </c>
      <c r="L1975" s="10" t="s">
        <v>101</v>
      </c>
      <c r="M1975" s="10" t="s">
        <v>102</v>
      </c>
      <c r="N1975" s="124" t="s">
        <v>467</v>
      </c>
      <c r="O1975" s="124" t="s">
        <v>467</v>
      </c>
      <c r="P1975" s="21">
        <v>38</v>
      </c>
      <c r="Q1975" s="10" t="s">
        <v>54</v>
      </c>
      <c r="R1975" s="10" t="s">
        <v>28</v>
      </c>
      <c r="S1975" s="10"/>
      <c r="T1975" s="10"/>
      <c r="U1975" s="10" t="s">
        <v>3768</v>
      </c>
      <c r="V1975" s="10" t="s">
        <v>3768</v>
      </c>
      <c r="W1975" s="50">
        <f>+J1975/$W$2</f>
        <v>3.7437075470108717E-3</v>
      </c>
    </row>
    <row r="1976" spans="1:29">
      <c r="A1976" s="10" t="s">
        <v>286</v>
      </c>
      <c r="B1976" s="10" t="s">
        <v>358</v>
      </c>
      <c r="C1976" s="124">
        <v>46384</v>
      </c>
      <c r="D1976" s="124" t="s">
        <v>471</v>
      </c>
      <c r="E1976" s="21">
        <v>0.94854486999999998</v>
      </c>
      <c r="F1976" s="10"/>
      <c r="G1976" s="14">
        <v>6500000</v>
      </c>
      <c r="H1976" s="14">
        <v>6165541.6799999997</v>
      </c>
      <c r="I1976" s="14">
        <v>6500000</v>
      </c>
      <c r="J1976" s="14">
        <v>6165541.6799999997</v>
      </c>
      <c r="K1976" s="12">
        <v>40797003</v>
      </c>
      <c r="L1976" s="10" t="s">
        <v>101</v>
      </c>
      <c r="M1976" s="10" t="s">
        <v>102</v>
      </c>
      <c r="N1976" s="124" t="s">
        <v>448</v>
      </c>
      <c r="O1976" s="124" t="s">
        <v>448</v>
      </c>
      <c r="P1976" s="21">
        <v>33</v>
      </c>
      <c r="Q1976" s="10" t="s">
        <v>54</v>
      </c>
      <c r="R1976" s="10" t="s">
        <v>28</v>
      </c>
      <c r="S1976" s="10"/>
      <c r="T1976" s="10"/>
      <c r="U1976" s="10" t="s">
        <v>3142</v>
      </c>
      <c r="V1976" s="10" t="s">
        <v>3142</v>
      </c>
      <c r="W1976" s="50">
        <f>+J1976/$W$2</f>
        <v>7.5457880534496641E-5</v>
      </c>
    </row>
    <row r="1977" spans="1:29">
      <c r="A1977" s="10" t="s">
        <v>433</v>
      </c>
      <c r="B1977" s="10" t="s">
        <v>358</v>
      </c>
      <c r="C1977" s="124">
        <v>46384</v>
      </c>
      <c r="D1977" s="124" t="s">
        <v>471</v>
      </c>
      <c r="E1977" s="21">
        <v>0.94854488000000003</v>
      </c>
      <c r="F1977" s="10"/>
      <c r="G1977" s="14">
        <v>12500000</v>
      </c>
      <c r="H1977" s="14">
        <v>11856810.99</v>
      </c>
      <c r="I1977" s="14">
        <v>12500000</v>
      </c>
      <c r="J1977" s="14">
        <v>11856810.99</v>
      </c>
      <c r="K1977" s="12">
        <v>14651822</v>
      </c>
      <c r="L1977" s="10" t="s">
        <v>101</v>
      </c>
      <c r="M1977" s="10" t="s">
        <v>102</v>
      </c>
      <c r="N1977" s="124" t="s">
        <v>603</v>
      </c>
      <c r="O1977" s="124" t="s">
        <v>603</v>
      </c>
      <c r="P1977" s="21">
        <v>33</v>
      </c>
      <c r="Q1977" s="10" t="s">
        <v>54</v>
      </c>
      <c r="R1977" s="10" t="s">
        <v>28</v>
      </c>
      <c r="S1977" s="10"/>
      <c r="T1977" s="10"/>
      <c r="U1977" s="10" t="s">
        <v>2651</v>
      </c>
      <c r="V1977" s="10" t="s">
        <v>2651</v>
      </c>
      <c r="W1977" s="50">
        <f>+J1977/$W$2</f>
        <v>1.451113095392337E-4</v>
      </c>
    </row>
    <row r="1978" spans="1:29">
      <c r="A1978" s="10" t="s">
        <v>135</v>
      </c>
      <c r="B1978" s="10" t="s">
        <v>358</v>
      </c>
      <c r="C1978" s="124">
        <v>46384</v>
      </c>
      <c r="D1978" s="124" t="s">
        <v>471</v>
      </c>
      <c r="E1978" s="21">
        <v>0.94559599999999999</v>
      </c>
      <c r="F1978" s="10"/>
      <c r="G1978" s="14">
        <v>85000000</v>
      </c>
      <c r="H1978" s="14">
        <v>80375659.790000007</v>
      </c>
      <c r="I1978" s="14">
        <v>85000000</v>
      </c>
      <c r="J1978" s="14">
        <v>80375659.790000007</v>
      </c>
      <c r="K1978" s="12">
        <v>1254</v>
      </c>
      <c r="L1978" s="10" t="s">
        <v>101</v>
      </c>
      <c r="M1978" s="10" t="s">
        <v>102</v>
      </c>
      <c r="N1978" s="124" t="s">
        <v>395</v>
      </c>
      <c r="O1978" s="124" t="s">
        <v>395</v>
      </c>
      <c r="P1978" s="21">
        <v>35</v>
      </c>
      <c r="Q1978" s="10" t="s">
        <v>54</v>
      </c>
      <c r="R1978" s="10" t="s">
        <v>28</v>
      </c>
      <c r="S1978" s="10"/>
      <c r="T1978" s="10"/>
      <c r="U1978" s="10" t="s">
        <v>1802</v>
      </c>
      <c r="V1978" s="10" t="s">
        <v>1802</v>
      </c>
      <c r="W1978" s="50">
        <f>+J1978/$W$2</f>
        <v>9.8368922782388307E-4</v>
      </c>
    </row>
    <row r="1979" spans="1:29">
      <c r="A1979" s="10" t="s">
        <v>135</v>
      </c>
      <c r="B1979" s="10" t="s">
        <v>358</v>
      </c>
      <c r="C1979" s="124">
        <v>46384</v>
      </c>
      <c r="D1979" s="124" t="s">
        <v>471</v>
      </c>
      <c r="E1979" s="21">
        <v>0.94559599000000005</v>
      </c>
      <c r="F1979" s="10"/>
      <c r="G1979" s="14">
        <v>115000000</v>
      </c>
      <c r="H1979" s="14">
        <v>108743539.03</v>
      </c>
      <c r="I1979" s="14">
        <v>115000000</v>
      </c>
      <c r="J1979" s="14">
        <v>108743539.03</v>
      </c>
      <c r="K1979" s="12">
        <v>1414</v>
      </c>
      <c r="L1979" s="10" t="s">
        <v>101</v>
      </c>
      <c r="M1979" s="10" t="s">
        <v>102</v>
      </c>
      <c r="N1979" s="124" t="s">
        <v>439</v>
      </c>
      <c r="O1979" s="124" t="s">
        <v>439</v>
      </c>
      <c r="P1979" s="21">
        <v>35</v>
      </c>
      <c r="Q1979" s="10" t="s">
        <v>54</v>
      </c>
      <c r="R1979" s="10" t="s">
        <v>28</v>
      </c>
      <c r="S1979" s="10"/>
      <c r="T1979" s="10"/>
      <c r="U1979" s="10" t="s">
        <v>2285</v>
      </c>
      <c r="V1979" s="10" t="s">
        <v>2285</v>
      </c>
      <c r="W1979" s="50">
        <f>+J1979/$W$2</f>
        <v>1.3308736527792176E-3</v>
      </c>
    </row>
    <row r="1980" spans="1:29">
      <c r="A1980" s="10" t="s">
        <v>150</v>
      </c>
      <c r="B1980" s="10" t="s">
        <v>358</v>
      </c>
      <c r="C1980" s="124">
        <v>46384</v>
      </c>
      <c r="D1980" s="124" t="s">
        <v>471</v>
      </c>
      <c r="E1980" s="21">
        <v>0.95599794999999999</v>
      </c>
      <c r="F1980" s="10"/>
      <c r="G1980" s="14">
        <v>40000000</v>
      </c>
      <c r="H1980" s="14">
        <v>38239918.170000002</v>
      </c>
      <c r="I1980" s="14">
        <v>40000000</v>
      </c>
      <c r="J1980" s="14">
        <v>38239918.170000002</v>
      </c>
      <c r="K1980" s="12">
        <v>54029683</v>
      </c>
      <c r="L1980" s="10" t="s">
        <v>101</v>
      </c>
      <c r="M1980" s="10" t="s">
        <v>102</v>
      </c>
      <c r="N1980" s="124" t="s">
        <v>449</v>
      </c>
      <c r="O1980" s="124" t="s">
        <v>449</v>
      </c>
      <c r="P1980" s="21">
        <v>28</v>
      </c>
      <c r="Q1980" s="10" t="s">
        <v>54</v>
      </c>
      <c r="R1980" s="10" t="s">
        <v>28</v>
      </c>
      <c r="S1980" s="10"/>
      <c r="T1980" s="10"/>
      <c r="U1980" s="10" t="s">
        <v>1931</v>
      </c>
      <c r="V1980" s="10" t="s">
        <v>1931</v>
      </c>
      <c r="W1980" s="50">
        <f>+J1980/$W$2</f>
        <v>4.680048123396658E-4</v>
      </c>
    </row>
    <row r="1981" spans="1:29">
      <c r="A1981" s="10" t="s">
        <v>3319</v>
      </c>
      <c r="B1981" s="10" t="s">
        <v>358</v>
      </c>
      <c r="C1981" s="124">
        <v>46384</v>
      </c>
      <c r="D1981" s="124" t="s">
        <v>471</v>
      </c>
      <c r="E1981" s="21">
        <v>0.94854470999999996</v>
      </c>
      <c r="F1981" s="10"/>
      <c r="G1981" s="14">
        <v>1800000</v>
      </c>
      <c r="H1981" s="14">
        <v>1707380.47</v>
      </c>
      <c r="I1981" s="14">
        <v>1800000</v>
      </c>
      <c r="J1981" s="14">
        <v>1707380.47</v>
      </c>
      <c r="K1981" s="12">
        <v>30000445</v>
      </c>
      <c r="L1981" s="10" t="s">
        <v>101</v>
      </c>
      <c r="M1981" s="10" t="s">
        <v>102</v>
      </c>
      <c r="N1981" s="124" t="s">
        <v>417</v>
      </c>
      <c r="O1981" s="124" t="s">
        <v>417</v>
      </c>
      <c r="P1981" s="21">
        <v>33</v>
      </c>
      <c r="Q1981" s="10" t="s">
        <v>54</v>
      </c>
      <c r="R1981" s="10" t="s">
        <v>28</v>
      </c>
      <c r="S1981" s="10"/>
      <c r="T1981" s="10"/>
      <c r="U1981" s="10" t="s">
        <v>3293</v>
      </c>
      <c r="V1981" s="10" t="s">
        <v>3293</v>
      </c>
      <c r="W1981" s="50">
        <f>+J1981/$W$2</f>
        <v>2.0896024748338532E-5</v>
      </c>
      <c r="AC1981" s="47"/>
    </row>
    <row r="1982" spans="1:29">
      <c r="A1982" s="10" t="s">
        <v>2486</v>
      </c>
      <c r="B1982" s="10" t="s">
        <v>358</v>
      </c>
      <c r="C1982" s="124">
        <v>46384</v>
      </c>
      <c r="D1982" s="124" t="s">
        <v>471</v>
      </c>
      <c r="E1982" s="21">
        <v>0.94854470999999996</v>
      </c>
      <c r="F1982" s="10"/>
      <c r="G1982" s="14">
        <v>60000000</v>
      </c>
      <c r="H1982" s="14">
        <v>56912682.710000001</v>
      </c>
      <c r="I1982" s="14">
        <v>60000000</v>
      </c>
      <c r="J1982" s="14">
        <v>56912682.710000001</v>
      </c>
      <c r="K1982" s="12">
        <v>20865</v>
      </c>
      <c r="L1982" s="10" t="s">
        <v>101</v>
      </c>
      <c r="M1982" s="10" t="s">
        <v>102</v>
      </c>
      <c r="N1982" s="124" t="s">
        <v>577</v>
      </c>
      <c r="O1982" s="124" t="s">
        <v>577</v>
      </c>
      <c r="P1982" s="21">
        <v>33</v>
      </c>
      <c r="Q1982" s="10" t="s">
        <v>54</v>
      </c>
      <c r="R1982" s="10" t="s">
        <v>28</v>
      </c>
      <c r="S1982" s="10"/>
      <c r="T1982" s="10"/>
      <c r="U1982" s="10" t="s">
        <v>2470</v>
      </c>
      <c r="V1982" s="10" t="s">
        <v>2470</v>
      </c>
      <c r="W1982" s="50">
        <f>+J1982/$W$2</f>
        <v>6.9653416288784097E-4</v>
      </c>
    </row>
    <row r="1983" spans="1:29">
      <c r="A1983" s="10" t="s">
        <v>2674</v>
      </c>
      <c r="B1983" s="10" t="s">
        <v>358</v>
      </c>
      <c r="C1983" s="124">
        <v>46384</v>
      </c>
      <c r="D1983" s="124" t="s">
        <v>471</v>
      </c>
      <c r="E1983" s="21">
        <v>0.95002606000000001</v>
      </c>
      <c r="F1983" s="10"/>
      <c r="G1983" s="14">
        <v>50000000</v>
      </c>
      <c r="H1983" s="14">
        <v>47501303.039999999</v>
      </c>
      <c r="I1983" s="14">
        <v>50000000</v>
      </c>
      <c r="J1983" s="14">
        <v>47501303.039999999</v>
      </c>
      <c r="K1983" s="12">
        <v>5464</v>
      </c>
      <c r="L1983" s="10" t="s">
        <v>101</v>
      </c>
      <c r="M1983" s="10" t="s">
        <v>102</v>
      </c>
      <c r="N1983" s="124" t="s">
        <v>440</v>
      </c>
      <c r="O1983" s="124" t="s">
        <v>440</v>
      </c>
      <c r="P1983" s="21">
        <v>32</v>
      </c>
      <c r="Q1983" s="10" t="s">
        <v>54</v>
      </c>
      <c r="R1983" s="10" t="s">
        <v>28</v>
      </c>
      <c r="S1983" s="10"/>
      <c r="T1983" s="10"/>
      <c r="U1983" s="10" t="s">
        <v>2702</v>
      </c>
      <c r="V1983" s="10" t="s">
        <v>2702</v>
      </c>
      <c r="W1983" s="50">
        <f>+J1983/$W$2</f>
        <v>5.8135162100229974E-4</v>
      </c>
    </row>
    <row r="1984" spans="1:29">
      <c r="A1984" s="10" t="s">
        <v>2016</v>
      </c>
      <c r="B1984" s="10" t="s">
        <v>358</v>
      </c>
      <c r="C1984" s="124">
        <v>46385</v>
      </c>
      <c r="D1984" s="124" t="s">
        <v>471</v>
      </c>
      <c r="E1984" s="21">
        <v>0.95377460000000003</v>
      </c>
      <c r="F1984" s="10"/>
      <c r="G1984" s="14">
        <v>4000000</v>
      </c>
      <c r="H1984" s="14">
        <v>3815098.39</v>
      </c>
      <c r="I1984" s="14">
        <v>4000000</v>
      </c>
      <c r="J1984" s="14">
        <v>3815098.39</v>
      </c>
      <c r="K1984" s="12">
        <v>9792740</v>
      </c>
      <c r="L1984" s="10" t="s">
        <v>101</v>
      </c>
      <c r="M1984" s="10" t="s">
        <v>102</v>
      </c>
      <c r="N1984" s="124" t="s">
        <v>469</v>
      </c>
      <c r="O1984" s="124" t="s">
        <v>469</v>
      </c>
      <c r="P1984" s="21">
        <v>29</v>
      </c>
      <c r="Q1984" s="10" t="s">
        <v>54</v>
      </c>
      <c r="R1984" s="10" t="s">
        <v>28</v>
      </c>
      <c r="S1984" s="10"/>
      <c r="T1984" s="10"/>
      <c r="U1984" s="10" t="s">
        <v>3932</v>
      </c>
      <c r="V1984" s="10" t="s">
        <v>3932</v>
      </c>
      <c r="W1984" s="50">
        <f>+J1984/$W$2</f>
        <v>4.6691637731329148E-5</v>
      </c>
    </row>
    <row r="1985" spans="1:29">
      <c r="A1985" s="10" t="s">
        <v>334</v>
      </c>
      <c r="B1985" s="10" t="s">
        <v>358</v>
      </c>
      <c r="C1985" s="124">
        <v>46385</v>
      </c>
      <c r="D1985" s="124" t="s">
        <v>471</v>
      </c>
      <c r="E1985" s="21">
        <v>0.94324995</v>
      </c>
      <c r="F1985" s="10"/>
      <c r="G1985" s="14">
        <v>3105640.28</v>
      </c>
      <c r="H1985" s="14">
        <v>2929395.04</v>
      </c>
      <c r="I1985" s="14">
        <v>3105640.28</v>
      </c>
      <c r="J1985" s="14">
        <v>2929395.04</v>
      </c>
      <c r="K1985" s="12">
        <v>3401</v>
      </c>
      <c r="L1985" s="10" t="s">
        <v>101</v>
      </c>
      <c r="M1985" s="10" t="s">
        <v>102</v>
      </c>
      <c r="N1985" s="124" t="s">
        <v>486</v>
      </c>
      <c r="O1985" s="124" t="s">
        <v>486</v>
      </c>
      <c r="P1985" s="21">
        <v>36</v>
      </c>
      <c r="Q1985" s="10" t="s">
        <v>54</v>
      </c>
      <c r="R1985" s="10" t="s">
        <v>28</v>
      </c>
      <c r="S1985" s="10"/>
      <c r="T1985" s="10"/>
      <c r="U1985" s="10" t="s">
        <v>1482</v>
      </c>
      <c r="V1985" s="10" t="s">
        <v>1482</v>
      </c>
      <c r="W1985" s="50">
        <f>+J1985/$W$2</f>
        <v>3.5851828183029499E-5</v>
      </c>
    </row>
    <row r="1986" spans="1:29">
      <c r="A1986" s="10" t="s">
        <v>443</v>
      </c>
      <c r="B1986" s="10" t="s">
        <v>358</v>
      </c>
      <c r="C1986" s="124">
        <v>46385</v>
      </c>
      <c r="D1986" s="124" t="s">
        <v>471</v>
      </c>
      <c r="E1986" s="21">
        <v>0.95225683999999999</v>
      </c>
      <c r="F1986" s="10"/>
      <c r="G1986" s="14">
        <v>18000000</v>
      </c>
      <c r="H1986" s="14">
        <v>17140623.190000001</v>
      </c>
      <c r="I1986" s="14">
        <v>18000000</v>
      </c>
      <c r="J1986" s="14">
        <v>17140623.190000001</v>
      </c>
      <c r="K1986" s="12">
        <v>40200423</v>
      </c>
      <c r="L1986" s="10" t="s">
        <v>101</v>
      </c>
      <c r="M1986" s="10" t="s">
        <v>102</v>
      </c>
      <c r="N1986" s="124" t="s">
        <v>397</v>
      </c>
      <c r="O1986" s="124" t="s">
        <v>397</v>
      </c>
      <c r="P1986" s="21">
        <v>30</v>
      </c>
      <c r="Q1986" s="10" t="s">
        <v>54</v>
      </c>
      <c r="R1986" s="10" t="s">
        <v>28</v>
      </c>
      <c r="S1986" s="10"/>
      <c r="T1986" s="10"/>
      <c r="U1986" s="10" t="s">
        <v>1842</v>
      </c>
      <c r="V1986" s="10" t="s">
        <v>1842</v>
      </c>
      <c r="W1986" s="50">
        <f>+J1986/$W$2</f>
        <v>2.0977801531265342E-4</v>
      </c>
    </row>
    <row r="1987" spans="1:29">
      <c r="A1987" s="10" t="s">
        <v>206</v>
      </c>
      <c r="B1987" s="10" t="s">
        <v>358</v>
      </c>
      <c r="C1987" s="124">
        <v>46385</v>
      </c>
      <c r="D1987" s="124" t="s">
        <v>471</v>
      </c>
      <c r="E1987" s="21">
        <v>0.94773194000000005</v>
      </c>
      <c r="F1987" s="10"/>
      <c r="G1987" s="14">
        <v>2170000</v>
      </c>
      <c r="H1987" s="14">
        <v>2056578.3</v>
      </c>
      <c r="I1987" s="14">
        <v>2170000</v>
      </c>
      <c r="J1987" s="14">
        <v>2056578.3</v>
      </c>
      <c r="K1987" s="12">
        <v>260749</v>
      </c>
      <c r="L1987" s="10" t="s">
        <v>101</v>
      </c>
      <c r="M1987" s="10" t="s">
        <v>102</v>
      </c>
      <c r="N1987" s="124" t="s">
        <v>479</v>
      </c>
      <c r="O1987" s="124" t="s">
        <v>479</v>
      </c>
      <c r="P1987" s="21">
        <v>33</v>
      </c>
      <c r="Q1987" s="10" t="s">
        <v>54</v>
      </c>
      <c r="R1987" s="10" t="s">
        <v>28</v>
      </c>
      <c r="S1987" s="10"/>
      <c r="T1987" s="10"/>
      <c r="U1987" s="10" t="s">
        <v>1211</v>
      </c>
      <c r="V1987" s="10" t="s">
        <v>1211</v>
      </c>
      <c r="W1987" s="50">
        <f>+J1987/$W$2</f>
        <v>2.5169733289555544E-5</v>
      </c>
    </row>
    <row r="1988" spans="1:29">
      <c r="A1988" s="10" t="s">
        <v>1091</v>
      </c>
      <c r="B1988" s="10" t="s">
        <v>358</v>
      </c>
      <c r="C1988" s="124">
        <v>46385</v>
      </c>
      <c r="D1988" s="124" t="s">
        <v>471</v>
      </c>
      <c r="E1988" s="21">
        <v>0.95225682</v>
      </c>
      <c r="F1988" s="10"/>
      <c r="G1988" s="14">
        <v>50000000</v>
      </c>
      <c r="H1988" s="14">
        <v>47612841.130000003</v>
      </c>
      <c r="I1988" s="14">
        <v>50000000</v>
      </c>
      <c r="J1988" s="14">
        <v>47612841.130000003</v>
      </c>
      <c r="K1988" s="12">
        <v>196469</v>
      </c>
      <c r="L1988" s="10" t="s">
        <v>101</v>
      </c>
      <c r="M1988" s="10" t="s">
        <v>102</v>
      </c>
      <c r="N1988" s="124" t="s">
        <v>161</v>
      </c>
      <c r="O1988" s="124" t="s">
        <v>161</v>
      </c>
      <c r="P1988" s="21">
        <v>30</v>
      </c>
      <c r="Q1988" s="10" t="s">
        <v>54</v>
      </c>
      <c r="R1988" s="10" t="s">
        <v>28</v>
      </c>
      <c r="S1988" s="10"/>
      <c r="T1988" s="10"/>
      <c r="U1988" s="10" t="s">
        <v>1045</v>
      </c>
      <c r="V1988" s="10" t="s">
        <v>1045</v>
      </c>
      <c r="W1988" s="50">
        <f>+J1988/$W$2</f>
        <v>5.8271669617445657E-4</v>
      </c>
    </row>
    <row r="1989" spans="1:29">
      <c r="A1989" s="10" t="s">
        <v>3322</v>
      </c>
      <c r="B1989" s="10" t="s">
        <v>358</v>
      </c>
      <c r="C1989" s="124">
        <v>46385</v>
      </c>
      <c r="D1989" s="124" t="s">
        <v>471</v>
      </c>
      <c r="E1989" s="21">
        <v>0.94773213000000001</v>
      </c>
      <c r="F1989" s="10"/>
      <c r="G1989" s="14">
        <v>528139.15</v>
      </c>
      <c r="H1989" s="14">
        <v>500534.44</v>
      </c>
      <c r="I1989" s="14">
        <v>528139.15</v>
      </c>
      <c r="J1989" s="14">
        <v>500534.44</v>
      </c>
      <c r="K1989" s="12">
        <v>17710</v>
      </c>
      <c r="L1989" s="10" t="s">
        <v>101</v>
      </c>
      <c r="M1989" s="10" t="s">
        <v>102</v>
      </c>
      <c r="N1989" s="124" t="s">
        <v>417</v>
      </c>
      <c r="O1989" s="124" t="s">
        <v>417</v>
      </c>
      <c r="P1989" s="21">
        <v>33</v>
      </c>
      <c r="Q1989" s="10" t="s">
        <v>54</v>
      </c>
      <c r="R1989" s="10" t="s">
        <v>28</v>
      </c>
      <c r="S1989" s="10"/>
      <c r="T1989" s="10"/>
      <c r="U1989" s="10" t="s">
        <v>3233</v>
      </c>
      <c r="V1989" s="10" t="s">
        <v>3233</v>
      </c>
      <c r="W1989" s="50">
        <f>+J1989/$W$2</f>
        <v>6.1258637013903344E-6</v>
      </c>
    </row>
    <row r="1990" spans="1:29">
      <c r="A1990" s="10" t="s">
        <v>710</v>
      </c>
      <c r="B1990" s="10" t="s">
        <v>358</v>
      </c>
      <c r="C1990" s="124">
        <v>46385</v>
      </c>
      <c r="D1990" s="124" t="s">
        <v>471</v>
      </c>
      <c r="E1990" s="21">
        <v>0.95377473999999995</v>
      </c>
      <c r="F1990" s="10"/>
      <c r="G1990" s="14">
        <v>1187961</v>
      </c>
      <c r="H1990" s="14">
        <v>1133047.2</v>
      </c>
      <c r="I1990" s="14">
        <v>1187961</v>
      </c>
      <c r="J1990" s="14">
        <v>1133047.2</v>
      </c>
      <c r="K1990" s="12">
        <v>2598</v>
      </c>
      <c r="L1990" s="10" t="s">
        <v>101</v>
      </c>
      <c r="M1990" s="10" t="s">
        <v>102</v>
      </c>
      <c r="N1990" s="124" t="s">
        <v>467</v>
      </c>
      <c r="O1990" s="124" t="s">
        <v>467</v>
      </c>
      <c r="P1990" s="21">
        <v>29</v>
      </c>
      <c r="Q1990" s="10" t="s">
        <v>54</v>
      </c>
      <c r="R1990" s="10" t="s">
        <v>28</v>
      </c>
      <c r="S1990" s="10"/>
      <c r="T1990" s="10"/>
      <c r="U1990" s="10" t="s">
        <v>3730</v>
      </c>
      <c r="V1990" s="10" t="s">
        <v>3730</v>
      </c>
      <c r="W1990" s="50">
        <f>+J1990/$W$2</f>
        <v>1.3866963309142031E-5</v>
      </c>
    </row>
    <row r="1991" spans="1:29">
      <c r="A1991" s="10" t="s">
        <v>832</v>
      </c>
      <c r="B1991" s="10" t="s">
        <v>358</v>
      </c>
      <c r="C1991" s="124">
        <v>46385</v>
      </c>
      <c r="D1991" s="124" t="s">
        <v>471</v>
      </c>
      <c r="E1991" s="21">
        <v>0.94473925999999997</v>
      </c>
      <c r="F1991" s="10"/>
      <c r="G1991" s="14">
        <v>1447208.21</v>
      </c>
      <c r="H1991" s="14">
        <v>1367234.41</v>
      </c>
      <c r="I1991" s="14">
        <v>1447208.21</v>
      </c>
      <c r="J1991" s="14">
        <v>1367234.41</v>
      </c>
      <c r="K1991" s="12">
        <v>128338</v>
      </c>
      <c r="L1991" s="10" t="s">
        <v>101</v>
      </c>
      <c r="M1991" s="10" t="s">
        <v>102</v>
      </c>
      <c r="N1991" s="124" t="s">
        <v>451</v>
      </c>
      <c r="O1991" s="124" t="s">
        <v>451</v>
      </c>
      <c r="P1991" s="21">
        <v>35</v>
      </c>
      <c r="Q1991" s="10" t="s">
        <v>54</v>
      </c>
      <c r="R1991" s="10" t="s">
        <v>28</v>
      </c>
      <c r="S1991" s="10"/>
      <c r="T1991" s="10"/>
      <c r="U1991" s="10" t="s">
        <v>3511</v>
      </c>
      <c r="V1991" s="10" t="s">
        <v>3511</v>
      </c>
      <c r="W1991" s="50">
        <f>+J1991/$W$2</f>
        <v>1.6733097613644385E-5</v>
      </c>
    </row>
    <row r="1992" spans="1:29">
      <c r="A1992" s="10" t="s">
        <v>1129</v>
      </c>
      <c r="B1992" s="10" t="s">
        <v>358</v>
      </c>
      <c r="C1992" s="124">
        <v>46385</v>
      </c>
      <c r="D1992" s="124" t="s">
        <v>471</v>
      </c>
      <c r="E1992" s="21">
        <v>0.94773196000000004</v>
      </c>
      <c r="F1992" s="10"/>
      <c r="G1992" s="14">
        <v>20000194</v>
      </c>
      <c r="H1992" s="14">
        <v>18954823.120000001</v>
      </c>
      <c r="I1992" s="14">
        <v>20000194</v>
      </c>
      <c r="J1992" s="14">
        <v>18954823.120000001</v>
      </c>
      <c r="K1992" s="12">
        <v>733</v>
      </c>
      <c r="L1992" s="10" t="s">
        <v>101</v>
      </c>
      <c r="M1992" s="10" t="s">
        <v>102</v>
      </c>
      <c r="N1992" s="124" t="s">
        <v>399</v>
      </c>
      <c r="O1992" s="124" t="s">
        <v>399</v>
      </c>
      <c r="P1992" s="21">
        <v>33</v>
      </c>
      <c r="Q1992" s="10" t="s">
        <v>54</v>
      </c>
      <c r="R1992" s="10" t="s">
        <v>28</v>
      </c>
      <c r="S1992" s="10"/>
      <c r="T1992" s="10"/>
      <c r="U1992" s="10" t="s">
        <v>1124</v>
      </c>
      <c r="V1992" s="10" t="s">
        <v>1124</v>
      </c>
      <c r="W1992" s="50">
        <f>+J1992/$W$2</f>
        <v>2.3198136559211049E-4</v>
      </c>
    </row>
    <row r="1993" spans="1:29">
      <c r="A1993" s="10" t="s">
        <v>3891</v>
      </c>
      <c r="B1993" s="10" t="s">
        <v>358</v>
      </c>
      <c r="C1993" s="124">
        <v>46385</v>
      </c>
      <c r="D1993" s="124" t="s">
        <v>471</v>
      </c>
      <c r="E1993" s="21">
        <v>0.95377478000000004</v>
      </c>
      <c r="F1993" s="10"/>
      <c r="G1993" s="14">
        <v>3388903.56</v>
      </c>
      <c r="H1993" s="14">
        <v>3232250.76</v>
      </c>
      <c r="I1993" s="14">
        <v>3388903.56</v>
      </c>
      <c r="J1993" s="14">
        <v>3232250.76</v>
      </c>
      <c r="K1993" s="12">
        <v>10174820</v>
      </c>
      <c r="L1993" s="10" t="s">
        <v>101</v>
      </c>
      <c r="M1993" s="10" t="s">
        <v>102</v>
      </c>
      <c r="N1993" s="124" t="s">
        <v>474</v>
      </c>
      <c r="O1993" s="124" t="s">
        <v>474</v>
      </c>
      <c r="P1993" s="21">
        <v>29</v>
      </c>
      <c r="Q1993" s="10" t="s">
        <v>54</v>
      </c>
      <c r="R1993" s="10" t="s">
        <v>28</v>
      </c>
      <c r="S1993" s="10"/>
      <c r="T1993" s="10"/>
      <c r="U1993" s="10" t="s">
        <v>3866</v>
      </c>
      <c r="V1993" s="10" t="s">
        <v>3866</v>
      </c>
      <c r="W1993" s="50">
        <f>+J1993/$W$2</f>
        <v>3.9558372056227179E-5</v>
      </c>
    </row>
    <row r="1994" spans="1:29">
      <c r="A1994" s="10" t="s">
        <v>286</v>
      </c>
      <c r="B1994" s="10" t="s">
        <v>358</v>
      </c>
      <c r="C1994" s="124">
        <v>46385</v>
      </c>
      <c r="D1994" s="124" t="s">
        <v>471</v>
      </c>
      <c r="E1994" s="21">
        <v>0.94773204</v>
      </c>
      <c r="F1994" s="10"/>
      <c r="G1994" s="14">
        <v>6500000</v>
      </c>
      <c r="H1994" s="14">
        <v>6160258.29</v>
      </c>
      <c r="I1994" s="14">
        <v>6500000</v>
      </c>
      <c r="J1994" s="14">
        <v>6160258.29</v>
      </c>
      <c r="K1994" s="12">
        <v>40797004</v>
      </c>
      <c r="L1994" s="10" t="s">
        <v>101</v>
      </c>
      <c r="M1994" s="10" t="s">
        <v>102</v>
      </c>
      <c r="N1994" s="124" t="s">
        <v>448</v>
      </c>
      <c r="O1994" s="124" t="s">
        <v>448</v>
      </c>
      <c r="P1994" s="21">
        <v>33</v>
      </c>
      <c r="Q1994" s="10" t="s">
        <v>54</v>
      </c>
      <c r="R1994" s="10" t="s">
        <v>28</v>
      </c>
      <c r="S1994" s="10"/>
      <c r="T1994" s="10"/>
      <c r="U1994" s="10" t="s">
        <v>3141</v>
      </c>
      <c r="V1994" s="10" t="s">
        <v>3141</v>
      </c>
      <c r="W1994" s="50">
        <f>+J1994/$W$2</f>
        <v>7.539321899587947E-5</v>
      </c>
    </row>
    <row r="1995" spans="1:29">
      <c r="A1995" s="10" t="s">
        <v>433</v>
      </c>
      <c r="B1995" s="10" t="s">
        <v>358</v>
      </c>
      <c r="C1995" s="124">
        <v>46385</v>
      </c>
      <c r="D1995" s="124" t="s">
        <v>471</v>
      </c>
      <c r="E1995" s="21">
        <v>0.94923553000000005</v>
      </c>
      <c r="F1995" s="10"/>
      <c r="G1995" s="14">
        <v>11000000</v>
      </c>
      <c r="H1995" s="14">
        <v>10441590.859999999</v>
      </c>
      <c r="I1995" s="14">
        <v>11000000</v>
      </c>
      <c r="J1995" s="14">
        <v>10441590.859999999</v>
      </c>
      <c r="K1995" s="12">
        <v>14651802</v>
      </c>
      <c r="L1995" s="10" t="s">
        <v>101</v>
      </c>
      <c r="M1995" s="10" t="s">
        <v>102</v>
      </c>
      <c r="N1995" s="124" t="s">
        <v>603</v>
      </c>
      <c r="O1995" s="124" t="s">
        <v>603</v>
      </c>
      <c r="P1995" s="21">
        <v>32</v>
      </c>
      <c r="Q1995" s="10" t="s">
        <v>54</v>
      </c>
      <c r="R1995" s="10" t="s">
        <v>28</v>
      </c>
      <c r="S1995" s="10"/>
      <c r="T1995" s="10"/>
      <c r="U1995" s="10" t="s">
        <v>2583</v>
      </c>
      <c r="V1995" s="10" t="s">
        <v>2583</v>
      </c>
      <c r="W1995" s="50">
        <f>+J1995/$W$2</f>
        <v>1.2779093169701386E-4</v>
      </c>
    </row>
    <row r="1996" spans="1:29">
      <c r="A1996" s="10" t="s">
        <v>3578</v>
      </c>
      <c r="B1996" s="10" t="s">
        <v>358</v>
      </c>
      <c r="C1996" s="124">
        <v>46385</v>
      </c>
      <c r="D1996" s="124" t="s">
        <v>471</v>
      </c>
      <c r="E1996" s="21">
        <v>0.94623323999999998</v>
      </c>
      <c r="F1996" s="10"/>
      <c r="G1996" s="14">
        <v>9718046.9299999997</v>
      </c>
      <c r="H1996" s="14">
        <v>9195539.0299999993</v>
      </c>
      <c r="I1996" s="14">
        <v>9718046.9299999997</v>
      </c>
      <c r="J1996" s="14">
        <v>9195539.0299999993</v>
      </c>
      <c r="K1996" s="12">
        <v>863</v>
      </c>
      <c r="L1996" s="10" t="s">
        <v>101</v>
      </c>
      <c r="M1996" s="10" t="s">
        <v>102</v>
      </c>
      <c r="N1996" s="124" t="s">
        <v>451</v>
      </c>
      <c r="O1996" s="124" t="s">
        <v>451</v>
      </c>
      <c r="P1996" s="21">
        <v>34</v>
      </c>
      <c r="Q1996" s="10" t="s">
        <v>54</v>
      </c>
      <c r="R1996" s="10" t="s">
        <v>28</v>
      </c>
      <c r="S1996" s="10"/>
      <c r="T1996" s="10"/>
      <c r="U1996" s="10" t="s">
        <v>3492</v>
      </c>
      <c r="V1996" s="10" t="s">
        <v>3492</v>
      </c>
      <c r="W1996" s="50">
        <f>+J1996/$W$2</f>
        <v>1.1254094475216347E-4</v>
      </c>
    </row>
    <row r="1997" spans="1:29">
      <c r="A1997" s="10" t="s">
        <v>3055</v>
      </c>
      <c r="B1997" s="10" t="s">
        <v>358</v>
      </c>
      <c r="C1997" s="124">
        <v>46385</v>
      </c>
      <c r="D1997" s="124" t="s">
        <v>471</v>
      </c>
      <c r="E1997" s="21">
        <v>0.94773215</v>
      </c>
      <c r="F1997" s="10"/>
      <c r="G1997" s="14">
        <v>10000000</v>
      </c>
      <c r="H1997" s="14">
        <v>9477321.4800000004</v>
      </c>
      <c r="I1997" s="14">
        <v>10000000</v>
      </c>
      <c r="J1997" s="14">
        <v>9477321.4800000004</v>
      </c>
      <c r="K1997" s="12">
        <v>32719</v>
      </c>
      <c r="L1997" s="10" t="s">
        <v>101</v>
      </c>
      <c r="M1997" s="10" t="s">
        <v>102</v>
      </c>
      <c r="N1997" s="124" t="s">
        <v>508</v>
      </c>
      <c r="O1997" s="124" t="s">
        <v>508</v>
      </c>
      <c r="P1997" s="21">
        <v>33</v>
      </c>
      <c r="Q1997" s="10" t="s">
        <v>54</v>
      </c>
      <c r="R1997" s="10" t="s">
        <v>28</v>
      </c>
      <c r="S1997" s="10"/>
      <c r="T1997" s="10"/>
      <c r="U1997" s="10" t="s">
        <v>3031</v>
      </c>
      <c r="V1997" s="10" t="s">
        <v>3031</v>
      </c>
      <c r="W1997" s="50">
        <f>+J1997/$W$2</f>
        <v>1.1598958033884526E-4</v>
      </c>
    </row>
    <row r="1998" spans="1:29">
      <c r="A1998" s="10" t="s">
        <v>3055</v>
      </c>
      <c r="B1998" s="10" t="s">
        <v>358</v>
      </c>
      <c r="C1998" s="124">
        <v>46385</v>
      </c>
      <c r="D1998" s="124" t="s">
        <v>471</v>
      </c>
      <c r="E1998" s="21">
        <v>0.94773215</v>
      </c>
      <c r="F1998" s="10"/>
      <c r="G1998" s="14">
        <v>10000000</v>
      </c>
      <c r="H1998" s="14">
        <v>9477321.4800000004</v>
      </c>
      <c r="I1998" s="14">
        <v>10000000</v>
      </c>
      <c r="J1998" s="14">
        <v>9477321.4800000004</v>
      </c>
      <c r="K1998" s="12">
        <v>33707</v>
      </c>
      <c r="L1998" s="10" t="s">
        <v>101</v>
      </c>
      <c r="M1998" s="10" t="s">
        <v>102</v>
      </c>
      <c r="N1998" s="124" t="s">
        <v>508</v>
      </c>
      <c r="O1998" s="124" t="s">
        <v>508</v>
      </c>
      <c r="P1998" s="21">
        <v>33</v>
      </c>
      <c r="Q1998" s="10" t="s">
        <v>54</v>
      </c>
      <c r="R1998" s="10" t="s">
        <v>28</v>
      </c>
      <c r="S1998" s="10"/>
      <c r="T1998" s="10"/>
      <c r="U1998" s="10" t="s">
        <v>3029</v>
      </c>
      <c r="V1998" s="10" t="s">
        <v>3029</v>
      </c>
      <c r="W1998" s="50">
        <f>+J1998/$W$2</f>
        <v>1.1598958033884526E-4</v>
      </c>
      <c r="AC1998" s="47"/>
    </row>
    <row r="1999" spans="1:29">
      <c r="A1999" s="10" t="s">
        <v>379</v>
      </c>
      <c r="B1999" s="10" t="s">
        <v>358</v>
      </c>
      <c r="C1999" s="124">
        <v>46385</v>
      </c>
      <c r="D1999" s="124" t="s">
        <v>471</v>
      </c>
      <c r="E1999" s="21">
        <v>0.95835745999999999</v>
      </c>
      <c r="F1999" s="10"/>
      <c r="G1999" s="14">
        <v>20000000</v>
      </c>
      <c r="H1999" s="14">
        <v>19167149.140000001</v>
      </c>
      <c r="I1999" s="14">
        <v>20000000</v>
      </c>
      <c r="J1999" s="14">
        <v>19167149.140000001</v>
      </c>
      <c r="K1999" s="12">
        <v>79700364</v>
      </c>
      <c r="L1999" s="10" t="s">
        <v>101</v>
      </c>
      <c r="M1999" s="10" t="s">
        <v>102</v>
      </c>
      <c r="N1999" s="124" t="s">
        <v>342</v>
      </c>
      <c r="O1999" s="124" t="s">
        <v>342</v>
      </c>
      <c r="P1999" s="21">
        <v>26</v>
      </c>
      <c r="Q1999" s="10" t="s">
        <v>54</v>
      </c>
      <c r="R1999" s="10" t="s">
        <v>28</v>
      </c>
      <c r="S1999" s="10"/>
      <c r="T1999" s="10"/>
      <c r="U1999" s="10" t="s">
        <v>761</v>
      </c>
      <c r="V1999" s="10" t="s">
        <v>761</v>
      </c>
      <c r="W1999" s="50">
        <f>+J1999/$W$2</f>
        <v>2.345799485363304E-4</v>
      </c>
    </row>
    <row r="2000" spans="1:29">
      <c r="A2000" s="10" t="s">
        <v>2539</v>
      </c>
      <c r="B2000" s="10" t="s">
        <v>358</v>
      </c>
      <c r="C2000" s="124">
        <v>46385</v>
      </c>
      <c r="D2000" s="124" t="s">
        <v>471</v>
      </c>
      <c r="E2000" s="21">
        <v>0.95225673</v>
      </c>
      <c r="F2000" s="10"/>
      <c r="G2000" s="14">
        <v>3535037.55</v>
      </c>
      <c r="H2000" s="14">
        <v>3366263.29</v>
      </c>
      <c r="I2000" s="14">
        <v>3535037.55</v>
      </c>
      <c r="J2000" s="14">
        <v>3366263.29</v>
      </c>
      <c r="K2000" s="12">
        <v>3658347</v>
      </c>
      <c r="L2000" s="10" t="s">
        <v>101</v>
      </c>
      <c r="M2000" s="10" t="s">
        <v>102</v>
      </c>
      <c r="N2000" s="124" t="s">
        <v>452</v>
      </c>
      <c r="O2000" s="124" t="s">
        <v>452</v>
      </c>
      <c r="P2000" s="21">
        <v>30</v>
      </c>
      <c r="Q2000" s="10" t="s">
        <v>54</v>
      </c>
      <c r="R2000" s="10" t="s">
        <v>28</v>
      </c>
      <c r="S2000" s="10"/>
      <c r="T2000" s="10"/>
      <c r="U2000" s="10" t="s">
        <v>2521</v>
      </c>
      <c r="V2000" s="10" t="s">
        <v>2521</v>
      </c>
      <c r="W2000" s="50">
        <f>+J2000/$W$2</f>
        <v>4.1198503938178168E-5</v>
      </c>
    </row>
    <row r="2001" spans="1:29">
      <c r="A2001" s="10" t="s">
        <v>2016</v>
      </c>
      <c r="B2001" s="10" t="s">
        <v>358</v>
      </c>
      <c r="C2001" s="124">
        <v>46386</v>
      </c>
      <c r="D2001" s="124" t="s">
        <v>471</v>
      </c>
      <c r="E2001" s="21">
        <v>0.95459786000000002</v>
      </c>
      <c r="F2001" s="10"/>
      <c r="G2001" s="14">
        <v>5000000</v>
      </c>
      <c r="H2001" s="14">
        <v>4772989.29</v>
      </c>
      <c r="I2001" s="14">
        <v>5000000</v>
      </c>
      <c r="J2001" s="14">
        <v>4772989.29</v>
      </c>
      <c r="K2001" s="12">
        <v>15</v>
      </c>
      <c r="L2001" s="10" t="s">
        <v>101</v>
      </c>
      <c r="M2001" s="10" t="s">
        <v>102</v>
      </c>
      <c r="N2001" s="124" t="s">
        <v>408</v>
      </c>
      <c r="O2001" s="124" t="s">
        <v>408</v>
      </c>
      <c r="P2001" s="21">
        <v>28</v>
      </c>
      <c r="Q2001" s="10" t="s">
        <v>54</v>
      </c>
      <c r="R2001" s="10" t="s">
        <v>28</v>
      </c>
      <c r="S2001" s="10"/>
      <c r="T2001" s="10"/>
      <c r="U2001" s="10" t="s">
        <v>2070</v>
      </c>
      <c r="V2001" s="10" t="s">
        <v>2070</v>
      </c>
      <c r="W2001" s="50">
        <f>+J2001/$W$2</f>
        <v>5.8414925132296237E-5</v>
      </c>
    </row>
    <row r="2002" spans="1:29">
      <c r="A2002" s="10" t="s">
        <v>1894</v>
      </c>
      <c r="B2002" s="10" t="s">
        <v>358</v>
      </c>
      <c r="C2002" s="124">
        <v>46386</v>
      </c>
      <c r="D2002" s="124" t="s">
        <v>471</v>
      </c>
      <c r="E2002" s="21">
        <v>0.94997666000000003</v>
      </c>
      <c r="F2002" s="10"/>
      <c r="G2002" s="14">
        <v>47373027.109999999</v>
      </c>
      <c r="H2002" s="14">
        <v>45003270.079999998</v>
      </c>
      <c r="I2002" s="14">
        <v>47373027.109999999</v>
      </c>
      <c r="J2002" s="14">
        <v>45003270.079999998</v>
      </c>
      <c r="K2002" s="12">
        <v>11412588</v>
      </c>
      <c r="L2002" s="10" t="s">
        <v>101</v>
      </c>
      <c r="M2002" s="10" t="s">
        <v>102</v>
      </c>
      <c r="N2002" s="124" t="s">
        <v>397</v>
      </c>
      <c r="O2002" s="124" t="s">
        <v>397</v>
      </c>
      <c r="P2002" s="21">
        <v>31</v>
      </c>
      <c r="Q2002" s="10" t="s">
        <v>54</v>
      </c>
      <c r="R2002" s="10" t="s">
        <v>28</v>
      </c>
      <c r="S2002" s="10"/>
      <c r="T2002" s="10"/>
      <c r="U2002" s="10" t="s">
        <v>1879</v>
      </c>
      <c r="V2002" s="10" t="s">
        <v>1879</v>
      </c>
      <c r="W2002" s="50">
        <f>+J2002/$W$2</f>
        <v>5.5077908051029954E-4</v>
      </c>
    </row>
    <row r="2003" spans="1:29">
      <c r="A2003" s="10" t="s">
        <v>2079</v>
      </c>
      <c r="B2003" s="10" t="s">
        <v>358</v>
      </c>
      <c r="C2003" s="124">
        <v>46386</v>
      </c>
      <c r="D2003" s="124" t="s">
        <v>471</v>
      </c>
      <c r="E2003" s="21">
        <v>0.95151204</v>
      </c>
      <c r="F2003" s="10"/>
      <c r="G2003" s="14">
        <v>38000000</v>
      </c>
      <c r="H2003" s="14">
        <v>36157457.549999997</v>
      </c>
      <c r="I2003" s="14">
        <v>38000000</v>
      </c>
      <c r="J2003" s="14">
        <v>36157457.549999997</v>
      </c>
      <c r="K2003" s="12">
        <v>52836</v>
      </c>
      <c r="L2003" s="10" t="s">
        <v>101</v>
      </c>
      <c r="M2003" s="10" t="s">
        <v>102</v>
      </c>
      <c r="N2003" s="124" t="s">
        <v>468</v>
      </c>
      <c r="O2003" s="124" t="s">
        <v>468</v>
      </c>
      <c r="P2003" s="21">
        <v>30</v>
      </c>
      <c r="Q2003" s="10" t="s">
        <v>54</v>
      </c>
      <c r="R2003" s="10" t="s">
        <v>28</v>
      </c>
      <c r="S2003" s="10"/>
      <c r="T2003" s="10"/>
      <c r="U2003" s="10" t="s">
        <v>3831</v>
      </c>
      <c r="V2003" s="10" t="s">
        <v>3831</v>
      </c>
      <c r="W2003" s="50">
        <f>+J2003/$W$2</f>
        <v>4.4251831450420646E-4</v>
      </c>
      <c r="AC2003" s="47"/>
    </row>
    <row r="2004" spans="1:29">
      <c r="A2004" s="10" t="s">
        <v>2079</v>
      </c>
      <c r="B2004" s="10" t="s">
        <v>358</v>
      </c>
      <c r="C2004" s="124">
        <v>46386</v>
      </c>
      <c r="D2004" s="124" t="s">
        <v>471</v>
      </c>
      <c r="E2004" s="21">
        <v>0.95151204</v>
      </c>
      <c r="F2004" s="10"/>
      <c r="G2004" s="14">
        <v>63000000</v>
      </c>
      <c r="H2004" s="14">
        <v>59945258.579999998</v>
      </c>
      <c r="I2004" s="14">
        <v>63000000</v>
      </c>
      <c r="J2004" s="14">
        <v>59945258.579999998</v>
      </c>
      <c r="K2004" s="12">
        <v>52837</v>
      </c>
      <c r="L2004" s="10" t="s">
        <v>101</v>
      </c>
      <c r="M2004" s="10" t="s">
        <v>102</v>
      </c>
      <c r="N2004" s="124" t="s">
        <v>468</v>
      </c>
      <c r="O2004" s="124" t="s">
        <v>468</v>
      </c>
      <c r="P2004" s="21">
        <v>30</v>
      </c>
      <c r="Q2004" s="10" t="s">
        <v>54</v>
      </c>
      <c r="R2004" s="10" t="s">
        <v>28</v>
      </c>
      <c r="S2004" s="10"/>
      <c r="T2004" s="10"/>
      <c r="U2004" s="10" t="s">
        <v>3833</v>
      </c>
      <c r="V2004" s="10" t="s">
        <v>3833</v>
      </c>
      <c r="W2004" s="50">
        <f>+J2004/$W$2</f>
        <v>7.3364878469837057E-4</v>
      </c>
    </row>
    <row r="2005" spans="1:29">
      <c r="A2005" s="10" t="s">
        <v>2079</v>
      </c>
      <c r="B2005" s="10" t="s">
        <v>358</v>
      </c>
      <c r="C2005" s="124">
        <v>46386</v>
      </c>
      <c r="D2005" s="124" t="s">
        <v>471</v>
      </c>
      <c r="E2005" s="21">
        <v>0.95151205999999999</v>
      </c>
      <c r="F2005" s="10"/>
      <c r="G2005" s="14">
        <v>27000000</v>
      </c>
      <c r="H2005" s="14">
        <v>25690825.52</v>
      </c>
      <c r="I2005" s="14">
        <v>27000000</v>
      </c>
      <c r="J2005" s="14">
        <v>25690825.52</v>
      </c>
      <c r="K2005" s="12">
        <v>52502</v>
      </c>
      <c r="L2005" s="10" t="s">
        <v>101</v>
      </c>
      <c r="M2005" s="10" t="s">
        <v>102</v>
      </c>
      <c r="N2005" s="124" t="s">
        <v>475</v>
      </c>
      <c r="O2005" s="124" t="s">
        <v>475</v>
      </c>
      <c r="P2005" s="21">
        <v>30</v>
      </c>
      <c r="Q2005" s="10" t="s">
        <v>54</v>
      </c>
      <c r="R2005" s="10" t="s">
        <v>28</v>
      </c>
      <c r="S2005" s="10"/>
      <c r="T2005" s="10"/>
      <c r="U2005" s="10" t="s">
        <v>3395</v>
      </c>
      <c r="V2005" s="10" t="s">
        <v>3395</v>
      </c>
      <c r="W2005" s="50">
        <f>+J2005/$W$2</f>
        <v>3.1442091279816918E-4</v>
      </c>
    </row>
    <row r="2006" spans="1:29">
      <c r="A2006" s="10" t="s">
        <v>2079</v>
      </c>
      <c r="B2006" s="10" t="s">
        <v>358</v>
      </c>
      <c r="C2006" s="124">
        <v>46386</v>
      </c>
      <c r="D2006" s="124" t="s">
        <v>471</v>
      </c>
      <c r="E2006" s="21">
        <v>0.95151200999999996</v>
      </c>
      <c r="F2006" s="10"/>
      <c r="G2006" s="14">
        <v>10000000</v>
      </c>
      <c r="H2006" s="14">
        <v>9515120.1500000004</v>
      </c>
      <c r="I2006" s="14">
        <v>10000000</v>
      </c>
      <c r="J2006" s="14">
        <v>9515120.1500000004</v>
      </c>
      <c r="K2006" s="12">
        <v>52710</v>
      </c>
      <c r="L2006" s="10" t="s">
        <v>101</v>
      </c>
      <c r="M2006" s="10" t="s">
        <v>102</v>
      </c>
      <c r="N2006" s="124" t="s">
        <v>466</v>
      </c>
      <c r="O2006" s="124" t="s">
        <v>466</v>
      </c>
      <c r="P2006" s="21">
        <v>30</v>
      </c>
      <c r="Q2006" s="10" t="s">
        <v>54</v>
      </c>
      <c r="R2006" s="10" t="s">
        <v>28</v>
      </c>
      <c r="S2006" s="10"/>
      <c r="T2006" s="10"/>
      <c r="U2006" s="10" t="s">
        <v>3641</v>
      </c>
      <c r="V2006" s="10" t="s">
        <v>3641</v>
      </c>
      <c r="W2006" s="50">
        <f>+J2006/$W$2</f>
        <v>1.1645218487114044E-4</v>
      </c>
    </row>
    <row r="2007" spans="1:29">
      <c r="A2007" s="10" t="s">
        <v>2212</v>
      </c>
      <c r="B2007" s="10" t="s">
        <v>358</v>
      </c>
      <c r="C2007" s="124">
        <v>46386</v>
      </c>
      <c r="D2007" s="124" t="s">
        <v>471</v>
      </c>
      <c r="E2007" s="21">
        <v>0.94692072999999999</v>
      </c>
      <c r="F2007" s="10"/>
      <c r="G2007" s="14">
        <v>5000000</v>
      </c>
      <c r="H2007" s="14">
        <v>4734603.66</v>
      </c>
      <c r="I2007" s="14">
        <v>5000000</v>
      </c>
      <c r="J2007" s="14">
        <v>4734603.66</v>
      </c>
      <c r="K2007" s="12">
        <v>354</v>
      </c>
      <c r="L2007" s="10" t="s">
        <v>101</v>
      </c>
      <c r="M2007" s="10" t="s">
        <v>102</v>
      </c>
      <c r="N2007" s="124" t="s">
        <v>478</v>
      </c>
      <c r="O2007" s="124" t="s">
        <v>478</v>
      </c>
      <c r="P2007" s="21">
        <v>33</v>
      </c>
      <c r="Q2007" s="10" t="s">
        <v>54</v>
      </c>
      <c r="R2007" s="10" t="s">
        <v>28</v>
      </c>
      <c r="S2007" s="10"/>
      <c r="T2007" s="10"/>
      <c r="U2007" s="10" t="s">
        <v>2187</v>
      </c>
      <c r="V2007" s="10" t="s">
        <v>2187</v>
      </c>
      <c r="W2007" s="50">
        <f>+J2007/$W$2</f>
        <v>5.7945137004486296E-5</v>
      </c>
    </row>
    <row r="2008" spans="1:29">
      <c r="A2008" s="10" t="s">
        <v>2317</v>
      </c>
      <c r="B2008" s="10" t="s">
        <v>358</v>
      </c>
      <c r="C2008" s="124">
        <v>46386</v>
      </c>
      <c r="D2008" s="124" t="s">
        <v>471</v>
      </c>
      <c r="E2008" s="21">
        <v>0.94997661</v>
      </c>
      <c r="F2008" s="10"/>
      <c r="G2008" s="14">
        <v>1112906.07</v>
      </c>
      <c r="H2008" s="14">
        <v>1057234.73</v>
      </c>
      <c r="I2008" s="14">
        <v>1112906.07</v>
      </c>
      <c r="J2008" s="14">
        <v>1057234.73</v>
      </c>
      <c r="K2008" s="12">
        <v>877</v>
      </c>
      <c r="L2008" s="10" t="s">
        <v>101</v>
      </c>
      <c r="M2008" s="10" t="s">
        <v>102</v>
      </c>
      <c r="N2008" s="124" t="s">
        <v>439</v>
      </c>
      <c r="O2008" s="124" t="s">
        <v>439</v>
      </c>
      <c r="P2008" s="21">
        <v>31</v>
      </c>
      <c r="Q2008" s="10" t="s">
        <v>54</v>
      </c>
      <c r="R2008" s="10" t="s">
        <v>28</v>
      </c>
      <c r="S2008" s="10"/>
      <c r="T2008" s="10"/>
      <c r="U2008" s="10" t="s">
        <v>2257</v>
      </c>
      <c r="V2008" s="10" t="s">
        <v>2257</v>
      </c>
      <c r="W2008" s="50">
        <f>+J2008/$W$2</f>
        <v>1.2939121344689509E-5</v>
      </c>
    </row>
    <row r="2009" spans="1:29">
      <c r="A2009" s="10" t="s">
        <v>2439</v>
      </c>
      <c r="B2009" s="10" t="s">
        <v>358</v>
      </c>
      <c r="C2009" s="124">
        <v>46386</v>
      </c>
      <c r="D2009" s="124" t="s">
        <v>471</v>
      </c>
      <c r="E2009" s="21">
        <v>0.95305247000000004</v>
      </c>
      <c r="F2009" s="10"/>
      <c r="G2009" s="14">
        <v>2409020.25</v>
      </c>
      <c r="H2009" s="14">
        <v>2295922.69</v>
      </c>
      <c r="I2009" s="14">
        <v>2409020.25</v>
      </c>
      <c r="J2009" s="14">
        <v>2295922.69</v>
      </c>
      <c r="K2009" s="12">
        <v>3971</v>
      </c>
      <c r="L2009" s="10" t="s">
        <v>101</v>
      </c>
      <c r="M2009" s="10" t="s">
        <v>102</v>
      </c>
      <c r="N2009" s="124" t="s">
        <v>467</v>
      </c>
      <c r="O2009" s="124" t="s">
        <v>467</v>
      </c>
      <c r="P2009" s="21">
        <v>29</v>
      </c>
      <c r="Q2009" s="10" t="s">
        <v>54</v>
      </c>
      <c r="R2009" s="10" t="s">
        <v>28</v>
      </c>
      <c r="S2009" s="10"/>
      <c r="T2009" s="10"/>
      <c r="U2009" s="10" t="s">
        <v>3726</v>
      </c>
      <c r="V2009" s="10" t="s">
        <v>3726</v>
      </c>
      <c r="W2009" s="50">
        <f>+J2009/$W$2</f>
        <v>2.809898449319382E-5</v>
      </c>
    </row>
    <row r="2010" spans="1:29">
      <c r="A2010" s="10" t="s">
        <v>401</v>
      </c>
      <c r="B2010" s="10" t="s">
        <v>358</v>
      </c>
      <c r="C2010" s="124">
        <v>46386</v>
      </c>
      <c r="D2010" s="124" t="s">
        <v>471</v>
      </c>
      <c r="E2010" s="21">
        <v>0.95614834000000004</v>
      </c>
      <c r="F2010" s="10"/>
      <c r="G2010" s="14">
        <v>20000000</v>
      </c>
      <c r="H2010" s="14">
        <v>19122966.879999999</v>
      </c>
      <c r="I2010" s="14">
        <v>20000000</v>
      </c>
      <c r="J2010" s="14">
        <v>19122966.879999999</v>
      </c>
      <c r="K2010" s="12">
        <v>68</v>
      </c>
      <c r="L2010" s="10" t="s">
        <v>101</v>
      </c>
      <c r="M2010" s="10" t="s">
        <v>102</v>
      </c>
      <c r="N2010" s="124" t="s">
        <v>469</v>
      </c>
      <c r="O2010" s="124" t="s">
        <v>469</v>
      </c>
      <c r="P2010" s="21">
        <v>27</v>
      </c>
      <c r="Q2010" s="10" t="s">
        <v>54</v>
      </c>
      <c r="R2010" s="10" t="s">
        <v>28</v>
      </c>
      <c r="S2010" s="10"/>
      <c r="T2010" s="10"/>
      <c r="U2010" s="10" t="s">
        <v>3944</v>
      </c>
      <c r="V2010" s="10" t="s">
        <v>3944</v>
      </c>
      <c r="W2010" s="50">
        <f>+J2010/$W$2</f>
        <v>2.3403921750735386E-4</v>
      </c>
    </row>
    <row r="2011" spans="1:29">
      <c r="A2011" s="10" t="s">
        <v>401</v>
      </c>
      <c r="B2011" s="10" t="s">
        <v>358</v>
      </c>
      <c r="C2011" s="124">
        <v>46386</v>
      </c>
      <c r="D2011" s="124" t="s">
        <v>471</v>
      </c>
      <c r="E2011" s="21">
        <v>0.95614834000000004</v>
      </c>
      <c r="F2011" s="10"/>
      <c r="G2011" s="14">
        <v>10000000</v>
      </c>
      <c r="H2011" s="14">
        <v>9561483.4399999995</v>
      </c>
      <c r="I2011" s="14">
        <v>10000000</v>
      </c>
      <c r="J2011" s="14">
        <v>9561483.4399999995</v>
      </c>
      <c r="K2011" s="12">
        <v>69</v>
      </c>
      <c r="L2011" s="10" t="s">
        <v>101</v>
      </c>
      <c r="M2011" s="10" t="s">
        <v>102</v>
      </c>
      <c r="N2011" s="124" t="s">
        <v>469</v>
      </c>
      <c r="O2011" s="124" t="s">
        <v>469</v>
      </c>
      <c r="P2011" s="21">
        <v>27</v>
      </c>
      <c r="Q2011" s="10" t="s">
        <v>54</v>
      </c>
      <c r="R2011" s="10" t="s">
        <v>28</v>
      </c>
      <c r="S2011" s="10"/>
      <c r="T2011" s="10"/>
      <c r="U2011" s="10" t="s">
        <v>3950</v>
      </c>
      <c r="V2011" s="10" t="s">
        <v>3950</v>
      </c>
      <c r="W2011" s="50">
        <f>+J2011/$W$2</f>
        <v>1.1701960875367693E-4</v>
      </c>
    </row>
    <row r="2012" spans="1:29">
      <c r="A2012" s="10" t="s">
        <v>401</v>
      </c>
      <c r="B2012" s="10" t="s">
        <v>358</v>
      </c>
      <c r="C2012" s="124">
        <v>46386</v>
      </c>
      <c r="D2012" s="124" t="s">
        <v>471</v>
      </c>
      <c r="E2012" s="21">
        <v>0.95614834000000004</v>
      </c>
      <c r="F2012" s="10"/>
      <c r="G2012" s="14">
        <v>20000000</v>
      </c>
      <c r="H2012" s="14">
        <v>19122966.879999999</v>
      </c>
      <c r="I2012" s="14">
        <v>20000000</v>
      </c>
      <c r="J2012" s="14">
        <v>19122966.879999999</v>
      </c>
      <c r="K2012" s="12">
        <v>67</v>
      </c>
      <c r="L2012" s="10" t="s">
        <v>101</v>
      </c>
      <c r="M2012" s="10" t="s">
        <v>102</v>
      </c>
      <c r="N2012" s="124" t="s">
        <v>469</v>
      </c>
      <c r="O2012" s="124" t="s">
        <v>469</v>
      </c>
      <c r="P2012" s="21">
        <v>27</v>
      </c>
      <c r="Q2012" s="10" t="s">
        <v>54</v>
      </c>
      <c r="R2012" s="10" t="s">
        <v>28</v>
      </c>
      <c r="S2012" s="10"/>
      <c r="T2012" s="10"/>
      <c r="U2012" s="10" t="s">
        <v>3952</v>
      </c>
      <c r="V2012" s="10" t="s">
        <v>3952</v>
      </c>
      <c r="W2012" s="50">
        <f>+J2012/$W$2</f>
        <v>2.3403921750735386E-4</v>
      </c>
      <c r="AC2012" s="47"/>
    </row>
    <row r="2013" spans="1:29">
      <c r="A2013" s="10" t="s">
        <v>1425</v>
      </c>
      <c r="B2013" s="10" t="s">
        <v>358</v>
      </c>
      <c r="C2013" s="124">
        <v>46386</v>
      </c>
      <c r="D2013" s="124" t="s">
        <v>471</v>
      </c>
      <c r="E2013" s="21">
        <v>0.94844625000000005</v>
      </c>
      <c r="F2013" s="10"/>
      <c r="G2013" s="14">
        <v>6535955.1799999997</v>
      </c>
      <c r="H2013" s="14">
        <v>6199002.1900000004</v>
      </c>
      <c r="I2013" s="14">
        <v>6535955.1799999997</v>
      </c>
      <c r="J2013" s="14">
        <v>6199002.1900000004</v>
      </c>
      <c r="K2013" s="12">
        <v>30000340</v>
      </c>
      <c r="L2013" s="10" t="s">
        <v>101</v>
      </c>
      <c r="M2013" s="10" t="s">
        <v>102</v>
      </c>
      <c r="N2013" s="124" t="s">
        <v>391</v>
      </c>
      <c r="O2013" s="124" t="s">
        <v>391</v>
      </c>
      <c r="P2013" s="21">
        <v>32</v>
      </c>
      <c r="Q2013" s="10" t="s">
        <v>54</v>
      </c>
      <c r="R2013" s="10" t="s">
        <v>28</v>
      </c>
      <c r="S2013" s="10"/>
      <c r="T2013" s="10"/>
      <c r="U2013" s="10" t="s">
        <v>1405</v>
      </c>
      <c r="V2013" s="10" t="s">
        <v>1405</v>
      </c>
      <c r="W2013" s="50">
        <f>+J2013/$W$2</f>
        <v>7.5867391863305528E-5</v>
      </c>
    </row>
    <row r="2014" spans="1:29">
      <c r="A2014" s="10" t="s">
        <v>1425</v>
      </c>
      <c r="B2014" s="10" t="s">
        <v>358</v>
      </c>
      <c r="C2014" s="124">
        <v>46386</v>
      </c>
      <c r="D2014" s="124" t="s">
        <v>471</v>
      </c>
      <c r="E2014" s="21">
        <v>0.94388424999999998</v>
      </c>
      <c r="F2014" s="10"/>
      <c r="G2014" s="14">
        <v>24325173.129999999</v>
      </c>
      <c r="H2014" s="14">
        <v>22960147.890000001</v>
      </c>
      <c r="I2014" s="14">
        <v>24325173.129999999</v>
      </c>
      <c r="J2014" s="14">
        <v>22960147.890000001</v>
      </c>
      <c r="K2014" s="12">
        <v>30000680</v>
      </c>
      <c r="L2014" s="10" t="s">
        <v>101</v>
      </c>
      <c r="M2014" s="10" t="s">
        <v>102</v>
      </c>
      <c r="N2014" s="124" t="s">
        <v>467</v>
      </c>
      <c r="O2014" s="124" t="s">
        <v>467</v>
      </c>
      <c r="P2014" s="21">
        <v>35</v>
      </c>
      <c r="Q2014" s="10" t="s">
        <v>54</v>
      </c>
      <c r="R2014" s="10" t="s">
        <v>28</v>
      </c>
      <c r="S2014" s="10"/>
      <c r="T2014" s="10"/>
      <c r="U2014" s="10" t="s">
        <v>3748</v>
      </c>
      <c r="V2014" s="10" t="s">
        <v>3748</v>
      </c>
      <c r="W2014" s="50">
        <f>+J2014/$W$2</f>
        <v>2.8100111660229587E-4</v>
      </c>
    </row>
    <row r="2015" spans="1:29">
      <c r="A2015" s="10" t="s">
        <v>1634</v>
      </c>
      <c r="B2015" s="10" t="s">
        <v>358</v>
      </c>
      <c r="C2015" s="124">
        <v>46386</v>
      </c>
      <c r="D2015" s="124" t="s">
        <v>471</v>
      </c>
      <c r="E2015" s="21">
        <v>0.94844614999999999</v>
      </c>
      <c r="F2015" s="10"/>
      <c r="G2015" s="14">
        <v>4000000</v>
      </c>
      <c r="H2015" s="14">
        <v>3793784.58</v>
      </c>
      <c r="I2015" s="14">
        <v>4000000</v>
      </c>
      <c r="J2015" s="14">
        <v>3793784.58</v>
      </c>
      <c r="K2015" s="12">
        <v>725</v>
      </c>
      <c r="L2015" s="10" t="s">
        <v>101</v>
      </c>
      <c r="M2015" s="10" t="s">
        <v>102</v>
      </c>
      <c r="N2015" s="124" t="s">
        <v>395</v>
      </c>
      <c r="O2015" s="124" t="s">
        <v>395</v>
      </c>
      <c r="P2015" s="21">
        <v>32</v>
      </c>
      <c r="Q2015" s="10" t="s">
        <v>54</v>
      </c>
      <c r="R2015" s="10" t="s">
        <v>28</v>
      </c>
      <c r="S2015" s="10"/>
      <c r="T2015" s="10"/>
      <c r="U2015" s="10" t="s">
        <v>1783</v>
      </c>
      <c r="V2015" s="10" t="s">
        <v>1783</v>
      </c>
      <c r="W2015" s="50">
        <f>+J2015/$W$2</f>
        <v>4.643078556096235E-5</v>
      </c>
    </row>
    <row r="2016" spans="1:29">
      <c r="A2016" s="10" t="s">
        <v>2758</v>
      </c>
      <c r="B2016" s="10" t="s">
        <v>358</v>
      </c>
      <c r="C2016" s="124">
        <v>46386</v>
      </c>
      <c r="D2016" s="124" t="s">
        <v>471</v>
      </c>
      <c r="E2016" s="21">
        <v>0.95461331000000005</v>
      </c>
      <c r="F2016" s="10"/>
      <c r="G2016" s="14">
        <v>293930</v>
      </c>
      <c r="H2016" s="14">
        <v>280589.49</v>
      </c>
      <c r="I2016" s="14">
        <v>293930</v>
      </c>
      <c r="J2016" s="14">
        <v>280589.49</v>
      </c>
      <c r="K2016" s="12">
        <v>667</v>
      </c>
      <c r="L2016" s="10" t="s">
        <v>101</v>
      </c>
      <c r="M2016" s="10" t="s">
        <v>102</v>
      </c>
      <c r="N2016" s="124" t="s">
        <v>417</v>
      </c>
      <c r="O2016" s="124" t="s">
        <v>417</v>
      </c>
      <c r="P2016" s="21">
        <v>27.99</v>
      </c>
      <c r="Q2016" s="10" t="s">
        <v>54</v>
      </c>
      <c r="R2016" s="10" t="s">
        <v>28</v>
      </c>
      <c r="S2016" s="10"/>
      <c r="T2016" s="10"/>
      <c r="U2016" s="10" t="s">
        <v>3181</v>
      </c>
      <c r="V2016" s="10" t="s">
        <v>3181</v>
      </c>
      <c r="W2016" s="50">
        <f>+J2016/$W$2</f>
        <v>3.434035371837003E-6</v>
      </c>
    </row>
    <row r="2017" spans="1:23">
      <c r="A2017" s="10" t="s">
        <v>2758</v>
      </c>
      <c r="B2017" s="10" t="s">
        <v>358</v>
      </c>
      <c r="C2017" s="124">
        <v>46386</v>
      </c>
      <c r="D2017" s="124" t="s">
        <v>471</v>
      </c>
      <c r="E2017" s="21">
        <v>0.95461335999999997</v>
      </c>
      <c r="F2017" s="10"/>
      <c r="G2017" s="14">
        <v>1622690.32</v>
      </c>
      <c r="H2017" s="14">
        <v>1549041.85</v>
      </c>
      <c r="I2017" s="14">
        <v>1622690.32</v>
      </c>
      <c r="J2017" s="14">
        <v>1549041.85</v>
      </c>
      <c r="K2017" s="12">
        <v>674301</v>
      </c>
      <c r="L2017" s="10" t="s">
        <v>101</v>
      </c>
      <c r="M2017" s="10" t="s">
        <v>102</v>
      </c>
      <c r="N2017" s="124" t="s">
        <v>417</v>
      </c>
      <c r="O2017" s="124" t="s">
        <v>417</v>
      </c>
      <c r="P2017" s="21">
        <v>27.99</v>
      </c>
      <c r="Q2017" s="10" t="s">
        <v>54</v>
      </c>
      <c r="R2017" s="10" t="s">
        <v>28</v>
      </c>
      <c r="S2017" s="10"/>
      <c r="T2017" s="10"/>
      <c r="U2017" s="10" t="s">
        <v>3191</v>
      </c>
      <c r="V2017" s="10" t="s">
        <v>3191</v>
      </c>
      <c r="W2017" s="50">
        <f>+J2017/$W$2</f>
        <v>1.8958174468173521E-5</v>
      </c>
    </row>
    <row r="2018" spans="1:23">
      <c r="A2018" s="10" t="s">
        <v>2758</v>
      </c>
      <c r="B2018" s="10" t="s">
        <v>358</v>
      </c>
      <c r="C2018" s="124">
        <v>46386</v>
      </c>
      <c r="D2018" s="124" t="s">
        <v>471</v>
      </c>
      <c r="E2018" s="21">
        <v>0.95461333999999998</v>
      </c>
      <c r="F2018" s="10"/>
      <c r="G2018" s="14">
        <v>2532171</v>
      </c>
      <c r="H2018" s="14">
        <v>2417244.21</v>
      </c>
      <c r="I2018" s="14">
        <v>2532171</v>
      </c>
      <c r="J2018" s="14">
        <v>2417244.21</v>
      </c>
      <c r="K2018" s="12">
        <v>894</v>
      </c>
      <c r="L2018" s="10" t="s">
        <v>101</v>
      </c>
      <c r="M2018" s="10" t="s">
        <v>102</v>
      </c>
      <c r="N2018" s="124" t="s">
        <v>417</v>
      </c>
      <c r="O2018" s="124" t="s">
        <v>417</v>
      </c>
      <c r="P2018" s="21">
        <v>27.99</v>
      </c>
      <c r="Q2018" s="10" t="s">
        <v>54</v>
      </c>
      <c r="R2018" s="10" t="s">
        <v>28</v>
      </c>
      <c r="S2018" s="10"/>
      <c r="T2018" s="10"/>
      <c r="U2018" s="10" t="s">
        <v>3192</v>
      </c>
      <c r="V2018" s="10" t="s">
        <v>3192</v>
      </c>
      <c r="W2018" s="50">
        <f>+J2018/$W$2</f>
        <v>2.958379559942959E-5</v>
      </c>
    </row>
    <row r="2019" spans="1:23">
      <c r="A2019" s="10" t="s">
        <v>2758</v>
      </c>
      <c r="B2019" s="10" t="s">
        <v>358</v>
      </c>
      <c r="C2019" s="124">
        <v>46386</v>
      </c>
      <c r="D2019" s="124" t="s">
        <v>471</v>
      </c>
      <c r="E2019" s="21">
        <v>0.95459780999999999</v>
      </c>
      <c r="F2019" s="10"/>
      <c r="G2019" s="14">
        <v>2750000</v>
      </c>
      <c r="H2019" s="14">
        <v>2625143.98</v>
      </c>
      <c r="I2019" s="14">
        <v>2750000</v>
      </c>
      <c r="J2019" s="14">
        <v>2625143.98</v>
      </c>
      <c r="K2019" s="12">
        <v>1769518</v>
      </c>
      <c r="L2019" s="10" t="s">
        <v>101</v>
      </c>
      <c r="M2019" s="10" t="s">
        <v>102</v>
      </c>
      <c r="N2019" s="124" t="s">
        <v>411</v>
      </c>
      <c r="O2019" s="124" t="s">
        <v>411</v>
      </c>
      <c r="P2019" s="21">
        <v>28</v>
      </c>
      <c r="Q2019" s="10" t="s">
        <v>54</v>
      </c>
      <c r="R2019" s="10" t="s">
        <v>28</v>
      </c>
      <c r="S2019" s="10"/>
      <c r="T2019" s="10"/>
      <c r="U2019" s="10" t="s">
        <v>2932</v>
      </c>
      <c r="V2019" s="10" t="s">
        <v>2932</v>
      </c>
      <c r="W2019" s="50">
        <f>+J2019/$W$2</f>
        <v>3.2128207237858304E-5</v>
      </c>
    </row>
    <row r="2020" spans="1:23">
      <c r="A2020" s="10" t="s">
        <v>453</v>
      </c>
      <c r="B2020" s="10" t="s">
        <v>358</v>
      </c>
      <c r="C2020" s="124">
        <v>46386</v>
      </c>
      <c r="D2020" s="124" t="s">
        <v>471</v>
      </c>
      <c r="E2020" s="21">
        <v>0.9561482</v>
      </c>
      <c r="F2020" s="10"/>
      <c r="G2020" s="14">
        <v>3400000</v>
      </c>
      <c r="H2020" s="14">
        <v>3250903.88</v>
      </c>
      <c r="I2020" s="14">
        <v>3400000</v>
      </c>
      <c r="J2020" s="14">
        <v>3250903.88</v>
      </c>
      <c r="K2020" s="12">
        <v>68062415</v>
      </c>
      <c r="L2020" s="10" t="s">
        <v>101</v>
      </c>
      <c r="M2020" s="10" t="s">
        <v>102</v>
      </c>
      <c r="N2020" s="124" t="s">
        <v>369</v>
      </c>
      <c r="O2020" s="124" t="s">
        <v>369</v>
      </c>
      <c r="P2020" s="21">
        <v>27</v>
      </c>
      <c r="Q2020" s="10" t="s">
        <v>54</v>
      </c>
      <c r="R2020" s="10" t="s">
        <v>28</v>
      </c>
      <c r="S2020" s="10"/>
      <c r="T2020" s="10"/>
      <c r="U2020" s="10" t="s">
        <v>658</v>
      </c>
      <c r="V2020" s="10" t="s">
        <v>658</v>
      </c>
      <c r="W2020" s="50">
        <f>+J2020/$W$2</f>
        <v>3.9786660984209195E-5</v>
      </c>
    </row>
    <row r="2021" spans="1:23">
      <c r="A2021" s="10" t="s">
        <v>494</v>
      </c>
      <c r="B2021" s="10" t="s">
        <v>358</v>
      </c>
      <c r="C2021" s="124">
        <v>46386</v>
      </c>
      <c r="D2021" s="124" t="s">
        <v>471</v>
      </c>
      <c r="E2021" s="21">
        <v>0.95305242999999995</v>
      </c>
      <c r="F2021" s="10"/>
      <c r="G2021" s="14">
        <v>14000000</v>
      </c>
      <c r="H2021" s="14">
        <v>13342733.949999999</v>
      </c>
      <c r="I2021" s="14">
        <v>14000000</v>
      </c>
      <c r="J2021" s="14">
        <v>13342733.949999999</v>
      </c>
      <c r="K2021" s="12">
        <v>119</v>
      </c>
      <c r="L2021" s="10" t="s">
        <v>101</v>
      </c>
      <c r="M2021" s="10" t="s">
        <v>102</v>
      </c>
      <c r="N2021" s="124" t="s">
        <v>369</v>
      </c>
      <c r="O2021" s="124" t="s">
        <v>369</v>
      </c>
      <c r="P2021" s="21">
        <v>29</v>
      </c>
      <c r="Q2021" s="10" t="s">
        <v>54</v>
      </c>
      <c r="R2021" s="10" t="s">
        <v>28</v>
      </c>
      <c r="S2021" s="10"/>
      <c r="T2021" s="10"/>
      <c r="U2021" s="10" t="s">
        <v>665</v>
      </c>
      <c r="V2021" s="10" t="s">
        <v>665</v>
      </c>
      <c r="W2021" s="50">
        <f>+J2021/$W$2</f>
        <v>1.6329699427198951E-4</v>
      </c>
    </row>
    <row r="2022" spans="1:23">
      <c r="A2022" s="10" t="s">
        <v>443</v>
      </c>
      <c r="B2022" s="10" t="s">
        <v>358</v>
      </c>
      <c r="C2022" s="124">
        <v>46386</v>
      </c>
      <c r="D2022" s="124" t="s">
        <v>471</v>
      </c>
      <c r="E2022" s="21">
        <v>0.95151202999999995</v>
      </c>
      <c r="F2022" s="10"/>
      <c r="G2022" s="14">
        <v>10000000</v>
      </c>
      <c r="H2022" s="14">
        <v>9515120.2899999991</v>
      </c>
      <c r="I2022" s="14">
        <v>10000000</v>
      </c>
      <c r="J2022" s="14">
        <v>9515120.2899999991</v>
      </c>
      <c r="K2022" s="12">
        <v>1328672</v>
      </c>
      <c r="L2022" s="10" t="s">
        <v>101</v>
      </c>
      <c r="M2022" s="10" t="s">
        <v>102</v>
      </c>
      <c r="N2022" s="124" t="s">
        <v>395</v>
      </c>
      <c r="O2022" s="124" t="s">
        <v>395</v>
      </c>
      <c r="P2022" s="21">
        <v>30</v>
      </c>
      <c r="Q2022" s="10" t="s">
        <v>54</v>
      </c>
      <c r="R2022" s="10" t="s">
        <v>28</v>
      </c>
      <c r="S2022" s="10"/>
      <c r="T2022" s="10"/>
      <c r="U2022" s="10" t="s">
        <v>1778</v>
      </c>
      <c r="V2022" s="10" t="s">
        <v>1778</v>
      </c>
      <c r="W2022" s="50">
        <f>+J2022/$W$2</f>
        <v>1.1645218658455083E-4</v>
      </c>
    </row>
    <row r="2023" spans="1:23">
      <c r="A2023" s="10" t="s">
        <v>2759</v>
      </c>
      <c r="B2023" s="10" t="s">
        <v>358</v>
      </c>
      <c r="C2023" s="124">
        <v>46386</v>
      </c>
      <c r="D2023" s="124" t="s">
        <v>471</v>
      </c>
      <c r="E2023" s="21">
        <v>0.95151198999999997</v>
      </c>
      <c r="F2023" s="10"/>
      <c r="G2023" s="14">
        <v>17500000</v>
      </c>
      <c r="H2023" s="14">
        <v>16651459.91</v>
      </c>
      <c r="I2023" s="14">
        <v>17500000</v>
      </c>
      <c r="J2023" s="14">
        <v>16651459.91</v>
      </c>
      <c r="K2023" s="12">
        <v>459</v>
      </c>
      <c r="L2023" s="10" t="s">
        <v>101</v>
      </c>
      <c r="M2023" s="10" t="s">
        <v>102</v>
      </c>
      <c r="N2023" s="124" t="s">
        <v>471</v>
      </c>
      <c r="O2023" s="124" t="s">
        <v>471</v>
      </c>
      <c r="P2023" s="21">
        <v>30</v>
      </c>
      <c r="Q2023" s="10" t="s">
        <v>54</v>
      </c>
      <c r="R2023" s="10" t="s">
        <v>28</v>
      </c>
      <c r="S2023" s="10"/>
      <c r="T2023" s="10"/>
      <c r="U2023" s="10" t="s">
        <v>4146</v>
      </c>
      <c r="V2023" s="10" t="s">
        <v>4146</v>
      </c>
      <c r="W2023" s="50">
        <f>+J2023/$W$2</f>
        <v>2.0379131921037313E-4</v>
      </c>
    </row>
    <row r="2024" spans="1:23">
      <c r="A2024" s="10" t="s">
        <v>2759</v>
      </c>
      <c r="B2024" s="10" t="s">
        <v>358</v>
      </c>
      <c r="C2024" s="124">
        <v>46386</v>
      </c>
      <c r="D2024" s="124" t="s">
        <v>471</v>
      </c>
      <c r="E2024" s="21">
        <v>0.94844622999999995</v>
      </c>
      <c r="F2024" s="10"/>
      <c r="G2024" s="14">
        <v>12500000</v>
      </c>
      <c r="H2024" s="14">
        <v>11855577.890000001</v>
      </c>
      <c r="I2024" s="14">
        <v>12500000</v>
      </c>
      <c r="J2024" s="14">
        <v>11855577.890000001</v>
      </c>
      <c r="K2024" s="12">
        <v>380</v>
      </c>
      <c r="L2024" s="10" t="s">
        <v>101</v>
      </c>
      <c r="M2024" s="10" t="s">
        <v>102</v>
      </c>
      <c r="N2024" s="124" t="s">
        <v>440</v>
      </c>
      <c r="O2024" s="124" t="s">
        <v>440</v>
      </c>
      <c r="P2024" s="21">
        <v>32</v>
      </c>
      <c r="Q2024" s="10" t="s">
        <v>54</v>
      </c>
      <c r="R2024" s="10" t="s">
        <v>28</v>
      </c>
      <c r="S2024" s="10"/>
      <c r="T2024" s="10"/>
      <c r="U2024" s="10" t="s">
        <v>2711</v>
      </c>
      <c r="V2024" s="10" t="s">
        <v>2711</v>
      </c>
      <c r="W2024" s="50">
        <f>+J2024/$W$2</f>
        <v>1.4509621806514815E-4</v>
      </c>
    </row>
    <row r="2025" spans="1:23">
      <c r="A2025" s="10" t="s">
        <v>2487</v>
      </c>
      <c r="B2025" s="10" t="s">
        <v>358</v>
      </c>
      <c r="C2025" s="124">
        <v>46386</v>
      </c>
      <c r="D2025" s="124" t="s">
        <v>471</v>
      </c>
      <c r="E2025" s="21">
        <v>0.94692063000000004</v>
      </c>
      <c r="F2025" s="10"/>
      <c r="G2025" s="14">
        <v>95000000</v>
      </c>
      <c r="H2025" s="14">
        <v>89957460.090000004</v>
      </c>
      <c r="I2025" s="14">
        <v>95000000</v>
      </c>
      <c r="J2025" s="14">
        <v>89957460.090000004</v>
      </c>
      <c r="K2025" s="12">
        <v>3104</v>
      </c>
      <c r="L2025" s="10" t="s">
        <v>101</v>
      </c>
      <c r="M2025" s="10" t="s">
        <v>102</v>
      </c>
      <c r="N2025" s="124" t="s">
        <v>603</v>
      </c>
      <c r="O2025" s="124" t="s">
        <v>603</v>
      </c>
      <c r="P2025" s="21">
        <v>33</v>
      </c>
      <c r="Q2025" s="10" t="s">
        <v>54</v>
      </c>
      <c r="R2025" s="10" t="s">
        <v>28</v>
      </c>
      <c r="S2025" s="10"/>
      <c r="T2025" s="10"/>
      <c r="U2025" s="10" t="s">
        <v>2600</v>
      </c>
      <c r="V2025" s="10" t="s">
        <v>2600</v>
      </c>
      <c r="W2025" s="50">
        <f>+J2025/$W$2</f>
        <v>1.1009574874300372E-3</v>
      </c>
    </row>
    <row r="2026" spans="1:23">
      <c r="A2026" s="10" t="s">
        <v>265</v>
      </c>
      <c r="B2026" s="10" t="s">
        <v>358</v>
      </c>
      <c r="C2026" s="124">
        <v>46386</v>
      </c>
      <c r="D2026" s="124" t="s">
        <v>471</v>
      </c>
      <c r="E2026" s="21">
        <v>0.95459784000000003</v>
      </c>
      <c r="F2026" s="10"/>
      <c r="G2026" s="14">
        <v>50000000</v>
      </c>
      <c r="H2026" s="14">
        <v>47729891.939999998</v>
      </c>
      <c r="I2026" s="14">
        <v>50000000</v>
      </c>
      <c r="J2026" s="14">
        <v>47729891.939999998</v>
      </c>
      <c r="K2026" s="12">
        <v>40665395</v>
      </c>
      <c r="L2026" s="10" t="s">
        <v>101</v>
      </c>
      <c r="M2026" s="10" t="s">
        <v>102</v>
      </c>
      <c r="N2026" s="124" t="s">
        <v>366</v>
      </c>
      <c r="O2026" s="124" t="s">
        <v>366</v>
      </c>
      <c r="P2026" s="21">
        <v>28</v>
      </c>
      <c r="Q2026" s="10" t="s">
        <v>54</v>
      </c>
      <c r="R2026" s="10" t="s">
        <v>28</v>
      </c>
      <c r="S2026" s="10"/>
      <c r="T2026" s="10"/>
      <c r="U2026" s="10" t="s">
        <v>883</v>
      </c>
      <c r="V2026" s="10" t="s">
        <v>883</v>
      </c>
      <c r="W2026" s="50">
        <f>+J2026/$W$2</f>
        <v>5.8414923957386244E-4</v>
      </c>
    </row>
    <row r="2027" spans="1:23">
      <c r="A2027" s="10" t="s">
        <v>910</v>
      </c>
      <c r="B2027" s="10" t="s">
        <v>358</v>
      </c>
      <c r="C2027" s="124">
        <v>46386</v>
      </c>
      <c r="D2027" s="124" t="s">
        <v>471</v>
      </c>
      <c r="E2027" s="21">
        <v>0.94844631999999995</v>
      </c>
      <c r="F2027" s="10"/>
      <c r="G2027" s="14">
        <v>7360000</v>
      </c>
      <c r="H2027" s="14">
        <v>6980564.8899999997</v>
      </c>
      <c r="I2027" s="14">
        <v>7360000</v>
      </c>
      <c r="J2027" s="14">
        <v>6980564.8899999997</v>
      </c>
      <c r="K2027" s="12">
        <v>14822330</v>
      </c>
      <c r="L2027" s="10" t="s">
        <v>101</v>
      </c>
      <c r="M2027" s="10" t="s">
        <v>102</v>
      </c>
      <c r="N2027" s="124" t="s">
        <v>469</v>
      </c>
      <c r="O2027" s="124" t="s">
        <v>469</v>
      </c>
      <c r="P2027" s="21">
        <v>32</v>
      </c>
      <c r="Q2027" s="10" t="s">
        <v>54</v>
      </c>
      <c r="R2027" s="10" t="s">
        <v>28</v>
      </c>
      <c r="S2027" s="10"/>
      <c r="T2027" s="10"/>
      <c r="U2027" s="10" t="s">
        <v>4000</v>
      </c>
      <c r="V2027" s="10" t="s">
        <v>4000</v>
      </c>
      <c r="W2027" s="50">
        <f>+J2027/$W$2</f>
        <v>8.5432660887132581E-5</v>
      </c>
    </row>
    <row r="2028" spans="1:23">
      <c r="A2028" s="10" t="s">
        <v>994</v>
      </c>
      <c r="B2028" s="10" t="s">
        <v>358</v>
      </c>
      <c r="C2028" s="124">
        <v>46386</v>
      </c>
      <c r="D2028" s="124" t="s">
        <v>471</v>
      </c>
      <c r="E2028" s="21">
        <v>0.94692056999999996</v>
      </c>
      <c r="F2028" s="10"/>
      <c r="G2028" s="14">
        <v>5000000</v>
      </c>
      <c r="H2028" s="14">
        <v>4734602.87</v>
      </c>
      <c r="I2028" s="14">
        <v>5000000</v>
      </c>
      <c r="J2028" s="14">
        <v>4734602.87</v>
      </c>
      <c r="K2028" s="12">
        <v>70108218</v>
      </c>
      <c r="L2028" s="10" t="s">
        <v>101</v>
      </c>
      <c r="M2028" s="10" t="s">
        <v>102</v>
      </c>
      <c r="N2028" s="124" t="s">
        <v>464</v>
      </c>
      <c r="O2028" s="124" t="s">
        <v>464</v>
      </c>
      <c r="P2028" s="21">
        <v>33</v>
      </c>
      <c r="Q2028" s="10" t="s">
        <v>54</v>
      </c>
      <c r="R2028" s="10" t="s">
        <v>28</v>
      </c>
      <c r="S2028" s="10"/>
      <c r="T2028" s="10"/>
      <c r="U2028" s="10" t="s">
        <v>2558</v>
      </c>
      <c r="V2028" s="10" t="s">
        <v>2558</v>
      </c>
      <c r="W2028" s="50">
        <f>+J2028/$W$2</f>
        <v>5.7945127335956146E-5</v>
      </c>
    </row>
    <row r="2029" spans="1:23">
      <c r="A2029" s="10" t="s">
        <v>1003</v>
      </c>
      <c r="B2029" s="10" t="s">
        <v>358</v>
      </c>
      <c r="C2029" s="124">
        <v>46386</v>
      </c>
      <c r="D2029" s="124" t="s">
        <v>471</v>
      </c>
      <c r="E2029" s="21">
        <v>0.94844613</v>
      </c>
      <c r="F2029" s="10"/>
      <c r="G2029" s="14">
        <v>20000000</v>
      </c>
      <c r="H2029" s="14">
        <v>18968922.640000001</v>
      </c>
      <c r="I2029" s="14">
        <v>20000000</v>
      </c>
      <c r="J2029" s="14">
        <v>18968922.640000001</v>
      </c>
      <c r="K2029" s="12">
        <v>53980</v>
      </c>
      <c r="L2029" s="10" t="s">
        <v>101</v>
      </c>
      <c r="M2029" s="10" t="s">
        <v>102</v>
      </c>
      <c r="N2029" s="124" t="s">
        <v>310</v>
      </c>
      <c r="O2029" s="124" t="s">
        <v>310</v>
      </c>
      <c r="P2029" s="21">
        <v>32</v>
      </c>
      <c r="Q2029" s="10" t="s">
        <v>54</v>
      </c>
      <c r="R2029" s="10" t="s">
        <v>28</v>
      </c>
      <c r="S2029" s="10"/>
      <c r="T2029" s="10"/>
      <c r="U2029" s="10" t="s">
        <v>1006</v>
      </c>
      <c r="V2029" s="10" t="s">
        <v>1006</v>
      </c>
      <c r="W2029" s="50">
        <f>+J2029/$W$2</f>
        <v>2.3215392462276385E-4</v>
      </c>
    </row>
    <row r="2030" spans="1:23">
      <c r="A2030" s="10" t="s">
        <v>1091</v>
      </c>
      <c r="B2030" s="10" t="s">
        <v>358</v>
      </c>
      <c r="C2030" s="124">
        <v>46386</v>
      </c>
      <c r="D2030" s="124" t="s">
        <v>471</v>
      </c>
      <c r="E2030" s="21">
        <v>0.95151205999999999</v>
      </c>
      <c r="F2030" s="10"/>
      <c r="G2030" s="14">
        <v>50000000</v>
      </c>
      <c r="H2030" s="14">
        <v>47575603.119999997</v>
      </c>
      <c r="I2030" s="14">
        <v>50000000</v>
      </c>
      <c r="J2030" s="14">
        <v>47575603.119999997</v>
      </c>
      <c r="K2030" s="12">
        <v>196468</v>
      </c>
      <c r="L2030" s="10" t="s">
        <v>101</v>
      </c>
      <c r="M2030" s="10" t="s">
        <v>102</v>
      </c>
      <c r="N2030" s="124" t="s">
        <v>161</v>
      </c>
      <c r="O2030" s="124" t="s">
        <v>161</v>
      </c>
      <c r="P2030" s="21">
        <v>30</v>
      </c>
      <c r="Q2030" s="10" t="s">
        <v>54</v>
      </c>
      <c r="R2030" s="10" t="s">
        <v>28</v>
      </c>
      <c r="S2030" s="10"/>
      <c r="T2030" s="10"/>
      <c r="U2030" s="10" t="s">
        <v>1046</v>
      </c>
      <c r="V2030" s="10" t="s">
        <v>1046</v>
      </c>
      <c r="W2030" s="50">
        <f>+J2030/$W$2</f>
        <v>5.8226095336129261E-4</v>
      </c>
    </row>
    <row r="2031" spans="1:23">
      <c r="A2031" s="10" t="s">
        <v>1126</v>
      </c>
      <c r="B2031" s="10" t="s">
        <v>358</v>
      </c>
      <c r="C2031" s="124">
        <v>46386</v>
      </c>
      <c r="D2031" s="124" t="s">
        <v>471</v>
      </c>
      <c r="E2031" s="21">
        <v>0.94086729000000002</v>
      </c>
      <c r="F2031" s="10"/>
      <c r="G2031" s="14">
        <v>25000000</v>
      </c>
      <c r="H2031" s="14">
        <v>23521682.300000001</v>
      </c>
      <c r="I2031" s="14">
        <v>25000000</v>
      </c>
      <c r="J2031" s="14">
        <v>23521682.300000001</v>
      </c>
      <c r="K2031" s="12">
        <v>40</v>
      </c>
      <c r="L2031" s="10" t="s">
        <v>101</v>
      </c>
      <c r="M2031" s="10" t="s">
        <v>102</v>
      </c>
      <c r="N2031" s="124" t="s">
        <v>399</v>
      </c>
      <c r="O2031" s="124" t="s">
        <v>399</v>
      </c>
      <c r="P2031" s="21">
        <v>37</v>
      </c>
      <c r="Q2031" s="10" t="s">
        <v>54</v>
      </c>
      <c r="R2031" s="10" t="s">
        <v>28</v>
      </c>
      <c r="S2031" s="10"/>
      <c r="T2031" s="10"/>
      <c r="U2031" s="10" t="s">
        <v>1106</v>
      </c>
      <c r="V2031" s="10" t="s">
        <v>1106</v>
      </c>
      <c r="W2031" s="50">
        <f>+J2031/$W$2</f>
        <v>2.8787353732783204E-4</v>
      </c>
    </row>
    <row r="2032" spans="1:23">
      <c r="A2032" s="10" t="s">
        <v>506</v>
      </c>
      <c r="B2032" s="10" t="s">
        <v>358</v>
      </c>
      <c r="C2032" s="124">
        <v>46386</v>
      </c>
      <c r="D2032" s="124" t="s">
        <v>471</v>
      </c>
      <c r="E2032" s="21">
        <v>0.95151207999999998</v>
      </c>
      <c r="F2032" s="10"/>
      <c r="G2032" s="14">
        <v>50000000</v>
      </c>
      <c r="H2032" s="14">
        <v>47575603.969999999</v>
      </c>
      <c r="I2032" s="14">
        <v>50000000</v>
      </c>
      <c r="J2032" s="14">
        <v>47575603.969999999</v>
      </c>
      <c r="K2032" s="12">
        <v>68015</v>
      </c>
      <c r="L2032" s="10" t="s">
        <v>101</v>
      </c>
      <c r="M2032" s="10" t="s">
        <v>102</v>
      </c>
      <c r="N2032" s="124" t="s">
        <v>344</v>
      </c>
      <c r="O2032" s="124" t="s">
        <v>344</v>
      </c>
      <c r="P2032" s="21">
        <v>30</v>
      </c>
      <c r="Q2032" s="10" t="s">
        <v>54</v>
      </c>
      <c r="R2032" s="10" t="s">
        <v>28</v>
      </c>
      <c r="S2032" s="10"/>
      <c r="T2032" s="10"/>
      <c r="U2032" s="10" t="s">
        <v>829</v>
      </c>
      <c r="V2032" s="10" t="s">
        <v>829</v>
      </c>
      <c r="W2032" s="50">
        <f>+J2032/$W$2</f>
        <v>5.8226096376414154E-4</v>
      </c>
    </row>
    <row r="2033" spans="1:29">
      <c r="A2033" s="10" t="s">
        <v>3320</v>
      </c>
      <c r="B2033" s="10" t="s">
        <v>358</v>
      </c>
      <c r="C2033" s="124">
        <v>46386</v>
      </c>
      <c r="D2033" s="124" t="s">
        <v>471</v>
      </c>
      <c r="E2033" s="21">
        <v>0.94692063000000004</v>
      </c>
      <c r="F2033" s="10"/>
      <c r="G2033" s="14">
        <v>200942.1</v>
      </c>
      <c r="H2033" s="14">
        <v>190276.22</v>
      </c>
      <c r="I2033" s="14">
        <v>200942.1</v>
      </c>
      <c r="J2033" s="14">
        <v>190276.22</v>
      </c>
      <c r="K2033" s="12">
        <v>6686920</v>
      </c>
      <c r="L2033" s="10" t="s">
        <v>101</v>
      </c>
      <c r="M2033" s="10" t="s">
        <v>102</v>
      </c>
      <c r="N2033" s="124" t="s">
        <v>417</v>
      </c>
      <c r="O2033" s="124" t="s">
        <v>417</v>
      </c>
      <c r="P2033" s="21">
        <v>33</v>
      </c>
      <c r="Q2033" s="10" t="s">
        <v>54</v>
      </c>
      <c r="R2033" s="10" t="s">
        <v>28</v>
      </c>
      <c r="S2033" s="10"/>
      <c r="T2033" s="10"/>
      <c r="U2033" s="10" t="s">
        <v>3259</v>
      </c>
      <c r="V2033" s="10" t="s">
        <v>3259</v>
      </c>
      <c r="W2033" s="50">
        <f>+J2033/$W$2</f>
        <v>2.3287232529608982E-6</v>
      </c>
    </row>
    <row r="2034" spans="1:29">
      <c r="A2034" s="10" t="s">
        <v>2824</v>
      </c>
      <c r="B2034" s="10" t="s">
        <v>358</v>
      </c>
      <c r="C2034" s="124">
        <v>46386</v>
      </c>
      <c r="D2034" s="124" t="s">
        <v>471</v>
      </c>
      <c r="E2034" s="21">
        <v>0.94844616999999998</v>
      </c>
      <c r="F2034" s="10"/>
      <c r="G2034" s="14">
        <v>766335.31</v>
      </c>
      <c r="H2034" s="14">
        <v>726827.79</v>
      </c>
      <c r="I2034" s="14">
        <v>766335.31</v>
      </c>
      <c r="J2034" s="14">
        <v>726827.79</v>
      </c>
      <c r="K2034" s="12">
        <v>50492552</v>
      </c>
      <c r="L2034" s="10" t="s">
        <v>101</v>
      </c>
      <c r="M2034" s="10" t="s">
        <v>102</v>
      </c>
      <c r="N2034" s="124" t="s">
        <v>412</v>
      </c>
      <c r="O2034" s="124" t="s">
        <v>412</v>
      </c>
      <c r="P2034" s="21">
        <v>32</v>
      </c>
      <c r="Q2034" s="10" t="s">
        <v>54</v>
      </c>
      <c r="R2034" s="10" t="s">
        <v>28</v>
      </c>
      <c r="S2034" s="10"/>
      <c r="T2034" s="10"/>
      <c r="U2034" s="10" t="s">
        <v>2790</v>
      </c>
      <c r="V2034" s="10" t="s">
        <v>2790</v>
      </c>
      <c r="W2034" s="50">
        <f>+J2034/$W$2</f>
        <v>8.8953878496807475E-6</v>
      </c>
    </row>
    <row r="2035" spans="1:29">
      <c r="A2035" s="10" t="s">
        <v>3322</v>
      </c>
      <c r="B2035" s="10" t="s">
        <v>358</v>
      </c>
      <c r="C2035" s="124">
        <v>46386</v>
      </c>
      <c r="D2035" s="124" t="s">
        <v>471</v>
      </c>
      <c r="E2035" s="21">
        <v>0.94692065999999997</v>
      </c>
      <c r="F2035" s="10"/>
      <c r="G2035" s="14">
        <v>528139.15</v>
      </c>
      <c r="H2035" s="14">
        <v>500105.87</v>
      </c>
      <c r="I2035" s="14">
        <v>528139.15</v>
      </c>
      <c r="J2035" s="14">
        <v>500105.87</v>
      </c>
      <c r="K2035" s="12">
        <v>17713</v>
      </c>
      <c r="L2035" s="10" t="s">
        <v>101</v>
      </c>
      <c r="M2035" s="10" t="s">
        <v>102</v>
      </c>
      <c r="N2035" s="124" t="s">
        <v>417</v>
      </c>
      <c r="O2035" s="124" t="s">
        <v>417</v>
      </c>
      <c r="P2035" s="21">
        <v>33</v>
      </c>
      <c r="Q2035" s="10" t="s">
        <v>54</v>
      </c>
      <c r="R2035" s="10" t="s">
        <v>28</v>
      </c>
      <c r="S2035" s="10"/>
      <c r="T2035" s="10"/>
      <c r="U2035" s="10" t="s">
        <v>3231</v>
      </c>
      <c r="V2035" s="10" t="s">
        <v>3231</v>
      </c>
      <c r="W2035" s="50">
        <f>+J2035/$W$2</f>
        <v>6.1206185849773557E-6</v>
      </c>
    </row>
    <row r="2036" spans="1:29">
      <c r="A2036" s="10" t="s">
        <v>3322</v>
      </c>
      <c r="B2036" s="10" t="s">
        <v>358</v>
      </c>
      <c r="C2036" s="124">
        <v>46386</v>
      </c>
      <c r="D2036" s="124" t="s">
        <v>471</v>
      </c>
      <c r="E2036" s="21">
        <v>0.94692065999999997</v>
      </c>
      <c r="F2036" s="10"/>
      <c r="G2036" s="14">
        <v>528139.15</v>
      </c>
      <c r="H2036" s="14">
        <v>500105.87</v>
      </c>
      <c r="I2036" s="14">
        <v>528139.15</v>
      </c>
      <c r="J2036" s="14">
        <v>500105.87</v>
      </c>
      <c r="K2036" s="12">
        <v>17712</v>
      </c>
      <c r="L2036" s="10" t="s">
        <v>101</v>
      </c>
      <c r="M2036" s="10" t="s">
        <v>102</v>
      </c>
      <c r="N2036" s="124" t="s">
        <v>417</v>
      </c>
      <c r="O2036" s="124" t="s">
        <v>417</v>
      </c>
      <c r="P2036" s="21">
        <v>33</v>
      </c>
      <c r="Q2036" s="10" t="s">
        <v>54</v>
      </c>
      <c r="R2036" s="10" t="s">
        <v>28</v>
      </c>
      <c r="S2036" s="10"/>
      <c r="T2036" s="10"/>
      <c r="U2036" s="10" t="s">
        <v>3232</v>
      </c>
      <c r="V2036" s="10" t="s">
        <v>3232</v>
      </c>
      <c r="W2036" s="50">
        <f>+J2036/$W$2</f>
        <v>6.1206185849773557E-6</v>
      </c>
    </row>
    <row r="2037" spans="1:29">
      <c r="A2037" s="10" t="s">
        <v>3322</v>
      </c>
      <c r="B2037" s="10" t="s">
        <v>358</v>
      </c>
      <c r="C2037" s="124">
        <v>46386</v>
      </c>
      <c r="D2037" s="124" t="s">
        <v>471</v>
      </c>
      <c r="E2037" s="21">
        <v>0.94692065999999997</v>
      </c>
      <c r="F2037" s="10"/>
      <c r="G2037" s="14">
        <v>528139.15</v>
      </c>
      <c r="H2037" s="14">
        <v>500105.87</v>
      </c>
      <c r="I2037" s="14">
        <v>528139.15</v>
      </c>
      <c r="J2037" s="14">
        <v>500105.87</v>
      </c>
      <c r="K2037" s="12">
        <v>17711</v>
      </c>
      <c r="L2037" s="10" t="s">
        <v>101</v>
      </c>
      <c r="M2037" s="10" t="s">
        <v>102</v>
      </c>
      <c r="N2037" s="124" t="s">
        <v>417</v>
      </c>
      <c r="O2037" s="124" t="s">
        <v>417</v>
      </c>
      <c r="P2037" s="21">
        <v>33</v>
      </c>
      <c r="Q2037" s="10" t="s">
        <v>54</v>
      </c>
      <c r="R2037" s="10" t="s">
        <v>28</v>
      </c>
      <c r="S2037" s="10"/>
      <c r="T2037" s="10"/>
      <c r="U2037" s="10" t="s">
        <v>3235</v>
      </c>
      <c r="V2037" s="10" t="s">
        <v>3235</v>
      </c>
      <c r="W2037" s="50">
        <f>+J2037/$W$2</f>
        <v>6.1206185849773557E-6</v>
      </c>
      <c r="AC2037" s="47"/>
    </row>
    <row r="2038" spans="1:29">
      <c r="A2038" s="10" t="s">
        <v>206</v>
      </c>
      <c r="B2038" s="10" t="s">
        <v>358</v>
      </c>
      <c r="C2038" s="124">
        <v>46386</v>
      </c>
      <c r="D2038" s="124" t="s">
        <v>471</v>
      </c>
      <c r="E2038" s="21">
        <v>0.94692065999999997</v>
      </c>
      <c r="F2038" s="10"/>
      <c r="G2038" s="14">
        <v>2170000</v>
      </c>
      <c r="H2038" s="14">
        <v>2054817.84</v>
      </c>
      <c r="I2038" s="14">
        <v>2170000</v>
      </c>
      <c r="J2038" s="14">
        <v>2054817.84</v>
      </c>
      <c r="K2038" s="12">
        <v>260750</v>
      </c>
      <c r="L2038" s="10" t="s">
        <v>101</v>
      </c>
      <c r="M2038" s="10" t="s">
        <v>102</v>
      </c>
      <c r="N2038" s="124" t="s">
        <v>479</v>
      </c>
      <c r="O2038" s="124" t="s">
        <v>479</v>
      </c>
      <c r="P2038" s="21">
        <v>33</v>
      </c>
      <c r="Q2038" s="10" t="s">
        <v>54</v>
      </c>
      <c r="R2038" s="10" t="s">
        <v>28</v>
      </c>
      <c r="S2038" s="10"/>
      <c r="T2038" s="10"/>
      <c r="U2038" s="10" t="s">
        <v>1197</v>
      </c>
      <c r="V2038" s="10" t="s">
        <v>1197</v>
      </c>
      <c r="W2038" s="50">
        <f>+J2038/$W$2</f>
        <v>2.5148187643242474E-5</v>
      </c>
    </row>
    <row r="2039" spans="1:29">
      <c r="A2039" s="10" t="s">
        <v>1536</v>
      </c>
      <c r="B2039" s="10" t="s">
        <v>358</v>
      </c>
      <c r="C2039" s="124">
        <v>46386</v>
      </c>
      <c r="D2039" s="124" t="s">
        <v>471</v>
      </c>
      <c r="E2039" s="21">
        <v>0.94997662999999999</v>
      </c>
      <c r="F2039" s="10"/>
      <c r="G2039" s="14">
        <v>25000000</v>
      </c>
      <c r="H2039" s="14">
        <v>23749415.629999999</v>
      </c>
      <c r="I2039" s="14">
        <v>25000000</v>
      </c>
      <c r="J2039" s="14">
        <v>23749415.629999999</v>
      </c>
      <c r="K2039" s="12">
        <v>14384930</v>
      </c>
      <c r="L2039" s="10" t="s">
        <v>101</v>
      </c>
      <c r="M2039" s="10" t="s">
        <v>102</v>
      </c>
      <c r="N2039" s="124" t="s">
        <v>480</v>
      </c>
      <c r="O2039" s="124" t="s">
        <v>480</v>
      </c>
      <c r="P2039" s="21">
        <v>31</v>
      </c>
      <c r="Q2039" s="10" t="s">
        <v>54</v>
      </c>
      <c r="R2039" s="10" t="s">
        <v>28</v>
      </c>
      <c r="S2039" s="10"/>
      <c r="T2039" s="10"/>
      <c r="U2039" s="10" t="s">
        <v>1534</v>
      </c>
      <c r="V2039" s="10" t="s">
        <v>1534</v>
      </c>
      <c r="W2039" s="50">
        <f>+J2039/$W$2</f>
        <v>2.9066068488124263E-4</v>
      </c>
    </row>
    <row r="2040" spans="1:29">
      <c r="A2040" s="10" t="s">
        <v>710</v>
      </c>
      <c r="B2040" s="10" t="s">
        <v>358</v>
      </c>
      <c r="C2040" s="124">
        <v>46386</v>
      </c>
      <c r="D2040" s="124" t="s">
        <v>471</v>
      </c>
      <c r="E2040" s="21">
        <v>0.95305245999999999</v>
      </c>
      <c r="F2040" s="10"/>
      <c r="G2040" s="14">
        <v>1187964.1299999999</v>
      </c>
      <c r="H2040" s="14">
        <v>1132192.1399999999</v>
      </c>
      <c r="I2040" s="14">
        <v>1187964.1299999999</v>
      </c>
      <c r="J2040" s="14">
        <v>1132192.1399999999</v>
      </c>
      <c r="K2040" s="12">
        <v>2599</v>
      </c>
      <c r="L2040" s="10" t="s">
        <v>101</v>
      </c>
      <c r="M2040" s="10" t="s">
        <v>102</v>
      </c>
      <c r="N2040" s="124" t="s">
        <v>467</v>
      </c>
      <c r="O2040" s="124" t="s">
        <v>467</v>
      </c>
      <c r="P2040" s="21">
        <v>29</v>
      </c>
      <c r="Q2040" s="10" t="s">
        <v>54</v>
      </c>
      <c r="R2040" s="10" t="s">
        <v>28</v>
      </c>
      <c r="S2040" s="10"/>
      <c r="T2040" s="10"/>
      <c r="U2040" s="10" t="s">
        <v>3729</v>
      </c>
      <c r="V2040" s="10" t="s">
        <v>3729</v>
      </c>
      <c r="W2040" s="50">
        <f>+J2040/$W$2</f>
        <v>1.3856498532699254E-5</v>
      </c>
    </row>
    <row r="2041" spans="1:29">
      <c r="A2041" s="10" t="s">
        <v>4163</v>
      </c>
      <c r="B2041" s="10" t="s">
        <v>358</v>
      </c>
      <c r="C2041" s="124">
        <v>46386</v>
      </c>
      <c r="D2041" s="124" t="s">
        <v>471</v>
      </c>
      <c r="E2041" s="21">
        <v>0.94692056000000002</v>
      </c>
      <c r="F2041" s="10"/>
      <c r="G2041" s="14">
        <v>2481010</v>
      </c>
      <c r="H2041" s="14">
        <v>2349319.39</v>
      </c>
      <c r="I2041" s="14">
        <v>2481010</v>
      </c>
      <c r="J2041" s="14">
        <v>2349319.39</v>
      </c>
      <c r="K2041" s="12">
        <v>80218018</v>
      </c>
      <c r="L2041" s="10" t="s">
        <v>101</v>
      </c>
      <c r="M2041" s="10" t="s">
        <v>102</v>
      </c>
      <c r="N2041" s="124" t="s">
        <v>471</v>
      </c>
      <c r="O2041" s="124" t="s">
        <v>471</v>
      </c>
      <c r="P2041" s="21">
        <v>33</v>
      </c>
      <c r="Q2041" s="10" t="s">
        <v>54</v>
      </c>
      <c r="R2041" s="10" t="s">
        <v>28</v>
      </c>
      <c r="S2041" s="10"/>
      <c r="T2041" s="10"/>
      <c r="U2041" s="10" t="s">
        <v>4135</v>
      </c>
      <c r="V2041" s="10" t="s">
        <v>4135</v>
      </c>
      <c r="W2041" s="50">
        <f>+J2041/$W$2</f>
        <v>2.8752487789198846E-5</v>
      </c>
    </row>
    <row r="2042" spans="1:29">
      <c r="A2042" s="10" t="s">
        <v>768</v>
      </c>
      <c r="B2042" s="10" t="s">
        <v>358</v>
      </c>
      <c r="C2042" s="124">
        <v>46386</v>
      </c>
      <c r="D2042" s="124" t="s">
        <v>471</v>
      </c>
      <c r="E2042" s="21">
        <v>0.94692072999999999</v>
      </c>
      <c r="F2042" s="10"/>
      <c r="G2042" s="14">
        <v>11666666.67</v>
      </c>
      <c r="H2042" s="14">
        <v>11047408.470000001</v>
      </c>
      <c r="I2042" s="14">
        <v>11666666.67</v>
      </c>
      <c r="J2042" s="14">
        <v>11047408.470000001</v>
      </c>
      <c r="K2042" s="12">
        <v>69879082</v>
      </c>
      <c r="L2042" s="10" t="s">
        <v>101</v>
      </c>
      <c r="M2042" s="10" t="s">
        <v>102</v>
      </c>
      <c r="N2042" s="124" t="s">
        <v>478</v>
      </c>
      <c r="O2042" s="124" t="s">
        <v>478</v>
      </c>
      <c r="P2042" s="21">
        <v>33</v>
      </c>
      <c r="Q2042" s="10" t="s">
        <v>54</v>
      </c>
      <c r="R2042" s="10" t="s">
        <v>28</v>
      </c>
      <c r="S2042" s="10"/>
      <c r="T2042" s="10"/>
      <c r="U2042" s="10" t="s">
        <v>2162</v>
      </c>
      <c r="V2042" s="10" t="s">
        <v>2162</v>
      </c>
      <c r="W2042" s="50">
        <f>+J2042/$W$2</f>
        <v>1.3520531882042948E-4</v>
      </c>
    </row>
    <row r="2043" spans="1:29">
      <c r="A2043" s="10" t="s">
        <v>832</v>
      </c>
      <c r="B2043" s="10" t="s">
        <v>358</v>
      </c>
      <c r="C2043" s="124">
        <v>46386</v>
      </c>
      <c r="D2043" s="124" t="s">
        <v>471</v>
      </c>
      <c r="E2043" s="21">
        <v>0.94540009999999997</v>
      </c>
      <c r="F2043" s="10"/>
      <c r="G2043" s="14">
        <v>215553.52</v>
      </c>
      <c r="H2043" s="14">
        <v>203784.32000000001</v>
      </c>
      <c r="I2043" s="14">
        <v>215553.52</v>
      </c>
      <c r="J2043" s="14">
        <v>203784.32000000001</v>
      </c>
      <c r="K2043" s="12">
        <v>30107610</v>
      </c>
      <c r="L2043" s="10" t="s">
        <v>101</v>
      </c>
      <c r="M2043" s="10" t="s">
        <v>102</v>
      </c>
      <c r="N2043" s="124" t="s">
        <v>469</v>
      </c>
      <c r="O2043" s="124" t="s">
        <v>469</v>
      </c>
      <c r="P2043" s="21">
        <v>34</v>
      </c>
      <c r="Q2043" s="10" t="s">
        <v>54</v>
      </c>
      <c r="R2043" s="10" t="s">
        <v>28</v>
      </c>
      <c r="S2043" s="10"/>
      <c r="T2043" s="10"/>
      <c r="U2043" s="10" t="s">
        <v>3966</v>
      </c>
      <c r="V2043" s="10" t="s">
        <v>3966</v>
      </c>
      <c r="W2043" s="50">
        <f>+J2043/$W$2</f>
        <v>2.4940441037394197E-6</v>
      </c>
    </row>
    <row r="2044" spans="1:29">
      <c r="A2044" s="10" t="s">
        <v>832</v>
      </c>
      <c r="B2044" s="10" t="s">
        <v>358</v>
      </c>
      <c r="C2044" s="124">
        <v>46386</v>
      </c>
      <c r="D2044" s="124" t="s">
        <v>471</v>
      </c>
      <c r="E2044" s="21">
        <v>0.94540007000000004</v>
      </c>
      <c r="F2044" s="10"/>
      <c r="G2044" s="14">
        <v>361280.85</v>
      </c>
      <c r="H2044" s="14">
        <v>341554.94</v>
      </c>
      <c r="I2044" s="14">
        <v>361280.85</v>
      </c>
      <c r="J2044" s="14">
        <v>341554.94</v>
      </c>
      <c r="K2044" s="12">
        <v>30106873</v>
      </c>
      <c r="L2044" s="10" t="s">
        <v>101</v>
      </c>
      <c r="M2044" s="10" t="s">
        <v>102</v>
      </c>
      <c r="N2044" s="124" t="s">
        <v>474</v>
      </c>
      <c r="O2044" s="124" t="s">
        <v>474</v>
      </c>
      <c r="P2044" s="21">
        <v>34</v>
      </c>
      <c r="Q2044" s="10" t="s">
        <v>54</v>
      </c>
      <c r="R2044" s="10" t="s">
        <v>28</v>
      </c>
      <c r="S2044" s="10"/>
      <c r="T2044" s="10"/>
      <c r="U2044" s="10" t="s">
        <v>3871</v>
      </c>
      <c r="V2044" s="10" t="s">
        <v>3871</v>
      </c>
      <c r="W2044" s="50">
        <f>+J2044/$W$2</f>
        <v>4.1801699179312291E-6</v>
      </c>
    </row>
    <row r="2045" spans="1:29">
      <c r="A2045" s="10" t="s">
        <v>832</v>
      </c>
      <c r="B2045" s="10" t="s">
        <v>358</v>
      </c>
      <c r="C2045" s="124">
        <v>46386</v>
      </c>
      <c r="D2045" s="124" t="s">
        <v>471</v>
      </c>
      <c r="E2045" s="21">
        <v>0.94692074000000004</v>
      </c>
      <c r="F2045" s="10"/>
      <c r="G2045" s="14">
        <v>204483.81</v>
      </c>
      <c r="H2045" s="14">
        <v>193629.96</v>
      </c>
      <c r="I2045" s="14">
        <v>204483.81</v>
      </c>
      <c r="J2045" s="14">
        <v>193629.96</v>
      </c>
      <c r="K2045" s="12">
        <v>124583</v>
      </c>
      <c r="L2045" s="10" t="s">
        <v>101</v>
      </c>
      <c r="M2045" s="10" t="s">
        <v>102</v>
      </c>
      <c r="N2045" s="124" t="s">
        <v>452</v>
      </c>
      <c r="O2045" s="124" t="s">
        <v>452</v>
      </c>
      <c r="P2045" s="21">
        <v>33</v>
      </c>
      <c r="Q2045" s="10" t="s">
        <v>54</v>
      </c>
      <c r="R2045" s="10" t="s">
        <v>28</v>
      </c>
      <c r="S2045" s="10"/>
      <c r="T2045" s="10"/>
      <c r="U2045" s="10" t="s">
        <v>2508</v>
      </c>
      <c r="V2045" s="10" t="s">
        <v>2508</v>
      </c>
      <c r="W2045" s="50">
        <f>+J2045/$W$2</f>
        <v>2.3697684887890279E-6</v>
      </c>
    </row>
    <row r="2046" spans="1:29">
      <c r="A2046" s="10" t="s">
        <v>574</v>
      </c>
      <c r="B2046" s="10" t="s">
        <v>358</v>
      </c>
      <c r="C2046" s="124">
        <v>46386</v>
      </c>
      <c r="D2046" s="124" t="s">
        <v>471</v>
      </c>
      <c r="E2046" s="21">
        <v>0.95151209000000003</v>
      </c>
      <c r="F2046" s="10"/>
      <c r="G2046" s="14">
        <v>15000000</v>
      </c>
      <c r="H2046" s="14">
        <v>14272681.4</v>
      </c>
      <c r="I2046" s="14">
        <v>15000000</v>
      </c>
      <c r="J2046" s="14">
        <v>14272681.4</v>
      </c>
      <c r="K2046" s="12">
        <v>90004194</v>
      </c>
      <c r="L2046" s="10" t="s">
        <v>101</v>
      </c>
      <c r="M2046" s="10" t="s">
        <v>102</v>
      </c>
      <c r="N2046" s="124" t="s">
        <v>408</v>
      </c>
      <c r="O2046" s="124" t="s">
        <v>408</v>
      </c>
      <c r="P2046" s="21">
        <v>30</v>
      </c>
      <c r="Q2046" s="10" t="s">
        <v>54</v>
      </c>
      <c r="R2046" s="10" t="s">
        <v>28</v>
      </c>
      <c r="S2046" s="10"/>
      <c r="T2046" s="10"/>
      <c r="U2046" s="10" t="s">
        <v>2031</v>
      </c>
      <c r="V2046" s="10" t="s">
        <v>2031</v>
      </c>
      <c r="W2046" s="50">
        <f>+J2046/$W$2</f>
        <v>1.7467829168711944E-4</v>
      </c>
    </row>
    <row r="2047" spans="1:29">
      <c r="A2047" s="10" t="s">
        <v>3776</v>
      </c>
      <c r="B2047" s="10" t="s">
        <v>358</v>
      </c>
      <c r="C2047" s="124">
        <v>46386</v>
      </c>
      <c r="D2047" s="124" t="s">
        <v>471</v>
      </c>
      <c r="E2047" s="21">
        <v>0.94692065999999997</v>
      </c>
      <c r="F2047" s="10"/>
      <c r="G2047" s="14">
        <v>6438423.1600000001</v>
      </c>
      <c r="H2047" s="14">
        <v>6096675.9299999997</v>
      </c>
      <c r="I2047" s="14">
        <v>6438423.1600000001</v>
      </c>
      <c r="J2047" s="14">
        <v>6096675.9299999997</v>
      </c>
      <c r="K2047" s="12">
        <v>9916415</v>
      </c>
      <c r="L2047" s="10" t="s">
        <v>101</v>
      </c>
      <c r="M2047" s="10" t="s">
        <v>102</v>
      </c>
      <c r="N2047" s="124" t="s">
        <v>467</v>
      </c>
      <c r="O2047" s="124" t="s">
        <v>467</v>
      </c>
      <c r="P2047" s="21">
        <v>33</v>
      </c>
      <c r="Q2047" s="10" t="s">
        <v>54</v>
      </c>
      <c r="R2047" s="10" t="s">
        <v>28</v>
      </c>
      <c r="S2047" s="10"/>
      <c r="T2047" s="10"/>
      <c r="U2047" s="10" t="s">
        <v>3760</v>
      </c>
      <c r="V2047" s="10" t="s">
        <v>3760</v>
      </c>
      <c r="W2047" s="50">
        <f>+J2047/$W$2</f>
        <v>7.4615057015311786E-5</v>
      </c>
    </row>
    <row r="2048" spans="1:29">
      <c r="A2048" s="10" t="s">
        <v>3323</v>
      </c>
      <c r="B2048" s="10" t="s">
        <v>358</v>
      </c>
      <c r="C2048" s="124">
        <v>46386</v>
      </c>
      <c r="D2048" s="124" t="s">
        <v>471</v>
      </c>
      <c r="E2048" s="21">
        <v>0.94692067000000002</v>
      </c>
      <c r="F2048" s="10"/>
      <c r="G2048" s="14">
        <v>4000000</v>
      </c>
      <c r="H2048" s="14">
        <v>3787682.69</v>
      </c>
      <c r="I2048" s="14">
        <v>4000000</v>
      </c>
      <c r="J2048" s="14">
        <v>3787682.69</v>
      </c>
      <c r="K2048" s="12">
        <v>70263505</v>
      </c>
      <c r="L2048" s="10" t="s">
        <v>101</v>
      </c>
      <c r="M2048" s="10" t="s">
        <v>102</v>
      </c>
      <c r="N2048" s="124" t="s">
        <v>417</v>
      </c>
      <c r="O2048" s="124" t="s">
        <v>417</v>
      </c>
      <c r="P2048" s="21">
        <v>33</v>
      </c>
      <c r="Q2048" s="10" t="s">
        <v>54</v>
      </c>
      <c r="R2048" s="10" t="s">
        <v>28</v>
      </c>
      <c r="S2048" s="10"/>
      <c r="T2048" s="10"/>
      <c r="U2048" s="10" t="s">
        <v>3218</v>
      </c>
      <c r="V2048" s="10" t="s">
        <v>3218</v>
      </c>
      <c r="W2048" s="50">
        <f>+J2048/$W$2</f>
        <v>4.6356106690791342E-5</v>
      </c>
    </row>
    <row r="2049" spans="1:23">
      <c r="A2049" s="10" t="s">
        <v>3325</v>
      </c>
      <c r="B2049" s="10" t="s">
        <v>358</v>
      </c>
      <c r="C2049" s="124">
        <v>46386</v>
      </c>
      <c r="D2049" s="124" t="s">
        <v>471</v>
      </c>
      <c r="E2049" s="21">
        <v>0.94692067999999996</v>
      </c>
      <c r="F2049" s="10"/>
      <c r="G2049" s="14">
        <v>1341000</v>
      </c>
      <c r="H2049" s="14">
        <v>1269820.6299999999</v>
      </c>
      <c r="I2049" s="14">
        <v>1341000</v>
      </c>
      <c r="J2049" s="14">
        <v>1269820.6299999999</v>
      </c>
      <c r="K2049" s="12">
        <v>90003567</v>
      </c>
      <c r="L2049" s="10" t="s">
        <v>101</v>
      </c>
      <c r="M2049" s="10" t="s">
        <v>102</v>
      </c>
      <c r="N2049" s="124" t="s">
        <v>417</v>
      </c>
      <c r="O2049" s="124" t="s">
        <v>417</v>
      </c>
      <c r="P2049" s="21">
        <v>33</v>
      </c>
      <c r="Q2049" s="10" t="s">
        <v>54</v>
      </c>
      <c r="R2049" s="10" t="s">
        <v>28</v>
      </c>
      <c r="S2049" s="10"/>
      <c r="T2049" s="10"/>
      <c r="U2049" s="10" t="s">
        <v>3250</v>
      </c>
      <c r="V2049" s="10" t="s">
        <v>3250</v>
      </c>
      <c r="W2049" s="50">
        <f>+J2049/$W$2</f>
        <v>1.5540884868169321E-5</v>
      </c>
    </row>
    <row r="2050" spans="1:23">
      <c r="A2050" s="10" t="s">
        <v>3325</v>
      </c>
      <c r="B2050" s="10" t="s">
        <v>358</v>
      </c>
      <c r="C2050" s="124">
        <v>46386</v>
      </c>
      <c r="D2050" s="124" t="s">
        <v>471</v>
      </c>
      <c r="E2050" s="21">
        <v>0.94692067000000002</v>
      </c>
      <c r="F2050" s="10"/>
      <c r="G2050" s="14">
        <v>149000</v>
      </c>
      <c r="H2050" s="14">
        <v>141091.18</v>
      </c>
      <c r="I2050" s="14">
        <v>149000</v>
      </c>
      <c r="J2050" s="14">
        <v>141091.18</v>
      </c>
      <c r="K2050" s="12">
        <v>90003555</v>
      </c>
      <c r="L2050" s="10" t="s">
        <v>101</v>
      </c>
      <c r="M2050" s="10" t="s">
        <v>102</v>
      </c>
      <c r="N2050" s="124" t="s">
        <v>417</v>
      </c>
      <c r="O2050" s="124" t="s">
        <v>417</v>
      </c>
      <c r="P2050" s="21">
        <v>33</v>
      </c>
      <c r="Q2050" s="10" t="s">
        <v>54</v>
      </c>
      <c r="R2050" s="10" t="s">
        <v>28</v>
      </c>
      <c r="S2050" s="10"/>
      <c r="T2050" s="10"/>
      <c r="U2050" s="10" t="s">
        <v>3252</v>
      </c>
      <c r="V2050" s="10" t="s">
        <v>3252</v>
      </c>
      <c r="W2050" s="50">
        <f>+J2050/$W$2</f>
        <v>1.7267649717536516E-6</v>
      </c>
    </row>
    <row r="2051" spans="1:23">
      <c r="A2051" s="10" t="s">
        <v>2437</v>
      </c>
      <c r="B2051" s="10" t="s">
        <v>358</v>
      </c>
      <c r="C2051" s="124">
        <v>46386</v>
      </c>
      <c r="D2051" s="124" t="s">
        <v>471</v>
      </c>
      <c r="E2051" s="21">
        <v>0.95305247000000004</v>
      </c>
      <c r="F2051" s="10"/>
      <c r="G2051" s="14">
        <v>2500000</v>
      </c>
      <c r="H2051" s="14">
        <v>2382631.17</v>
      </c>
      <c r="I2051" s="14">
        <v>2500000</v>
      </c>
      <c r="J2051" s="14">
        <v>2382631.17</v>
      </c>
      <c r="K2051" s="12">
        <v>367</v>
      </c>
      <c r="L2051" s="10" t="s">
        <v>101</v>
      </c>
      <c r="M2051" s="10" t="s">
        <v>102</v>
      </c>
      <c r="N2051" s="124" t="s">
        <v>467</v>
      </c>
      <c r="O2051" s="124" t="s">
        <v>467</v>
      </c>
      <c r="P2051" s="21">
        <v>29</v>
      </c>
      <c r="Q2051" s="10" t="s">
        <v>54</v>
      </c>
      <c r="R2051" s="10" t="s">
        <v>28</v>
      </c>
      <c r="S2051" s="10"/>
      <c r="T2051" s="10"/>
      <c r="U2051" s="10" t="s">
        <v>3739</v>
      </c>
      <c r="V2051" s="10" t="s">
        <v>3739</v>
      </c>
      <c r="W2051" s="50">
        <f>+J2051/$W$2</f>
        <v>2.9160178864223971E-5</v>
      </c>
    </row>
    <row r="2052" spans="1:23">
      <c r="A2052" s="10" t="s">
        <v>3166</v>
      </c>
      <c r="B2052" s="10" t="s">
        <v>358</v>
      </c>
      <c r="C2052" s="124">
        <v>46386</v>
      </c>
      <c r="D2052" s="124" t="s">
        <v>471</v>
      </c>
      <c r="E2052" s="21">
        <v>0.95151205999999999</v>
      </c>
      <c r="F2052" s="10"/>
      <c r="G2052" s="14">
        <v>4175312.5</v>
      </c>
      <c r="H2052" s="14">
        <v>3972860.18</v>
      </c>
      <c r="I2052" s="14">
        <v>4175312.5</v>
      </c>
      <c r="J2052" s="14">
        <v>3972860.18</v>
      </c>
      <c r="K2052" s="12">
        <v>40952807</v>
      </c>
      <c r="L2052" s="10" t="s">
        <v>101</v>
      </c>
      <c r="M2052" s="10" t="s">
        <v>102</v>
      </c>
      <c r="N2052" s="124" t="s">
        <v>475</v>
      </c>
      <c r="O2052" s="124" t="s">
        <v>475</v>
      </c>
      <c r="P2052" s="21">
        <v>30</v>
      </c>
      <c r="Q2052" s="10" t="s">
        <v>54</v>
      </c>
      <c r="R2052" s="10" t="s">
        <v>28</v>
      </c>
      <c r="S2052" s="10"/>
      <c r="T2052" s="10"/>
      <c r="U2052" s="10" t="s">
        <v>3381</v>
      </c>
      <c r="V2052" s="10" t="s">
        <v>3381</v>
      </c>
      <c r="W2052" s="50">
        <f>+J2052/$W$2</f>
        <v>4.862242839346094E-5</v>
      </c>
    </row>
    <row r="2053" spans="1:23">
      <c r="A2053" s="10" t="s">
        <v>4046</v>
      </c>
      <c r="B2053" s="10" t="s">
        <v>358</v>
      </c>
      <c r="C2053" s="124">
        <v>46386</v>
      </c>
      <c r="D2053" s="124" t="s">
        <v>471</v>
      </c>
      <c r="E2053" s="21">
        <v>0.94540014000000006</v>
      </c>
      <c r="F2053" s="10"/>
      <c r="G2053" s="14">
        <v>19131395.420000002</v>
      </c>
      <c r="H2053" s="14">
        <v>18086823.890000001</v>
      </c>
      <c r="I2053" s="14">
        <v>19131395.420000002</v>
      </c>
      <c r="J2053" s="14">
        <v>18086823.890000001</v>
      </c>
      <c r="K2053" s="12">
        <v>281</v>
      </c>
      <c r="L2053" s="10" t="s">
        <v>101</v>
      </c>
      <c r="M2053" s="10" t="s">
        <v>102</v>
      </c>
      <c r="N2053" s="124" t="s">
        <v>469</v>
      </c>
      <c r="O2053" s="124" t="s">
        <v>469</v>
      </c>
      <c r="P2053" s="21">
        <v>34</v>
      </c>
      <c r="Q2053" s="10" t="s">
        <v>54</v>
      </c>
      <c r="R2053" s="10" t="s">
        <v>28</v>
      </c>
      <c r="S2053" s="10"/>
      <c r="T2053" s="10"/>
      <c r="U2053" s="10" t="s">
        <v>3973</v>
      </c>
      <c r="V2053" s="10" t="s">
        <v>3973</v>
      </c>
      <c r="W2053" s="50">
        <f>+J2053/$W$2</f>
        <v>2.2135823049696746E-4</v>
      </c>
    </row>
    <row r="2054" spans="1:23">
      <c r="A2054" s="10" t="s">
        <v>4054</v>
      </c>
      <c r="B2054" s="10" t="s">
        <v>358</v>
      </c>
      <c r="C2054" s="124">
        <v>46386</v>
      </c>
      <c r="D2054" s="124" t="s">
        <v>471</v>
      </c>
      <c r="E2054" s="21">
        <v>0.94540014000000006</v>
      </c>
      <c r="F2054" s="10"/>
      <c r="G2054" s="14">
        <v>12701545.390000001</v>
      </c>
      <c r="H2054" s="14">
        <v>12008042.77</v>
      </c>
      <c r="I2054" s="14">
        <v>12701545.390000001</v>
      </c>
      <c r="J2054" s="14">
        <v>12008042.77</v>
      </c>
      <c r="K2054" s="12">
        <v>138</v>
      </c>
      <c r="L2054" s="10" t="s">
        <v>101</v>
      </c>
      <c r="M2054" s="10" t="s">
        <v>102</v>
      </c>
      <c r="N2054" s="124" t="s">
        <v>469</v>
      </c>
      <c r="O2054" s="124" t="s">
        <v>469</v>
      </c>
      <c r="P2054" s="21">
        <v>34</v>
      </c>
      <c r="Q2054" s="10" t="s">
        <v>54</v>
      </c>
      <c r="R2054" s="10" t="s">
        <v>28</v>
      </c>
      <c r="S2054" s="10"/>
      <c r="T2054" s="10"/>
      <c r="U2054" s="10" t="s">
        <v>4006</v>
      </c>
      <c r="V2054" s="10" t="s">
        <v>4006</v>
      </c>
      <c r="W2054" s="50">
        <f>+J2054/$W$2</f>
        <v>1.4696218172217208E-4</v>
      </c>
    </row>
    <row r="2055" spans="1:23">
      <c r="A2055" s="10" t="s">
        <v>4171</v>
      </c>
      <c r="B2055" s="10" t="s">
        <v>358</v>
      </c>
      <c r="C2055" s="124">
        <v>46386</v>
      </c>
      <c r="D2055" s="124" t="s">
        <v>471</v>
      </c>
      <c r="E2055" s="21">
        <v>0.95151198999999997</v>
      </c>
      <c r="F2055" s="10"/>
      <c r="G2055" s="14">
        <v>25254118.149999999</v>
      </c>
      <c r="H2055" s="14">
        <v>24029596.34</v>
      </c>
      <c r="I2055" s="14">
        <v>25254118.149999999</v>
      </c>
      <c r="J2055" s="14">
        <v>24029596.34</v>
      </c>
      <c r="K2055" s="12">
        <v>920</v>
      </c>
      <c r="L2055" s="10" t="s">
        <v>101</v>
      </c>
      <c r="M2055" s="10" t="s">
        <v>102</v>
      </c>
      <c r="N2055" s="124" t="s">
        <v>471</v>
      </c>
      <c r="O2055" s="124" t="s">
        <v>471</v>
      </c>
      <c r="P2055" s="21">
        <v>30</v>
      </c>
      <c r="Q2055" s="10" t="s">
        <v>54</v>
      </c>
      <c r="R2055" s="10" t="s">
        <v>28</v>
      </c>
      <c r="S2055" s="10"/>
      <c r="T2055" s="10"/>
      <c r="U2055" s="10" t="s">
        <v>4144</v>
      </c>
      <c r="V2055" s="10" t="s">
        <v>4144</v>
      </c>
      <c r="W2055" s="50">
        <f>+J2055/$W$2</f>
        <v>2.9408971733946624E-4</v>
      </c>
    </row>
    <row r="2056" spans="1:23">
      <c r="A2056" s="10" t="s">
        <v>362</v>
      </c>
      <c r="B2056" s="10" t="s">
        <v>358</v>
      </c>
      <c r="C2056" s="124">
        <v>46386</v>
      </c>
      <c r="D2056" s="124" t="s">
        <v>471</v>
      </c>
      <c r="E2056" s="21">
        <v>0.94692058999999995</v>
      </c>
      <c r="F2056" s="10"/>
      <c r="G2056" s="14">
        <v>25000000</v>
      </c>
      <c r="H2056" s="14">
        <v>23673014.75</v>
      </c>
      <c r="I2056" s="14">
        <v>25000000</v>
      </c>
      <c r="J2056" s="14">
        <v>23673014.75</v>
      </c>
      <c r="K2056" s="12">
        <v>4299</v>
      </c>
      <c r="L2056" s="10" t="s">
        <v>101</v>
      </c>
      <c r="M2056" s="10" t="s">
        <v>102</v>
      </c>
      <c r="N2056" s="124" t="s">
        <v>439</v>
      </c>
      <c r="O2056" s="124" t="s">
        <v>439</v>
      </c>
      <c r="P2056" s="21">
        <v>33</v>
      </c>
      <c r="Q2056" s="10" t="s">
        <v>54</v>
      </c>
      <c r="R2056" s="10" t="s">
        <v>28</v>
      </c>
      <c r="S2056" s="10"/>
      <c r="T2056" s="10"/>
      <c r="U2056" s="10" t="s">
        <v>2283</v>
      </c>
      <c r="V2056" s="10" t="s">
        <v>2283</v>
      </c>
      <c r="W2056" s="50">
        <f>+J2056/$W$2</f>
        <v>2.8972564157523902E-4</v>
      </c>
    </row>
    <row r="2057" spans="1:23">
      <c r="A2057" s="10" t="s">
        <v>306</v>
      </c>
      <c r="B2057" s="10" t="s">
        <v>358</v>
      </c>
      <c r="C2057" s="124">
        <v>46386</v>
      </c>
      <c r="D2057" s="124" t="s">
        <v>471</v>
      </c>
      <c r="E2057" s="21">
        <v>0.95151211000000002</v>
      </c>
      <c r="F2057" s="10"/>
      <c r="G2057" s="14">
        <v>200000000</v>
      </c>
      <c r="H2057" s="14">
        <v>190302421.69999999</v>
      </c>
      <c r="I2057" s="14">
        <v>200000000</v>
      </c>
      <c r="J2057" s="14">
        <v>190302421.69999999</v>
      </c>
      <c r="K2057" s="12">
        <v>7007</v>
      </c>
      <c r="L2057" s="10" t="s">
        <v>101</v>
      </c>
      <c r="M2057" s="10" t="s">
        <v>102</v>
      </c>
      <c r="N2057" s="124" t="s">
        <v>440</v>
      </c>
      <c r="O2057" s="124" t="s">
        <v>440</v>
      </c>
      <c r="P2057" s="21">
        <v>30</v>
      </c>
      <c r="Q2057" s="10" t="s">
        <v>54</v>
      </c>
      <c r="R2057" s="10" t="s">
        <v>28</v>
      </c>
      <c r="S2057" s="10"/>
      <c r="T2057" s="10"/>
      <c r="U2057" s="10" t="s">
        <v>2737</v>
      </c>
      <c r="V2057" s="10" t="s">
        <v>2737</v>
      </c>
      <c r="W2057" s="50">
        <f>+J2057/$W$2</f>
        <v>2.3290439262854843E-3</v>
      </c>
    </row>
    <row r="2058" spans="1:23">
      <c r="A2058" s="10" t="s">
        <v>2668</v>
      </c>
      <c r="B2058" s="10" t="s">
        <v>358</v>
      </c>
      <c r="C2058" s="124">
        <v>46386</v>
      </c>
      <c r="D2058" s="124" t="s">
        <v>471</v>
      </c>
      <c r="E2058" s="21">
        <v>0.94844616000000004</v>
      </c>
      <c r="F2058" s="10"/>
      <c r="G2058" s="14">
        <v>661730</v>
      </c>
      <c r="H2058" s="14">
        <v>627615.28</v>
      </c>
      <c r="I2058" s="14">
        <v>661730</v>
      </c>
      <c r="J2058" s="14">
        <v>627615.28</v>
      </c>
      <c r="K2058" s="12">
        <v>1253</v>
      </c>
      <c r="L2058" s="10" t="s">
        <v>101</v>
      </c>
      <c r="M2058" s="10" t="s">
        <v>102</v>
      </c>
      <c r="N2058" s="124" t="s">
        <v>603</v>
      </c>
      <c r="O2058" s="124" t="s">
        <v>603</v>
      </c>
      <c r="P2058" s="21">
        <v>32</v>
      </c>
      <c r="Q2058" s="10" t="s">
        <v>54</v>
      </c>
      <c r="R2058" s="10" t="s">
        <v>28</v>
      </c>
      <c r="S2058" s="10"/>
      <c r="T2058" s="10"/>
      <c r="U2058" s="10" t="s">
        <v>2572</v>
      </c>
      <c r="V2058" s="10" t="s">
        <v>2572</v>
      </c>
      <c r="W2058" s="50">
        <f>+J2058/$W$2</f>
        <v>7.6811610849194137E-6</v>
      </c>
    </row>
    <row r="2059" spans="1:23">
      <c r="A2059" s="10" t="s">
        <v>522</v>
      </c>
      <c r="B2059" s="10" t="s">
        <v>358</v>
      </c>
      <c r="C2059" s="124">
        <v>46386</v>
      </c>
      <c r="D2059" s="124" t="s">
        <v>471</v>
      </c>
      <c r="E2059" s="21">
        <v>0.94692058999999995</v>
      </c>
      <c r="F2059" s="10"/>
      <c r="G2059" s="14">
        <v>37250000</v>
      </c>
      <c r="H2059" s="14">
        <v>35272791.909999996</v>
      </c>
      <c r="I2059" s="14">
        <v>37250000</v>
      </c>
      <c r="J2059" s="14">
        <v>35272791.909999996</v>
      </c>
      <c r="K2059" s="12">
        <v>9827965</v>
      </c>
      <c r="L2059" s="10" t="s">
        <v>101</v>
      </c>
      <c r="M2059" s="10" t="s">
        <v>102</v>
      </c>
      <c r="N2059" s="124" t="s">
        <v>466</v>
      </c>
      <c r="O2059" s="124" t="s">
        <v>466</v>
      </c>
      <c r="P2059" s="21">
        <v>33</v>
      </c>
      <c r="Q2059" s="10" t="s">
        <v>54</v>
      </c>
      <c r="R2059" s="10" t="s">
        <v>28</v>
      </c>
      <c r="S2059" s="10"/>
      <c r="T2059" s="10"/>
      <c r="U2059" s="10" t="s">
        <v>3627</v>
      </c>
      <c r="V2059" s="10" t="s">
        <v>3627</v>
      </c>
      <c r="W2059" s="50">
        <f>+J2059/$W$2</f>
        <v>4.316912051209975E-4</v>
      </c>
    </row>
    <row r="2060" spans="1:23">
      <c r="A2060" s="10" t="s">
        <v>164</v>
      </c>
      <c r="B2060" s="10" t="s">
        <v>358</v>
      </c>
      <c r="C2060" s="124">
        <v>46386</v>
      </c>
      <c r="D2060" s="124" t="s">
        <v>471</v>
      </c>
      <c r="E2060" s="21">
        <v>0.93936611000000003</v>
      </c>
      <c r="F2060" s="10"/>
      <c r="G2060" s="14">
        <v>267500000</v>
      </c>
      <c r="H2060" s="14">
        <v>251280433.88999999</v>
      </c>
      <c r="I2060" s="14">
        <v>267500000</v>
      </c>
      <c r="J2060" s="14">
        <v>251280433.88999999</v>
      </c>
      <c r="K2060" s="12">
        <v>70427241</v>
      </c>
      <c r="L2060" s="10" t="s">
        <v>101</v>
      </c>
      <c r="M2060" s="10" t="s">
        <v>102</v>
      </c>
      <c r="N2060" s="124" t="s">
        <v>469</v>
      </c>
      <c r="O2060" s="124" t="s">
        <v>469</v>
      </c>
      <c r="P2060" s="21">
        <v>38</v>
      </c>
      <c r="Q2060" s="10" t="s">
        <v>54</v>
      </c>
      <c r="R2060" s="10" t="s">
        <v>28</v>
      </c>
      <c r="S2060" s="10"/>
      <c r="T2060" s="10"/>
      <c r="U2060" s="10" t="s">
        <v>4005</v>
      </c>
      <c r="V2060" s="10" t="s">
        <v>4005</v>
      </c>
      <c r="W2060" s="50">
        <f>+J2060/$W$2</f>
        <v>3.0753322165730785E-3</v>
      </c>
    </row>
    <row r="2061" spans="1:23">
      <c r="A2061" s="10" t="s">
        <v>164</v>
      </c>
      <c r="B2061" s="10" t="s">
        <v>358</v>
      </c>
      <c r="C2061" s="124">
        <v>46386</v>
      </c>
      <c r="D2061" s="124" t="s">
        <v>471</v>
      </c>
      <c r="E2061" s="21">
        <v>0.93936598000000004</v>
      </c>
      <c r="F2061" s="10"/>
      <c r="G2061" s="14">
        <v>283000000</v>
      </c>
      <c r="H2061" s="14">
        <v>265840571.24000001</v>
      </c>
      <c r="I2061" s="14">
        <v>283000000</v>
      </c>
      <c r="J2061" s="14">
        <v>265840571.24000001</v>
      </c>
      <c r="K2061" s="12">
        <v>70427226</v>
      </c>
      <c r="L2061" s="10" t="s">
        <v>101</v>
      </c>
      <c r="M2061" s="10" t="s">
        <v>102</v>
      </c>
      <c r="N2061" s="124" t="s">
        <v>467</v>
      </c>
      <c r="O2061" s="124" t="s">
        <v>467</v>
      </c>
      <c r="P2061" s="21">
        <v>38</v>
      </c>
      <c r="Q2061" s="10" t="s">
        <v>54</v>
      </c>
      <c r="R2061" s="10" t="s">
        <v>28</v>
      </c>
      <c r="S2061" s="10"/>
      <c r="T2061" s="10"/>
      <c r="U2061" s="10" t="s">
        <v>3769</v>
      </c>
      <c r="V2061" s="10" t="s">
        <v>3769</v>
      </c>
      <c r="W2061" s="50">
        <f>+J2061/$W$2</f>
        <v>3.2535285798035939E-3</v>
      </c>
    </row>
    <row r="2062" spans="1:23">
      <c r="A2062" s="10" t="s">
        <v>583</v>
      </c>
      <c r="B2062" s="10" t="s">
        <v>358</v>
      </c>
      <c r="C2062" s="124">
        <v>46386</v>
      </c>
      <c r="D2062" s="124" t="s">
        <v>471</v>
      </c>
      <c r="E2062" s="21">
        <v>0.94540005000000005</v>
      </c>
      <c r="F2062" s="10"/>
      <c r="G2062" s="14">
        <v>615971020</v>
      </c>
      <c r="H2062" s="14">
        <v>582339035.45000005</v>
      </c>
      <c r="I2062" s="14">
        <v>615971020</v>
      </c>
      <c r="J2062" s="14">
        <v>582339035.45000005</v>
      </c>
      <c r="K2062" s="12">
        <v>170738</v>
      </c>
      <c r="L2062" s="10" t="s">
        <v>101</v>
      </c>
      <c r="M2062" s="10" t="s">
        <v>102</v>
      </c>
      <c r="N2062" s="124" t="s">
        <v>474</v>
      </c>
      <c r="O2062" s="124" t="s">
        <v>474</v>
      </c>
      <c r="P2062" s="21">
        <v>34</v>
      </c>
      <c r="Q2062" s="10" t="s">
        <v>54</v>
      </c>
      <c r="R2062" s="10" t="s">
        <v>28</v>
      </c>
      <c r="S2062" s="10"/>
      <c r="T2062" s="10"/>
      <c r="U2062" s="10" t="s">
        <v>3856</v>
      </c>
      <c r="V2062" s="10" t="s">
        <v>3856</v>
      </c>
      <c r="W2062" s="50">
        <f>+J2062/$W$2</f>
        <v>7.1270411665695062E-3</v>
      </c>
    </row>
    <row r="2063" spans="1:23">
      <c r="A2063" s="10" t="s">
        <v>433</v>
      </c>
      <c r="B2063" s="10" t="s">
        <v>358</v>
      </c>
      <c r="C2063" s="124">
        <v>46386</v>
      </c>
      <c r="D2063" s="124" t="s">
        <v>471</v>
      </c>
      <c r="E2063" s="21">
        <v>0.94692061999999999</v>
      </c>
      <c r="F2063" s="10"/>
      <c r="G2063" s="14">
        <v>25000000</v>
      </c>
      <c r="H2063" s="14">
        <v>23673015.59</v>
      </c>
      <c r="I2063" s="14">
        <v>25000000</v>
      </c>
      <c r="J2063" s="14">
        <v>23673015.59</v>
      </c>
      <c r="K2063" s="12">
        <v>14422599</v>
      </c>
      <c r="L2063" s="10" t="s">
        <v>101</v>
      </c>
      <c r="M2063" s="10" t="s">
        <v>102</v>
      </c>
      <c r="N2063" s="124" t="s">
        <v>365</v>
      </c>
      <c r="O2063" s="124" t="s">
        <v>365</v>
      </c>
      <c r="P2063" s="21">
        <v>33</v>
      </c>
      <c r="Q2063" s="10" t="s">
        <v>54</v>
      </c>
      <c r="R2063" s="10" t="s">
        <v>28</v>
      </c>
      <c r="S2063" s="10"/>
      <c r="T2063" s="10"/>
      <c r="U2063" s="10" t="s">
        <v>1340</v>
      </c>
      <c r="V2063" s="10" t="s">
        <v>1340</v>
      </c>
      <c r="W2063" s="50">
        <f>+J2063/$W$2</f>
        <v>2.8972565185570142E-4</v>
      </c>
    </row>
    <row r="2064" spans="1:23">
      <c r="A2064" s="10" t="s">
        <v>433</v>
      </c>
      <c r="B2064" s="10" t="s">
        <v>358</v>
      </c>
      <c r="C2064" s="124">
        <v>46386</v>
      </c>
      <c r="D2064" s="124" t="s">
        <v>471</v>
      </c>
      <c r="E2064" s="21">
        <v>0.94844613</v>
      </c>
      <c r="F2064" s="10"/>
      <c r="G2064" s="14">
        <v>10000000</v>
      </c>
      <c r="H2064" s="14">
        <v>9484461.2599999998</v>
      </c>
      <c r="I2064" s="14">
        <v>10000000</v>
      </c>
      <c r="J2064" s="14">
        <v>9484461.2599999998</v>
      </c>
      <c r="K2064" s="12">
        <v>14422581</v>
      </c>
      <c r="L2064" s="10" t="s">
        <v>101</v>
      </c>
      <c r="M2064" s="10" t="s">
        <v>102</v>
      </c>
      <c r="N2064" s="124" t="s">
        <v>162</v>
      </c>
      <c r="O2064" s="124" t="s">
        <v>162</v>
      </c>
      <c r="P2064" s="21">
        <v>32</v>
      </c>
      <c r="Q2064" s="10" t="s">
        <v>54</v>
      </c>
      <c r="R2064" s="10" t="s">
        <v>28</v>
      </c>
      <c r="S2064" s="10"/>
      <c r="T2064" s="10"/>
      <c r="U2064" s="10" t="s">
        <v>1279</v>
      </c>
      <c r="V2064" s="10" t="s">
        <v>1279</v>
      </c>
      <c r="W2064" s="50">
        <f>+J2064/$W$2</f>
        <v>1.1607696157706318E-4</v>
      </c>
    </row>
    <row r="2065" spans="1:23">
      <c r="A2065" s="10" t="s">
        <v>433</v>
      </c>
      <c r="B2065" s="10" t="s">
        <v>358</v>
      </c>
      <c r="C2065" s="124">
        <v>46386</v>
      </c>
      <c r="D2065" s="124" t="s">
        <v>471</v>
      </c>
      <c r="E2065" s="21">
        <v>0.94692063000000004</v>
      </c>
      <c r="F2065" s="10"/>
      <c r="G2065" s="14">
        <v>12500000</v>
      </c>
      <c r="H2065" s="14">
        <v>11836507.91</v>
      </c>
      <c r="I2065" s="14">
        <v>12500000</v>
      </c>
      <c r="J2065" s="14">
        <v>11836507.91</v>
      </c>
      <c r="K2065" s="12">
        <v>14651823</v>
      </c>
      <c r="L2065" s="10" t="s">
        <v>101</v>
      </c>
      <c r="M2065" s="10" t="s">
        <v>102</v>
      </c>
      <c r="N2065" s="124" t="s">
        <v>603</v>
      </c>
      <c r="O2065" s="124" t="s">
        <v>603</v>
      </c>
      <c r="P2065" s="21">
        <v>33</v>
      </c>
      <c r="Q2065" s="10" t="s">
        <v>54</v>
      </c>
      <c r="R2065" s="10" t="s">
        <v>28</v>
      </c>
      <c r="S2065" s="10"/>
      <c r="T2065" s="10"/>
      <c r="U2065" s="10" t="s">
        <v>2653</v>
      </c>
      <c r="V2065" s="10" t="s">
        <v>2653</v>
      </c>
      <c r="W2065" s="50">
        <f>+J2065/$W$2</f>
        <v>1.44862827335295E-4</v>
      </c>
    </row>
    <row r="2066" spans="1:23">
      <c r="A2066" s="10" t="s">
        <v>3399</v>
      </c>
      <c r="B2066" s="10" t="s">
        <v>358</v>
      </c>
      <c r="C2066" s="124">
        <v>46386</v>
      </c>
      <c r="D2066" s="124" t="s">
        <v>471</v>
      </c>
      <c r="E2066" s="21">
        <v>0.95151205999999999</v>
      </c>
      <c r="F2066" s="10"/>
      <c r="G2066" s="14">
        <v>10000000</v>
      </c>
      <c r="H2066" s="14">
        <v>9515120.5600000005</v>
      </c>
      <c r="I2066" s="14">
        <v>10000000</v>
      </c>
      <c r="J2066" s="14">
        <v>9515120.5600000005</v>
      </c>
      <c r="K2066" s="12">
        <v>68055677</v>
      </c>
      <c r="L2066" s="10" t="s">
        <v>101</v>
      </c>
      <c r="M2066" s="10" t="s">
        <v>102</v>
      </c>
      <c r="N2066" s="124" t="s">
        <v>475</v>
      </c>
      <c r="O2066" s="124" t="s">
        <v>475</v>
      </c>
      <c r="P2066" s="21">
        <v>30</v>
      </c>
      <c r="Q2066" s="10" t="s">
        <v>54</v>
      </c>
      <c r="R2066" s="10" t="s">
        <v>28</v>
      </c>
      <c r="S2066" s="10"/>
      <c r="T2066" s="10"/>
      <c r="U2066" s="10" t="s">
        <v>3392</v>
      </c>
      <c r="V2066" s="10" t="s">
        <v>3392</v>
      </c>
      <c r="W2066" s="50">
        <f>+J2066/$W$2</f>
        <v>1.1645218988898521E-4</v>
      </c>
    </row>
    <row r="2067" spans="1:23">
      <c r="A2067" s="10" t="s">
        <v>685</v>
      </c>
      <c r="B2067" s="10" t="s">
        <v>358</v>
      </c>
      <c r="C2067" s="124">
        <v>46386</v>
      </c>
      <c r="D2067" s="124" t="s">
        <v>471</v>
      </c>
      <c r="E2067" s="21">
        <v>0.95151205000000005</v>
      </c>
      <c r="F2067" s="10"/>
      <c r="G2067" s="14">
        <v>1500000</v>
      </c>
      <c r="H2067" s="14">
        <v>1427268.08</v>
      </c>
      <c r="I2067" s="14">
        <v>1500000</v>
      </c>
      <c r="J2067" s="14">
        <v>1427268.08</v>
      </c>
      <c r="K2067" s="12">
        <v>10793605</v>
      </c>
      <c r="L2067" s="10" t="s">
        <v>101</v>
      </c>
      <c r="M2067" s="10" t="s">
        <v>102</v>
      </c>
      <c r="N2067" s="124" t="s">
        <v>475</v>
      </c>
      <c r="O2067" s="124" t="s">
        <v>475</v>
      </c>
      <c r="P2067" s="21">
        <v>30</v>
      </c>
      <c r="Q2067" s="10" t="s">
        <v>54</v>
      </c>
      <c r="R2067" s="10" t="s">
        <v>28</v>
      </c>
      <c r="S2067" s="10"/>
      <c r="T2067" s="10"/>
      <c r="U2067" s="10" t="s">
        <v>3334</v>
      </c>
      <c r="V2067" s="10" t="s">
        <v>3334</v>
      </c>
      <c r="W2067" s="50">
        <f>+J2067/$W$2</f>
        <v>1.7467828434393199E-5</v>
      </c>
    </row>
    <row r="2068" spans="1:23">
      <c r="A2068" s="10" t="s">
        <v>438</v>
      </c>
      <c r="B2068" s="10" t="s">
        <v>358</v>
      </c>
      <c r="C2068" s="124">
        <v>46386</v>
      </c>
      <c r="D2068" s="124" t="s">
        <v>471</v>
      </c>
      <c r="E2068" s="21">
        <v>0.95614816999999996</v>
      </c>
      <c r="F2068" s="10"/>
      <c r="G2068" s="14">
        <v>4701505.6900000004</v>
      </c>
      <c r="H2068" s="14">
        <v>4495336.05</v>
      </c>
      <c r="I2068" s="14">
        <v>4701505.6900000004</v>
      </c>
      <c r="J2068" s="14">
        <v>4495336.05</v>
      </c>
      <c r="K2068" s="12">
        <v>54486955</v>
      </c>
      <c r="L2068" s="10" t="s">
        <v>101</v>
      </c>
      <c r="M2068" s="10" t="s">
        <v>102</v>
      </c>
      <c r="N2068" s="124" t="s">
        <v>471</v>
      </c>
      <c r="O2068" s="124" t="s">
        <v>471</v>
      </c>
      <c r="P2068" s="21">
        <v>27</v>
      </c>
      <c r="Q2068" s="10" t="s">
        <v>54</v>
      </c>
      <c r="R2068" s="10" t="s">
        <v>28</v>
      </c>
      <c r="S2068" s="10"/>
      <c r="T2068" s="10"/>
      <c r="U2068" s="10" t="s">
        <v>4099</v>
      </c>
      <c r="V2068" s="10" t="s">
        <v>4099</v>
      </c>
      <c r="W2068" s="50">
        <f>+J2068/$W$2</f>
        <v>5.5016825484069395E-5</v>
      </c>
    </row>
    <row r="2069" spans="1:23">
      <c r="A2069" s="10" t="s">
        <v>367</v>
      </c>
      <c r="B2069" s="10" t="s">
        <v>358</v>
      </c>
      <c r="C2069" s="124">
        <v>46386</v>
      </c>
      <c r="D2069" s="124" t="s">
        <v>471</v>
      </c>
      <c r="E2069" s="21">
        <v>0.94844622999999995</v>
      </c>
      <c r="F2069" s="10"/>
      <c r="G2069" s="14">
        <v>2833000</v>
      </c>
      <c r="H2069" s="14">
        <v>2686948.16</v>
      </c>
      <c r="I2069" s="14">
        <v>2833000</v>
      </c>
      <c r="J2069" s="14">
        <v>2686948.16</v>
      </c>
      <c r="K2069" s="12">
        <v>90000057</v>
      </c>
      <c r="L2069" s="10" t="s">
        <v>101</v>
      </c>
      <c r="M2069" s="10" t="s">
        <v>102</v>
      </c>
      <c r="N2069" s="124" t="s">
        <v>477</v>
      </c>
      <c r="O2069" s="124" t="s">
        <v>477</v>
      </c>
      <c r="P2069" s="21">
        <v>32</v>
      </c>
      <c r="Q2069" s="10" t="s">
        <v>54</v>
      </c>
      <c r="R2069" s="10" t="s">
        <v>28</v>
      </c>
      <c r="S2069" s="10"/>
      <c r="T2069" s="10"/>
      <c r="U2069" s="10" t="s">
        <v>2400</v>
      </c>
      <c r="V2069" s="10" t="s">
        <v>2400</v>
      </c>
      <c r="W2069" s="50">
        <f>+J2069/$W$2</f>
        <v>3.288460670331006E-5</v>
      </c>
    </row>
    <row r="2070" spans="1:23">
      <c r="A2070" s="10" t="s">
        <v>2822</v>
      </c>
      <c r="B2070" s="10" t="s">
        <v>358</v>
      </c>
      <c r="C2070" s="124">
        <v>46386</v>
      </c>
      <c r="D2070" s="124" t="s">
        <v>471</v>
      </c>
      <c r="E2070" s="21">
        <v>0.94844618999999997</v>
      </c>
      <c r="F2070" s="10"/>
      <c r="G2070" s="14">
        <v>1858362</v>
      </c>
      <c r="H2070" s="14">
        <v>1762556.36</v>
      </c>
      <c r="I2070" s="14">
        <v>1858362</v>
      </c>
      <c r="J2070" s="14">
        <v>1762556.36</v>
      </c>
      <c r="K2070" s="12">
        <v>1487</v>
      </c>
      <c r="L2070" s="10" t="s">
        <v>101</v>
      </c>
      <c r="M2070" s="10" t="s">
        <v>102</v>
      </c>
      <c r="N2070" s="124" t="s">
        <v>412</v>
      </c>
      <c r="O2070" s="124" t="s">
        <v>412</v>
      </c>
      <c r="P2070" s="21">
        <v>32</v>
      </c>
      <c r="Q2070" s="10" t="s">
        <v>54</v>
      </c>
      <c r="R2070" s="10" t="s">
        <v>28</v>
      </c>
      <c r="S2070" s="10"/>
      <c r="T2070" s="10"/>
      <c r="U2070" s="10" t="s">
        <v>2774</v>
      </c>
      <c r="V2070" s="10" t="s">
        <v>2774</v>
      </c>
      <c r="W2070" s="50">
        <f>+J2070/$W$2</f>
        <v>2.1571302920491693E-5</v>
      </c>
    </row>
    <row r="2071" spans="1:23">
      <c r="A2071" s="10" t="s">
        <v>2966</v>
      </c>
      <c r="B2071" s="10" t="s">
        <v>358</v>
      </c>
      <c r="C2071" s="124">
        <v>46386</v>
      </c>
      <c r="D2071" s="124" t="s">
        <v>471</v>
      </c>
      <c r="E2071" s="21">
        <v>0.95151204</v>
      </c>
      <c r="F2071" s="10"/>
      <c r="G2071" s="14">
        <v>2103264.2599999998</v>
      </c>
      <c r="H2071" s="14">
        <v>2001281.27</v>
      </c>
      <c r="I2071" s="14">
        <v>2103264.2599999998</v>
      </c>
      <c r="J2071" s="14">
        <v>2001281.27</v>
      </c>
      <c r="K2071" s="12">
        <v>141</v>
      </c>
      <c r="L2071" s="10" t="s">
        <v>101</v>
      </c>
      <c r="M2071" s="10" t="s">
        <v>102</v>
      </c>
      <c r="N2071" s="124" t="s">
        <v>411</v>
      </c>
      <c r="O2071" s="124" t="s">
        <v>411</v>
      </c>
      <c r="P2071" s="21">
        <v>30</v>
      </c>
      <c r="Q2071" s="10" t="s">
        <v>54</v>
      </c>
      <c r="R2071" s="10" t="s">
        <v>28</v>
      </c>
      <c r="S2071" s="10"/>
      <c r="T2071" s="10"/>
      <c r="U2071" s="10" t="s">
        <v>2923</v>
      </c>
      <c r="V2071" s="10" t="s">
        <v>2923</v>
      </c>
      <c r="W2071" s="50">
        <f>+J2071/$W$2</f>
        <v>2.4492972527855125E-5</v>
      </c>
    </row>
    <row r="2072" spans="1:23">
      <c r="A2072" s="10" t="s">
        <v>3093</v>
      </c>
      <c r="B2072" s="10" t="s">
        <v>358</v>
      </c>
      <c r="C2072" s="124">
        <v>46386</v>
      </c>
      <c r="D2072" s="124" t="s">
        <v>471</v>
      </c>
      <c r="E2072" s="21">
        <v>0.95151220000000003</v>
      </c>
      <c r="F2072" s="10"/>
      <c r="G2072" s="14">
        <v>3930000</v>
      </c>
      <c r="H2072" s="14">
        <v>3739442.93</v>
      </c>
      <c r="I2072" s="14">
        <v>3930000</v>
      </c>
      <c r="J2072" s="14">
        <v>3739442.93</v>
      </c>
      <c r="K2072" s="12">
        <v>90000104</v>
      </c>
      <c r="L2072" s="10" t="s">
        <v>101</v>
      </c>
      <c r="M2072" s="10" t="s">
        <v>102</v>
      </c>
      <c r="N2072" s="124" t="s">
        <v>446</v>
      </c>
      <c r="O2072" s="124" t="s">
        <v>446</v>
      </c>
      <c r="P2072" s="21">
        <v>30</v>
      </c>
      <c r="Q2072" s="10" t="s">
        <v>54</v>
      </c>
      <c r="R2072" s="10" t="s">
        <v>28</v>
      </c>
      <c r="S2072" s="10"/>
      <c r="T2072" s="10"/>
      <c r="U2072" s="10" t="s">
        <v>3097</v>
      </c>
      <c r="V2072" s="10" t="s">
        <v>3097</v>
      </c>
      <c r="W2072" s="50">
        <f>+J2072/$W$2</f>
        <v>4.5765717356647262E-5</v>
      </c>
    </row>
    <row r="2073" spans="1:23">
      <c r="A2073" s="10" t="s">
        <v>3100</v>
      </c>
      <c r="B2073" s="10" t="s">
        <v>358</v>
      </c>
      <c r="C2073" s="124">
        <v>46386</v>
      </c>
      <c r="D2073" s="124" t="s">
        <v>471</v>
      </c>
      <c r="E2073" s="21">
        <v>0.94844631999999995</v>
      </c>
      <c r="F2073" s="10"/>
      <c r="G2073" s="14">
        <v>5476834</v>
      </c>
      <c r="H2073" s="14">
        <v>5194483.04</v>
      </c>
      <c r="I2073" s="14">
        <v>5476834</v>
      </c>
      <c r="J2073" s="14">
        <v>5194483.04</v>
      </c>
      <c r="K2073" s="12">
        <v>41054834</v>
      </c>
      <c r="L2073" s="10" t="s">
        <v>101</v>
      </c>
      <c r="M2073" s="10" t="s">
        <v>102</v>
      </c>
      <c r="N2073" s="124" t="s">
        <v>469</v>
      </c>
      <c r="O2073" s="124" t="s">
        <v>469</v>
      </c>
      <c r="P2073" s="21">
        <v>32</v>
      </c>
      <c r="Q2073" s="10" t="s">
        <v>54</v>
      </c>
      <c r="R2073" s="10" t="s">
        <v>28</v>
      </c>
      <c r="S2073" s="10"/>
      <c r="T2073" s="10"/>
      <c r="U2073" s="10" t="s">
        <v>4003</v>
      </c>
      <c r="V2073" s="10" t="s">
        <v>4003</v>
      </c>
      <c r="W2073" s="50">
        <f>+J2073/$W$2</f>
        <v>6.3573437828221604E-5</v>
      </c>
    </row>
    <row r="2074" spans="1:23">
      <c r="A2074" s="10" t="s">
        <v>379</v>
      </c>
      <c r="B2074" s="10" t="s">
        <v>358</v>
      </c>
      <c r="C2074" s="124">
        <v>46386</v>
      </c>
      <c r="D2074" s="124" t="s">
        <v>471</v>
      </c>
      <c r="E2074" s="21">
        <v>0.95459786000000002</v>
      </c>
      <c r="F2074" s="10"/>
      <c r="G2074" s="14">
        <v>21138534</v>
      </c>
      <c r="H2074" s="14">
        <v>20178799.260000002</v>
      </c>
      <c r="I2074" s="14">
        <v>21138534</v>
      </c>
      <c r="J2074" s="14">
        <v>20178799.260000002</v>
      </c>
      <c r="K2074" s="12">
        <v>69612979</v>
      </c>
      <c r="L2074" s="10" t="s">
        <v>101</v>
      </c>
      <c r="M2074" s="10" t="s">
        <v>102</v>
      </c>
      <c r="N2074" s="124" t="s">
        <v>408</v>
      </c>
      <c r="O2074" s="124" t="s">
        <v>408</v>
      </c>
      <c r="P2074" s="21">
        <v>28</v>
      </c>
      <c r="Q2074" s="10" t="s">
        <v>54</v>
      </c>
      <c r="R2074" s="10" t="s">
        <v>28</v>
      </c>
      <c r="S2074" s="10"/>
      <c r="T2074" s="10"/>
      <c r="U2074" s="10" t="s">
        <v>2074</v>
      </c>
      <c r="V2074" s="10" t="s">
        <v>2074</v>
      </c>
      <c r="W2074" s="50">
        <f>+J2074/$W$2</f>
        <v>2.4696117598716312E-4</v>
      </c>
    </row>
    <row r="2075" spans="1:23">
      <c r="A2075" s="10" t="s">
        <v>3319</v>
      </c>
      <c r="B2075" s="10" t="s">
        <v>358</v>
      </c>
      <c r="C2075" s="124">
        <v>46386</v>
      </c>
      <c r="D2075" s="124" t="s">
        <v>471</v>
      </c>
      <c r="E2075" s="21">
        <v>0.94692067000000002</v>
      </c>
      <c r="F2075" s="10"/>
      <c r="G2075" s="14">
        <v>1800000</v>
      </c>
      <c r="H2075" s="14">
        <v>1704457.21</v>
      </c>
      <c r="I2075" s="14">
        <v>1800000</v>
      </c>
      <c r="J2075" s="14">
        <v>1704457.21</v>
      </c>
      <c r="K2075" s="12">
        <v>30000446</v>
      </c>
      <c r="L2075" s="10" t="s">
        <v>101</v>
      </c>
      <c r="M2075" s="10" t="s">
        <v>102</v>
      </c>
      <c r="N2075" s="124" t="s">
        <v>417</v>
      </c>
      <c r="O2075" s="124" t="s">
        <v>417</v>
      </c>
      <c r="P2075" s="21">
        <v>33</v>
      </c>
      <c r="Q2075" s="10" t="s">
        <v>54</v>
      </c>
      <c r="R2075" s="10" t="s">
        <v>28</v>
      </c>
      <c r="S2075" s="10"/>
      <c r="T2075" s="10"/>
      <c r="U2075" s="10" t="s">
        <v>3290</v>
      </c>
      <c r="V2075" s="10" t="s">
        <v>3290</v>
      </c>
      <c r="W2075" s="50">
        <f>+J2075/$W$2</f>
        <v>2.086024800473678E-5</v>
      </c>
    </row>
    <row r="2076" spans="1:23">
      <c r="A2076" s="10" t="s">
        <v>3319</v>
      </c>
      <c r="B2076" s="10" t="s">
        <v>358</v>
      </c>
      <c r="C2076" s="124">
        <v>46386</v>
      </c>
      <c r="D2076" s="124" t="s">
        <v>471</v>
      </c>
      <c r="E2076" s="21">
        <v>0.94692067000000002</v>
      </c>
      <c r="F2076" s="10"/>
      <c r="G2076" s="14">
        <v>1800000</v>
      </c>
      <c r="H2076" s="14">
        <v>1704457.21</v>
      </c>
      <c r="I2076" s="14">
        <v>1800000</v>
      </c>
      <c r="J2076" s="14">
        <v>1704457.21</v>
      </c>
      <c r="K2076" s="12">
        <v>30000447</v>
      </c>
      <c r="L2076" s="10" t="s">
        <v>101</v>
      </c>
      <c r="M2076" s="10" t="s">
        <v>102</v>
      </c>
      <c r="N2076" s="124" t="s">
        <v>417</v>
      </c>
      <c r="O2076" s="124" t="s">
        <v>417</v>
      </c>
      <c r="P2076" s="21">
        <v>33</v>
      </c>
      <c r="Q2076" s="10" t="s">
        <v>54</v>
      </c>
      <c r="R2076" s="10" t="s">
        <v>28</v>
      </c>
      <c r="S2076" s="10"/>
      <c r="T2076" s="10"/>
      <c r="U2076" s="10" t="s">
        <v>3292</v>
      </c>
      <c r="V2076" s="10" t="s">
        <v>3292</v>
      </c>
      <c r="W2076" s="50">
        <f>+J2076/$W$2</f>
        <v>2.086024800473678E-5</v>
      </c>
    </row>
    <row r="2077" spans="1:23">
      <c r="A2077" s="10" t="s">
        <v>2443</v>
      </c>
      <c r="B2077" s="10" t="s">
        <v>358</v>
      </c>
      <c r="C2077" s="124">
        <v>46386</v>
      </c>
      <c r="D2077" s="124" t="s">
        <v>471</v>
      </c>
      <c r="E2077" s="21">
        <v>0.95151213000000001</v>
      </c>
      <c r="F2077" s="10"/>
      <c r="G2077" s="14">
        <v>750000</v>
      </c>
      <c r="H2077" s="14">
        <v>713634.1</v>
      </c>
      <c r="I2077" s="14">
        <v>750000</v>
      </c>
      <c r="J2077" s="14">
        <v>713634.1</v>
      </c>
      <c r="K2077" s="12">
        <v>69995922</v>
      </c>
      <c r="L2077" s="10" t="s">
        <v>101</v>
      </c>
      <c r="M2077" s="10" t="s">
        <v>102</v>
      </c>
      <c r="N2077" s="124" t="s">
        <v>477</v>
      </c>
      <c r="O2077" s="124" t="s">
        <v>477</v>
      </c>
      <c r="P2077" s="21">
        <v>30</v>
      </c>
      <c r="Q2077" s="10" t="s">
        <v>54</v>
      </c>
      <c r="R2077" s="10" t="s">
        <v>28</v>
      </c>
      <c r="S2077" s="10"/>
      <c r="T2077" s="10"/>
      <c r="U2077" s="10" t="s">
        <v>2426</v>
      </c>
      <c r="V2077" s="10" t="s">
        <v>2426</v>
      </c>
      <c r="W2077" s="50">
        <f>+J2077/$W$2</f>
        <v>8.7339149515153434E-6</v>
      </c>
    </row>
    <row r="2078" spans="1:23">
      <c r="A2078" s="10" t="s">
        <v>2485</v>
      </c>
      <c r="B2078" s="10" t="s">
        <v>358</v>
      </c>
      <c r="C2078" s="124">
        <v>46386</v>
      </c>
      <c r="D2078" s="124" t="s">
        <v>471</v>
      </c>
      <c r="E2078" s="21">
        <v>0.94997677999999997</v>
      </c>
      <c r="F2078" s="10"/>
      <c r="G2078" s="14">
        <v>6509893.4299999997</v>
      </c>
      <c r="H2078" s="14">
        <v>6184247.5999999996</v>
      </c>
      <c r="I2078" s="14">
        <v>6509893.4299999997</v>
      </c>
      <c r="J2078" s="14">
        <v>6184247.5999999996</v>
      </c>
      <c r="K2078" s="12">
        <v>11546</v>
      </c>
      <c r="L2078" s="10" t="s">
        <v>101</v>
      </c>
      <c r="M2078" s="10" t="s">
        <v>102</v>
      </c>
      <c r="N2078" s="124" t="s">
        <v>451</v>
      </c>
      <c r="O2078" s="124" t="s">
        <v>451</v>
      </c>
      <c r="P2078" s="21">
        <v>31</v>
      </c>
      <c r="Q2078" s="10" t="s">
        <v>54</v>
      </c>
      <c r="R2078" s="10" t="s">
        <v>28</v>
      </c>
      <c r="S2078" s="10"/>
      <c r="T2078" s="10"/>
      <c r="U2078" s="10" t="s">
        <v>3445</v>
      </c>
      <c r="V2078" s="10" t="s">
        <v>3445</v>
      </c>
      <c r="W2078" s="50">
        <f>+J2078/$W$2</f>
        <v>7.5686815662974737E-5</v>
      </c>
    </row>
    <row r="2079" spans="1:23">
      <c r="A2079" s="10" t="s">
        <v>2485</v>
      </c>
      <c r="B2079" s="10" t="s">
        <v>358</v>
      </c>
      <c r="C2079" s="124">
        <v>46386</v>
      </c>
      <c r="D2079" s="124" t="s">
        <v>471</v>
      </c>
      <c r="E2079" s="21">
        <v>0.94997677999999997</v>
      </c>
      <c r="F2079" s="10"/>
      <c r="G2079" s="14">
        <v>6509893.4400000004</v>
      </c>
      <c r="H2079" s="14">
        <v>6184247.6100000003</v>
      </c>
      <c r="I2079" s="14">
        <v>6509893.4400000004</v>
      </c>
      <c r="J2079" s="14">
        <v>6184247.6100000003</v>
      </c>
      <c r="K2079" s="12">
        <v>11547</v>
      </c>
      <c r="L2079" s="10" t="s">
        <v>101</v>
      </c>
      <c r="M2079" s="10" t="s">
        <v>102</v>
      </c>
      <c r="N2079" s="124" t="s">
        <v>451</v>
      </c>
      <c r="O2079" s="124" t="s">
        <v>451</v>
      </c>
      <c r="P2079" s="21">
        <v>31</v>
      </c>
      <c r="Q2079" s="10" t="s">
        <v>54</v>
      </c>
      <c r="R2079" s="10" t="s">
        <v>28</v>
      </c>
      <c r="S2079" s="10"/>
      <c r="T2079" s="10"/>
      <c r="U2079" s="10" t="s">
        <v>3448</v>
      </c>
      <c r="V2079" s="10" t="s">
        <v>3448</v>
      </c>
      <c r="W2079" s="50">
        <f>+J2079/$W$2</f>
        <v>7.56868157853612E-5</v>
      </c>
    </row>
    <row r="2080" spans="1:23">
      <c r="A2080" s="10" t="s">
        <v>2538</v>
      </c>
      <c r="B2080" s="10" t="s">
        <v>358</v>
      </c>
      <c r="C2080" s="124">
        <v>46386</v>
      </c>
      <c r="D2080" s="124" t="s">
        <v>471</v>
      </c>
      <c r="E2080" s="21">
        <v>0.94844625999999999</v>
      </c>
      <c r="F2080" s="10"/>
      <c r="G2080" s="14">
        <v>11145337.859999999</v>
      </c>
      <c r="H2080" s="14">
        <v>10570754.029999999</v>
      </c>
      <c r="I2080" s="14">
        <v>11145337.859999999</v>
      </c>
      <c r="J2080" s="14">
        <v>10570754.029999999</v>
      </c>
      <c r="K2080" s="12">
        <v>17</v>
      </c>
      <c r="L2080" s="10" t="s">
        <v>101</v>
      </c>
      <c r="M2080" s="10" t="s">
        <v>102</v>
      </c>
      <c r="N2080" s="124" t="s">
        <v>452</v>
      </c>
      <c r="O2080" s="124" t="s">
        <v>452</v>
      </c>
      <c r="P2080" s="21">
        <v>32</v>
      </c>
      <c r="Q2080" s="10" t="s">
        <v>54</v>
      </c>
      <c r="R2080" s="10" t="s">
        <v>28</v>
      </c>
      <c r="S2080" s="10"/>
      <c r="T2080" s="10"/>
      <c r="U2080" s="10" t="s">
        <v>2514</v>
      </c>
      <c r="V2080" s="10" t="s">
        <v>2514</v>
      </c>
      <c r="W2080" s="50">
        <f>+J2080/$W$2</f>
        <v>1.2937171397976648E-4</v>
      </c>
    </row>
    <row r="2081" spans="1:29">
      <c r="A2081" s="10" t="s">
        <v>2674</v>
      </c>
      <c r="B2081" s="10" t="s">
        <v>358</v>
      </c>
      <c r="C2081" s="124">
        <v>46386</v>
      </c>
      <c r="D2081" s="124" t="s">
        <v>471</v>
      </c>
      <c r="E2081" s="21">
        <v>0.94844618000000003</v>
      </c>
      <c r="F2081" s="10"/>
      <c r="G2081" s="14">
        <v>2336718.2999999998</v>
      </c>
      <c r="H2081" s="14">
        <v>2216251.5499999998</v>
      </c>
      <c r="I2081" s="14">
        <v>2336718.2999999998</v>
      </c>
      <c r="J2081" s="14">
        <v>2216251.5499999998</v>
      </c>
      <c r="K2081" s="12">
        <v>5392</v>
      </c>
      <c r="L2081" s="10" t="s">
        <v>101</v>
      </c>
      <c r="M2081" s="10" t="s">
        <v>102</v>
      </c>
      <c r="N2081" s="124" t="s">
        <v>603</v>
      </c>
      <c r="O2081" s="124" t="s">
        <v>603</v>
      </c>
      <c r="P2081" s="21">
        <v>32</v>
      </c>
      <c r="Q2081" s="10" t="s">
        <v>54</v>
      </c>
      <c r="R2081" s="10" t="s">
        <v>28</v>
      </c>
      <c r="S2081" s="10"/>
      <c r="T2081" s="10"/>
      <c r="U2081" s="10" t="s">
        <v>2580</v>
      </c>
      <c r="V2081" s="10" t="s">
        <v>2580</v>
      </c>
      <c r="W2081" s="50">
        <f>+J2081/$W$2</f>
        <v>2.7123917633510022E-5</v>
      </c>
      <c r="AC2081" s="47"/>
    </row>
    <row r="2082" spans="1:29">
      <c r="A2082" s="10" t="s">
        <v>2675</v>
      </c>
      <c r="B2082" s="10" t="s">
        <v>358</v>
      </c>
      <c r="C2082" s="124">
        <v>46386</v>
      </c>
      <c r="D2082" s="124" t="s">
        <v>471</v>
      </c>
      <c r="E2082" s="21">
        <v>0.94692063000000004</v>
      </c>
      <c r="F2082" s="10"/>
      <c r="G2082" s="14">
        <v>36300000</v>
      </c>
      <c r="H2082" s="14">
        <v>34373218.960000001</v>
      </c>
      <c r="I2082" s="14">
        <v>36300000</v>
      </c>
      <c r="J2082" s="14">
        <v>34373218.960000001</v>
      </c>
      <c r="K2082" s="12">
        <v>153</v>
      </c>
      <c r="L2082" s="10" t="s">
        <v>101</v>
      </c>
      <c r="M2082" s="10" t="s">
        <v>102</v>
      </c>
      <c r="N2082" s="124" t="s">
        <v>603</v>
      </c>
      <c r="O2082" s="124" t="s">
        <v>603</v>
      </c>
      <c r="P2082" s="21">
        <v>33</v>
      </c>
      <c r="Q2082" s="10" t="s">
        <v>54</v>
      </c>
      <c r="R2082" s="10" t="s">
        <v>28</v>
      </c>
      <c r="S2082" s="10"/>
      <c r="T2082" s="10"/>
      <c r="U2082" s="10" t="s">
        <v>2594</v>
      </c>
      <c r="V2082" s="10" t="s">
        <v>2594</v>
      </c>
      <c r="W2082" s="50">
        <f>+J2082/$W$2</f>
        <v>4.2068165045147746E-4</v>
      </c>
    </row>
    <row r="2083" spans="1:29">
      <c r="A2083" s="10" t="s">
        <v>2677</v>
      </c>
      <c r="B2083" s="10" t="s">
        <v>358</v>
      </c>
      <c r="C2083" s="124">
        <v>46386</v>
      </c>
      <c r="D2083" s="124" t="s">
        <v>471</v>
      </c>
      <c r="E2083" s="21">
        <v>0.94692063000000004</v>
      </c>
      <c r="F2083" s="10"/>
      <c r="G2083" s="14">
        <v>7500000</v>
      </c>
      <c r="H2083" s="14">
        <v>7101904.7400000002</v>
      </c>
      <c r="I2083" s="14">
        <v>7500000</v>
      </c>
      <c r="J2083" s="14">
        <v>7101904.7400000002</v>
      </c>
      <c r="K2083" s="12">
        <v>70407058</v>
      </c>
      <c r="L2083" s="10" t="s">
        <v>101</v>
      </c>
      <c r="M2083" s="10" t="s">
        <v>102</v>
      </c>
      <c r="N2083" s="124" t="s">
        <v>603</v>
      </c>
      <c r="O2083" s="124" t="s">
        <v>603</v>
      </c>
      <c r="P2083" s="21">
        <v>33</v>
      </c>
      <c r="Q2083" s="10" t="s">
        <v>54</v>
      </c>
      <c r="R2083" s="10" t="s">
        <v>28</v>
      </c>
      <c r="S2083" s="10"/>
      <c r="T2083" s="10"/>
      <c r="U2083" s="10" t="s">
        <v>2616</v>
      </c>
      <c r="V2083" s="10" t="s">
        <v>2616</v>
      </c>
      <c r="W2083" s="50">
        <f>+J2083/$W$2</f>
        <v>8.691769632774512E-5</v>
      </c>
    </row>
    <row r="2084" spans="1:29">
      <c r="A2084" s="10" t="s">
        <v>2741</v>
      </c>
      <c r="B2084" s="10" t="s">
        <v>358</v>
      </c>
      <c r="C2084" s="124">
        <v>46386</v>
      </c>
      <c r="D2084" s="124" t="s">
        <v>471</v>
      </c>
      <c r="E2084" s="21">
        <v>0.94844622999999995</v>
      </c>
      <c r="F2084" s="10"/>
      <c r="G2084" s="14">
        <v>90000000</v>
      </c>
      <c r="H2084" s="14">
        <v>85360160.810000002</v>
      </c>
      <c r="I2084" s="14">
        <v>90000000</v>
      </c>
      <c r="J2084" s="14">
        <v>85360160.810000002</v>
      </c>
      <c r="K2084" s="12">
        <v>573</v>
      </c>
      <c r="L2084" s="10" t="s">
        <v>101</v>
      </c>
      <c r="M2084" s="10" t="s">
        <v>102</v>
      </c>
      <c r="N2084" s="124" t="s">
        <v>440</v>
      </c>
      <c r="O2084" s="124" t="s">
        <v>440</v>
      </c>
      <c r="P2084" s="21">
        <v>32</v>
      </c>
      <c r="Q2084" s="10" t="s">
        <v>54</v>
      </c>
      <c r="R2084" s="10" t="s">
        <v>28</v>
      </c>
      <c r="S2084" s="10"/>
      <c r="T2084" s="10"/>
      <c r="U2084" s="10" t="s">
        <v>2697</v>
      </c>
      <c r="V2084" s="10" t="s">
        <v>2697</v>
      </c>
      <c r="W2084" s="50">
        <f>+J2084/$W$2</f>
        <v>1.0446927700935439E-3</v>
      </c>
    </row>
    <row r="2085" spans="1:29">
      <c r="A2085" s="10" t="s">
        <v>2016</v>
      </c>
      <c r="B2085" s="10" t="s">
        <v>358</v>
      </c>
      <c r="C2085" s="124">
        <v>46391</v>
      </c>
      <c r="D2085" s="124" t="s">
        <v>471</v>
      </c>
      <c r="E2085" s="21">
        <v>0.94945773</v>
      </c>
      <c r="F2085" s="10"/>
      <c r="G2085" s="14">
        <v>3969642.37</v>
      </c>
      <c r="H2085" s="14">
        <v>3769007.65</v>
      </c>
      <c r="I2085" s="14">
        <v>3969642.37</v>
      </c>
      <c r="J2085" s="14">
        <v>3769007.65</v>
      </c>
      <c r="K2085" s="12">
        <v>40781844</v>
      </c>
      <c r="L2085" s="10" t="s">
        <v>101</v>
      </c>
      <c r="M2085" s="10" t="s">
        <v>102</v>
      </c>
      <c r="N2085" s="124" t="s">
        <v>469</v>
      </c>
      <c r="O2085" s="124" t="s">
        <v>469</v>
      </c>
      <c r="P2085" s="21">
        <v>29</v>
      </c>
      <c r="Q2085" s="10" t="s">
        <v>54</v>
      </c>
      <c r="R2085" s="10" t="s">
        <v>28</v>
      </c>
      <c r="S2085" s="10"/>
      <c r="T2085" s="10"/>
      <c r="U2085" s="10" t="s">
        <v>3931</v>
      </c>
      <c r="V2085" s="10" t="s">
        <v>3931</v>
      </c>
      <c r="W2085" s="50">
        <f>+J2085/$W$2</f>
        <v>4.6127549491694287E-5</v>
      </c>
    </row>
    <row r="2086" spans="1:29">
      <c r="A2086" s="10" t="s">
        <v>2079</v>
      </c>
      <c r="B2086" s="10" t="s">
        <v>358</v>
      </c>
      <c r="C2086" s="124">
        <v>46391</v>
      </c>
      <c r="D2086" s="124" t="s">
        <v>471</v>
      </c>
      <c r="E2086" s="21">
        <v>0.94780598000000005</v>
      </c>
      <c r="F2086" s="10"/>
      <c r="G2086" s="14">
        <v>28000000</v>
      </c>
      <c r="H2086" s="14">
        <v>26538567.370000001</v>
      </c>
      <c r="I2086" s="14">
        <v>28000000</v>
      </c>
      <c r="J2086" s="14">
        <v>26538567.370000001</v>
      </c>
      <c r="K2086" s="12">
        <v>52503</v>
      </c>
      <c r="L2086" s="10" t="s">
        <v>101</v>
      </c>
      <c r="M2086" s="10" t="s">
        <v>102</v>
      </c>
      <c r="N2086" s="124" t="s">
        <v>475</v>
      </c>
      <c r="O2086" s="124" t="s">
        <v>475</v>
      </c>
      <c r="P2086" s="21">
        <v>30</v>
      </c>
      <c r="Q2086" s="10" t="s">
        <v>54</v>
      </c>
      <c r="R2086" s="10" t="s">
        <v>28</v>
      </c>
      <c r="S2086" s="10"/>
      <c r="T2086" s="10"/>
      <c r="U2086" s="10" t="s">
        <v>3393</v>
      </c>
      <c r="V2086" s="10" t="s">
        <v>3393</v>
      </c>
      <c r="W2086" s="50">
        <f>+J2086/$W$2</f>
        <v>3.2479612499548475E-4</v>
      </c>
    </row>
    <row r="2087" spans="1:29">
      <c r="A2087" s="10" t="s">
        <v>2212</v>
      </c>
      <c r="B2087" s="10" t="s">
        <v>358</v>
      </c>
      <c r="C2087" s="124">
        <v>46391</v>
      </c>
      <c r="D2087" s="124" t="s">
        <v>471</v>
      </c>
      <c r="E2087" s="21">
        <v>0.94288455000000004</v>
      </c>
      <c r="F2087" s="10"/>
      <c r="G2087" s="14">
        <v>7500000</v>
      </c>
      <c r="H2087" s="14">
        <v>7071634.1100000003</v>
      </c>
      <c r="I2087" s="14">
        <v>7500000</v>
      </c>
      <c r="J2087" s="14">
        <v>7071634.1100000003</v>
      </c>
      <c r="K2087" s="12">
        <v>339</v>
      </c>
      <c r="L2087" s="10" t="s">
        <v>101</v>
      </c>
      <c r="M2087" s="10" t="s">
        <v>102</v>
      </c>
      <c r="N2087" s="124" t="s">
        <v>478</v>
      </c>
      <c r="O2087" s="124" t="s">
        <v>478</v>
      </c>
      <c r="P2087" s="21">
        <v>33</v>
      </c>
      <c r="Q2087" s="10" t="s">
        <v>54</v>
      </c>
      <c r="R2087" s="10" t="s">
        <v>28</v>
      </c>
      <c r="S2087" s="10"/>
      <c r="T2087" s="10"/>
      <c r="U2087" s="10" t="s">
        <v>2185</v>
      </c>
      <c r="V2087" s="10" t="s">
        <v>2185</v>
      </c>
      <c r="W2087" s="50">
        <f>+J2087/$W$2</f>
        <v>8.654722481027029E-5</v>
      </c>
    </row>
    <row r="2088" spans="1:29">
      <c r="A2088" s="10" t="s">
        <v>453</v>
      </c>
      <c r="B2088" s="10" t="s">
        <v>358</v>
      </c>
      <c r="C2088" s="124">
        <v>46391</v>
      </c>
      <c r="D2088" s="124" t="s">
        <v>471</v>
      </c>
      <c r="E2088" s="21">
        <v>0.95444799999999996</v>
      </c>
      <c r="F2088" s="10"/>
      <c r="G2088" s="14">
        <v>25000000</v>
      </c>
      <c r="H2088" s="14">
        <v>23861200.059999999</v>
      </c>
      <c r="I2088" s="14">
        <v>25000000</v>
      </c>
      <c r="J2088" s="14">
        <v>23861200.059999999</v>
      </c>
      <c r="K2088" s="12">
        <v>9508926</v>
      </c>
      <c r="L2088" s="10" t="s">
        <v>101</v>
      </c>
      <c r="M2088" s="10" t="s">
        <v>102</v>
      </c>
      <c r="N2088" s="124" t="s">
        <v>308</v>
      </c>
      <c r="O2088" s="124" t="s">
        <v>308</v>
      </c>
      <c r="P2088" s="21">
        <v>26</v>
      </c>
      <c r="Q2088" s="10" t="s">
        <v>54</v>
      </c>
      <c r="R2088" s="10" t="s">
        <v>28</v>
      </c>
      <c r="S2088" s="10"/>
      <c r="T2088" s="10"/>
      <c r="U2088" s="10" t="s">
        <v>742</v>
      </c>
      <c r="V2088" s="10" t="s">
        <v>742</v>
      </c>
      <c r="W2088" s="50">
        <f>+J2088/$W$2</f>
        <v>2.9202877492139572E-4</v>
      </c>
    </row>
    <row r="2089" spans="1:29">
      <c r="A2089" s="10" t="s">
        <v>206</v>
      </c>
      <c r="B2089" s="10" t="s">
        <v>358</v>
      </c>
      <c r="C2089" s="124">
        <v>46391</v>
      </c>
      <c r="D2089" s="124" t="s">
        <v>471</v>
      </c>
      <c r="E2089" s="21">
        <v>0.94288450000000001</v>
      </c>
      <c r="F2089" s="10"/>
      <c r="G2089" s="14">
        <v>2170000</v>
      </c>
      <c r="H2089" s="14">
        <v>2046059.36</v>
      </c>
      <c r="I2089" s="14">
        <v>2170000</v>
      </c>
      <c r="J2089" s="14">
        <v>2046059.36</v>
      </c>
      <c r="K2089" s="12">
        <v>260751</v>
      </c>
      <c r="L2089" s="10" t="s">
        <v>101</v>
      </c>
      <c r="M2089" s="10" t="s">
        <v>102</v>
      </c>
      <c r="N2089" s="124" t="s">
        <v>479</v>
      </c>
      <c r="O2089" s="124" t="s">
        <v>479</v>
      </c>
      <c r="P2089" s="21">
        <v>33</v>
      </c>
      <c r="Q2089" s="10" t="s">
        <v>54</v>
      </c>
      <c r="R2089" s="10" t="s">
        <v>28</v>
      </c>
      <c r="S2089" s="10"/>
      <c r="T2089" s="10"/>
      <c r="U2089" s="10" t="s">
        <v>1212</v>
      </c>
      <c r="V2089" s="10" t="s">
        <v>1212</v>
      </c>
      <c r="W2089" s="50">
        <f>+J2089/$W$2</f>
        <v>2.5040995709134299E-5</v>
      </c>
    </row>
    <row r="2090" spans="1:29">
      <c r="A2090" s="10" t="s">
        <v>2759</v>
      </c>
      <c r="B2090" s="10" t="s">
        <v>358</v>
      </c>
      <c r="C2090" s="124">
        <v>46391</v>
      </c>
      <c r="D2090" s="124" t="s">
        <v>471</v>
      </c>
      <c r="E2090" s="21">
        <v>0.94451925000000003</v>
      </c>
      <c r="F2090" s="10"/>
      <c r="G2090" s="14">
        <v>12500000</v>
      </c>
      <c r="H2090" s="14">
        <v>11806490.65</v>
      </c>
      <c r="I2090" s="14">
        <v>12500000</v>
      </c>
      <c r="J2090" s="14">
        <v>11806490.65</v>
      </c>
      <c r="K2090" s="12">
        <v>381</v>
      </c>
      <c r="L2090" s="10" t="s">
        <v>101</v>
      </c>
      <c r="M2090" s="10" t="s">
        <v>102</v>
      </c>
      <c r="N2090" s="124" t="s">
        <v>440</v>
      </c>
      <c r="O2090" s="124" t="s">
        <v>440</v>
      </c>
      <c r="P2090" s="21">
        <v>32</v>
      </c>
      <c r="Q2090" s="10" t="s">
        <v>54</v>
      </c>
      <c r="R2090" s="10" t="s">
        <v>28</v>
      </c>
      <c r="S2090" s="10"/>
      <c r="T2090" s="10"/>
      <c r="U2090" s="10" t="s">
        <v>2712</v>
      </c>
      <c r="V2090" s="10" t="s">
        <v>2712</v>
      </c>
      <c r="W2090" s="50">
        <f>+J2090/$W$2</f>
        <v>1.4449545672349615E-4</v>
      </c>
    </row>
    <row r="2091" spans="1:29">
      <c r="A2091" s="10" t="s">
        <v>910</v>
      </c>
      <c r="B2091" s="10" t="s">
        <v>358</v>
      </c>
      <c r="C2091" s="124">
        <v>46391</v>
      </c>
      <c r="D2091" s="124" t="s">
        <v>471</v>
      </c>
      <c r="E2091" s="21">
        <v>0.94451940000000001</v>
      </c>
      <c r="F2091" s="10"/>
      <c r="G2091" s="14">
        <v>10000000</v>
      </c>
      <c r="H2091" s="14">
        <v>9445193.9600000009</v>
      </c>
      <c r="I2091" s="14">
        <v>10000000</v>
      </c>
      <c r="J2091" s="14">
        <v>9445193.9600000009</v>
      </c>
      <c r="K2091" s="12">
        <v>14615627</v>
      </c>
      <c r="L2091" s="10" t="s">
        <v>101</v>
      </c>
      <c r="M2091" s="10" t="s">
        <v>102</v>
      </c>
      <c r="N2091" s="124" t="s">
        <v>603</v>
      </c>
      <c r="O2091" s="124" t="s">
        <v>603</v>
      </c>
      <c r="P2091" s="21">
        <v>32</v>
      </c>
      <c r="Q2091" s="10" t="s">
        <v>54</v>
      </c>
      <c r="R2091" s="10" t="s">
        <v>28</v>
      </c>
      <c r="S2091" s="10"/>
      <c r="T2091" s="10"/>
      <c r="U2091" s="10" t="s">
        <v>2592</v>
      </c>
      <c r="V2091" s="10" t="s">
        <v>2592</v>
      </c>
      <c r="W2091" s="50">
        <f>+J2091/$W$2</f>
        <v>1.1559638300244681E-4</v>
      </c>
    </row>
    <row r="2092" spans="1:29">
      <c r="A2092" s="10" t="s">
        <v>1091</v>
      </c>
      <c r="B2092" s="10" t="s">
        <v>358</v>
      </c>
      <c r="C2092" s="124">
        <v>46391</v>
      </c>
      <c r="D2092" s="124" t="s">
        <v>471</v>
      </c>
      <c r="E2092" s="21">
        <v>0.94780578999999998</v>
      </c>
      <c r="F2092" s="10"/>
      <c r="G2092" s="14">
        <v>50000000</v>
      </c>
      <c r="H2092" s="14">
        <v>47390289.479999997</v>
      </c>
      <c r="I2092" s="14">
        <v>50000000</v>
      </c>
      <c r="J2092" s="14">
        <v>47390289.479999997</v>
      </c>
      <c r="K2092" s="12">
        <v>196472</v>
      </c>
      <c r="L2092" s="10" t="s">
        <v>101</v>
      </c>
      <c r="M2092" s="10" t="s">
        <v>102</v>
      </c>
      <c r="N2092" s="124" t="s">
        <v>161</v>
      </c>
      <c r="O2092" s="124" t="s">
        <v>161</v>
      </c>
      <c r="P2092" s="21">
        <v>30</v>
      </c>
      <c r="Q2092" s="10" t="s">
        <v>54</v>
      </c>
      <c r="R2092" s="10" t="s">
        <v>28</v>
      </c>
      <c r="S2092" s="10"/>
      <c r="T2092" s="10"/>
      <c r="U2092" s="10" t="s">
        <v>1047</v>
      </c>
      <c r="V2092" s="10" t="s">
        <v>1047</v>
      </c>
      <c r="W2092" s="50">
        <f>+J2092/$W$2</f>
        <v>5.799929653670029E-4</v>
      </c>
    </row>
    <row r="2093" spans="1:29">
      <c r="A2093" s="10" t="s">
        <v>3322</v>
      </c>
      <c r="B2093" s="10" t="s">
        <v>358</v>
      </c>
      <c r="C2093" s="124">
        <v>46391</v>
      </c>
      <c r="D2093" s="124" t="s">
        <v>471</v>
      </c>
      <c r="E2093" s="21">
        <v>0.94288446000000004</v>
      </c>
      <c r="F2093" s="10"/>
      <c r="G2093" s="14">
        <v>528139.15</v>
      </c>
      <c r="H2093" s="14">
        <v>497974.2</v>
      </c>
      <c r="I2093" s="14">
        <v>528139.15</v>
      </c>
      <c r="J2093" s="14">
        <v>497974.2</v>
      </c>
      <c r="K2093" s="12">
        <v>17714</v>
      </c>
      <c r="L2093" s="10" t="s">
        <v>101</v>
      </c>
      <c r="M2093" s="10" t="s">
        <v>102</v>
      </c>
      <c r="N2093" s="124" t="s">
        <v>417</v>
      </c>
      <c r="O2093" s="124" t="s">
        <v>417</v>
      </c>
      <c r="P2093" s="21">
        <v>33</v>
      </c>
      <c r="Q2093" s="10" t="s">
        <v>54</v>
      </c>
      <c r="R2093" s="10" t="s">
        <v>28</v>
      </c>
      <c r="S2093" s="10"/>
      <c r="T2093" s="10"/>
      <c r="U2093" s="10" t="s">
        <v>3229</v>
      </c>
      <c r="V2093" s="10" t="s">
        <v>3229</v>
      </c>
      <c r="W2093" s="50">
        <f>+J2093/$W$2</f>
        <v>6.0945298309720515E-6</v>
      </c>
    </row>
    <row r="2094" spans="1:29">
      <c r="A2094" s="10" t="s">
        <v>574</v>
      </c>
      <c r="B2094" s="10" t="s">
        <v>358</v>
      </c>
      <c r="C2094" s="124">
        <v>46391</v>
      </c>
      <c r="D2094" s="124" t="s">
        <v>471</v>
      </c>
      <c r="E2094" s="21">
        <v>0.94780580000000003</v>
      </c>
      <c r="F2094" s="10"/>
      <c r="G2094" s="14">
        <v>15000000</v>
      </c>
      <c r="H2094" s="14">
        <v>14217087.060000001</v>
      </c>
      <c r="I2094" s="14">
        <v>15000000</v>
      </c>
      <c r="J2094" s="14">
        <v>14217087.060000001</v>
      </c>
      <c r="K2094" s="12">
        <v>90004195</v>
      </c>
      <c r="L2094" s="10" t="s">
        <v>101</v>
      </c>
      <c r="M2094" s="10" t="s">
        <v>102</v>
      </c>
      <c r="N2094" s="124" t="s">
        <v>408</v>
      </c>
      <c r="O2094" s="124" t="s">
        <v>408</v>
      </c>
      <c r="P2094" s="21">
        <v>30</v>
      </c>
      <c r="Q2094" s="10" t="s">
        <v>54</v>
      </c>
      <c r="R2094" s="10" t="s">
        <v>28</v>
      </c>
      <c r="S2094" s="10"/>
      <c r="T2094" s="10"/>
      <c r="U2094" s="10" t="s">
        <v>2027</v>
      </c>
      <c r="V2094" s="10" t="s">
        <v>2027</v>
      </c>
      <c r="W2094" s="50">
        <f>+J2094/$W$2</f>
        <v>1.7399789225364839E-4</v>
      </c>
    </row>
    <row r="2095" spans="1:29">
      <c r="A2095" s="10" t="s">
        <v>433</v>
      </c>
      <c r="B2095" s="10" t="s">
        <v>358</v>
      </c>
      <c r="C2095" s="124">
        <v>46391</v>
      </c>
      <c r="D2095" s="124" t="s">
        <v>471</v>
      </c>
      <c r="E2095" s="21">
        <v>0.94288464999999999</v>
      </c>
      <c r="F2095" s="10"/>
      <c r="G2095" s="14">
        <v>12500000</v>
      </c>
      <c r="H2095" s="14">
        <v>11786058.15</v>
      </c>
      <c r="I2095" s="14">
        <v>12500000</v>
      </c>
      <c r="J2095" s="14">
        <v>11786058.15</v>
      </c>
      <c r="K2095" s="12">
        <v>14651824</v>
      </c>
      <c r="L2095" s="10" t="s">
        <v>101</v>
      </c>
      <c r="M2095" s="10" t="s">
        <v>102</v>
      </c>
      <c r="N2095" s="124" t="s">
        <v>603</v>
      </c>
      <c r="O2095" s="124" t="s">
        <v>603</v>
      </c>
      <c r="P2095" s="21">
        <v>33</v>
      </c>
      <c r="Q2095" s="10" t="s">
        <v>54</v>
      </c>
      <c r="R2095" s="10" t="s">
        <v>28</v>
      </c>
      <c r="S2095" s="10"/>
      <c r="T2095" s="10"/>
      <c r="U2095" s="10" t="s">
        <v>2660</v>
      </c>
      <c r="V2095" s="10" t="s">
        <v>2660</v>
      </c>
      <c r="W2095" s="50">
        <f>+J2095/$W$2</f>
        <v>1.4424539059402328E-4</v>
      </c>
    </row>
    <row r="2096" spans="1:29">
      <c r="A2096" s="10" t="s">
        <v>3579</v>
      </c>
      <c r="B2096" s="10" t="s">
        <v>358</v>
      </c>
      <c r="C2096" s="124">
        <v>46391</v>
      </c>
      <c r="D2096" s="124" t="s">
        <v>471</v>
      </c>
      <c r="E2096" s="21">
        <v>0.94125548000000003</v>
      </c>
      <c r="F2096" s="10"/>
      <c r="G2096" s="14">
        <v>784454.61</v>
      </c>
      <c r="H2096" s="14">
        <v>738372.2</v>
      </c>
      <c r="I2096" s="14">
        <v>784454.61</v>
      </c>
      <c r="J2096" s="14">
        <v>738372.2</v>
      </c>
      <c r="K2096" s="12">
        <v>20647351</v>
      </c>
      <c r="L2096" s="10" t="s">
        <v>101</v>
      </c>
      <c r="M2096" s="10" t="s">
        <v>102</v>
      </c>
      <c r="N2096" s="124" t="s">
        <v>451</v>
      </c>
      <c r="O2096" s="124" t="s">
        <v>451</v>
      </c>
      <c r="P2096" s="21">
        <v>34</v>
      </c>
      <c r="Q2096" s="10" t="s">
        <v>54</v>
      </c>
      <c r="R2096" s="10" t="s">
        <v>28</v>
      </c>
      <c r="S2096" s="10"/>
      <c r="T2096" s="10"/>
      <c r="U2096" s="10" t="s">
        <v>3494</v>
      </c>
      <c r="V2096" s="10" t="s">
        <v>3494</v>
      </c>
      <c r="W2096" s="50">
        <f>+J2096/$W$2</f>
        <v>9.0366757941685768E-6</v>
      </c>
    </row>
    <row r="2097" spans="1:29">
      <c r="A2097" s="10" t="s">
        <v>2823</v>
      </c>
      <c r="B2097" s="10" t="s">
        <v>358</v>
      </c>
      <c r="C2097" s="124">
        <v>46391</v>
      </c>
      <c r="D2097" s="124" t="s">
        <v>471</v>
      </c>
      <c r="E2097" s="21">
        <v>0.94451921999999999</v>
      </c>
      <c r="F2097" s="10"/>
      <c r="G2097" s="14">
        <v>513679.69</v>
      </c>
      <c r="H2097" s="14">
        <v>485180.34</v>
      </c>
      <c r="I2097" s="14">
        <v>513679.69</v>
      </c>
      <c r="J2097" s="14">
        <v>485180.34</v>
      </c>
      <c r="K2097" s="12">
        <v>5288</v>
      </c>
      <c r="L2097" s="10" t="s">
        <v>101</v>
      </c>
      <c r="M2097" s="10" t="s">
        <v>102</v>
      </c>
      <c r="N2097" s="124" t="s">
        <v>412</v>
      </c>
      <c r="O2097" s="124" t="s">
        <v>412</v>
      </c>
      <c r="P2097" s="21">
        <v>32</v>
      </c>
      <c r="Q2097" s="10" t="s">
        <v>54</v>
      </c>
      <c r="R2097" s="10" t="s">
        <v>28</v>
      </c>
      <c r="S2097" s="10"/>
      <c r="T2097" s="10"/>
      <c r="U2097" s="10" t="s">
        <v>2786</v>
      </c>
      <c r="V2097" s="10" t="s">
        <v>2786</v>
      </c>
      <c r="W2097" s="50">
        <f>+J2097/$W$2</f>
        <v>5.9379503105405113E-6</v>
      </c>
      <c r="AC2097" s="47"/>
    </row>
    <row r="2098" spans="1:29">
      <c r="A2098" s="10" t="s">
        <v>967</v>
      </c>
      <c r="B2098" s="10" t="s">
        <v>358</v>
      </c>
      <c r="C2098" s="124">
        <v>46391</v>
      </c>
      <c r="D2098" s="124" t="s">
        <v>471</v>
      </c>
      <c r="E2098" s="21">
        <v>0.93640164999999997</v>
      </c>
      <c r="F2098" s="10"/>
      <c r="G2098" s="14">
        <v>25000000</v>
      </c>
      <c r="H2098" s="14">
        <v>23410041.309999999</v>
      </c>
      <c r="I2098" s="14">
        <v>25000000</v>
      </c>
      <c r="J2098" s="14">
        <v>23410041.309999999</v>
      </c>
      <c r="K2098" s="12">
        <v>1117</v>
      </c>
      <c r="L2098" s="10" t="s">
        <v>101</v>
      </c>
      <c r="M2098" s="10" t="s">
        <v>102</v>
      </c>
      <c r="N2098" s="124" t="s">
        <v>372</v>
      </c>
      <c r="O2098" s="124" t="s">
        <v>372</v>
      </c>
      <c r="P2098" s="21">
        <v>37</v>
      </c>
      <c r="Q2098" s="10" t="s">
        <v>54</v>
      </c>
      <c r="R2098" s="10" t="s">
        <v>28</v>
      </c>
      <c r="S2098" s="10"/>
      <c r="T2098" s="10"/>
      <c r="U2098" s="10" t="s">
        <v>952</v>
      </c>
      <c r="V2098" s="10" t="s">
        <v>952</v>
      </c>
      <c r="W2098" s="50">
        <f>+J2098/$W$2</f>
        <v>2.8650720279902662E-4</v>
      </c>
    </row>
    <row r="2099" spans="1:29">
      <c r="A2099" s="10" t="s">
        <v>3319</v>
      </c>
      <c r="B2099" s="10" t="s">
        <v>358</v>
      </c>
      <c r="C2099" s="124">
        <v>46391</v>
      </c>
      <c r="D2099" s="124" t="s">
        <v>471</v>
      </c>
      <c r="E2099" s="21">
        <v>0.94288446000000004</v>
      </c>
      <c r="F2099" s="10"/>
      <c r="G2099" s="14">
        <v>1800000</v>
      </c>
      <c r="H2099" s="14">
        <v>1697192.03</v>
      </c>
      <c r="I2099" s="14">
        <v>1800000</v>
      </c>
      <c r="J2099" s="14">
        <v>1697192.03</v>
      </c>
      <c r="K2099" s="12">
        <v>30000448</v>
      </c>
      <c r="L2099" s="10" t="s">
        <v>101</v>
      </c>
      <c r="M2099" s="10" t="s">
        <v>102</v>
      </c>
      <c r="N2099" s="124" t="s">
        <v>417</v>
      </c>
      <c r="O2099" s="124" t="s">
        <v>417</v>
      </c>
      <c r="P2099" s="21">
        <v>33</v>
      </c>
      <c r="Q2099" s="10" t="s">
        <v>54</v>
      </c>
      <c r="R2099" s="10" t="s">
        <v>28</v>
      </c>
      <c r="S2099" s="10"/>
      <c r="T2099" s="10"/>
      <c r="U2099" s="10" t="s">
        <v>3288</v>
      </c>
      <c r="V2099" s="10" t="s">
        <v>3288</v>
      </c>
      <c r="W2099" s="50">
        <f>+J2099/$W$2</f>
        <v>2.0771332040340672E-5</v>
      </c>
    </row>
    <row r="2100" spans="1:29">
      <c r="A2100" s="10" t="s">
        <v>2537</v>
      </c>
      <c r="B2100" s="10" t="s">
        <v>358</v>
      </c>
      <c r="C2100" s="124">
        <v>46391</v>
      </c>
      <c r="D2100" s="124" t="s">
        <v>471</v>
      </c>
      <c r="E2100" s="21">
        <v>0.94451927999999996</v>
      </c>
      <c r="F2100" s="10"/>
      <c r="G2100" s="14">
        <v>10386286.039999999</v>
      </c>
      <c r="H2100" s="14">
        <v>9810047.4600000009</v>
      </c>
      <c r="I2100" s="14">
        <v>10386286.039999999</v>
      </c>
      <c r="J2100" s="14">
        <v>9810047.4600000009</v>
      </c>
      <c r="K2100" s="12">
        <v>54595091</v>
      </c>
      <c r="L2100" s="10" t="s">
        <v>101</v>
      </c>
      <c r="M2100" s="10" t="s">
        <v>102</v>
      </c>
      <c r="N2100" s="124" t="s">
        <v>452</v>
      </c>
      <c r="O2100" s="124" t="s">
        <v>452</v>
      </c>
      <c r="P2100" s="21">
        <v>32</v>
      </c>
      <c r="Q2100" s="10" t="s">
        <v>54</v>
      </c>
      <c r="R2100" s="10" t="s">
        <v>28</v>
      </c>
      <c r="S2100" s="10"/>
      <c r="T2100" s="10"/>
      <c r="U2100" s="10" t="s">
        <v>2510</v>
      </c>
      <c r="V2100" s="10" t="s">
        <v>2510</v>
      </c>
      <c r="W2100" s="50">
        <f>+J2100/$W$2</f>
        <v>1.2006169574291521E-4</v>
      </c>
    </row>
    <row r="2101" spans="1:29">
      <c r="A2101" s="10" t="s">
        <v>2541</v>
      </c>
      <c r="B2101" s="10" t="s">
        <v>358</v>
      </c>
      <c r="C2101" s="124">
        <v>46391</v>
      </c>
      <c r="D2101" s="124" t="s">
        <v>471</v>
      </c>
      <c r="E2101" s="21">
        <v>0.94780584000000001</v>
      </c>
      <c r="F2101" s="10"/>
      <c r="G2101" s="14">
        <v>5890000</v>
      </c>
      <c r="H2101" s="14">
        <v>5582576.4199999999</v>
      </c>
      <c r="I2101" s="14">
        <v>5890000</v>
      </c>
      <c r="J2101" s="14">
        <v>5582576.4199999999</v>
      </c>
      <c r="K2101" s="12">
        <v>1029</v>
      </c>
      <c r="L2101" s="10" t="s">
        <v>101</v>
      </c>
      <c r="M2101" s="10" t="s">
        <v>102</v>
      </c>
      <c r="N2101" s="124" t="s">
        <v>452</v>
      </c>
      <c r="O2101" s="124" t="s">
        <v>452</v>
      </c>
      <c r="P2101" s="21">
        <v>30</v>
      </c>
      <c r="Q2101" s="10" t="s">
        <v>54</v>
      </c>
      <c r="R2101" s="10" t="s">
        <v>28</v>
      </c>
      <c r="S2101" s="10"/>
      <c r="T2101" s="10"/>
      <c r="U2101" s="10" t="s">
        <v>2529</v>
      </c>
      <c r="V2101" s="10" t="s">
        <v>2529</v>
      </c>
      <c r="W2101" s="50">
        <f>+J2101/$W$2</f>
        <v>6.832317522749403E-5</v>
      </c>
    </row>
    <row r="2102" spans="1:29">
      <c r="A2102" s="10" t="s">
        <v>2672</v>
      </c>
      <c r="B2102" s="10" t="s">
        <v>358</v>
      </c>
      <c r="C2102" s="124">
        <v>46391</v>
      </c>
      <c r="D2102" s="124" t="s">
        <v>471</v>
      </c>
      <c r="E2102" s="21">
        <v>0.94451940000000001</v>
      </c>
      <c r="F2102" s="10"/>
      <c r="G2102" s="14">
        <v>1055400.46</v>
      </c>
      <c r="H2102" s="14">
        <v>996846.21</v>
      </c>
      <c r="I2102" s="14">
        <v>1055400.46</v>
      </c>
      <c r="J2102" s="14">
        <v>996846.21</v>
      </c>
      <c r="K2102" s="12">
        <v>12532</v>
      </c>
      <c r="L2102" s="10" t="s">
        <v>101</v>
      </c>
      <c r="M2102" s="10" t="s">
        <v>102</v>
      </c>
      <c r="N2102" s="124" t="s">
        <v>603</v>
      </c>
      <c r="O2102" s="124" t="s">
        <v>603</v>
      </c>
      <c r="P2102" s="21">
        <v>32</v>
      </c>
      <c r="Q2102" s="10" t="s">
        <v>54</v>
      </c>
      <c r="R2102" s="10" t="s">
        <v>28</v>
      </c>
      <c r="S2102" s="10"/>
      <c r="T2102" s="10"/>
      <c r="U2102" s="10" t="s">
        <v>2568</v>
      </c>
      <c r="V2102" s="10" t="s">
        <v>2568</v>
      </c>
      <c r="W2102" s="50">
        <f>+J2102/$W$2</f>
        <v>1.2200047640493083E-5</v>
      </c>
    </row>
    <row r="2103" spans="1:29">
      <c r="A2103" s="10" t="s">
        <v>2676</v>
      </c>
      <c r="B2103" s="10" t="s">
        <v>358</v>
      </c>
      <c r="C2103" s="124">
        <v>46391</v>
      </c>
      <c r="D2103" s="124" t="s">
        <v>471</v>
      </c>
      <c r="E2103" s="21">
        <v>0.94451940000000001</v>
      </c>
      <c r="F2103" s="10"/>
      <c r="G2103" s="14">
        <v>6250000</v>
      </c>
      <c r="H2103" s="14">
        <v>5903246.2300000004</v>
      </c>
      <c r="I2103" s="14">
        <v>6250000</v>
      </c>
      <c r="J2103" s="14">
        <v>5903246.2300000004</v>
      </c>
      <c r="K2103" s="12">
        <v>1412</v>
      </c>
      <c r="L2103" s="10" t="s">
        <v>101</v>
      </c>
      <c r="M2103" s="10" t="s">
        <v>102</v>
      </c>
      <c r="N2103" s="124" t="s">
        <v>603</v>
      </c>
      <c r="O2103" s="124" t="s">
        <v>603</v>
      </c>
      <c r="P2103" s="21">
        <v>32</v>
      </c>
      <c r="Q2103" s="10" t="s">
        <v>54</v>
      </c>
      <c r="R2103" s="10" t="s">
        <v>28</v>
      </c>
      <c r="S2103" s="10"/>
      <c r="T2103" s="10"/>
      <c r="U2103" s="10" t="s">
        <v>2609</v>
      </c>
      <c r="V2103" s="10" t="s">
        <v>2609</v>
      </c>
      <c r="W2103" s="50">
        <f>+J2103/$W$2</f>
        <v>7.2247739437722479E-5</v>
      </c>
    </row>
    <row r="2104" spans="1:29">
      <c r="A2104" s="10" t="s">
        <v>2016</v>
      </c>
      <c r="B2104" s="10" t="s">
        <v>358</v>
      </c>
      <c r="C2104" s="124">
        <v>46392</v>
      </c>
      <c r="D2104" s="124" t="s">
        <v>471</v>
      </c>
      <c r="E2104" s="21">
        <v>0.94874197000000005</v>
      </c>
      <c r="F2104" s="10"/>
      <c r="G2104" s="14">
        <v>3156141.19</v>
      </c>
      <c r="H2104" s="14">
        <v>2994363.61</v>
      </c>
      <c r="I2104" s="14">
        <v>3156141.19</v>
      </c>
      <c r="J2104" s="14">
        <v>2994363.61</v>
      </c>
      <c r="K2104" s="12">
        <v>7300</v>
      </c>
      <c r="L2104" s="10" t="s">
        <v>101</v>
      </c>
      <c r="M2104" s="10" t="s">
        <v>102</v>
      </c>
      <c r="N2104" s="124" t="s">
        <v>469</v>
      </c>
      <c r="O2104" s="124" t="s">
        <v>469</v>
      </c>
      <c r="P2104" s="21">
        <v>29</v>
      </c>
      <c r="Q2104" s="10" t="s">
        <v>54</v>
      </c>
      <c r="R2104" s="10" t="s">
        <v>28</v>
      </c>
      <c r="S2104" s="10"/>
      <c r="T2104" s="10"/>
      <c r="U2104" s="10" t="s">
        <v>3930</v>
      </c>
      <c r="V2104" s="10" t="s">
        <v>3930</v>
      </c>
      <c r="W2104" s="50">
        <f>+J2104/$W$2</f>
        <v>3.6646955496734896E-5</v>
      </c>
    </row>
    <row r="2105" spans="1:29">
      <c r="A2105" s="10" t="s">
        <v>3603</v>
      </c>
      <c r="B2105" s="10" t="s">
        <v>358</v>
      </c>
      <c r="C2105" s="124">
        <v>46392</v>
      </c>
      <c r="D2105" s="124" t="s">
        <v>471</v>
      </c>
      <c r="E2105" s="21">
        <v>0.94706809000000003</v>
      </c>
      <c r="F2105" s="10"/>
      <c r="G2105" s="14">
        <v>10625155.1</v>
      </c>
      <c r="H2105" s="14">
        <v>10062745.359999999</v>
      </c>
      <c r="I2105" s="14">
        <v>10625155.1</v>
      </c>
      <c r="J2105" s="14">
        <v>10062745.359999999</v>
      </c>
      <c r="K2105" s="12">
        <v>15818</v>
      </c>
      <c r="L2105" s="10" t="s">
        <v>101</v>
      </c>
      <c r="M2105" s="10" t="s">
        <v>102</v>
      </c>
      <c r="N2105" s="124" t="s">
        <v>466</v>
      </c>
      <c r="O2105" s="124" t="s">
        <v>466</v>
      </c>
      <c r="P2105" s="21">
        <v>30</v>
      </c>
      <c r="Q2105" s="10" t="s">
        <v>54</v>
      </c>
      <c r="R2105" s="10" t="s">
        <v>28</v>
      </c>
      <c r="S2105" s="10"/>
      <c r="T2105" s="10"/>
      <c r="U2105" s="10" t="s">
        <v>3619</v>
      </c>
      <c r="V2105" s="10" t="s">
        <v>3619</v>
      </c>
      <c r="W2105" s="50">
        <f>+J2105/$W$2</f>
        <v>1.231543758250841E-4</v>
      </c>
    </row>
    <row r="2106" spans="1:29">
      <c r="A2106" s="10" t="s">
        <v>2212</v>
      </c>
      <c r="B2106" s="10" t="s">
        <v>358</v>
      </c>
      <c r="C2106" s="124">
        <v>46392</v>
      </c>
      <c r="D2106" s="124" t="s">
        <v>471</v>
      </c>
      <c r="E2106" s="21">
        <v>0.94208139999999996</v>
      </c>
      <c r="F2106" s="10"/>
      <c r="G2106" s="14">
        <v>7500000</v>
      </c>
      <c r="H2106" s="14">
        <v>7065610.4900000002</v>
      </c>
      <c r="I2106" s="14">
        <v>7500000</v>
      </c>
      <c r="J2106" s="14">
        <v>7065610.4900000002</v>
      </c>
      <c r="K2106" s="12">
        <v>340</v>
      </c>
      <c r="L2106" s="10" t="s">
        <v>101</v>
      </c>
      <c r="M2106" s="10" t="s">
        <v>102</v>
      </c>
      <c r="N2106" s="124" t="s">
        <v>478</v>
      </c>
      <c r="O2106" s="124" t="s">
        <v>478</v>
      </c>
      <c r="P2106" s="21">
        <v>33</v>
      </c>
      <c r="Q2106" s="10" t="s">
        <v>54</v>
      </c>
      <c r="R2106" s="10" t="s">
        <v>28</v>
      </c>
      <c r="S2106" s="10"/>
      <c r="T2106" s="10"/>
      <c r="U2106" s="10" t="s">
        <v>2186</v>
      </c>
      <c r="V2106" s="10" t="s">
        <v>2186</v>
      </c>
      <c r="W2106" s="50">
        <f>+J2106/$W$2</f>
        <v>8.647350385890284E-5</v>
      </c>
    </row>
    <row r="2107" spans="1:29">
      <c r="A2107" s="10" t="s">
        <v>1893</v>
      </c>
      <c r="B2107" s="10" t="s">
        <v>358</v>
      </c>
      <c r="C2107" s="124">
        <v>46392</v>
      </c>
      <c r="D2107" s="124" t="s">
        <v>471</v>
      </c>
      <c r="E2107" s="21">
        <v>0.95210777000000002</v>
      </c>
      <c r="F2107" s="10"/>
      <c r="G2107" s="14">
        <v>2092000</v>
      </c>
      <c r="H2107" s="14">
        <v>1991809.45</v>
      </c>
      <c r="I2107" s="14">
        <v>2092000</v>
      </c>
      <c r="J2107" s="14">
        <v>1991809.45</v>
      </c>
      <c r="K2107" s="12">
        <v>15804200</v>
      </c>
      <c r="L2107" s="10" t="s">
        <v>101</v>
      </c>
      <c r="M2107" s="10" t="s">
        <v>102</v>
      </c>
      <c r="N2107" s="124" t="s">
        <v>471</v>
      </c>
      <c r="O2107" s="124" t="s">
        <v>471</v>
      </c>
      <c r="P2107" s="21">
        <v>27</v>
      </c>
      <c r="Q2107" s="10" t="s">
        <v>54</v>
      </c>
      <c r="R2107" s="10" t="s">
        <v>28</v>
      </c>
      <c r="S2107" s="10"/>
      <c r="T2107" s="10"/>
      <c r="U2107" s="10" t="s">
        <v>4070</v>
      </c>
      <c r="V2107" s="10" t="s">
        <v>4070</v>
      </c>
      <c r="W2107" s="50">
        <f>+J2107/$W$2</f>
        <v>2.4377050278181148E-5</v>
      </c>
      <c r="AC2107" s="47"/>
    </row>
    <row r="2108" spans="1:29">
      <c r="A2108" s="10" t="s">
        <v>4044</v>
      </c>
      <c r="B2108" s="10" t="s">
        <v>358</v>
      </c>
      <c r="C2108" s="124">
        <v>46392</v>
      </c>
      <c r="D2108" s="124" t="s">
        <v>471</v>
      </c>
      <c r="E2108" s="21">
        <v>0.94706800999999996</v>
      </c>
      <c r="F2108" s="10"/>
      <c r="G2108" s="14">
        <v>15000000</v>
      </c>
      <c r="H2108" s="14">
        <v>14206020.1</v>
      </c>
      <c r="I2108" s="14">
        <v>15000000</v>
      </c>
      <c r="J2108" s="14">
        <v>14206020.1</v>
      </c>
      <c r="K2108" s="12">
        <v>1417</v>
      </c>
      <c r="L2108" s="10" t="s">
        <v>101</v>
      </c>
      <c r="M2108" s="10" t="s">
        <v>102</v>
      </c>
      <c r="N2108" s="124" t="s">
        <v>469</v>
      </c>
      <c r="O2108" s="124" t="s">
        <v>469</v>
      </c>
      <c r="P2108" s="21">
        <v>30</v>
      </c>
      <c r="Q2108" s="10" t="s">
        <v>54</v>
      </c>
      <c r="R2108" s="10" t="s">
        <v>28</v>
      </c>
      <c r="S2108" s="10"/>
      <c r="T2108" s="10"/>
      <c r="U2108" s="10" t="s">
        <v>3962</v>
      </c>
      <c r="V2108" s="10" t="s">
        <v>3962</v>
      </c>
      <c r="W2108" s="50">
        <f>+J2108/$W$2</f>
        <v>1.7386244765057822E-4</v>
      </c>
    </row>
    <row r="2109" spans="1:29">
      <c r="A2109" s="10" t="s">
        <v>1091</v>
      </c>
      <c r="B2109" s="10" t="s">
        <v>358</v>
      </c>
      <c r="C2109" s="124">
        <v>46392</v>
      </c>
      <c r="D2109" s="124" t="s">
        <v>471</v>
      </c>
      <c r="E2109" s="21">
        <v>0.94706809999999997</v>
      </c>
      <c r="F2109" s="10"/>
      <c r="G2109" s="14">
        <v>50000000</v>
      </c>
      <c r="H2109" s="14">
        <v>47353405.079999998</v>
      </c>
      <c r="I2109" s="14">
        <v>50000000</v>
      </c>
      <c r="J2109" s="14">
        <v>47353405.079999998</v>
      </c>
      <c r="K2109" s="12">
        <v>196467</v>
      </c>
      <c r="L2109" s="10" t="s">
        <v>101</v>
      </c>
      <c r="M2109" s="10" t="s">
        <v>102</v>
      </c>
      <c r="N2109" s="124" t="s">
        <v>161</v>
      </c>
      <c r="O2109" s="124" t="s">
        <v>161</v>
      </c>
      <c r="P2109" s="21">
        <v>30</v>
      </c>
      <c r="Q2109" s="10" t="s">
        <v>54</v>
      </c>
      <c r="R2109" s="10" t="s">
        <v>28</v>
      </c>
      <c r="S2109" s="10"/>
      <c r="T2109" s="10"/>
      <c r="U2109" s="10" t="s">
        <v>1048</v>
      </c>
      <c r="V2109" s="10" t="s">
        <v>1048</v>
      </c>
      <c r="W2109" s="50">
        <f>+J2109/$W$2</f>
        <v>5.7954155026136592E-4</v>
      </c>
    </row>
    <row r="2110" spans="1:29">
      <c r="A2110" s="10" t="s">
        <v>3322</v>
      </c>
      <c r="B2110" s="10" t="s">
        <v>358</v>
      </c>
      <c r="C2110" s="124">
        <v>46392</v>
      </c>
      <c r="D2110" s="124" t="s">
        <v>471</v>
      </c>
      <c r="E2110" s="21">
        <v>0.94208155000000005</v>
      </c>
      <c r="F2110" s="10"/>
      <c r="G2110" s="14">
        <v>528139.15</v>
      </c>
      <c r="H2110" s="14">
        <v>497550.15</v>
      </c>
      <c r="I2110" s="14">
        <v>528139.15</v>
      </c>
      <c r="J2110" s="14">
        <v>497550.15</v>
      </c>
      <c r="K2110" s="12">
        <v>17715</v>
      </c>
      <c r="L2110" s="10" t="s">
        <v>101</v>
      </c>
      <c r="M2110" s="10" t="s">
        <v>102</v>
      </c>
      <c r="N2110" s="124" t="s">
        <v>417</v>
      </c>
      <c r="O2110" s="124" t="s">
        <v>417</v>
      </c>
      <c r="P2110" s="21">
        <v>33</v>
      </c>
      <c r="Q2110" s="10" t="s">
        <v>54</v>
      </c>
      <c r="R2110" s="10" t="s">
        <v>28</v>
      </c>
      <c r="S2110" s="10"/>
      <c r="T2110" s="10"/>
      <c r="U2110" s="10" t="s">
        <v>3228</v>
      </c>
      <c r="V2110" s="10" t="s">
        <v>3228</v>
      </c>
      <c r="W2110" s="50">
        <f>+J2110/$W$2</f>
        <v>6.0893400332379046E-6</v>
      </c>
    </row>
    <row r="2111" spans="1:29">
      <c r="A2111" s="10" t="s">
        <v>206</v>
      </c>
      <c r="B2111" s="10" t="s">
        <v>358</v>
      </c>
      <c r="C2111" s="124">
        <v>46392</v>
      </c>
      <c r="D2111" s="124" t="s">
        <v>471</v>
      </c>
      <c r="E2111" s="21">
        <v>0.94208137999999997</v>
      </c>
      <c r="F2111" s="10"/>
      <c r="G2111" s="14">
        <v>2260000</v>
      </c>
      <c r="H2111" s="14">
        <v>2129103.91</v>
      </c>
      <c r="I2111" s="14">
        <v>2260000</v>
      </c>
      <c r="J2111" s="14">
        <v>2129103.91</v>
      </c>
      <c r="K2111" s="12">
        <v>260752</v>
      </c>
      <c r="L2111" s="10" t="s">
        <v>101</v>
      </c>
      <c r="M2111" s="10" t="s">
        <v>102</v>
      </c>
      <c r="N2111" s="124" t="s">
        <v>479</v>
      </c>
      <c r="O2111" s="124" t="s">
        <v>479</v>
      </c>
      <c r="P2111" s="21">
        <v>33</v>
      </c>
      <c r="Q2111" s="10" t="s">
        <v>54</v>
      </c>
      <c r="R2111" s="10" t="s">
        <v>28</v>
      </c>
      <c r="S2111" s="10"/>
      <c r="T2111" s="10"/>
      <c r="U2111" s="10" t="s">
        <v>1198</v>
      </c>
      <c r="V2111" s="10" t="s">
        <v>1198</v>
      </c>
      <c r="W2111" s="50">
        <f>+J2111/$W$2</f>
        <v>2.6057348538808307E-5</v>
      </c>
    </row>
    <row r="2112" spans="1:29">
      <c r="A2112" s="10" t="s">
        <v>832</v>
      </c>
      <c r="B2112" s="10" t="s">
        <v>358</v>
      </c>
      <c r="C2112" s="124">
        <v>46392</v>
      </c>
      <c r="D2112" s="124" t="s">
        <v>471</v>
      </c>
      <c r="E2112" s="21">
        <v>0.94373779000000002</v>
      </c>
      <c r="F2112" s="10"/>
      <c r="G2112" s="14">
        <v>175518.88</v>
      </c>
      <c r="H2112" s="14">
        <v>165643.79999999999</v>
      </c>
      <c r="I2112" s="14">
        <v>175518.88</v>
      </c>
      <c r="J2112" s="14">
        <v>165643.79999999999</v>
      </c>
      <c r="K2112" s="12">
        <v>30103757</v>
      </c>
      <c r="L2112" s="10" t="s">
        <v>101</v>
      </c>
      <c r="M2112" s="10" t="s">
        <v>102</v>
      </c>
      <c r="N2112" s="124" t="s">
        <v>413</v>
      </c>
      <c r="O2112" s="124" t="s">
        <v>413</v>
      </c>
      <c r="P2112" s="21">
        <v>32</v>
      </c>
      <c r="Q2112" s="10" t="s">
        <v>54</v>
      </c>
      <c r="R2112" s="10" t="s">
        <v>28</v>
      </c>
      <c r="S2112" s="10"/>
      <c r="T2112" s="10"/>
      <c r="U2112" s="10" t="s">
        <v>2896</v>
      </c>
      <c r="V2112" s="10" t="s">
        <v>2896</v>
      </c>
      <c r="W2112" s="50">
        <f>+J2112/$W$2</f>
        <v>2.0272557903914868E-6</v>
      </c>
    </row>
    <row r="2113" spans="1:23">
      <c r="A2113" s="10" t="s">
        <v>884</v>
      </c>
      <c r="B2113" s="10" t="s">
        <v>358</v>
      </c>
      <c r="C2113" s="124">
        <v>46392</v>
      </c>
      <c r="D2113" s="124" t="s">
        <v>471</v>
      </c>
      <c r="E2113" s="21">
        <v>0.95060707</v>
      </c>
      <c r="F2113" s="10"/>
      <c r="G2113" s="14">
        <v>93959909.590000004</v>
      </c>
      <c r="H2113" s="14">
        <v>89318954.790000007</v>
      </c>
      <c r="I2113" s="14">
        <v>93959909.590000004</v>
      </c>
      <c r="J2113" s="14">
        <v>89318954.790000007</v>
      </c>
      <c r="K2113" s="12">
        <v>40801136</v>
      </c>
      <c r="L2113" s="10" t="s">
        <v>101</v>
      </c>
      <c r="M2113" s="10" t="s">
        <v>102</v>
      </c>
      <c r="N2113" s="124" t="s">
        <v>471</v>
      </c>
      <c r="O2113" s="124" t="s">
        <v>471</v>
      </c>
      <c r="P2113" s="21">
        <v>27.89</v>
      </c>
      <c r="Q2113" s="10" t="s">
        <v>54</v>
      </c>
      <c r="R2113" s="10" t="s">
        <v>28</v>
      </c>
      <c r="S2113" s="10"/>
      <c r="T2113" s="10"/>
      <c r="U2113" s="10" t="s">
        <v>4103</v>
      </c>
      <c r="V2113" s="10" t="s">
        <v>4103</v>
      </c>
      <c r="W2113" s="50">
        <f>+J2113/$W$2</f>
        <v>1.0931430472480282E-3</v>
      </c>
    </row>
    <row r="2114" spans="1:23">
      <c r="A2114" s="10" t="s">
        <v>884</v>
      </c>
      <c r="B2114" s="10" t="s">
        <v>358</v>
      </c>
      <c r="C2114" s="124">
        <v>46392</v>
      </c>
      <c r="D2114" s="124" t="s">
        <v>471</v>
      </c>
      <c r="E2114" s="21">
        <v>0.95060707</v>
      </c>
      <c r="F2114" s="10"/>
      <c r="G2114" s="14">
        <v>129816471.03</v>
      </c>
      <c r="H2114" s="14">
        <v>123404455.77</v>
      </c>
      <c r="I2114" s="14">
        <v>129816471.03</v>
      </c>
      <c r="J2114" s="14">
        <v>123404455.77</v>
      </c>
      <c r="K2114" s="12">
        <v>40801135</v>
      </c>
      <c r="L2114" s="10" t="s">
        <v>101</v>
      </c>
      <c r="M2114" s="10" t="s">
        <v>102</v>
      </c>
      <c r="N2114" s="124" t="s">
        <v>471</v>
      </c>
      <c r="O2114" s="124" t="s">
        <v>471</v>
      </c>
      <c r="P2114" s="21">
        <v>27.89</v>
      </c>
      <c r="Q2114" s="10" t="s">
        <v>54</v>
      </c>
      <c r="R2114" s="10" t="s">
        <v>28</v>
      </c>
      <c r="S2114" s="10"/>
      <c r="T2114" s="10"/>
      <c r="U2114" s="10" t="s">
        <v>4104</v>
      </c>
      <c r="V2114" s="10" t="s">
        <v>4104</v>
      </c>
      <c r="W2114" s="50">
        <f>+J2114/$W$2</f>
        <v>1.5103034192637612E-3</v>
      </c>
    </row>
    <row r="2115" spans="1:23">
      <c r="A2115" s="10" t="s">
        <v>3323</v>
      </c>
      <c r="B2115" s="10" t="s">
        <v>358</v>
      </c>
      <c r="C2115" s="124">
        <v>46392</v>
      </c>
      <c r="D2115" s="124" t="s">
        <v>471</v>
      </c>
      <c r="E2115" s="21">
        <v>0.94208155000000005</v>
      </c>
      <c r="F2115" s="10"/>
      <c r="G2115" s="14">
        <v>4000000</v>
      </c>
      <c r="H2115" s="14">
        <v>3768326.21</v>
      </c>
      <c r="I2115" s="14">
        <v>4000000</v>
      </c>
      <c r="J2115" s="14">
        <v>3768326.21</v>
      </c>
      <c r="K2115" s="12">
        <v>70263545</v>
      </c>
      <c r="L2115" s="10" t="s">
        <v>101</v>
      </c>
      <c r="M2115" s="10" t="s">
        <v>102</v>
      </c>
      <c r="N2115" s="124" t="s">
        <v>417</v>
      </c>
      <c r="O2115" s="124" t="s">
        <v>417</v>
      </c>
      <c r="P2115" s="21">
        <v>33</v>
      </c>
      <c r="Q2115" s="10" t="s">
        <v>54</v>
      </c>
      <c r="R2115" s="10" t="s">
        <v>28</v>
      </c>
      <c r="S2115" s="10"/>
      <c r="T2115" s="10"/>
      <c r="U2115" s="10" t="s">
        <v>3219</v>
      </c>
      <c r="V2115" s="10" t="s">
        <v>3219</v>
      </c>
      <c r="W2115" s="50">
        <f>+J2115/$W$2</f>
        <v>4.6119209588928207E-5</v>
      </c>
    </row>
    <row r="2116" spans="1:23">
      <c r="A2116" s="10" t="s">
        <v>1768</v>
      </c>
      <c r="B2116" s="10" t="s">
        <v>358</v>
      </c>
      <c r="C2116" s="124">
        <v>46392</v>
      </c>
      <c r="D2116" s="124" t="s">
        <v>471</v>
      </c>
      <c r="E2116" s="21">
        <v>0.94208155000000005</v>
      </c>
      <c r="F2116" s="10"/>
      <c r="G2116" s="14">
        <v>2787073.7</v>
      </c>
      <c r="H2116" s="14">
        <v>2625650.71</v>
      </c>
      <c r="I2116" s="14">
        <v>2787073.7</v>
      </c>
      <c r="J2116" s="14">
        <v>2625650.71</v>
      </c>
      <c r="K2116" s="12">
        <v>70327811</v>
      </c>
      <c r="L2116" s="10" t="s">
        <v>101</v>
      </c>
      <c r="M2116" s="10" t="s">
        <v>102</v>
      </c>
      <c r="N2116" s="124" t="s">
        <v>417</v>
      </c>
      <c r="O2116" s="124" t="s">
        <v>417</v>
      </c>
      <c r="P2116" s="21">
        <v>33</v>
      </c>
      <c r="Q2116" s="10" t="s">
        <v>54</v>
      </c>
      <c r="R2116" s="10" t="s">
        <v>28</v>
      </c>
      <c r="S2116" s="10"/>
      <c r="T2116" s="10"/>
      <c r="U2116" s="10" t="s">
        <v>3258</v>
      </c>
      <c r="V2116" s="10" t="s">
        <v>3258</v>
      </c>
      <c r="W2116" s="50">
        <f>+J2116/$W$2</f>
        <v>3.2134408926823814E-5</v>
      </c>
    </row>
    <row r="2117" spans="1:23">
      <c r="A2117" s="10" t="s">
        <v>3325</v>
      </c>
      <c r="B2117" s="10" t="s">
        <v>358</v>
      </c>
      <c r="C2117" s="124">
        <v>46392</v>
      </c>
      <c r="D2117" s="124" t="s">
        <v>471</v>
      </c>
      <c r="E2117" s="21">
        <v>0.94208155000000005</v>
      </c>
      <c r="F2117" s="10"/>
      <c r="G2117" s="14">
        <v>1490000</v>
      </c>
      <c r="H2117" s="14">
        <v>1403701.51</v>
      </c>
      <c r="I2117" s="14">
        <v>1490000</v>
      </c>
      <c r="J2117" s="14">
        <v>1403701.51</v>
      </c>
      <c r="K2117" s="12">
        <v>90003556</v>
      </c>
      <c r="L2117" s="10" t="s">
        <v>101</v>
      </c>
      <c r="M2117" s="10" t="s">
        <v>102</v>
      </c>
      <c r="N2117" s="124" t="s">
        <v>417</v>
      </c>
      <c r="O2117" s="124" t="s">
        <v>417</v>
      </c>
      <c r="P2117" s="21">
        <v>33</v>
      </c>
      <c r="Q2117" s="10" t="s">
        <v>54</v>
      </c>
      <c r="R2117" s="10" t="s">
        <v>28</v>
      </c>
      <c r="S2117" s="10"/>
      <c r="T2117" s="10"/>
      <c r="U2117" s="10" t="s">
        <v>3251</v>
      </c>
      <c r="V2117" s="10" t="s">
        <v>3251</v>
      </c>
      <c r="W2117" s="50">
        <f>+J2117/$W$2</f>
        <v>1.7179405532406124E-5</v>
      </c>
    </row>
    <row r="2118" spans="1:23">
      <c r="A2118" s="10" t="s">
        <v>3166</v>
      </c>
      <c r="B2118" s="10" t="s">
        <v>358</v>
      </c>
      <c r="C2118" s="124">
        <v>46392</v>
      </c>
      <c r="D2118" s="124" t="s">
        <v>471</v>
      </c>
      <c r="E2118" s="21">
        <v>0.94706813000000001</v>
      </c>
      <c r="F2118" s="10"/>
      <c r="G2118" s="14">
        <v>4175312.5</v>
      </c>
      <c r="H2118" s="14">
        <v>3954305.39</v>
      </c>
      <c r="I2118" s="14">
        <v>4175312.5</v>
      </c>
      <c r="J2118" s="14">
        <v>3954305.39</v>
      </c>
      <c r="K2118" s="12">
        <v>40952802</v>
      </c>
      <c r="L2118" s="10" t="s">
        <v>101</v>
      </c>
      <c r="M2118" s="10" t="s">
        <v>102</v>
      </c>
      <c r="N2118" s="124" t="s">
        <v>475</v>
      </c>
      <c r="O2118" s="124" t="s">
        <v>475</v>
      </c>
      <c r="P2118" s="21">
        <v>30</v>
      </c>
      <c r="Q2118" s="10" t="s">
        <v>54</v>
      </c>
      <c r="R2118" s="10" t="s">
        <v>28</v>
      </c>
      <c r="S2118" s="10"/>
      <c r="T2118" s="10"/>
      <c r="U2118" s="10" t="s">
        <v>3387</v>
      </c>
      <c r="V2118" s="10" t="s">
        <v>3387</v>
      </c>
      <c r="W2118" s="50">
        <f>+J2118/$W$2</f>
        <v>4.8395342891516416E-5</v>
      </c>
    </row>
    <row r="2119" spans="1:23">
      <c r="A2119" s="10" t="s">
        <v>4048</v>
      </c>
      <c r="B2119" s="10" t="s">
        <v>358</v>
      </c>
      <c r="C2119" s="124">
        <v>46392</v>
      </c>
      <c r="D2119" s="124" t="s">
        <v>471</v>
      </c>
      <c r="E2119" s="21">
        <v>0.94874197000000005</v>
      </c>
      <c r="F2119" s="10"/>
      <c r="G2119" s="14">
        <v>642421.1</v>
      </c>
      <c r="H2119" s="14">
        <v>609491.86</v>
      </c>
      <c r="I2119" s="14">
        <v>642421.1</v>
      </c>
      <c r="J2119" s="14">
        <v>609491.86</v>
      </c>
      <c r="K2119" s="12">
        <v>70717700</v>
      </c>
      <c r="L2119" s="10" t="s">
        <v>101</v>
      </c>
      <c r="M2119" s="10" t="s">
        <v>102</v>
      </c>
      <c r="N2119" s="124" t="s">
        <v>469</v>
      </c>
      <c r="O2119" s="124" t="s">
        <v>469</v>
      </c>
      <c r="P2119" s="21">
        <v>29</v>
      </c>
      <c r="Q2119" s="10" t="s">
        <v>54</v>
      </c>
      <c r="R2119" s="10" t="s">
        <v>28</v>
      </c>
      <c r="S2119" s="10"/>
      <c r="T2119" s="10"/>
      <c r="U2119" s="10" t="s">
        <v>3980</v>
      </c>
      <c r="V2119" s="10" t="s">
        <v>3980</v>
      </c>
      <c r="W2119" s="50">
        <f>+J2119/$W$2</f>
        <v>7.4593549675959943E-6</v>
      </c>
    </row>
    <row r="2120" spans="1:23">
      <c r="A2120" s="10" t="s">
        <v>2828</v>
      </c>
      <c r="B2120" s="10" t="s">
        <v>358</v>
      </c>
      <c r="C2120" s="124">
        <v>46392</v>
      </c>
      <c r="D2120" s="124" t="s">
        <v>471</v>
      </c>
      <c r="E2120" s="21">
        <v>0.94373786999999998</v>
      </c>
      <c r="F2120" s="10"/>
      <c r="G2120" s="14">
        <v>716184.35</v>
      </c>
      <c r="H2120" s="14">
        <v>675890.29</v>
      </c>
      <c r="I2120" s="14">
        <v>716184.35</v>
      </c>
      <c r="J2120" s="14">
        <v>675890.29</v>
      </c>
      <c r="K2120" s="12">
        <v>6717</v>
      </c>
      <c r="L2120" s="10" t="s">
        <v>101</v>
      </c>
      <c r="M2120" s="10" t="s">
        <v>102</v>
      </c>
      <c r="N2120" s="124" t="s">
        <v>412</v>
      </c>
      <c r="O2120" s="124" t="s">
        <v>412</v>
      </c>
      <c r="P2120" s="21">
        <v>32</v>
      </c>
      <c r="Q2120" s="10" t="s">
        <v>54</v>
      </c>
      <c r="R2120" s="10" t="s">
        <v>28</v>
      </c>
      <c r="S2120" s="10"/>
      <c r="T2120" s="10"/>
      <c r="U2120" s="10" t="s">
        <v>2796</v>
      </c>
      <c r="V2120" s="10" t="s">
        <v>2796</v>
      </c>
      <c r="W2120" s="50">
        <f>+J2120/$W$2</f>
        <v>8.2719818313265045E-6</v>
      </c>
    </row>
    <row r="2121" spans="1:23">
      <c r="A2121" s="10" t="s">
        <v>433</v>
      </c>
      <c r="B2121" s="10" t="s">
        <v>358</v>
      </c>
      <c r="C2121" s="124">
        <v>46392</v>
      </c>
      <c r="D2121" s="124" t="s">
        <v>471</v>
      </c>
      <c r="E2121" s="21">
        <v>0.94208150999999996</v>
      </c>
      <c r="F2121" s="10"/>
      <c r="G2121" s="14">
        <v>20000000</v>
      </c>
      <c r="H2121" s="14">
        <v>18841630.300000001</v>
      </c>
      <c r="I2121" s="14">
        <v>20000000</v>
      </c>
      <c r="J2121" s="14">
        <v>18841630.300000001</v>
      </c>
      <c r="K2121" s="12">
        <v>14725037</v>
      </c>
      <c r="L2121" s="10" t="s">
        <v>101</v>
      </c>
      <c r="M2121" s="10" t="s">
        <v>102</v>
      </c>
      <c r="N2121" s="124" t="s">
        <v>475</v>
      </c>
      <c r="O2121" s="124" t="s">
        <v>475</v>
      </c>
      <c r="P2121" s="21">
        <v>33</v>
      </c>
      <c r="Q2121" s="10" t="s">
        <v>54</v>
      </c>
      <c r="R2121" s="10" t="s">
        <v>28</v>
      </c>
      <c r="S2121" s="10"/>
      <c r="T2121" s="10"/>
      <c r="U2121" s="10" t="s">
        <v>3354</v>
      </c>
      <c r="V2121" s="10" t="s">
        <v>3354</v>
      </c>
      <c r="W2121" s="50">
        <f>+J2121/$W$2</f>
        <v>2.3059603876565671E-4</v>
      </c>
    </row>
    <row r="2122" spans="1:23">
      <c r="A2122" s="10" t="s">
        <v>436</v>
      </c>
      <c r="B2122" s="10" t="s">
        <v>358</v>
      </c>
      <c r="C2122" s="124">
        <v>46392</v>
      </c>
      <c r="D2122" s="124" t="s">
        <v>471</v>
      </c>
      <c r="E2122" s="21">
        <v>0.94208139999999996</v>
      </c>
      <c r="F2122" s="10"/>
      <c r="G2122" s="14">
        <v>6222591.4500000002</v>
      </c>
      <c r="H2122" s="14">
        <v>5862187.6699999999</v>
      </c>
      <c r="I2122" s="14">
        <v>6222591.4500000002</v>
      </c>
      <c r="J2122" s="14">
        <v>5862187.6699999999</v>
      </c>
      <c r="K2122" s="12">
        <v>90000228</v>
      </c>
      <c r="L2122" s="10" t="s">
        <v>101</v>
      </c>
      <c r="M2122" s="10" t="s">
        <v>102</v>
      </c>
      <c r="N2122" s="124" t="s">
        <v>409</v>
      </c>
      <c r="O2122" s="124" t="s">
        <v>409</v>
      </c>
      <c r="P2122" s="21">
        <v>33</v>
      </c>
      <c r="Q2122" s="10" t="s">
        <v>54</v>
      </c>
      <c r="R2122" s="10" t="s">
        <v>28</v>
      </c>
      <c r="S2122" s="10"/>
      <c r="T2122" s="10"/>
      <c r="U2122" s="10" t="s">
        <v>889</v>
      </c>
      <c r="V2122" s="10" t="s">
        <v>889</v>
      </c>
      <c r="W2122" s="50">
        <f>+J2122/$W$2</f>
        <v>7.1745238266503653E-5</v>
      </c>
    </row>
    <row r="2123" spans="1:23">
      <c r="A2123" s="10" t="s">
        <v>3591</v>
      </c>
      <c r="B2123" s="10" t="s">
        <v>358</v>
      </c>
      <c r="C2123" s="124">
        <v>46392</v>
      </c>
      <c r="D2123" s="124" t="s">
        <v>471</v>
      </c>
      <c r="E2123" s="21">
        <v>0.94208139999999996</v>
      </c>
      <c r="F2123" s="10"/>
      <c r="G2123" s="14">
        <v>9000000</v>
      </c>
      <c r="H2123" s="14">
        <v>8478732.6099999994</v>
      </c>
      <c r="I2123" s="14">
        <v>9000000</v>
      </c>
      <c r="J2123" s="14">
        <v>8478732.6099999994</v>
      </c>
      <c r="K2123" s="12">
        <v>841126</v>
      </c>
      <c r="L2123" s="10" t="s">
        <v>101</v>
      </c>
      <c r="M2123" s="10" t="s">
        <v>102</v>
      </c>
      <c r="N2123" s="124" t="s">
        <v>451</v>
      </c>
      <c r="O2123" s="124" t="s">
        <v>451</v>
      </c>
      <c r="P2123" s="21">
        <v>33</v>
      </c>
      <c r="Q2123" s="10" t="s">
        <v>54</v>
      </c>
      <c r="R2123" s="10" t="s">
        <v>28</v>
      </c>
      <c r="S2123" s="10"/>
      <c r="T2123" s="10"/>
      <c r="U2123" s="10" t="s">
        <v>3547</v>
      </c>
      <c r="V2123" s="10" t="s">
        <v>3547</v>
      </c>
      <c r="W2123" s="50">
        <f>+J2123/$W$2</f>
        <v>1.0376820489993361E-4</v>
      </c>
    </row>
    <row r="2124" spans="1:23">
      <c r="A2124" s="10" t="s">
        <v>3442</v>
      </c>
      <c r="B2124" s="10" t="s">
        <v>358</v>
      </c>
      <c r="C2124" s="124">
        <v>46392</v>
      </c>
      <c r="D2124" s="124" t="s">
        <v>471</v>
      </c>
      <c r="E2124" s="21">
        <v>0.94208159000000002</v>
      </c>
      <c r="F2124" s="10"/>
      <c r="G2124" s="14">
        <v>8000000</v>
      </c>
      <c r="H2124" s="14">
        <v>7536652.7000000002</v>
      </c>
      <c r="I2124" s="14">
        <v>8000000</v>
      </c>
      <c r="J2124" s="14">
        <v>7536652.7000000002</v>
      </c>
      <c r="K2124" s="12">
        <v>244</v>
      </c>
      <c r="L2124" s="10" t="s">
        <v>101</v>
      </c>
      <c r="M2124" s="10" t="s">
        <v>102</v>
      </c>
      <c r="N2124" s="124" t="s">
        <v>450</v>
      </c>
      <c r="O2124" s="124" t="s">
        <v>450</v>
      </c>
      <c r="P2124" s="21">
        <v>33</v>
      </c>
      <c r="Q2124" s="10" t="s">
        <v>54</v>
      </c>
      <c r="R2124" s="10" t="s">
        <v>28</v>
      </c>
      <c r="S2124" s="10"/>
      <c r="T2124" s="10"/>
      <c r="U2124" s="10" t="s">
        <v>3416</v>
      </c>
      <c r="V2124" s="10" t="s">
        <v>3416</v>
      </c>
      <c r="W2124" s="50">
        <f>+J2124/$W$2</f>
        <v>9.2238422604677225E-5</v>
      </c>
    </row>
    <row r="2125" spans="1:23">
      <c r="A2125" s="10" t="s">
        <v>621</v>
      </c>
      <c r="B2125" s="10" t="s">
        <v>358</v>
      </c>
      <c r="C2125" s="124">
        <v>46392</v>
      </c>
      <c r="D2125" s="124" t="s">
        <v>471</v>
      </c>
      <c r="E2125" s="21">
        <v>0.94706805999999999</v>
      </c>
      <c r="F2125" s="10"/>
      <c r="G2125" s="14">
        <v>83000000</v>
      </c>
      <c r="H2125" s="14">
        <v>78606649.25</v>
      </c>
      <c r="I2125" s="14">
        <v>83000000</v>
      </c>
      <c r="J2125" s="14">
        <v>78606649.25</v>
      </c>
      <c r="K2125" s="12">
        <v>68158884</v>
      </c>
      <c r="L2125" s="10" t="s">
        <v>101</v>
      </c>
      <c r="M2125" s="10" t="s">
        <v>102</v>
      </c>
      <c r="N2125" s="124" t="s">
        <v>476</v>
      </c>
      <c r="O2125" s="124" t="s">
        <v>476</v>
      </c>
      <c r="P2125" s="21">
        <v>30</v>
      </c>
      <c r="Q2125" s="10" t="s">
        <v>54</v>
      </c>
      <c r="R2125" s="10" t="s">
        <v>28</v>
      </c>
      <c r="S2125" s="10"/>
      <c r="T2125" s="10"/>
      <c r="U2125" s="10" t="s">
        <v>678</v>
      </c>
      <c r="V2125" s="10" t="s">
        <v>678</v>
      </c>
      <c r="W2125" s="50">
        <f>+J2125/$W$2</f>
        <v>9.6203893448070573E-4</v>
      </c>
    </row>
    <row r="2126" spans="1:23">
      <c r="A2126" s="10" t="s">
        <v>3403</v>
      </c>
      <c r="B2126" s="10" t="s">
        <v>358</v>
      </c>
      <c r="C2126" s="124">
        <v>46392</v>
      </c>
      <c r="D2126" s="124" t="s">
        <v>471</v>
      </c>
      <c r="E2126" s="21">
        <v>0.94706813000000001</v>
      </c>
      <c r="F2126" s="10"/>
      <c r="G2126" s="14">
        <v>10000000</v>
      </c>
      <c r="H2126" s="14">
        <v>9470681.2799999993</v>
      </c>
      <c r="I2126" s="14">
        <v>10000000</v>
      </c>
      <c r="J2126" s="14">
        <v>9470681.2799999993</v>
      </c>
      <c r="K2126" s="12">
        <v>11218595</v>
      </c>
      <c r="L2126" s="10" t="s">
        <v>101</v>
      </c>
      <c r="M2126" s="10" t="s">
        <v>102</v>
      </c>
      <c r="N2126" s="124" t="s">
        <v>475</v>
      </c>
      <c r="O2126" s="124" t="s">
        <v>475</v>
      </c>
      <c r="P2126" s="21">
        <v>30</v>
      </c>
      <c r="Q2126" s="10" t="s">
        <v>54</v>
      </c>
      <c r="R2126" s="10" t="s">
        <v>28</v>
      </c>
      <c r="S2126" s="10"/>
      <c r="T2126" s="10"/>
      <c r="U2126" s="10" t="s">
        <v>3343</v>
      </c>
      <c r="V2126" s="10" t="s">
        <v>3343</v>
      </c>
      <c r="W2126" s="50">
        <f>+J2126/$W$2</f>
        <v>1.1590831328327567E-4</v>
      </c>
    </row>
    <row r="2127" spans="1:23">
      <c r="A2127" s="10" t="s">
        <v>438</v>
      </c>
      <c r="B2127" s="10" t="s">
        <v>358</v>
      </c>
      <c r="C2127" s="124">
        <v>46392</v>
      </c>
      <c r="D2127" s="124" t="s">
        <v>471</v>
      </c>
      <c r="E2127" s="21">
        <v>0.95210777000000002</v>
      </c>
      <c r="F2127" s="10"/>
      <c r="G2127" s="14">
        <v>4701505.6900000004</v>
      </c>
      <c r="H2127" s="14">
        <v>4476340.0999999996</v>
      </c>
      <c r="I2127" s="14">
        <v>4701505.6900000004</v>
      </c>
      <c r="J2127" s="14">
        <v>4476340.0999999996</v>
      </c>
      <c r="K2127" s="12">
        <v>54486956</v>
      </c>
      <c r="L2127" s="10" t="s">
        <v>101</v>
      </c>
      <c r="M2127" s="10" t="s">
        <v>102</v>
      </c>
      <c r="N2127" s="124" t="s">
        <v>471</v>
      </c>
      <c r="O2127" s="124" t="s">
        <v>471</v>
      </c>
      <c r="P2127" s="21">
        <v>27</v>
      </c>
      <c r="Q2127" s="10" t="s">
        <v>54</v>
      </c>
      <c r="R2127" s="10" t="s">
        <v>28</v>
      </c>
      <c r="S2127" s="10"/>
      <c r="T2127" s="10"/>
      <c r="U2127" s="10" t="s">
        <v>4098</v>
      </c>
      <c r="V2127" s="10" t="s">
        <v>4098</v>
      </c>
      <c r="W2127" s="50">
        <f>+J2127/$W$2</f>
        <v>5.4784340781161783E-5</v>
      </c>
    </row>
    <row r="2128" spans="1:23">
      <c r="A2128" s="10" t="s">
        <v>271</v>
      </c>
      <c r="B2128" s="10" t="s">
        <v>358</v>
      </c>
      <c r="C2128" s="124">
        <v>46392</v>
      </c>
      <c r="D2128" s="124" t="s">
        <v>471</v>
      </c>
      <c r="E2128" s="21">
        <v>0.95042183999999996</v>
      </c>
      <c r="F2128" s="10"/>
      <c r="G2128" s="14">
        <v>7000000</v>
      </c>
      <c r="H2128" s="14">
        <v>6652952.9100000001</v>
      </c>
      <c r="I2128" s="14">
        <v>7000000</v>
      </c>
      <c r="J2128" s="14">
        <v>6652952.9100000001</v>
      </c>
      <c r="K2128" s="12">
        <v>67768341</v>
      </c>
      <c r="L2128" s="10" t="s">
        <v>101</v>
      </c>
      <c r="M2128" s="10" t="s">
        <v>102</v>
      </c>
      <c r="N2128" s="124" t="s">
        <v>370</v>
      </c>
      <c r="O2128" s="124" t="s">
        <v>370</v>
      </c>
      <c r="P2128" s="21">
        <v>28</v>
      </c>
      <c r="Q2128" s="10" t="s">
        <v>54</v>
      </c>
      <c r="R2128" s="10" t="s">
        <v>28</v>
      </c>
      <c r="S2128" s="10"/>
      <c r="T2128" s="10"/>
      <c r="U2128" s="10" t="s">
        <v>671</v>
      </c>
      <c r="V2128" s="10" t="s">
        <v>671</v>
      </c>
      <c r="W2128" s="50">
        <f>+J2128/$W$2</f>
        <v>8.1423133917474681E-5</v>
      </c>
    </row>
    <row r="2129" spans="1:29">
      <c r="A2129" s="10" t="s">
        <v>3604</v>
      </c>
      <c r="B2129" s="10" t="s">
        <v>358</v>
      </c>
      <c r="C2129" s="124">
        <v>46392</v>
      </c>
      <c r="D2129" s="124" t="s">
        <v>471</v>
      </c>
      <c r="E2129" s="21">
        <v>0.94208139999999996</v>
      </c>
      <c r="F2129" s="10"/>
      <c r="G2129" s="14">
        <v>10215016.380000001</v>
      </c>
      <c r="H2129" s="14">
        <v>9623376.9399999995</v>
      </c>
      <c r="I2129" s="14">
        <v>10215016.380000001</v>
      </c>
      <c r="J2129" s="14">
        <v>9623376.9399999995</v>
      </c>
      <c r="K2129" s="12">
        <v>18</v>
      </c>
      <c r="L2129" s="10" t="s">
        <v>101</v>
      </c>
      <c r="M2129" s="10" t="s">
        <v>102</v>
      </c>
      <c r="N2129" s="124" t="s">
        <v>451</v>
      </c>
      <c r="O2129" s="124" t="s">
        <v>451</v>
      </c>
      <c r="P2129" s="21">
        <v>33</v>
      </c>
      <c r="Q2129" s="10" t="s">
        <v>54</v>
      </c>
      <c r="R2129" s="10" t="s">
        <v>28</v>
      </c>
      <c r="S2129" s="10"/>
      <c r="T2129" s="10"/>
      <c r="U2129" s="10" t="s">
        <v>3570</v>
      </c>
      <c r="V2129" s="10" t="s">
        <v>3570</v>
      </c>
      <c r="W2129" s="50">
        <f>+J2129/$W$2</f>
        <v>1.1777710137496789E-4</v>
      </c>
    </row>
    <row r="2130" spans="1:29">
      <c r="A2130" s="10" t="s">
        <v>2669</v>
      </c>
      <c r="B2130" s="10" t="s">
        <v>358</v>
      </c>
      <c r="C2130" s="124">
        <v>46392</v>
      </c>
      <c r="D2130" s="124" t="s">
        <v>471</v>
      </c>
      <c r="E2130" s="21">
        <v>0.94373786999999998</v>
      </c>
      <c r="F2130" s="10"/>
      <c r="G2130" s="14">
        <v>1734700</v>
      </c>
      <c r="H2130" s="14">
        <v>1637102.08</v>
      </c>
      <c r="I2130" s="14">
        <v>1734700</v>
      </c>
      <c r="J2130" s="14">
        <v>1637102.08</v>
      </c>
      <c r="K2130" s="12">
        <v>9088653</v>
      </c>
      <c r="L2130" s="10" t="s">
        <v>101</v>
      </c>
      <c r="M2130" s="10" t="s">
        <v>102</v>
      </c>
      <c r="N2130" s="124" t="s">
        <v>603</v>
      </c>
      <c r="O2130" s="124" t="s">
        <v>603</v>
      </c>
      <c r="P2130" s="21">
        <v>32</v>
      </c>
      <c r="Q2130" s="10" t="s">
        <v>54</v>
      </c>
      <c r="R2130" s="10" t="s">
        <v>28</v>
      </c>
      <c r="S2130" s="10"/>
      <c r="T2130" s="10"/>
      <c r="U2130" s="10" t="s">
        <v>2563</v>
      </c>
      <c r="V2130" s="10" t="s">
        <v>2563</v>
      </c>
      <c r="W2130" s="50">
        <f>+J2130/$W$2</f>
        <v>2.0035912428608539E-5</v>
      </c>
    </row>
    <row r="2131" spans="1:29">
      <c r="A2131" s="10" t="s">
        <v>2674</v>
      </c>
      <c r="B2131" s="10" t="s">
        <v>358</v>
      </c>
      <c r="C2131" s="124">
        <v>46392</v>
      </c>
      <c r="D2131" s="124" t="s">
        <v>471</v>
      </c>
      <c r="E2131" s="21">
        <v>0.94373783</v>
      </c>
      <c r="F2131" s="10"/>
      <c r="G2131" s="14">
        <v>62500000</v>
      </c>
      <c r="H2131" s="14">
        <v>58983614.659999996</v>
      </c>
      <c r="I2131" s="14">
        <v>62500000</v>
      </c>
      <c r="J2131" s="14">
        <v>58983614.659999996</v>
      </c>
      <c r="K2131" s="12">
        <v>5767</v>
      </c>
      <c r="L2131" s="10" t="s">
        <v>101</v>
      </c>
      <c r="M2131" s="10" t="s">
        <v>102</v>
      </c>
      <c r="N2131" s="124" t="s">
        <v>466</v>
      </c>
      <c r="O2131" s="124" t="s">
        <v>466</v>
      </c>
      <c r="P2131" s="21">
        <v>32</v>
      </c>
      <c r="Q2131" s="10" t="s">
        <v>54</v>
      </c>
      <c r="R2131" s="10" t="s">
        <v>28</v>
      </c>
      <c r="S2131" s="10"/>
      <c r="T2131" s="10"/>
      <c r="U2131" s="10" t="s">
        <v>3646</v>
      </c>
      <c r="V2131" s="10" t="s">
        <v>3646</v>
      </c>
      <c r="W2131" s="50">
        <f>+J2131/$W$2</f>
        <v>7.2187956541509661E-4</v>
      </c>
    </row>
    <row r="2132" spans="1:29">
      <c r="A2132" s="10" t="s">
        <v>2678</v>
      </c>
      <c r="B2132" s="10" t="s">
        <v>358</v>
      </c>
      <c r="C2132" s="124">
        <v>46392</v>
      </c>
      <c r="D2132" s="124" t="s">
        <v>471</v>
      </c>
      <c r="E2132" s="21">
        <v>0.94208150000000002</v>
      </c>
      <c r="F2132" s="10"/>
      <c r="G2132" s="14">
        <v>1500000</v>
      </c>
      <c r="H2132" s="14">
        <v>1413122.25</v>
      </c>
      <c r="I2132" s="14">
        <v>1500000</v>
      </c>
      <c r="J2132" s="14">
        <v>1413122.25</v>
      </c>
      <c r="K2132" s="12">
        <v>70110888</v>
      </c>
      <c r="L2132" s="10" t="s">
        <v>101</v>
      </c>
      <c r="M2132" s="10" t="s">
        <v>102</v>
      </c>
      <c r="N2132" s="124" t="s">
        <v>603</v>
      </c>
      <c r="O2132" s="124" t="s">
        <v>603</v>
      </c>
      <c r="P2132" s="21">
        <v>33</v>
      </c>
      <c r="Q2132" s="10" t="s">
        <v>54</v>
      </c>
      <c r="R2132" s="10" t="s">
        <v>28</v>
      </c>
      <c r="S2132" s="10"/>
      <c r="T2132" s="10"/>
      <c r="U2132" s="10" t="s">
        <v>2629</v>
      </c>
      <c r="V2132" s="10" t="s">
        <v>2629</v>
      </c>
      <c r="W2132" s="50">
        <f>+J2132/$W$2</f>
        <v>1.7294702632054723E-5</v>
      </c>
      <c r="AC2132"/>
    </row>
    <row r="2133" spans="1:29">
      <c r="A2133" s="10" t="s">
        <v>2743</v>
      </c>
      <c r="B2133" s="10" t="s">
        <v>358</v>
      </c>
      <c r="C2133" s="124">
        <v>46392</v>
      </c>
      <c r="D2133" s="124" t="s">
        <v>471</v>
      </c>
      <c r="E2133" s="21">
        <v>0.94208155999999998</v>
      </c>
      <c r="F2133" s="10"/>
      <c r="G2133" s="14">
        <v>30000000</v>
      </c>
      <c r="H2133" s="14">
        <v>28262446.739999998</v>
      </c>
      <c r="I2133" s="14">
        <v>30000000</v>
      </c>
      <c r="J2133" s="14">
        <v>28262446.739999998</v>
      </c>
      <c r="K2133" s="12">
        <v>40876495</v>
      </c>
      <c r="L2133" s="10" t="s">
        <v>101</v>
      </c>
      <c r="M2133" s="10" t="s">
        <v>102</v>
      </c>
      <c r="N2133" s="124" t="s">
        <v>440</v>
      </c>
      <c r="O2133" s="124" t="s">
        <v>440</v>
      </c>
      <c r="P2133" s="21">
        <v>33</v>
      </c>
      <c r="Q2133" s="10" t="s">
        <v>54</v>
      </c>
      <c r="R2133" s="10" t="s">
        <v>28</v>
      </c>
      <c r="S2133" s="10"/>
      <c r="T2133" s="10"/>
      <c r="U2133" s="10" t="s">
        <v>2708</v>
      </c>
      <c r="V2133" s="10" t="s">
        <v>2708</v>
      </c>
      <c r="W2133" s="50">
        <f>+J2133/$W$2</f>
        <v>3.4589407393633808E-4</v>
      </c>
    </row>
    <row r="2134" spans="1:29">
      <c r="A2134" s="10" t="s">
        <v>2016</v>
      </c>
      <c r="B2134" s="10" t="s">
        <v>358</v>
      </c>
      <c r="C2134" s="124">
        <v>46393</v>
      </c>
      <c r="D2134" s="124" t="s">
        <v>471</v>
      </c>
      <c r="E2134" s="21">
        <v>0.94802752999999995</v>
      </c>
      <c r="F2134" s="10"/>
      <c r="G2134" s="14">
        <v>11916548.66</v>
      </c>
      <c r="H2134" s="14">
        <v>11297216.25</v>
      </c>
      <c r="I2134" s="14">
        <v>11916548.66</v>
      </c>
      <c r="J2134" s="14">
        <v>11297216.25</v>
      </c>
      <c r="K2134" s="12">
        <v>22881</v>
      </c>
      <c r="L2134" s="10" t="s">
        <v>101</v>
      </c>
      <c r="M2134" s="10" t="s">
        <v>102</v>
      </c>
      <c r="N2134" s="124" t="s">
        <v>469</v>
      </c>
      <c r="O2134" s="124" t="s">
        <v>469</v>
      </c>
      <c r="P2134" s="21">
        <v>29</v>
      </c>
      <c r="Q2134" s="10" t="s">
        <v>54</v>
      </c>
      <c r="R2134" s="10" t="s">
        <v>28</v>
      </c>
      <c r="S2134" s="10"/>
      <c r="T2134" s="10"/>
      <c r="U2134" s="10" t="s">
        <v>3900</v>
      </c>
      <c r="V2134" s="10" t="s">
        <v>3900</v>
      </c>
      <c r="W2134" s="50">
        <f>+J2134/$W$2</f>
        <v>1.3826262774771709E-4</v>
      </c>
    </row>
    <row r="2135" spans="1:29">
      <c r="A2135" s="10" t="s">
        <v>400</v>
      </c>
      <c r="B2135" s="10" t="s">
        <v>358</v>
      </c>
      <c r="C2135" s="124">
        <v>46393</v>
      </c>
      <c r="D2135" s="124" t="s">
        <v>471</v>
      </c>
      <c r="E2135" s="21">
        <v>0.94633149000000005</v>
      </c>
      <c r="F2135" s="10"/>
      <c r="G2135" s="14">
        <v>5580000</v>
      </c>
      <c r="H2135" s="14">
        <v>5280529.72</v>
      </c>
      <c r="I2135" s="14">
        <v>5580000</v>
      </c>
      <c r="J2135" s="14">
        <v>5280529.72</v>
      </c>
      <c r="K2135" s="12">
        <v>11415147</v>
      </c>
      <c r="L2135" s="10" t="s">
        <v>101</v>
      </c>
      <c r="M2135" s="10" t="s">
        <v>102</v>
      </c>
      <c r="N2135" s="124" t="s">
        <v>449</v>
      </c>
      <c r="O2135" s="124" t="s">
        <v>449</v>
      </c>
      <c r="P2135" s="21">
        <v>30</v>
      </c>
      <c r="Q2135" s="10" t="s">
        <v>54</v>
      </c>
      <c r="R2135" s="10" t="s">
        <v>28</v>
      </c>
      <c r="S2135" s="10"/>
      <c r="T2135" s="10"/>
      <c r="U2135" s="10" t="s">
        <v>1923</v>
      </c>
      <c r="V2135" s="10" t="s">
        <v>1923</v>
      </c>
      <c r="W2135" s="50">
        <f>+J2135/$W$2</f>
        <v>6.4626532663488378E-5</v>
      </c>
    </row>
    <row r="2136" spans="1:29">
      <c r="A2136" s="10" t="s">
        <v>1896</v>
      </c>
      <c r="B2136" s="10" t="s">
        <v>358</v>
      </c>
      <c r="C2136" s="124">
        <v>46393</v>
      </c>
      <c r="D2136" s="124" t="s">
        <v>471</v>
      </c>
      <c r="E2136" s="21">
        <v>0.94802748999999997</v>
      </c>
      <c r="F2136" s="10"/>
      <c r="G2136" s="14">
        <v>14617599.810000001</v>
      </c>
      <c r="H2136" s="14">
        <v>13857886.42</v>
      </c>
      <c r="I2136" s="14">
        <v>14617599.810000001</v>
      </c>
      <c r="J2136" s="14">
        <v>13857886.42</v>
      </c>
      <c r="K2136" s="12">
        <v>14061</v>
      </c>
      <c r="L2136" s="10" t="s">
        <v>101</v>
      </c>
      <c r="M2136" s="10" t="s">
        <v>102</v>
      </c>
      <c r="N2136" s="124" t="s">
        <v>478</v>
      </c>
      <c r="O2136" s="124" t="s">
        <v>478</v>
      </c>
      <c r="P2136" s="21">
        <v>29</v>
      </c>
      <c r="Q2136" s="10" t="s">
        <v>54</v>
      </c>
      <c r="R2136" s="10" t="s">
        <v>28</v>
      </c>
      <c r="S2136" s="10"/>
      <c r="T2136" s="10"/>
      <c r="U2136" s="10" t="s">
        <v>2153</v>
      </c>
      <c r="V2136" s="10" t="s">
        <v>2153</v>
      </c>
      <c r="W2136" s="50">
        <f>+J2136/$W$2</f>
        <v>1.6960176286424575E-4</v>
      </c>
    </row>
    <row r="2137" spans="1:29">
      <c r="A2137" s="10" t="s">
        <v>1896</v>
      </c>
      <c r="B2137" s="10" t="s">
        <v>358</v>
      </c>
      <c r="C2137" s="124">
        <v>46393</v>
      </c>
      <c r="D2137" s="124" t="s">
        <v>471</v>
      </c>
      <c r="E2137" s="21">
        <v>0.94802748999999997</v>
      </c>
      <c r="F2137" s="10"/>
      <c r="G2137" s="14">
        <v>41084332.299999997</v>
      </c>
      <c r="H2137" s="14">
        <v>38949076.310000002</v>
      </c>
      <c r="I2137" s="14">
        <v>41084332.299999997</v>
      </c>
      <c r="J2137" s="14">
        <v>38949076.310000002</v>
      </c>
      <c r="K2137" s="12">
        <v>14058</v>
      </c>
      <c r="L2137" s="10" t="s">
        <v>101</v>
      </c>
      <c r="M2137" s="10" t="s">
        <v>102</v>
      </c>
      <c r="N2137" s="124" t="s">
        <v>478</v>
      </c>
      <c r="O2137" s="124" t="s">
        <v>478</v>
      </c>
      <c r="P2137" s="21">
        <v>29</v>
      </c>
      <c r="Q2137" s="10" t="s">
        <v>54</v>
      </c>
      <c r="R2137" s="10" t="s">
        <v>28</v>
      </c>
      <c r="S2137" s="10"/>
      <c r="T2137" s="10"/>
      <c r="U2137" s="10" t="s">
        <v>2154</v>
      </c>
      <c r="V2137" s="10" t="s">
        <v>2154</v>
      </c>
      <c r="W2137" s="50">
        <f>+J2137/$W$2</f>
        <v>4.7668394760230922E-4</v>
      </c>
    </row>
    <row r="2138" spans="1:29">
      <c r="A2138" s="10" t="s">
        <v>1896</v>
      </c>
      <c r="B2138" s="10" t="s">
        <v>358</v>
      </c>
      <c r="C2138" s="124">
        <v>46393</v>
      </c>
      <c r="D2138" s="124" t="s">
        <v>471</v>
      </c>
      <c r="E2138" s="21">
        <v>0.94802748999999997</v>
      </c>
      <c r="F2138" s="10"/>
      <c r="G2138" s="14">
        <v>41084332.299999997</v>
      </c>
      <c r="H2138" s="14">
        <v>38949076.310000002</v>
      </c>
      <c r="I2138" s="14">
        <v>41084332.299999997</v>
      </c>
      <c r="J2138" s="14">
        <v>38949076.310000002</v>
      </c>
      <c r="K2138" s="12">
        <v>14057</v>
      </c>
      <c r="L2138" s="10" t="s">
        <v>101</v>
      </c>
      <c r="M2138" s="10" t="s">
        <v>102</v>
      </c>
      <c r="N2138" s="124" t="s">
        <v>478</v>
      </c>
      <c r="O2138" s="124" t="s">
        <v>478</v>
      </c>
      <c r="P2138" s="21">
        <v>29</v>
      </c>
      <c r="Q2138" s="10" t="s">
        <v>54</v>
      </c>
      <c r="R2138" s="10" t="s">
        <v>28</v>
      </c>
      <c r="S2138" s="10"/>
      <c r="T2138" s="10"/>
      <c r="U2138" s="10" t="s">
        <v>2155</v>
      </c>
      <c r="V2138" s="10" t="s">
        <v>2155</v>
      </c>
      <c r="W2138" s="50">
        <f>+J2138/$W$2</f>
        <v>4.7668394760230922E-4</v>
      </c>
    </row>
    <row r="2139" spans="1:29">
      <c r="A2139" s="10" t="s">
        <v>1896</v>
      </c>
      <c r="B2139" s="10" t="s">
        <v>358</v>
      </c>
      <c r="C2139" s="124">
        <v>46393</v>
      </c>
      <c r="D2139" s="124" t="s">
        <v>471</v>
      </c>
      <c r="E2139" s="21">
        <v>0.94802748999999997</v>
      </c>
      <c r="F2139" s="10"/>
      <c r="G2139" s="14">
        <v>41084332.299999997</v>
      </c>
      <c r="H2139" s="14">
        <v>38949076.310000002</v>
      </c>
      <c r="I2139" s="14">
        <v>41084332.299999997</v>
      </c>
      <c r="J2139" s="14">
        <v>38949076.310000002</v>
      </c>
      <c r="K2139" s="12">
        <v>14056</v>
      </c>
      <c r="L2139" s="10" t="s">
        <v>101</v>
      </c>
      <c r="M2139" s="10" t="s">
        <v>102</v>
      </c>
      <c r="N2139" s="124" t="s">
        <v>478</v>
      </c>
      <c r="O2139" s="124" t="s">
        <v>478</v>
      </c>
      <c r="P2139" s="21">
        <v>29</v>
      </c>
      <c r="Q2139" s="10" t="s">
        <v>54</v>
      </c>
      <c r="R2139" s="10" t="s">
        <v>28</v>
      </c>
      <c r="S2139" s="10"/>
      <c r="T2139" s="10"/>
      <c r="U2139" s="10" t="s">
        <v>2156</v>
      </c>
      <c r="V2139" s="10" t="s">
        <v>2156</v>
      </c>
      <c r="W2139" s="50">
        <f>+J2139/$W$2</f>
        <v>4.7668394760230922E-4</v>
      </c>
    </row>
    <row r="2140" spans="1:29">
      <c r="A2140" s="10" t="s">
        <v>2018</v>
      </c>
      <c r="B2140" s="10" t="s">
        <v>358</v>
      </c>
      <c r="C2140" s="124">
        <v>46393</v>
      </c>
      <c r="D2140" s="124" t="s">
        <v>471</v>
      </c>
      <c r="E2140" s="21">
        <v>0.93794182999999998</v>
      </c>
      <c r="F2140" s="10"/>
      <c r="G2140" s="14">
        <v>25000000</v>
      </c>
      <c r="H2140" s="14">
        <v>23448545.850000001</v>
      </c>
      <c r="I2140" s="14">
        <v>25000000</v>
      </c>
      <c r="J2140" s="14">
        <v>23448545.850000001</v>
      </c>
      <c r="K2140" s="12">
        <v>10685426</v>
      </c>
      <c r="L2140" s="10" t="s">
        <v>101</v>
      </c>
      <c r="M2140" s="10" t="s">
        <v>102</v>
      </c>
      <c r="N2140" s="124" t="s">
        <v>449</v>
      </c>
      <c r="O2140" s="124" t="s">
        <v>449</v>
      </c>
      <c r="P2140" s="21">
        <v>35</v>
      </c>
      <c r="Q2140" s="10" t="s">
        <v>54</v>
      </c>
      <c r="R2140" s="10" t="s">
        <v>28</v>
      </c>
      <c r="S2140" s="10"/>
      <c r="T2140" s="10"/>
      <c r="U2140" s="10" t="s">
        <v>1983</v>
      </c>
      <c r="V2140" s="10" t="s">
        <v>1983</v>
      </c>
      <c r="W2140" s="50">
        <f>+J2140/$W$2</f>
        <v>2.8697844622420382E-4</v>
      </c>
    </row>
    <row r="2141" spans="1:29">
      <c r="A2141" s="10" t="s">
        <v>1424</v>
      </c>
      <c r="B2141" s="10" t="s">
        <v>358</v>
      </c>
      <c r="C2141" s="124">
        <v>46393</v>
      </c>
      <c r="D2141" s="124" t="s">
        <v>471</v>
      </c>
      <c r="E2141" s="21">
        <v>0.94295753000000004</v>
      </c>
      <c r="F2141" s="10"/>
      <c r="G2141" s="14">
        <v>13000000</v>
      </c>
      <c r="H2141" s="14">
        <v>12258447.93</v>
      </c>
      <c r="I2141" s="14">
        <v>13000000</v>
      </c>
      <c r="J2141" s="14">
        <v>12258447.93</v>
      </c>
      <c r="K2141" s="12">
        <v>1308</v>
      </c>
      <c r="L2141" s="10" t="s">
        <v>101</v>
      </c>
      <c r="M2141" s="10" t="s">
        <v>102</v>
      </c>
      <c r="N2141" s="124" t="s">
        <v>391</v>
      </c>
      <c r="O2141" s="124" t="s">
        <v>391</v>
      </c>
      <c r="P2141" s="21">
        <v>32</v>
      </c>
      <c r="Q2141" s="10" t="s">
        <v>54</v>
      </c>
      <c r="R2141" s="10" t="s">
        <v>28</v>
      </c>
      <c r="S2141" s="10"/>
      <c r="T2141" s="10"/>
      <c r="U2141" s="10" t="s">
        <v>1401</v>
      </c>
      <c r="V2141" s="10" t="s">
        <v>1401</v>
      </c>
      <c r="W2141" s="50">
        <f>+J2141/$W$2</f>
        <v>1.5002680177166327E-4</v>
      </c>
    </row>
    <row r="2142" spans="1:29">
      <c r="A2142" s="10" t="s">
        <v>1485</v>
      </c>
      <c r="B2142" s="10" t="s">
        <v>358</v>
      </c>
      <c r="C2142" s="124">
        <v>46393</v>
      </c>
      <c r="D2142" s="124" t="s">
        <v>471</v>
      </c>
      <c r="E2142" s="21">
        <v>0.94295761</v>
      </c>
      <c r="F2142" s="10"/>
      <c r="G2142" s="14">
        <v>1660000</v>
      </c>
      <c r="H2142" s="14">
        <v>1565309.63</v>
      </c>
      <c r="I2142" s="14">
        <v>1660000</v>
      </c>
      <c r="J2142" s="14">
        <v>1565309.63</v>
      </c>
      <c r="K2142" s="12">
        <v>380</v>
      </c>
      <c r="L2142" s="10" t="s">
        <v>101</v>
      </c>
      <c r="M2142" s="10" t="s">
        <v>102</v>
      </c>
      <c r="N2142" s="124" t="s">
        <v>603</v>
      </c>
      <c r="O2142" s="124" t="s">
        <v>603</v>
      </c>
      <c r="P2142" s="21">
        <v>32</v>
      </c>
      <c r="Q2142" s="10" t="s">
        <v>54</v>
      </c>
      <c r="R2142" s="10" t="s">
        <v>28</v>
      </c>
      <c r="S2142" s="10"/>
      <c r="T2142" s="10"/>
      <c r="U2142" s="10" t="s">
        <v>2575</v>
      </c>
      <c r="V2142" s="10" t="s">
        <v>2575</v>
      </c>
      <c r="W2142" s="50">
        <f>+J2142/$W$2</f>
        <v>1.915727006488052E-5</v>
      </c>
    </row>
    <row r="2143" spans="1:29">
      <c r="A2143" s="10" t="s">
        <v>1487</v>
      </c>
      <c r="B2143" s="10" t="s">
        <v>358</v>
      </c>
      <c r="C2143" s="124">
        <v>46393</v>
      </c>
      <c r="D2143" s="124" t="s">
        <v>471</v>
      </c>
      <c r="E2143" s="21">
        <v>0.94464144000000005</v>
      </c>
      <c r="F2143" s="10"/>
      <c r="G2143" s="14">
        <v>1756706.4</v>
      </c>
      <c r="H2143" s="14">
        <v>1659457.67</v>
      </c>
      <c r="I2143" s="14">
        <v>1756706.4</v>
      </c>
      <c r="J2143" s="14">
        <v>1659457.67</v>
      </c>
      <c r="K2143" s="12">
        <v>503</v>
      </c>
      <c r="L2143" s="10" t="s">
        <v>101</v>
      </c>
      <c r="M2143" s="10" t="s">
        <v>102</v>
      </c>
      <c r="N2143" s="124" t="s">
        <v>405</v>
      </c>
      <c r="O2143" s="124" t="s">
        <v>405</v>
      </c>
      <c r="P2143" s="21">
        <v>31</v>
      </c>
      <c r="Q2143" s="10" t="s">
        <v>54</v>
      </c>
      <c r="R2143" s="10" t="s">
        <v>28</v>
      </c>
      <c r="S2143" s="10"/>
      <c r="T2143" s="10"/>
      <c r="U2143" s="10" t="s">
        <v>1499</v>
      </c>
      <c r="V2143" s="10" t="s">
        <v>1499</v>
      </c>
      <c r="W2143" s="50">
        <f>+J2143/$W$2</f>
        <v>2.0309514575354252E-5</v>
      </c>
    </row>
    <row r="2144" spans="1:29">
      <c r="A2144" s="10" t="s">
        <v>1535</v>
      </c>
      <c r="B2144" s="10" t="s">
        <v>358</v>
      </c>
      <c r="C2144" s="124">
        <v>46393</v>
      </c>
      <c r="D2144" s="124" t="s">
        <v>471</v>
      </c>
      <c r="E2144" s="21">
        <v>0.94464148999999997</v>
      </c>
      <c r="F2144" s="10"/>
      <c r="G2144" s="14">
        <v>11820000</v>
      </c>
      <c r="H2144" s="14">
        <v>11165662.4</v>
      </c>
      <c r="I2144" s="14">
        <v>11820000</v>
      </c>
      <c r="J2144" s="14">
        <v>11165662.4</v>
      </c>
      <c r="K2144" s="12">
        <v>14310296</v>
      </c>
      <c r="L2144" s="10" t="s">
        <v>101</v>
      </c>
      <c r="M2144" s="10" t="s">
        <v>102</v>
      </c>
      <c r="N2144" s="124" t="s">
        <v>480</v>
      </c>
      <c r="O2144" s="124" t="s">
        <v>480</v>
      </c>
      <c r="P2144" s="21">
        <v>31</v>
      </c>
      <c r="Q2144" s="10" t="s">
        <v>54</v>
      </c>
      <c r="R2144" s="10" t="s">
        <v>28</v>
      </c>
      <c r="S2144" s="10"/>
      <c r="T2144" s="10"/>
      <c r="U2144" s="10" t="s">
        <v>1526</v>
      </c>
      <c r="V2144" s="10" t="s">
        <v>1526</v>
      </c>
      <c r="W2144" s="50">
        <f>+J2144/$W$2</f>
        <v>1.3665258677932109E-4</v>
      </c>
    </row>
    <row r="2145" spans="1:29">
      <c r="A2145" s="10" t="s">
        <v>1634</v>
      </c>
      <c r="B2145" s="10" t="s">
        <v>358</v>
      </c>
      <c r="C2145" s="124">
        <v>46393</v>
      </c>
      <c r="D2145" s="124" t="s">
        <v>471</v>
      </c>
      <c r="E2145" s="21">
        <v>0.94295759000000001</v>
      </c>
      <c r="F2145" s="10"/>
      <c r="G2145" s="14">
        <v>4000000</v>
      </c>
      <c r="H2145" s="14">
        <v>3771830.37</v>
      </c>
      <c r="I2145" s="14">
        <v>4000000</v>
      </c>
      <c r="J2145" s="14">
        <v>3771830.37</v>
      </c>
      <c r="K2145" s="12">
        <v>726</v>
      </c>
      <c r="L2145" s="10" t="s">
        <v>101</v>
      </c>
      <c r="M2145" s="10" t="s">
        <v>102</v>
      </c>
      <c r="N2145" s="124" t="s">
        <v>395</v>
      </c>
      <c r="O2145" s="124" t="s">
        <v>395</v>
      </c>
      <c r="P2145" s="21">
        <v>32</v>
      </c>
      <c r="Q2145" s="10" t="s">
        <v>54</v>
      </c>
      <c r="R2145" s="10" t="s">
        <v>28</v>
      </c>
      <c r="S2145" s="10"/>
      <c r="T2145" s="10"/>
      <c r="U2145" s="10" t="s">
        <v>1782</v>
      </c>
      <c r="V2145" s="10" t="s">
        <v>1782</v>
      </c>
      <c r="W2145" s="50">
        <f>+J2145/$W$2</f>
        <v>4.616209576185142E-5</v>
      </c>
      <c r="AC2145" s="47"/>
    </row>
    <row r="2146" spans="1:29">
      <c r="A2146" s="10" t="s">
        <v>1757</v>
      </c>
      <c r="B2146" s="10" t="s">
        <v>358</v>
      </c>
      <c r="C2146" s="124">
        <v>46393</v>
      </c>
      <c r="D2146" s="124" t="s">
        <v>471</v>
      </c>
      <c r="E2146" s="21">
        <v>0.93960792999999998</v>
      </c>
      <c r="F2146" s="10"/>
      <c r="G2146" s="14">
        <v>1592576.4</v>
      </c>
      <c r="H2146" s="14">
        <v>1496397.41</v>
      </c>
      <c r="I2146" s="14">
        <v>1592576.4</v>
      </c>
      <c r="J2146" s="14">
        <v>1496397.41</v>
      </c>
      <c r="K2146" s="12">
        <v>3986551</v>
      </c>
      <c r="L2146" s="10" t="s">
        <v>101</v>
      </c>
      <c r="M2146" s="10" t="s">
        <v>102</v>
      </c>
      <c r="N2146" s="124" t="s">
        <v>451</v>
      </c>
      <c r="O2146" s="124" t="s">
        <v>451</v>
      </c>
      <c r="P2146" s="21">
        <v>34</v>
      </c>
      <c r="Q2146" s="10" t="s">
        <v>54</v>
      </c>
      <c r="R2146" s="10" t="s">
        <v>28</v>
      </c>
      <c r="S2146" s="10"/>
      <c r="T2146" s="10"/>
      <c r="U2146" s="10" t="s">
        <v>3499</v>
      </c>
      <c r="V2146" s="10" t="s">
        <v>3499</v>
      </c>
      <c r="W2146" s="50">
        <f>+J2146/$W$2</f>
        <v>1.8313877815827235E-5</v>
      </c>
    </row>
    <row r="2147" spans="1:29">
      <c r="A2147" s="10" t="s">
        <v>2758</v>
      </c>
      <c r="B2147" s="10" t="s">
        <v>358</v>
      </c>
      <c r="C2147" s="124">
        <v>46393</v>
      </c>
      <c r="D2147" s="124" t="s">
        <v>471</v>
      </c>
      <c r="E2147" s="21">
        <v>0.94974656000000002</v>
      </c>
      <c r="F2147" s="10"/>
      <c r="G2147" s="14">
        <v>1720542</v>
      </c>
      <c r="H2147" s="14">
        <v>1634078.85</v>
      </c>
      <c r="I2147" s="14">
        <v>1720542</v>
      </c>
      <c r="J2147" s="14">
        <v>1634078.85</v>
      </c>
      <c r="K2147" s="12">
        <v>12866717</v>
      </c>
      <c r="L2147" s="10" t="s">
        <v>101</v>
      </c>
      <c r="M2147" s="10" t="s">
        <v>102</v>
      </c>
      <c r="N2147" s="124" t="s">
        <v>417</v>
      </c>
      <c r="O2147" s="124" t="s">
        <v>417</v>
      </c>
      <c r="P2147" s="21">
        <v>27.99</v>
      </c>
      <c r="Q2147" s="10" t="s">
        <v>54</v>
      </c>
      <c r="R2147" s="10" t="s">
        <v>28</v>
      </c>
      <c r="S2147" s="10"/>
      <c r="T2147" s="10"/>
      <c r="U2147" s="10" t="s">
        <v>3177</v>
      </c>
      <c r="V2147" s="10" t="s">
        <v>3177</v>
      </c>
      <c r="W2147" s="50">
        <f>+J2147/$W$2</f>
        <v>1.9998912187590251E-5</v>
      </c>
    </row>
    <row r="2148" spans="1:29">
      <c r="A2148" s="10" t="s">
        <v>2758</v>
      </c>
      <c r="B2148" s="10" t="s">
        <v>358</v>
      </c>
      <c r="C2148" s="124">
        <v>46393</v>
      </c>
      <c r="D2148" s="124" t="s">
        <v>471</v>
      </c>
      <c r="E2148" s="21">
        <v>0.94974656000000002</v>
      </c>
      <c r="F2148" s="10"/>
      <c r="G2148" s="14">
        <v>1720542</v>
      </c>
      <c r="H2148" s="14">
        <v>1634078.85</v>
      </c>
      <c r="I2148" s="14">
        <v>1720542</v>
      </c>
      <c r="J2148" s="14">
        <v>1634078.85</v>
      </c>
      <c r="K2148" s="12">
        <v>12866718</v>
      </c>
      <c r="L2148" s="10" t="s">
        <v>101</v>
      </c>
      <c r="M2148" s="10" t="s">
        <v>102</v>
      </c>
      <c r="N2148" s="124" t="s">
        <v>417</v>
      </c>
      <c r="O2148" s="124" t="s">
        <v>417</v>
      </c>
      <c r="P2148" s="21">
        <v>27.99</v>
      </c>
      <c r="Q2148" s="10" t="s">
        <v>54</v>
      </c>
      <c r="R2148" s="10" t="s">
        <v>28</v>
      </c>
      <c r="S2148" s="10"/>
      <c r="T2148" s="10"/>
      <c r="U2148" s="10" t="s">
        <v>3183</v>
      </c>
      <c r="V2148" s="10" t="s">
        <v>3183</v>
      </c>
      <c r="W2148" s="50">
        <f>+J2148/$W$2</f>
        <v>1.9998912187590251E-5</v>
      </c>
    </row>
    <row r="2149" spans="1:29">
      <c r="A2149" s="10" t="s">
        <v>494</v>
      </c>
      <c r="B2149" s="10" t="s">
        <v>358</v>
      </c>
      <c r="C2149" s="124">
        <v>46393</v>
      </c>
      <c r="D2149" s="124" t="s">
        <v>471</v>
      </c>
      <c r="E2149" s="21">
        <v>0.94802737999999998</v>
      </c>
      <c r="F2149" s="10"/>
      <c r="G2149" s="14">
        <v>14000000</v>
      </c>
      <c r="H2149" s="14">
        <v>13272383.34</v>
      </c>
      <c r="I2149" s="14">
        <v>14000000</v>
      </c>
      <c r="J2149" s="14">
        <v>13272383.34</v>
      </c>
      <c r="K2149" s="12">
        <v>120</v>
      </c>
      <c r="L2149" s="10" t="s">
        <v>101</v>
      </c>
      <c r="M2149" s="10" t="s">
        <v>102</v>
      </c>
      <c r="N2149" s="124" t="s">
        <v>369</v>
      </c>
      <c r="O2149" s="124" t="s">
        <v>369</v>
      </c>
      <c r="P2149" s="21">
        <v>29</v>
      </c>
      <c r="Q2149" s="10" t="s">
        <v>54</v>
      </c>
      <c r="R2149" s="10" t="s">
        <v>28</v>
      </c>
      <c r="S2149" s="10"/>
      <c r="T2149" s="10"/>
      <c r="U2149" s="10" t="s">
        <v>659</v>
      </c>
      <c r="V2149" s="10" t="s">
        <v>659</v>
      </c>
      <c r="W2149" s="50">
        <f>+J2149/$W$2</f>
        <v>1.6243599807726279E-4</v>
      </c>
    </row>
    <row r="2150" spans="1:29">
      <c r="A2150" s="10" t="s">
        <v>443</v>
      </c>
      <c r="B2150" s="10" t="s">
        <v>358</v>
      </c>
      <c r="C2150" s="124">
        <v>46393</v>
      </c>
      <c r="D2150" s="124" t="s">
        <v>471</v>
      </c>
      <c r="E2150" s="21">
        <v>0.94633140000000004</v>
      </c>
      <c r="F2150" s="10"/>
      <c r="G2150" s="14">
        <v>10000000</v>
      </c>
      <c r="H2150" s="14">
        <v>9463313.9800000004</v>
      </c>
      <c r="I2150" s="14">
        <v>10000000</v>
      </c>
      <c r="J2150" s="14">
        <v>9463313.9800000004</v>
      </c>
      <c r="K2150" s="12">
        <v>1328673</v>
      </c>
      <c r="L2150" s="10" t="s">
        <v>101</v>
      </c>
      <c r="M2150" s="10" t="s">
        <v>102</v>
      </c>
      <c r="N2150" s="124" t="s">
        <v>395</v>
      </c>
      <c r="O2150" s="124" t="s">
        <v>395</v>
      </c>
      <c r="P2150" s="21">
        <v>30</v>
      </c>
      <c r="Q2150" s="10" t="s">
        <v>54</v>
      </c>
      <c r="R2150" s="10" t="s">
        <v>28</v>
      </c>
      <c r="S2150" s="10"/>
      <c r="T2150" s="10"/>
      <c r="U2150" s="10" t="s">
        <v>1777</v>
      </c>
      <c r="V2150" s="10" t="s">
        <v>1777</v>
      </c>
      <c r="W2150" s="50">
        <f>+J2150/$W$2</f>
        <v>1.1581814750837465E-4</v>
      </c>
    </row>
    <row r="2151" spans="1:29">
      <c r="A2151" s="10" t="s">
        <v>443</v>
      </c>
      <c r="B2151" s="10" t="s">
        <v>358</v>
      </c>
      <c r="C2151" s="124">
        <v>46393</v>
      </c>
      <c r="D2151" s="124" t="s">
        <v>471</v>
      </c>
      <c r="E2151" s="21">
        <v>0.94633140000000004</v>
      </c>
      <c r="F2151" s="10"/>
      <c r="G2151" s="14">
        <v>10000000</v>
      </c>
      <c r="H2151" s="14">
        <v>9463313.9800000004</v>
      </c>
      <c r="I2151" s="14">
        <v>10000000</v>
      </c>
      <c r="J2151" s="14">
        <v>9463313.9800000004</v>
      </c>
      <c r="K2151" s="12">
        <v>1328674</v>
      </c>
      <c r="L2151" s="10" t="s">
        <v>101</v>
      </c>
      <c r="M2151" s="10" t="s">
        <v>102</v>
      </c>
      <c r="N2151" s="124" t="s">
        <v>395</v>
      </c>
      <c r="O2151" s="124" t="s">
        <v>395</v>
      </c>
      <c r="P2151" s="21">
        <v>30</v>
      </c>
      <c r="Q2151" s="10" t="s">
        <v>54</v>
      </c>
      <c r="R2151" s="10" t="s">
        <v>28</v>
      </c>
      <c r="S2151" s="10"/>
      <c r="T2151" s="10"/>
      <c r="U2151" s="10" t="s">
        <v>1779</v>
      </c>
      <c r="V2151" s="10" t="s">
        <v>1779</v>
      </c>
      <c r="W2151" s="50">
        <f>+J2151/$W$2</f>
        <v>1.1581814750837465E-4</v>
      </c>
    </row>
    <row r="2152" spans="1:29">
      <c r="A2152" s="10" t="s">
        <v>964</v>
      </c>
      <c r="B2152" s="10" t="s">
        <v>358</v>
      </c>
      <c r="C2152" s="124">
        <v>46393</v>
      </c>
      <c r="D2152" s="124" t="s">
        <v>471</v>
      </c>
      <c r="E2152" s="21">
        <v>0.94127969</v>
      </c>
      <c r="F2152" s="10"/>
      <c r="G2152" s="14">
        <v>20007806.68</v>
      </c>
      <c r="H2152" s="14">
        <v>18832942</v>
      </c>
      <c r="I2152" s="14">
        <v>20007806.68</v>
      </c>
      <c r="J2152" s="14">
        <v>18832942</v>
      </c>
      <c r="K2152" s="12">
        <v>29851775</v>
      </c>
      <c r="L2152" s="10" t="s">
        <v>101</v>
      </c>
      <c r="M2152" s="10" t="s">
        <v>102</v>
      </c>
      <c r="N2152" s="124" t="s">
        <v>372</v>
      </c>
      <c r="O2152" s="124" t="s">
        <v>372</v>
      </c>
      <c r="P2152" s="21">
        <v>33</v>
      </c>
      <c r="Q2152" s="10" t="s">
        <v>54</v>
      </c>
      <c r="R2152" s="10" t="s">
        <v>28</v>
      </c>
      <c r="S2152" s="10"/>
      <c r="T2152" s="10"/>
      <c r="U2152" s="10" t="s">
        <v>950</v>
      </c>
      <c r="V2152" s="10" t="s">
        <v>950</v>
      </c>
      <c r="W2152" s="50">
        <f>+J2152/$W$2</f>
        <v>2.3048970573970792E-4</v>
      </c>
    </row>
    <row r="2153" spans="1:29">
      <c r="A2153" s="10" t="s">
        <v>1090</v>
      </c>
      <c r="B2153" s="10" t="s">
        <v>358</v>
      </c>
      <c r="C2153" s="124">
        <v>46393</v>
      </c>
      <c r="D2153" s="124" t="s">
        <v>471</v>
      </c>
      <c r="E2153" s="21">
        <v>0.94633142999999997</v>
      </c>
      <c r="F2153" s="10"/>
      <c r="G2153" s="14">
        <v>50000000</v>
      </c>
      <c r="H2153" s="14">
        <v>47316571.520000003</v>
      </c>
      <c r="I2153" s="14">
        <v>50000000</v>
      </c>
      <c r="J2153" s="14">
        <v>47316571.520000003</v>
      </c>
      <c r="K2153" s="12">
        <v>197099</v>
      </c>
      <c r="L2153" s="10" t="s">
        <v>101</v>
      </c>
      <c r="M2153" s="10" t="s">
        <v>102</v>
      </c>
      <c r="N2153" s="124" t="s">
        <v>161</v>
      </c>
      <c r="O2153" s="124" t="s">
        <v>161</v>
      </c>
      <c r="P2153" s="21">
        <v>30</v>
      </c>
      <c r="Q2153" s="10" t="s">
        <v>54</v>
      </c>
      <c r="R2153" s="10" t="s">
        <v>28</v>
      </c>
      <c r="S2153" s="10"/>
      <c r="T2153" s="10"/>
      <c r="U2153" s="10" t="s">
        <v>1042</v>
      </c>
      <c r="V2153" s="10" t="s">
        <v>1042</v>
      </c>
      <c r="W2153" s="50">
        <f>+J2153/$W$2</f>
        <v>5.7909075736847933E-4</v>
      </c>
    </row>
    <row r="2154" spans="1:29">
      <c r="A2154" s="10" t="s">
        <v>1371</v>
      </c>
      <c r="B2154" s="10" t="s">
        <v>358</v>
      </c>
      <c r="C2154" s="124">
        <v>46393</v>
      </c>
      <c r="D2154" s="124" t="s">
        <v>471</v>
      </c>
      <c r="E2154" s="21">
        <v>0.94464150000000002</v>
      </c>
      <c r="F2154" s="10"/>
      <c r="G2154" s="14">
        <v>8523313</v>
      </c>
      <c r="H2154" s="14">
        <v>8051475.1500000004</v>
      </c>
      <c r="I2154" s="14">
        <v>8523313</v>
      </c>
      <c r="J2154" s="14">
        <v>8051475.1500000004</v>
      </c>
      <c r="K2154" s="12">
        <v>13680135</v>
      </c>
      <c r="L2154" s="10" t="s">
        <v>101</v>
      </c>
      <c r="M2154" s="10" t="s">
        <v>102</v>
      </c>
      <c r="N2154" s="124" t="s">
        <v>365</v>
      </c>
      <c r="O2154" s="124" t="s">
        <v>365</v>
      </c>
      <c r="P2154" s="21">
        <v>31</v>
      </c>
      <c r="Q2154" s="10" t="s">
        <v>54</v>
      </c>
      <c r="R2154" s="10" t="s">
        <v>28</v>
      </c>
      <c r="S2154" s="10"/>
      <c r="T2154" s="10"/>
      <c r="U2154" s="10" t="s">
        <v>1357</v>
      </c>
      <c r="V2154" s="10" t="s">
        <v>1357</v>
      </c>
      <c r="W2154" s="50">
        <f>+J2154/$W$2</f>
        <v>9.8539152199060063E-5</v>
      </c>
      <c r="AC2154" s="47"/>
    </row>
    <row r="2155" spans="1:29">
      <c r="A2155" s="10" t="s">
        <v>1393</v>
      </c>
      <c r="B2155" s="10" t="s">
        <v>358</v>
      </c>
      <c r="C2155" s="124">
        <v>46393</v>
      </c>
      <c r="D2155" s="124" t="s">
        <v>471</v>
      </c>
      <c r="E2155" s="21">
        <v>0.94464154</v>
      </c>
      <c r="F2155" s="10"/>
      <c r="G2155" s="14">
        <v>80000000</v>
      </c>
      <c r="H2155" s="14">
        <v>75571323.140000001</v>
      </c>
      <c r="I2155" s="14">
        <v>80000000</v>
      </c>
      <c r="J2155" s="14">
        <v>75571323.140000001</v>
      </c>
      <c r="K2155" s="12">
        <v>3037</v>
      </c>
      <c r="L2155" s="10" t="s">
        <v>101</v>
      </c>
      <c r="M2155" s="10" t="s">
        <v>102</v>
      </c>
      <c r="N2155" s="124" t="s">
        <v>396</v>
      </c>
      <c r="O2155" s="124" t="s">
        <v>396</v>
      </c>
      <c r="P2155" s="21">
        <v>31</v>
      </c>
      <c r="Q2155" s="10" t="s">
        <v>54</v>
      </c>
      <c r="R2155" s="10" t="s">
        <v>28</v>
      </c>
      <c r="S2155" s="10"/>
      <c r="T2155" s="10"/>
      <c r="U2155" s="10" t="s">
        <v>1373</v>
      </c>
      <c r="V2155" s="10" t="s">
        <v>1373</v>
      </c>
      <c r="W2155" s="50">
        <f>+J2155/$W$2</f>
        <v>9.2489065345706368E-4</v>
      </c>
    </row>
    <row r="2156" spans="1:29">
      <c r="A2156" s="10" t="s">
        <v>1484</v>
      </c>
      <c r="B2156" s="10" t="s">
        <v>125</v>
      </c>
      <c r="C2156" s="124">
        <v>46393</v>
      </c>
      <c r="D2156" s="124" t="s">
        <v>471</v>
      </c>
      <c r="E2156" s="21">
        <v>0.98510207000000005</v>
      </c>
      <c r="F2156" s="10" t="s">
        <v>4162</v>
      </c>
      <c r="G2156" s="14">
        <v>415000</v>
      </c>
      <c r="H2156" s="14">
        <v>408817.36</v>
      </c>
      <c r="I2156" s="14">
        <v>638931103.66999996</v>
      </c>
      <c r="J2156" s="14">
        <v>629412354.27999997</v>
      </c>
      <c r="K2156" s="12">
        <v>163818</v>
      </c>
      <c r="L2156" s="10" t="s">
        <v>101</v>
      </c>
      <c r="M2156" s="10" t="s">
        <v>102</v>
      </c>
      <c r="N2156" s="124" t="s">
        <v>486</v>
      </c>
      <c r="O2156" s="124" t="s">
        <v>486</v>
      </c>
      <c r="P2156" s="21">
        <v>8</v>
      </c>
      <c r="Q2156" s="10" t="s">
        <v>54</v>
      </c>
      <c r="R2156" s="10" t="s">
        <v>28</v>
      </c>
      <c r="S2156" s="10"/>
      <c r="T2156" s="10"/>
      <c r="U2156" s="10" t="s">
        <v>1483</v>
      </c>
      <c r="V2156" s="10" t="s">
        <v>1483</v>
      </c>
      <c r="W2156" s="50">
        <f>+J2156/$W$2</f>
        <v>7.7031548404351254E-3</v>
      </c>
    </row>
    <row r="2157" spans="1:29">
      <c r="A2157" s="10" t="s">
        <v>3322</v>
      </c>
      <c r="B2157" s="10" t="s">
        <v>358</v>
      </c>
      <c r="C2157" s="124">
        <v>46393</v>
      </c>
      <c r="D2157" s="124" t="s">
        <v>471</v>
      </c>
      <c r="E2157" s="21">
        <v>0.94127974000000003</v>
      </c>
      <c r="F2157" s="10"/>
      <c r="G2157" s="14">
        <v>528139.15</v>
      </c>
      <c r="H2157" s="14">
        <v>497126.68</v>
      </c>
      <c r="I2157" s="14">
        <v>528139.15</v>
      </c>
      <c r="J2157" s="14">
        <v>497126.68</v>
      </c>
      <c r="K2157" s="12">
        <v>17716</v>
      </c>
      <c r="L2157" s="10" t="s">
        <v>101</v>
      </c>
      <c r="M2157" s="10" t="s">
        <v>102</v>
      </c>
      <c r="N2157" s="124" t="s">
        <v>417</v>
      </c>
      <c r="O2157" s="124" t="s">
        <v>417</v>
      </c>
      <c r="P2157" s="21">
        <v>33</v>
      </c>
      <c r="Q2157" s="10" t="s">
        <v>54</v>
      </c>
      <c r="R2157" s="10" t="s">
        <v>28</v>
      </c>
      <c r="S2157" s="10"/>
      <c r="T2157" s="10"/>
      <c r="U2157" s="10" t="s">
        <v>3227</v>
      </c>
      <c r="V2157" s="10" t="s">
        <v>3227</v>
      </c>
      <c r="W2157" s="50">
        <f>+J2157/$W$2</f>
        <v>6.0841573339182975E-6</v>
      </c>
    </row>
    <row r="2158" spans="1:29">
      <c r="A2158" s="10" t="s">
        <v>623</v>
      </c>
      <c r="B2158" s="10" t="s">
        <v>358</v>
      </c>
      <c r="C2158" s="124">
        <v>46393</v>
      </c>
      <c r="D2158" s="124" t="s">
        <v>471</v>
      </c>
      <c r="E2158" s="21">
        <v>0.93794191999999998</v>
      </c>
      <c r="F2158" s="10"/>
      <c r="G2158" s="14">
        <v>3000000</v>
      </c>
      <c r="H2158" s="14">
        <v>2813825.75</v>
      </c>
      <c r="I2158" s="14">
        <v>3000000</v>
      </c>
      <c r="J2158" s="14">
        <v>2813825.75</v>
      </c>
      <c r="K2158" s="12">
        <v>54</v>
      </c>
      <c r="L2158" s="10" t="s">
        <v>101</v>
      </c>
      <c r="M2158" s="10" t="s">
        <v>102</v>
      </c>
      <c r="N2158" s="124" t="s">
        <v>446</v>
      </c>
      <c r="O2158" s="124" t="s">
        <v>446</v>
      </c>
      <c r="P2158" s="21">
        <v>35</v>
      </c>
      <c r="Q2158" s="10" t="s">
        <v>54</v>
      </c>
      <c r="R2158" s="10" t="s">
        <v>28</v>
      </c>
      <c r="S2158" s="10"/>
      <c r="T2158" s="10"/>
      <c r="U2158" s="10" t="s">
        <v>3078</v>
      </c>
      <c r="V2158" s="10" t="s">
        <v>3078</v>
      </c>
      <c r="W2158" s="50">
        <f>+J2158/$W$2</f>
        <v>3.4437416582088604E-5</v>
      </c>
    </row>
    <row r="2159" spans="1:29">
      <c r="A2159" s="10" t="s">
        <v>641</v>
      </c>
      <c r="B2159" s="10" t="s">
        <v>358</v>
      </c>
      <c r="C2159" s="124">
        <v>46393</v>
      </c>
      <c r="D2159" s="124" t="s">
        <v>471</v>
      </c>
      <c r="E2159" s="21">
        <v>0.94633138999999999</v>
      </c>
      <c r="F2159" s="10"/>
      <c r="G2159" s="14">
        <v>5600000</v>
      </c>
      <c r="H2159" s="14">
        <v>5299455.8099999996</v>
      </c>
      <c r="I2159" s="14">
        <v>5600000</v>
      </c>
      <c r="J2159" s="14">
        <v>5299455.8099999996</v>
      </c>
      <c r="K2159" s="12">
        <v>239</v>
      </c>
      <c r="L2159" s="10" t="s">
        <v>101</v>
      </c>
      <c r="M2159" s="10" t="s">
        <v>102</v>
      </c>
      <c r="N2159" s="124" t="s">
        <v>317</v>
      </c>
      <c r="O2159" s="124" t="s">
        <v>317</v>
      </c>
      <c r="P2159" s="21">
        <v>30</v>
      </c>
      <c r="Q2159" s="10" t="s">
        <v>54</v>
      </c>
      <c r="R2159" s="10" t="s">
        <v>28</v>
      </c>
      <c r="S2159" s="10"/>
      <c r="T2159" s="10"/>
      <c r="U2159" s="10" t="s">
        <v>635</v>
      </c>
      <c r="V2159" s="10" t="s">
        <v>635</v>
      </c>
      <c r="W2159" s="50">
        <f>+J2159/$W$2</f>
        <v>6.4858162374603246E-5</v>
      </c>
    </row>
    <row r="2160" spans="1:29">
      <c r="A2160" s="10" t="s">
        <v>1536</v>
      </c>
      <c r="B2160" s="10" t="s">
        <v>358</v>
      </c>
      <c r="C2160" s="124">
        <v>46393</v>
      </c>
      <c r="D2160" s="124" t="s">
        <v>471</v>
      </c>
      <c r="E2160" s="21">
        <v>0.94464148999999997</v>
      </c>
      <c r="F2160" s="10"/>
      <c r="G2160" s="14">
        <v>25000000</v>
      </c>
      <c r="H2160" s="14">
        <v>23616037.219999999</v>
      </c>
      <c r="I2160" s="14">
        <v>25000000</v>
      </c>
      <c r="J2160" s="14">
        <v>23616037.219999999</v>
      </c>
      <c r="K2160" s="12">
        <v>14384931</v>
      </c>
      <c r="L2160" s="10" t="s">
        <v>101</v>
      </c>
      <c r="M2160" s="10" t="s">
        <v>102</v>
      </c>
      <c r="N2160" s="124" t="s">
        <v>480</v>
      </c>
      <c r="O2160" s="124" t="s">
        <v>480</v>
      </c>
      <c r="P2160" s="21">
        <v>31</v>
      </c>
      <c r="Q2160" s="10" t="s">
        <v>54</v>
      </c>
      <c r="R2160" s="10" t="s">
        <v>28</v>
      </c>
      <c r="S2160" s="10"/>
      <c r="T2160" s="10"/>
      <c r="U2160" s="10" t="s">
        <v>1533</v>
      </c>
      <c r="V2160" s="10" t="s">
        <v>1533</v>
      </c>
      <c r="W2160" s="50">
        <f>+J2160/$W$2</f>
        <v>2.8902831376934041E-4</v>
      </c>
    </row>
    <row r="2161" spans="1:29">
      <c r="A2161" s="10" t="s">
        <v>574</v>
      </c>
      <c r="B2161" s="10" t="s">
        <v>358</v>
      </c>
      <c r="C2161" s="124">
        <v>46393</v>
      </c>
      <c r="D2161" s="124" t="s">
        <v>471</v>
      </c>
      <c r="E2161" s="21">
        <v>0.94633137000000001</v>
      </c>
      <c r="F2161" s="10"/>
      <c r="G2161" s="14">
        <v>50000000</v>
      </c>
      <c r="H2161" s="14">
        <v>47316568.549999997</v>
      </c>
      <c r="I2161" s="14">
        <v>50000000</v>
      </c>
      <c r="J2161" s="14">
        <v>47316568.549999997</v>
      </c>
      <c r="K2161" s="12">
        <v>90004397</v>
      </c>
      <c r="L2161" s="10" t="s">
        <v>101</v>
      </c>
      <c r="M2161" s="10" t="s">
        <v>102</v>
      </c>
      <c r="N2161" s="124" t="s">
        <v>471</v>
      </c>
      <c r="O2161" s="124" t="s">
        <v>471</v>
      </c>
      <c r="P2161" s="21">
        <v>30</v>
      </c>
      <c r="Q2161" s="10" t="s">
        <v>54</v>
      </c>
      <c r="R2161" s="10" t="s">
        <v>28</v>
      </c>
      <c r="S2161" s="10"/>
      <c r="T2161" s="10"/>
      <c r="U2161" s="10" t="s">
        <v>4120</v>
      </c>
      <c r="V2161" s="10" t="s">
        <v>4120</v>
      </c>
      <c r="W2161" s="50">
        <f>+J2161/$W$2</f>
        <v>5.790907210197014E-4</v>
      </c>
    </row>
    <row r="2162" spans="1:29">
      <c r="A2162" s="10" t="s">
        <v>574</v>
      </c>
      <c r="B2162" s="10" t="s">
        <v>358</v>
      </c>
      <c r="C2162" s="124">
        <v>46393</v>
      </c>
      <c r="D2162" s="124" t="s">
        <v>471</v>
      </c>
      <c r="E2162" s="21">
        <v>0.94633137000000001</v>
      </c>
      <c r="F2162" s="10"/>
      <c r="G2162" s="14">
        <v>50000000</v>
      </c>
      <c r="H2162" s="14">
        <v>47316568.549999997</v>
      </c>
      <c r="I2162" s="14">
        <v>50000000</v>
      </c>
      <c r="J2162" s="14">
        <v>47316568.549999997</v>
      </c>
      <c r="K2162" s="12">
        <v>90004398</v>
      </c>
      <c r="L2162" s="10" t="s">
        <v>101</v>
      </c>
      <c r="M2162" s="10" t="s">
        <v>102</v>
      </c>
      <c r="N2162" s="124" t="s">
        <v>471</v>
      </c>
      <c r="O2162" s="124" t="s">
        <v>471</v>
      </c>
      <c r="P2162" s="21">
        <v>30</v>
      </c>
      <c r="Q2162" s="10" t="s">
        <v>54</v>
      </c>
      <c r="R2162" s="10" t="s">
        <v>28</v>
      </c>
      <c r="S2162" s="10"/>
      <c r="T2162" s="10"/>
      <c r="U2162" s="10" t="s">
        <v>4121</v>
      </c>
      <c r="V2162" s="10" t="s">
        <v>4121</v>
      </c>
      <c r="W2162" s="50">
        <f>+J2162/$W$2</f>
        <v>5.790907210197014E-4</v>
      </c>
    </row>
    <row r="2163" spans="1:29">
      <c r="A2163" s="10" t="s">
        <v>574</v>
      </c>
      <c r="B2163" s="10" t="s">
        <v>358</v>
      </c>
      <c r="C2163" s="124">
        <v>46393</v>
      </c>
      <c r="D2163" s="124" t="s">
        <v>471</v>
      </c>
      <c r="E2163" s="21">
        <v>0.94633146000000001</v>
      </c>
      <c r="F2163" s="10"/>
      <c r="G2163" s="14">
        <v>15000000</v>
      </c>
      <c r="H2163" s="14">
        <v>14194971.960000001</v>
      </c>
      <c r="I2163" s="14">
        <v>15000000</v>
      </c>
      <c r="J2163" s="14">
        <v>14194971.960000001</v>
      </c>
      <c r="K2163" s="12">
        <v>90004196</v>
      </c>
      <c r="L2163" s="10" t="s">
        <v>101</v>
      </c>
      <c r="M2163" s="10" t="s">
        <v>102</v>
      </c>
      <c r="N2163" s="124" t="s">
        <v>408</v>
      </c>
      <c r="O2163" s="124" t="s">
        <v>408</v>
      </c>
      <c r="P2163" s="21">
        <v>30</v>
      </c>
      <c r="Q2163" s="10" t="s">
        <v>54</v>
      </c>
      <c r="R2163" s="10" t="s">
        <v>28</v>
      </c>
      <c r="S2163" s="10"/>
      <c r="T2163" s="10"/>
      <c r="U2163" s="10" t="s">
        <v>2030</v>
      </c>
      <c r="V2163" s="10" t="s">
        <v>2030</v>
      </c>
      <c r="W2163" s="50">
        <f>+J2163/$W$2</f>
        <v>1.7372723337882127E-4</v>
      </c>
    </row>
    <row r="2164" spans="1:29">
      <c r="A2164" s="10" t="s">
        <v>179</v>
      </c>
      <c r="B2164" s="10" t="s">
        <v>358</v>
      </c>
      <c r="C2164" s="124">
        <v>46393</v>
      </c>
      <c r="D2164" s="124" t="s">
        <v>471</v>
      </c>
      <c r="E2164" s="21">
        <v>0.94464144999999999</v>
      </c>
      <c r="F2164" s="10"/>
      <c r="G2164" s="14">
        <v>72849722.840000004</v>
      </c>
      <c r="H2164" s="14">
        <v>68816868.170000002</v>
      </c>
      <c r="I2164" s="14">
        <v>72849722.840000004</v>
      </c>
      <c r="J2164" s="14">
        <v>68816868.170000002</v>
      </c>
      <c r="K2164" s="12">
        <v>30416620</v>
      </c>
      <c r="L2164" s="10" t="s">
        <v>101</v>
      </c>
      <c r="M2164" s="10" t="s">
        <v>102</v>
      </c>
      <c r="N2164" s="124" t="s">
        <v>162</v>
      </c>
      <c r="O2164" s="124" t="s">
        <v>162</v>
      </c>
      <c r="P2164" s="21">
        <v>31</v>
      </c>
      <c r="Q2164" s="10" t="s">
        <v>54</v>
      </c>
      <c r="R2164" s="10" t="s">
        <v>28</v>
      </c>
      <c r="S2164" s="10"/>
      <c r="T2164" s="10"/>
      <c r="U2164" s="10" t="s">
        <v>1308</v>
      </c>
      <c r="V2164" s="10" t="s">
        <v>1308</v>
      </c>
      <c r="W2164" s="50">
        <f>+J2164/$W$2</f>
        <v>8.422252717834299E-4</v>
      </c>
    </row>
    <row r="2165" spans="1:29">
      <c r="A2165" s="10" t="s">
        <v>3166</v>
      </c>
      <c r="B2165" s="10" t="s">
        <v>358</v>
      </c>
      <c r="C2165" s="124">
        <v>46393</v>
      </c>
      <c r="D2165" s="124" t="s">
        <v>471</v>
      </c>
      <c r="E2165" s="21">
        <v>0.94633142999999997</v>
      </c>
      <c r="F2165" s="10"/>
      <c r="G2165" s="14">
        <v>4175312.5</v>
      </c>
      <c r="H2165" s="14">
        <v>3951229.44</v>
      </c>
      <c r="I2165" s="14">
        <v>4175312.5</v>
      </c>
      <c r="J2165" s="14">
        <v>3951229.44</v>
      </c>
      <c r="K2165" s="12">
        <v>40952818</v>
      </c>
      <c r="L2165" s="10" t="s">
        <v>101</v>
      </c>
      <c r="M2165" s="10" t="s">
        <v>102</v>
      </c>
      <c r="N2165" s="124" t="s">
        <v>475</v>
      </c>
      <c r="O2165" s="124" t="s">
        <v>475</v>
      </c>
      <c r="P2165" s="21">
        <v>30</v>
      </c>
      <c r="Q2165" s="10" t="s">
        <v>54</v>
      </c>
      <c r="R2165" s="10" t="s">
        <v>28</v>
      </c>
      <c r="S2165" s="10"/>
      <c r="T2165" s="10"/>
      <c r="U2165" s="10" t="s">
        <v>3378</v>
      </c>
      <c r="V2165" s="10" t="s">
        <v>3378</v>
      </c>
      <c r="W2165" s="50">
        <f>+J2165/$W$2</f>
        <v>4.8357697429093702E-5</v>
      </c>
    </row>
    <row r="2166" spans="1:29">
      <c r="A2166" s="10" t="s">
        <v>583</v>
      </c>
      <c r="B2166" s="10" t="s">
        <v>358</v>
      </c>
      <c r="C2166" s="124">
        <v>46393</v>
      </c>
      <c r="D2166" s="124" t="s">
        <v>471</v>
      </c>
      <c r="E2166" s="21">
        <v>0.93960792999999998</v>
      </c>
      <c r="F2166" s="10"/>
      <c r="G2166" s="14">
        <v>580000000</v>
      </c>
      <c r="H2166" s="14">
        <v>544972596.66999996</v>
      </c>
      <c r="I2166" s="14">
        <v>580000000</v>
      </c>
      <c r="J2166" s="14">
        <v>544972596.66999996</v>
      </c>
      <c r="K2166" s="12">
        <v>170897</v>
      </c>
      <c r="L2166" s="10" t="s">
        <v>101</v>
      </c>
      <c r="M2166" s="10" t="s">
        <v>102</v>
      </c>
      <c r="N2166" s="124" t="s">
        <v>469</v>
      </c>
      <c r="O2166" s="124" t="s">
        <v>469</v>
      </c>
      <c r="P2166" s="21">
        <v>34</v>
      </c>
      <c r="Q2166" s="10" t="s">
        <v>54</v>
      </c>
      <c r="R2166" s="10" t="s">
        <v>28</v>
      </c>
      <c r="S2166" s="10"/>
      <c r="T2166" s="10"/>
      <c r="U2166" s="10" t="s">
        <v>4031</v>
      </c>
      <c r="V2166" s="10" t="s">
        <v>4031</v>
      </c>
      <c r="W2166" s="50">
        <f>+J2166/$W$2</f>
        <v>6.6697265590619252E-3</v>
      </c>
    </row>
    <row r="2167" spans="1:29">
      <c r="A2167" s="10" t="s">
        <v>433</v>
      </c>
      <c r="B2167" s="10" t="s">
        <v>358</v>
      </c>
      <c r="C2167" s="124">
        <v>46393</v>
      </c>
      <c r="D2167" s="124" t="s">
        <v>471</v>
      </c>
      <c r="E2167" s="21">
        <v>0.94127970000000005</v>
      </c>
      <c r="F2167" s="10"/>
      <c r="G2167" s="14">
        <v>25000000</v>
      </c>
      <c r="H2167" s="14">
        <v>23531992.539999999</v>
      </c>
      <c r="I2167" s="14">
        <v>25000000</v>
      </c>
      <c r="J2167" s="14">
        <v>23531992.539999999</v>
      </c>
      <c r="K2167" s="12">
        <v>14422600</v>
      </c>
      <c r="L2167" s="10" t="s">
        <v>101</v>
      </c>
      <c r="M2167" s="10" t="s">
        <v>102</v>
      </c>
      <c r="N2167" s="124" t="s">
        <v>365</v>
      </c>
      <c r="O2167" s="124" t="s">
        <v>365</v>
      </c>
      <c r="P2167" s="21">
        <v>33</v>
      </c>
      <c r="Q2167" s="10" t="s">
        <v>54</v>
      </c>
      <c r="R2167" s="10" t="s">
        <v>28</v>
      </c>
      <c r="S2167" s="10"/>
      <c r="T2167" s="10"/>
      <c r="U2167" s="10" t="s">
        <v>1338</v>
      </c>
      <c r="V2167" s="10" t="s">
        <v>1338</v>
      </c>
      <c r="W2167" s="50">
        <f>+J2167/$W$2</f>
        <v>2.8799972070288338E-4</v>
      </c>
    </row>
    <row r="2168" spans="1:29">
      <c r="A2168" s="10" t="s">
        <v>433</v>
      </c>
      <c r="B2168" s="10" t="s">
        <v>358</v>
      </c>
      <c r="C2168" s="124">
        <v>46393</v>
      </c>
      <c r="D2168" s="124" t="s">
        <v>471</v>
      </c>
      <c r="E2168" s="21">
        <v>0.94127974999999997</v>
      </c>
      <c r="F2168" s="10"/>
      <c r="G2168" s="14">
        <v>25000000</v>
      </c>
      <c r="H2168" s="14">
        <v>23531993.670000002</v>
      </c>
      <c r="I2168" s="14">
        <v>25000000</v>
      </c>
      <c r="J2168" s="14">
        <v>23531993.670000002</v>
      </c>
      <c r="K2168" s="12">
        <v>14422660</v>
      </c>
      <c r="L2168" s="10" t="s">
        <v>101</v>
      </c>
      <c r="M2168" s="10" t="s">
        <v>102</v>
      </c>
      <c r="N2168" s="124" t="s">
        <v>396</v>
      </c>
      <c r="O2168" s="124" t="s">
        <v>396</v>
      </c>
      <c r="P2168" s="21">
        <v>33</v>
      </c>
      <c r="Q2168" s="10" t="s">
        <v>54</v>
      </c>
      <c r="R2168" s="10" t="s">
        <v>28</v>
      </c>
      <c r="S2168" s="10"/>
      <c r="T2168" s="10"/>
      <c r="U2168" s="10" t="s">
        <v>1385</v>
      </c>
      <c r="V2168" s="10" t="s">
        <v>1385</v>
      </c>
      <c r="W2168" s="50">
        <f>+J2168/$W$2</f>
        <v>2.879997345325531E-4</v>
      </c>
    </row>
    <row r="2169" spans="1:29">
      <c r="A2169" s="10" t="s">
        <v>433</v>
      </c>
      <c r="B2169" s="10" t="s">
        <v>358</v>
      </c>
      <c r="C2169" s="124">
        <v>46393</v>
      </c>
      <c r="D2169" s="124" t="s">
        <v>471</v>
      </c>
      <c r="E2169" s="21">
        <v>0.94295761</v>
      </c>
      <c r="F2169" s="10"/>
      <c r="G2169" s="14">
        <v>11000000</v>
      </c>
      <c r="H2169" s="14">
        <v>10372533.75</v>
      </c>
      <c r="I2169" s="14">
        <v>11000000</v>
      </c>
      <c r="J2169" s="14">
        <v>10372533.75</v>
      </c>
      <c r="K2169" s="12">
        <v>14651803</v>
      </c>
      <c r="L2169" s="10" t="s">
        <v>101</v>
      </c>
      <c r="M2169" s="10" t="s">
        <v>102</v>
      </c>
      <c r="N2169" s="124" t="s">
        <v>603</v>
      </c>
      <c r="O2169" s="124" t="s">
        <v>603</v>
      </c>
      <c r="P2169" s="21">
        <v>32</v>
      </c>
      <c r="Q2169" s="10" t="s">
        <v>54</v>
      </c>
      <c r="R2169" s="10" t="s">
        <v>28</v>
      </c>
      <c r="S2169" s="10"/>
      <c r="T2169" s="10"/>
      <c r="U2169" s="10" t="s">
        <v>2581</v>
      </c>
      <c r="V2169" s="10" t="s">
        <v>2581</v>
      </c>
      <c r="W2169" s="50">
        <f>+J2169/$W$2</f>
        <v>1.2694576619057653E-4</v>
      </c>
    </row>
    <row r="2170" spans="1:29">
      <c r="A2170" s="10" t="s">
        <v>433</v>
      </c>
      <c r="B2170" s="10" t="s">
        <v>358</v>
      </c>
      <c r="C2170" s="124">
        <v>46393</v>
      </c>
      <c r="D2170" s="124" t="s">
        <v>471</v>
      </c>
      <c r="E2170" s="21">
        <v>0.94127970999999999</v>
      </c>
      <c r="F2170" s="10"/>
      <c r="G2170" s="14">
        <v>12500000</v>
      </c>
      <c r="H2170" s="14">
        <v>11765996.42</v>
      </c>
      <c r="I2170" s="14">
        <v>12500000</v>
      </c>
      <c r="J2170" s="14">
        <v>11765996.42</v>
      </c>
      <c r="K2170" s="12">
        <v>14651826</v>
      </c>
      <c r="L2170" s="10" t="s">
        <v>101</v>
      </c>
      <c r="M2170" s="10" t="s">
        <v>102</v>
      </c>
      <c r="N2170" s="124" t="s">
        <v>603</v>
      </c>
      <c r="O2170" s="124" t="s">
        <v>603</v>
      </c>
      <c r="P2170" s="21">
        <v>33</v>
      </c>
      <c r="Q2170" s="10" t="s">
        <v>54</v>
      </c>
      <c r="R2170" s="10" t="s">
        <v>28</v>
      </c>
      <c r="S2170" s="10"/>
      <c r="T2170" s="10"/>
      <c r="U2170" s="10" t="s">
        <v>2641</v>
      </c>
      <c r="V2170" s="10" t="s">
        <v>2641</v>
      </c>
      <c r="W2170" s="50">
        <f>+J2170/$W$2</f>
        <v>1.4399986218723856E-4</v>
      </c>
    </row>
    <row r="2171" spans="1:29">
      <c r="A2171" s="10" t="s">
        <v>433</v>
      </c>
      <c r="B2171" s="10" t="s">
        <v>358</v>
      </c>
      <c r="C2171" s="124">
        <v>46393</v>
      </c>
      <c r="D2171" s="124" t="s">
        <v>471</v>
      </c>
      <c r="E2171" s="21">
        <v>0.94127970999999999</v>
      </c>
      <c r="F2171" s="10"/>
      <c r="G2171" s="14">
        <v>12500000</v>
      </c>
      <c r="H2171" s="14">
        <v>11765996.42</v>
      </c>
      <c r="I2171" s="14">
        <v>12500000</v>
      </c>
      <c r="J2171" s="14">
        <v>11765996.42</v>
      </c>
      <c r="K2171" s="12">
        <v>14651825</v>
      </c>
      <c r="L2171" s="10" t="s">
        <v>101</v>
      </c>
      <c r="M2171" s="10" t="s">
        <v>102</v>
      </c>
      <c r="N2171" s="124" t="s">
        <v>603</v>
      </c>
      <c r="O2171" s="124" t="s">
        <v>603</v>
      </c>
      <c r="P2171" s="21">
        <v>33</v>
      </c>
      <c r="Q2171" s="10" t="s">
        <v>54</v>
      </c>
      <c r="R2171" s="10" t="s">
        <v>28</v>
      </c>
      <c r="S2171" s="10"/>
      <c r="T2171" s="10"/>
      <c r="U2171" s="10" t="s">
        <v>2655</v>
      </c>
      <c r="V2171" s="10" t="s">
        <v>2655</v>
      </c>
      <c r="W2171" s="50">
        <f>+J2171/$W$2</f>
        <v>1.4399986218723856E-4</v>
      </c>
    </row>
    <row r="2172" spans="1:29">
      <c r="A2172" s="10" t="s">
        <v>433</v>
      </c>
      <c r="B2172" s="10" t="s">
        <v>358</v>
      </c>
      <c r="C2172" s="124">
        <v>46393</v>
      </c>
      <c r="D2172" s="124" t="s">
        <v>471</v>
      </c>
      <c r="E2172" s="21">
        <v>0.94295759999999995</v>
      </c>
      <c r="F2172" s="10"/>
      <c r="G2172" s="14">
        <v>10000000</v>
      </c>
      <c r="H2172" s="14">
        <v>9429576.0199999996</v>
      </c>
      <c r="I2172" s="14">
        <v>10000000</v>
      </c>
      <c r="J2172" s="14">
        <v>9429576.0199999996</v>
      </c>
      <c r="K2172" s="12">
        <v>14725219</v>
      </c>
      <c r="L2172" s="10" t="s">
        <v>101</v>
      </c>
      <c r="M2172" s="10" t="s">
        <v>102</v>
      </c>
      <c r="N2172" s="124" t="s">
        <v>468</v>
      </c>
      <c r="O2172" s="124" t="s">
        <v>468</v>
      </c>
      <c r="P2172" s="21">
        <v>32</v>
      </c>
      <c r="Q2172" s="10" t="s">
        <v>54</v>
      </c>
      <c r="R2172" s="10" t="s">
        <v>28</v>
      </c>
      <c r="S2172" s="10"/>
      <c r="T2172" s="10"/>
      <c r="U2172" s="10" t="s">
        <v>3808</v>
      </c>
      <c r="V2172" s="10" t="s">
        <v>3808</v>
      </c>
      <c r="W2172" s="50">
        <f>+J2172/$W$2</f>
        <v>1.154052405672999E-4</v>
      </c>
    </row>
    <row r="2173" spans="1:29">
      <c r="A2173" s="10" t="s">
        <v>3787</v>
      </c>
      <c r="B2173" s="10" t="s">
        <v>358</v>
      </c>
      <c r="C2173" s="124">
        <v>46393</v>
      </c>
      <c r="D2173" s="124" t="s">
        <v>471</v>
      </c>
      <c r="E2173" s="21">
        <v>0.94802743</v>
      </c>
      <c r="F2173" s="10"/>
      <c r="G2173" s="14">
        <v>8650000</v>
      </c>
      <c r="H2173" s="14">
        <v>8200437.29</v>
      </c>
      <c r="I2173" s="14">
        <v>8650000</v>
      </c>
      <c r="J2173" s="14">
        <v>8200437.29</v>
      </c>
      <c r="K2173" s="12">
        <v>2048459</v>
      </c>
      <c r="L2173" s="10" t="s">
        <v>101</v>
      </c>
      <c r="M2173" s="10" t="s">
        <v>102</v>
      </c>
      <c r="N2173" s="124" t="s">
        <v>467</v>
      </c>
      <c r="O2173" s="124" t="s">
        <v>467</v>
      </c>
      <c r="P2173" s="21">
        <v>29</v>
      </c>
      <c r="Q2173" s="10" t="s">
        <v>54</v>
      </c>
      <c r="R2173" s="10" t="s">
        <v>28</v>
      </c>
      <c r="S2173" s="10"/>
      <c r="T2173" s="10"/>
      <c r="U2173" s="10" t="s">
        <v>3723</v>
      </c>
      <c r="V2173" s="10" t="s">
        <v>3723</v>
      </c>
      <c r="W2173" s="50">
        <f>+J2173/$W$2</f>
        <v>1.0036224706203778E-4</v>
      </c>
      <c r="AC2173" s="47"/>
    </row>
    <row r="2174" spans="1:29">
      <c r="A2174" s="10" t="s">
        <v>3794</v>
      </c>
      <c r="B2174" s="10" t="s">
        <v>358</v>
      </c>
      <c r="C2174" s="124">
        <v>46393</v>
      </c>
      <c r="D2174" s="124" t="s">
        <v>471</v>
      </c>
      <c r="E2174" s="21">
        <v>0.93794180999999999</v>
      </c>
      <c r="F2174" s="10"/>
      <c r="G2174" s="14">
        <v>719400</v>
      </c>
      <c r="H2174" s="14">
        <v>674755.34</v>
      </c>
      <c r="I2174" s="14">
        <v>719400</v>
      </c>
      <c r="J2174" s="14">
        <v>674755.34</v>
      </c>
      <c r="K2174" s="12">
        <v>2154</v>
      </c>
      <c r="L2174" s="10" t="s">
        <v>101</v>
      </c>
      <c r="M2174" s="10" t="s">
        <v>102</v>
      </c>
      <c r="N2174" s="124" t="s">
        <v>467</v>
      </c>
      <c r="O2174" s="124" t="s">
        <v>467</v>
      </c>
      <c r="P2174" s="21">
        <v>35</v>
      </c>
      <c r="Q2174" s="10" t="s">
        <v>54</v>
      </c>
      <c r="R2174" s="10" t="s">
        <v>28</v>
      </c>
      <c r="S2174" s="10"/>
      <c r="T2174" s="10"/>
      <c r="U2174" s="10" t="s">
        <v>3751</v>
      </c>
      <c r="V2174" s="10" t="s">
        <v>3751</v>
      </c>
      <c r="W2174" s="50">
        <f>+J2174/$W$2</f>
        <v>8.2580915803222115E-6</v>
      </c>
    </row>
    <row r="2175" spans="1:29">
      <c r="A2175" s="10" t="s">
        <v>2211</v>
      </c>
      <c r="B2175" s="10" t="s">
        <v>358</v>
      </c>
      <c r="C2175" s="124">
        <v>46393</v>
      </c>
      <c r="D2175" s="124" t="s">
        <v>471</v>
      </c>
      <c r="E2175" s="21">
        <v>0.94295761</v>
      </c>
      <c r="F2175" s="10"/>
      <c r="G2175" s="14">
        <v>6207477.2300000004</v>
      </c>
      <c r="H2175" s="14">
        <v>5853387.9199999999</v>
      </c>
      <c r="I2175" s="14">
        <v>6207477.2300000004</v>
      </c>
      <c r="J2175" s="14">
        <v>5853387.9199999999</v>
      </c>
      <c r="K2175" s="12">
        <v>90000731</v>
      </c>
      <c r="L2175" s="10" t="s">
        <v>101</v>
      </c>
      <c r="M2175" s="10" t="s">
        <v>102</v>
      </c>
      <c r="N2175" s="124" t="s">
        <v>603</v>
      </c>
      <c r="O2175" s="124" t="s">
        <v>603</v>
      </c>
      <c r="P2175" s="21">
        <v>32</v>
      </c>
      <c r="Q2175" s="10" t="s">
        <v>54</v>
      </c>
      <c r="R2175" s="10" t="s">
        <v>28</v>
      </c>
      <c r="S2175" s="10"/>
      <c r="T2175" s="10"/>
      <c r="U2175" s="10" t="s">
        <v>2591</v>
      </c>
      <c r="V2175" s="10" t="s">
        <v>2591</v>
      </c>
      <c r="W2175" s="50">
        <f>+J2175/$W$2</f>
        <v>7.1637541243485E-5</v>
      </c>
    </row>
    <row r="2176" spans="1:29">
      <c r="A2176" s="10" t="s">
        <v>376</v>
      </c>
      <c r="B2176" s="10" t="s">
        <v>358</v>
      </c>
      <c r="C2176" s="124">
        <v>46393</v>
      </c>
      <c r="D2176" s="124" t="s">
        <v>471</v>
      </c>
      <c r="E2176" s="21">
        <v>0.94127967000000001</v>
      </c>
      <c r="F2176" s="10"/>
      <c r="G2176" s="14">
        <v>25000000</v>
      </c>
      <c r="H2176" s="14">
        <v>23531991.739999998</v>
      </c>
      <c r="I2176" s="14">
        <v>25000000</v>
      </c>
      <c r="J2176" s="14">
        <v>23531991.739999998</v>
      </c>
      <c r="K2176" s="12">
        <v>2369</v>
      </c>
      <c r="L2176" s="10" t="s">
        <v>101</v>
      </c>
      <c r="M2176" s="10" t="s">
        <v>102</v>
      </c>
      <c r="N2176" s="124" t="s">
        <v>439</v>
      </c>
      <c r="O2176" s="124" t="s">
        <v>439</v>
      </c>
      <c r="P2176" s="21">
        <v>33</v>
      </c>
      <c r="Q2176" s="10" t="s">
        <v>54</v>
      </c>
      <c r="R2176" s="10" t="s">
        <v>28</v>
      </c>
      <c r="S2176" s="10"/>
      <c r="T2176" s="10"/>
      <c r="U2176" s="10" t="s">
        <v>2286</v>
      </c>
      <c r="V2176" s="10" t="s">
        <v>2286</v>
      </c>
      <c r="W2176" s="50">
        <f>+J2176/$W$2</f>
        <v>2.8799971091196676E-4</v>
      </c>
    </row>
    <row r="2177" spans="1:29">
      <c r="A2177" s="10" t="s">
        <v>685</v>
      </c>
      <c r="B2177" s="10" t="s">
        <v>358</v>
      </c>
      <c r="C2177" s="124">
        <v>46393</v>
      </c>
      <c r="D2177" s="124" t="s">
        <v>471</v>
      </c>
      <c r="E2177" s="21">
        <v>0.94633142999999997</v>
      </c>
      <c r="F2177" s="10"/>
      <c r="G2177" s="14">
        <v>1343298.29</v>
      </c>
      <c r="H2177" s="14">
        <v>1271205.3899999999</v>
      </c>
      <c r="I2177" s="14">
        <v>1343298.29</v>
      </c>
      <c r="J2177" s="14">
        <v>1271205.3899999999</v>
      </c>
      <c r="K2177" s="12">
        <v>10793613</v>
      </c>
      <c r="L2177" s="10" t="s">
        <v>101</v>
      </c>
      <c r="M2177" s="10" t="s">
        <v>102</v>
      </c>
      <c r="N2177" s="124" t="s">
        <v>475</v>
      </c>
      <c r="O2177" s="124" t="s">
        <v>475</v>
      </c>
      <c r="P2177" s="21">
        <v>30</v>
      </c>
      <c r="Q2177" s="10" t="s">
        <v>54</v>
      </c>
      <c r="R2177" s="10" t="s">
        <v>28</v>
      </c>
      <c r="S2177" s="10"/>
      <c r="T2177" s="10"/>
      <c r="U2177" s="10" t="s">
        <v>3330</v>
      </c>
      <c r="V2177" s="10" t="s">
        <v>3330</v>
      </c>
      <c r="W2177" s="50">
        <f>+J2177/$W$2</f>
        <v>1.5557832455270695E-5</v>
      </c>
    </row>
    <row r="2178" spans="1:29">
      <c r="A2178" s="10" t="s">
        <v>135</v>
      </c>
      <c r="B2178" s="10" t="s">
        <v>358</v>
      </c>
      <c r="C2178" s="124">
        <v>46393</v>
      </c>
      <c r="D2178" s="124" t="s">
        <v>471</v>
      </c>
      <c r="E2178" s="21">
        <v>0.93794184999999997</v>
      </c>
      <c r="F2178" s="10"/>
      <c r="G2178" s="14">
        <v>85000000</v>
      </c>
      <c r="H2178" s="14">
        <v>79725056.879999995</v>
      </c>
      <c r="I2178" s="14">
        <v>85000000</v>
      </c>
      <c r="J2178" s="14">
        <v>79725056.879999995</v>
      </c>
      <c r="K2178" s="12">
        <v>1688</v>
      </c>
      <c r="L2178" s="10" t="s">
        <v>101</v>
      </c>
      <c r="M2178" s="10" t="s">
        <v>102</v>
      </c>
      <c r="N2178" s="124" t="s">
        <v>508</v>
      </c>
      <c r="O2178" s="124" t="s">
        <v>508</v>
      </c>
      <c r="P2178" s="21">
        <v>35</v>
      </c>
      <c r="Q2178" s="10" t="s">
        <v>54</v>
      </c>
      <c r="R2178" s="10" t="s">
        <v>28</v>
      </c>
      <c r="S2178" s="10"/>
      <c r="T2178" s="10"/>
      <c r="U2178" s="10" t="s">
        <v>2993</v>
      </c>
      <c r="V2178" s="10" t="s">
        <v>2993</v>
      </c>
      <c r="W2178" s="50">
        <f>+J2178/$W$2</f>
        <v>9.7572672927855215E-4</v>
      </c>
    </row>
    <row r="2179" spans="1:29">
      <c r="A2179" s="10" t="s">
        <v>124</v>
      </c>
      <c r="B2179" s="10" t="s">
        <v>125</v>
      </c>
      <c r="C2179" s="124">
        <v>46393</v>
      </c>
      <c r="D2179" s="124" t="s">
        <v>471</v>
      </c>
      <c r="E2179" s="21">
        <v>0.9832708</v>
      </c>
      <c r="F2179" s="10" t="s">
        <v>4162</v>
      </c>
      <c r="G2179" s="14">
        <v>100000</v>
      </c>
      <c r="H2179" s="14">
        <v>98327.08</v>
      </c>
      <c r="I2179" s="14">
        <v>153959302.09</v>
      </c>
      <c r="J2179" s="14">
        <v>151383686.13</v>
      </c>
      <c r="K2179" s="12">
        <v>170004</v>
      </c>
      <c r="L2179" s="10" t="s">
        <v>101</v>
      </c>
      <c r="M2179" s="10" t="s">
        <v>102</v>
      </c>
      <c r="N2179" s="124" t="s">
        <v>450</v>
      </c>
      <c r="O2179" s="124" t="s">
        <v>450</v>
      </c>
      <c r="P2179" s="21">
        <v>9</v>
      </c>
      <c r="Q2179" s="10" t="s">
        <v>54</v>
      </c>
      <c r="R2179" s="10" t="s">
        <v>28</v>
      </c>
      <c r="S2179" s="10"/>
      <c r="T2179" s="10"/>
      <c r="U2179" s="10" t="s">
        <v>3438</v>
      </c>
      <c r="V2179" s="10" t="s">
        <v>3438</v>
      </c>
      <c r="W2179" s="50">
        <f>+J2179/$W$2</f>
        <v>1.8527313082521042E-3</v>
      </c>
    </row>
    <row r="2180" spans="1:29">
      <c r="A2180" s="10" t="s">
        <v>484</v>
      </c>
      <c r="B2180" s="10" t="s">
        <v>125</v>
      </c>
      <c r="C2180" s="124">
        <v>46393</v>
      </c>
      <c r="D2180" s="124" t="s">
        <v>471</v>
      </c>
      <c r="E2180" s="21">
        <v>0.98144659999999995</v>
      </c>
      <c r="F2180" s="10" t="s">
        <v>4162</v>
      </c>
      <c r="G2180" s="14">
        <v>263100</v>
      </c>
      <c r="H2180" s="14">
        <v>258218.6</v>
      </c>
      <c r="I2180" s="14">
        <v>405066923.80000001</v>
      </c>
      <c r="J2180" s="14">
        <v>397551554.43000001</v>
      </c>
      <c r="K2180" s="12">
        <v>167179</v>
      </c>
      <c r="L2180" s="10" t="s">
        <v>101</v>
      </c>
      <c r="M2180" s="10" t="s">
        <v>102</v>
      </c>
      <c r="N2180" s="124" t="s">
        <v>464</v>
      </c>
      <c r="O2180" s="124" t="s">
        <v>464</v>
      </c>
      <c r="P2180" s="21">
        <v>10</v>
      </c>
      <c r="Q2180" s="10" t="s">
        <v>54</v>
      </c>
      <c r="R2180" s="10" t="s">
        <v>28</v>
      </c>
      <c r="S2180" s="10"/>
      <c r="T2180" s="10"/>
      <c r="U2180" s="10" t="s">
        <v>2559</v>
      </c>
      <c r="V2180" s="10" t="s">
        <v>2559</v>
      </c>
      <c r="W2180" s="50">
        <f>+J2180/$W$2</f>
        <v>4.8654926456490003E-3</v>
      </c>
    </row>
    <row r="2181" spans="1:29">
      <c r="A2181" s="10" t="s">
        <v>484</v>
      </c>
      <c r="B2181" s="10" t="s">
        <v>125</v>
      </c>
      <c r="C2181" s="124">
        <v>46393</v>
      </c>
      <c r="D2181" s="124" t="s">
        <v>471</v>
      </c>
      <c r="E2181" s="21">
        <v>0.98327103999999999</v>
      </c>
      <c r="F2181" s="10" t="s">
        <v>4162</v>
      </c>
      <c r="G2181" s="14">
        <v>125000</v>
      </c>
      <c r="H2181" s="14">
        <v>122908.88</v>
      </c>
      <c r="I2181" s="14">
        <v>192449127.61000001</v>
      </c>
      <c r="J2181" s="14">
        <v>189229653.84999999</v>
      </c>
      <c r="K2181" s="12">
        <v>163251</v>
      </c>
      <c r="L2181" s="10" t="s">
        <v>101</v>
      </c>
      <c r="M2181" s="10" t="s">
        <v>102</v>
      </c>
      <c r="N2181" s="124" t="s">
        <v>162</v>
      </c>
      <c r="O2181" s="124" t="s">
        <v>162</v>
      </c>
      <c r="P2181" s="21">
        <v>9</v>
      </c>
      <c r="Q2181" s="10" t="s">
        <v>54</v>
      </c>
      <c r="R2181" s="10" t="s">
        <v>28</v>
      </c>
      <c r="S2181" s="10"/>
      <c r="T2181" s="10"/>
      <c r="U2181" s="10" t="s">
        <v>1309</v>
      </c>
      <c r="V2181" s="10" t="s">
        <v>1309</v>
      </c>
      <c r="W2181" s="50">
        <f>+J2181/$W$2</f>
        <v>2.3159147005875811E-3</v>
      </c>
    </row>
    <row r="2182" spans="1:29">
      <c r="A2182" s="10" t="s">
        <v>438</v>
      </c>
      <c r="B2182" s="10" t="s">
        <v>358</v>
      </c>
      <c r="C2182" s="124">
        <v>46393</v>
      </c>
      <c r="D2182" s="124" t="s">
        <v>471</v>
      </c>
      <c r="E2182" s="21">
        <v>0.95143761000000004</v>
      </c>
      <c r="F2182" s="10"/>
      <c r="G2182" s="14">
        <v>4701505.6900000004</v>
      </c>
      <c r="H2182" s="14">
        <v>4473189.32</v>
      </c>
      <c r="I2182" s="14">
        <v>4701505.6900000004</v>
      </c>
      <c r="J2182" s="14">
        <v>4473189.32</v>
      </c>
      <c r="K2182" s="12">
        <v>54486957</v>
      </c>
      <c r="L2182" s="10" t="s">
        <v>101</v>
      </c>
      <c r="M2182" s="10" t="s">
        <v>102</v>
      </c>
      <c r="N2182" s="124" t="s">
        <v>471</v>
      </c>
      <c r="O2182" s="124" t="s">
        <v>471</v>
      </c>
      <c r="P2182" s="21">
        <v>27</v>
      </c>
      <c r="Q2182" s="10" t="s">
        <v>54</v>
      </c>
      <c r="R2182" s="10" t="s">
        <v>28</v>
      </c>
      <c r="S2182" s="10"/>
      <c r="T2182" s="10"/>
      <c r="U2182" s="10" t="s">
        <v>4097</v>
      </c>
      <c r="V2182" s="10" t="s">
        <v>4097</v>
      </c>
      <c r="W2182" s="50">
        <f>+J2182/$W$2</f>
        <v>5.4745779500876931E-5</v>
      </c>
    </row>
    <row r="2183" spans="1:29">
      <c r="A2183" s="10" t="s">
        <v>438</v>
      </c>
      <c r="B2183" s="10" t="s">
        <v>358</v>
      </c>
      <c r="C2183" s="124">
        <v>46393</v>
      </c>
      <c r="D2183" s="124" t="s">
        <v>471</v>
      </c>
      <c r="E2183" s="21">
        <v>0.94633140000000004</v>
      </c>
      <c r="F2183" s="10"/>
      <c r="G2183" s="14">
        <v>7000000</v>
      </c>
      <c r="H2183" s="14">
        <v>6624319.79</v>
      </c>
      <c r="I2183" s="14">
        <v>7000000</v>
      </c>
      <c r="J2183" s="14">
        <v>6624319.79</v>
      </c>
      <c r="K2183" s="12">
        <v>3385318</v>
      </c>
      <c r="L2183" s="10" t="s">
        <v>101</v>
      </c>
      <c r="M2183" s="10" t="s">
        <v>102</v>
      </c>
      <c r="N2183" s="124" t="s">
        <v>395</v>
      </c>
      <c r="O2183" s="124" t="s">
        <v>395</v>
      </c>
      <c r="P2183" s="21">
        <v>30</v>
      </c>
      <c r="Q2183" s="10" t="s">
        <v>54</v>
      </c>
      <c r="R2183" s="10" t="s">
        <v>28</v>
      </c>
      <c r="S2183" s="10"/>
      <c r="T2183" s="10"/>
      <c r="U2183" s="10" t="s">
        <v>1769</v>
      </c>
      <c r="V2183" s="10" t="s">
        <v>1769</v>
      </c>
      <c r="W2183" s="50">
        <f>+J2183/$W$2</f>
        <v>8.1072703304816836E-5</v>
      </c>
    </row>
    <row r="2184" spans="1:29">
      <c r="A2184" s="10" t="s">
        <v>361</v>
      </c>
      <c r="B2184" s="10" t="s">
        <v>358</v>
      </c>
      <c r="C2184" s="124">
        <v>46393</v>
      </c>
      <c r="D2184" s="124" t="s">
        <v>471</v>
      </c>
      <c r="E2184" s="21">
        <v>0.94633142999999997</v>
      </c>
      <c r="F2184" s="10"/>
      <c r="G2184" s="14">
        <v>75000000</v>
      </c>
      <c r="H2184" s="14">
        <v>70974857.019999996</v>
      </c>
      <c r="I2184" s="14">
        <v>75000000</v>
      </c>
      <c r="J2184" s="14">
        <v>70974857.019999996</v>
      </c>
      <c r="K2184" s="12">
        <v>344</v>
      </c>
      <c r="L2184" s="10" t="s">
        <v>101</v>
      </c>
      <c r="M2184" s="10" t="s">
        <v>102</v>
      </c>
      <c r="N2184" s="124" t="s">
        <v>603</v>
      </c>
      <c r="O2184" s="124" t="s">
        <v>603</v>
      </c>
      <c r="P2184" s="21">
        <v>30</v>
      </c>
      <c r="Q2184" s="10" t="s">
        <v>54</v>
      </c>
      <c r="R2184" s="10" t="s">
        <v>28</v>
      </c>
      <c r="S2184" s="10"/>
      <c r="T2184" s="10"/>
      <c r="U2184" s="10" t="s">
        <v>2664</v>
      </c>
      <c r="V2184" s="10" t="s">
        <v>2664</v>
      </c>
      <c r="W2184" s="50">
        <f>+J2184/$W$2</f>
        <v>8.6863613287067106E-4</v>
      </c>
    </row>
    <row r="2185" spans="1:29">
      <c r="A2185" s="10" t="s">
        <v>2753</v>
      </c>
      <c r="B2185" s="10" t="s">
        <v>358</v>
      </c>
      <c r="C2185" s="124">
        <v>46393</v>
      </c>
      <c r="D2185" s="124" t="s">
        <v>471</v>
      </c>
      <c r="E2185" s="21">
        <v>0.94295766999999997</v>
      </c>
      <c r="F2185" s="10"/>
      <c r="G2185" s="14">
        <v>6000000</v>
      </c>
      <c r="H2185" s="14">
        <v>5657746.0300000003</v>
      </c>
      <c r="I2185" s="14">
        <v>6000000</v>
      </c>
      <c r="J2185" s="14">
        <v>5657746.0300000003</v>
      </c>
      <c r="K2185" s="12">
        <v>70158562</v>
      </c>
      <c r="L2185" s="10" t="s">
        <v>101</v>
      </c>
      <c r="M2185" s="10" t="s">
        <v>102</v>
      </c>
      <c r="N2185" s="124" t="s">
        <v>440</v>
      </c>
      <c r="O2185" s="124" t="s">
        <v>440</v>
      </c>
      <c r="P2185" s="21">
        <v>32</v>
      </c>
      <c r="Q2185" s="10" t="s">
        <v>54</v>
      </c>
      <c r="R2185" s="10" t="s">
        <v>28</v>
      </c>
      <c r="S2185" s="10"/>
      <c r="T2185" s="10"/>
      <c r="U2185" s="10" t="s">
        <v>2726</v>
      </c>
      <c r="V2185" s="10" t="s">
        <v>2726</v>
      </c>
      <c r="W2185" s="50">
        <f>+J2185/$W$2</f>
        <v>6.9243149456133871E-5</v>
      </c>
    </row>
    <row r="2186" spans="1:29">
      <c r="A2186" s="10" t="s">
        <v>2754</v>
      </c>
      <c r="B2186" s="10" t="s">
        <v>358</v>
      </c>
      <c r="C2186" s="124">
        <v>46393</v>
      </c>
      <c r="D2186" s="124" t="s">
        <v>471</v>
      </c>
      <c r="E2186" s="21">
        <v>0.94295766999999997</v>
      </c>
      <c r="F2186" s="10"/>
      <c r="G2186" s="14">
        <v>9354800</v>
      </c>
      <c r="H2186" s="14">
        <v>8821180.4199999999</v>
      </c>
      <c r="I2186" s="14">
        <v>9354800</v>
      </c>
      <c r="J2186" s="14">
        <v>8821180.4199999999</v>
      </c>
      <c r="K2186" s="12">
        <v>14300596</v>
      </c>
      <c r="L2186" s="10" t="s">
        <v>101</v>
      </c>
      <c r="M2186" s="10" t="s">
        <v>102</v>
      </c>
      <c r="N2186" s="124" t="s">
        <v>440</v>
      </c>
      <c r="O2186" s="124" t="s">
        <v>440</v>
      </c>
      <c r="P2186" s="21">
        <v>32</v>
      </c>
      <c r="Q2186" s="10" t="s">
        <v>54</v>
      </c>
      <c r="R2186" s="10" t="s">
        <v>28</v>
      </c>
      <c r="S2186" s="10"/>
      <c r="T2186" s="10"/>
      <c r="U2186" s="10" t="s">
        <v>2730</v>
      </c>
      <c r="V2186" s="10" t="s">
        <v>2730</v>
      </c>
      <c r="W2186" s="50">
        <f>+J2186/$W$2</f>
        <v>1.0795930233750377E-4</v>
      </c>
    </row>
    <row r="2187" spans="1:29">
      <c r="A2187" s="10" t="s">
        <v>2821</v>
      </c>
      <c r="B2187" s="10" t="s">
        <v>358</v>
      </c>
      <c r="C2187" s="124">
        <v>46393</v>
      </c>
      <c r="D2187" s="124" t="s">
        <v>471</v>
      </c>
      <c r="E2187" s="21">
        <v>0.94295764000000004</v>
      </c>
      <c r="F2187" s="10"/>
      <c r="G2187" s="14">
        <v>5106355</v>
      </c>
      <c r="H2187" s="14">
        <v>4815076.46</v>
      </c>
      <c r="I2187" s="14">
        <v>5106355</v>
      </c>
      <c r="J2187" s="14">
        <v>4815076.46</v>
      </c>
      <c r="K2187" s="12">
        <v>10406</v>
      </c>
      <c r="L2187" s="10" t="s">
        <v>101</v>
      </c>
      <c r="M2187" s="10" t="s">
        <v>102</v>
      </c>
      <c r="N2187" s="124" t="s">
        <v>412</v>
      </c>
      <c r="O2187" s="124" t="s">
        <v>412</v>
      </c>
      <c r="P2187" s="21">
        <v>32</v>
      </c>
      <c r="Q2187" s="10" t="s">
        <v>54</v>
      </c>
      <c r="R2187" s="10" t="s">
        <v>28</v>
      </c>
      <c r="S2187" s="10"/>
      <c r="T2187" s="10"/>
      <c r="U2187" s="10" t="s">
        <v>2767</v>
      </c>
      <c r="V2187" s="10" t="s">
        <v>2767</v>
      </c>
      <c r="W2187" s="50">
        <f>+J2187/$W$2</f>
        <v>5.8930015096929329E-5</v>
      </c>
    </row>
    <row r="2188" spans="1:29">
      <c r="A2188" s="10" t="s">
        <v>2869</v>
      </c>
      <c r="B2188" s="10" t="s">
        <v>358</v>
      </c>
      <c r="C2188" s="124">
        <v>46393</v>
      </c>
      <c r="D2188" s="124" t="s">
        <v>471</v>
      </c>
      <c r="E2188" s="21">
        <v>0.94295770999999995</v>
      </c>
      <c r="F2188" s="10"/>
      <c r="G2188" s="14">
        <v>363375.5</v>
      </c>
      <c r="H2188" s="14">
        <v>342647.73</v>
      </c>
      <c r="I2188" s="14">
        <v>363375.5</v>
      </c>
      <c r="J2188" s="14">
        <v>342647.73</v>
      </c>
      <c r="K2188" s="12">
        <v>306</v>
      </c>
      <c r="L2188" s="10" t="s">
        <v>101</v>
      </c>
      <c r="M2188" s="10" t="s">
        <v>102</v>
      </c>
      <c r="N2188" s="124" t="s">
        <v>445</v>
      </c>
      <c r="O2188" s="124" t="s">
        <v>445</v>
      </c>
      <c r="P2188" s="21">
        <v>32</v>
      </c>
      <c r="Q2188" s="10" t="s">
        <v>54</v>
      </c>
      <c r="R2188" s="10" t="s">
        <v>28</v>
      </c>
      <c r="S2188" s="10"/>
      <c r="T2188" s="10"/>
      <c r="U2188" s="10" t="s">
        <v>2835</v>
      </c>
      <c r="V2188" s="10" t="s">
        <v>2835</v>
      </c>
      <c r="W2188" s="50">
        <f>+J2188/$W$2</f>
        <v>4.1935441876303171E-6</v>
      </c>
    </row>
    <row r="2189" spans="1:29">
      <c r="A2189" s="10" t="s">
        <v>2870</v>
      </c>
      <c r="B2189" s="10" t="s">
        <v>358</v>
      </c>
      <c r="C2189" s="124">
        <v>46393</v>
      </c>
      <c r="D2189" s="124" t="s">
        <v>471</v>
      </c>
      <c r="E2189" s="21">
        <v>0.94295770000000001</v>
      </c>
      <c r="F2189" s="10"/>
      <c r="G2189" s="14">
        <v>17889421.149999999</v>
      </c>
      <c r="H2189" s="14">
        <v>16868967.379999999</v>
      </c>
      <c r="I2189" s="14">
        <v>17889421.149999999</v>
      </c>
      <c r="J2189" s="14">
        <v>16868967.379999999</v>
      </c>
      <c r="K2189" s="12">
        <v>90000935</v>
      </c>
      <c r="L2189" s="10" t="s">
        <v>101</v>
      </c>
      <c r="M2189" s="10" t="s">
        <v>102</v>
      </c>
      <c r="N2189" s="124" t="s">
        <v>445</v>
      </c>
      <c r="O2189" s="124" t="s">
        <v>445</v>
      </c>
      <c r="P2189" s="21">
        <v>32</v>
      </c>
      <c r="Q2189" s="10" t="s">
        <v>54</v>
      </c>
      <c r="R2189" s="10" t="s">
        <v>28</v>
      </c>
      <c r="S2189" s="10"/>
      <c r="T2189" s="10"/>
      <c r="U2189" s="10" t="s">
        <v>2839</v>
      </c>
      <c r="V2189" s="10" t="s">
        <v>2839</v>
      </c>
      <c r="W2189" s="50">
        <f>+J2189/$W$2</f>
        <v>2.0645331608566157E-4</v>
      </c>
    </row>
    <row r="2190" spans="1:29">
      <c r="A2190" s="10" t="s">
        <v>3112</v>
      </c>
      <c r="B2190" s="10" t="s">
        <v>358</v>
      </c>
      <c r="C2190" s="124">
        <v>46393</v>
      </c>
      <c r="D2190" s="124" t="s">
        <v>471</v>
      </c>
      <c r="E2190" s="21">
        <v>0.93794191999999998</v>
      </c>
      <c r="F2190" s="10"/>
      <c r="G2190" s="14">
        <v>6000000</v>
      </c>
      <c r="H2190" s="14">
        <v>5627651.5</v>
      </c>
      <c r="I2190" s="14">
        <v>6000000</v>
      </c>
      <c r="J2190" s="14">
        <v>5627651.5</v>
      </c>
      <c r="K2190" s="12">
        <v>69332913</v>
      </c>
      <c r="L2190" s="10" t="s">
        <v>101</v>
      </c>
      <c r="M2190" s="10" t="s">
        <v>102</v>
      </c>
      <c r="N2190" s="124" t="s">
        <v>446</v>
      </c>
      <c r="O2190" s="124" t="s">
        <v>446</v>
      </c>
      <c r="P2190" s="21">
        <v>35</v>
      </c>
      <c r="Q2190" s="10" t="s">
        <v>54</v>
      </c>
      <c r="R2190" s="10" t="s">
        <v>28</v>
      </c>
      <c r="S2190" s="10"/>
      <c r="T2190" s="10"/>
      <c r="U2190" s="10" t="s">
        <v>3113</v>
      </c>
      <c r="V2190" s="10" t="s">
        <v>3113</v>
      </c>
      <c r="W2190" s="50">
        <f>+J2190/$W$2</f>
        <v>6.8874833164177208E-5</v>
      </c>
    </row>
    <row r="2191" spans="1:29">
      <c r="A2191" s="10" t="s">
        <v>3167</v>
      </c>
      <c r="B2191" s="10" t="s">
        <v>358</v>
      </c>
      <c r="C2191" s="124">
        <v>46393</v>
      </c>
      <c r="D2191" s="124" t="s">
        <v>471</v>
      </c>
      <c r="E2191" s="21">
        <v>0.94633140000000004</v>
      </c>
      <c r="F2191" s="10"/>
      <c r="G2191" s="14">
        <v>2776829.85</v>
      </c>
      <c r="H2191" s="14">
        <v>2627801.2799999998</v>
      </c>
      <c r="I2191" s="14">
        <v>2776829.85</v>
      </c>
      <c r="J2191" s="14">
        <v>2627801.2799999998</v>
      </c>
      <c r="K2191" s="12">
        <v>88</v>
      </c>
      <c r="L2191" s="10" t="s">
        <v>101</v>
      </c>
      <c r="M2191" s="10" t="s">
        <v>102</v>
      </c>
      <c r="N2191" s="124" t="s">
        <v>448</v>
      </c>
      <c r="O2191" s="124" t="s">
        <v>448</v>
      </c>
      <c r="P2191" s="21">
        <v>30</v>
      </c>
      <c r="Q2191" s="10" t="s">
        <v>54</v>
      </c>
      <c r="R2191" s="10" t="s">
        <v>28</v>
      </c>
      <c r="S2191" s="10"/>
      <c r="T2191" s="10"/>
      <c r="U2191" s="10" t="s">
        <v>3127</v>
      </c>
      <c r="V2191" s="10" t="s">
        <v>3127</v>
      </c>
      <c r="W2191" s="50">
        <f>+J2191/$W$2</f>
        <v>3.2160728991233966E-5</v>
      </c>
      <c r="AC2191" s="47"/>
    </row>
    <row r="2192" spans="1:29">
      <c r="A2192" s="10" t="s">
        <v>3306</v>
      </c>
      <c r="B2192" s="10" t="s">
        <v>358</v>
      </c>
      <c r="C2192" s="124">
        <v>46393</v>
      </c>
      <c r="D2192" s="124" t="s">
        <v>471</v>
      </c>
      <c r="E2192" s="21">
        <v>0.94633146999999995</v>
      </c>
      <c r="F2192" s="10"/>
      <c r="G2192" s="14">
        <v>26800000</v>
      </c>
      <c r="H2192" s="14">
        <v>25361683.280000001</v>
      </c>
      <c r="I2192" s="14">
        <v>26800000</v>
      </c>
      <c r="J2192" s="14">
        <v>25361683.280000001</v>
      </c>
      <c r="K2192" s="12">
        <v>7042</v>
      </c>
      <c r="L2192" s="10" t="s">
        <v>101</v>
      </c>
      <c r="M2192" s="10" t="s">
        <v>102</v>
      </c>
      <c r="N2192" s="124" t="s">
        <v>417</v>
      </c>
      <c r="O2192" s="124" t="s">
        <v>417</v>
      </c>
      <c r="P2192" s="21">
        <v>30</v>
      </c>
      <c r="Q2192" s="10" t="s">
        <v>54</v>
      </c>
      <c r="R2192" s="10" t="s">
        <v>28</v>
      </c>
      <c r="S2192" s="10"/>
      <c r="T2192" s="10"/>
      <c r="U2192" s="10" t="s">
        <v>3194</v>
      </c>
      <c r="V2192" s="10" t="s">
        <v>3194</v>
      </c>
      <c r="W2192" s="50">
        <f>+J2192/$W$2</f>
        <v>3.10392657518452E-4</v>
      </c>
    </row>
    <row r="2193" spans="1:29">
      <c r="A2193" s="10" t="s">
        <v>271</v>
      </c>
      <c r="B2193" s="10" t="s">
        <v>358</v>
      </c>
      <c r="C2193" s="124">
        <v>46393</v>
      </c>
      <c r="D2193" s="124" t="s">
        <v>471</v>
      </c>
      <c r="E2193" s="21">
        <v>0.94295766999999997</v>
      </c>
      <c r="F2193" s="10"/>
      <c r="G2193" s="14">
        <v>15000000</v>
      </c>
      <c r="H2193" s="14">
        <v>14144364.99</v>
      </c>
      <c r="I2193" s="14">
        <v>15000000</v>
      </c>
      <c r="J2193" s="14">
        <v>14144364.99</v>
      </c>
      <c r="K2193" s="12">
        <v>2201</v>
      </c>
      <c r="L2193" s="10" t="s">
        <v>101</v>
      </c>
      <c r="M2193" s="10" t="s">
        <v>102</v>
      </c>
      <c r="N2193" s="124" t="s">
        <v>486</v>
      </c>
      <c r="O2193" s="124" t="s">
        <v>486</v>
      </c>
      <c r="P2193" s="21">
        <v>32</v>
      </c>
      <c r="Q2193" s="10" t="s">
        <v>54</v>
      </c>
      <c r="R2193" s="10" t="s">
        <v>28</v>
      </c>
      <c r="S2193" s="10"/>
      <c r="T2193" s="10"/>
      <c r="U2193" s="10" t="s">
        <v>1435</v>
      </c>
      <c r="V2193" s="10" t="s">
        <v>1435</v>
      </c>
      <c r="W2193" s="50">
        <f>+J2193/$W$2</f>
        <v>1.7310787260004979E-4</v>
      </c>
    </row>
    <row r="2194" spans="1:29">
      <c r="A2194" s="10" t="s">
        <v>622</v>
      </c>
      <c r="B2194" s="10" t="s">
        <v>358</v>
      </c>
      <c r="C2194" s="124">
        <v>46393</v>
      </c>
      <c r="D2194" s="124" t="s">
        <v>471</v>
      </c>
      <c r="E2194" s="21">
        <v>0.95143770999999999</v>
      </c>
      <c r="F2194" s="10"/>
      <c r="G2194" s="14">
        <v>22500000</v>
      </c>
      <c r="H2194" s="14">
        <v>21407348.390000001</v>
      </c>
      <c r="I2194" s="14">
        <v>22500000</v>
      </c>
      <c r="J2194" s="14">
        <v>21407348.390000001</v>
      </c>
      <c r="K2194" s="12">
        <v>80314059</v>
      </c>
      <c r="L2194" s="10" t="s">
        <v>101</v>
      </c>
      <c r="M2194" s="10" t="s">
        <v>102</v>
      </c>
      <c r="N2194" s="124" t="s">
        <v>410</v>
      </c>
      <c r="O2194" s="124" t="s">
        <v>410</v>
      </c>
      <c r="P2194" s="21">
        <v>27</v>
      </c>
      <c r="Q2194" s="10" t="s">
        <v>54</v>
      </c>
      <c r="R2194" s="10" t="s">
        <v>28</v>
      </c>
      <c r="S2194" s="10"/>
      <c r="T2194" s="10"/>
      <c r="U2194" s="10" t="s">
        <v>1246</v>
      </c>
      <c r="V2194" s="10" t="s">
        <v>1246</v>
      </c>
      <c r="W2194" s="50">
        <f>+J2194/$W$2</f>
        <v>2.6199695358688569E-4</v>
      </c>
    </row>
    <row r="2195" spans="1:29">
      <c r="A2195" s="10" t="s">
        <v>3602</v>
      </c>
      <c r="B2195" s="10" t="s">
        <v>358</v>
      </c>
      <c r="C2195" s="124">
        <v>46393</v>
      </c>
      <c r="D2195" s="124" t="s">
        <v>471</v>
      </c>
      <c r="E2195" s="21">
        <v>0.94295775999999998</v>
      </c>
      <c r="F2195" s="10"/>
      <c r="G2195" s="14">
        <v>21158775.73</v>
      </c>
      <c r="H2195" s="14">
        <v>19951831.73</v>
      </c>
      <c r="I2195" s="14">
        <v>21158775.73</v>
      </c>
      <c r="J2195" s="14">
        <v>19951831.73</v>
      </c>
      <c r="K2195" s="12">
        <v>1051</v>
      </c>
      <c r="L2195" s="10" t="s">
        <v>101</v>
      </c>
      <c r="M2195" s="10" t="s">
        <v>102</v>
      </c>
      <c r="N2195" s="124" t="s">
        <v>451</v>
      </c>
      <c r="O2195" s="124" t="s">
        <v>451</v>
      </c>
      <c r="P2195" s="21">
        <v>32</v>
      </c>
      <c r="Q2195" s="10" t="s">
        <v>54</v>
      </c>
      <c r="R2195" s="10" t="s">
        <v>28</v>
      </c>
      <c r="S2195" s="10"/>
      <c r="T2195" s="10"/>
      <c r="U2195" s="10" t="s">
        <v>3518</v>
      </c>
      <c r="V2195" s="10" t="s">
        <v>3518</v>
      </c>
      <c r="W2195" s="50">
        <f>+J2195/$W$2</f>
        <v>2.4418340078867485E-4</v>
      </c>
    </row>
    <row r="2196" spans="1:29">
      <c r="A2196" s="10" t="s">
        <v>127</v>
      </c>
      <c r="B2196" s="10" t="s">
        <v>125</v>
      </c>
      <c r="C2196" s="124">
        <v>46393</v>
      </c>
      <c r="D2196" s="124" t="s">
        <v>471</v>
      </c>
      <c r="E2196" s="21">
        <v>0.98510149999999996</v>
      </c>
      <c r="F2196" s="10" t="s">
        <v>4162</v>
      </c>
      <c r="G2196" s="14">
        <v>20000</v>
      </c>
      <c r="H2196" s="14">
        <v>19702.03</v>
      </c>
      <c r="I2196" s="14">
        <v>30791860.420000002</v>
      </c>
      <c r="J2196" s="14">
        <v>30333107.890000001</v>
      </c>
      <c r="K2196" s="12">
        <v>159382</v>
      </c>
      <c r="L2196" s="10" t="s">
        <v>101</v>
      </c>
      <c r="M2196" s="10" t="s">
        <v>102</v>
      </c>
      <c r="N2196" s="124" t="s">
        <v>378</v>
      </c>
      <c r="O2196" s="124" t="s">
        <v>378</v>
      </c>
      <c r="P2196" s="21">
        <v>8</v>
      </c>
      <c r="Q2196" s="10" t="s">
        <v>54</v>
      </c>
      <c r="R2196" s="10" t="s">
        <v>28</v>
      </c>
      <c r="S2196" s="10"/>
      <c r="T2196" s="10"/>
      <c r="U2196" s="10" t="s">
        <v>876</v>
      </c>
      <c r="V2196" s="10" t="s">
        <v>876</v>
      </c>
      <c r="W2196" s="50">
        <f>+J2196/$W$2</f>
        <v>3.7123616223832222E-4</v>
      </c>
    </row>
    <row r="2197" spans="1:29">
      <c r="A2197" s="10" t="s">
        <v>967</v>
      </c>
      <c r="B2197" s="10" t="s">
        <v>358</v>
      </c>
      <c r="C2197" s="124">
        <v>46393</v>
      </c>
      <c r="D2197" s="124" t="s">
        <v>471</v>
      </c>
      <c r="E2197" s="21">
        <v>0.93462736999999996</v>
      </c>
      <c r="F2197" s="10"/>
      <c r="G2197" s="14">
        <v>25000000</v>
      </c>
      <c r="H2197" s="14">
        <v>23365684.23</v>
      </c>
      <c r="I2197" s="14">
        <v>25000000</v>
      </c>
      <c r="J2197" s="14">
        <v>23365684.23</v>
      </c>
      <c r="K2197" s="12">
        <v>1118</v>
      </c>
      <c r="L2197" s="10" t="s">
        <v>101</v>
      </c>
      <c r="M2197" s="10" t="s">
        <v>102</v>
      </c>
      <c r="N2197" s="124" t="s">
        <v>372</v>
      </c>
      <c r="O2197" s="124" t="s">
        <v>372</v>
      </c>
      <c r="P2197" s="21">
        <v>37</v>
      </c>
      <c r="Q2197" s="10" t="s">
        <v>54</v>
      </c>
      <c r="R2197" s="10" t="s">
        <v>28</v>
      </c>
      <c r="S2197" s="10"/>
      <c r="T2197" s="10"/>
      <c r="U2197" s="10" t="s">
        <v>953</v>
      </c>
      <c r="V2197" s="10" t="s">
        <v>953</v>
      </c>
      <c r="W2197" s="50">
        <f>+J2197/$W$2</f>
        <v>2.8596433220999849E-4</v>
      </c>
    </row>
    <row r="2198" spans="1:29">
      <c r="A2198" s="10" t="s">
        <v>3319</v>
      </c>
      <c r="B2198" s="10" t="s">
        <v>358</v>
      </c>
      <c r="C2198" s="124">
        <v>46393</v>
      </c>
      <c r="D2198" s="124" t="s">
        <v>471</v>
      </c>
      <c r="E2198" s="21">
        <v>0.94127976000000002</v>
      </c>
      <c r="F2198" s="10"/>
      <c r="G2198" s="14">
        <v>1800000</v>
      </c>
      <c r="H2198" s="14">
        <v>1694303.57</v>
      </c>
      <c r="I2198" s="14">
        <v>1800000</v>
      </c>
      <c r="J2198" s="14">
        <v>1694303.57</v>
      </c>
      <c r="K2198" s="12">
        <v>30000449</v>
      </c>
      <c r="L2198" s="10" t="s">
        <v>101</v>
      </c>
      <c r="M2198" s="10" t="s">
        <v>102</v>
      </c>
      <c r="N2198" s="124" t="s">
        <v>417</v>
      </c>
      <c r="O2198" s="124" t="s">
        <v>417</v>
      </c>
      <c r="P2198" s="21">
        <v>33</v>
      </c>
      <c r="Q2198" s="10" t="s">
        <v>54</v>
      </c>
      <c r="R2198" s="10" t="s">
        <v>28</v>
      </c>
      <c r="S2198" s="10"/>
      <c r="T2198" s="10"/>
      <c r="U2198" s="10" t="s">
        <v>3289</v>
      </c>
      <c r="V2198" s="10" t="s">
        <v>3289</v>
      </c>
      <c r="W2198" s="50">
        <f>+J2198/$W$2</f>
        <v>2.0735981201611338E-5</v>
      </c>
    </row>
    <row r="2199" spans="1:29">
      <c r="A2199" s="10" t="s">
        <v>3606</v>
      </c>
      <c r="B2199" s="10" t="s">
        <v>358</v>
      </c>
      <c r="C2199" s="124">
        <v>46393</v>
      </c>
      <c r="D2199" s="124" t="s">
        <v>471</v>
      </c>
      <c r="E2199" s="21">
        <v>0.94127985999999997</v>
      </c>
      <c r="F2199" s="10"/>
      <c r="G2199" s="14">
        <v>4725000</v>
      </c>
      <c r="H2199" s="14">
        <v>4447547.3499999996</v>
      </c>
      <c r="I2199" s="14">
        <v>4725000</v>
      </c>
      <c r="J2199" s="14">
        <v>4447547.3499999996</v>
      </c>
      <c r="K2199" s="12">
        <v>11163481</v>
      </c>
      <c r="L2199" s="10" t="s">
        <v>101</v>
      </c>
      <c r="M2199" s="10" t="s">
        <v>102</v>
      </c>
      <c r="N2199" s="124" t="s">
        <v>451</v>
      </c>
      <c r="O2199" s="124" t="s">
        <v>451</v>
      </c>
      <c r="P2199" s="21">
        <v>33</v>
      </c>
      <c r="Q2199" s="10" t="s">
        <v>54</v>
      </c>
      <c r="R2199" s="10" t="s">
        <v>28</v>
      </c>
      <c r="S2199" s="10"/>
      <c r="T2199" s="10"/>
      <c r="U2199" s="10" t="s">
        <v>3553</v>
      </c>
      <c r="V2199" s="10" t="s">
        <v>3553</v>
      </c>
      <c r="W2199" s="50">
        <f>+J2199/$W$2</f>
        <v>5.4431956513481411E-5</v>
      </c>
    </row>
    <row r="2200" spans="1:29">
      <c r="A2200" s="10" t="s">
        <v>2679</v>
      </c>
      <c r="B2200" s="10" t="s">
        <v>358</v>
      </c>
      <c r="C2200" s="124">
        <v>46393</v>
      </c>
      <c r="D2200" s="124" t="s">
        <v>471</v>
      </c>
      <c r="E2200" s="21">
        <v>0.94127970999999999</v>
      </c>
      <c r="F2200" s="10"/>
      <c r="G2200" s="14">
        <v>14000000</v>
      </c>
      <c r="H2200" s="14">
        <v>13177915.99</v>
      </c>
      <c r="I2200" s="14">
        <v>14000000</v>
      </c>
      <c r="J2200" s="14">
        <v>13177915.99</v>
      </c>
      <c r="K2200" s="12">
        <v>90000191</v>
      </c>
      <c r="L2200" s="10" t="s">
        <v>101</v>
      </c>
      <c r="M2200" s="10" t="s">
        <v>102</v>
      </c>
      <c r="N2200" s="124" t="s">
        <v>603</v>
      </c>
      <c r="O2200" s="124" t="s">
        <v>603</v>
      </c>
      <c r="P2200" s="21">
        <v>33</v>
      </c>
      <c r="Q2200" s="10" t="s">
        <v>54</v>
      </c>
      <c r="R2200" s="10" t="s">
        <v>28</v>
      </c>
      <c r="S2200" s="10"/>
      <c r="T2200" s="10"/>
      <c r="U2200" s="10" t="s">
        <v>2661</v>
      </c>
      <c r="V2200" s="10" t="s">
        <v>2661</v>
      </c>
      <c r="W2200" s="50">
        <f>+J2200/$W$2</f>
        <v>1.6127984564481173E-4</v>
      </c>
    </row>
    <row r="2201" spans="1:29">
      <c r="A2201" s="10" t="s">
        <v>2739</v>
      </c>
      <c r="B2201" s="10" t="s">
        <v>358</v>
      </c>
      <c r="C2201" s="124">
        <v>46393</v>
      </c>
      <c r="D2201" s="124" t="s">
        <v>471</v>
      </c>
      <c r="E2201" s="21">
        <v>0.96356923999999999</v>
      </c>
      <c r="F2201" s="10"/>
      <c r="G2201" s="14">
        <v>479785.49</v>
      </c>
      <c r="H2201" s="14">
        <v>462306.54</v>
      </c>
      <c r="I2201" s="14">
        <v>479785.49</v>
      </c>
      <c r="J2201" s="14">
        <v>462306.54</v>
      </c>
      <c r="K2201" s="12">
        <v>158</v>
      </c>
      <c r="L2201" s="10" t="s">
        <v>101</v>
      </c>
      <c r="M2201" s="10" t="s">
        <v>102</v>
      </c>
      <c r="N2201" s="124" t="s">
        <v>440</v>
      </c>
      <c r="O2201" s="124" t="s">
        <v>440</v>
      </c>
      <c r="P2201" s="21">
        <v>20</v>
      </c>
      <c r="Q2201" s="10" t="s">
        <v>54</v>
      </c>
      <c r="R2201" s="10" t="s">
        <v>28</v>
      </c>
      <c r="S2201" s="10"/>
      <c r="T2201" s="10"/>
      <c r="U2201" s="10" t="s">
        <v>2682</v>
      </c>
      <c r="V2201" s="10" t="s">
        <v>2682</v>
      </c>
      <c r="W2201" s="50">
        <f>+J2201/$W$2</f>
        <v>5.6580059751759711E-6</v>
      </c>
    </row>
    <row r="2202" spans="1:29">
      <c r="A2202" s="10" t="s">
        <v>2740</v>
      </c>
      <c r="B2202" s="10" t="s">
        <v>358</v>
      </c>
      <c r="C2202" s="124">
        <v>46393</v>
      </c>
      <c r="D2202" s="124" t="s">
        <v>471</v>
      </c>
      <c r="E2202" s="21">
        <v>0.96356925000000004</v>
      </c>
      <c r="F2202" s="10"/>
      <c r="G2202" s="14">
        <v>930850</v>
      </c>
      <c r="H2202" s="14">
        <v>896938.44</v>
      </c>
      <c r="I2202" s="14">
        <v>930850</v>
      </c>
      <c r="J2202" s="14">
        <v>896938.44</v>
      </c>
      <c r="K2202" s="12">
        <v>11272802</v>
      </c>
      <c r="L2202" s="10" t="s">
        <v>101</v>
      </c>
      <c r="M2202" s="10" t="s">
        <v>102</v>
      </c>
      <c r="N2202" s="124" t="s">
        <v>440</v>
      </c>
      <c r="O2202" s="124" t="s">
        <v>440</v>
      </c>
      <c r="P2202" s="21">
        <v>20</v>
      </c>
      <c r="Q2202" s="10" t="s">
        <v>54</v>
      </c>
      <c r="R2202" s="10" t="s">
        <v>28</v>
      </c>
      <c r="S2202" s="10"/>
      <c r="T2202" s="10"/>
      <c r="U2202" s="10" t="s">
        <v>2683</v>
      </c>
      <c r="V2202" s="10" t="s">
        <v>2683</v>
      </c>
      <c r="W2202" s="50">
        <f>+J2202/$W$2</f>
        <v>1.0977311834881276E-5</v>
      </c>
    </row>
    <row r="2203" spans="1:29">
      <c r="A2203" s="10" t="s">
        <v>2016</v>
      </c>
      <c r="B2203" s="10" t="s">
        <v>358</v>
      </c>
      <c r="C2203" s="124">
        <v>46394</v>
      </c>
      <c r="D2203" s="124" t="s">
        <v>471</v>
      </c>
      <c r="E2203" s="21">
        <v>0.94731392000000003</v>
      </c>
      <c r="F2203" s="10"/>
      <c r="G2203" s="14">
        <v>11916548.66</v>
      </c>
      <c r="H2203" s="14">
        <v>11288712.449999999</v>
      </c>
      <c r="I2203" s="14">
        <v>11916548.66</v>
      </c>
      <c r="J2203" s="14">
        <v>11288712.449999999</v>
      </c>
      <c r="K2203" s="12">
        <v>22882</v>
      </c>
      <c r="L2203" s="10" t="s">
        <v>101</v>
      </c>
      <c r="M2203" s="10" t="s">
        <v>102</v>
      </c>
      <c r="N2203" s="124" t="s">
        <v>469</v>
      </c>
      <c r="O2203" s="124" t="s">
        <v>469</v>
      </c>
      <c r="P2203" s="21">
        <v>29</v>
      </c>
      <c r="Q2203" s="10" t="s">
        <v>54</v>
      </c>
      <c r="R2203" s="10" t="s">
        <v>28</v>
      </c>
      <c r="S2203" s="10"/>
      <c r="T2203" s="10"/>
      <c r="U2203" s="10" t="s">
        <v>3901</v>
      </c>
      <c r="V2203" s="10" t="s">
        <v>3901</v>
      </c>
      <c r="W2203" s="50">
        <f>+J2203/$W$2</f>
        <v>1.3815855275191083E-4</v>
      </c>
    </row>
    <row r="2204" spans="1:29">
      <c r="A2204" s="10" t="s">
        <v>379</v>
      </c>
      <c r="B2204" s="10" t="s">
        <v>358</v>
      </c>
      <c r="C2204" s="124">
        <v>46394</v>
      </c>
      <c r="D2204" s="124" t="s">
        <v>471</v>
      </c>
      <c r="E2204" s="21">
        <v>0.94559585999999995</v>
      </c>
      <c r="F2204" s="10"/>
      <c r="G2204" s="14">
        <v>10000000</v>
      </c>
      <c r="H2204" s="14">
        <v>9455958.6199999992</v>
      </c>
      <c r="I2204" s="14">
        <v>10000000</v>
      </c>
      <c r="J2204" s="14">
        <v>9455958.6199999992</v>
      </c>
      <c r="K2204" s="12">
        <v>195811</v>
      </c>
      <c r="L2204" s="10" t="s">
        <v>101</v>
      </c>
      <c r="M2204" s="10" t="s">
        <v>102</v>
      </c>
      <c r="N2204" s="124" t="s">
        <v>395</v>
      </c>
      <c r="O2204" s="124" t="s">
        <v>395</v>
      </c>
      <c r="P2204" s="21">
        <v>30</v>
      </c>
      <c r="Q2204" s="10" t="s">
        <v>54</v>
      </c>
      <c r="R2204" s="10" t="s">
        <v>28</v>
      </c>
      <c r="S2204" s="10"/>
      <c r="T2204" s="10"/>
      <c r="U2204" s="10" t="s">
        <v>1780</v>
      </c>
      <c r="V2204" s="10" t="s">
        <v>1780</v>
      </c>
      <c r="W2204" s="50">
        <f>+J2204/$W$2</f>
        <v>1.1572812786290397E-4</v>
      </c>
      <c r="AC2204" s="47"/>
    </row>
    <row r="2205" spans="1:29">
      <c r="A2205" s="10" t="s">
        <v>443</v>
      </c>
      <c r="B2205" s="10" t="s">
        <v>358</v>
      </c>
      <c r="C2205" s="124">
        <v>46394</v>
      </c>
      <c r="D2205" s="124" t="s">
        <v>471</v>
      </c>
      <c r="E2205" s="21">
        <v>0.94559590000000004</v>
      </c>
      <c r="F2205" s="10"/>
      <c r="G2205" s="14">
        <v>5000000</v>
      </c>
      <c r="H2205" s="14">
        <v>4727979.4800000004</v>
      </c>
      <c r="I2205" s="14">
        <v>5000000</v>
      </c>
      <c r="J2205" s="14">
        <v>4727979.4800000004</v>
      </c>
      <c r="K2205" s="12">
        <v>60078055</v>
      </c>
      <c r="L2205" s="10" t="s">
        <v>101</v>
      </c>
      <c r="M2205" s="10" t="s">
        <v>102</v>
      </c>
      <c r="N2205" s="124" t="s">
        <v>576</v>
      </c>
      <c r="O2205" s="124" t="s">
        <v>576</v>
      </c>
      <c r="P2205" s="21">
        <v>30</v>
      </c>
      <c r="Q2205" s="10" t="s">
        <v>54</v>
      </c>
      <c r="R2205" s="10" t="s">
        <v>28</v>
      </c>
      <c r="S2205" s="10"/>
      <c r="T2205" s="10"/>
      <c r="U2205" s="10" t="s">
        <v>2330</v>
      </c>
      <c r="V2205" s="10" t="s">
        <v>2330</v>
      </c>
      <c r="W2205" s="50">
        <f>+J2205/$W$2</f>
        <v>5.786406601202177E-5</v>
      </c>
    </row>
    <row r="2206" spans="1:29">
      <c r="A2206" s="10" t="s">
        <v>2759</v>
      </c>
      <c r="B2206" s="10" t="s">
        <v>358</v>
      </c>
      <c r="C2206" s="124">
        <v>46394</v>
      </c>
      <c r="D2206" s="124" t="s">
        <v>471</v>
      </c>
      <c r="E2206" s="21">
        <v>0.94559587000000001</v>
      </c>
      <c r="F2206" s="10"/>
      <c r="G2206" s="14">
        <v>6250000</v>
      </c>
      <c r="H2206" s="14">
        <v>5909974.1799999997</v>
      </c>
      <c r="I2206" s="14">
        <v>6250000</v>
      </c>
      <c r="J2206" s="14">
        <v>5909974.1799999997</v>
      </c>
      <c r="K2206" s="12">
        <v>391</v>
      </c>
      <c r="L2206" s="10" t="s">
        <v>101</v>
      </c>
      <c r="M2206" s="10" t="s">
        <v>102</v>
      </c>
      <c r="N2206" s="124" t="s">
        <v>411</v>
      </c>
      <c r="O2206" s="124" t="s">
        <v>411</v>
      </c>
      <c r="P2206" s="21">
        <v>30</v>
      </c>
      <c r="Q2206" s="10" t="s">
        <v>54</v>
      </c>
      <c r="R2206" s="10" t="s">
        <v>28</v>
      </c>
      <c r="S2206" s="10"/>
      <c r="T2206" s="10"/>
      <c r="U2206" s="10" t="s">
        <v>2908</v>
      </c>
      <c r="V2206" s="10" t="s">
        <v>2908</v>
      </c>
      <c r="W2206" s="50">
        <f>+J2206/$W$2</f>
        <v>7.2330080434457428E-5</v>
      </c>
    </row>
    <row r="2207" spans="1:29">
      <c r="A2207" s="10" t="s">
        <v>623</v>
      </c>
      <c r="B2207" s="10" t="s">
        <v>358</v>
      </c>
      <c r="C2207" s="124">
        <v>46394</v>
      </c>
      <c r="D2207" s="124" t="s">
        <v>471</v>
      </c>
      <c r="E2207" s="21">
        <v>0.93709902</v>
      </c>
      <c r="F2207" s="10"/>
      <c r="G2207" s="14">
        <v>3000000</v>
      </c>
      <c r="H2207" s="14">
        <v>2811297.07</v>
      </c>
      <c r="I2207" s="14">
        <v>3000000</v>
      </c>
      <c r="J2207" s="14">
        <v>2811297.07</v>
      </c>
      <c r="K2207" s="12">
        <v>51</v>
      </c>
      <c r="L2207" s="10" t="s">
        <v>101</v>
      </c>
      <c r="M2207" s="10" t="s">
        <v>102</v>
      </c>
      <c r="N2207" s="124" t="s">
        <v>446</v>
      </c>
      <c r="O2207" s="124" t="s">
        <v>446</v>
      </c>
      <c r="P2207" s="21">
        <v>35</v>
      </c>
      <c r="Q2207" s="10" t="s">
        <v>54</v>
      </c>
      <c r="R2207" s="10" t="s">
        <v>28</v>
      </c>
      <c r="S2207" s="10"/>
      <c r="T2207" s="10"/>
      <c r="U2207" s="10" t="s">
        <v>3079</v>
      </c>
      <c r="V2207" s="10" t="s">
        <v>3079</v>
      </c>
      <c r="W2207" s="50">
        <f>+J2207/$W$2</f>
        <v>3.4406468963330479E-5</v>
      </c>
    </row>
    <row r="2208" spans="1:29">
      <c r="A2208" s="10" t="s">
        <v>623</v>
      </c>
      <c r="B2208" s="10" t="s">
        <v>358</v>
      </c>
      <c r="C2208" s="124">
        <v>46394</v>
      </c>
      <c r="D2208" s="124" t="s">
        <v>471</v>
      </c>
      <c r="E2208" s="21">
        <v>0.94047935999999999</v>
      </c>
      <c r="F2208" s="10"/>
      <c r="G2208" s="14">
        <v>2500000</v>
      </c>
      <c r="H2208" s="14">
        <v>2351198.4</v>
      </c>
      <c r="I2208" s="14">
        <v>2500000</v>
      </c>
      <c r="J2208" s="14">
        <v>2351198.4</v>
      </c>
      <c r="K2208" s="12">
        <v>32</v>
      </c>
      <c r="L2208" s="10" t="s">
        <v>101</v>
      </c>
      <c r="M2208" s="10" t="s">
        <v>102</v>
      </c>
      <c r="N2208" s="124" t="s">
        <v>508</v>
      </c>
      <c r="O2208" s="124" t="s">
        <v>508</v>
      </c>
      <c r="P2208" s="21">
        <v>33</v>
      </c>
      <c r="Q2208" s="10" t="s">
        <v>54</v>
      </c>
      <c r="R2208" s="10" t="s">
        <v>28</v>
      </c>
      <c r="S2208" s="10"/>
      <c r="T2208" s="10"/>
      <c r="U2208" s="10" t="s">
        <v>3019</v>
      </c>
      <c r="V2208" s="10" t="s">
        <v>3019</v>
      </c>
      <c r="W2208" s="50">
        <f>+J2208/$W$2</f>
        <v>2.8775484326966653E-5</v>
      </c>
    </row>
    <row r="2209" spans="1:29">
      <c r="A2209" s="10" t="s">
        <v>832</v>
      </c>
      <c r="B2209" s="10" t="s">
        <v>358</v>
      </c>
      <c r="C2209" s="124">
        <v>46394</v>
      </c>
      <c r="D2209" s="124" t="s">
        <v>471</v>
      </c>
      <c r="E2209" s="21">
        <v>0.93878609999999996</v>
      </c>
      <c r="F2209" s="10"/>
      <c r="G2209" s="14">
        <v>242300.7</v>
      </c>
      <c r="H2209" s="14">
        <v>227468.53</v>
      </c>
      <c r="I2209" s="14">
        <v>242300.7</v>
      </c>
      <c r="J2209" s="14">
        <v>227468.53</v>
      </c>
      <c r="K2209" s="12">
        <v>30107566</v>
      </c>
      <c r="L2209" s="10" t="s">
        <v>101</v>
      </c>
      <c r="M2209" s="10" t="s">
        <v>102</v>
      </c>
      <c r="N2209" s="124" t="s">
        <v>474</v>
      </c>
      <c r="O2209" s="124" t="s">
        <v>474</v>
      </c>
      <c r="P2209" s="21">
        <v>34</v>
      </c>
      <c r="Q2209" s="10" t="s">
        <v>54</v>
      </c>
      <c r="R2209" s="10" t="s">
        <v>28</v>
      </c>
      <c r="S2209" s="10"/>
      <c r="T2209" s="10"/>
      <c r="U2209" s="10" t="s">
        <v>3872</v>
      </c>
      <c r="V2209" s="10" t="s">
        <v>3872</v>
      </c>
      <c r="W2209" s="50">
        <f>+J2209/$W$2</f>
        <v>2.7839067600135933E-6</v>
      </c>
    </row>
    <row r="2210" spans="1:29">
      <c r="A2210" s="10" t="s">
        <v>574</v>
      </c>
      <c r="B2210" s="10" t="s">
        <v>358</v>
      </c>
      <c r="C2210" s="124">
        <v>46394</v>
      </c>
      <c r="D2210" s="124" t="s">
        <v>471</v>
      </c>
      <c r="E2210" s="21">
        <v>0.94559607999999995</v>
      </c>
      <c r="F2210" s="10"/>
      <c r="G2210" s="14">
        <v>50000000</v>
      </c>
      <c r="H2210" s="14">
        <v>47279803.810000002</v>
      </c>
      <c r="I2210" s="14">
        <v>50000000</v>
      </c>
      <c r="J2210" s="14">
        <v>47279803.810000002</v>
      </c>
      <c r="K2210" s="12">
        <v>90004399</v>
      </c>
      <c r="L2210" s="10" t="s">
        <v>101</v>
      </c>
      <c r="M2210" s="10" t="s">
        <v>102</v>
      </c>
      <c r="N2210" s="124" t="s">
        <v>471</v>
      </c>
      <c r="O2210" s="124" t="s">
        <v>471</v>
      </c>
      <c r="P2210" s="21">
        <v>30</v>
      </c>
      <c r="Q2210" s="10" t="s">
        <v>54</v>
      </c>
      <c r="R2210" s="10" t="s">
        <v>28</v>
      </c>
      <c r="S2210" s="10"/>
      <c r="T2210" s="10"/>
      <c r="U2210" s="10" t="s">
        <v>4122</v>
      </c>
      <c r="V2210" s="10" t="s">
        <v>4122</v>
      </c>
      <c r="W2210" s="50">
        <f>+J2210/$W$2</f>
        <v>5.7864077039041601E-4</v>
      </c>
    </row>
    <row r="2211" spans="1:29">
      <c r="A2211" s="10" t="s">
        <v>574</v>
      </c>
      <c r="B2211" s="10" t="s">
        <v>358</v>
      </c>
      <c r="C2211" s="124">
        <v>46394</v>
      </c>
      <c r="D2211" s="124" t="s">
        <v>471</v>
      </c>
      <c r="E2211" s="21">
        <v>0.94559590000000004</v>
      </c>
      <c r="F2211" s="10"/>
      <c r="G2211" s="14">
        <v>25000000</v>
      </c>
      <c r="H2211" s="14">
        <v>23639897.399999999</v>
      </c>
      <c r="I2211" s="14">
        <v>25000000</v>
      </c>
      <c r="J2211" s="14">
        <v>23639897.399999999</v>
      </c>
      <c r="K2211" s="12">
        <v>90004233</v>
      </c>
      <c r="L2211" s="10" t="s">
        <v>101</v>
      </c>
      <c r="M2211" s="10" t="s">
        <v>102</v>
      </c>
      <c r="N2211" s="124" t="s">
        <v>576</v>
      </c>
      <c r="O2211" s="124" t="s">
        <v>576</v>
      </c>
      <c r="P2211" s="21">
        <v>30</v>
      </c>
      <c r="Q2211" s="10" t="s">
        <v>54</v>
      </c>
      <c r="R2211" s="10" t="s">
        <v>28</v>
      </c>
      <c r="S2211" s="10"/>
      <c r="T2211" s="10"/>
      <c r="U2211" s="10" t="s">
        <v>2357</v>
      </c>
      <c r="V2211" s="10" t="s">
        <v>2357</v>
      </c>
      <c r="W2211" s="50">
        <f>+J2211/$W$2</f>
        <v>2.8932033006010883E-4</v>
      </c>
      <c r="AC2211" s="47"/>
    </row>
    <row r="2212" spans="1:29">
      <c r="A2212" s="10" t="s">
        <v>3325</v>
      </c>
      <c r="B2212" s="10" t="s">
        <v>358</v>
      </c>
      <c r="C2212" s="124">
        <v>46394</v>
      </c>
      <c r="D2212" s="124" t="s">
        <v>471</v>
      </c>
      <c r="E2212" s="21">
        <v>0.94047930999999996</v>
      </c>
      <c r="F2212" s="10"/>
      <c r="G2212" s="14">
        <v>1490000</v>
      </c>
      <c r="H2212" s="14">
        <v>1401314.17</v>
      </c>
      <c r="I2212" s="14">
        <v>1490000</v>
      </c>
      <c r="J2212" s="14">
        <v>1401314.17</v>
      </c>
      <c r="K2212" s="12">
        <v>90003557</v>
      </c>
      <c r="L2212" s="10" t="s">
        <v>101</v>
      </c>
      <c r="M2212" s="10" t="s">
        <v>102</v>
      </c>
      <c r="N2212" s="124" t="s">
        <v>467</v>
      </c>
      <c r="O2212" s="124" t="s">
        <v>467</v>
      </c>
      <c r="P2212" s="21">
        <v>33</v>
      </c>
      <c r="Q2212" s="10" t="s">
        <v>54</v>
      </c>
      <c r="R2212" s="10" t="s">
        <v>28</v>
      </c>
      <c r="S2212" s="10"/>
      <c r="T2212" s="10"/>
      <c r="U2212" s="10" t="s">
        <v>3691</v>
      </c>
      <c r="V2212" s="10" t="s">
        <v>3691</v>
      </c>
      <c r="W2212" s="50">
        <f>+J2212/$W$2</f>
        <v>1.7150187723839589E-5</v>
      </c>
    </row>
    <row r="2213" spans="1:29">
      <c r="A2213" s="10" t="s">
        <v>522</v>
      </c>
      <c r="B2213" s="10" t="s">
        <v>358</v>
      </c>
      <c r="C2213" s="124">
        <v>46394</v>
      </c>
      <c r="D2213" s="124" t="s">
        <v>471</v>
      </c>
      <c r="E2213" s="21">
        <v>0.94047950000000002</v>
      </c>
      <c r="F2213" s="10"/>
      <c r="G2213" s="14">
        <v>37700000</v>
      </c>
      <c r="H2213" s="14">
        <v>35456077.039999999</v>
      </c>
      <c r="I2213" s="14">
        <v>37700000</v>
      </c>
      <c r="J2213" s="14">
        <v>35456077.039999999</v>
      </c>
      <c r="K2213" s="12">
        <v>9827966</v>
      </c>
      <c r="L2213" s="10" t="s">
        <v>101</v>
      </c>
      <c r="M2213" s="10" t="s">
        <v>102</v>
      </c>
      <c r="N2213" s="124" t="s">
        <v>466</v>
      </c>
      <c r="O2213" s="124" t="s">
        <v>466</v>
      </c>
      <c r="P2213" s="21">
        <v>33</v>
      </c>
      <c r="Q2213" s="10" t="s">
        <v>54</v>
      </c>
      <c r="R2213" s="10" t="s">
        <v>28</v>
      </c>
      <c r="S2213" s="10"/>
      <c r="T2213" s="10"/>
      <c r="U2213" s="10" t="s">
        <v>3625</v>
      </c>
      <c r="V2213" s="10" t="s">
        <v>3625</v>
      </c>
      <c r="W2213" s="50">
        <f>+J2213/$W$2</f>
        <v>4.3393436689997841E-4</v>
      </c>
    </row>
    <row r="2214" spans="1:29">
      <c r="A2214" s="10" t="s">
        <v>433</v>
      </c>
      <c r="B2214" s="10" t="s">
        <v>358</v>
      </c>
      <c r="C2214" s="124">
        <v>46394</v>
      </c>
      <c r="D2214" s="124" t="s">
        <v>471</v>
      </c>
      <c r="E2214" s="21">
        <v>0.94047943000000001</v>
      </c>
      <c r="F2214" s="10"/>
      <c r="G2214" s="14">
        <v>15000000</v>
      </c>
      <c r="H2214" s="14">
        <v>14107191.439999999</v>
      </c>
      <c r="I2214" s="14">
        <v>15000000</v>
      </c>
      <c r="J2214" s="14">
        <v>14107191.439999999</v>
      </c>
      <c r="K2214" s="12">
        <v>14724992</v>
      </c>
      <c r="L2214" s="10" t="s">
        <v>101</v>
      </c>
      <c r="M2214" s="10" t="s">
        <v>102</v>
      </c>
      <c r="N2214" s="124" t="s">
        <v>446</v>
      </c>
      <c r="O2214" s="124" t="s">
        <v>446</v>
      </c>
      <c r="P2214" s="21">
        <v>33</v>
      </c>
      <c r="Q2214" s="10" t="s">
        <v>54</v>
      </c>
      <c r="R2214" s="10" t="s">
        <v>28</v>
      </c>
      <c r="S2214" s="10"/>
      <c r="T2214" s="10"/>
      <c r="U2214" s="10" t="s">
        <v>3092</v>
      </c>
      <c r="V2214" s="10" t="s">
        <v>3092</v>
      </c>
      <c r="W2214" s="50">
        <f>+J2214/$W$2</f>
        <v>1.7265291868999151E-4</v>
      </c>
      <c r="AC2214" s="47"/>
    </row>
    <row r="2215" spans="1:29">
      <c r="A2215" s="10" t="s">
        <v>3580</v>
      </c>
      <c r="B2215" s="10" t="s">
        <v>358</v>
      </c>
      <c r="C2215" s="124">
        <v>46394</v>
      </c>
      <c r="D2215" s="124" t="s">
        <v>471</v>
      </c>
      <c r="E2215" s="21">
        <v>0.93878618999999996</v>
      </c>
      <c r="F2215" s="10"/>
      <c r="G2215" s="14">
        <v>847010</v>
      </c>
      <c r="H2215" s="14">
        <v>795161.29</v>
      </c>
      <c r="I2215" s="14">
        <v>847010</v>
      </c>
      <c r="J2215" s="14">
        <v>795161.29</v>
      </c>
      <c r="K2215" s="12">
        <v>70426670</v>
      </c>
      <c r="L2215" s="10" t="s">
        <v>101</v>
      </c>
      <c r="M2215" s="10" t="s">
        <v>102</v>
      </c>
      <c r="N2215" s="124" t="s">
        <v>451</v>
      </c>
      <c r="O2215" s="124" t="s">
        <v>451</v>
      </c>
      <c r="P2215" s="21">
        <v>34</v>
      </c>
      <c r="Q2215" s="10" t="s">
        <v>54</v>
      </c>
      <c r="R2215" s="10" t="s">
        <v>28</v>
      </c>
      <c r="S2215" s="10"/>
      <c r="T2215" s="10"/>
      <c r="U2215" s="10" t="s">
        <v>3497</v>
      </c>
      <c r="V2215" s="10" t="s">
        <v>3497</v>
      </c>
      <c r="W2215" s="50">
        <f>+J2215/$W$2</f>
        <v>9.7316973496603206E-6</v>
      </c>
    </row>
    <row r="2216" spans="1:29">
      <c r="A2216" s="10" t="s">
        <v>3306</v>
      </c>
      <c r="B2216" s="10" t="s">
        <v>358</v>
      </c>
      <c r="C2216" s="124">
        <v>46394</v>
      </c>
      <c r="D2216" s="124" t="s">
        <v>471</v>
      </c>
      <c r="E2216" s="21">
        <v>0.94559590999999998</v>
      </c>
      <c r="F2216" s="10"/>
      <c r="G2216" s="14">
        <v>27038520.739999998</v>
      </c>
      <c r="H2216" s="14">
        <v>25567514.710000001</v>
      </c>
      <c r="I2216" s="14">
        <v>27038520.739999998</v>
      </c>
      <c r="J2216" s="14">
        <v>25567514.710000001</v>
      </c>
      <c r="K2216" s="12">
        <v>7043</v>
      </c>
      <c r="L2216" s="10" t="s">
        <v>101</v>
      </c>
      <c r="M2216" s="10" t="s">
        <v>102</v>
      </c>
      <c r="N2216" s="124" t="s">
        <v>417</v>
      </c>
      <c r="O2216" s="124" t="s">
        <v>417</v>
      </c>
      <c r="P2216" s="21">
        <v>30</v>
      </c>
      <c r="Q2216" s="10" t="s">
        <v>54</v>
      </c>
      <c r="R2216" s="10" t="s">
        <v>28</v>
      </c>
      <c r="S2216" s="10"/>
      <c r="T2216" s="10"/>
      <c r="U2216" s="10" t="s">
        <v>3197</v>
      </c>
      <c r="V2216" s="10" t="s">
        <v>3197</v>
      </c>
      <c r="W2216" s="50">
        <f>+J2216/$W$2</f>
        <v>3.1291175547631131E-4</v>
      </c>
    </row>
    <row r="2217" spans="1:29">
      <c r="A2217" s="10" t="s">
        <v>695</v>
      </c>
      <c r="B2217" s="10" t="s">
        <v>358</v>
      </c>
      <c r="C2217" s="124">
        <v>46394</v>
      </c>
      <c r="D2217" s="124" t="s">
        <v>471</v>
      </c>
      <c r="E2217" s="21">
        <v>0.94559601999999998</v>
      </c>
      <c r="F2217" s="10"/>
      <c r="G2217" s="14">
        <v>475000000</v>
      </c>
      <c r="H2217" s="14">
        <v>449158108.45999998</v>
      </c>
      <c r="I2217" s="14">
        <v>475000000</v>
      </c>
      <c r="J2217" s="14">
        <v>449158108.45999998</v>
      </c>
      <c r="K2217" s="12">
        <v>1372</v>
      </c>
      <c r="L2217" s="10" t="s">
        <v>101</v>
      </c>
      <c r="M2217" s="10" t="s">
        <v>102</v>
      </c>
      <c r="N2217" s="124" t="s">
        <v>413</v>
      </c>
      <c r="O2217" s="124" t="s">
        <v>413</v>
      </c>
      <c r="P2217" s="21">
        <v>30</v>
      </c>
      <c r="Q2217" s="10" t="s">
        <v>54</v>
      </c>
      <c r="R2217" s="10" t="s">
        <v>28</v>
      </c>
      <c r="S2217" s="10"/>
      <c r="T2217" s="10"/>
      <c r="U2217" s="10" t="s">
        <v>2888</v>
      </c>
      <c r="V2217" s="10" t="s">
        <v>2888</v>
      </c>
      <c r="W2217" s="50">
        <f>+J2217/$W$2</f>
        <v>5.4970869792701112E-3</v>
      </c>
    </row>
    <row r="2218" spans="1:29">
      <c r="A2218" s="10" t="s">
        <v>2677</v>
      </c>
      <c r="B2218" s="10" t="s">
        <v>358</v>
      </c>
      <c r="C2218" s="124">
        <v>46394</v>
      </c>
      <c r="D2218" s="124" t="s">
        <v>471</v>
      </c>
      <c r="E2218" s="21">
        <v>0.94047928999999997</v>
      </c>
      <c r="F2218" s="10"/>
      <c r="G2218" s="14">
        <v>7500000</v>
      </c>
      <c r="H2218" s="14">
        <v>7053594.6799999997</v>
      </c>
      <c r="I2218" s="14">
        <v>7500000</v>
      </c>
      <c r="J2218" s="14">
        <v>7053594.6799999997</v>
      </c>
      <c r="K2218" s="12">
        <v>70407059</v>
      </c>
      <c r="L2218" s="10" t="s">
        <v>101</v>
      </c>
      <c r="M2218" s="10" t="s">
        <v>102</v>
      </c>
      <c r="N2218" s="124" t="s">
        <v>603</v>
      </c>
      <c r="O2218" s="124" t="s">
        <v>603</v>
      </c>
      <c r="P2218" s="21">
        <v>33</v>
      </c>
      <c r="Q2218" s="10" t="s">
        <v>54</v>
      </c>
      <c r="R2218" s="10" t="s">
        <v>28</v>
      </c>
      <c r="S2218" s="10"/>
      <c r="T2218" s="10"/>
      <c r="U2218" s="10" t="s">
        <v>2611</v>
      </c>
      <c r="V2218" s="10" t="s">
        <v>2611</v>
      </c>
      <c r="W2218" s="50">
        <f>+J2218/$W$2</f>
        <v>8.6326446616804168E-5</v>
      </c>
    </row>
    <row r="2219" spans="1:29">
      <c r="A2219" s="10" t="s">
        <v>2016</v>
      </c>
      <c r="B2219" s="10" t="s">
        <v>358</v>
      </c>
      <c r="C2219" s="124">
        <v>46395</v>
      </c>
      <c r="D2219" s="124" t="s">
        <v>471</v>
      </c>
      <c r="E2219" s="21">
        <v>0.94660138000000005</v>
      </c>
      <c r="F2219" s="10"/>
      <c r="G2219" s="14">
        <v>11916548.66</v>
      </c>
      <c r="H2219" s="14">
        <v>11280221.43</v>
      </c>
      <c r="I2219" s="14">
        <v>11916548.66</v>
      </c>
      <c r="J2219" s="14">
        <v>11280221.43</v>
      </c>
      <c r="K2219" s="12">
        <v>22883</v>
      </c>
      <c r="L2219" s="10" t="s">
        <v>101</v>
      </c>
      <c r="M2219" s="10" t="s">
        <v>102</v>
      </c>
      <c r="N2219" s="124" t="s">
        <v>469</v>
      </c>
      <c r="O2219" s="124" t="s">
        <v>469</v>
      </c>
      <c r="P2219" s="21">
        <v>29</v>
      </c>
      <c r="Q2219" s="10" t="s">
        <v>54</v>
      </c>
      <c r="R2219" s="10" t="s">
        <v>28</v>
      </c>
      <c r="S2219" s="10"/>
      <c r="T2219" s="10"/>
      <c r="U2219" s="10" t="s">
        <v>3902</v>
      </c>
      <c r="V2219" s="10" t="s">
        <v>3902</v>
      </c>
      <c r="W2219" s="50">
        <f>+J2219/$W$2</f>
        <v>1.3805463416599739E-4</v>
      </c>
    </row>
    <row r="2220" spans="1:29">
      <c r="A2220" s="10" t="s">
        <v>2016</v>
      </c>
      <c r="B2220" s="10" t="s">
        <v>358</v>
      </c>
      <c r="C2220" s="124">
        <v>46395</v>
      </c>
      <c r="D2220" s="124" t="s">
        <v>471</v>
      </c>
      <c r="E2220" s="21">
        <v>0.94660138000000005</v>
      </c>
      <c r="F2220" s="10"/>
      <c r="G2220" s="14">
        <v>4742693.1900000004</v>
      </c>
      <c r="H2220" s="14">
        <v>4489439.93</v>
      </c>
      <c r="I2220" s="14">
        <v>4742693.1900000004</v>
      </c>
      <c r="J2220" s="14">
        <v>4489439.93</v>
      </c>
      <c r="K2220" s="12">
        <v>40781879</v>
      </c>
      <c r="L2220" s="10" t="s">
        <v>101</v>
      </c>
      <c r="M2220" s="10" t="s">
        <v>102</v>
      </c>
      <c r="N2220" s="124" t="s">
        <v>469</v>
      </c>
      <c r="O2220" s="124" t="s">
        <v>469</v>
      </c>
      <c r="P2220" s="21">
        <v>29</v>
      </c>
      <c r="Q2220" s="10" t="s">
        <v>54</v>
      </c>
      <c r="R2220" s="10" t="s">
        <v>28</v>
      </c>
      <c r="S2220" s="10"/>
      <c r="T2220" s="10"/>
      <c r="U2220" s="10" t="s">
        <v>3925</v>
      </c>
      <c r="V2220" s="10" t="s">
        <v>3925</v>
      </c>
      <c r="W2220" s="50">
        <f>+J2220/$W$2</f>
        <v>5.494466496003624E-5</v>
      </c>
    </row>
    <row r="2221" spans="1:29">
      <c r="A2221" s="10" t="s">
        <v>379</v>
      </c>
      <c r="B2221" s="10" t="s">
        <v>358</v>
      </c>
      <c r="C2221" s="124">
        <v>46395</v>
      </c>
      <c r="D2221" s="124" t="s">
        <v>471</v>
      </c>
      <c r="E2221" s="21">
        <v>0.94486150999999996</v>
      </c>
      <c r="F2221" s="10"/>
      <c r="G2221" s="14">
        <v>25000000</v>
      </c>
      <c r="H2221" s="14">
        <v>23621537.84</v>
      </c>
      <c r="I2221" s="14">
        <v>25000000</v>
      </c>
      <c r="J2221" s="14">
        <v>23621537.84</v>
      </c>
      <c r="K2221" s="12">
        <v>69741508</v>
      </c>
      <c r="L2221" s="10" t="s">
        <v>101</v>
      </c>
      <c r="M2221" s="10" t="s">
        <v>102</v>
      </c>
      <c r="N2221" s="124" t="s">
        <v>397</v>
      </c>
      <c r="O2221" s="124" t="s">
        <v>397</v>
      </c>
      <c r="P2221" s="21">
        <v>30</v>
      </c>
      <c r="Q2221" s="10" t="s">
        <v>54</v>
      </c>
      <c r="R2221" s="10" t="s">
        <v>28</v>
      </c>
      <c r="S2221" s="10"/>
      <c r="T2221" s="10"/>
      <c r="U2221" s="10" t="s">
        <v>1835</v>
      </c>
      <c r="V2221" s="10" t="s">
        <v>1835</v>
      </c>
      <c r="W2221" s="50">
        <f>+J2221/$W$2</f>
        <v>2.8909563390897583E-4</v>
      </c>
    </row>
    <row r="2222" spans="1:29">
      <c r="A2222" s="10" t="s">
        <v>1751</v>
      </c>
      <c r="B2222" s="10" t="s">
        <v>358</v>
      </c>
      <c r="C2222" s="124">
        <v>46395</v>
      </c>
      <c r="D2222" s="124" t="s">
        <v>471</v>
      </c>
      <c r="E2222" s="21">
        <v>0.94140108</v>
      </c>
      <c r="F2222" s="10"/>
      <c r="G2222" s="14">
        <v>353613.17</v>
      </c>
      <c r="H2222" s="14">
        <v>332891.82</v>
      </c>
      <c r="I2222" s="14">
        <v>353613.17</v>
      </c>
      <c r="J2222" s="14">
        <v>332891.82</v>
      </c>
      <c r="K2222" s="12">
        <v>2861</v>
      </c>
      <c r="L2222" s="10" t="s">
        <v>101</v>
      </c>
      <c r="M2222" s="10" t="s">
        <v>102</v>
      </c>
      <c r="N2222" s="124" t="s">
        <v>398</v>
      </c>
      <c r="O2222" s="124" t="s">
        <v>398</v>
      </c>
      <c r="P2222" s="21">
        <v>32</v>
      </c>
      <c r="Q2222" s="10" t="s">
        <v>54</v>
      </c>
      <c r="R2222" s="10" t="s">
        <v>28</v>
      </c>
      <c r="S2222" s="10"/>
      <c r="T2222" s="10"/>
      <c r="U2222" s="10" t="s">
        <v>1697</v>
      </c>
      <c r="V2222" s="10" t="s">
        <v>1697</v>
      </c>
      <c r="W2222" s="50">
        <f>+J2222/$W$2</f>
        <v>4.0741450610826395E-6</v>
      </c>
    </row>
    <row r="2223" spans="1:29">
      <c r="A2223" s="10" t="s">
        <v>2759</v>
      </c>
      <c r="B2223" s="10" t="s">
        <v>358</v>
      </c>
      <c r="C2223" s="124">
        <v>46395</v>
      </c>
      <c r="D2223" s="124" t="s">
        <v>471</v>
      </c>
      <c r="E2223" s="21">
        <v>0.94486166999999999</v>
      </c>
      <c r="F2223" s="10"/>
      <c r="G2223" s="14">
        <v>6250000</v>
      </c>
      <c r="H2223" s="14">
        <v>5905385.4500000002</v>
      </c>
      <c r="I2223" s="14">
        <v>6250000</v>
      </c>
      <c r="J2223" s="14">
        <v>5905385.4500000002</v>
      </c>
      <c r="K2223" s="12">
        <v>392</v>
      </c>
      <c r="L2223" s="10" t="s">
        <v>101</v>
      </c>
      <c r="M2223" s="10" t="s">
        <v>102</v>
      </c>
      <c r="N2223" s="124" t="s">
        <v>411</v>
      </c>
      <c r="O2223" s="124" t="s">
        <v>411</v>
      </c>
      <c r="P2223" s="21">
        <v>30</v>
      </c>
      <c r="Q2223" s="10" t="s">
        <v>54</v>
      </c>
      <c r="R2223" s="10" t="s">
        <v>28</v>
      </c>
      <c r="S2223" s="10"/>
      <c r="T2223" s="10"/>
      <c r="U2223" s="10" t="s">
        <v>2909</v>
      </c>
      <c r="V2223" s="10" t="s">
        <v>2909</v>
      </c>
      <c r="W2223" s="50">
        <f>+J2223/$W$2</f>
        <v>7.2273920593503261E-5</v>
      </c>
    </row>
    <row r="2224" spans="1:29">
      <c r="A2224" s="10" t="s">
        <v>623</v>
      </c>
      <c r="B2224" s="10" t="s">
        <v>358</v>
      </c>
      <c r="C2224" s="124">
        <v>46395</v>
      </c>
      <c r="D2224" s="124" t="s">
        <v>471</v>
      </c>
      <c r="E2224" s="21">
        <v>0.93625765000000005</v>
      </c>
      <c r="F2224" s="10"/>
      <c r="G2224" s="14">
        <v>3000000</v>
      </c>
      <c r="H2224" s="14">
        <v>2808772.95</v>
      </c>
      <c r="I2224" s="14">
        <v>3000000</v>
      </c>
      <c r="J2224" s="14">
        <v>2808772.95</v>
      </c>
      <c r="K2224" s="12">
        <v>52</v>
      </c>
      <c r="L2224" s="10" t="s">
        <v>101</v>
      </c>
      <c r="M2224" s="10" t="s">
        <v>102</v>
      </c>
      <c r="N2224" s="124" t="s">
        <v>446</v>
      </c>
      <c r="O2224" s="124" t="s">
        <v>446</v>
      </c>
      <c r="P2224" s="21">
        <v>35</v>
      </c>
      <c r="Q2224" s="10" t="s">
        <v>54</v>
      </c>
      <c r="R2224" s="10" t="s">
        <v>28</v>
      </c>
      <c r="S2224" s="10"/>
      <c r="T2224" s="10"/>
      <c r="U2224" s="10" t="s">
        <v>3080</v>
      </c>
      <c r="V2224" s="10" t="s">
        <v>3080</v>
      </c>
      <c r="W2224" s="50">
        <f>+J2224/$W$2</f>
        <v>3.4375577152797019E-5</v>
      </c>
    </row>
    <row r="2225" spans="1:32">
      <c r="A2225" s="10" t="s">
        <v>623</v>
      </c>
      <c r="B2225" s="10" t="s">
        <v>358</v>
      </c>
      <c r="C2225" s="124">
        <v>46395</v>
      </c>
      <c r="D2225" s="124" t="s">
        <v>471</v>
      </c>
      <c r="E2225" s="21">
        <v>0.93968028000000003</v>
      </c>
      <c r="F2225" s="10"/>
      <c r="G2225" s="14">
        <v>2500000</v>
      </c>
      <c r="H2225" s="14">
        <v>2349200.71</v>
      </c>
      <c r="I2225" s="14">
        <v>2500000</v>
      </c>
      <c r="J2225" s="14">
        <v>2349200.71</v>
      </c>
      <c r="K2225" s="12">
        <v>44</v>
      </c>
      <c r="L2225" s="10" t="s">
        <v>101</v>
      </c>
      <c r="M2225" s="10" t="s">
        <v>102</v>
      </c>
      <c r="N2225" s="124" t="s">
        <v>508</v>
      </c>
      <c r="O2225" s="124" t="s">
        <v>508</v>
      </c>
      <c r="P2225" s="21">
        <v>33</v>
      </c>
      <c r="Q2225" s="10" t="s">
        <v>54</v>
      </c>
      <c r="R2225" s="10" t="s">
        <v>28</v>
      </c>
      <c r="S2225" s="10"/>
      <c r="T2225" s="10"/>
      <c r="U2225" s="10" t="s">
        <v>3010</v>
      </c>
      <c r="V2225" s="10" t="s">
        <v>3010</v>
      </c>
      <c r="W2225" s="50">
        <f>+J2225/$W$2</f>
        <v>2.8751035306720153E-5</v>
      </c>
    </row>
    <row r="2226" spans="1:32">
      <c r="A2226" s="10" t="s">
        <v>3573</v>
      </c>
      <c r="B2226" s="10" t="s">
        <v>358</v>
      </c>
      <c r="C2226" s="124">
        <v>46395</v>
      </c>
      <c r="D2226" s="124" t="s">
        <v>471</v>
      </c>
      <c r="E2226" s="21">
        <v>0.94486159000000003</v>
      </c>
      <c r="F2226" s="10"/>
      <c r="G2226" s="14">
        <v>2006000</v>
      </c>
      <c r="H2226" s="14">
        <v>1895392.35</v>
      </c>
      <c r="I2226" s="14">
        <v>2006000</v>
      </c>
      <c r="J2226" s="14">
        <v>1895392.35</v>
      </c>
      <c r="K2226" s="12">
        <v>70555999</v>
      </c>
      <c r="L2226" s="10" t="s">
        <v>101</v>
      </c>
      <c r="M2226" s="10" t="s">
        <v>102</v>
      </c>
      <c r="N2226" s="124" t="s">
        <v>451</v>
      </c>
      <c r="O2226" s="124" t="s">
        <v>451</v>
      </c>
      <c r="P2226" s="21">
        <v>30</v>
      </c>
      <c r="Q2226" s="10" t="s">
        <v>54</v>
      </c>
      <c r="R2226" s="10" t="s">
        <v>28</v>
      </c>
      <c r="S2226" s="10"/>
      <c r="T2226" s="10"/>
      <c r="U2226" s="10" t="s">
        <v>3540</v>
      </c>
      <c r="V2226" s="10" t="s">
        <v>3540</v>
      </c>
      <c r="W2226" s="50">
        <f>+J2226/$W$2</f>
        <v>2.3197035546161268E-5</v>
      </c>
    </row>
    <row r="2227" spans="1:32">
      <c r="A2227" s="10" t="s">
        <v>832</v>
      </c>
      <c r="B2227" s="10" t="s">
        <v>358</v>
      </c>
      <c r="C2227" s="124">
        <v>46395</v>
      </c>
      <c r="D2227" s="124" t="s">
        <v>471</v>
      </c>
      <c r="E2227" s="21">
        <v>0.93968034</v>
      </c>
      <c r="F2227" s="10"/>
      <c r="G2227" s="14">
        <v>181355.13</v>
      </c>
      <c r="H2227" s="14">
        <v>170415.85</v>
      </c>
      <c r="I2227" s="14">
        <v>181355.13</v>
      </c>
      <c r="J2227" s="14">
        <v>170415.85</v>
      </c>
      <c r="K2227" s="12">
        <v>126691</v>
      </c>
      <c r="L2227" s="10" t="s">
        <v>101</v>
      </c>
      <c r="M2227" s="10" t="s">
        <v>102</v>
      </c>
      <c r="N2227" s="124" t="s">
        <v>446</v>
      </c>
      <c r="O2227" s="124" t="s">
        <v>446</v>
      </c>
      <c r="P2227" s="21">
        <v>33</v>
      </c>
      <c r="Q2227" s="10" t="s">
        <v>54</v>
      </c>
      <c r="R2227" s="10" t="s">
        <v>28</v>
      </c>
      <c r="S2227" s="10"/>
      <c r="T2227" s="10"/>
      <c r="U2227" s="10" t="s">
        <v>3072</v>
      </c>
      <c r="V2227" s="10" t="s">
        <v>3072</v>
      </c>
      <c r="W2227" s="50">
        <f>+J2227/$W$2</f>
        <v>2.085659219886208E-6</v>
      </c>
    </row>
    <row r="2228" spans="1:32">
      <c r="A2228" s="10" t="s">
        <v>286</v>
      </c>
      <c r="B2228" s="10" t="s">
        <v>358</v>
      </c>
      <c r="C2228" s="124">
        <v>46395</v>
      </c>
      <c r="D2228" s="124" t="s">
        <v>471</v>
      </c>
      <c r="E2228" s="21">
        <v>0.94140109000000005</v>
      </c>
      <c r="F2228" s="10"/>
      <c r="G2228" s="14">
        <v>6000000</v>
      </c>
      <c r="H2228" s="14">
        <v>5648406.5199999996</v>
      </c>
      <c r="I2228" s="14">
        <v>6000000</v>
      </c>
      <c r="J2228" s="14">
        <v>5648406.5199999996</v>
      </c>
      <c r="K2228" s="12">
        <v>40797052</v>
      </c>
      <c r="L2228" s="10" t="s">
        <v>101</v>
      </c>
      <c r="M2228" s="10" t="s">
        <v>102</v>
      </c>
      <c r="N2228" s="124" t="s">
        <v>469</v>
      </c>
      <c r="O2228" s="124" t="s">
        <v>469</v>
      </c>
      <c r="P2228" s="21">
        <v>32</v>
      </c>
      <c r="Q2228" s="10" t="s">
        <v>54</v>
      </c>
      <c r="R2228" s="10" t="s">
        <v>28</v>
      </c>
      <c r="S2228" s="10"/>
      <c r="T2228" s="10"/>
      <c r="U2228" s="10" t="s">
        <v>3964</v>
      </c>
      <c r="V2228" s="10" t="s">
        <v>3964</v>
      </c>
      <c r="W2228" s="50">
        <f>+J2228/$W$2</f>
        <v>6.9128846501680268E-5</v>
      </c>
    </row>
    <row r="2229" spans="1:32">
      <c r="A2229" s="10" t="s">
        <v>574</v>
      </c>
      <c r="B2229" s="10" t="s">
        <v>358</v>
      </c>
      <c r="C2229" s="124">
        <v>46395</v>
      </c>
      <c r="D2229" s="124" t="s">
        <v>471</v>
      </c>
      <c r="E2229" s="21">
        <v>0.94486165</v>
      </c>
      <c r="F2229" s="10"/>
      <c r="G2229" s="14">
        <v>50000000</v>
      </c>
      <c r="H2229" s="14">
        <v>47243082.710000001</v>
      </c>
      <c r="I2229" s="14">
        <v>50000000</v>
      </c>
      <c r="J2229" s="14">
        <v>47243082.710000001</v>
      </c>
      <c r="K2229" s="12">
        <v>90004400</v>
      </c>
      <c r="L2229" s="10" t="s">
        <v>101</v>
      </c>
      <c r="M2229" s="10" t="s">
        <v>102</v>
      </c>
      <c r="N2229" s="124" t="s">
        <v>471</v>
      </c>
      <c r="O2229" s="124" t="s">
        <v>471</v>
      </c>
      <c r="P2229" s="21">
        <v>30</v>
      </c>
      <c r="Q2229" s="10" t="s">
        <v>54</v>
      </c>
      <c r="R2229" s="10" t="s">
        <v>28</v>
      </c>
      <c r="S2229" s="10"/>
      <c r="T2229" s="10"/>
      <c r="U2229" s="10" t="s">
        <v>4123</v>
      </c>
      <c r="V2229" s="10" t="s">
        <v>4123</v>
      </c>
      <c r="W2229" s="50">
        <f>+J2229/$W$2</f>
        <v>5.7819135385563135E-4</v>
      </c>
    </row>
    <row r="2230" spans="1:32">
      <c r="A2230" s="10" t="s">
        <v>433</v>
      </c>
      <c r="B2230" s="10" t="s">
        <v>358</v>
      </c>
      <c r="C2230" s="124">
        <v>46395</v>
      </c>
      <c r="D2230" s="124" t="s">
        <v>471</v>
      </c>
      <c r="E2230" s="21">
        <v>0.93968043999999995</v>
      </c>
      <c r="F2230" s="10"/>
      <c r="G2230" s="14">
        <v>12500000</v>
      </c>
      <c r="H2230" s="14">
        <v>11746005.439999999</v>
      </c>
      <c r="I2230" s="14">
        <v>12500000</v>
      </c>
      <c r="J2230" s="14">
        <v>11746005.439999999</v>
      </c>
      <c r="K2230" s="12">
        <v>14651827</v>
      </c>
      <c r="L2230" s="10" t="s">
        <v>101</v>
      </c>
      <c r="M2230" s="10" t="s">
        <v>102</v>
      </c>
      <c r="N2230" s="124" t="s">
        <v>603</v>
      </c>
      <c r="O2230" s="124" t="s">
        <v>603</v>
      </c>
      <c r="P2230" s="21">
        <v>33</v>
      </c>
      <c r="Q2230" s="10" t="s">
        <v>54</v>
      </c>
      <c r="R2230" s="10" t="s">
        <v>28</v>
      </c>
      <c r="S2230" s="10"/>
      <c r="T2230" s="10"/>
      <c r="U2230" s="10" t="s">
        <v>2656</v>
      </c>
      <c r="V2230" s="10" t="s">
        <v>2656</v>
      </c>
      <c r="W2230" s="50">
        <f>+J2230/$W$2</f>
        <v>1.4375519966464126E-4</v>
      </c>
    </row>
    <row r="2231" spans="1:32">
      <c r="A2231" s="10" t="s">
        <v>3442</v>
      </c>
      <c r="B2231" s="10" t="s">
        <v>358</v>
      </c>
      <c r="C2231" s="124">
        <v>46395</v>
      </c>
      <c r="D2231" s="124" t="s">
        <v>471</v>
      </c>
      <c r="E2231" s="21">
        <v>0.93968026999999998</v>
      </c>
      <c r="F2231" s="10"/>
      <c r="G2231" s="14">
        <v>8000000</v>
      </c>
      <c r="H2231" s="14">
        <v>7517442.1799999997</v>
      </c>
      <c r="I2231" s="14">
        <v>8000000</v>
      </c>
      <c r="J2231" s="14">
        <v>7517442.1799999997</v>
      </c>
      <c r="K2231" s="12">
        <v>245</v>
      </c>
      <c r="L2231" s="10" t="s">
        <v>101</v>
      </c>
      <c r="M2231" s="10" t="s">
        <v>102</v>
      </c>
      <c r="N2231" s="124" t="s">
        <v>450</v>
      </c>
      <c r="O2231" s="124" t="s">
        <v>450</v>
      </c>
      <c r="P2231" s="21">
        <v>33</v>
      </c>
      <c r="Q2231" s="10" t="s">
        <v>54</v>
      </c>
      <c r="R2231" s="10" t="s">
        <v>28</v>
      </c>
      <c r="S2231" s="10"/>
      <c r="T2231" s="10"/>
      <c r="U2231" s="10" t="s">
        <v>3413</v>
      </c>
      <c r="V2231" s="10" t="s">
        <v>3413</v>
      </c>
      <c r="W2231" s="50">
        <f>+J2231/$W$2</f>
        <v>9.2003311855549082E-5</v>
      </c>
    </row>
    <row r="2232" spans="1:32">
      <c r="A2232" s="10" t="s">
        <v>3597</v>
      </c>
      <c r="B2232" s="10" t="s">
        <v>358</v>
      </c>
      <c r="C2232" s="124">
        <v>46395</v>
      </c>
      <c r="D2232" s="124" t="s">
        <v>471</v>
      </c>
      <c r="E2232" s="21">
        <v>0.93796586000000004</v>
      </c>
      <c r="F2232" s="10"/>
      <c r="G2232" s="14">
        <v>1000000</v>
      </c>
      <c r="H2232" s="14">
        <v>937965.86</v>
      </c>
      <c r="I2232" s="14">
        <v>1000000</v>
      </c>
      <c r="J2232" s="14">
        <v>937965.86</v>
      </c>
      <c r="K2232" s="12">
        <v>90000134</v>
      </c>
      <c r="L2232" s="10" t="s">
        <v>101</v>
      </c>
      <c r="M2232" s="10" t="s">
        <v>102</v>
      </c>
      <c r="N2232" s="124" t="s">
        <v>451</v>
      </c>
      <c r="O2232" s="124" t="s">
        <v>451</v>
      </c>
      <c r="P2232" s="21">
        <v>34</v>
      </c>
      <c r="Q2232" s="10" t="s">
        <v>54</v>
      </c>
      <c r="R2232" s="10" t="s">
        <v>28</v>
      </c>
      <c r="S2232" s="10"/>
      <c r="T2232" s="10"/>
      <c r="U2232" s="10" t="s">
        <v>3460</v>
      </c>
      <c r="V2232" s="10" t="s">
        <v>3460</v>
      </c>
      <c r="W2232" s="50">
        <f>+J2232/$W$2</f>
        <v>1.147943189467116E-5</v>
      </c>
    </row>
    <row r="2233" spans="1:32">
      <c r="A2233" s="10" t="s">
        <v>2016</v>
      </c>
      <c r="B2233" s="10" t="s">
        <v>358</v>
      </c>
      <c r="C2233" s="124">
        <v>46398</v>
      </c>
      <c r="D2233" s="124" t="s">
        <v>471</v>
      </c>
      <c r="E2233" s="21">
        <v>0.94447044000000002</v>
      </c>
      <c r="F2233" s="10"/>
      <c r="G2233" s="14">
        <v>11916548.66</v>
      </c>
      <c r="H2233" s="14">
        <v>11254827.91</v>
      </c>
      <c r="I2233" s="14">
        <v>11916548.66</v>
      </c>
      <c r="J2233" s="14">
        <v>11254827.91</v>
      </c>
      <c r="K2233" s="12">
        <v>22884</v>
      </c>
      <c r="L2233" s="10" t="s">
        <v>101</v>
      </c>
      <c r="M2233" s="10" t="s">
        <v>102</v>
      </c>
      <c r="N2233" s="124" t="s">
        <v>469</v>
      </c>
      <c r="O2233" s="124" t="s">
        <v>469</v>
      </c>
      <c r="P2233" s="21">
        <v>29</v>
      </c>
      <c r="Q2233" s="10" t="s">
        <v>54</v>
      </c>
      <c r="R2233" s="10" t="s">
        <v>28</v>
      </c>
      <c r="S2233" s="10"/>
      <c r="T2233" s="10"/>
      <c r="U2233" s="10" t="s">
        <v>3903</v>
      </c>
      <c r="V2233" s="10" t="s">
        <v>3903</v>
      </c>
      <c r="W2233" s="50">
        <f>+J2233/$W$2</f>
        <v>1.3774385187014071E-4</v>
      </c>
    </row>
    <row r="2234" spans="1:32">
      <c r="A2234" s="10" t="s">
        <v>401</v>
      </c>
      <c r="B2234" s="10" t="s">
        <v>358</v>
      </c>
      <c r="C2234" s="124">
        <v>46398</v>
      </c>
      <c r="D2234" s="124" t="s">
        <v>471</v>
      </c>
      <c r="E2234" s="21">
        <v>0.94266539999999999</v>
      </c>
      <c r="F2234" s="10"/>
      <c r="G2234" s="14">
        <v>4000000</v>
      </c>
      <c r="H2234" s="14">
        <v>3770661.59</v>
      </c>
      <c r="I2234" s="14">
        <v>4000000</v>
      </c>
      <c r="J2234" s="14">
        <v>3770661.59</v>
      </c>
      <c r="K2234" s="12">
        <v>48</v>
      </c>
      <c r="L2234" s="10" t="s">
        <v>101</v>
      </c>
      <c r="M2234" s="10" t="s">
        <v>102</v>
      </c>
      <c r="N2234" s="124" t="s">
        <v>478</v>
      </c>
      <c r="O2234" s="124" t="s">
        <v>478</v>
      </c>
      <c r="P2234" s="21">
        <v>30</v>
      </c>
      <c r="Q2234" s="10" t="s">
        <v>54</v>
      </c>
      <c r="R2234" s="10" t="s">
        <v>28</v>
      </c>
      <c r="S2234" s="10"/>
      <c r="T2234" s="10"/>
      <c r="U2234" s="10" t="s">
        <v>2110</v>
      </c>
      <c r="V2234" s="10" t="s">
        <v>2110</v>
      </c>
      <c r="W2234" s="50">
        <f>+J2234/$W$2</f>
        <v>4.6147791477461096E-5</v>
      </c>
    </row>
    <row r="2235" spans="1:32">
      <c r="A2235" s="10" t="s">
        <v>1515</v>
      </c>
      <c r="B2235" s="10" t="s">
        <v>358</v>
      </c>
      <c r="C2235" s="124">
        <v>46398</v>
      </c>
      <c r="D2235" s="124" t="s">
        <v>471</v>
      </c>
      <c r="E2235" s="21">
        <v>0.94086727000000003</v>
      </c>
      <c r="F2235" s="10"/>
      <c r="G2235" s="14">
        <v>9990457.7699999996</v>
      </c>
      <c r="H2235" s="14">
        <v>9399694.6899999995</v>
      </c>
      <c r="I2235" s="14">
        <v>9990457.7699999996</v>
      </c>
      <c r="J2235" s="14">
        <v>9399694.6899999995</v>
      </c>
      <c r="K2235" s="12">
        <v>3019</v>
      </c>
      <c r="L2235" s="10" t="s">
        <v>101</v>
      </c>
      <c r="M2235" s="10" t="s">
        <v>102</v>
      </c>
      <c r="N2235" s="124" t="s">
        <v>405</v>
      </c>
      <c r="O2235" s="124" t="s">
        <v>405</v>
      </c>
      <c r="P2235" s="21">
        <v>31</v>
      </c>
      <c r="Q2235" s="10" t="s">
        <v>54</v>
      </c>
      <c r="R2235" s="10" t="s">
        <v>28</v>
      </c>
      <c r="S2235" s="10"/>
      <c r="T2235" s="10"/>
      <c r="U2235" s="10" t="s">
        <v>1496</v>
      </c>
      <c r="V2235" s="10" t="s">
        <v>1496</v>
      </c>
      <c r="W2235" s="50">
        <f>+J2235/$W$2</f>
        <v>1.1503953355461907E-4</v>
      </c>
      <c r="AC2235" s="51"/>
      <c r="AD2235" s="47"/>
      <c r="AE2235" s="51"/>
      <c r="AF2235" s="10"/>
    </row>
    <row r="2236" spans="1:32">
      <c r="A2236" s="10" t="s">
        <v>2758</v>
      </c>
      <c r="B2236" s="10" t="s">
        <v>358</v>
      </c>
      <c r="C2236" s="124">
        <v>46398</v>
      </c>
      <c r="D2236" s="124" t="s">
        <v>471</v>
      </c>
      <c r="E2236" s="21">
        <v>0.94992732999999996</v>
      </c>
      <c r="F2236" s="10"/>
      <c r="G2236" s="14">
        <v>476066.3</v>
      </c>
      <c r="H2236" s="14">
        <v>452228.39</v>
      </c>
      <c r="I2236" s="14">
        <v>476066.3</v>
      </c>
      <c r="J2236" s="14">
        <v>452228.39</v>
      </c>
      <c r="K2236" s="12">
        <v>35</v>
      </c>
      <c r="L2236" s="10" t="s">
        <v>101</v>
      </c>
      <c r="M2236" s="10" t="s">
        <v>102</v>
      </c>
      <c r="N2236" s="124" t="s">
        <v>411</v>
      </c>
      <c r="O2236" s="124" t="s">
        <v>411</v>
      </c>
      <c r="P2236" s="21">
        <v>26</v>
      </c>
      <c r="Q2236" s="10" t="s">
        <v>54</v>
      </c>
      <c r="R2236" s="10" t="s">
        <v>28</v>
      </c>
      <c r="S2236" s="10"/>
      <c r="T2236" s="10"/>
      <c r="U2236" s="10" t="s">
        <v>2925</v>
      </c>
      <c r="V2236" s="10" t="s">
        <v>2925</v>
      </c>
      <c r="W2236" s="50">
        <f>+J2236/$W$2</f>
        <v>5.5346630674188803E-6</v>
      </c>
    </row>
    <row r="2237" spans="1:32">
      <c r="A2237" s="10" t="s">
        <v>575</v>
      </c>
      <c r="B2237" s="10" t="s">
        <v>358</v>
      </c>
      <c r="C2237" s="124">
        <v>46398</v>
      </c>
      <c r="D2237" s="124" t="s">
        <v>471</v>
      </c>
      <c r="E2237" s="21">
        <v>0.93729136999999996</v>
      </c>
      <c r="F2237" s="10"/>
      <c r="G2237" s="14">
        <v>2200000</v>
      </c>
      <c r="H2237" s="14">
        <v>2062041.01</v>
      </c>
      <c r="I2237" s="14">
        <v>2200000</v>
      </c>
      <c r="J2237" s="14">
        <v>2062041.01</v>
      </c>
      <c r="K2237" s="12">
        <v>6761</v>
      </c>
      <c r="L2237" s="10" t="s">
        <v>101</v>
      </c>
      <c r="M2237" s="10" t="s">
        <v>102</v>
      </c>
      <c r="N2237" s="124" t="s">
        <v>603</v>
      </c>
      <c r="O2237" s="124" t="s">
        <v>603</v>
      </c>
      <c r="P2237" s="21">
        <v>33</v>
      </c>
      <c r="Q2237" s="10" t="s">
        <v>54</v>
      </c>
      <c r="R2237" s="10" t="s">
        <v>28</v>
      </c>
      <c r="S2237" s="10"/>
      <c r="T2237" s="10"/>
      <c r="U2237" s="10" t="s">
        <v>2617</v>
      </c>
      <c r="V2237" s="10" t="s">
        <v>2617</v>
      </c>
      <c r="W2237" s="50">
        <f>+J2237/$W$2</f>
        <v>2.5236589462130244E-5</v>
      </c>
    </row>
    <row r="2238" spans="1:32">
      <c r="A2238" s="10" t="s">
        <v>3773</v>
      </c>
      <c r="B2238" s="10" t="s">
        <v>358</v>
      </c>
      <c r="C2238" s="124">
        <v>46398</v>
      </c>
      <c r="D2238" s="124" t="s">
        <v>471</v>
      </c>
      <c r="E2238" s="21">
        <v>0.93729138000000001</v>
      </c>
      <c r="F2238" s="10"/>
      <c r="G2238" s="14">
        <v>5850000</v>
      </c>
      <c r="H2238" s="14">
        <v>5483154.5599999996</v>
      </c>
      <c r="I2238" s="14">
        <v>5850000</v>
      </c>
      <c r="J2238" s="14">
        <v>5483154.5599999996</v>
      </c>
      <c r="K2238" s="12">
        <v>1395676</v>
      </c>
      <c r="L2238" s="10" t="s">
        <v>101</v>
      </c>
      <c r="M2238" s="10" t="s">
        <v>102</v>
      </c>
      <c r="N2238" s="124" t="s">
        <v>467</v>
      </c>
      <c r="O2238" s="124" t="s">
        <v>467</v>
      </c>
      <c r="P2238" s="21">
        <v>33</v>
      </c>
      <c r="Q2238" s="10" t="s">
        <v>54</v>
      </c>
      <c r="R2238" s="10" t="s">
        <v>28</v>
      </c>
      <c r="S2238" s="10"/>
      <c r="T2238" s="10"/>
      <c r="U2238" s="10" t="s">
        <v>3684</v>
      </c>
      <c r="V2238" s="10" t="s">
        <v>3684</v>
      </c>
      <c r="W2238" s="50">
        <f>+J2238/$W$2</f>
        <v>6.7106386302243033E-5</v>
      </c>
    </row>
    <row r="2239" spans="1:32">
      <c r="A2239" s="10" t="s">
        <v>574</v>
      </c>
      <c r="B2239" s="10" t="s">
        <v>358</v>
      </c>
      <c r="C2239" s="124">
        <v>46398</v>
      </c>
      <c r="D2239" s="124" t="s">
        <v>471</v>
      </c>
      <c r="E2239" s="21">
        <v>0.94266547999999994</v>
      </c>
      <c r="F2239" s="10"/>
      <c r="G2239" s="14">
        <v>50000000</v>
      </c>
      <c r="H2239" s="14">
        <v>47133274.100000001</v>
      </c>
      <c r="I2239" s="14">
        <v>50000000</v>
      </c>
      <c r="J2239" s="14">
        <v>47133274.100000001</v>
      </c>
      <c r="K2239" s="12">
        <v>90004401</v>
      </c>
      <c r="L2239" s="10" t="s">
        <v>101</v>
      </c>
      <c r="M2239" s="10" t="s">
        <v>102</v>
      </c>
      <c r="N2239" s="124" t="s">
        <v>471</v>
      </c>
      <c r="O2239" s="124" t="s">
        <v>471</v>
      </c>
      <c r="P2239" s="21">
        <v>30</v>
      </c>
      <c r="Q2239" s="10" t="s">
        <v>54</v>
      </c>
      <c r="R2239" s="10" t="s">
        <v>28</v>
      </c>
      <c r="S2239" s="10"/>
      <c r="T2239" s="10"/>
      <c r="U2239" s="10" t="s">
        <v>4124</v>
      </c>
      <c r="V2239" s="10" t="s">
        <v>4124</v>
      </c>
      <c r="W2239" s="50">
        <f>+J2239/$W$2</f>
        <v>5.7684744517654202E-4</v>
      </c>
    </row>
    <row r="2240" spans="1:32">
      <c r="A2240" s="10" t="s">
        <v>3325</v>
      </c>
      <c r="B2240" s="10" t="s">
        <v>358</v>
      </c>
      <c r="C2240" s="124">
        <v>46398</v>
      </c>
      <c r="D2240" s="124" t="s">
        <v>471</v>
      </c>
      <c r="E2240" s="21">
        <v>0.93729138000000001</v>
      </c>
      <c r="F2240" s="10"/>
      <c r="G2240" s="14">
        <v>1489016.95</v>
      </c>
      <c r="H2240" s="14">
        <v>1395642.76</v>
      </c>
      <c r="I2240" s="14">
        <v>1489016.95</v>
      </c>
      <c r="J2240" s="14">
        <v>1395642.76</v>
      </c>
      <c r="K2240" s="12">
        <v>90003558</v>
      </c>
      <c r="L2240" s="10" t="s">
        <v>101</v>
      </c>
      <c r="M2240" s="10" t="s">
        <v>102</v>
      </c>
      <c r="N2240" s="124" t="s">
        <v>467</v>
      </c>
      <c r="O2240" s="124" t="s">
        <v>467</v>
      </c>
      <c r="P2240" s="21">
        <v>33</v>
      </c>
      <c r="Q2240" s="10" t="s">
        <v>54</v>
      </c>
      <c r="R2240" s="10" t="s">
        <v>28</v>
      </c>
      <c r="S2240" s="10"/>
      <c r="T2240" s="10"/>
      <c r="U2240" s="10" t="s">
        <v>3692</v>
      </c>
      <c r="V2240" s="10" t="s">
        <v>3692</v>
      </c>
      <c r="W2240" s="50">
        <f>+J2240/$W$2</f>
        <v>1.7080777345894965E-5</v>
      </c>
    </row>
    <row r="2241" spans="1:23">
      <c r="A2241" s="10" t="s">
        <v>3771</v>
      </c>
      <c r="B2241" s="10" t="s">
        <v>358</v>
      </c>
      <c r="C2241" s="124">
        <v>46398</v>
      </c>
      <c r="D2241" s="124" t="s">
        <v>471</v>
      </c>
      <c r="E2241" s="21">
        <v>0.93729138000000001</v>
      </c>
      <c r="F2241" s="10"/>
      <c r="G2241" s="14">
        <v>3379667.13</v>
      </c>
      <c r="H2241" s="14">
        <v>3167732.88</v>
      </c>
      <c r="I2241" s="14">
        <v>3379667.13</v>
      </c>
      <c r="J2241" s="14">
        <v>3167732.88</v>
      </c>
      <c r="K2241" s="12">
        <v>40933530</v>
      </c>
      <c r="L2241" s="10" t="s">
        <v>101</v>
      </c>
      <c r="M2241" s="10" t="s">
        <v>102</v>
      </c>
      <c r="N2241" s="124" t="s">
        <v>467</v>
      </c>
      <c r="O2241" s="124" t="s">
        <v>467</v>
      </c>
      <c r="P2241" s="21">
        <v>33</v>
      </c>
      <c r="Q2241" s="10" t="s">
        <v>54</v>
      </c>
      <c r="R2241" s="10" t="s">
        <v>28</v>
      </c>
      <c r="S2241" s="10"/>
      <c r="T2241" s="10"/>
      <c r="U2241" s="10" t="s">
        <v>3697</v>
      </c>
      <c r="V2241" s="10" t="s">
        <v>3697</v>
      </c>
      <c r="W2241" s="50">
        <f>+J2241/$W$2</f>
        <v>3.8768760577778952E-5</v>
      </c>
    </row>
    <row r="2242" spans="1:23">
      <c r="A2242" s="10" t="s">
        <v>2678</v>
      </c>
      <c r="B2242" s="10" t="s">
        <v>358</v>
      </c>
      <c r="C2242" s="124">
        <v>46398</v>
      </c>
      <c r="D2242" s="124" t="s">
        <v>471</v>
      </c>
      <c r="E2242" s="21">
        <v>0.93729136999999996</v>
      </c>
      <c r="F2242" s="10"/>
      <c r="G2242" s="14">
        <v>7500000</v>
      </c>
      <c r="H2242" s="14">
        <v>7029685.2699999996</v>
      </c>
      <c r="I2242" s="14">
        <v>7500000</v>
      </c>
      <c r="J2242" s="14">
        <v>7029685.2699999996</v>
      </c>
      <c r="K2242" s="12">
        <v>70130558</v>
      </c>
      <c r="L2242" s="10" t="s">
        <v>101</v>
      </c>
      <c r="M2242" s="10" t="s">
        <v>102</v>
      </c>
      <c r="N2242" s="124" t="s">
        <v>603</v>
      </c>
      <c r="O2242" s="124" t="s">
        <v>603</v>
      </c>
      <c r="P2242" s="21">
        <v>33</v>
      </c>
      <c r="Q2242" s="10" t="s">
        <v>54</v>
      </c>
      <c r="R2242" s="10" t="s">
        <v>28</v>
      </c>
      <c r="S2242" s="10"/>
      <c r="T2242" s="10"/>
      <c r="U2242" s="10" t="s">
        <v>2628</v>
      </c>
      <c r="V2242" s="10" t="s">
        <v>2628</v>
      </c>
      <c r="W2242" s="50">
        <f>+J2242/$W$2</f>
        <v>8.6033827817505037E-5</v>
      </c>
    </row>
    <row r="2243" spans="1:23">
      <c r="A2243" s="10" t="s">
        <v>2016</v>
      </c>
      <c r="B2243" s="10" t="s">
        <v>358</v>
      </c>
      <c r="C2243" s="124">
        <v>46399</v>
      </c>
      <c r="D2243" s="124" t="s">
        <v>471</v>
      </c>
      <c r="E2243" s="21">
        <v>0.94376216999999996</v>
      </c>
      <c r="F2243" s="10"/>
      <c r="G2243" s="14">
        <v>11916548.66</v>
      </c>
      <c r="H2243" s="14">
        <v>11246387.77</v>
      </c>
      <c r="I2243" s="14">
        <v>11916548.66</v>
      </c>
      <c r="J2243" s="14">
        <v>11246387.77</v>
      </c>
      <c r="K2243" s="12">
        <v>22885</v>
      </c>
      <c r="L2243" s="10" t="s">
        <v>101</v>
      </c>
      <c r="M2243" s="10" t="s">
        <v>102</v>
      </c>
      <c r="N2243" s="124" t="s">
        <v>469</v>
      </c>
      <c r="O2243" s="124" t="s">
        <v>469</v>
      </c>
      <c r="P2243" s="21">
        <v>29</v>
      </c>
      <c r="Q2243" s="10" t="s">
        <v>54</v>
      </c>
      <c r="R2243" s="10" t="s">
        <v>28</v>
      </c>
      <c r="S2243" s="10"/>
      <c r="T2243" s="10"/>
      <c r="U2243" s="10" t="s">
        <v>3904</v>
      </c>
      <c r="V2243" s="10" t="s">
        <v>3904</v>
      </c>
      <c r="W2243" s="50">
        <f>+J2243/$W$2</f>
        <v>1.3764055598652349E-4</v>
      </c>
    </row>
    <row r="2244" spans="1:23">
      <c r="A2244" s="10" t="s">
        <v>379</v>
      </c>
      <c r="B2244" s="10" t="s">
        <v>358</v>
      </c>
      <c r="C2244" s="124">
        <v>46399</v>
      </c>
      <c r="D2244" s="124" t="s">
        <v>471</v>
      </c>
      <c r="E2244" s="21">
        <v>0.94193563999999996</v>
      </c>
      <c r="F2244" s="10"/>
      <c r="G2244" s="14">
        <v>25000000</v>
      </c>
      <c r="H2244" s="14">
        <v>23548391.109999999</v>
      </c>
      <c r="I2244" s="14">
        <v>25000000</v>
      </c>
      <c r="J2244" s="14">
        <v>23548391.109999999</v>
      </c>
      <c r="K2244" s="12">
        <v>69741520</v>
      </c>
      <c r="L2244" s="10" t="s">
        <v>101</v>
      </c>
      <c r="M2244" s="10" t="s">
        <v>102</v>
      </c>
      <c r="N2244" s="124" t="s">
        <v>397</v>
      </c>
      <c r="O2244" s="124" t="s">
        <v>397</v>
      </c>
      <c r="P2244" s="21">
        <v>30</v>
      </c>
      <c r="Q2244" s="10" t="s">
        <v>54</v>
      </c>
      <c r="R2244" s="10" t="s">
        <v>28</v>
      </c>
      <c r="S2244" s="10"/>
      <c r="T2244" s="10"/>
      <c r="U2244" s="10" t="s">
        <v>1836</v>
      </c>
      <c r="V2244" s="10" t="s">
        <v>1836</v>
      </c>
      <c r="W2244" s="50">
        <f>+J2244/$W$2</f>
        <v>2.882004169920692E-4</v>
      </c>
    </row>
    <row r="2245" spans="1:23">
      <c r="A2245" s="10" t="s">
        <v>443</v>
      </c>
      <c r="B2245" s="10" t="s">
        <v>358</v>
      </c>
      <c r="C2245" s="124">
        <v>46399</v>
      </c>
      <c r="D2245" s="124" t="s">
        <v>471</v>
      </c>
      <c r="E2245" s="21">
        <v>0.94559601000000004</v>
      </c>
      <c r="F2245" s="10"/>
      <c r="G2245" s="14">
        <v>7000000</v>
      </c>
      <c r="H2245" s="14">
        <v>6619172.0499999998</v>
      </c>
      <c r="I2245" s="14">
        <v>7000000</v>
      </c>
      <c r="J2245" s="14">
        <v>6619172.0499999998</v>
      </c>
      <c r="K2245" s="12">
        <v>6484</v>
      </c>
      <c r="L2245" s="10" t="s">
        <v>101</v>
      </c>
      <c r="M2245" s="10" t="s">
        <v>102</v>
      </c>
      <c r="N2245" s="124" t="s">
        <v>397</v>
      </c>
      <c r="O2245" s="124" t="s">
        <v>397</v>
      </c>
      <c r="P2245" s="21">
        <v>28</v>
      </c>
      <c r="Q2245" s="10" t="s">
        <v>54</v>
      </c>
      <c r="R2245" s="10" t="s">
        <v>28</v>
      </c>
      <c r="S2245" s="10"/>
      <c r="T2245" s="10"/>
      <c r="U2245" s="10" t="s">
        <v>1854</v>
      </c>
      <c r="V2245" s="10" t="s">
        <v>1854</v>
      </c>
      <c r="W2245" s="50">
        <f>+J2245/$W$2</f>
        <v>8.1009701938496867E-5</v>
      </c>
    </row>
    <row r="2246" spans="1:23">
      <c r="A2246" s="10" t="s">
        <v>2826</v>
      </c>
      <c r="B2246" s="10" t="s">
        <v>358</v>
      </c>
      <c r="C2246" s="124">
        <v>46399</v>
      </c>
      <c r="D2246" s="124" t="s">
        <v>471</v>
      </c>
      <c r="E2246" s="21">
        <v>0.93830353</v>
      </c>
      <c r="F2246" s="10"/>
      <c r="G2246" s="14">
        <v>5325299.2</v>
      </c>
      <c r="H2246" s="14">
        <v>4996747.03</v>
      </c>
      <c r="I2246" s="14">
        <v>5325299.2</v>
      </c>
      <c r="J2246" s="14">
        <v>4996747.03</v>
      </c>
      <c r="K2246" s="12">
        <v>52046621</v>
      </c>
      <c r="L2246" s="10" t="s">
        <v>101</v>
      </c>
      <c r="M2246" s="10" t="s">
        <v>102</v>
      </c>
      <c r="N2246" s="124" t="s">
        <v>412</v>
      </c>
      <c r="O2246" s="124" t="s">
        <v>440</v>
      </c>
      <c r="P2246" s="21">
        <v>32</v>
      </c>
      <c r="Q2246" s="10" t="s">
        <v>54</v>
      </c>
      <c r="R2246" s="10" t="s">
        <v>28</v>
      </c>
      <c r="S2246" s="10"/>
      <c r="T2246" s="10"/>
      <c r="U2246" s="10" t="s">
        <v>2780</v>
      </c>
      <c r="V2246" s="10" t="s">
        <v>2780</v>
      </c>
      <c r="W2246" s="50">
        <f>+J2246/$W$2</f>
        <v>6.1153416848013412E-5</v>
      </c>
    </row>
    <row r="2247" spans="1:23">
      <c r="A2247" s="10" t="s">
        <v>494</v>
      </c>
      <c r="B2247" s="10" t="s">
        <v>358</v>
      </c>
      <c r="C2247" s="124">
        <v>46399</v>
      </c>
      <c r="D2247" s="124" t="s">
        <v>471</v>
      </c>
      <c r="E2247" s="21">
        <v>0.94193559000000004</v>
      </c>
      <c r="F2247" s="10"/>
      <c r="G2247" s="14">
        <v>23167422.219999999</v>
      </c>
      <c r="H2247" s="14">
        <v>21822219.510000002</v>
      </c>
      <c r="I2247" s="14">
        <v>23167422.219999999</v>
      </c>
      <c r="J2247" s="14">
        <v>21822219.510000002</v>
      </c>
      <c r="K2247" s="12">
        <v>440</v>
      </c>
      <c r="L2247" s="10" t="s">
        <v>101</v>
      </c>
      <c r="M2247" s="10" t="s">
        <v>102</v>
      </c>
      <c r="N2247" s="124" t="s">
        <v>439</v>
      </c>
      <c r="O2247" s="124" t="s">
        <v>439</v>
      </c>
      <c r="P2247" s="21">
        <v>30</v>
      </c>
      <c r="Q2247" s="10" t="s">
        <v>54</v>
      </c>
      <c r="R2247" s="10" t="s">
        <v>28</v>
      </c>
      <c r="S2247" s="10"/>
      <c r="T2247" s="10"/>
      <c r="U2247" s="10" t="s">
        <v>2248</v>
      </c>
      <c r="V2247" s="10" t="s">
        <v>2248</v>
      </c>
      <c r="W2247" s="50">
        <f>+J2247/$W$2</f>
        <v>2.6707441426024748E-4</v>
      </c>
    </row>
    <row r="2248" spans="1:23">
      <c r="A2248" s="10" t="s">
        <v>141</v>
      </c>
      <c r="B2248" s="10" t="s">
        <v>358</v>
      </c>
      <c r="C2248" s="124">
        <v>46399</v>
      </c>
      <c r="D2248" s="124" t="s">
        <v>471</v>
      </c>
      <c r="E2248" s="21">
        <v>0.93649797999999995</v>
      </c>
      <c r="F2248" s="10"/>
      <c r="G2248" s="14">
        <v>22300000</v>
      </c>
      <c r="H2248" s="14">
        <v>20883904.879999999</v>
      </c>
      <c r="I2248" s="14">
        <v>22300000</v>
      </c>
      <c r="J2248" s="14">
        <v>20883904.879999999</v>
      </c>
      <c r="K2248" s="12">
        <v>391</v>
      </c>
      <c r="L2248" s="10" t="s">
        <v>101</v>
      </c>
      <c r="M2248" s="10" t="s">
        <v>102</v>
      </c>
      <c r="N2248" s="124" t="s">
        <v>465</v>
      </c>
      <c r="O2248" s="124" t="s">
        <v>465</v>
      </c>
      <c r="P2248" s="21">
        <v>33</v>
      </c>
      <c r="Q2248" s="10" t="s">
        <v>54</v>
      </c>
      <c r="R2248" s="10" t="s">
        <v>28</v>
      </c>
      <c r="S2248" s="10"/>
      <c r="T2248" s="10"/>
      <c r="U2248" s="10" t="s">
        <v>2972</v>
      </c>
      <c r="V2248" s="10" t="s">
        <v>2972</v>
      </c>
      <c r="W2248" s="50">
        <f>+J2248/$W$2</f>
        <v>2.5559071389309485E-4</v>
      </c>
    </row>
    <row r="2249" spans="1:23">
      <c r="A2249" s="10" t="s">
        <v>623</v>
      </c>
      <c r="B2249" s="10" t="s">
        <v>358</v>
      </c>
      <c r="C2249" s="124">
        <v>46399</v>
      </c>
      <c r="D2249" s="124" t="s">
        <v>471</v>
      </c>
      <c r="E2249" s="21">
        <v>0.93290742999999998</v>
      </c>
      <c r="F2249" s="10"/>
      <c r="G2249" s="14">
        <v>3000000</v>
      </c>
      <c r="H2249" s="14">
        <v>2798722.3</v>
      </c>
      <c r="I2249" s="14">
        <v>3000000</v>
      </c>
      <c r="J2249" s="14">
        <v>2798722.3</v>
      </c>
      <c r="K2249" s="12">
        <v>53</v>
      </c>
      <c r="L2249" s="10" t="s">
        <v>101</v>
      </c>
      <c r="M2249" s="10" t="s">
        <v>102</v>
      </c>
      <c r="N2249" s="124" t="s">
        <v>446</v>
      </c>
      <c r="O2249" s="124" t="s">
        <v>446</v>
      </c>
      <c r="P2249" s="21">
        <v>35</v>
      </c>
      <c r="Q2249" s="10" t="s">
        <v>54</v>
      </c>
      <c r="R2249" s="10" t="s">
        <v>28</v>
      </c>
      <c r="S2249" s="10"/>
      <c r="T2249" s="10"/>
      <c r="U2249" s="10" t="s">
        <v>3081</v>
      </c>
      <c r="V2249" s="10" t="s">
        <v>3081</v>
      </c>
      <c r="W2249" s="50">
        <f>+J2249/$W$2</f>
        <v>3.4252570807798296E-5</v>
      </c>
    </row>
    <row r="2250" spans="1:23">
      <c r="A2250" s="10" t="s">
        <v>623</v>
      </c>
      <c r="B2250" s="10" t="s">
        <v>358</v>
      </c>
      <c r="C2250" s="124">
        <v>46399</v>
      </c>
      <c r="D2250" s="124" t="s">
        <v>471</v>
      </c>
      <c r="E2250" s="21">
        <v>0.93649775999999996</v>
      </c>
      <c r="F2250" s="10"/>
      <c r="G2250" s="14">
        <v>2500000</v>
      </c>
      <c r="H2250" s="14">
        <v>2341244.41</v>
      </c>
      <c r="I2250" s="14">
        <v>2500000</v>
      </c>
      <c r="J2250" s="14">
        <v>2341244.41</v>
      </c>
      <c r="K2250" s="12">
        <v>43</v>
      </c>
      <c r="L2250" s="10" t="s">
        <v>101</v>
      </c>
      <c r="M2250" s="10" t="s">
        <v>102</v>
      </c>
      <c r="N2250" s="124" t="s">
        <v>508</v>
      </c>
      <c r="O2250" s="124" t="s">
        <v>508</v>
      </c>
      <c r="P2250" s="21">
        <v>33</v>
      </c>
      <c r="Q2250" s="10" t="s">
        <v>54</v>
      </c>
      <c r="R2250" s="10" t="s">
        <v>28</v>
      </c>
      <c r="S2250" s="10"/>
      <c r="T2250" s="10"/>
      <c r="U2250" s="10" t="s">
        <v>3011</v>
      </c>
      <c r="V2250" s="10" t="s">
        <v>3011</v>
      </c>
      <c r="W2250" s="50">
        <f>+J2250/$W$2</f>
        <v>2.8653660969467017E-5</v>
      </c>
    </row>
    <row r="2251" spans="1:23">
      <c r="A2251" s="10" t="s">
        <v>574</v>
      </c>
      <c r="B2251" s="10" t="s">
        <v>358</v>
      </c>
      <c r="C2251" s="124">
        <v>46399</v>
      </c>
      <c r="D2251" s="124" t="s">
        <v>471</v>
      </c>
      <c r="E2251" s="21">
        <v>0.94193561000000003</v>
      </c>
      <c r="F2251" s="10"/>
      <c r="G2251" s="14">
        <v>150000000</v>
      </c>
      <c r="H2251" s="14">
        <v>141290342</v>
      </c>
      <c r="I2251" s="14">
        <v>150000000</v>
      </c>
      <c r="J2251" s="14">
        <v>141290342</v>
      </c>
      <c r="K2251" s="12">
        <v>90004378</v>
      </c>
      <c r="L2251" s="10" t="s">
        <v>101</v>
      </c>
      <c r="M2251" s="10" t="s">
        <v>102</v>
      </c>
      <c r="N2251" s="124" t="s">
        <v>466</v>
      </c>
      <c r="O2251" s="124" t="s">
        <v>466</v>
      </c>
      <c r="P2251" s="21">
        <v>30</v>
      </c>
      <c r="Q2251" s="10" t="s">
        <v>54</v>
      </c>
      <c r="R2251" s="10" t="s">
        <v>28</v>
      </c>
      <c r="S2251" s="10"/>
      <c r="T2251" s="10"/>
      <c r="U2251" s="10" t="s">
        <v>3608</v>
      </c>
      <c r="V2251" s="10" t="s">
        <v>3608</v>
      </c>
      <c r="W2251" s="50">
        <f>+J2251/$W$2</f>
        <v>1.7292024449203261E-3</v>
      </c>
    </row>
    <row r="2252" spans="1:23">
      <c r="A2252" s="10" t="s">
        <v>574</v>
      </c>
      <c r="B2252" s="10" t="s">
        <v>358</v>
      </c>
      <c r="C2252" s="124">
        <v>46399</v>
      </c>
      <c r="D2252" s="124" t="s">
        <v>471</v>
      </c>
      <c r="E2252" s="21">
        <v>0.94193548999999999</v>
      </c>
      <c r="F2252" s="10"/>
      <c r="G2252" s="14">
        <v>15000000</v>
      </c>
      <c r="H2252" s="14">
        <v>14129032.369999999</v>
      </c>
      <c r="I2252" s="14">
        <v>15000000</v>
      </c>
      <c r="J2252" s="14">
        <v>14129032.369999999</v>
      </c>
      <c r="K2252" s="12">
        <v>90004197</v>
      </c>
      <c r="L2252" s="10" t="s">
        <v>101</v>
      </c>
      <c r="M2252" s="10" t="s">
        <v>102</v>
      </c>
      <c r="N2252" s="124" t="s">
        <v>408</v>
      </c>
      <c r="O2252" s="124" t="s">
        <v>408</v>
      </c>
      <c r="P2252" s="21">
        <v>30</v>
      </c>
      <c r="Q2252" s="10" t="s">
        <v>54</v>
      </c>
      <c r="R2252" s="10" t="s">
        <v>28</v>
      </c>
      <c r="S2252" s="10"/>
      <c r="T2252" s="10"/>
      <c r="U2252" s="10" t="s">
        <v>2028</v>
      </c>
      <c r="V2252" s="10" t="s">
        <v>2028</v>
      </c>
      <c r="W2252" s="50">
        <f>+J2252/$W$2</f>
        <v>1.7292022209531086E-4</v>
      </c>
    </row>
    <row r="2253" spans="1:23">
      <c r="A2253" s="10" t="s">
        <v>362</v>
      </c>
      <c r="B2253" s="10" t="s">
        <v>358</v>
      </c>
      <c r="C2253" s="124">
        <v>46399</v>
      </c>
      <c r="D2253" s="124" t="s">
        <v>471</v>
      </c>
      <c r="E2253" s="21">
        <v>0.93649795000000002</v>
      </c>
      <c r="F2253" s="10"/>
      <c r="G2253" s="14">
        <v>12000000</v>
      </c>
      <c r="H2253" s="14">
        <v>11237975.369999999</v>
      </c>
      <c r="I2253" s="14">
        <v>12000000</v>
      </c>
      <c r="J2253" s="14">
        <v>11237975.369999999</v>
      </c>
      <c r="K2253" s="12">
        <v>4341</v>
      </c>
      <c r="L2253" s="10" t="s">
        <v>101</v>
      </c>
      <c r="M2253" s="10" t="s">
        <v>102</v>
      </c>
      <c r="N2253" s="124" t="s">
        <v>412</v>
      </c>
      <c r="O2253" s="124" t="s">
        <v>412</v>
      </c>
      <c r="P2253" s="21">
        <v>33</v>
      </c>
      <c r="Q2253" s="10" t="s">
        <v>54</v>
      </c>
      <c r="R2253" s="10" t="s">
        <v>28</v>
      </c>
      <c r="S2253" s="10"/>
      <c r="T2253" s="10"/>
      <c r="U2253" s="10" t="s">
        <v>2798</v>
      </c>
      <c r="V2253" s="10" t="s">
        <v>2798</v>
      </c>
      <c r="W2253" s="50">
        <f>+J2253/$W$2</f>
        <v>1.3753759960293961E-4</v>
      </c>
    </row>
    <row r="2254" spans="1:23">
      <c r="A2254" s="10" t="s">
        <v>433</v>
      </c>
      <c r="B2254" s="10" t="s">
        <v>358</v>
      </c>
      <c r="C2254" s="124">
        <v>46399</v>
      </c>
      <c r="D2254" s="124" t="s">
        <v>471</v>
      </c>
      <c r="E2254" s="21">
        <v>0.93649791999999998</v>
      </c>
      <c r="F2254" s="10"/>
      <c r="G2254" s="14">
        <v>12500000</v>
      </c>
      <c r="H2254" s="14">
        <v>11706223.99</v>
      </c>
      <c r="I2254" s="14">
        <v>12500000</v>
      </c>
      <c r="J2254" s="14">
        <v>11706223.99</v>
      </c>
      <c r="K2254" s="12">
        <v>14651828</v>
      </c>
      <c r="L2254" s="10" t="s">
        <v>101</v>
      </c>
      <c r="M2254" s="10" t="s">
        <v>102</v>
      </c>
      <c r="N2254" s="124" t="s">
        <v>603</v>
      </c>
      <c r="O2254" s="124" t="s">
        <v>603</v>
      </c>
      <c r="P2254" s="21">
        <v>33</v>
      </c>
      <c r="Q2254" s="10" t="s">
        <v>54</v>
      </c>
      <c r="R2254" s="10" t="s">
        <v>28</v>
      </c>
      <c r="S2254" s="10"/>
      <c r="T2254" s="10"/>
      <c r="U2254" s="10" t="s">
        <v>2659</v>
      </c>
      <c r="V2254" s="10" t="s">
        <v>2659</v>
      </c>
      <c r="W2254" s="50">
        <f>+J2254/$W$2</f>
        <v>1.4326832859030785E-4</v>
      </c>
    </row>
    <row r="2255" spans="1:23">
      <c r="A2255" s="10" t="s">
        <v>433</v>
      </c>
      <c r="B2255" s="10" t="s">
        <v>358</v>
      </c>
      <c r="C2255" s="124">
        <v>46399</v>
      </c>
      <c r="D2255" s="124" t="s">
        <v>471</v>
      </c>
      <c r="E2255" s="21">
        <v>0.93830351000000001</v>
      </c>
      <c r="F2255" s="10"/>
      <c r="G2255" s="14">
        <v>10000000</v>
      </c>
      <c r="H2255" s="14">
        <v>9383035.1199999992</v>
      </c>
      <c r="I2255" s="14">
        <v>10000000</v>
      </c>
      <c r="J2255" s="14">
        <v>9383035.1199999992</v>
      </c>
      <c r="K2255" s="12">
        <v>14725220</v>
      </c>
      <c r="L2255" s="10" t="s">
        <v>101</v>
      </c>
      <c r="M2255" s="10" t="s">
        <v>102</v>
      </c>
      <c r="N2255" s="124" t="s">
        <v>468</v>
      </c>
      <c r="O2255" s="124" t="s">
        <v>468</v>
      </c>
      <c r="P2255" s="21">
        <v>32</v>
      </c>
      <c r="Q2255" s="10" t="s">
        <v>54</v>
      </c>
      <c r="R2255" s="10" t="s">
        <v>28</v>
      </c>
      <c r="S2255" s="10"/>
      <c r="T2255" s="10"/>
      <c r="U2255" s="10" t="s">
        <v>3805</v>
      </c>
      <c r="V2255" s="10" t="s">
        <v>3805</v>
      </c>
      <c r="W2255" s="50">
        <f>+J2255/$W$2</f>
        <v>1.1483564297889011E-4</v>
      </c>
    </row>
    <row r="2256" spans="1:23">
      <c r="A2256" s="10" t="s">
        <v>3590</v>
      </c>
      <c r="B2256" s="10" t="s">
        <v>358</v>
      </c>
      <c r="C2256" s="124">
        <v>46399</v>
      </c>
      <c r="D2256" s="124" t="s">
        <v>471</v>
      </c>
      <c r="E2256" s="21">
        <v>0.94193554999999995</v>
      </c>
      <c r="F2256" s="10"/>
      <c r="G2256" s="14">
        <v>2134101769.0799999</v>
      </c>
      <c r="H2256" s="14">
        <v>2010186314.8599999</v>
      </c>
      <c r="I2256" s="14">
        <v>2134101769.0799999</v>
      </c>
      <c r="J2256" s="14">
        <v>2010186314.8599999</v>
      </c>
      <c r="K2256" s="12">
        <v>436</v>
      </c>
      <c r="L2256" s="10" t="s">
        <v>101</v>
      </c>
      <c r="M2256" s="10" t="s">
        <v>102</v>
      </c>
      <c r="N2256" s="124" t="s">
        <v>451</v>
      </c>
      <c r="O2256" s="124" t="s">
        <v>451</v>
      </c>
      <c r="P2256" s="21">
        <v>30</v>
      </c>
      <c r="Q2256" s="10" t="s">
        <v>54</v>
      </c>
      <c r="R2256" s="10" t="s">
        <v>28</v>
      </c>
      <c r="S2256" s="10"/>
      <c r="T2256" s="10"/>
      <c r="U2256" s="10" t="s">
        <v>3544</v>
      </c>
      <c r="V2256" s="10" t="s">
        <v>3544</v>
      </c>
      <c r="W2256" s="50">
        <f>+J2256/$W$2</f>
        <v>2.460195821736557E-2</v>
      </c>
    </row>
    <row r="2257" spans="1:29">
      <c r="A2257" s="10" t="s">
        <v>217</v>
      </c>
      <c r="B2257" s="10" t="s">
        <v>358</v>
      </c>
      <c r="C2257" s="124">
        <v>46399</v>
      </c>
      <c r="D2257" s="124" t="s">
        <v>471</v>
      </c>
      <c r="E2257" s="21">
        <v>0.94193572000000003</v>
      </c>
      <c r="F2257" s="10"/>
      <c r="G2257" s="14">
        <v>50000000</v>
      </c>
      <c r="H2257" s="14">
        <v>47096785.960000001</v>
      </c>
      <c r="I2257" s="14">
        <v>50000000</v>
      </c>
      <c r="J2257" s="14">
        <v>47096785.960000001</v>
      </c>
      <c r="K2257" s="12">
        <v>5505</v>
      </c>
      <c r="L2257" s="10" t="s">
        <v>101</v>
      </c>
      <c r="M2257" s="10" t="s">
        <v>102</v>
      </c>
      <c r="N2257" s="124" t="s">
        <v>474</v>
      </c>
      <c r="O2257" s="124" t="s">
        <v>474</v>
      </c>
      <c r="P2257" s="21">
        <v>30</v>
      </c>
      <c r="Q2257" s="10" t="s">
        <v>54</v>
      </c>
      <c r="R2257" s="10" t="s">
        <v>28</v>
      </c>
      <c r="S2257" s="10"/>
      <c r="T2257" s="10"/>
      <c r="U2257" s="10" t="s">
        <v>3878</v>
      </c>
      <c r="V2257" s="10" t="s">
        <v>3878</v>
      </c>
      <c r="W2257" s="50">
        <f>+J2257/$W$2</f>
        <v>5.7640087975667357E-4</v>
      </c>
    </row>
    <row r="2258" spans="1:29">
      <c r="A2258" s="10" t="s">
        <v>2822</v>
      </c>
      <c r="B2258" s="10" t="s">
        <v>358</v>
      </c>
      <c r="C2258" s="124">
        <v>46399</v>
      </c>
      <c r="D2258" s="124" t="s">
        <v>471</v>
      </c>
      <c r="E2258" s="21">
        <v>0.93830354000000005</v>
      </c>
      <c r="F2258" s="10"/>
      <c r="G2258" s="14">
        <v>1858362</v>
      </c>
      <c r="H2258" s="14">
        <v>1743707.64</v>
      </c>
      <c r="I2258" s="14">
        <v>1858362</v>
      </c>
      <c r="J2258" s="14">
        <v>1743707.64</v>
      </c>
      <c r="K2258" s="12">
        <v>1488</v>
      </c>
      <c r="L2258" s="10" t="s">
        <v>101</v>
      </c>
      <c r="M2258" s="10" t="s">
        <v>102</v>
      </c>
      <c r="N2258" s="124" t="s">
        <v>412</v>
      </c>
      <c r="O2258" s="124" t="s">
        <v>412</v>
      </c>
      <c r="P2258" s="21">
        <v>32</v>
      </c>
      <c r="Q2258" s="10" t="s">
        <v>54</v>
      </c>
      <c r="R2258" s="10" t="s">
        <v>28</v>
      </c>
      <c r="S2258" s="10"/>
      <c r="T2258" s="10"/>
      <c r="U2258" s="10" t="s">
        <v>2768</v>
      </c>
      <c r="V2258" s="10" t="s">
        <v>2768</v>
      </c>
      <c r="W2258" s="50">
        <f>+J2258/$W$2</f>
        <v>2.1340620113399197E-5</v>
      </c>
    </row>
    <row r="2259" spans="1:29">
      <c r="A2259" s="10" t="s">
        <v>271</v>
      </c>
      <c r="B2259" s="10" t="s">
        <v>358</v>
      </c>
      <c r="C2259" s="124">
        <v>46399</v>
      </c>
      <c r="D2259" s="124" t="s">
        <v>471</v>
      </c>
      <c r="E2259" s="21">
        <v>0.93830338000000002</v>
      </c>
      <c r="F2259" s="10"/>
      <c r="G2259" s="14">
        <v>15000000</v>
      </c>
      <c r="H2259" s="14">
        <v>14074550.640000001</v>
      </c>
      <c r="I2259" s="14">
        <v>15000000</v>
      </c>
      <c r="J2259" s="14">
        <v>14074550.640000001</v>
      </c>
      <c r="K2259" s="12">
        <v>2202</v>
      </c>
      <c r="L2259" s="10" t="s">
        <v>101</v>
      </c>
      <c r="M2259" s="10" t="s">
        <v>102</v>
      </c>
      <c r="N2259" s="124" t="s">
        <v>486</v>
      </c>
      <c r="O2259" s="124" t="s">
        <v>486</v>
      </c>
      <c r="P2259" s="21">
        <v>32</v>
      </c>
      <c r="Q2259" s="10" t="s">
        <v>54</v>
      </c>
      <c r="R2259" s="10" t="s">
        <v>28</v>
      </c>
      <c r="S2259" s="10"/>
      <c r="T2259" s="10"/>
      <c r="U2259" s="10" t="s">
        <v>1434</v>
      </c>
      <c r="V2259" s="10" t="s">
        <v>1434</v>
      </c>
      <c r="W2259" s="50">
        <f>+J2259/$W$2</f>
        <v>1.7225343950149784E-4</v>
      </c>
    </row>
    <row r="2260" spans="1:29">
      <c r="A2260" s="10" t="s">
        <v>622</v>
      </c>
      <c r="B2260" s="10" t="s">
        <v>358</v>
      </c>
      <c r="C2260" s="124">
        <v>46399</v>
      </c>
      <c r="D2260" s="124" t="s">
        <v>471</v>
      </c>
      <c r="E2260" s="21">
        <v>0.94559590999999998</v>
      </c>
      <c r="F2260" s="10"/>
      <c r="G2260" s="14">
        <v>71389290</v>
      </c>
      <c r="H2260" s="14">
        <v>67505420.640000001</v>
      </c>
      <c r="I2260" s="14">
        <v>71389290</v>
      </c>
      <c r="J2260" s="14">
        <v>67505420.640000001</v>
      </c>
      <c r="K2260" s="12">
        <v>155356</v>
      </c>
      <c r="L2260" s="10" t="s">
        <v>101</v>
      </c>
      <c r="M2260" s="10" t="s">
        <v>102</v>
      </c>
      <c r="N2260" s="124" t="s">
        <v>297</v>
      </c>
      <c r="O2260" s="124" t="s">
        <v>297</v>
      </c>
      <c r="P2260" s="21">
        <v>28</v>
      </c>
      <c r="Q2260" s="10" t="s">
        <v>54</v>
      </c>
      <c r="R2260" s="10" t="s">
        <v>28</v>
      </c>
      <c r="S2260" s="10"/>
      <c r="T2260" s="10"/>
      <c r="U2260" s="10" t="s">
        <v>617</v>
      </c>
      <c r="V2260" s="10" t="s">
        <v>617</v>
      </c>
      <c r="W2260" s="50">
        <f>+J2260/$W$2</f>
        <v>8.2617493003211105E-4</v>
      </c>
    </row>
    <row r="2261" spans="1:29">
      <c r="A2261" s="10" t="s">
        <v>967</v>
      </c>
      <c r="B2261" s="10" t="s">
        <v>358</v>
      </c>
      <c r="C2261" s="124">
        <v>46399</v>
      </c>
      <c r="D2261" s="124" t="s">
        <v>471</v>
      </c>
      <c r="E2261" s="21">
        <v>0.93290739</v>
      </c>
      <c r="F2261" s="10"/>
      <c r="G2261" s="14">
        <v>25000000</v>
      </c>
      <c r="H2261" s="14">
        <v>23322684.780000001</v>
      </c>
      <c r="I2261" s="14">
        <v>25000000</v>
      </c>
      <c r="J2261" s="14">
        <v>23322684.780000001</v>
      </c>
      <c r="K2261" s="12">
        <v>380</v>
      </c>
      <c r="L2261" s="10" t="s">
        <v>101</v>
      </c>
      <c r="M2261" s="10" t="s">
        <v>102</v>
      </c>
      <c r="N2261" s="124" t="s">
        <v>449</v>
      </c>
      <c r="O2261" s="124" t="s">
        <v>449</v>
      </c>
      <c r="P2261" s="21">
        <v>35</v>
      </c>
      <c r="Q2261" s="10" t="s">
        <v>54</v>
      </c>
      <c r="R2261" s="10" t="s">
        <v>28</v>
      </c>
      <c r="S2261" s="10"/>
      <c r="T2261" s="10"/>
      <c r="U2261" s="10" t="s">
        <v>1969</v>
      </c>
      <c r="V2261" s="10" t="s">
        <v>1969</v>
      </c>
      <c r="W2261" s="50">
        <f>+J2261/$W$2</f>
        <v>2.8543807717361228E-4</v>
      </c>
    </row>
    <row r="2262" spans="1:29">
      <c r="A2262" s="10" t="s">
        <v>2744</v>
      </c>
      <c r="B2262" s="10" t="s">
        <v>358</v>
      </c>
      <c r="C2262" s="124">
        <v>46399</v>
      </c>
      <c r="D2262" s="124" t="s">
        <v>471</v>
      </c>
      <c r="E2262" s="21">
        <v>0.93830334999999998</v>
      </c>
      <c r="F2262" s="10"/>
      <c r="G2262" s="14">
        <v>1131607.5</v>
      </c>
      <c r="H2262" s="14">
        <v>1061791.1100000001</v>
      </c>
      <c r="I2262" s="14">
        <v>1131607.5</v>
      </c>
      <c r="J2262" s="14">
        <v>1061791.1100000001</v>
      </c>
      <c r="K2262" s="12">
        <v>69943698</v>
      </c>
      <c r="L2262" s="10" t="s">
        <v>101</v>
      </c>
      <c r="M2262" s="10" t="s">
        <v>102</v>
      </c>
      <c r="N2262" s="124" t="s">
        <v>440</v>
      </c>
      <c r="O2262" s="124" t="s">
        <v>440</v>
      </c>
      <c r="P2262" s="21">
        <v>32</v>
      </c>
      <c r="Q2262" s="10" t="s">
        <v>54</v>
      </c>
      <c r="R2262" s="10" t="s">
        <v>28</v>
      </c>
      <c r="S2262" s="10"/>
      <c r="T2262" s="10"/>
      <c r="U2262" s="10" t="s">
        <v>2713</v>
      </c>
      <c r="V2262" s="10" t="s">
        <v>2713</v>
      </c>
      <c r="W2262" s="50">
        <f>+J2262/$W$2</f>
        <v>1.2994885265453367E-5</v>
      </c>
    </row>
    <row r="2263" spans="1:29">
      <c r="A2263" s="10" t="s">
        <v>2016</v>
      </c>
      <c r="B2263" s="10" t="s">
        <v>358</v>
      </c>
      <c r="C2263" s="124">
        <v>46400</v>
      </c>
      <c r="D2263" s="124" t="s">
        <v>471</v>
      </c>
      <c r="E2263" s="21">
        <v>0.94864331999999996</v>
      </c>
      <c r="F2263" s="10"/>
      <c r="G2263" s="14">
        <v>3729055.13</v>
      </c>
      <c r="H2263" s="14">
        <v>3537543.24</v>
      </c>
      <c r="I2263" s="14">
        <v>3729055.13</v>
      </c>
      <c r="J2263" s="14">
        <v>3537543.24</v>
      </c>
      <c r="K2263" s="12">
        <v>3032</v>
      </c>
      <c r="L2263" s="10" t="s">
        <v>101</v>
      </c>
      <c r="M2263" s="10" t="s">
        <v>102</v>
      </c>
      <c r="N2263" s="124" t="s">
        <v>478</v>
      </c>
      <c r="O2263" s="124" t="s">
        <v>478</v>
      </c>
      <c r="P2263" s="21">
        <v>26</v>
      </c>
      <c r="Q2263" s="10" t="s">
        <v>54</v>
      </c>
      <c r="R2263" s="10" t="s">
        <v>28</v>
      </c>
      <c r="S2263" s="10"/>
      <c r="T2263" s="10"/>
      <c r="U2263" s="10" t="s">
        <v>2094</v>
      </c>
      <c r="V2263" s="10" t="s">
        <v>2094</v>
      </c>
      <c r="W2263" s="50">
        <f>+J2263/$W$2</f>
        <v>4.3294738571864816E-5</v>
      </c>
    </row>
    <row r="2264" spans="1:29">
      <c r="A2264" s="10" t="s">
        <v>2016</v>
      </c>
      <c r="B2264" s="10" t="s">
        <v>358</v>
      </c>
      <c r="C2264" s="124">
        <v>46400</v>
      </c>
      <c r="D2264" s="124" t="s">
        <v>471</v>
      </c>
      <c r="E2264" s="21">
        <v>0.94305521000000003</v>
      </c>
      <c r="F2264" s="10"/>
      <c r="G2264" s="14">
        <v>11916548.66</v>
      </c>
      <c r="H2264" s="14">
        <v>11237963.310000001</v>
      </c>
      <c r="I2264" s="14">
        <v>11916548.66</v>
      </c>
      <c r="J2264" s="14">
        <v>11237963.310000001</v>
      </c>
      <c r="K2264" s="12">
        <v>22886</v>
      </c>
      <c r="L2264" s="10" t="s">
        <v>101</v>
      </c>
      <c r="M2264" s="10" t="s">
        <v>102</v>
      </c>
      <c r="N2264" s="124" t="s">
        <v>469</v>
      </c>
      <c r="O2264" s="124" t="s">
        <v>469</v>
      </c>
      <c r="P2264" s="21">
        <v>29</v>
      </c>
      <c r="Q2264" s="10" t="s">
        <v>54</v>
      </c>
      <c r="R2264" s="10" t="s">
        <v>28</v>
      </c>
      <c r="S2264" s="10"/>
      <c r="T2264" s="10"/>
      <c r="U2264" s="10" t="s">
        <v>3905</v>
      </c>
      <c r="V2264" s="10" t="s">
        <v>3905</v>
      </c>
      <c r="W2264" s="50">
        <f>+J2264/$W$2</f>
        <v>1.3753745200487179E-4</v>
      </c>
    </row>
    <row r="2265" spans="1:29">
      <c r="A2265" s="10" t="s">
        <v>1753</v>
      </c>
      <c r="B2265" s="10" t="s">
        <v>358</v>
      </c>
      <c r="C2265" s="124">
        <v>46400</v>
      </c>
      <c r="D2265" s="124" t="s">
        <v>471</v>
      </c>
      <c r="E2265" s="21">
        <v>0.93753213000000002</v>
      </c>
      <c r="F2265" s="10"/>
      <c r="G2265" s="14">
        <v>1102078.1599999999</v>
      </c>
      <c r="H2265" s="14">
        <v>1033233.68</v>
      </c>
      <c r="I2265" s="14">
        <v>1102078.1599999999</v>
      </c>
      <c r="J2265" s="14">
        <v>1033233.68</v>
      </c>
      <c r="K2265" s="12">
        <v>717</v>
      </c>
      <c r="L2265" s="10" t="s">
        <v>101</v>
      </c>
      <c r="M2265" s="10" t="s">
        <v>102</v>
      </c>
      <c r="N2265" s="124" t="s">
        <v>398</v>
      </c>
      <c r="O2265" s="124" t="s">
        <v>398</v>
      </c>
      <c r="P2265" s="21">
        <v>32</v>
      </c>
      <c r="Q2265" s="10" t="s">
        <v>54</v>
      </c>
      <c r="R2265" s="10" t="s">
        <v>28</v>
      </c>
      <c r="S2265" s="10"/>
      <c r="T2265" s="10"/>
      <c r="U2265" s="10" t="s">
        <v>1702</v>
      </c>
      <c r="V2265" s="10" t="s">
        <v>1702</v>
      </c>
      <c r="W2265" s="50">
        <f>+J2265/$W$2</f>
        <v>1.2645380995893022E-5</v>
      </c>
    </row>
    <row r="2266" spans="1:29">
      <c r="A2266" s="10" t="s">
        <v>1754</v>
      </c>
      <c r="B2266" s="10" t="s">
        <v>358</v>
      </c>
      <c r="C2266" s="124">
        <v>46400</v>
      </c>
      <c r="D2266" s="124" t="s">
        <v>471</v>
      </c>
      <c r="E2266" s="21">
        <v>0.93753213000000002</v>
      </c>
      <c r="F2266" s="10"/>
      <c r="G2266" s="14">
        <v>8123170.71</v>
      </c>
      <c r="H2266" s="14">
        <v>7615733.5300000003</v>
      </c>
      <c r="I2266" s="14">
        <v>8123170.71</v>
      </c>
      <c r="J2266" s="14">
        <v>7615733.5300000003</v>
      </c>
      <c r="K2266" s="12">
        <v>11246</v>
      </c>
      <c r="L2266" s="10" t="s">
        <v>101</v>
      </c>
      <c r="M2266" s="10" t="s">
        <v>102</v>
      </c>
      <c r="N2266" s="124" t="s">
        <v>398</v>
      </c>
      <c r="O2266" s="124" t="s">
        <v>398</v>
      </c>
      <c r="P2266" s="21">
        <v>32</v>
      </c>
      <c r="Q2266" s="10" t="s">
        <v>54</v>
      </c>
      <c r="R2266" s="10" t="s">
        <v>28</v>
      </c>
      <c r="S2266" s="10"/>
      <c r="T2266" s="10"/>
      <c r="U2266" s="10" t="s">
        <v>1708</v>
      </c>
      <c r="V2266" s="10" t="s">
        <v>1708</v>
      </c>
      <c r="W2266" s="50">
        <f>+J2266/$W$2</f>
        <v>9.3206264869382966E-5</v>
      </c>
      <c r="AB2266" s="43"/>
      <c r="AC2266" s="47"/>
    </row>
    <row r="2267" spans="1:29">
      <c r="A2267" s="10" t="s">
        <v>1755</v>
      </c>
      <c r="B2267" s="10" t="s">
        <v>358</v>
      </c>
      <c r="C2267" s="124">
        <v>46400</v>
      </c>
      <c r="D2267" s="124" t="s">
        <v>471</v>
      </c>
      <c r="E2267" s="21">
        <v>0.93753213999999996</v>
      </c>
      <c r="F2267" s="10"/>
      <c r="G2267" s="14">
        <v>1129854.56</v>
      </c>
      <c r="H2267" s="14">
        <v>1059274.96</v>
      </c>
      <c r="I2267" s="14">
        <v>1129854.56</v>
      </c>
      <c r="J2267" s="14">
        <v>1059274.96</v>
      </c>
      <c r="K2267" s="12">
        <v>1023</v>
      </c>
      <c r="L2267" s="10" t="s">
        <v>101</v>
      </c>
      <c r="M2267" s="10" t="s">
        <v>102</v>
      </c>
      <c r="N2267" s="124" t="s">
        <v>398</v>
      </c>
      <c r="O2267" s="124" t="s">
        <v>398</v>
      </c>
      <c r="P2267" s="21">
        <v>32</v>
      </c>
      <c r="Q2267" s="10" t="s">
        <v>54</v>
      </c>
      <c r="R2267" s="10" t="s">
        <v>28</v>
      </c>
      <c r="S2267" s="10"/>
      <c r="T2267" s="10"/>
      <c r="U2267" s="10" t="s">
        <v>1712</v>
      </c>
      <c r="V2267" s="10" t="s">
        <v>1712</v>
      </c>
      <c r="W2267" s="50">
        <f>+J2267/$W$2</f>
        <v>1.2964090996926601E-5</v>
      </c>
    </row>
    <row r="2268" spans="1:29">
      <c r="A2268" s="10" t="s">
        <v>494</v>
      </c>
      <c r="B2268" s="10" t="s">
        <v>358</v>
      </c>
      <c r="C2268" s="124">
        <v>46400</v>
      </c>
      <c r="D2268" s="124" t="s">
        <v>471</v>
      </c>
      <c r="E2268" s="21">
        <v>0.94305505000000001</v>
      </c>
      <c r="F2268" s="10"/>
      <c r="G2268" s="14">
        <v>14000000</v>
      </c>
      <c r="H2268" s="14">
        <v>13202770.699999999</v>
      </c>
      <c r="I2268" s="14">
        <v>14000000</v>
      </c>
      <c r="J2268" s="14">
        <v>13202770.699999999</v>
      </c>
      <c r="K2268" s="12">
        <v>121</v>
      </c>
      <c r="L2268" s="10" t="s">
        <v>101</v>
      </c>
      <c r="M2268" s="10" t="s">
        <v>102</v>
      </c>
      <c r="N2268" s="124" t="s">
        <v>369</v>
      </c>
      <c r="O2268" s="124" t="s">
        <v>369</v>
      </c>
      <c r="P2268" s="21">
        <v>29</v>
      </c>
      <c r="Q2268" s="10" t="s">
        <v>54</v>
      </c>
      <c r="R2268" s="10" t="s">
        <v>28</v>
      </c>
      <c r="S2268" s="10"/>
      <c r="T2268" s="10"/>
      <c r="U2268" s="10" t="s">
        <v>660</v>
      </c>
      <c r="V2268" s="10" t="s">
        <v>660</v>
      </c>
      <c r="W2268" s="50">
        <f>+J2268/$W$2</f>
        <v>1.6158403363594691E-4</v>
      </c>
    </row>
    <row r="2269" spans="1:29">
      <c r="A2269" s="10" t="s">
        <v>443</v>
      </c>
      <c r="B2269" s="10" t="s">
        <v>358</v>
      </c>
      <c r="C2269" s="124">
        <v>46400</v>
      </c>
      <c r="D2269" s="124" t="s">
        <v>471</v>
      </c>
      <c r="E2269" s="21">
        <v>0.94120683999999999</v>
      </c>
      <c r="F2269" s="10"/>
      <c r="G2269" s="14">
        <v>15000000</v>
      </c>
      <c r="H2269" s="14">
        <v>14118102.529999999</v>
      </c>
      <c r="I2269" s="14">
        <v>15000000</v>
      </c>
      <c r="J2269" s="14">
        <v>14118102.529999999</v>
      </c>
      <c r="K2269" s="12">
        <v>90000067</v>
      </c>
      <c r="L2269" s="10" t="s">
        <v>101</v>
      </c>
      <c r="M2269" s="10" t="s">
        <v>102</v>
      </c>
      <c r="N2269" s="124" t="s">
        <v>331</v>
      </c>
      <c r="O2269" s="124" t="s">
        <v>331</v>
      </c>
      <c r="P2269" s="21">
        <v>30</v>
      </c>
      <c r="Q2269" s="10" t="s">
        <v>54</v>
      </c>
      <c r="R2269" s="10" t="s">
        <v>28</v>
      </c>
      <c r="S2269" s="10"/>
      <c r="T2269" s="10"/>
      <c r="U2269" s="10" t="s">
        <v>1223</v>
      </c>
      <c r="V2269" s="10" t="s">
        <v>1223</v>
      </c>
      <c r="W2269" s="50">
        <f>+J2269/$W$2</f>
        <v>1.7278645565534719E-4</v>
      </c>
    </row>
    <row r="2270" spans="1:29">
      <c r="A2270" s="10" t="s">
        <v>4044</v>
      </c>
      <c r="B2270" s="10" t="s">
        <v>358</v>
      </c>
      <c r="C2270" s="124">
        <v>46400</v>
      </c>
      <c r="D2270" s="124" t="s">
        <v>471</v>
      </c>
      <c r="E2270" s="21">
        <v>0.94120705000000005</v>
      </c>
      <c r="F2270" s="10"/>
      <c r="G2270" s="14">
        <v>15000000</v>
      </c>
      <c r="H2270" s="14">
        <v>14118105.68</v>
      </c>
      <c r="I2270" s="14">
        <v>15000000</v>
      </c>
      <c r="J2270" s="14">
        <v>14118105.68</v>
      </c>
      <c r="K2270" s="12">
        <v>1418</v>
      </c>
      <c r="L2270" s="10" t="s">
        <v>101</v>
      </c>
      <c r="M2270" s="10" t="s">
        <v>102</v>
      </c>
      <c r="N2270" s="124" t="s">
        <v>469</v>
      </c>
      <c r="O2270" s="124" t="s">
        <v>469</v>
      </c>
      <c r="P2270" s="21">
        <v>30</v>
      </c>
      <c r="Q2270" s="10" t="s">
        <v>54</v>
      </c>
      <c r="R2270" s="10" t="s">
        <v>28</v>
      </c>
      <c r="S2270" s="10"/>
      <c r="T2270" s="10"/>
      <c r="U2270" s="10" t="s">
        <v>3959</v>
      </c>
      <c r="V2270" s="10" t="s">
        <v>3959</v>
      </c>
      <c r="W2270" s="50">
        <f>+J2270/$W$2</f>
        <v>1.7278649420708134E-4</v>
      </c>
    </row>
    <row r="2271" spans="1:29">
      <c r="A2271" s="10" t="s">
        <v>575</v>
      </c>
      <c r="B2271" s="10" t="s">
        <v>358</v>
      </c>
      <c r="C2271" s="124">
        <v>46400</v>
      </c>
      <c r="D2271" s="124" t="s">
        <v>471</v>
      </c>
      <c r="E2271" s="21">
        <v>0.93570558999999998</v>
      </c>
      <c r="F2271" s="10"/>
      <c r="G2271" s="14">
        <v>2200000</v>
      </c>
      <c r="H2271" s="14">
        <v>2058552.3</v>
      </c>
      <c r="I2271" s="14">
        <v>2200000</v>
      </c>
      <c r="J2271" s="14">
        <v>2058552.3</v>
      </c>
      <c r="K2271" s="12">
        <v>6762</v>
      </c>
      <c r="L2271" s="10" t="s">
        <v>101</v>
      </c>
      <c r="M2271" s="10" t="s">
        <v>102</v>
      </c>
      <c r="N2271" s="124" t="s">
        <v>603</v>
      </c>
      <c r="O2271" s="124" t="s">
        <v>603</v>
      </c>
      <c r="P2271" s="21">
        <v>33</v>
      </c>
      <c r="Q2271" s="10" t="s">
        <v>54</v>
      </c>
      <c r="R2271" s="10" t="s">
        <v>28</v>
      </c>
      <c r="S2271" s="10"/>
      <c r="T2271" s="10"/>
      <c r="U2271" s="10" t="s">
        <v>2618</v>
      </c>
      <c r="V2271" s="10" t="s">
        <v>2618</v>
      </c>
      <c r="W2271" s="50">
        <f>+J2271/$W$2</f>
        <v>2.519389237628401E-5</v>
      </c>
    </row>
    <row r="2272" spans="1:29">
      <c r="A2272" s="10" t="s">
        <v>946</v>
      </c>
      <c r="B2272" s="10" t="s">
        <v>358</v>
      </c>
      <c r="C2272" s="124">
        <v>46400</v>
      </c>
      <c r="D2272" s="124" t="s">
        <v>471</v>
      </c>
      <c r="E2272" s="21">
        <v>0.93753218999999999</v>
      </c>
      <c r="F2272" s="10"/>
      <c r="G2272" s="14">
        <v>50000000</v>
      </c>
      <c r="H2272" s="14">
        <v>46876609.390000001</v>
      </c>
      <c r="I2272" s="14">
        <v>50000000</v>
      </c>
      <c r="J2272" s="14">
        <v>46876609.390000001</v>
      </c>
      <c r="K2272" s="12">
        <v>1</v>
      </c>
      <c r="L2272" s="10" t="s">
        <v>101</v>
      </c>
      <c r="M2272" s="10" t="s">
        <v>102</v>
      </c>
      <c r="N2272" s="124" t="s">
        <v>448</v>
      </c>
      <c r="O2272" s="124" t="s">
        <v>448</v>
      </c>
      <c r="P2272" s="21">
        <v>32</v>
      </c>
      <c r="Q2272" s="10" t="s">
        <v>54</v>
      </c>
      <c r="R2272" s="10" t="s">
        <v>28</v>
      </c>
      <c r="S2272" s="10"/>
      <c r="T2272" s="10"/>
      <c r="U2272" s="10" t="s">
        <v>3156</v>
      </c>
      <c r="V2272" s="10" t="s">
        <v>3156</v>
      </c>
      <c r="W2272" s="50">
        <f>+J2272/$W$2</f>
        <v>5.737062167119895E-4</v>
      </c>
    </row>
    <row r="2273" spans="1:23">
      <c r="A2273" s="10" t="s">
        <v>964</v>
      </c>
      <c r="B2273" s="10" t="s">
        <v>358</v>
      </c>
      <c r="C2273" s="124">
        <v>46400</v>
      </c>
      <c r="D2273" s="124" t="s">
        <v>471</v>
      </c>
      <c r="E2273" s="21">
        <v>0.93753218000000005</v>
      </c>
      <c r="F2273" s="10"/>
      <c r="G2273" s="14">
        <v>17200000</v>
      </c>
      <c r="H2273" s="14">
        <v>16125553.470000001</v>
      </c>
      <c r="I2273" s="14">
        <v>17200000</v>
      </c>
      <c r="J2273" s="14">
        <v>16125553.470000001</v>
      </c>
      <c r="K2273" s="12">
        <v>40780955</v>
      </c>
      <c r="L2273" s="10" t="s">
        <v>101</v>
      </c>
      <c r="M2273" s="10" t="s">
        <v>102</v>
      </c>
      <c r="N2273" s="124" t="s">
        <v>395</v>
      </c>
      <c r="O2273" s="124" t="s">
        <v>395</v>
      </c>
      <c r="P2273" s="21">
        <v>32</v>
      </c>
      <c r="Q2273" s="10" t="s">
        <v>54</v>
      </c>
      <c r="R2273" s="10" t="s">
        <v>28</v>
      </c>
      <c r="S2273" s="10"/>
      <c r="T2273" s="10"/>
      <c r="U2273" s="10" t="s">
        <v>1814</v>
      </c>
      <c r="V2273" s="10" t="s">
        <v>1814</v>
      </c>
      <c r="W2273" s="50">
        <f>+J2273/$W$2</f>
        <v>1.9735493658878288E-4</v>
      </c>
    </row>
    <row r="2274" spans="1:23">
      <c r="A2274" s="10" t="s">
        <v>1036</v>
      </c>
      <c r="B2274" s="10" t="s">
        <v>358</v>
      </c>
      <c r="C2274" s="124">
        <v>46400</v>
      </c>
      <c r="D2274" s="124" t="s">
        <v>471</v>
      </c>
      <c r="E2274" s="21">
        <v>0.93936593000000002</v>
      </c>
      <c r="F2274" s="10"/>
      <c r="G2274" s="14">
        <v>10000000</v>
      </c>
      <c r="H2274" s="14">
        <v>9393659.2799999993</v>
      </c>
      <c r="I2274" s="14">
        <v>10000000</v>
      </c>
      <c r="J2274" s="14">
        <v>9393659.2799999993</v>
      </c>
      <c r="K2274" s="12">
        <v>141</v>
      </c>
      <c r="L2274" s="10" t="s">
        <v>101</v>
      </c>
      <c r="M2274" s="10" t="s">
        <v>102</v>
      </c>
      <c r="N2274" s="124" t="s">
        <v>312</v>
      </c>
      <c r="O2274" s="124" t="s">
        <v>312</v>
      </c>
      <c r="P2274" s="21">
        <v>31</v>
      </c>
      <c r="Q2274" s="10" t="s">
        <v>54</v>
      </c>
      <c r="R2274" s="10" t="s">
        <v>28</v>
      </c>
      <c r="S2274" s="10"/>
      <c r="T2274" s="10"/>
      <c r="U2274" s="10" t="s">
        <v>1034</v>
      </c>
      <c r="V2274" s="10" t="s">
        <v>1034</v>
      </c>
      <c r="W2274" s="50">
        <f>+J2274/$W$2</f>
        <v>1.1496566830961813E-4</v>
      </c>
    </row>
    <row r="2275" spans="1:23">
      <c r="A2275" s="10" t="s">
        <v>178</v>
      </c>
      <c r="B2275" s="10" t="s">
        <v>358</v>
      </c>
      <c r="C2275" s="124">
        <v>46400</v>
      </c>
      <c r="D2275" s="124" t="s">
        <v>471</v>
      </c>
      <c r="E2275" s="21">
        <v>0.95052097999999996</v>
      </c>
      <c r="F2275" s="10"/>
      <c r="G2275" s="14">
        <v>710169.09</v>
      </c>
      <c r="H2275" s="14">
        <v>675030.62</v>
      </c>
      <c r="I2275" s="14">
        <v>710169.09</v>
      </c>
      <c r="J2275" s="14">
        <v>675030.62</v>
      </c>
      <c r="K2275" s="12">
        <v>681501</v>
      </c>
      <c r="L2275" s="10" t="s">
        <v>101</v>
      </c>
      <c r="M2275" s="10" t="s">
        <v>102</v>
      </c>
      <c r="N2275" s="124" t="s">
        <v>449</v>
      </c>
      <c r="O2275" s="124" t="s">
        <v>449</v>
      </c>
      <c r="P2275" s="21">
        <v>25</v>
      </c>
      <c r="Q2275" s="10" t="s">
        <v>54</v>
      </c>
      <c r="R2275" s="10" t="s">
        <v>28</v>
      </c>
      <c r="S2275" s="10"/>
      <c r="T2275" s="10"/>
      <c r="U2275" s="10" t="s">
        <v>1984</v>
      </c>
      <c r="V2275" s="10" t="s">
        <v>1984</v>
      </c>
      <c r="W2275" s="50">
        <f>+J2275/$W$2</f>
        <v>8.2614606347267777E-6</v>
      </c>
    </row>
    <row r="2276" spans="1:23">
      <c r="A2276" s="10" t="s">
        <v>178</v>
      </c>
      <c r="B2276" s="10" t="s">
        <v>358</v>
      </c>
      <c r="C2276" s="124">
        <v>46400</v>
      </c>
      <c r="D2276" s="124" t="s">
        <v>471</v>
      </c>
      <c r="E2276" s="21">
        <v>0.95052099000000001</v>
      </c>
      <c r="F2276" s="10"/>
      <c r="G2276" s="14">
        <v>994204.24</v>
      </c>
      <c r="H2276" s="14">
        <v>945012</v>
      </c>
      <c r="I2276" s="14">
        <v>994204.24</v>
      </c>
      <c r="J2276" s="14">
        <v>945012</v>
      </c>
      <c r="K2276" s="12">
        <v>681633</v>
      </c>
      <c r="L2276" s="10" t="s">
        <v>101</v>
      </c>
      <c r="M2276" s="10" t="s">
        <v>102</v>
      </c>
      <c r="N2276" s="124" t="s">
        <v>449</v>
      </c>
      <c r="O2276" s="124" t="s">
        <v>449</v>
      </c>
      <c r="P2276" s="21">
        <v>25</v>
      </c>
      <c r="Q2276" s="10" t="s">
        <v>54</v>
      </c>
      <c r="R2276" s="10" t="s">
        <v>28</v>
      </c>
      <c r="S2276" s="10"/>
      <c r="T2276" s="10"/>
      <c r="U2276" s="10" t="s">
        <v>1985</v>
      </c>
      <c r="V2276" s="10" t="s">
        <v>1985</v>
      </c>
      <c r="W2276" s="50">
        <f>+J2276/$W$2</f>
        <v>1.1565667106100197E-5</v>
      </c>
    </row>
    <row r="2277" spans="1:23">
      <c r="A2277" s="10" t="s">
        <v>506</v>
      </c>
      <c r="B2277" s="10" t="s">
        <v>358</v>
      </c>
      <c r="C2277" s="124">
        <v>46400</v>
      </c>
      <c r="D2277" s="124" t="s">
        <v>471</v>
      </c>
      <c r="E2277" s="21">
        <v>0.94491046999999995</v>
      </c>
      <c r="F2277" s="10"/>
      <c r="G2277" s="14">
        <v>50000000</v>
      </c>
      <c r="H2277" s="14">
        <v>47245523.619999997</v>
      </c>
      <c r="I2277" s="14">
        <v>50000000</v>
      </c>
      <c r="J2277" s="14">
        <v>47245523.619999997</v>
      </c>
      <c r="K2277" s="12">
        <v>68037</v>
      </c>
      <c r="L2277" s="10" t="s">
        <v>101</v>
      </c>
      <c r="M2277" s="10" t="s">
        <v>102</v>
      </c>
      <c r="N2277" s="124" t="s">
        <v>310</v>
      </c>
      <c r="O2277" s="124" t="s">
        <v>310</v>
      </c>
      <c r="P2277" s="21">
        <v>28</v>
      </c>
      <c r="Q2277" s="10" t="s">
        <v>54</v>
      </c>
      <c r="R2277" s="10" t="s">
        <v>28</v>
      </c>
      <c r="S2277" s="10"/>
      <c r="T2277" s="10"/>
      <c r="U2277" s="10" t="s">
        <v>997</v>
      </c>
      <c r="V2277" s="10" t="s">
        <v>997</v>
      </c>
      <c r="W2277" s="50">
        <f>+J2277/$W$2</f>
        <v>5.7822122728845115E-4</v>
      </c>
    </row>
    <row r="2278" spans="1:23">
      <c r="A2278" s="10" t="s">
        <v>3773</v>
      </c>
      <c r="B2278" s="10" t="s">
        <v>358</v>
      </c>
      <c r="C2278" s="124">
        <v>46400</v>
      </c>
      <c r="D2278" s="124" t="s">
        <v>471</v>
      </c>
      <c r="E2278" s="21">
        <v>0.93570564000000001</v>
      </c>
      <c r="F2278" s="10"/>
      <c r="G2278" s="14">
        <v>5850000</v>
      </c>
      <c r="H2278" s="14">
        <v>5473877.9900000002</v>
      </c>
      <c r="I2278" s="14">
        <v>5850000</v>
      </c>
      <c r="J2278" s="14">
        <v>5473877.9900000002</v>
      </c>
      <c r="K2278" s="12">
        <v>1395681</v>
      </c>
      <c r="L2278" s="10" t="s">
        <v>101</v>
      </c>
      <c r="M2278" s="10" t="s">
        <v>102</v>
      </c>
      <c r="N2278" s="124" t="s">
        <v>467</v>
      </c>
      <c r="O2278" s="124" t="s">
        <v>467</v>
      </c>
      <c r="P2278" s="21">
        <v>33</v>
      </c>
      <c r="Q2278" s="10" t="s">
        <v>54</v>
      </c>
      <c r="R2278" s="10" t="s">
        <v>28</v>
      </c>
      <c r="S2278" s="10"/>
      <c r="T2278" s="10"/>
      <c r="U2278" s="10" t="s">
        <v>3681</v>
      </c>
      <c r="V2278" s="10" t="s">
        <v>3681</v>
      </c>
      <c r="W2278" s="50">
        <f>+J2278/$W$2</f>
        <v>6.6992853648153533E-5</v>
      </c>
    </row>
    <row r="2279" spans="1:23">
      <c r="A2279" s="10" t="s">
        <v>3572</v>
      </c>
      <c r="B2279" s="10" t="s">
        <v>358</v>
      </c>
      <c r="C2279" s="124">
        <v>46400</v>
      </c>
      <c r="D2279" s="124" t="s">
        <v>471</v>
      </c>
      <c r="E2279" s="21">
        <v>0.93570576000000005</v>
      </c>
      <c r="F2279" s="10"/>
      <c r="G2279" s="14">
        <v>3271000</v>
      </c>
      <c r="H2279" s="14">
        <v>3060693.53</v>
      </c>
      <c r="I2279" s="14">
        <v>3271000</v>
      </c>
      <c r="J2279" s="14">
        <v>3060693.53</v>
      </c>
      <c r="K2279" s="12">
        <v>13981359</v>
      </c>
      <c r="L2279" s="10" t="s">
        <v>101</v>
      </c>
      <c r="M2279" s="10" t="s">
        <v>102</v>
      </c>
      <c r="N2279" s="124" t="s">
        <v>451</v>
      </c>
      <c r="O2279" s="124" t="s">
        <v>451</v>
      </c>
      <c r="P2279" s="21">
        <v>33</v>
      </c>
      <c r="Q2279" s="10" t="s">
        <v>54</v>
      </c>
      <c r="R2279" s="10" t="s">
        <v>28</v>
      </c>
      <c r="S2279" s="10"/>
      <c r="T2279" s="10"/>
      <c r="U2279" s="10" t="s">
        <v>3561</v>
      </c>
      <c r="V2279" s="10" t="s">
        <v>3561</v>
      </c>
      <c r="W2279" s="50">
        <f>+J2279/$W$2</f>
        <v>3.7458743890844444E-5</v>
      </c>
    </row>
    <row r="2280" spans="1:23">
      <c r="A2280" s="10" t="s">
        <v>623</v>
      </c>
      <c r="B2280" s="10" t="s">
        <v>358</v>
      </c>
      <c r="C2280" s="124">
        <v>46400</v>
      </c>
      <c r="D2280" s="124" t="s">
        <v>471</v>
      </c>
      <c r="E2280" s="21">
        <v>0.93207355999999997</v>
      </c>
      <c r="F2280" s="10"/>
      <c r="G2280" s="14">
        <v>3000000</v>
      </c>
      <c r="H2280" s="14">
        <v>2796220.69</v>
      </c>
      <c r="I2280" s="14">
        <v>3000000</v>
      </c>
      <c r="J2280" s="14">
        <v>2796220.69</v>
      </c>
      <c r="K2280" s="12">
        <v>50</v>
      </c>
      <c r="L2280" s="10" t="s">
        <v>101</v>
      </c>
      <c r="M2280" s="10" t="s">
        <v>102</v>
      </c>
      <c r="N2280" s="124" t="s">
        <v>446</v>
      </c>
      <c r="O2280" s="124" t="s">
        <v>446</v>
      </c>
      <c r="P2280" s="21">
        <v>35</v>
      </c>
      <c r="Q2280" s="10" t="s">
        <v>54</v>
      </c>
      <c r="R2280" s="10" t="s">
        <v>28</v>
      </c>
      <c r="S2280" s="10"/>
      <c r="T2280" s="10"/>
      <c r="U2280" s="10" t="s">
        <v>3082</v>
      </c>
      <c r="V2280" s="10" t="s">
        <v>3082</v>
      </c>
      <c r="W2280" s="50">
        <f>+J2280/$W$2</f>
        <v>3.4221954489180873E-5</v>
      </c>
    </row>
    <row r="2281" spans="1:23">
      <c r="A2281" s="10" t="s">
        <v>832</v>
      </c>
      <c r="B2281" s="10" t="s">
        <v>358</v>
      </c>
      <c r="C2281" s="124">
        <v>46400</v>
      </c>
      <c r="D2281" s="124" t="s">
        <v>471</v>
      </c>
      <c r="E2281" s="21">
        <v>0.93570556000000005</v>
      </c>
      <c r="F2281" s="10"/>
      <c r="G2281" s="14">
        <v>395997.4</v>
      </c>
      <c r="H2281" s="14">
        <v>370536.97</v>
      </c>
      <c r="I2281" s="14">
        <v>395997.4</v>
      </c>
      <c r="J2281" s="14">
        <v>370536.97</v>
      </c>
      <c r="K2281" s="12">
        <v>30104989</v>
      </c>
      <c r="L2281" s="10" t="s">
        <v>101</v>
      </c>
      <c r="M2281" s="10" t="s">
        <v>102</v>
      </c>
      <c r="N2281" s="124" t="s">
        <v>446</v>
      </c>
      <c r="O2281" s="124" t="s">
        <v>446</v>
      </c>
      <c r="P2281" s="21">
        <v>33</v>
      </c>
      <c r="Q2281" s="10" t="s">
        <v>54</v>
      </c>
      <c r="R2281" s="10" t="s">
        <v>28</v>
      </c>
      <c r="S2281" s="10"/>
      <c r="T2281" s="10"/>
      <c r="U2281" s="10" t="s">
        <v>3071</v>
      </c>
      <c r="V2281" s="10" t="s">
        <v>3071</v>
      </c>
      <c r="W2281" s="50">
        <f>+J2281/$W$2</f>
        <v>4.5348707164808856E-6</v>
      </c>
    </row>
    <row r="2282" spans="1:23">
      <c r="A2282" s="10" t="s">
        <v>220</v>
      </c>
      <c r="B2282" s="10" t="s">
        <v>358</v>
      </c>
      <c r="C2282" s="124">
        <v>46400</v>
      </c>
      <c r="D2282" s="124" t="s">
        <v>471</v>
      </c>
      <c r="E2282" s="21">
        <v>0.93570553000000001</v>
      </c>
      <c r="F2282" s="10"/>
      <c r="G2282" s="14">
        <v>25000000</v>
      </c>
      <c r="H2282" s="14">
        <v>23392638.32</v>
      </c>
      <c r="I2282" s="14">
        <v>25000000</v>
      </c>
      <c r="J2282" s="14">
        <v>23392638.32</v>
      </c>
      <c r="K2282" s="12">
        <v>475890</v>
      </c>
      <c r="L2282" s="10" t="s">
        <v>101</v>
      </c>
      <c r="M2282" s="10" t="s">
        <v>102</v>
      </c>
      <c r="N2282" s="124" t="s">
        <v>485</v>
      </c>
      <c r="O2282" s="124" t="s">
        <v>485</v>
      </c>
      <c r="P2282" s="21">
        <v>33</v>
      </c>
      <c r="Q2282" s="10" t="s">
        <v>54</v>
      </c>
      <c r="R2282" s="10" t="s">
        <v>28</v>
      </c>
      <c r="S2282" s="10"/>
      <c r="T2282" s="10"/>
      <c r="U2282" s="10" t="s">
        <v>929</v>
      </c>
      <c r="V2282" s="10" t="s">
        <v>929</v>
      </c>
      <c r="W2282" s="50">
        <f>+J2282/$W$2</f>
        <v>2.8629421376926746E-4</v>
      </c>
    </row>
    <row r="2283" spans="1:23">
      <c r="A2283" s="10" t="s">
        <v>574</v>
      </c>
      <c r="B2283" s="10" t="s">
        <v>358</v>
      </c>
      <c r="C2283" s="124">
        <v>46400</v>
      </c>
      <c r="D2283" s="124" t="s">
        <v>471</v>
      </c>
      <c r="E2283" s="21">
        <v>0.94120687000000003</v>
      </c>
      <c r="F2283" s="10"/>
      <c r="G2283" s="14">
        <v>150000000</v>
      </c>
      <c r="H2283" s="14">
        <v>141181030.55000001</v>
      </c>
      <c r="I2283" s="14">
        <v>150000000</v>
      </c>
      <c r="J2283" s="14">
        <v>141181030.55000001</v>
      </c>
      <c r="K2283" s="12">
        <v>90004379</v>
      </c>
      <c r="L2283" s="10" t="s">
        <v>101</v>
      </c>
      <c r="M2283" s="10" t="s">
        <v>102</v>
      </c>
      <c r="N2283" s="124" t="s">
        <v>466</v>
      </c>
      <c r="O2283" s="124" t="s">
        <v>466</v>
      </c>
      <c r="P2283" s="21">
        <v>30</v>
      </c>
      <c r="Q2283" s="10" t="s">
        <v>54</v>
      </c>
      <c r="R2283" s="10" t="s">
        <v>28</v>
      </c>
      <c r="S2283" s="10"/>
      <c r="T2283" s="10"/>
      <c r="U2283" s="10" t="s">
        <v>3609</v>
      </c>
      <c r="V2283" s="10" t="s">
        <v>3609</v>
      </c>
      <c r="W2283" s="50">
        <f>+J2283/$W$2</f>
        <v>1.7278646208063624E-3</v>
      </c>
    </row>
    <row r="2284" spans="1:23">
      <c r="A2284" s="10" t="s">
        <v>1241</v>
      </c>
      <c r="B2284" s="10" t="s">
        <v>358</v>
      </c>
      <c r="C2284" s="124">
        <v>46400</v>
      </c>
      <c r="D2284" s="124" t="s">
        <v>471</v>
      </c>
      <c r="E2284" s="21">
        <v>0.93936593999999995</v>
      </c>
      <c r="F2284" s="10"/>
      <c r="G2284" s="14">
        <v>25000000</v>
      </c>
      <c r="H2284" s="14">
        <v>23484148.57</v>
      </c>
      <c r="I2284" s="14">
        <v>25000000</v>
      </c>
      <c r="J2284" s="14">
        <v>23484148.57</v>
      </c>
      <c r="K2284" s="12">
        <v>10514</v>
      </c>
      <c r="L2284" s="10" t="s">
        <v>101</v>
      </c>
      <c r="M2284" s="10" t="s">
        <v>102</v>
      </c>
      <c r="N2284" s="124" t="s">
        <v>448</v>
      </c>
      <c r="O2284" s="124" t="s">
        <v>448</v>
      </c>
      <c r="P2284" s="21">
        <v>31</v>
      </c>
      <c r="Q2284" s="10" t="s">
        <v>54</v>
      </c>
      <c r="R2284" s="10" t="s">
        <v>28</v>
      </c>
      <c r="S2284" s="10"/>
      <c r="T2284" s="10"/>
      <c r="U2284" s="10" t="s">
        <v>3139</v>
      </c>
      <c r="V2284" s="10" t="s">
        <v>3139</v>
      </c>
      <c r="W2284" s="50">
        <f>+J2284/$W$2</f>
        <v>2.8741417530234431E-4</v>
      </c>
    </row>
    <row r="2285" spans="1:23">
      <c r="A2285" s="10" t="s">
        <v>3166</v>
      </c>
      <c r="B2285" s="10" t="s">
        <v>358</v>
      </c>
      <c r="C2285" s="124">
        <v>46400</v>
      </c>
      <c r="D2285" s="124" t="s">
        <v>471</v>
      </c>
      <c r="E2285" s="21">
        <v>0.94120691000000001</v>
      </c>
      <c r="F2285" s="10"/>
      <c r="G2285" s="14">
        <v>4175312.5</v>
      </c>
      <c r="H2285" s="14">
        <v>3929832.98</v>
      </c>
      <c r="I2285" s="14">
        <v>4175312.5</v>
      </c>
      <c r="J2285" s="14">
        <v>3929832.98</v>
      </c>
      <c r="K2285" s="12">
        <v>40952836</v>
      </c>
      <c r="L2285" s="10" t="s">
        <v>101</v>
      </c>
      <c r="M2285" s="10" t="s">
        <v>102</v>
      </c>
      <c r="N2285" s="124" t="s">
        <v>475</v>
      </c>
      <c r="O2285" s="124" t="s">
        <v>475</v>
      </c>
      <c r="P2285" s="21">
        <v>30</v>
      </c>
      <c r="Q2285" s="10" t="s">
        <v>54</v>
      </c>
      <c r="R2285" s="10" t="s">
        <v>28</v>
      </c>
      <c r="S2285" s="10"/>
      <c r="T2285" s="10"/>
      <c r="U2285" s="10" t="s">
        <v>3379</v>
      </c>
      <c r="V2285" s="10" t="s">
        <v>3379</v>
      </c>
      <c r="W2285" s="50">
        <f>+J2285/$W$2</f>
        <v>4.8095833734654916E-5</v>
      </c>
    </row>
    <row r="2286" spans="1:23">
      <c r="A2286" s="10" t="s">
        <v>3166</v>
      </c>
      <c r="B2286" s="10" t="s">
        <v>358</v>
      </c>
      <c r="C2286" s="124">
        <v>46400</v>
      </c>
      <c r="D2286" s="124" t="s">
        <v>471</v>
      </c>
      <c r="E2286" s="21">
        <v>0.94120691000000001</v>
      </c>
      <c r="F2286" s="10"/>
      <c r="G2286" s="14">
        <v>4175312.5</v>
      </c>
      <c r="H2286" s="14">
        <v>3929832.98</v>
      </c>
      <c r="I2286" s="14">
        <v>4175312.5</v>
      </c>
      <c r="J2286" s="14">
        <v>3929832.98</v>
      </c>
      <c r="K2286" s="12">
        <v>40952824</v>
      </c>
      <c r="L2286" s="10" t="s">
        <v>101</v>
      </c>
      <c r="M2286" s="10" t="s">
        <v>102</v>
      </c>
      <c r="N2286" s="124" t="s">
        <v>475</v>
      </c>
      <c r="O2286" s="124" t="s">
        <v>475</v>
      </c>
      <c r="P2286" s="21">
        <v>30</v>
      </c>
      <c r="Q2286" s="10" t="s">
        <v>54</v>
      </c>
      <c r="R2286" s="10" t="s">
        <v>28</v>
      </c>
      <c r="S2286" s="10"/>
      <c r="T2286" s="10"/>
      <c r="U2286" s="10" t="s">
        <v>3380</v>
      </c>
      <c r="V2286" s="10" t="s">
        <v>3380</v>
      </c>
      <c r="W2286" s="50">
        <f>+J2286/$W$2</f>
        <v>4.8095833734654916E-5</v>
      </c>
    </row>
    <row r="2287" spans="1:23">
      <c r="A2287" s="10" t="s">
        <v>3166</v>
      </c>
      <c r="B2287" s="10" t="s">
        <v>358</v>
      </c>
      <c r="C2287" s="124">
        <v>46400</v>
      </c>
      <c r="D2287" s="124" t="s">
        <v>471</v>
      </c>
      <c r="E2287" s="21">
        <v>0.94120691000000001</v>
      </c>
      <c r="F2287" s="10"/>
      <c r="G2287" s="14">
        <v>4175312.5</v>
      </c>
      <c r="H2287" s="14">
        <v>3929832.98</v>
      </c>
      <c r="I2287" s="14">
        <v>4175312.5</v>
      </c>
      <c r="J2287" s="14">
        <v>3929832.98</v>
      </c>
      <c r="K2287" s="12">
        <v>40952832</v>
      </c>
      <c r="L2287" s="10" t="s">
        <v>101</v>
      </c>
      <c r="M2287" s="10" t="s">
        <v>102</v>
      </c>
      <c r="N2287" s="124" t="s">
        <v>475</v>
      </c>
      <c r="O2287" s="124" t="s">
        <v>475</v>
      </c>
      <c r="P2287" s="21">
        <v>30</v>
      </c>
      <c r="Q2287" s="10" t="s">
        <v>54</v>
      </c>
      <c r="R2287" s="10" t="s">
        <v>28</v>
      </c>
      <c r="S2287" s="10"/>
      <c r="T2287" s="10"/>
      <c r="U2287" s="10" t="s">
        <v>3385</v>
      </c>
      <c r="V2287" s="10" t="s">
        <v>3385</v>
      </c>
      <c r="W2287" s="50">
        <f>+J2287/$W$2</f>
        <v>4.8095833734654916E-5</v>
      </c>
    </row>
    <row r="2288" spans="1:23">
      <c r="A2288" s="10" t="s">
        <v>3893</v>
      </c>
      <c r="B2288" s="10" t="s">
        <v>358</v>
      </c>
      <c r="C2288" s="124">
        <v>46400</v>
      </c>
      <c r="D2288" s="124" t="s">
        <v>471</v>
      </c>
      <c r="E2288" s="21">
        <v>0.96002116000000004</v>
      </c>
      <c r="F2288" s="10"/>
      <c r="G2288" s="14">
        <v>1139000</v>
      </c>
      <c r="H2288" s="14">
        <v>1093464.1000000001</v>
      </c>
      <c r="I2288" s="14">
        <v>1139000</v>
      </c>
      <c r="J2288" s="14">
        <v>1093464.1000000001</v>
      </c>
      <c r="K2288" s="12">
        <v>70324662</v>
      </c>
      <c r="L2288" s="10" t="s">
        <v>101</v>
      </c>
      <c r="M2288" s="10" t="s">
        <v>102</v>
      </c>
      <c r="N2288" s="124" t="s">
        <v>474</v>
      </c>
      <c r="O2288" s="124" t="s">
        <v>474</v>
      </c>
      <c r="P2288" s="21">
        <v>20</v>
      </c>
      <c r="Q2288" s="10" t="s">
        <v>54</v>
      </c>
      <c r="R2288" s="10" t="s">
        <v>28</v>
      </c>
      <c r="S2288" s="10"/>
      <c r="T2288" s="10"/>
      <c r="U2288" s="10" t="s">
        <v>3889</v>
      </c>
      <c r="V2288" s="10" t="s">
        <v>3889</v>
      </c>
      <c r="W2288" s="50">
        <f>+J2288/$W$2</f>
        <v>1.3382519770194936E-5</v>
      </c>
    </row>
    <row r="2289" spans="1:23">
      <c r="A2289" s="10" t="s">
        <v>433</v>
      </c>
      <c r="B2289" s="10" t="s">
        <v>358</v>
      </c>
      <c r="C2289" s="124">
        <v>46400</v>
      </c>
      <c r="D2289" s="124" t="s">
        <v>471</v>
      </c>
      <c r="E2289" s="21">
        <v>0.93570560000000003</v>
      </c>
      <c r="F2289" s="10"/>
      <c r="G2289" s="14">
        <v>12500000</v>
      </c>
      <c r="H2289" s="14">
        <v>11696320.050000001</v>
      </c>
      <c r="I2289" s="14">
        <v>12500000</v>
      </c>
      <c r="J2289" s="14">
        <v>11696320.050000001</v>
      </c>
      <c r="K2289" s="12">
        <v>14651829</v>
      </c>
      <c r="L2289" s="10" t="s">
        <v>101</v>
      </c>
      <c r="M2289" s="10" t="s">
        <v>102</v>
      </c>
      <c r="N2289" s="124" t="s">
        <v>603</v>
      </c>
      <c r="O2289" s="124" t="s">
        <v>603</v>
      </c>
      <c r="P2289" s="21">
        <v>33</v>
      </c>
      <c r="Q2289" s="10" t="s">
        <v>54</v>
      </c>
      <c r="R2289" s="10" t="s">
        <v>28</v>
      </c>
      <c r="S2289" s="10"/>
      <c r="T2289" s="10"/>
      <c r="U2289" s="10" t="s">
        <v>2657</v>
      </c>
      <c r="V2289" s="10" t="s">
        <v>2657</v>
      </c>
      <c r="W2289" s="50">
        <f>+J2289/$W$2</f>
        <v>1.4314711777702846E-4</v>
      </c>
    </row>
    <row r="2290" spans="1:23">
      <c r="A2290" s="10" t="s">
        <v>3780</v>
      </c>
      <c r="B2290" s="10" t="s">
        <v>358</v>
      </c>
      <c r="C2290" s="124">
        <v>46400</v>
      </c>
      <c r="D2290" s="124" t="s">
        <v>471</v>
      </c>
      <c r="E2290" s="21">
        <v>0.93570564000000001</v>
      </c>
      <c r="F2290" s="10"/>
      <c r="G2290" s="14">
        <v>13000000</v>
      </c>
      <c r="H2290" s="14">
        <v>12164173.300000001</v>
      </c>
      <c r="I2290" s="14">
        <v>13000000</v>
      </c>
      <c r="J2290" s="14">
        <v>12164173.300000001</v>
      </c>
      <c r="K2290" s="12">
        <v>5</v>
      </c>
      <c r="L2290" s="10" t="s">
        <v>101</v>
      </c>
      <c r="M2290" s="10" t="s">
        <v>102</v>
      </c>
      <c r="N2290" s="124" t="s">
        <v>467</v>
      </c>
      <c r="O2290" s="124" t="s">
        <v>467</v>
      </c>
      <c r="P2290" s="21">
        <v>33</v>
      </c>
      <c r="Q2290" s="10" t="s">
        <v>54</v>
      </c>
      <c r="R2290" s="10" t="s">
        <v>28</v>
      </c>
      <c r="S2290" s="10"/>
      <c r="T2290" s="10"/>
      <c r="U2290" s="10" t="s">
        <v>3662</v>
      </c>
      <c r="V2290" s="10" t="s">
        <v>3662</v>
      </c>
      <c r="W2290" s="50">
        <f>+J2290/$W$2</f>
        <v>1.488730079710229E-4</v>
      </c>
    </row>
    <row r="2291" spans="1:23">
      <c r="A2291" s="10" t="s">
        <v>3781</v>
      </c>
      <c r="B2291" s="10" t="s">
        <v>358</v>
      </c>
      <c r="C2291" s="124">
        <v>46400</v>
      </c>
      <c r="D2291" s="124" t="s">
        <v>471</v>
      </c>
      <c r="E2291" s="21">
        <v>0.93570564000000001</v>
      </c>
      <c r="F2291" s="10"/>
      <c r="G2291" s="14">
        <v>3000000</v>
      </c>
      <c r="H2291" s="14">
        <v>2807116.92</v>
      </c>
      <c r="I2291" s="14">
        <v>3000000</v>
      </c>
      <c r="J2291" s="14">
        <v>2807116.92</v>
      </c>
      <c r="K2291" s="12">
        <v>40961149</v>
      </c>
      <c r="L2291" s="10" t="s">
        <v>101</v>
      </c>
      <c r="M2291" s="10" t="s">
        <v>102</v>
      </c>
      <c r="N2291" s="124" t="s">
        <v>467</v>
      </c>
      <c r="O2291" s="124" t="s">
        <v>467</v>
      </c>
      <c r="P2291" s="21">
        <v>33</v>
      </c>
      <c r="Q2291" s="10" t="s">
        <v>54</v>
      </c>
      <c r="R2291" s="10" t="s">
        <v>28</v>
      </c>
      <c r="S2291" s="10"/>
      <c r="T2291" s="10"/>
      <c r="U2291" s="10" t="s">
        <v>3690</v>
      </c>
      <c r="V2291" s="10" t="s">
        <v>3690</v>
      </c>
      <c r="W2291" s="50">
        <f>+J2291/$W$2</f>
        <v>3.4355309588260571E-5</v>
      </c>
    </row>
    <row r="2292" spans="1:23">
      <c r="A2292" s="10" t="s">
        <v>482</v>
      </c>
      <c r="B2292" s="10" t="s">
        <v>358</v>
      </c>
      <c r="C2292" s="124">
        <v>46400</v>
      </c>
      <c r="D2292" s="124" t="s">
        <v>471</v>
      </c>
      <c r="E2292" s="21">
        <v>0.93753220999999998</v>
      </c>
      <c r="F2292" s="10"/>
      <c r="G2292" s="14">
        <v>6791632.5899999999</v>
      </c>
      <c r="H2292" s="14">
        <v>6367374.3200000003</v>
      </c>
      <c r="I2292" s="14">
        <v>6791632.5899999999</v>
      </c>
      <c r="J2292" s="14">
        <v>6367374.3200000003</v>
      </c>
      <c r="K2292" s="12">
        <v>90000916</v>
      </c>
      <c r="L2292" s="10" t="s">
        <v>101</v>
      </c>
      <c r="M2292" s="10" t="s">
        <v>102</v>
      </c>
      <c r="N2292" s="124" t="s">
        <v>603</v>
      </c>
      <c r="O2292" s="124" t="s">
        <v>603</v>
      </c>
      <c r="P2292" s="21">
        <v>32</v>
      </c>
      <c r="Q2292" s="10" t="s">
        <v>54</v>
      </c>
      <c r="R2292" s="10" t="s">
        <v>28</v>
      </c>
      <c r="S2292" s="10"/>
      <c r="T2292" s="10"/>
      <c r="U2292" s="10" t="s">
        <v>2589</v>
      </c>
      <c r="V2292" s="10" t="s">
        <v>2589</v>
      </c>
      <c r="W2292" s="50">
        <f>+J2292/$W$2</f>
        <v>7.792803871808095E-5</v>
      </c>
    </row>
    <row r="2293" spans="1:23">
      <c r="A2293" s="10" t="s">
        <v>3401</v>
      </c>
      <c r="B2293" s="10" t="s">
        <v>358</v>
      </c>
      <c r="C2293" s="124">
        <v>46400</v>
      </c>
      <c r="D2293" s="124" t="s">
        <v>471</v>
      </c>
      <c r="E2293" s="21">
        <v>0.94120691000000001</v>
      </c>
      <c r="F2293" s="10"/>
      <c r="G2293" s="14">
        <v>2853904.95</v>
      </c>
      <c r="H2293" s="14">
        <v>2686115.06</v>
      </c>
      <c r="I2293" s="14">
        <v>2853904.95</v>
      </c>
      <c r="J2293" s="14">
        <v>2686115.06</v>
      </c>
      <c r="K2293" s="12">
        <v>70128421</v>
      </c>
      <c r="L2293" s="10" t="s">
        <v>101</v>
      </c>
      <c r="M2293" s="10" t="s">
        <v>102</v>
      </c>
      <c r="N2293" s="124" t="s">
        <v>475</v>
      </c>
      <c r="O2293" s="124" t="s">
        <v>475</v>
      </c>
      <c r="P2293" s="21">
        <v>30</v>
      </c>
      <c r="Q2293" s="10" t="s">
        <v>54</v>
      </c>
      <c r="R2293" s="10" t="s">
        <v>28</v>
      </c>
      <c r="S2293" s="10"/>
      <c r="T2293" s="10"/>
      <c r="U2293" s="10" t="s">
        <v>3340</v>
      </c>
      <c r="V2293" s="10" t="s">
        <v>3340</v>
      </c>
      <c r="W2293" s="50">
        <f>+J2293/$W$2</f>
        <v>3.2874410687528152E-5</v>
      </c>
    </row>
    <row r="2294" spans="1:23">
      <c r="A2294" s="10" t="s">
        <v>3439</v>
      </c>
      <c r="B2294" s="10" t="s">
        <v>358</v>
      </c>
      <c r="C2294" s="124">
        <v>46400</v>
      </c>
      <c r="D2294" s="124" t="s">
        <v>471</v>
      </c>
      <c r="E2294" s="21">
        <v>0.93936604000000001</v>
      </c>
      <c r="F2294" s="10"/>
      <c r="G2294" s="14">
        <v>15124789</v>
      </c>
      <c r="H2294" s="14">
        <v>14207713.119999999</v>
      </c>
      <c r="I2294" s="14">
        <v>15124789</v>
      </c>
      <c r="J2294" s="14">
        <v>14207713.119999999</v>
      </c>
      <c r="K2294" s="12">
        <v>70474408</v>
      </c>
      <c r="L2294" s="10" t="s">
        <v>101</v>
      </c>
      <c r="M2294" s="10" t="s">
        <v>102</v>
      </c>
      <c r="N2294" s="124" t="s">
        <v>450</v>
      </c>
      <c r="O2294" s="124" t="s">
        <v>450</v>
      </c>
      <c r="P2294" s="21">
        <v>31</v>
      </c>
      <c r="Q2294" s="10" t="s">
        <v>54</v>
      </c>
      <c r="R2294" s="10" t="s">
        <v>28</v>
      </c>
      <c r="S2294" s="10"/>
      <c r="T2294" s="10"/>
      <c r="U2294" s="10" t="s">
        <v>3417</v>
      </c>
      <c r="V2294" s="10" t="s">
        <v>3417</v>
      </c>
      <c r="W2294" s="50">
        <f>+J2294/$W$2</f>
        <v>1.7388316792262129E-4</v>
      </c>
    </row>
    <row r="2295" spans="1:23">
      <c r="A2295" s="10" t="s">
        <v>685</v>
      </c>
      <c r="B2295" s="10" t="s">
        <v>358</v>
      </c>
      <c r="C2295" s="124">
        <v>46400</v>
      </c>
      <c r="D2295" s="124" t="s">
        <v>471</v>
      </c>
      <c r="E2295" s="21">
        <v>0.94120691000000001</v>
      </c>
      <c r="F2295" s="10"/>
      <c r="G2295" s="14">
        <v>1500000</v>
      </c>
      <c r="H2295" s="14">
        <v>1411810.36</v>
      </c>
      <c r="I2295" s="14">
        <v>1500000</v>
      </c>
      <c r="J2295" s="14">
        <v>1411810.36</v>
      </c>
      <c r="K2295" s="12">
        <v>10793604</v>
      </c>
      <c r="L2295" s="10" t="s">
        <v>101</v>
      </c>
      <c r="M2295" s="10" t="s">
        <v>102</v>
      </c>
      <c r="N2295" s="124" t="s">
        <v>475</v>
      </c>
      <c r="O2295" s="124" t="s">
        <v>475</v>
      </c>
      <c r="P2295" s="21">
        <v>30</v>
      </c>
      <c r="Q2295" s="10" t="s">
        <v>54</v>
      </c>
      <c r="R2295" s="10" t="s">
        <v>28</v>
      </c>
      <c r="S2295" s="10"/>
      <c r="T2295" s="10"/>
      <c r="U2295" s="10" t="s">
        <v>3331</v>
      </c>
      <c r="V2295" s="10" t="s">
        <v>3331</v>
      </c>
      <c r="W2295" s="50">
        <f>+J2295/$W$2</f>
        <v>1.7278646875069816E-5</v>
      </c>
    </row>
    <row r="2296" spans="1:23">
      <c r="A2296" s="10" t="s">
        <v>3779</v>
      </c>
      <c r="B2296" s="10" t="s">
        <v>358</v>
      </c>
      <c r="C2296" s="124">
        <v>46400</v>
      </c>
      <c r="D2296" s="124" t="s">
        <v>471</v>
      </c>
      <c r="E2296" s="21">
        <v>0.94305510999999997</v>
      </c>
      <c r="F2296" s="10"/>
      <c r="G2296" s="14">
        <v>993860.85</v>
      </c>
      <c r="H2296" s="14">
        <v>937265.55</v>
      </c>
      <c r="I2296" s="14">
        <v>993860.85</v>
      </c>
      <c r="J2296" s="14">
        <v>937265.55</v>
      </c>
      <c r="K2296" s="12">
        <v>726190</v>
      </c>
      <c r="L2296" s="10" t="s">
        <v>101</v>
      </c>
      <c r="M2296" s="10" t="s">
        <v>102</v>
      </c>
      <c r="N2296" s="124" t="s">
        <v>467</v>
      </c>
      <c r="O2296" s="124" t="s">
        <v>467</v>
      </c>
      <c r="P2296" s="21">
        <v>29</v>
      </c>
      <c r="Q2296" s="10" t="s">
        <v>54</v>
      </c>
      <c r="R2296" s="10" t="s">
        <v>28</v>
      </c>
      <c r="S2296" s="10"/>
      <c r="T2296" s="10"/>
      <c r="U2296" s="10" t="s">
        <v>3737</v>
      </c>
      <c r="V2296" s="10" t="s">
        <v>3737</v>
      </c>
      <c r="W2296" s="50">
        <f>+J2296/$W$2</f>
        <v>1.1470861048659604E-5</v>
      </c>
    </row>
    <row r="2297" spans="1:23">
      <c r="A2297" s="10" t="s">
        <v>438</v>
      </c>
      <c r="B2297" s="10" t="s">
        <v>358</v>
      </c>
      <c r="C2297" s="124">
        <v>46400</v>
      </c>
      <c r="D2297" s="124" t="s">
        <v>471</v>
      </c>
      <c r="E2297" s="21">
        <v>0.94120687000000003</v>
      </c>
      <c r="F2297" s="10"/>
      <c r="G2297" s="14">
        <v>7000000</v>
      </c>
      <c r="H2297" s="14">
        <v>6588448.1200000001</v>
      </c>
      <c r="I2297" s="14">
        <v>7000000</v>
      </c>
      <c r="J2297" s="14">
        <v>6588448.1200000001</v>
      </c>
      <c r="K2297" s="12">
        <v>3385319</v>
      </c>
      <c r="L2297" s="10" t="s">
        <v>101</v>
      </c>
      <c r="M2297" s="10" t="s">
        <v>102</v>
      </c>
      <c r="N2297" s="124" t="s">
        <v>395</v>
      </c>
      <c r="O2297" s="124" t="s">
        <v>395</v>
      </c>
      <c r="P2297" s="21">
        <v>30</v>
      </c>
      <c r="Q2297" s="10" t="s">
        <v>54</v>
      </c>
      <c r="R2297" s="10" t="s">
        <v>28</v>
      </c>
      <c r="S2297" s="10"/>
      <c r="T2297" s="10"/>
      <c r="U2297" s="10" t="s">
        <v>1770</v>
      </c>
      <c r="V2297" s="10" t="s">
        <v>1770</v>
      </c>
      <c r="W2297" s="50">
        <f>+J2297/$W$2</f>
        <v>8.0633682642899441E-5</v>
      </c>
    </row>
    <row r="2298" spans="1:23">
      <c r="A2298" s="10" t="s">
        <v>3169</v>
      </c>
      <c r="B2298" s="10" t="s">
        <v>358</v>
      </c>
      <c r="C2298" s="124">
        <v>46400</v>
      </c>
      <c r="D2298" s="124" t="s">
        <v>471</v>
      </c>
      <c r="E2298" s="21">
        <v>0.93207362999999999</v>
      </c>
      <c r="F2298" s="10"/>
      <c r="G2298" s="14">
        <v>30000000</v>
      </c>
      <c r="H2298" s="14">
        <v>27962208.989999998</v>
      </c>
      <c r="I2298" s="14">
        <v>30000000</v>
      </c>
      <c r="J2298" s="14">
        <v>27962208.989999998</v>
      </c>
      <c r="K2298" s="12">
        <v>14984</v>
      </c>
      <c r="L2298" s="10" t="s">
        <v>101</v>
      </c>
      <c r="M2298" s="10" t="s">
        <v>102</v>
      </c>
      <c r="N2298" s="124" t="s">
        <v>448</v>
      </c>
      <c r="O2298" s="124" t="s">
        <v>448</v>
      </c>
      <c r="P2298" s="21">
        <v>35</v>
      </c>
      <c r="Q2298" s="10" t="s">
        <v>54</v>
      </c>
      <c r="R2298" s="10" t="s">
        <v>28</v>
      </c>
      <c r="S2298" s="10"/>
      <c r="T2298" s="10"/>
      <c r="U2298" s="10" t="s">
        <v>3135</v>
      </c>
      <c r="V2298" s="10" t="s">
        <v>3135</v>
      </c>
      <c r="W2298" s="50">
        <f>+J2298/$W$2</f>
        <v>3.4221957047057833E-4</v>
      </c>
    </row>
    <row r="2299" spans="1:23">
      <c r="A2299" s="10" t="s">
        <v>3308</v>
      </c>
      <c r="B2299" s="10" t="s">
        <v>358</v>
      </c>
      <c r="C2299" s="124">
        <v>46400</v>
      </c>
      <c r="D2299" s="124" t="s">
        <v>471</v>
      </c>
      <c r="E2299" s="21">
        <v>0.94120694999999999</v>
      </c>
      <c r="F2299" s="10"/>
      <c r="G2299" s="14">
        <v>20000000</v>
      </c>
      <c r="H2299" s="14">
        <v>18824138.960000001</v>
      </c>
      <c r="I2299" s="14">
        <v>20000000</v>
      </c>
      <c r="J2299" s="14">
        <v>18824138.960000001</v>
      </c>
      <c r="K2299" s="12">
        <v>66164780</v>
      </c>
      <c r="L2299" s="10" t="s">
        <v>101</v>
      </c>
      <c r="M2299" s="10" t="s">
        <v>102</v>
      </c>
      <c r="N2299" s="124" t="s">
        <v>417</v>
      </c>
      <c r="O2299" s="124" t="s">
        <v>417</v>
      </c>
      <c r="P2299" s="21">
        <v>30</v>
      </c>
      <c r="Q2299" s="10" t="s">
        <v>54</v>
      </c>
      <c r="R2299" s="10" t="s">
        <v>28</v>
      </c>
      <c r="S2299" s="10"/>
      <c r="T2299" s="10"/>
      <c r="U2299" s="10" t="s">
        <v>3201</v>
      </c>
      <c r="V2299" s="10" t="s">
        <v>3201</v>
      </c>
      <c r="W2299" s="50">
        <f>+J2299/$W$2</f>
        <v>2.3038196845154472E-4</v>
      </c>
    </row>
    <row r="2300" spans="1:23">
      <c r="A2300" s="10" t="s">
        <v>3606</v>
      </c>
      <c r="B2300" s="10" t="s">
        <v>358</v>
      </c>
      <c r="C2300" s="124">
        <v>46400</v>
      </c>
      <c r="D2300" s="124" t="s">
        <v>471</v>
      </c>
      <c r="E2300" s="21">
        <v>0.93570575</v>
      </c>
      <c r="F2300" s="10"/>
      <c r="G2300" s="14">
        <v>4725000</v>
      </c>
      <c r="H2300" s="14">
        <v>4421209.68</v>
      </c>
      <c r="I2300" s="14">
        <v>4725000</v>
      </c>
      <c r="J2300" s="14">
        <v>4421209.68</v>
      </c>
      <c r="K2300" s="12">
        <v>11163482</v>
      </c>
      <c r="L2300" s="10" t="s">
        <v>101</v>
      </c>
      <c r="M2300" s="10" t="s">
        <v>102</v>
      </c>
      <c r="N2300" s="124" t="s">
        <v>451</v>
      </c>
      <c r="O2300" s="124" t="s">
        <v>451</v>
      </c>
      <c r="P2300" s="21">
        <v>33</v>
      </c>
      <c r="Q2300" s="10" t="s">
        <v>54</v>
      </c>
      <c r="R2300" s="10" t="s">
        <v>28</v>
      </c>
      <c r="S2300" s="10"/>
      <c r="T2300" s="10"/>
      <c r="U2300" s="10" t="s">
        <v>3552</v>
      </c>
      <c r="V2300" s="10" t="s">
        <v>3552</v>
      </c>
      <c r="W2300" s="50">
        <f>+J2300/$W$2</f>
        <v>5.4109619100231292E-5</v>
      </c>
    </row>
    <row r="2301" spans="1:23">
      <c r="A2301" s="10" t="s">
        <v>2738</v>
      </c>
      <c r="B2301" s="10" t="s">
        <v>358</v>
      </c>
      <c r="C2301" s="124">
        <v>46400</v>
      </c>
      <c r="D2301" s="124" t="s">
        <v>471</v>
      </c>
      <c r="E2301" s="21">
        <v>0.96002114999999999</v>
      </c>
      <c r="F2301" s="10"/>
      <c r="G2301" s="14">
        <v>2358919</v>
      </c>
      <c r="H2301" s="14">
        <v>2264612.14</v>
      </c>
      <c r="I2301" s="14">
        <v>2358919</v>
      </c>
      <c r="J2301" s="14">
        <v>2264612.14</v>
      </c>
      <c r="K2301" s="12">
        <v>358</v>
      </c>
      <c r="L2301" s="10" t="s">
        <v>101</v>
      </c>
      <c r="M2301" s="10" t="s">
        <v>102</v>
      </c>
      <c r="N2301" s="124" t="s">
        <v>440</v>
      </c>
      <c r="O2301" s="124" t="s">
        <v>440</v>
      </c>
      <c r="P2301" s="21">
        <v>20</v>
      </c>
      <c r="Q2301" s="10" t="s">
        <v>54</v>
      </c>
      <c r="R2301" s="10" t="s">
        <v>28</v>
      </c>
      <c r="S2301" s="10"/>
      <c r="T2301" s="10"/>
      <c r="U2301" s="10" t="s">
        <v>2681</v>
      </c>
      <c r="V2301" s="10" t="s">
        <v>2681</v>
      </c>
      <c r="W2301" s="50">
        <f>+J2301/$W$2</f>
        <v>2.7715785763221181E-5</v>
      </c>
    </row>
    <row r="2302" spans="1:23">
      <c r="A2302" s="10" t="s">
        <v>2016</v>
      </c>
      <c r="B2302" s="10" t="s">
        <v>358</v>
      </c>
      <c r="C2302" s="124">
        <v>46401</v>
      </c>
      <c r="D2302" s="124" t="s">
        <v>471</v>
      </c>
      <c r="E2302" s="21">
        <v>0.94234905999999996</v>
      </c>
      <c r="F2302" s="10"/>
      <c r="G2302" s="14">
        <v>11916548.66</v>
      </c>
      <c r="H2302" s="14">
        <v>11229548.439999999</v>
      </c>
      <c r="I2302" s="14">
        <v>11916548.66</v>
      </c>
      <c r="J2302" s="14">
        <v>11229548.439999999</v>
      </c>
      <c r="K2302" s="12">
        <v>22887</v>
      </c>
      <c r="L2302" s="10" t="s">
        <v>101</v>
      </c>
      <c r="M2302" s="10" t="s">
        <v>102</v>
      </c>
      <c r="N2302" s="124" t="s">
        <v>469</v>
      </c>
      <c r="O2302" s="124" t="s">
        <v>469</v>
      </c>
      <c r="P2302" s="21">
        <v>29</v>
      </c>
      <c r="Q2302" s="10" t="s">
        <v>54</v>
      </c>
      <c r="R2302" s="10" t="s">
        <v>28</v>
      </c>
      <c r="S2302" s="10"/>
      <c r="T2302" s="10"/>
      <c r="U2302" s="10" t="s">
        <v>3906</v>
      </c>
      <c r="V2302" s="10" t="s">
        <v>3906</v>
      </c>
      <c r="W2302" s="50">
        <f>+J2302/$W$2</f>
        <v>1.3743446539183287E-4</v>
      </c>
    </row>
    <row r="2303" spans="1:23">
      <c r="A2303" s="10" t="s">
        <v>334</v>
      </c>
      <c r="B2303" s="10" t="s">
        <v>358</v>
      </c>
      <c r="C2303" s="124">
        <v>46401</v>
      </c>
      <c r="D2303" s="124" t="s">
        <v>471</v>
      </c>
      <c r="E2303" s="21">
        <v>0.93124125000000002</v>
      </c>
      <c r="F2303" s="10"/>
      <c r="G2303" s="14">
        <v>3081473.68</v>
      </c>
      <c r="H2303" s="14">
        <v>2869595.41</v>
      </c>
      <c r="I2303" s="14">
        <v>3081473.68</v>
      </c>
      <c r="J2303" s="14">
        <v>2869595.41</v>
      </c>
      <c r="K2303" s="12">
        <v>3872</v>
      </c>
      <c r="L2303" s="10" t="s">
        <v>101</v>
      </c>
      <c r="M2303" s="10" t="s">
        <v>102</v>
      </c>
      <c r="N2303" s="124" t="s">
        <v>468</v>
      </c>
      <c r="O2303" s="124" t="s">
        <v>468</v>
      </c>
      <c r="P2303" s="21">
        <v>35</v>
      </c>
      <c r="Q2303" s="10" t="s">
        <v>54</v>
      </c>
      <c r="R2303" s="10" t="s">
        <v>28</v>
      </c>
      <c r="S2303" s="10"/>
      <c r="T2303" s="10"/>
      <c r="U2303" s="10" t="s">
        <v>3840</v>
      </c>
      <c r="V2303" s="10" t="s">
        <v>3840</v>
      </c>
      <c r="W2303" s="50">
        <f>+J2303/$W$2</f>
        <v>3.511996169493415E-5</v>
      </c>
    </row>
    <row r="2304" spans="1:23">
      <c r="A2304" s="10" t="s">
        <v>1426</v>
      </c>
      <c r="B2304" s="10" t="s">
        <v>358</v>
      </c>
      <c r="C2304" s="124">
        <v>46401</v>
      </c>
      <c r="D2304" s="124" t="s">
        <v>471</v>
      </c>
      <c r="E2304" s="21">
        <v>0.93676227000000001</v>
      </c>
      <c r="F2304" s="10"/>
      <c r="G2304" s="14">
        <v>4000000</v>
      </c>
      <c r="H2304" s="14">
        <v>3747049.1</v>
      </c>
      <c r="I2304" s="14">
        <v>4000000</v>
      </c>
      <c r="J2304" s="14">
        <v>3747049.1</v>
      </c>
      <c r="K2304" s="12">
        <v>14390481</v>
      </c>
      <c r="L2304" s="10" t="s">
        <v>101</v>
      </c>
      <c r="M2304" s="10" t="s">
        <v>102</v>
      </c>
      <c r="N2304" s="124" t="s">
        <v>391</v>
      </c>
      <c r="O2304" s="124" t="s">
        <v>391</v>
      </c>
      <c r="P2304" s="21">
        <v>32</v>
      </c>
      <c r="Q2304" s="10" t="s">
        <v>54</v>
      </c>
      <c r="R2304" s="10" t="s">
        <v>28</v>
      </c>
      <c r="S2304" s="10"/>
      <c r="T2304" s="10"/>
      <c r="U2304" s="10" t="s">
        <v>1407</v>
      </c>
      <c r="V2304" s="10" t="s">
        <v>1407</v>
      </c>
      <c r="W2304" s="50">
        <f>+J2304/$W$2</f>
        <v>4.5858806576860769E-5</v>
      </c>
    </row>
    <row r="2305" spans="1:23">
      <c r="A2305" s="10" t="s">
        <v>1750</v>
      </c>
      <c r="B2305" s="10" t="s">
        <v>358</v>
      </c>
      <c r="C2305" s="124">
        <v>46401</v>
      </c>
      <c r="D2305" s="124" t="s">
        <v>471</v>
      </c>
      <c r="E2305" s="21">
        <v>0.93676229</v>
      </c>
      <c r="F2305" s="10"/>
      <c r="G2305" s="14">
        <v>1869225</v>
      </c>
      <c r="H2305" s="14">
        <v>1751019.49</v>
      </c>
      <c r="I2305" s="14">
        <v>1869225</v>
      </c>
      <c r="J2305" s="14">
        <v>1751019.49</v>
      </c>
      <c r="K2305" s="12">
        <v>7</v>
      </c>
      <c r="L2305" s="10" t="s">
        <v>101</v>
      </c>
      <c r="M2305" s="10" t="s">
        <v>102</v>
      </c>
      <c r="N2305" s="124" t="s">
        <v>398</v>
      </c>
      <c r="O2305" s="124" t="s">
        <v>398</v>
      </c>
      <c r="P2305" s="21">
        <v>32</v>
      </c>
      <c r="Q2305" s="10" t="s">
        <v>54</v>
      </c>
      <c r="R2305" s="10" t="s">
        <v>28</v>
      </c>
      <c r="S2305" s="10"/>
      <c r="T2305" s="10"/>
      <c r="U2305" s="10" t="s">
        <v>1690</v>
      </c>
      <c r="V2305" s="10" t="s">
        <v>1690</v>
      </c>
      <c r="W2305" s="50">
        <f>+J2305/$W$2</f>
        <v>2.1430107255392888E-5</v>
      </c>
    </row>
    <row r="2306" spans="1:23">
      <c r="A2306" s="10" t="s">
        <v>453</v>
      </c>
      <c r="B2306" s="10" t="s">
        <v>358</v>
      </c>
      <c r="C2306" s="124">
        <v>46401</v>
      </c>
      <c r="D2306" s="124" t="s">
        <v>471</v>
      </c>
      <c r="E2306" s="21">
        <v>0.94800273999999995</v>
      </c>
      <c r="F2306" s="10"/>
      <c r="G2306" s="14">
        <v>25000000</v>
      </c>
      <c r="H2306" s="14">
        <v>23700068.57</v>
      </c>
      <c r="I2306" s="14">
        <v>25000000</v>
      </c>
      <c r="J2306" s="14">
        <v>23700068.57</v>
      </c>
      <c r="K2306" s="12">
        <v>9508927</v>
      </c>
      <c r="L2306" s="10" t="s">
        <v>101</v>
      </c>
      <c r="M2306" s="10" t="s">
        <v>102</v>
      </c>
      <c r="N2306" s="124" t="s">
        <v>308</v>
      </c>
      <c r="O2306" s="124" t="s">
        <v>308</v>
      </c>
      <c r="P2306" s="21">
        <v>26</v>
      </c>
      <c r="Q2306" s="10" t="s">
        <v>54</v>
      </c>
      <c r="R2306" s="10" t="s">
        <v>28</v>
      </c>
      <c r="S2306" s="10"/>
      <c r="T2306" s="10"/>
      <c r="U2306" s="10" t="s">
        <v>744</v>
      </c>
      <c r="V2306" s="10" t="s">
        <v>744</v>
      </c>
      <c r="W2306" s="50">
        <f>+J2306/$W$2</f>
        <v>2.900567436946495E-4</v>
      </c>
    </row>
    <row r="2307" spans="1:23">
      <c r="A2307" s="10" t="s">
        <v>789</v>
      </c>
      <c r="B2307" s="10" t="s">
        <v>358</v>
      </c>
      <c r="C2307" s="124">
        <v>46401</v>
      </c>
      <c r="D2307" s="124" t="s">
        <v>471</v>
      </c>
      <c r="E2307" s="21">
        <v>0.92941547999999996</v>
      </c>
      <c r="F2307" s="10"/>
      <c r="G2307" s="14">
        <v>4945300.8499999996</v>
      </c>
      <c r="H2307" s="14">
        <v>4596239.18</v>
      </c>
      <c r="I2307" s="14">
        <v>4945300.8499999996</v>
      </c>
      <c r="J2307" s="14">
        <v>4596239.18</v>
      </c>
      <c r="K2307" s="12">
        <v>1380</v>
      </c>
      <c r="L2307" s="10" t="s">
        <v>101</v>
      </c>
      <c r="M2307" s="10" t="s">
        <v>102</v>
      </c>
      <c r="N2307" s="124" t="s">
        <v>450</v>
      </c>
      <c r="O2307" s="124" t="s">
        <v>450</v>
      </c>
      <c r="P2307" s="21">
        <v>36</v>
      </c>
      <c r="Q2307" s="10" t="s">
        <v>54</v>
      </c>
      <c r="R2307" s="10" t="s">
        <v>28</v>
      </c>
      <c r="S2307" s="10"/>
      <c r="T2307" s="10"/>
      <c r="U2307" s="10" t="s">
        <v>3433</v>
      </c>
      <c r="V2307" s="10" t="s">
        <v>3433</v>
      </c>
      <c r="W2307" s="50">
        <f>+J2307/$W$2</f>
        <v>5.6251743148123978E-5</v>
      </c>
    </row>
    <row r="2308" spans="1:23">
      <c r="A2308" s="10" t="s">
        <v>1128</v>
      </c>
      <c r="B2308" s="10" t="s">
        <v>358</v>
      </c>
      <c r="C2308" s="124">
        <v>46401</v>
      </c>
      <c r="D2308" s="124" t="s">
        <v>471</v>
      </c>
      <c r="E2308" s="21">
        <v>0.93124125000000002</v>
      </c>
      <c r="F2308" s="10"/>
      <c r="G2308" s="14">
        <v>2440210.56</v>
      </c>
      <c r="H2308" s="14">
        <v>2272424.7400000002</v>
      </c>
      <c r="I2308" s="14">
        <v>2440210.56</v>
      </c>
      <c r="J2308" s="14">
        <v>2272424.7400000002</v>
      </c>
      <c r="K2308" s="12">
        <v>885</v>
      </c>
      <c r="L2308" s="10" t="s">
        <v>101</v>
      </c>
      <c r="M2308" s="10" t="s">
        <v>102</v>
      </c>
      <c r="N2308" s="124" t="s">
        <v>468</v>
      </c>
      <c r="O2308" s="124" t="s">
        <v>468</v>
      </c>
      <c r="P2308" s="21">
        <v>35</v>
      </c>
      <c r="Q2308" s="10" t="s">
        <v>54</v>
      </c>
      <c r="R2308" s="10" t="s">
        <v>28</v>
      </c>
      <c r="S2308" s="10"/>
      <c r="T2308" s="10"/>
      <c r="U2308" s="10" t="s">
        <v>3845</v>
      </c>
      <c r="V2308" s="10" t="s">
        <v>3845</v>
      </c>
      <c r="W2308" s="50">
        <f>+J2308/$W$2</f>
        <v>2.7811401407078741E-5</v>
      </c>
    </row>
    <row r="2309" spans="1:23">
      <c r="A2309" s="10" t="s">
        <v>3572</v>
      </c>
      <c r="B2309" s="10" t="s">
        <v>358</v>
      </c>
      <c r="C2309" s="124">
        <v>46401</v>
      </c>
      <c r="D2309" s="124" t="s">
        <v>471</v>
      </c>
      <c r="E2309" s="21">
        <v>0.93491475999999996</v>
      </c>
      <c r="F2309" s="10"/>
      <c r="G2309" s="14">
        <v>3273081.48</v>
      </c>
      <c r="H2309" s="14">
        <v>3060052.18</v>
      </c>
      <c r="I2309" s="14">
        <v>3273081.48</v>
      </c>
      <c r="J2309" s="14">
        <v>3060052.18</v>
      </c>
      <c r="K2309" s="12">
        <v>13981360</v>
      </c>
      <c r="L2309" s="10" t="s">
        <v>101</v>
      </c>
      <c r="M2309" s="10" t="s">
        <v>102</v>
      </c>
      <c r="N2309" s="124" t="s">
        <v>451</v>
      </c>
      <c r="O2309" s="124" t="s">
        <v>451</v>
      </c>
      <c r="P2309" s="21">
        <v>33</v>
      </c>
      <c r="Q2309" s="10" t="s">
        <v>54</v>
      </c>
      <c r="R2309" s="10" t="s">
        <v>28</v>
      </c>
      <c r="S2309" s="10"/>
      <c r="T2309" s="10"/>
      <c r="U2309" s="10" t="s">
        <v>3566</v>
      </c>
      <c r="V2309" s="10" t="s">
        <v>3566</v>
      </c>
      <c r="W2309" s="50">
        <f>+J2309/$W$2</f>
        <v>3.7450894635386852E-5</v>
      </c>
    </row>
    <row r="2310" spans="1:23">
      <c r="A2310" s="10" t="s">
        <v>623</v>
      </c>
      <c r="B2310" s="10" t="s">
        <v>358</v>
      </c>
      <c r="C2310" s="124">
        <v>46401</v>
      </c>
      <c r="D2310" s="124" t="s">
        <v>471</v>
      </c>
      <c r="E2310" s="21">
        <v>0.93124143999999998</v>
      </c>
      <c r="F2310" s="10"/>
      <c r="G2310" s="14">
        <v>3000000</v>
      </c>
      <c r="H2310" s="14">
        <v>2793724.32</v>
      </c>
      <c r="I2310" s="14">
        <v>3000000</v>
      </c>
      <c r="J2310" s="14">
        <v>2793724.32</v>
      </c>
      <c r="K2310" s="12">
        <v>49</v>
      </c>
      <c r="L2310" s="10" t="s">
        <v>101</v>
      </c>
      <c r="M2310" s="10" t="s">
        <v>102</v>
      </c>
      <c r="N2310" s="124" t="s">
        <v>446</v>
      </c>
      <c r="O2310" s="124" t="s">
        <v>446</v>
      </c>
      <c r="P2310" s="21">
        <v>35</v>
      </c>
      <c r="Q2310" s="10" t="s">
        <v>54</v>
      </c>
      <c r="R2310" s="10" t="s">
        <v>28</v>
      </c>
      <c r="S2310" s="10"/>
      <c r="T2310" s="10"/>
      <c r="U2310" s="10" t="s">
        <v>3083</v>
      </c>
      <c r="V2310" s="10" t="s">
        <v>3083</v>
      </c>
      <c r="W2310" s="50">
        <f>+J2310/$W$2</f>
        <v>3.419140230106722E-5</v>
      </c>
    </row>
    <row r="2311" spans="1:23">
      <c r="A2311" s="10" t="s">
        <v>623</v>
      </c>
      <c r="B2311" s="10" t="s">
        <v>358</v>
      </c>
      <c r="C2311" s="124">
        <v>46401</v>
      </c>
      <c r="D2311" s="124" t="s">
        <v>471</v>
      </c>
      <c r="E2311" s="21">
        <v>0.93491469999999999</v>
      </c>
      <c r="F2311" s="10"/>
      <c r="G2311" s="14">
        <v>2500000</v>
      </c>
      <c r="H2311" s="14">
        <v>2337286.75</v>
      </c>
      <c r="I2311" s="14">
        <v>2500000</v>
      </c>
      <c r="J2311" s="14">
        <v>2337286.75</v>
      </c>
      <c r="K2311" s="12">
        <v>31</v>
      </c>
      <c r="L2311" s="10" t="s">
        <v>101</v>
      </c>
      <c r="M2311" s="10" t="s">
        <v>102</v>
      </c>
      <c r="N2311" s="124" t="s">
        <v>508</v>
      </c>
      <c r="O2311" s="124" t="s">
        <v>508</v>
      </c>
      <c r="P2311" s="21">
        <v>33</v>
      </c>
      <c r="Q2311" s="10" t="s">
        <v>54</v>
      </c>
      <c r="R2311" s="10" t="s">
        <v>28</v>
      </c>
      <c r="S2311" s="10"/>
      <c r="T2311" s="10"/>
      <c r="U2311" s="10" t="s">
        <v>3020</v>
      </c>
      <c r="V2311" s="10" t="s">
        <v>3020</v>
      </c>
      <c r="W2311" s="50">
        <f>+J2311/$W$2</f>
        <v>2.8605224570692047E-5</v>
      </c>
    </row>
    <row r="2312" spans="1:23">
      <c r="A2312" s="10" t="s">
        <v>574</v>
      </c>
      <c r="B2312" s="10" t="s">
        <v>358</v>
      </c>
      <c r="C2312" s="124">
        <v>46401</v>
      </c>
      <c r="D2312" s="124" t="s">
        <v>471</v>
      </c>
      <c r="E2312" s="21">
        <v>0.94047950000000002</v>
      </c>
      <c r="F2312" s="10"/>
      <c r="G2312" s="14">
        <v>150000000</v>
      </c>
      <c r="H2312" s="14">
        <v>141071924.78999999</v>
      </c>
      <c r="I2312" s="14">
        <v>150000000</v>
      </c>
      <c r="J2312" s="14">
        <v>141071924.78999999</v>
      </c>
      <c r="K2312" s="12">
        <v>90004403</v>
      </c>
      <c r="L2312" s="10" t="s">
        <v>101</v>
      </c>
      <c r="M2312" s="10" t="s">
        <v>102</v>
      </c>
      <c r="N2312" s="124" t="s">
        <v>471</v>
      </c>
      <c r="O2312" s="124" t="s">
        <v>471</v>
      </c>
      <c r="P2312" s="21">
        <v>30</v>
      </c>
      <c r="Q2312" s="10" t="s">
        <v>54</v>
      </c>
      <c r="R2312" s="10" t="s">
        <v>28</v>
      </c>
      <c r="S2312" s="10"/>
      <c r="T2312" s="10"/>
      <c r="U2312" s="10" t="s">
        <v>4125</v>
      </c>
      <c r="V2312" s="10" t="s">
        <v>4125</v>
      </c>
      <c r="W2312" s="50">
        <f>+J2312/$W$2</f>
        <v>1.7265293140594446E-3</v>
      </c>
    </row>
    <row r="2313" spans="1:23">
      <c r="A2313" s="10" t="s">
        <v>574</v>
      </c>
      <c r="B2313" s="10" t="s">
        <v>358</v>
      </c>
      <c r="C2313" s="124">
        <v>46401</v>
      </c>
      <c r="D2313" s="124" t="s">
        <v>471</v>
      </c>
      <c r="E2313" s="21">
        <v>0.94047950000000002</v>
      </c>
      <c r="F2313" s="10"/>
      <c r="G2313" s="14">
        <v>100000000</v>
      </c>
      <c r="H2313" s="14">
        <v>94047949.859999999</v>
      </c>
      <c r="I2313" s="14">
        <v>100000000</v>
      </c>
      <c r="J2313" s="14">
        <v>94047949.859999999</v>
      </c>
      <c r="K2313" s="12">
        <v>90004380</v>
      </c>
      <c r="L2313" s="10" t="s">
        <v>101</v>
      </c>
      <c r="M2313" s="10" t="s">
        <v>102</v>
      </c>
      <c r="N2313" s="124" t="s">
        <v>466</v>
      </c>
      <c r="O2313" s="124" t="s">
        <v>466</v>
      </c>
      <c r="P2313" s="21">
        <v>30</v>
      </c>
      <c r="Q2313" s="10" t="s">
        <v>54</v>
      </c>
      <c r="R2313" s="10" t="s">
        <v>28</v>
      </c>
      <c r="S2313" s="10"/>
      <c r="T2313" s="10"/>
      <c r="U2313" s="10" t="s">
        <v>3607</v>
      </c>
      <c r="V2313" s="10" t="s">
        <v>3607</v>
      </c>
      <c r="W2313" s="50">
        <f>+J2313/$W$2</f>
        <v>1.1510195427062964E-3</v>
      </c>
    </row>
    <row r="2314" spans="1:23">
      <c r="A2314" s="10" t="s">
        <v>574</v>
      </c>
      <c r="B2314" s="10" t="s">
        <v>358</v>
      </c>
      <c r="C2314" s="124">
        <v>46401</v>
      </c>
      <c r="D2314" s="124" t="s">
        <v>471</v>
      </c>
      <c r="E2314" s="21">
        <v>0.94047932000000001</v>
      </c>
      <c r="F2314" s="10"/>
      <c r="G2314" s="14">
        <v>25000000</v>
      </c>
      <c r="H2314" s="14">
        <v>23511982.899999999</v>
      </c>
      <c r="I2314" s="14">
        <v>25000000</v>
      </c>
      <c r="J2314" s="14">
        <v>23511982.899999999</v>
      </c>
      <c r="K2314" s="12">
        <v>90004234</v>
      </c>
      <c r="L2314" s="10" t="s">
        <v>101</v>
      </c>
      <c r="M2314" s="10" t="s">
        <v>102</v>
      </c>
      <c r="N2314" s="124" t="s">
        <v>576</v>
      </c>
      <c r="O2314" s="124" t="s">
        <v>576</v>
      </c>
      <c r="P2314" s="21">
        <v>30</v>
      </c>
      <c r="Q2314" s="10" t="s">
        <v>54</v>
      </c>
      <c r="R2314" s="10" t="s">
        <v>28</v>
      </c>
      <c r="S2314" s="10"/>
      <c r="T2314" s="10"/>
      <c r="U2314" s="10" t="s">
        <v>2356</v>
      </c>
      <c r="V2314" s="10" t="s">
        <v>2356</v>
      </c>
      <c r="W2314" s="50">
        <f>+J2314/$W$2</f>
        <v>2.8775482980715619E-4</v>
      </c>
    </row>
    <row r="2315" spans="1:23">
      <c r="A2315" s="10" t="s">
        <v>565</v>
      </c>
      <c r="B2315" s="10" t="s">
        <v>358</v>
      </c>
      <c r="C2315" s="124">
        <v>46401</v>
      </c>
      <c r="D2315" s="124" t="s">
        <v>471</v>
      </c>
      <c r="E2315" s="21">
        <v>0.93491477000000001</v>
      </c>
      <c r="F2315" s="10"/>
      <c r="G2315" s="14">
        <v>10000000</v>
      </c>
      <c r="H2315" s="14">
        <v>9349147.6899999995</v>
      </c>
      <c r="I2315" s="14">
        <v>10000000</v>
      </c>
      <c r="J2315" s="14">
        <v>9349147.6899999995</v>
      </c>
      <c r="K2315" s="12">
        <v>90002382</v>
      </c>
      <c r="L2315" s="10" t="s">
        <v>101</v>
      </c>
      <c r="M2315" s="10" t="s">
        <v>102</v>
      </c>
      <c r="N2315" s="124" t="s">
        <v>446</v>
      </c>
      <c r="O2315" s="124" t="s">
        <v>446</v>
      </c>
      <c r="P2315" s="21">
        <v>33</v>
      </c>
      <c r="Q2315" s="10" t="s">
        <v>54</v>
      </c>
      <c r="R2315" s="10" t="s">
        <v>28</v>
      </c>
      <c r="S2315" s="10"/>
      <c r="T2315" s="10"/>
      <c r="U2315" s="10" t="s">
        <v>3077</v>
      </c>
      <c r="V2315" s="10" t="s">
        <v>3077</v>
      </c>
      <c r="W2315" s="50">
        <f>+J2315/$W$2</f>
        <v>1.1442090672743376E-4</v>
      </c>
    </row>
    <row r="2316" spans="1:23">
      <c r="A2316" s="10" t="s">
        <v>3166</v>
      </c>
      <c r="B2316" s="10" t="s">
        <v>358</v>
      </c>
      <c r="C2316" s="124">
        <v>46401</v>
      </c>
      <c r="D2316" s="124" t="s">
        <v>471</v>
      </c>
      <c r="E2316" s="21">
        <v>0.94047928999999997</v>
      </c>
      <c r="F2316" s="10"/>
      <c r="G2316" s="14">
        <v>4175312.5</v>
      </c>
      <c r="H2316" s="14">
        <v>3926794.95</v>
      </c>
      <c r="I2316" s="14">
        <v>4175312.5</v>
      </c>
      <c r="J2316" s="14">
        <v>3926794.95</v>
      </c>
      <c r="K2316" s="12">
        <v>40952856</v>
      </c>
      <c r="L2316" s="10" t="s">
        <v>101</v>
      </c>
      <c r="M2316" s="10" t="s">
        <v>102</v>
      </c>
      <c r="N2316" s="124" t="s">
        <v>475</v>
      </c>
      <c r="O2316" s="124" t="s">
        <v>475</v>
      </c>
      <c r="P2316" s="21">
        <v>30</v>
      </c>
      <c r="Q2316" s="10" t="s">
        <v>54</v>
      </c>
      <c r="R2316" s="10" t="s">
        <v>28</v>
      </c>
      <c r="S2316" s="10"/>
      <c r="T2316" s="10"/>
      <c r="U2316" s="10" t="s">
        <v>3386</v>
      </c>
      <c r="V2316" s="10" t="s">
        <v>3386</v>
      </c>
      <c r="W2316" s="50">
        <f>+J2316/$W$2</f>
        <v>4.8058652361679392E-5</v>
      </c>
    </row>
    <row r="2317" spans="1:23">
      <c r="A2317" s="10" t="s">
        <v>432</v>
      </c>
      <c r="B2317" s="10" t="s">
        <v>125</v>
      </c>
      <c r="C2317" s="124">
        <v>46401</v>
      </c>
      <c r="D2317" s="124" t="s">
        <v>471</v>
      </c>
      <c r="E2317" s="21">
        <v>0.98340373000000003</v>
      </c>
      <c r="F2317" s="10" t="s">
        <v>4162</v>
      </c>
      <c r="G2317" s="14">
        <v>18230</v>
      </c>
      <c r="H2317" s="14">
        <v>17927.45</v>
      </c>
      <c r="I2317" s="14">
        <v>28066780.77</v>
      </c>
      <c r="J2317" s="14">
        <v>27600976.899999999</v>
      </c>
      <c r="K2317" s="12">
        <v>146448</v>
      </c>
      <c r="L2317" s="10" t="s">
        <v>101</v>
      </c>
      <c r="M2317" s="10" t="s">
        <v>102</v>
      </c>
      <c r="N2317" s="124" t="s">
        <v>294</v>
      </c>
      <c r="O2317" s="124" t="s">
        <v>294</v>
      </c>
      <c r="P2317" s="21">
        <v>8</v>
      </c>
      <c r="Q2317" s="10" t="s">
        <v>54</v>
      </c>
      <c r="R2317" s="10" t="s">
        <v>28</v>
      </c>
      <c r="S2317" s="10"/>
      <c r="T2317" s="10"/>
      <c r="U2317" s="10" t="s">
        <v>428</v>
      </c>
      <c r="V2317" s="10" t="s">
        <v>428</v>
      </c>
      <c r="W2317" s="50">
        <f>+J2317/$W$2</f>
        <v>3.3779857888424842E-4</v>
      </c>
    </row>
    <row r="2318" spans="1:23">
      <c r="A2318" s="10" t="s">
        <v>2016</v>
      </c>
      <c r="B2318" s="10" t="s">
        <v>358</v>
      </c>
      <c r="C2318" s="124">
        <v>46402</v>
      </c>
      <c r="D2318" s="124" t="s">
        <v>471</v>
      </c>
      <c r="E2318" s="21">
        <v>0.94164397</v>
      </c>
      <c r="F2318" s="10"/>
      <c r="G2318" s="14">
        <v>3472830.99</v>
      </c>
      <c r="H2318" s="14">
        <v>3270170.35</v>
      </c>
      <c r="I2318" s="14">
        <v>3472830.99</v>
      </c>
      <c r="J2318" s="14">
        <v>3270170.35</v>
      </c>
      <c r="K2318" s="12">
        <v>6541</v>
      </c>
      <c r="L2318" s="10" t="s">
        <v>101</v>
      </c>
      <c r="M2318" s="10" t="s">
        <v>102</v>
      </c>
      <c r="N2318" s="124" t="s">
        <v>469</v>
      </c>
      <c r="O2318" s="124" t="s">
        <v>469</v>
      </c>
      <c r="P2318" s="21">
        <v>29</v>
      </c>
      <c r="Q2318" s="10" t="s">
        <v>54</v>
      </c>
      <c r="R2318" s="10" t="s">
        <v>28</v>
      </c>
      <c r="S2318" s="10"/>
      <c r="T2318" s="10"/>
      <c r="U2318" s="10" t="s">
        <v>3924</v>
      </c>
      <c r="V2318" s="10" t="s">
        <v>3924</v>
      </c>
      <c r="W2318" s="50">
        <f>+J2318/$W$2</f>
        <v>4.0022456485567557E-5</v>
      </c>
    </row>
    <row r="2319" spans="1:23">
      <c r="A2319" s="10" t="s">
        <v>2016</v>
      </c>
      <c r="B2319" s="10" t="s">
        <v>358</v>
      </c>
      <c r="C2319" s="124">
        <v>46402</v>
      </c>
      <c r="D2319" s="124" t="s">
        <v>471</v>
      </c>
      <c r="E2319" s="21">
        <v>0.94164397</v>
      </c>
      <c r="F2319" s="10"/>
      <c r="G2319" s="14">
        <v>11916548.66</v>
      </c>
      <c r="H2319" s="14">
        <v>11221146.18</v>
      </c>
      <c r="I2319" s="14">
        <v>11916548.66</v>
      </c>
      <c r="J2319" s="14">
        <v>11221146.18</v>
      </c>
      <c r="K2319" s="12">
        <v>22888</v>
      </c>
      <c r="L2319" s="10" t="s">
        <v>101</v>
      </c>
      <c r="M2319" s="10" t="s">
        <v>102</v>
      </c>
      <c r="N2319" s="124" t="s">
        <v>469</v>
      </c>
      <c r="O2319" s="124" t="s">
        <v>469</v>
      </c>
      <c r="P2319" s="21">
        <v>29</v>
      </c>
      <c r="Q2319" s="10" t="s">
        <v>54</v>
      </c>
      <c r="R2319" s="10" t="s">
        <v>28</v>
      </c>
      <c r="S2319" s="10"/>
      <c r="T2319" s="10"/>
      <c r="U2319" s="10" t="s">
        <v>3927</v>
      </c>
      <c r="V2319" s="10" t="s">
        <v>3927</v>
      </c>
      <c r="W2319" s="50">
        <f>+J2319/$W$2</f>
        <v>1.3733163310811702E-4</v>
      </c>
    </row>
    <row r="2320" spans="1:23">
      <c r="A2320" s="10" t="s">
        <v>334</v>
      </c>
      <c r="B2320" s="10" t="s">
        <v>358</v>
      </c>
      <c r="C2320" s="124">
        <v>46402</v>
      </c>
      <c r="D2320" s="124" t="s">
        <v>471</v>
      </c>
      <c r="E2320" s="21">
        <v>0.93041063999999996</v>
      </c>
      <c r="F2320" s="10"/>
      <c r="G2320" s="14">
        <v>3081473.68</v>
      </c>
      <c r="H2320" s="14">
        <v>2867035.89</v>
      </c>
      <c r="I2320" s="14">
        <v>3081473.68</v>
      </c>
      <c r="J2320" s="14">
        <v>2867035.89</v>
      </c>
      <c r="K2320" s="12">
        <v>3873</v>
      </c>
      <c r="L2320" s="10" t="s">
        <v>101</v>
      </c>
      <c r="M2320" s="10" t="s">
        <v>102</v>
      </c>
      <c r="N2320" s="124" t="s">
        <v>468</v>
      </c>
      <c r="O2320" s="124" t="s">
        <v>468</v>
      </c>
      <c r="P2320" s="21">
        <v>35</v>
      </c>
      <c r="Q2320" s="10" t="s">
        <v>54</v>
      </c>
      <c r="R2320" s="10" t="s">
        <v>28</v>
      </c>
      <c r="S2320" s="10"/>
      <c r="T2320" s="10"/>
      <c r="U2320" s="10" t="s">
        <v>3841</v>
      </c>
      <c r="V2320" s="10" t="s">
        <v>3841</v>
      </c>
      <c r="W2320" s="50">
        <f>+J2320/$W$2</f>
        <v>3.5088636636340813E-5</v>
      </c>
    </row>
    <row r="2321" spans="1:29">
      <c r="A2321" s="10" t="s">
        <v>443</v>
      </c>
      <c r="B2321" s="10" t="s">
        <v>358</v>
      </c>
      <c r="C2321" s="124">
        <v>46402</v>
      </c>
      <c r="D2321" s="124" t="s">
        <v>471</v>
      </c>
      <c r="E2321" s="21">
        <v>0.93786944000000005</v>
      </c>
      <c r="F2321" s="10"/>
      <c r="G2321" s="14">
        <v>3700000</v>
      </c>
      <c r="H2321" s="14">
        <v>3470116.92</v>
      </c>
      <c r="I2321" s="14">
        <v>3700000</v>
      </c>
      <c r="J2321" s="14">
        <v>3470116.92</v>
      </c>
      <c r="K2321" s="12">
        <v>164545</v>
      </c>
      <c r="L2321" s="10" t="s">
        <v>101</v>
      </c>
      <c r="M2321" s="10" t="s">
        <v>102</v>
      </c>
      <c r="N2321" s="124" t="s">
        <v>449</v>
      </c>
      <c r="O2321" s="124" t="s">
        <v>449</v>
      </c>
      <c r="P2321" s="21">
        <v>31</v>
      </c>
      <c r="Q2321" s="10" t="s">
        <v>54</v>
      </c>
      <c r="R2321" s="10" t="s">
        <v>28</v>
      </c>
      <c r="S2321" s="10"/>
      <c r="T2321" s="10"/>
      <c r="U2321" s="10" t="s">
        <v>1909</v>
      </c>
      <c r="V2321" s="10" t="s">
        <v>1909</v>
      </c>
      <c r="W2321" s="50">
        <f>+J2321/$W$2</f>
        <v>4.2469531726544979E-5</v>
      </c>
    </row>
    <row r="2322" spans="1:29">
      <c r="A2322" s="10" t="s">
        <v>1635</v>
      </c>
      <c r="B2322" s="10" t="s">
        <v>358</v>
      </c>
      <c r="C2322" s="124">
        <v>46402</v>
      </c>
      <c r="D2322" s="124" t="s">
        <v>471</v>
      </c>
      <c r="E2322" s="21">
        <v>0.93599348999999998</v>
      </c>
      <c r="F2322" s="10"/>
      <c r="G2322" s="14">
        <v>9084444.3200000003</v>
      </c>
      <c r="H2322" s="14">
        <v>8502980.7200000007</v>
      </c>
      <c r="I2322" s="14">
        <v>9084444.3200000003</v>
      </c>
      <c r="J2322" s="14">
        <v>8502980.7200000007</v>
      </c>
      <c r="K2322" s="12">
        <v>2608</v>
      </c>
      <c r="L2322" s="10" t="s">
        <v>101</v>
      </c>
      <c r="M2322" s="10" t="s">
        <v>102</v>
      </c>
      <c r="N2322" s="124" t="s">
        <v>447</v>
      </c>
      <c r="O2322" s="124" t="s">
        <v>447</v>
      </c>
      <c r="P2322" s="21">
        <v>32</v>
      </c>
      <c r="Q2322" s="10" t="s">
        <v>54</v>
      </c>
      <c r="R2322" s="10" t="s">
        <v>28</v>
      </c>
      <c r="S2322" s="10"/>
      <c r="T2322" s="10"/>
      <c r="U2322" s="10" t="s">
        <v>1623</v>
      </c>
      <c r="V2322" s="10" t="s">
        <v>1623</v>
      </c>
      <c r="W2322" s="50">
        <f>+J2322/$W$2</f>
        <v>1.0406496892855135E-4</v>
      </c>
      <c r="AC2322" s="47"/>
    </row>
    <row r="2323" spans="1:29">
      <c r="A2323" s="10" t="s">
        <v>141</v>
      </c>
      <c r="B2323" s="10" t="s">
        <v>358</v>
      </c>
      <c r="C2323" s="124">
        <v>46402</v>
      </c>
      <c r="D2323" s="124" t="s">
        <v>471</v>
      </c>
      <c r="E2323" s="21">
        <v>0.93412512000000003</v>
      </c>
      <c r="F2323" s="10"/>
      <c r="G2323" s="14">
        <v>22500000</v>
      </c>
      <c r="H2323" s="14">
        <v>21017815.170000002</v>
      </c>
      <c r="I2323" s="14">
        <v>22500000</v>
      </c>
      <c r="J2323" s="14">
        <v>21017815.170000002</v>
      </c>
      <c r="K2323" s="12">
        <v>396</v>
      </c>
      <c r="L2323" s="10" t="s">
        <v>101</v>
      </c>
      <c r="M2323" s="10" t="s">
        <v>102</v>
      </c>
      <c r="N2323" s="124" t="s">
        <v>446</v>
      </c>
      <c r="O2323" s="124" t="s">
        <v>446</v>
      </c>
      <c r="P2323" s="21">
        <v>33</v>
      </c>
      <c r="Q2323" s="10" t="s">
        <v>54</v>
      </c>
      <c r="R2323" s="10" t="s">
        <v>28</v>
      </c>
      <c r="S2323" s="10"/>
      <c r="T2323" s="10"/>
      <c r="U2323" s="10" t="s">
        <v>3069</v>
      </c>
      <c r="V2323" s="10" t="s">
        <v>3069</v>
      </c>
      <c r="W2323" s="50">
        <f>+J2323/$W$2</f>
        <v>2.5722959449590345E-4</v>
      </c>
    </row>
    <row r="2324" spans="1:29">
      <c r="A2324" s="10" t="s">
        <v>575</v>
      </c>
      <c r="B2324" s="10" t="s">
        <v>358</v>
      </c>
      <c r="C2324" s="124">
        <v>46402</v>
      </c>
      <c r="D2324" s="124" t="s">
        <v>471</v>
      </c>
      <c r="E2324" s="21">
        <v>0.93412519999999999</v>
      </c>
      <c r="F2324" s="10"/>
      <c r="G2324" s="14">
        <v>2200000</v>
      </c>
      <c r="H2324" s="14">
        <v>2055075.44</v>
      </c>
      <c r="I2324" s="14">
        <v>2200000</v>
      </c>
      <c r="J2324" s="14">
        <v>2055075.44</v>
      </c>
      <c r="K2324" s="12">
        <v>6763</v>
      </c>
      <c r="L2324" s="10" t="s">
        <v>101</v>
      </c>
      <c r="M2324" s="10" t="s">
        <v>102</v>
      </c>
      <c r="N2324" s="124" t="s">
        <v>603</v>
      </c>
      <c r="O2324" s="124" t="s">
        <v>603</v>
      </c>
      <c r="P2324" s="21">
        <v>33</v>
      </c>
      <c r="Q2324" s="10" t="s">
        <v>54</v>
      </c>
      <c r="R2324" s="10" t="s">
        <v>28</v>
      </c>
      <c r="S2324" s="10"/>
      <c r="T2324" s="10"/>
      <c r="U2324" s="10" t="s">
        <v>2619</v>
      </c>
      <c r="V2324" s="10" t="s">
        <v>2619</v>
      </c>
      <c r="W2324" s="50">
        <f>+J2324/$W$2</f>
        <v>2.5151340318390019E-5</v>
      </c>
    </row>
    <row r="2325" spans="1:29">
      <c r="A2325" s="10" t="s">
        <v>789</v>
      </c>
      <c r="B2325" s="10" t="s">
        <v>358</v>
      </c>
      <c r="C2325" s="124">
        <v>46402</v>
      </c>
      <c r="D2325" s="124" t="s">
        <v>471</v>
      </c>
      <c r="E2325" s="21">
        <v>0.92856421</v>
      </c>
      <c r="F2325" s="10"/>
      <c r="G2325" s="14">
        <v>4945300.8499999996</v>
      </c>
      <c r="H2325" s="14">
        <v>4592029.37</v>
      </c>
      <c r="I2325" s="14">
        <v>4945300.8499999996</v>
      </c>
      <c r="J2325" s="14">
        <v>4592029.37</v>
      </c>
      <c r="K2325" s="12">
        <v>1381</v>
      </c>
      <c r="L2325" s="10" t="s">
        <v>101</v>
      </c>
      <c r="M2325" s="10" t="s">
        <v>102</v>
      </c>
      <c r="N2325" s="124" t="s">
        <v>450</v>
      </c>
      <c r="O2325" s="124" t="s">
        <v>450</v>
      </c>
      <c r="P2325" s="21">
        <v>36</v>
      </c>
      <c r="Q2325" s="10" t="s">
        <v>54</v>
      </c>
      <c r="R2325" s="10" t="s">
        <v>28</v>
      </c>
      <c r="S2325" s="10"/>
      <c r="T2325" s="10"/>
      <c r="U2325" s="10" t="s">
        <v>3434</v>
      </c>
      <c r="V2325" s="10" t="s">
        <v>3434</v>
      </c>
      <c r="W2325" s="50">
        <f>+J2325/$W$2</f>
        <v>5.620022077482086E-5</v>
      </c>
    </row>
    <row r="2326" spans="1:29">
      <c r="A2326" s="10" t="s">
        <v>1128</v>
      </c>
      <c r="B2326" s="10" t="s">
        <v>358</v>
      </c>
      <c r="C2326" s="124">
        <v>46402</v>
      </c>
      <c r="D2326" s="124" t="s">
        <v>471</v>
      </c>
      <c r="E2326" s="21">
        <v>0.93041063999999996</v>
      </c>
      <c r="F2326" s="10"/>
      <c r="G2326" s="14">
        <v>2440210.56</v>
      </c>
      <c r="H2326" s="14">
        <v>2270397.86</v>
      </c>
      <c r="I2326" s="14">
        <v>2440210.56</v>
      </c>
      <c r="J2326" s="14">
        <v>2270397.86</v>
      </c>
      <c r="K2326" s="12">
        <v>884</v>
      </c>
      <c r="L2326" s="10" t="s">
        <v>101</v>
      </c>
      <c r="M2326" s="10" t="s">
        <v>102</v>
      </c>
      <c r="N2326" s="124" t="s">
        <v>468</v>
      </c>
      <c r="O2326" s="124" t="s">
        <v>468</v>
      </c>
      <c r="P2326" s="21">
        <v>35</v>
      </c>
      <c r="Q2326" s="10" t="s">
        <v>54</v>
      </c>
      <c r="R2326" s="10" t="s">
        <v>28</v>
      </c>
      <c r="S2326" s="10"/>
      <c r="T2326" s="10"/>
      <c r="U2326" s="10" t="s">
        <v>3846</v>
      </c>
      <c r="V2326" s="10" t="s">
        <v>3846</v>
      </c>
      <c r="W2326" s="50">
        <f>+J2326/$W$2</f>
        <v>2.7786595140762529E-5</v>
      </c>
    </row>
    <row r="2327" spans="1:29">
      <c r="A2327" s="10" t="s">
        <v>3573</v>
      </c>
      <c r="B2327" s="10" t="s">
        <v>358</v>
      </c>
      <c r="C2327" s="124">
        <v>46402</v>
      </c>
      <c r="D2327" s="124" t="s">
        <v>471</v>
      </c>
      <c r="E2327" s="21">
        <v>0.93975293999999998</v>
      </c>
      <c r="F2327" s="10"/>
      <c r="G2327" s="14">
        <v>2006000</v>
      </c>
      <c r="H2327" s="14">
        <v>1885144.39</v>
      </c>
      <c r="I2327" s="14">
        <v>2006000</v>
      </c>
      <c r="J2327" s="14">
        <v>1885144.39</v>
      </c>
      <c r="K2327" s="12">
        <v>70556048</v>
      </c>
      <c r="L2327" s="10" t="s">
        <v>101</v>
      </c>
      <c r="M2327" s="10" t="s">
        <v>102</v>
      </c>
      <c r="N2327" s="124" t="s">
        <v>451</v>
      </c>
      <c r="O2327" s="124" t="s">
        <v>451</v>
      </c>
      <c r="P2327" s="21">
        <v>30</v>
      </c>
      <c r="Q2327" s="10" t="s">
        <v>54</v>
      </c>
      <c r="R2327" s="10" t="s">
        <v>28</v>
      </c>
      <c r="S2327" s="10"/>
      <c r="T2327" s="10"/>
      <c r="U2327" s="10" t="s">
        <v>3543</v>
      </c>
      <c r="V2327" s="10" t="s">
        <v>3543</v>
      </c>
      <c r="W2327" s="50">
        <f>+J2327/$W$2</f>
        <v>2.307161439396782E-5</v>
      </c>
    </row>
    <row r="2328" spans="1:29">
      <c r="A2328" s="10" t="s">
        <v>832</v>
      </c>
      <c r="B2328" s="10" t="s">
        <v>358</v>
      </c>
      <c r="C2328" s="124">
        <v>46402</v>
      </c>
      <c r="D2328" s="124" t="s">
        <v>471</v>
      </c>
      <c r="E2328" s="21">
        <v>0.93041039000000003</v>
      </c>
      <c r="F2328" s="10"/>
      <c r="G2328" s="14">
        <v>335087.09999999998</v>
      </c>
      <c r="H2328" s="14">
        <v>311768.52</v>
      </c>
      <c r="I2328" s="14">
        <v>335087.09999999998</v>
      </c>
      <c r="J2328" s="14">
        <v>311768.52</v>
      </c>
      <c r="K2328" s="12">
        <v>30105966</v>
      </c>
      <c r="L2328" s="10" t="s">
        <v>101</v>
      </c>
      <c r="M2328" s="10" t="s">
        <v>102</v>
      </c>
      <c r="N2328" s="124" t="s">
        <v>417</v>
      </c>
      <c r="O2328" s="124" t="s">
        <v>417</v>
      </c>
      <c r="P2328" s="21">
        <v>35</v>
      </c>
      <c r="Q2328" s="10" t="s">
        <v>54</v>
      </c>
      <c r="R2328" s="10" t="s">
        <v>28</v>
      </c>
      <c r="S2328" s="10"/>
      <c r="T2328" s="10"/>
      <c r="U2328" s="10" t="s">
        <v>3214</v>
      </c>
      <c r="V2328" s="10" t="s">
        <v>3214</v>
      </c>
      <c r="W2328" s="50">
        <f>+J2328/$W$2</f>
        <v>3.8156244751194074E-6</v>
      </c>
    </row>
    <row r="2329" spans="1:29">
      <c r="A2329" s="10" t="s">
        <v>3597</v>
      </c>
      <c r="B2329" s="10" t="s">
        <v>358</v>
      </c>
      <c r="C2329" s="124">
        <v>46402</v>
      </c>
      <c r="D2329" s="124" t="s">
        <v>471</v>
      </c>
      <c r="E2329" s="21">
        <v>0.93226410000000004</v>
      </c>
      <c r="F2329" s="10"/>
      <c r="G2329" s="14">
        <v>1000000</v>
      </c>
      <c r="H2329" s="14">
        <v>932264.1</v>
      </c>
      <c r="I2329" s="14">
        <v>1000000</v>
      </c>
      <c r="J2329" s="14">
        <v>932264.1</v>
      </c>
      <c r="K2329" s="12">
        <v>90000135</v>
      </c>
      <c r="L2329" s="10" t="s">
        <v>101</v>
      </c>
      <c r="M2329" s="10" t="s">
        <v>102</v>
      </c>
      <c r="N2329" s="124" t="s">
        <v>451</v>
      </c>
      <c r="O2329" s="124" t="s">
        <v>451</v>
      </c>
      <c r="P2329" s="21">
        <v>34</v>
      </c>
      <c r="Q2329" s="10" t="s">
        <v>54</v>
      </c>
      <c r="R2329" s="10" t="s">
        <v>28</v>
      </c>
      <c r="S2329" s="10"/>
      <c r="T2329" s="10"/>
      <c r="U2329" s="10" t="s">
        <v>3459</v>
      </c>
      <c r="V2329" s="10" t="s">
        <v>3459</v>
      </c>
      <c r="W2329" s="50">
        <f>+J2329/$W$2</f>
        <v>1.1409650073827744E-5</v>
      </c>
    </row>
    <row r="2330" spans="1:29">
      <c r="A2330" s="10" t="s">
        <v>2757</v>
      </c>
      <c r="B2330" s="10" t="s">
        <v>358</v>
      </c>
      <c r="C2330" s="124">
        <v>46402</v>
      </c>
      <c r="D2330" s="124" t="s">
        <v>471</v>
      </c>
      <c r="E2330" s="21">
        <v>0.93599365999999995</v>
      </c>
      <c r="F2330" s="10"/>
      <c r="G2330" s="14">
        <v>8648727.6500000004</v>
      </c>
      <c r="H2330" s="14">
        <v>8095154.21</v>
      </c>
      <c r="I2330" s="14">
        <v>8648727.6500000004</v>
      </c>
      <c r="J2330" s="14">
        <v>8095154.21</v>
      </c>
      <c r="K2330" s="12">
        <v>359</v>
      </c>
      <c r="L2330" s="10" t="s">
        <v>101</v>
      </c>
      <c r="M2330" s="10" t="s">
        <v>102</v>
      </c>
      <c r="N2330" s="124" t="s">
        <v>475</v>
      </c>
      <c r="O2330" s="124" t="s">
        <v>475</v>
      </c>
      <c r="P2330" s="21">
        <v>32</v>
      </c>
      <c r="Q2330" s="10" t="s">
        <v>54</v>
      </c>
      <c r="R2330" s="10" t="s">
        <v>28</v>
      </c>
      <c r="S2330" s="10"/>
      <c r="T2330" s="10"/>
      <c r="U2330" s="10" t="s">
        <v>3370</v>
      </c>
      <c r="V2330" s="10" t="s">
        <v>3370</v>
      </c>
      <c r="W2330" s="50">
        <f>+J2330/$W$2</f>
        <v>9.9073724741490608E-5</v>
      </c>
    </row>
    <row r="2331" spans="1:29">
      <c r="A2331" s="10" t="s">
        <v>3093</v>
      </c>
      <c r="B2331" s="10" t="s">
        <v>358</v>
      </c>
      <c r="C2331" s="124">
        <v>46402</v>
      </c>
      <c r="D2331" s="124" t="s">
        <v>471</v>
      </c>
      <c r="E2331" s="21">
        <v>0.93975295000000003</v>
      </c>
      <c r="F2331" s="10"/>
      <c r="G2331" s="14">
        <v>3935883.26</v>
      </c>
      <c r="H2331" s="14">
        <v>3698757.9</v>
      </c>
      <c r="I2331" s="14">
        <v>3935883.26</v>
      </c>
      <c r="J2331" s="14">
        <v>3698757.9</v>
      </c>
      <c r="K2331" s="12">
        <v>90000105</v>
      </c>
      <c r="L2331" s="10" t="s">
        <v>101</v>
      </c>
      <c r="M2331" s="10" t="s">
        <v>102</v>
      </c>
      <c r="N2331" s="124" t="s">
        <v>446</v>
      </c>
      <c r="O2331" s="124" t="s">
        <v>446</v>
      </c>
      <c r="P2331" s="21">
        <v>30</v>
      </c>
      <c r="Q2331" s="10" t="s">
        <v>54</v>
      </c>
      <c r="R2331" s="10" t="s">
        <v>28</v>
      </c>
      <c r="S2331" s="10"/>
      <c r="T2331" s="10"/>
      <c r="U2331" s="10" t="s">
        <v>3098</v>
      </c>
      <c r="V2331" s="10" t="s">
        <v>3098</v>
      </c>
      <c r="W2331" s="50">
        <f>+J2331/$W$2</f>
        <v>4.5267787686778832E-5</v>
      </c>
    </row>
    <row r="2332" spans="1:29">
      <c r="A2332" s="10" t="s">
        <v>3602</v>
      </c>
      <c r="B2332" s="10" t="s">
        <v>358</v>
      </c>
      <c r="C2332" s="124">
        <v>46402</v>
      </c>
      <c r="D2332" s="124" t="s">
        <v>471</v>
      </c>
      <c r="E2332" s="21">
        <v>0.93599354999999995</v>
      </c>
      <c r="F2332" s="10"/>
      <c r="G2332" s="14">
        <v>16368524.48</v>
      </c>
      <c r="H2332" s="14">
        <v>15320833.27</v>
      </c>
      <c r="I2332" s="14">
        <v>16368524.48</v>
      </c>
      <c r="J2332" s="14">
        <v>15320833.27</v>
      </c>
      <c r="K2332" s="12">
        <v>1045</v>
      </c>
      <c r="L2332" s="10" t="s">
        <v>101</v>
      </c>
      <c r="M2332" s="10" t="s">
        <v>102</v>
      </c>
      <c r="N2332" s="124" t="s">
        <v>451</v>
      </c>
      <c r="O2332" s="124" t="s">
        <v>451</v>
      </c>
      <c r="P2332" s="21">
        <v>32</v>
      </c>
      <c r="Q2332" s="10" t="s">
        <v>54</v>
      </c>
      <c r="R2332" s="10" t="s">
        <v>28</v>
      </c>
      <c r="S2332" s="10"/>
      <c r="T2332" s="10"/>
      <c r="U2332" s="10" t="s">
        <v>3517</v>
      </c>
      <c r="V2332" s="10" t="s">
        <v>3517</v>
      </c>
      <c r="W2332" s="50">
        <f>+J2332/$W$2</f>
        <v>1.8750625112578942E-4</v>
      </c>
    </row>
    <row r="2333" spans="1:29">
      <c r="A2333" s="10" t="s">
        <v>967</v>
      </c>
      <c r="B2333" s="10" t="s">
        <v>358</v>
      </c>
      <c r="C2333" s="124">
        <v>46402</v>
      </c>
      <c r="D2333" s="124" t="s">
        <v>471</v>
      </c>
      <c r="E2333" s="21">
        <v>0.93041048000000004</v>
      </c>
      <c r="F2333" s="10"/>
      <c r="G2333" s="14">
        <v>25000000</v>
      </c>
      <c r="H2333" s="14">
        <v>23260262</v>
      </c>
      <c r="I2333" s="14">
        <v>25000000</v>
      </c>
      <c r="J2333" s="14">
        <v>23260262</v>
      </c>
      <c r="K2333" s="12">
        <v>381</v>
      </c>
      <c r="L2333" s="10" t="s">
        <v>101</v>
      </c>
      <c r="M2333" s="10" t="s">
        <v>102</v>
      </c>
      <c r="N2333" s="124" t="s">
        <v>449</v>
      </c>
      <c r="O2333" s="124" t="s">
        <v>449</v>
      </c>
      <c r="P2333" s="21">
        <v>35</v>
      </c>
      <c r="Q2333" s="10" t="s">
        <v>54</v>
      </c>
      <c r="R2333" s="10" t="s">
        <v>28</v>
      </c>
      <c r="S2333" s="10"/>
      <c r="T2333" s="10"/>
      <c r="U2333" s="10" t="s">
        <v>1966</v>
      </c>
      <c r="V2333" s="10" t="s">
        <v>1966</v>
      </c>
      <c r="W2333" s="50">
        <f>+J2333/$W$2</f>
        <v>2.8467410688189397E-4</v>
      </c>
    </row>
    <row r="2334" spans="1:29">
      <c r="A2334" s="10" t="s">
        <v>2016</v>
      </c>
      <c r="B2334" s="10" t="s">
        <v>358</v>
      </c>
      <c r="C2334" s="124">
        <v>46405</v>
      </c>
      <c r="D2334" s="124" t="s">
        <v>471</v>
      </c>
      <c r="E2334" s="21">
        <v>0.93953525999999998</v>
      </c>
      <c r="F2334" s="10"/>
      <c r="G2334" s="14">
        <v>4000000</v>
      </c>
      <c r="H2334" s="14">
        <v>3758141.03</v>
      </c>
      <c r="I2334" s="14">
        <v>4000000</v>
      </c>
      <c r="J2334" s="14">
        <v>3758141.03</v>
      </c>
      <c r="K2334" s="12">
        <v>6542</v>
      </c>
      <c r="L2334" s="10" t="s">
        <v>101</v>
      </c>
      <c r="M2334" s="10" t="s">
        <v>102</v>
      </c>
      <c r="N2334" s="124" t="s">
        <v>469</v>
      </c>
      <c r="O2334" s="124" t="s">
        <v>469</v>
      </c>
      <c r="P2334" s="21">
        <v>29</v>
      </c>
      <c r="Q2334" s="10" t="s">
        <v>54</v>
      </c>
      <c r="R2334" s="10" t="s">
        <v>28</v>
      </c>
      <c r="S2334" s="10"/>
      <c r="T2334" s="10"/>
      <c r="U2334" s="10" t="s">
        <v>3923</v>
      </c>
      <c r="V2334" s="10" t="s">
        <v>3923</v>
      </c>
      <c r="W2334" s="50">
        <f>+J2334/$W$2</f>
        <v>4.5994556778915514E-5</v>
      </c>
    </row>
    <row r="2335" spans="1:29">
      <c r="A2335" s="10" t="s">
        <v>2016</v>
      </c>
      <c r="B2335" s="10" t="s">
        <v>358</v>
      </c>
      <c r="C2335" s="124">
        <v>46405</v>
      </c>
      <c r="D2335" s="124" t="s">
        <v>471</v>
      </c>
      <c r="E2335" s="21">
        <v>0.93953525999999998</v>
      </c>
      <c r="F2335" s="10"/>
      <c r="G2335" s="14">
        <v>11916548.66</v>
      </c>
      <c r="H2335" s="14">
        <v>11196017.619999999</v>
      </c>
      <c r="I2335" s="14">
        <v>11916548.66</v>
      </c>
      <c r="J2335" s="14">
        <v>11196017.619999999</v>
      </c>
      <c r="K2335" s="12">
        <v>22889</v>
      </c>
      <c r="L2335" s="10" t="s">
        <v>101</v>
      </c>
      <c r="M2335" s="10" t="s">
        <v>102</v>
      </c>
      <c r="N2335" s="124" t="s">
        <v>469</v>
      </c>
      <c r="O2335" s="124" t="s">
        <v>469</v>
      </c>
      <c r="P2335" s="21">
        <v>29</v>
      </c>
      <c r="Q2335" s="10" t="s">
        <v>54</v>
      </c>
      <c r="R2335" s="10" t="s">
        <v>28</v>
      </c>
      <c r="S2335" s="10"/>
      <c r="T2335" s="10"/>
      <c r="U2335" s="10" t="s">
        <v>3929</v>
      </c>
      <c r="V2335" s="10" t="s">
        <v>3929</v>
      </c>
      <c r="W2335" s="50">
        <f>+J2335/$W$2</f>
        <v>1.3702409356384067E-4</v>
      </c>
    </row>
    <row r="2336" spans="1:29">
      <c r="A2336" s="10" t="s">
        <v>379</v>
      </c>
      <c r="B2336" s="10" t="s">
        <v>358</v>
      </c>
      <c r="C2336" s="124">
        <v>46405</v>
      </c>
      <c r="D2336" s="124" t="s">
        <v>471</v>
      </c>
      <c r="E2336" s="21">
        <v>0.93758039999999998</v>
      </c>
      <c r="F2336" s="10"/>
      <c r="G2336" s="14">
        <v>51921649.450000003</v>
      </c>
      <c r="H2336" s="14">
        <v>48680720.909999996</v>
      </c>
      <c r="I2336" s="14">
        <v>51921649.450000003</v>
      </c>
      <c r="J2336" s="14">
        <v>48680720.909999996</v>
      </c>
      <c r="K2336" s="12">
        <v>22963</v>
      </c>
      <c r="L2336" s="10" t="s">
        <v>101</v>
      </c>
      <c r="M2336" s="10" t="s">
        <v>102</v>
      </c>
      <c r="N2336" s="124" t="s">
        <v>398</v>
      </c>
      <c r="O2336" s="124" t="s">
        <v>398</v>
      </c>
      <c r="P2336" s="21">
        <v>30</v>
      </c>
      <c r="Q2336" s="10" t="s">
        <v>54</v>
      </c>
      <c r="R2336" s="10" t="s">
        <v>28</v>
      </c>
      <c r="S2336" s="10"/>
      <c r="T2336" s="10"/>
      <c r="U2336" s="10" t="s">
        <v>1678</v>
      </c>
      <c r="V2336" s="10" t="s">
        <v>1678</v>
      </c>
      <c r="W2336" s="50">
        <f>+J2336/$W$2</f>
        <v>5.9578609851518392E-4</v>
      </c>
      <c r="AC2336" s="47"/>
    </row>
    <row r="2337" spans="1:29">
      <c r="A2337" s="10" t="s">
        <v>334</v>
      </c>
      <c r="B2337" s="10" t="s">
        <v>358</v>
      </c>
      <c r="C2337" s="124">
        <v>46405</v>
      </c>
      <c r="D2337" s="124" t="s">
        <v>471</v>
      </c>
      <c r="E2337" s="21">
        <v>0.92792706999999996</v>
      </c>
      <c r="F2337" s="10"/>
      <c r="G2337" s="14">
        <v>3081473.68</v>
      </c>
      <c r="H2337" s="14">
        <v>2859382.84</v>
      </c>
      <c r="I2337" s="14">
        <v>3081473.68</v>
      </c>
      <c r="J2337" s="14">
        <v>2859382.84</v>
      </c>
      <c r="K2337" s="12">
        <v>3874</v>
      </c>
      <c r="L2337" s="10" t="s">
        <v>101</v>
      </c>
      <c r="M2337" s="10" t="s">
        <v>102</v>
      </c>
      <c r="N2337" s="124" t="s">
        <v>468</v>
      </c>
      <c r="O2337" s="124" t="s">
        <v>468</v>
      </c>
      <c r="P2337" s="21">
        <v>35</v>
      </c>
      <c r="Q2337" s="10" t="s">
        <v>54</v>
      </c>
      <c r="R2337" s="10" t="s">
        <v>28</v>
      </c>
      <c r="S2337" s="10"/>
      <c r="T2337" s="10"/>
      <c r="U2337" s="10" t="s">
        <v>3842</v>
      </c>
      <c r="V2337" s="10" t="s">
        <v>3842</v>
      </c>
      <c r="W2337" s="50">
        <f>+J2337/$W$2</f>
        <v>3.4994973668414115E-5</v>
      </c>
    </row>
    <row r="2338" spans="1:29">
      <c r="A2338" s="10" t="s">
        <v>2314</v>
      </c>
      <c r="B2338" s="10" t="s">
        <v>358</v>
      </c>
      <c r="C2338" s="124">
        <v>46405</v>
      </c>
      <c r="D2338" s="124" t="s">
        <v>471</v>
      </c>
      <c r="E2338" s="21">
        <v>0.93176440999999999</v>
      </c>
      <c r="F2338" s="10"/>
      <c r="G2338" s="14">
        <v>6006148</v>
      </c>
      <c r="H2338" s="14">
        <v>5596314.96</v>
      </c>
      <c r="I2338" s="14">
        <v>6006148</v>
      </c>
      <c r="J2338" s="14">
        <v>5596314.96</v>
      </c>
      <c r="K2338" s="12">
        <v>1370643</v>
      </c>
      <c r="L2338" s="10" t="s">
        <v>101</v>
      </c>
      <c r="M2338" s="10" t="s">
        <v>102</v>
      </c>
      <c r="N2338" s="124" t="s">
        <v>439</v>
      </c>
      <c r="O2338" s="124" t="s">
        <v>439</v>
      </c>
      <c r="P2338" s="21">
        <v>33</v>
      </c>
      <c r="Q2338" s="10" t="s">
        <v>54</v>
      </c>
      <c r="R2338" s="10" t="s">
        <v>28</v>
      </c>
      <c r="S2338" s="10"/>
      <c r="T2338" s="10"/>
      <c r="U2338" s="10" t="s">
        <v>2303</v>
      </c>
      <c r="V2338" s="10" t="s">
        <v>2303</v>
      </c>
      <c r="W2338" s="50">
        <f>+J2338/$W$2</f>
        <v>6.8491316351801287E-5</v>
      </c>
      <c r="AC2338" s="47"/>
    </row>
    <row r="2339" spans="1:29">
      <c r="A2339" s="10" t="s">
        <v>443</v>
      </c>
      <c r="B2339" s="10" t="s">
        <v>358</v>
      </c>
      <c r="C2339" s="124">
        <v>46405</v>
      </c>
      <c r="D2339" s="124" t="s">
        <v>471</v>
      </c>
      <c r="E2339" s="21">
        <v>0.93758037000000005</v>
      </c>
      <c r="F2339" s="10"/>
      <c r="G2339" s="14">
        <v>16000000</v>
      </c>
      <c r="H2339" s="14">
        <v>15001285.98</v>
      </c>
      <c r="I2339" s="14">
        <v>16000000</v>
      </c>
      <c r="J2339" s="14">
        <v>15001285.98</v>
      </c>
      <c r="K2339" s="12">
        <v>11005432</v>
      </c>
      <c r="L2339" s="10" t="s">
        <v>101</v>
      </c>
      <c r="M2339" s="10" t="s">
        <v>102</v>
      </c>
      <c r="N2339" s="124" t="s">
        <v>449</v>
      </c>
      <c r="O2339" s="124" t="s">
        <v>449</v>
      </c>
      <c r="P2339" s="21">
        <v>30</v>
      </c>
      <c r="Q2339" s="10" t="s">
        <v>54</v>
      </c>
      <c r="R2339" s="10" t="s">
        <v>28</v>
      </c>
      <c r="S2339" s="10"/>
      <c r="T2339" s="10"/>
      <c r="U2339" s="10" t="s">
        <v>1911</v>
      </c>
      <c r="V2339" s="10" t="s">
        <v>1911</v>
      </c>
      <c r="W2339" s="50">
        <f>+J2339/$W$2</f>
        <v>1.8359542504019848E-4</v>
      </c>
    </row>
    <row r="2340" spans="1:29">
      <c r="A2340" s="10" t="s">
        <v>1760</v>
      </c>
      <c r="B2340" s="10" t="s">
        <v>358</v>
      </c>
      <c r="C2340" s="124">
        <v>46405</v>
      </c>
      <c r="D2340" s="124" t="s">
        <v>471</v>
      </c>
      <c r="E2340" s="21">
        <v>0.93369502000000004</v>
      </c>
      <c r="F2340" s="10"/>
      <c r="G2340" s="14">
        <v>1566916.35</v>
      </c>
      <c r="H2340" s="14">
        <v>1463021.99</v>
      </c>
      <c r="I2340" s="14">
        <v>1566916.35</v>
      </c>
      <c r="J2340" s="14">
        <v>1463021.99</v>
      </c>
      <c r="K2340" s="12">
        <v>1183</v>
      </c>
      <c r="L2340" s="10" t="s">
        <v>101</v>
      </c>
      <c r="M2340" s="10" t="s">
        <v>102</v>
      </c>
      <c r="N2340" s="124" t="s">
        <v>398</v>
      </c>
      <c r="O2340" s="124" t="s">
        <v>398</v>
      </c>
      <c r="P2340" s="21">
        <v>32</v>
      </c>
      <c r="Q2340" s="10" t="s">
        <v>54</v>
      </c>
      <c r="R2340" s="10" t="s">
        <v>28</v>
      </c>
      <c r="S2340" s="10"/>
      <c r="T2340" s="10"/>
      <c r="U2340" s="10" t="s">
        <v>1728</v>
      </c>
      <c r="V2340" s="10" t="s">
        <v>1728</v>
      </c>
      <c r="W2340" s="50">
        <f>+J2340/$W$2</f>
        <v>1.7905407873386001E-5</v>
      </c>
    </row>
    <row r="2341" spans="1:29">
      <c r="A2341" s="10" t="s">
        <v>789</v>
      </c>
      <c r="B2341" s="10" t="s">
        <v>358</v>
      </c>
      <c r="C2341" s="124">
        <v>46405</v>
      </c>
      <c r="D2341" s="124" t="s">
        <v>471</v>
      </c>
      <c r="E2341" s="21">
        <v>0.92601999000000002</v>
      </c>
      <c r="F2341" s="10"/>
      <c r="G2341" s="14">
        <v>4945300.8499999996</v>
      </c>
      <c r="H2341" s="14">
        <v>4579447.42</v>
      </c>
      <c r="I2341" s="14">
        <v>4945300.8499999996</v>
      </c>
      <c r="J2341" s="14">
        <v>4579447.42</v>
      </c>
      <c r="K2341" s="12">
        <v>1382</v>
      </c>
      <c r="L2341" s="10" t="s">
        <v>101</v>
      </c>
      <c r="M2341" s="10" t="s">
        <v>102</v>
      </c>
      <c r="N2341" s="124" t="s">
        <v>450</v>
      </c>
      <c r="O2341" s="124" t="s">
        <v>450</v>
      </c>
      <c r="P2341" s="21">
        <v>36</v>
      </c>
      <c r="Q2341" s="10" t="s">
        <v>54</v>
      </c>
      <c r="R2341" s="10" t="s">
        <v>28</v>
      </c>
      <c r="S2341" s="10"/>
      <c r="T2341" s="10"/>
      <c r="U2341" s="10" t="s">
        <v>3437</v>
      </c>
      <c r="V2341" s="10" t="s">
        <v>3437</v>
      </c>
      <c r="W2341" s="50">
        <f>+J2341/$W$2</f>
        <v>5.6046234745812129E-5</v>
      </c>
    </row>
    <row r="2342" spans="1:29">
      <c r="A2342" s="10" t="s">
        <v>334</v>
      </c>
      <c r="B2342" s="10" t="s">
        <v>358</v>
      </c>
      <c r="C2342" s="124">
        <v>46405</v>
      </c>
      <c r="D2342" s="124" t="s">
        <v>471</v>
      </c>
      <c r="E2342" s="21">
        <v>0.92602001</v>
      </c>
      <c r="F2342" s="10"/>
      <c r="G2342" s="14">
        <v>2440210.56</v>
      </c>
      <c r="H2342" s="14">
        <v>2259683.81</v>
      </c>
      <c r="I2342" s="14">
        <v>2440210.56</v>
      </c>
      <c r="J2342" s="14">
        <v>2259683.81</v>
      </c>
      <c r="K2342" s="12">
        <v>3720</v>
      </c>
      <c r="L2342" s="10" t="s">
        <v>101</v>
      </c>
      <c r="M2342" s="10" t="s">
        <v>102</v>
      </c>
      <c r="N2342" s="124" t="s">
        <v>445</v>
      </c>
      <c r="O2342" s="124" t="s">
        <v>445</v>
      </c>
      <c r="P2342" s="21">
        <v>36</v>
      </c>
      <c r="Q2342" s="10" t="s">
        <v>54</v>
      </c>
      <c r="R2342" s="10" t="s">
        <v>28</v>
      </c>
      <c r="S2342" s="10"/>
      <c r="T2342" s="10"/>
      <c r="U2342" s="10" t="s">
        <v>2853</v>
      </c>
      <c r="V2342" s="10" t="s">
        <v>2853</v>
      </c>
      <c r="W2342" s="50">
        <f>+J2342/$W$2</f>
        <v>2.7655469678167227E-5</v>
      </c>
    </row>
    <row r="2343" spans="1:29">
      <c r="A2343" s="10" t="s">
        <v>178</v>
      </c>
      <c r="B2343" s="10" t="s">
        <v>358</v>
      </c>
      <c r="C2343" s="124">
        <v>46405</v>
      </c>
      <c r="D2343" s="124" t="s">
        <v>471</v>
      </c>
      <c r="E2343" s="21">
        <v>0.93758041000000003</v>
      </c>
      <c r="F2343" s="10"/>
      <c r="G2343" s="14">
        <v>231663.18</v>
      </c>
      <c r="H2343" s="14">
        <v>217202.86</v>
      </c>
      <c r="I2343" s="14">
        <v>231663.18</v>
      </c>
      <c r="J2343" s="14">
        <v>217202.86</v>
      </c>
      <c r="K2343" s="12">
        <v>692245</v>
      </c>
      <c r="L2343" s="10" t="s">
        <v>101</v>
      </c>
      <c r="M2343" s="10" t="s">
        <v>102</v>
      </c>
      <c r="N2343" s="124" t="s">
        <v>508</v>
      </c>
      <c r="O2343" s="124" t="s">
        <v>508</v>
      </c>
      <c r="P2343" s="21">
        <v>30</v>
      </c>
      <c r="Q2343" s="10" t="s">
        <v>54</v>
      </c>
      <c r="R2343" s="10" t="s">
        <v>28</v>
      </c>
      <c r="S2343" s="10"/>
      <c r="T2343" s="10"/>
      <c r="U2343" s="10" t="s">
        <v>3035</v>
      </c>
      <c r="V2343" s="10" t="s">
        <v>3035</v>
      </c>
      <c r="W2343" s="50">
        <f>+J2343/$W$2</f>
        <v>2.6582688614037557E-6</v>
      </c>
      <c r="AC2343" s="47"/>
    </row>
    <row r="2344" spans="1:29">
      <c r="A2344" s="10" t="s">
        <v>178</v>
      </c>
      <c r="B2344" s="10" t="s">
        <v>358</v>
      </c>
      <c r="C2344" s="124">
        <v>46405</v>
      </c>
      <c r="D2344" s="124" t="s">
        <v>471</v>
      </c>
      <c r="E2344" s="21">
        <v>0.93758041000000003</v>
      </c>
      <c r="F2344" s="10"/>
      <c r="G2344" s="14">
        <v>231663.18</v>
      </c>
      <c r="H2344" s="14">
        <v>217202.86</v>
      </c>
      <c r="I2344" s="14">
        <v>231663.18</v>
      </c>
      <c r="J2344" s="14">
        <v>217202.86</v>
      </c>
      <c r="K2344" s="12">
        <v>692199</v>
      </c>
      <c r="L2344" s="10" t="s">
        <v>101</v>
      </c>
      <c r="M2344" s="10" t="s">
        <v>102</v>
      </c>
      <c r="N2344" s="124" t="s">
        <v>508</v>
      </c>
      <c r="O2344" s="124" t="s">
        <v>508</v>
      </c>
      <c r="P2344" s="21">
        <v>30</v>
      </c>
      <c r="Q2344" s="10" t="s">
        <v>54</v>
      </c>
      <c r="R2344" s="10" t="s">
        <v>28</v>
      </c>
      <c r="S2344" s="10"/>
      <c r="T2344" s="10"/>
      <c r="U2344" s="10" t="s">
        <v>3036</v>
      </c>
      <c r="V2344" s="10" t="s">
        <v>3036</v>
      </c>
      <c r="W2344" s="50">
        <f>+J2344/$W$2</f>
        <v>2.6582688614037557E-6</v>
      </c>
    </row>
    <row r="2345" spans="1:29">
      <c r="A2345" s="10" t="s">
        <v>178</v>
      </c>
      <c r="B2345" s="10" t="s">
        <v>358</v>
      </c>
      <c r="C2345" s="124">
        <v>46405</v>
      </c>
      <c r="D2345" s="124" t="s">
        <v>471</v>
      </c>
      <c r="E2345" s="21">
        <v>0.93758041000000003</v>
      </c>
      <c r="F2345" s="10"/>
      <c r="G2345" s="14">
        <v>231663.18</v>
      </c>
      <c r="H2345" s="14">
        <v>217202.86</v>
      </c>
      <c r="I2345" s="14">
        <v>231663.18</v>
      </c>
      <c r="J2345" s="14">
        <v>217202.86</v>
      </c>
      <c r="K2345" s="12">
        <v>692176</v>
      </c>
      <c r="L2345" s="10" t="s">
        <v>101</v>
      </c>
      <c r="M2345" s="10" t="s">
        <v>102</v>
      </c>
      <c r="N2345" s="124" t="s">
        <v>508</v>
      </c>
      <c r="O2345" s="124" t="s">
        <v>508</v>
      </c>
      <c r="P2345" s="21">
        <v>30</v>
      </c>
      <c r="Q2345" s="10" t="s">
        <v>54</v>
      </c>
      <c r="R2345" s="10" t="s">
        <v>28</v>
      </c>
      <c r="S2345" s="10"/>
      <c r="T2345" s="10"/>
      <c r="U2345" s="10" t="s">
        <v>3041</v>
      </c>
      <c r="V2345" s="10" t="s">
        <v>3041</v>
      </c>
      <c r="W2345" s="50">
        <f>+J2345/$W$2</f>
        <v>2.6582688614037557E-6</v>
      </c>
    </row>
    <row r="2346" spans="1:29">
      <c r="A2346" s="10" t="s">
        <v>178</v>
      </c>
      <c r="B2346" s="10" t="s">
        <v>358</v>
      </c>
      <c r="C2346" s="124">
        <v>46405</v>
      </c>
      <c r="D2346" s="124" t="s">
        <v>471</v>
      </c>
      <c r="E2346" s="21">
        <v>0.93758041000000003</v>
      </c>
      <c r="F2346" s="10"/>
      <c r="G2346" s="14">
        <v>231663.18</v>
      </c>
      <c r="H2346" s="14">
        <v>217202.86</v>
      </c>
      <c r="I2346" s="14">
        <v>231663.18</v>
      </c>
      <c r="J2346" s="14">
        <v>217202.86</v>
      </c>
      <c r="K2346" s="12">
        <v>692235</v>
      </c>
      <c r="L2346" s="10" t="s">
        <v>101</v>
      </c>
      <c r="M2346" s="10" t="s">
        <v>102</v>
      </c>
      <c r="N2346" s="124" t="s">
        <v>508</v>
      </c>
      <c r="O2346" s="124" t="s">
        <v>508</v>
      </c>
      <c r="P2346" s="21">
        <v>30</v>
      </c>
      <c r="Q2346" s="10" t="s">
        <v>54</v>
      </c>
      <c r="R2346" s="10" t="s">
        <v>28</v>
      </c>
      <c r="S2346" s="10"/>
      <c r="T2346" s="10"/>
      <c r="U2346" s="10" t="s">
        <v>3042</v>
      </c>
      <c r="V2346" s="10" t="s">
        <v>3042</v>
      </c>
      <c r="W2346" s="50">
        <f>+J2346/$W$2</f>
        <v>2.6582688614037557E-6</v>
      </c>
    </row>
    <row r="2347" spans="1:29">
      <c r="A2347" s="10" t="s">
        <v>178</v>
      </c>
      <c r="B2347" s="10" t="s">
        <v>358</v>
      </c>
      <c r="C2347" s="124">
        <v>46405</v>
      </c>
      <c r="D2347" s="124" t="s">
        <v>471</v>
      </c>
      <c r="E2347" s="21">
        <v>0.94149815000000003</v>
      </c>
      <c r="F2347" s="10"/>
      <c r="G2347" s="14">
        <v>411845.62</v>
      </c>
      <c r="H2347" s="14">
        <v>387751.89</v>
      </c>
      <c r="I2347" s="14">
        <v>411845.62</v>
      </c>
      <c r="J2347" s="14">
        <v>387751.89</v>
      </c>
      <c r="K2347" s="12">
        <v>682953</v>
      </c>
      <c r="L2347" s="10" t="s">
        <v>101</v>
      </c>
      <c r="M2347" s="10" t="s">
        <v>102</v>
      </c>
      <c r="N2347" s="124" t="s">
        <v>603</v>
      </c>
      <c r="O2347" s="124" t="s">
        <v>603</v>
      </c>
      <c r="P2347" s="21">
        <v>28</v>
      </c>
      <c r="Q2347" s="10" t="s">
        <v>54</v>
      </c>
      <c r="R2347" s="10" t="s">
        <v>28</v>
      </c>
      <c r="S2347" s="10"/>
      <c r="T2347" s="10"/>
      <c r="U2347" s="10" t="s">
        <v>2640</v>
      </c>
      <c r="V2347" s="10" t="s">
        <v>2640</v>
      </c>
      <c r="W2347" s="50">
        <f>+J2347/$W$2</f>
        <v>4.745558024132161E-6</v>
      </c>
    </row>
    <row r="2348" spans="1:29">
      <c r="A2348" s="10" t="s">
        <v>178</v>
      </c>
      <c r="B2348" s="10" t="s">
        <v>358</v>
      </c>
      <c r="C2348" s="124">
        <v>46405</v>
      </c>
      <c r="D2348" s="124" t="s">
        <v>471</v>
      </c>
      <c r="E2348" s="21">
        <v>0.94346945999999998</v>
      </c>
      <c r="F2348" s="10"/>
      <c r="G2348" s="14">
        <v>2493401.42</v>
      </c>
      <c r="H2348" s="14">
        <v>2352448.09</v>
      </c>
      <c r="I2348" s="14">
        <v>2493401.42</v>
      </c>
      <c r="J2348" s="14">
        <v>2352448.09</v>
      </c>
      <c r="K2348" s="12">
        <v>677251</v>
      </c>
      <c r="L2348" s="10" t="s">
        <v>101</v>
      </c>
      <c r="M2348" s="10" t="s">
        <v>102</v>
      </c>
      <c r="N2348" s="124" t="s">
        <v>486</v>
      </c>
      <c r="O2348" s="124" t="s">
        <v>486</v>
      </c>
      <c r="P2348" s="21">
        <v>27</v>
      </c>
      <c r="Q2348" s="10" t="s">
        <v>54</v>
      </c>
      <c r="R2348" s="10" t="s">
        <v>28</v>
      </c>
      <c r="S2348" s="10"/>
      <c r="T2348" s="10"/>
      <c r="U2348" s="10" t="s">
        <v>1460</v>
      </c>
      <c r="V2348" s="10" t="s">
        <v>1460</v>
      </c>
      <c r="W2348" s="50">
        <f>+J2348/$W$2</f>
        <v>2.8790778840185345E-5</v>
      </c>
    </row>
    <row r="2349" spans="1:29">
      <c r="A2349" s="10" t="s">
        <v>178</v>
      </c>
      <c r="B2349" s="10" t="s">
        <v>358</v>
      </c>
      <c r="C2349" s="124">
        <v>46405</v>
      </c>
      <c r="D2349" s="124" t="s">
        <v>471</v>
      </c>
      <c r="E2349" s="21">
        <v>0.94346945999999998</v>
      </c>
      <c r="F2349" s="10"/>
      <c r="G2349" s="14">
        <v>2493401.42</v>
      </c>
      <c r="H2349" s="14">
        <v>2352448.09</v>
      </c>
      <c r="I2349" s="14">
        <v>2493401.42</v>
      </c>
      <c r="J2349" s="14">
        <v>2352448.09</v>
      </c>
      <c r="K2349" s="12">
        <v>677265</v>
      </c>
      <c r="L2349" s="10" t="s">
        <v>101</v>
      </c>
      <c r="M2349" s="10" t="s">
        <v>102</v>
      </c>
      <c r="N2349" s="124" t="s">
        <v>486</v>
      </c>
      <c r="O2349" s="124" t="s">
        <v>486</v>
      </c>
      <c r="P2349" s="21">
        <v>27</v>
      </c>
      <c r="Q2349" s="10" t="s">
        <v>54</v>
      </c>
      <c r="R2349" s="10" t="s">
        <v>28</v>
      </c>
      <c r="S2349" s="10"/>
      <c r="T2349" s="10"/>
      <c r="U2349" s="10" t="s">
        <v>1462</v>
      </c>
      <c r="V2349" s="10" t="s">
        <v>1462</v>
      </c>
      <c r="W2349" s="50">
        <f>+J2349/$W$2</f>
        <v>2.8790778840185345E-5</v>
      </c>
    </row>
    <row r="2350" spans="1:29">
      <c r="A2350" s="10" t="s">
        <v>178</v>
      </c>
      <c r="B2350" s="10" t="s">
        <v>358</v>
      </c>
      <c r="C2350" s="124">
        <v>46405</v>
      </c>
      <c r="D2350" s="124" t="s">
        <v>471</v>
      </c>
      <c r="E2350" s="21">
        <v>0.94346945999999998</v>
      </c>
      <c r="F2350" s="10"/>
      <c r="G2350" s="14">
        <v>2493401.42</v>
      </c>
      <c r="H2350" s="14">
        <v>2352448.09</v>
      </c>
      <c r="I2350" s="14">
        <v>2493401.42</v>
      </c>
      <c r="J2350" s="14">
        <v>2352448.09</v>
      </c>
      <c r="K2350" s="12">
        <v>677245</v>
      </c>
      <c r="L2350" s="10" t="s">
        <v>101</v>
      </c>
      <c r="M2350" s="10" t="s">
        <v>102</v>
      </c>
      <c r="N2350" s="124" t="s">
        <v>486</v>
      </c>
      <c r="O2350" s="124" t="s">
        <v>486</v>
      </c>
      <c r="P2350" s="21">
        <v>27</v>
      </c>
      <c r="Q2350" s="10" t="s">
        <v>54</v>
      </c>
      <c r="R2350" s="10" t="s">
        <v>28</v>
      </c>
      <c r="S2350" s="10"/>
      <c r="T2350" s="10"/>
      <c r="U2350" s="10" t="s">
        <v>1463</v>
      </c>
      <c r="V2350" s="10" t="s">
        <v>1463</v>
      </c>
      <c r="W2350" s="50">
        <f>+J2350/$W$2</f>
        <v>2.8790778840185345E-5</v>
      </c>
    </row>
    <row r="2351" spans="1:29">
      <c r="A2351" s="10" t="s">
        <v>178</v>
      </c>
      <c r="B2351" s="10" t="s">
        <v>358</v>
      </c>
      <c r="C2351" s="124">
        <v>46405</v>
      </c>
      <c r="D2351" s="124" t="s">
        <v>471</v>
      </c>
      <c r="E2351" s="21">
        <v>0.94346945999999998</v>
      </c>
      <c r="F2351" s="10"/>
      <c r="G2351" s="14">
        <v>2493401.42</v>
      </c>
      <c r="H2351" s="14">
        <v>2352448.09</v>
      </c>
      <c r="I2351" s="14">
        <v>2493401.42</v>
      </c>
      <c r="J2351" s="14">
        <v>2352448.09</v>
      </c>
      <c r="K2351" s="12">
        <v>670019</v>
      </c>
      <c r="L2351" s="10" t="s">
        <v>101</v>
      </c>
      <c r="M2351" s="10" t="s">
        <v>102</v>
      </c>
      <c r="N2351" s="124" t="s">
        <v>486</v>
      </c>
      <c r="O2351" s="124" t="s">
        <v>486</v>
      </c>
      <c r="P2351" s="21">
        <v>27</v>
      </c>
      <c r="Q2351" s="10" t="s">
        <v>54</v>
      </c>
      <c r="R2351" s="10" t="s">
        <v>28</v>
      </c>
      <c r="S2351" s="10"/>
      <c r="T2351" s="10"/>
      <c r="U2351" s="10" t="s">
        <v>1468</v>
      </c>
      <c r="V2351" s="10" t="s">
        <v>1468</v>
      </c>
      <c r="W2351" s="50">
        <f>+J2351/$W$2</f>
        <v>2.8790778840185345E-5</v>
      </c>
    </row>
    <row r="2352" spans="1:29">
      <c r="A2352" s="10" t="s">
        <v>3773</v>
      </c>
      <c r="B2352" s="10" t="s">
        <v>358</v>
      </c>
      <c r="C2352" s="124">
        <v>46405</v>
      </c>
      <c r="D2352" s="124" t="s">
        <v>471</v>
      </c>
      <c r="E2352" s="21">
        <v>0.93176426999999995</v>
      </c>
      <c r="F2352" s="10"/>
      <c r="G2352" s="14">
        <v>5850000</v>
      </c>
      <c r="H2352" s="14">
        <v>5450820.9699999997</v>
      </c>
      <c r="I2352" s="14">
        <v>5850000</v>
      </c>
      <c r="J2352" s="14">
        <v>5450820.9699999997</v>
      </c>
      <c r="K2352" s="12">
        <v>1395686</v>
      </c>
      <c r="L2352" s="10" t="s">
        <v>101</v>
      </c>
      <c r="M2352" s="10" t="s">
        <v>102</v>
      </c>
      <c r="N2352" s="124" t="s">
        <v>467</v>
      </c>
      <c r="O2352" s="124" t="s">
        <v>467</v>
      </c>
      <c r="P2352" s="21">
        <v>33</v>
      </c>
      <c r="Q2352" s="10" t="s">
        <v>54</v>
      </c>
      <c r="R2352" s="10" t="s">
        <v>28</v>
      </c>
      <c r="S2352" s="10"/>
      <c r="T2352" s="10"/>
      <c r="U2352" s="10" t="s">
        <v>3685</v>
      </c>
      <c r="V2352" s="10" t="s">
        <v>3685</v>
      </c>
      <c r="W2352" s="50">
        <f>+J2352/$W$2</f>
        <v>6.6710666948113006E-5</v>
      </c>
    </row>
    <row r="2353" spans="1:29">
      <c r="A2353" s="10" t="s">
        <v>3572</v>
      </c>
      <c r="B2353" s="10" t="s">
        <v>358</v>
      </c>
      <c r="C2353" s="124">
        <v>46405</v>
      </c>
      <c r="D2353" s="124" t="s">
        <v>471</v>
      </c>
      <c r="E2353" s="21">
        <v>0.93176439</v>
      </c>
      <c r="F2353" s="10"/>
      <c r="G2353" s="14">
        <v>5814000</v>
      </c>
      <c r="H2353" s="14">
        <v>5417278.1500000004</v>
      </c>
      <c r="I2353" s="14">
        <v>5814000</v>
      </c>
      <c r="J2353" s="14">
        <v>5417278.1500000004</v>
      </c>
      <c r="K2353" s="12">
        <v>736</v>
      </c>
      <c r="L2353" s="10" t="s">
        <v>101</v>
      </c>
      <c r="M2353" s="10" t="s">
        <v>102</v>
      </c>
      <c r="N2353" s="124" t="s">
        <v>451</v>
      </c>
      <c r="O2353" s="124" t="s">
        <v>451</v>
      </c>
      <c r="P2353" s="21">
        <v>33</v>
      </c>
      <c r="Q2353" s="10" t="s">
        <v>54</v>
      </c>
      <c r="R2353" s="10" t="s">
        <v>28</v>
      </c>
      <c r="S2353" s="10"/>
      <c r="T2353" s="10"/>
      <c r="U2353" s="10" t="s">
        <v>3562</v>
      </c>
      <c r="V2353" s="10" t="s">
        <v>3562</v>
      </c>
      <c r="W2353" s="50">
        <f>+J2353/$W$2</f>
        <v>6.6300148256371696E-5</v>
      </c>
    </row>
    <row r="2354" spans="1:29">
      <c r="A2354" s="10" t="s">
        <v>3823</v>
      </c>
      <c r="B2354" s="10" t="s">
        <v>358</v>
      </c>
      <c r="C2354" s="124">
        <v>46405</v>
      </c>
      <c r="D2354" s="124" t="s">
        <v>471</v>
      </c>
      <c r="E2354" s="21">
        <v>0.92792706999999996</v>
      </c>
      <c r="F2354" s="10"/>
      <c r="G2354" s="14">
        <v>2440210.56</v>
      </c>
      <c r="H2354" s="14">
        <v>2264337.44</v>
      </c>
      <c r="I2354" s="14">
        <v>2440210.56</v>
      </c>
      <c r="J2354" s="14">
        <v>2264337.44</v>
      </c>
      <c r="K2354" s="12">
        <v>301</v>
      </c>
      <c r="L2354" s="10" t="s">
        <v>101</v>
      </c>
      <c r="M2354" s="10" t="s">
        <v>102</v>
      </c>
      <c r="N2354" s="124" t="s">
        <v>468</v>
      </c>
      <c r="O2354" s="124" t="s">
        <v>468</v>
      </c>
      <c r="P2354" s="21">
        <v>35</v>
      </c>
      <c r="Q2354" s="10" t="s">
        <v>54</v>
      </c>
      <c r="R2354" s="10" t="s">
        <v>28</v>
      </c>
      <c r="S2354" s="10"/>
      <c r="T2354" s="10"/>
      <c r="U2354" s="10" t="s">
        <v>3824</v>
      </c>
      <c r="V2354" s="10" t="s">
        <v>3824</v>
      </c>
      <c r="W2354" s="50">
        <f>+J2354/$W$2</f>
        <v>2.7712423807231152E-5</v>
      </c>
    </row>
    <row r="2355" spans="1:29">
      <c r="A2355" s="10" t="s">
        <v>433</v>
      </c>
      <c r="B2355" s="10" t="s">
        <v>358</v>
      </c>
      <c r="C2355" s="124">
        <v>46405</v>
      </c>
      <c r="D2355" s="124" t="s">
        <v>471</v>
      </c>
      <c r="E2355" s="21">
        <v>0.93176424000000002</v>
      </c>
      <c r="F2355" s="10"/>
      <c r="G2355" s="14">
        <v>20000000</v>
      </c>
      <c r="H2355" s="14">
        <v>18635284.850000001</v>
      </c>
      <c r="I2355" s="14">
        <v>20000000</v>
      </c>
      <c r="J2355" s="14">
        <v>18635284.850000001</v>
      </c>
      <c r="K2355" s="12">
        <v>14725038</v>
      </c>
      <c r="L2355" s="10" t="s">
        <v>101</v>
      </c>
      <c r="M2355" s="10" t="s">
        <v>102</v>
      </c>
      <c r="N2355" s="124" t="s">
        <v>475</v>
      </c>
      <c r="O2355" s="124" t="s">
        <v>475</v>
      </c>
      <c r="P2355" s="21">
        <v>33</v>
      </c>
      <c r="Q2355" s="10" t="s">
        <v>54</v>
      </c>
      <c r="R2355" s="10" t="s">
        <v>28</v>
      </c>
      <c r="S2355" s="10"/>
      <c r="T2355" s="10"/>
      <c r="U2355" s="10" t="s">
        <v>3353</v>
      </c>
      <c r="V2355" s="10" t="s">
        <v>3353</v>
      </c>
      <c r="W2355" s="50">
        <f>+J2355/$W$2</f>
        <v>2.2807064989910429E-4</v>
      </c>
    </row>
    <row r="2356" spans="1:29">
      <c r="A2356" s="10" t="s">
        <v>3596</v>
      </c>
      <c r="B2356" s="10" t="s">
        <v>358</v>
      </c>
      <c r="C2356" s="124">
        <v>46405</v>
      </c>
      <c r="D2356" s="124" t="s">
        <v>471</v>
      </c>
      <c r="E2356" s="21">
        <v>0.92984171000000004</v>
      </c>
      <c r="F2356" s="10"/>
      <c r="G2356" s="14">
        <v>1260746.67</v>
      </c>
      <c r="H2356" s="14">
        <v>1172294.8400000001</v>
      </c>
      <c r="I2356" s="14">
        <v>1260746.67</v>
      </c>
      <c r="J2356" s="14">
        <v>1172294.8400000001</v>
      </c>
      <c r="K2356" s="12">
        <v>70472502</v>
      </c>
      <c r="L2356" s="10" t="s">
        <v>101</v>
      </c>
      <c r="M2356" s="10" t="s">
        <v>102</v>
      </c>
      <c r="N2356" s="124" t="s">
        <v>451</v>
      </c>
      <c r="O2356" s="124" t="s">
        <v>451</v>
      </c>
      <c r="P2356" s="21">
        <v>34</v>
      </c>
      <c r="Q2356" s="10" t="s">
        <v>54</v>
      </c>
      <c r="R2356" s="10" t="s">
        <v>28</v>
      </c>
      <c r="S2356" s="10"/>
      <c r="T2356" s="10"/>
      <c r="U2356" s="10" t="s">
        <v>3456</v>
      </c>
      <c r="V2356" s="10" t="s">
        <v>3456</v>
      </c>
      <c r="W2356" s="50">
        <f>+J2356/$W$2</f>
        <v>1.4347301271982783E-5</v>
      </c>
    </row>
    <row r="2357" spans="1:29">
      <c r="A2357" s="10" t="s">
        <v>3599</v>
      </c>
      <c r="B2357" s="10" t="s">
        <v>358</v>
      </c>
      <c r="C2357" s="124">
        <v>46405</v>
      </c>
      <c r="D2357" s="124" t="s">
        <v>471</v>
      </c>
      <c r="E2357" s="21">
        <v>0.92984171999999998</v>
      </c>
      <c r="F2357" s="10"/>
      <c r="G2357" s="14">
        <v>1416494.71</v>
      </c>
      <c r="H2357" s="14">
        <v>1317115.8700000001</v>
      </c>
      <c r="I2357" s="14">
        <v>1416494.71</v>
      </c>
      <c r="J2357" s="14">
        <v>1317115.8700000001</v>
      </c>
      <c r="K2357" s="12">
        <v>252</v>
      </c>
      <c r="L2357" s="10" t="s">
        <v>101</v>
      </c>
      <c r="M2357" s="10" t="s">
        <v>102</v>
      </c>
      <c r="N2357" s="124" t="s">
        <v>451</v>
      </c>
      <c r="O2357" s="124" t="s">
        <v>451</v>
      </c>
      <c r="P2357" s="21">
        <v>34</v>
      </c>
      <c r="Q2357" s="10" t="s">
        <v>54</v>
      </c>
      <c r="R2357" s="10" t="s">
        <v>28</v>
      </c>
      <c r="S2357" s="10"/>
      <c r="T2357" s="10"/>
      <c r="U2357" s="10" t="s">
        <v>3471</v>
      </c>
      <c r="V2357" s="10" t="s">
        <v>3471</v>
      </c>
      <c r="W2357" s="50">
        <f>+J2357/$W$2</f>
        <v>1.6119714556621022E-5</v>
      </c>
    </row>
    <row r="2358" spans="1:29">
      <c r="A2358" s="10" t="s">
        <v>2016</v>
      </c>
      <c r="B2358" s="10" t="s">
        <v>358</v>
      </c>
      <c r="C2358" s="124">
        <v>46406</v>
      </c>
      <c r="D2358" s="124" t="s">
        <v>471</v>
      </c>
      <c r="E2358" s="21">
        <v>0.93685834000000001</v>
      </c>
      <c r="F2358" s="10"/>
      <c r="G2358" s="14">
        <v>20000000</v>
      </c>
      <c r="H2358" s="14">
        <v>18737166.760000002</v>
      </c>
      <c r="I2358" s="14">
        <v>20000000</v>
      </c>
      <c r="J2358" s="14">
        <v>18737166.760000002</v>
      </c>
      <c r="K2358" s="12">
        <v>68586588</v>
      </c>
      <c r="L2358" s="10" t="s">
        <v>101</v>
      </c>
      <c r="M2358" s="10" t="s">
        <v>102</v>
      </c>
      <c r="N2358" s="124" t="s">
        <v>408</v>
      </c>
      <c r="O2358" s="124" t="s">
        <v>408</v>
      </c>
      <c r="P2358" s="21">
        <v>30</v>
      </c>
      <c r="Q2358" s="10" t="s">
        <v>54</v>
      </c>
      <c r="R2358" s="10" t="s">
        <v>28</v>
      </c>
      <c r="S2358" s="10"/>
      <c r="T2358" s="10"/>
      <c r="U2358" s="10" t="s">
        <v>2065</v>
      </c>
      <c r="V2358" s="10" t="s">
        <v>2065</v>
      </c>
      <c r="W2358" s="50">
        <f>+J2358/$W$2</f>
        <v>2.2931754650485497E-4</v>
      </c>
    </row>
    <row r="2359" spans="1:29">
      <c r="A2359" s="10" t="s">
        <v>2016</v>
      </c>
      <c r="B2359" s="10" t="s">
        <v>358</v>
      </c>
      <c r="C2359" s="124">
        <v>46406</v>
      </c>
      <c r="D2359" s="124" t="s">
        <v>471</v>
      </c>
      <c r="E2359" s="21">
        <v>0.93883437000000003</v>
      </c>
      <c r="F2359" s="10"/>
      <c r="G2359" s="14">
        <v>11916548.66</v>
      </c>
      <c r="H2359" s="14">
        <v>11187665.42</v>
      </c>
      <c r="I2359" s="14">
        <v>11916548.66</v>
      </c>
      <c r="J2359" s="14">
        <v>11187665.42</v>
      </c>
      <c r="K2359" s="12">
        <v>22890</v>
      </c>
      <c r="L2359" s="10" t="s">
        <v>101</v>
      </c>
      <c r="M2359" s="10" t="s">
        <v>102</v>
      </c>
      <c r="N2359" s="124" t="s">
        <v>469</v>
      </c>
      <c r="O2359" s="124" t="s">
        <v>469</v>
      </c>
      <c r="P2359" s="21">
        <v>29</v>
      </c>
      <c r="Q2359" s="10" t="s">
        <v>54</v>
      </c>
      <c r="R2359" s="10" t="s">
        <v>28</v>
      </c>
      <c r="S2359" s="10"/>
      <c r="T2359" s="10"/>
      <c r="U2359" s="10" t="s">
        <v>3934</v>
      </c>
      <c r="V2359" s="10" t="s">
        <v>3934</v>
      </c>
      <c r="W2359" s="50">
        <f>+J2359/$W$2</f>
        <v>1.3692187394673152E-4</v>
      </c>
    </row>
    <row r="2360" spans="1:29">
      <c r="A2360" s="10" t="s">
        <v>400</v>
      </c>
      <c r="B2360" s="10" t="s">
        <v>358</v>
      </c>
      <c r="C2360" s="124">
        <v>46406</v>
      </c>
      <c r="D2360" s="124" t="s">
        <v>471</v>
      </c>
      <c r="E2360" s="21">
        <v>0.93685837000000005</v>
      </c>
      <c r="F2360" s="10"/>
      <c r="G2360" s="14">
        <v>5580000</v>
      </c>
      <c r="H2360" s="14">
        <v>5227669.7</v>
      </c>
      <c r="I2360" s="14">
        <v>5580000</v>
      </c>
      <c r="J2360" s="14">
        <v>5227669.7</v>
      </c>
      <c r="K2360" s="12">
        <v>11415146</v>
      </c>
      <c r="L2360" s="10" t="s">
        <v>101</v>
      </c>
      <c r="M2360" s="10" t="s">
        <v>102</v>
      </c>
      <c r="N2360" s="124" t="s">
        <v>449</v>
      </c>
      <c r="O2360" s="124" t="s">
        <v>449</v>
      </c>
      <c r="P2360" s="21">
        <v>30</v>
      </c>
      <c r="Q2360" s="10" t="s">
        <v>54</v>
      </c>
      <c r="R2360" s="10" t="s">
        <v>28</v>
      </c>
      <c r="S2360" s="10"/>
      <c r="T2360" s="10"/>
      <c r="U2360" s="10" t="s">
        <v>1918</v>
      </c>
      <c r="V2360" s="10" t="s">
        <v>1918</v>
      </c>
      <c r="W2360" s="50">
        <f>+J2360/$W$2</f>
        <v>6.3979597603889353E-5</v>
      </c>
    </row>
    <row r="2361" spans="1:29">
      <c r="A2361" s="10" t="s">
        <v>400</v>
      </c>
      <c r="B2361" s="10" t="s">
        <v>358</v>
      </c>
      <c r="C2361" s="124">
        <v>46406</v>
      </c>
      <c r="D2361" s="124" t="s">
        <v>471</v>
      </c>
      <c r="E2361" s="21">
        <v>0.94081870000000001</v>
      </c>
      <c r="F2361" s="10"/>
      <c r="G2361" s="14">
        <v>18040295.57</v>
      </c>
      <c r="H2361" s="14">
        <v>16972647.510000002</v>
      </c>
      <c r="I2361" s="14">
        <v>18040295.57</v>
      </c>
      <c r="J2361" s="14">
        <v>16972647.510000002</v>
      </c>
      <c r="K2361" s="12">
        <v>20905</v>
      </c>
      <c r="L2361" s="10" t="s">
        <v>101</v>
      </c>
      <c r="M2361" s="10" t="s">
        <v>102</v>
      </c>
      <c r="N2361" s="124" t="s">
        <v>469</v>
      </c>
      <c r="O2361" s="124" t="s">
        <v>469</v>
      </c>
      <c r="P2361" s="21">
        <v>28</v>
      </c>
      <c r="Q2361" s="10" t="s">
        <v>54</v>
      </c>
      <c r="R2361" s="10" t="s">
        <v>28</v>
      </c>
      <c r="S2361" s="10"/>
      <c r="T2361" s="10"/>
      <c r="U2361" s="10" t="s">
        <v>4014</v>
      </c>
      <c r="V2361" s="10" t="s">
        <v>4014</v>
      </c>
      <c r="W2361" s="50">
        <f>+J2361/$W$2</f>
        <v>2.077222204689892E-4</v>
      </c>
    </row>
    <row r="2362" spans="1:29">
      <c r="A2362" s="10" t="s">
        <v>334</v>
      </c>
      <c r="B2362" s="10" t="s">
        <v>358</v>
      </c>
      <c r="C2362" s="124">
        <v>46406</v>
      </c>
      <c r="D2362" s="124" t="s">
        <v>471</v>
      </c>
      <c r="E2362" s="21">
        <v>0.92710205999999995</v>
      </c>
      <c r="F2362" s="10"/>
      <c r="G2362" s="14">
        <v>3081473.68</v>
      </c>
      <c r="H2362" s="14">
        <v>2856840.6</v>
      </c>
      <c r="I2362" s="14">
        <v>3081473.68</v>
      </c>
      <c r="J2362" s="14">
        <v>2856840.6</v>
      </c>
      <c r="K2362" s="12">
        <v>3875</v>
      </c>
      <c r="L2362" s="10" t="s">
        <v>101</v>
      </c>
      <c r="M2362" s="10" t="s">
        <v>102</v>
      </c>
      <c r="N2362" s="124" t="s">
        <v>468</v>
      </c>
      <c r="O2362" s="124" t="s">
        <v>468</v>
      </c>
      <c r="P2362" s="21">
        <v>35</v>
      </c>
      <c r="Q2362" s="10" t="s">
        <v>54</v>
      </c>
      <c r="R2362" s="10" t="s">
        <v>28</v>
      </c>
      <c r="S2362" s="10"/>
      <c r="T2362" s="10"/>
      <c r="U2362" s="10" t="s">
        <v>3843</v>
      </c>
      <c r="V2362" s="10" t="s">
        <v>3843</v>
      </c>
      <c r="W2362" s="50">
        <f>+J2362/$W$2</f>
        <v>3.4963860093619499E-5</v>
      </c>
    </row>
    <row r="2363" spans="1:29">
      <c r="A2363" s="10" t="s">
        <v>1825</v>
      </c>
      <c r="B2363" s="10" t="s">
        <v>358</v>
      </c>
      <c r="C2363" s="124">
        <v>46406</v>
      </c>
      <c r="D2363" s="124" t="s">
        <v>471</v>
      </c>
      <c r="E2363" s="21">
        <v>0.93293132999999995</v>
      </c>
      <c r="F2363" s="10"/>
      <c r="G2363" s="14">
        <v>1027513.96</v>
      </c>
      <c r="H2363" s="14">
        <v>958599.97</v>
      </c>
      <c r="I2363" s="14">
        <v>1027513.96</v>
      </c>
      <c r="J2363" s="14">
        <v>958599.97</v>
      </c>
      <c r="K2363" s="12">
        <v>3585517</v>
      </c>
      <c r="L2363" s="10" t="s">
        <v>101</v>
      </c>
      <c r="M2363" s="10" t="s">
        <v>102</v>
      </c>
      <c r="N2363" s="124" t="s">
        <v>395</v>
      </c>
      <c r="O2363" s="124" t="s">
        <v>395</v>
      </c>
      <c r="P2363" s="21">
        <v>32</v>
      </c>
      <c r="Q2363" s="10" t="s">
        <v>54</v>
      </c>
      <c r="R2363" s="10" t="s">
        <v>28</v>
      </c>
      <c r="S2363" s="10"/>
      <c r="T2363" s="10"/>
      <c r="U2363" s="10" t="s">
        <v>1792</v>
      </c>
      <c r="V2363" s="10" t="s">
        <v>1792</v>
      </c>
      <c r="W2363" s="50">
        <f>+J2363/$W$2</f>
        <v>1.1731965457515497E-5</v>
      </c>
    </row>
    <row r="2364" spans="1:29">
      <c r="A2364" s="10" t="s">
        <v>2018</v>
      </c>
      <c r="B2364" s="10" t="s">
        <v>358</v>
      </c>
      <c r="C2364" s="124">
        <v>46406</v>
      </c>
      <c r="D2364" s="124" t="s">
        <v>471</v>
      </c>
      <c r="E2364" s="21">
        <v>0.92710190999999997</v>
      </c>
      <c r="F2364" s="10"/>
      <c r="G2364" s="14">
        <v>25000000</v>
      </c>
      <c r="H2364" s="14">
        <v>23177547.850000001</v>
      </c>
      <c r="I2364" s="14">
        <v>25000000</v>
      </c>
      <c r="J2364" s="14">
        <v>23177547.850000001</v>
      </c>
      <c r="K2364" s="12">
        <v>10685427</v>
      </c>
      <c r="L2364" s="10" t="s">
        <v>101</v>
      </c>
      <c r="M2364" s="10" t="s">
        <v>102</v>
      </c>
      <c r="N2364" s="124" t="s">
        <v>449</v>
      </c>
      <c r="O2364" s="124" t="s">
        <v>449</v>
      </c>
      <c r="P2364" s="21">
        <v>35</v>
      </c>
      <c r="Q2364" s="10" t="s">
        <v>54</v>
      </c>
      <c r="R2364" s="10" t="s">
        <v>28</v>
      </c>
      <c r="S2364" s="10"/>
      <c r="T2364" s="10"/>
      <c r="U2364" s="10" t="s">
        <v>1982</v>
      </c>
      <c r="V2364" s="10" t="s">
        <v>1982</v>
      </c>
      <c r="W2364" s="50">
        <f>+J2364/$W$2</f>
        <v>2.836617977007788E-4</v>
      </c>
    </row>
    <row r="2365" spans="1:29">
      <c r="A2365" s="10" t="s">
        <v>443</v>
      </c>
      <c r="B2365" s="10" t="s">
        <v>358</v>
      </c>
      <c r="C2365" s="124">
        <v>46406</v>
      </c>
      <c r="D2365" s="124" t="s">
        <v>471</v>
      </c>
      <c r="E2365" s="21">
        <v>0.93098000000000003</v>
      </c>
      <c r="F2365" s="10"/>
      <c r="G2365" s="14">
        <v>10000000</v>
      </c>
      <c r="H2365" s="14">
        <v>9309800.0299999993</v>
      </c>
      <c r="I2365" s="14">
        <v>10000000</v>
      </c>
      <c r="J2365" s="14">
        <v>9309800.0299999993</v>
      </c>
      <c r="K2365" s="12">
        <v>2285690</v>
      </c>
      <c r="L2365" s="10" t="s">
        <v>101</v>
      </c>
      <c r="M2365" s="10" t="s">
        <v>102</v>
      </c>
      <c r="N2365" s="124" t="s">
        <v>486</v>
      </c>
      <c r="O2365" s="124" t="s">
        <v>486</v>
      </c>
      <c r="P2365" s="21">
        <v>33</v>
      </c>
      <c r="Q2365" s="10" t="s">
        <v>54</v>
      </c>
      <c r="R2365" s="10" t="s">
        <v>28</v>
      </c>
      <c r="S2365" s="10"/>
      <c r="T2365" s="10"/>
      <c r="U2365" s="10" t="s">
        <v>1449</v>
      </c>
      <c r="V2365" s="10" t="s">
        <v>1449</v>
      </c>
      <c r="W2365" s="50">
        <f>+J2365/$W$2</f>
        <v>1.1393934465524419E-4</v>
      </c>
    </row>
    <row r="2366" spans="1:29">
      <c r="A2366" s="10" t="s">
        <v>401</v>
      </c>
      <c r="B2366" s="10" t="s">
        <v>358</v>
      </c>
      <c r="C2366" s="124">
        <v>46406</v>
      </c>
      <c r="D2366" s="124" t="s">
        <v>471</v>
      </c>
      <c r="E2366" s="21">
        <v>0.93685837000000005</v>
      </c>
      <c r="F2366" s="10"/>
      <c r="G2366" s="14">
        <v>25000000</v>
      </c>
      <c r="H2366" s="14">
        <v>23421459.239999998</v>
      </c>
      <c r="I2366" s="14">
        <v>25000000</v>
      </c>
      <c r="J2366" s="14">
        <v>23421459.239999998</v>
      </c>
      <c r="K2366" s="12">
        <v>69808450</v>
      </c>
      <c r="L2366" s="10" t="s">
        <v>101</v>
      </c>
      <c r="M2366" s="10" t="s">
        <v>102</v>
      </c>
      <c r="N2366" s="124" t="s">
        <v>449</v>
      </c>
      <c r="O2366" s="124" t="s">
        <v>449</v>
      </c>
      <c r="P2366" s="21">
        <v>30</v>
      </c>
      <c r="Q2366" s="10" t="s">
        <v>54</v>
      </c>
      <c r="R2366" s="10" t="s">
        <v>28</v>
      </c>
      <c r="S2366" s="10"/>
      <c r="T2366" s="10"/>
      <c r="U2366" s="10" t="s">
        <v>1916</v>
      </c>
      <c r="V2366" s="10" t="s">
        <v>1916</v>
      </c>
      <c r="W2366" s="50">
        <f>+J2366/$W$2</f>
        <v>2.8664694279959885E-4</v>
      </c>
    </row>
    <row r="2367" spans="1:29">
      <c r="A2367" s="10" t="s">
        <v>1601</v>
      </c>
      <c r="B2367" s="10" t="s">
        <v>358</v>
      </c>
      <c r="C2367" s="124">
        <v>46406</v>
      </c>
      <c r="D2367" s="124" t="s">
        <v>471</v>
      </c>
      <c r="E2367" s="21">
        <v>0.93293126000000004</v>
      </c>
      <c r="F2367" s="10"/>
      <c r="G2367" s="14">
        <v>108911054</v>
      </c>
      <c r="H2367" s="14">
        <v>101606526.79000001</v>
      </c>
      <c r="I2367" s="14">
        <v>108911054</v>
      </c>
      <c r="J2367" s="14">
        <v>101606526.79000001</v>
      </c>
      <c r="K2367" s="12">
        <v>90000136</v>
      </c>
      <c r="L2367" s="10" t="s">
        <v>101</v>
      </c>
      <c r="M2367" s="10" t="s">
        <v>102</v>
      </c>
      <c r="N2367" s="124" t="s">
        <v>487</v>
      </c>
      <c r="O2367" s="124" t="s">
        <v>487</v>
      </c>
      <c r="P2367" s="21">
        <v>32</v>
      </c>
      <c r="Q2367" s="10" t="s">
        <v>54</v>
      </c>
      <c r="R2367" s="10" t="s">
        <v>28</v>
      </c>
      <c r="S2367" s="10"/>
      <c r="T2367" s="10"/>
      <c r="U2367" s="10" t="s">
        <v>1575</v>
      </c>
      <c r="V2367" s="10" t="s">
        <v>1575</v>
      </c>
      <c r="W2367" s="50">
        <f>+J2367/$W$2</f>
        <v>1.2435262881954848E-3</v>
      </c>
    </row>
    <row r="2368" spans="1:29">
      <c r="A2368" s="10" t="s">
        <v>1764</v>
      </c>
      <c r="B2368" s="10" t="s">
        <v>358</v>
      </c>
      <c r="C2368" s="124">
        <v>46406</v>
      </c>
      <c r="D2368" s="124" t="s">
        <v>471</v>
      </c>
      <c r="E2368" s="21">
        <v>0.93098004000000001</v>
      </c>
      <c r="F2368" s="10"/>
      <c r="G2368" s="14">
        <v>520000000</v>
      </c>
      <c r="H2368" s="14">
        <v>484109621.63</v>
      </c>
      <c r="I2368" s="14">
        <v>520000000</v>
      </c>
      <c r="J2368" s="14">
        <v>484109621.63</v>
      </c>
      <c r="K2368" s="12">
        <v>91310541</v>
      </c>
      <c r="L2368" s="10" t="s">
        <v>101</v>
      </c>
      <c r="M2368" s="10" t="s">
        <v>102</v>
      </c>
      <c r="N2368" s="124" t="s">
        <v>398</v>
      </c>
      <c r="O2368" s="124" t="s">
        <v>398</v>
      </c>
      <c r="P2368" s="21">
        <v>33</v>
      </c>
      <c r="Q2368" s="10" t="s">
        <v>54</v>
      </c>
      <c r="R2368" s="10" t="s">
        <v>28</v>
      </c>
      <c r="S2368" s="10"/>
      <c r="T2368" s="10"/>
      <c r="U2368" s="10" t="s">
        <v>1738</v>
      </c>
      <c r="V2368" s="10" t="s">
        <v>1738</v>
      </c>
      <c r="W2368" s="50">
        <f>+J2368/$W$2</f>
        <v>5.9248461677023183E-3</v>
      </c>
      <c r="AC2368" s="47"/>
    </row>
    <row r="2369" spans="1:29">
      <c r="A2369" s="10" t="s">
        <v>453</v>
      </c>
      <c r="B2369" s="10" t="s">
        <v>358</v>
      </c>
      <c r="C2369" s="124">
        <v>46406</v>
      </c>
      <c r="D2369" s="124" t="s">
        <v>471</v>
      </c>
      <c r="E2369" s="21">
        <v>0.94281141000000002</v>
      </c>
      <c r="F2369" s="10"/>
      <c r="G2369" s="14">
        <v>2000000</v>
      </c>
      <c r="H2369" s="14">
        <v>1885622.83</v>
      </c>
      <c r="I2369" s="14">
        <v>2000000</v>
      </c>
      <c r="J2369" s="14">
        <v>1885622.83</v>
      </c>
      <c r="K2369" s="12">
        <v>113</v>
      </c>
      <c r="L2369" s="10" t="s">
        <v>101</v>
      </c>
      <c r="M2369" s="10" t="s">
        <v>102</v>
      </c>
      <c r="N2369" s="124" t="s">
        <v>369</v>
      </c>
      <c r="O2369" s="124" t="s">
        <v>369</v>
      </c>
      <c r="P2369" s="21">
        <v>27</v>
      </c>
      <c r="Q2369" s="10" t="s">
        <v>54</v>
      </c>
      <c r="R2369" s="10" t="s">
        <v>28</v>
      </c>
      <c r="S2369" s="10"/>
      <c r="T2369" s="10"/>
      <c r="U2369" s="10" t="s">
        <v>656</v>
      </c>
      <c r="V2369" s="10" t="s">
        <v>656</v>
      </c>
      <c r="W2369" s="50">
        <f>+J2369/$W$2</f>
        <v>2.3077469851644807E-5</v>
      </c>
    </row>
    <row r="2370" spans="1:29">
      <c r="A2370" s="10" t="s">
        <v>141</v>
      </c>
      <c r="B2370" s="10" t="s">
        <v>358</v>
      </c>
      <c r="C2370" s="124">
        <v>46406</v>
      </c>
      <c r="D2370" s="124" t="s">
        <v>471</v>
      </c>
      <c r="E2370" s="21">
        <v>0.93098018999999999</v>
      </c>
      <c r="F2370" s="10"/>
      <c r="G2370" s="14">
        <v>11250000</v>
      </c>
      <c r="H2370" s="14">
        <v>10473527.18</v>
      </c>
      <c r="I2370" s="14">
        <v>11250000</v>
      </c>
      <c r="J2370" s="14">
        <v>10473527.18</v>
      </c>
      <c r="K2370" s="12">
        <v>410</v>
      </c>
      <c r="L2370" s="10" t="s">
        <v>101</v>
      </c>
      <c r="M2370" s="10" t="s">
        <v>102</v>
      </c>
      <c r="N2370" s="124" t="s">
        <v>417</v>
      </c>
      <c r="O2370" s="124" t="s">
        <v>417</v>
      </c>
      <c r="P2370" s="21">
        <v>33</v>
      </c>
      <c r="Q2370" s="10" t="s">
        <v>54</v>
      </c>
      <c r="R2370" s="10" t="s">
        <v>28</v>
      </c>
      <c r="S2370" s="10"/>
      <c r="T2370" s="10"/>
      <c r="U2370" s="10" t="s">
        <v>3298</v>
      </c>
      <c r="V2370" s="10" t="s">
        <v>3298</v>
      </c>
      <c r="W2370" s="50">
        <f>+J2370/$W$2</f>
        <v>1.2818178900434317E-4</v>
      </c>
    </row>
    <row r="2371" spans="1:29">
      <c r="A2371" s="10" t="s">
        <v>575</v>
      </c>
      <c r="B2371" s="10" t="s">
        <v>358</v>
      </c>
      <c r="C2371" s="124">
        <v>46406</v>
      </c>
      <c r="D2371" s="124" t="s">
        <v>471</v>
      </c>
      <c r="E2371" s="21">
        <v>0.93098013000000002</v>
      </c>
      <c r="F2371" s="10"/>
      <c r="G2371" s="14">
        <v>2200000</v>
      </c>
      <c r="H2371" s="14">
        <v>2048156.28</v>
      </c>
      <c r="I2371" s="14">
        <v>2200000</v>
      </c>
      <c r="J2371" s="14">
        <v>2048156.28</v>
      </c>
      <c r="K2371" s="12">
        <v>6764</v>
      </c>
      <c r="L2371" s="10" t="s">
        <v>101</v>
      </c>
      <c r="M2371" s="10" t="s">
        <v>102</v>
      </c>
      <c r="N2371" s="124" t="s">
        <v>603</v>
      </c>
      <c r="O2371" s="124" t="s">
        <v>603</v>
      </c>
      <c r="P2371" s="21">
        <v>33</v>
      </c>
      <c r="Q2371" s="10" t="s">
        <v>54</v>
      </c>
      <c r="R2371" s="10" t="s">
        <v>28</v>
      </c>
      <c r="S2371" s="10"/>
      <c r="T2371" s="10"/>
      <c r="U2371" s="10" t="s">
        <v>2620</v>
      </c>
      <c r="V2371" s="10" t="s">
        <v>2620</v>
      </c>
      <c r="W2371" s="50">
        <f>+J2371/$W$2</f>
        <v>2.5066659170199473E-5</v>
      </c>
    </row>
    <row r="2372" spans="1:29">
      <c r="A2372" s="10" t="s">
        <v>789</v>
      </c>
      <c r="B2372" s="10" t="s">
        <v>358</v>
      </c>
      <c r="C2372" s="124">
        <v>46406</v>
      </c>
      <c r="D2372" s="124" t="s">
        <v>471</v>
      </c>
      <c r="E2372" s="21">
        <v>0.92517492000000001</v>
      </c>
      <c r="F2372" s="10"/>
      <c r="G2372" s="14">
        <v>4945300.8499999996</v>
      </c>
      <c r="H2372" s="14">
        <v>4575268.3</v>
      </c>
      <c r="I2372" s="14">
        <v>4945300.8499999996</v>
      </c>
      <c r="J2372" s="14">
        <v>4575268.3</v>
      </c>
      <c r="K2372" s="12">
        <v>1383</v>
      </c>
      <c r="L2372" s="10" t="s">
        <v>101</v>
      </c>
      <c r="M2372" s="10" t="s">
        <v>102</v>
      </c>
      <c r="N2372" s="124" t="s">
        <v>450</v>
      </c>
      <c r="O2372" s="124" t="s">
        <v>450</v>
      </c>
      <c r="P2372" s="21">
        <v>36</v>
      </c>
      <c r="Q2372" s="10" t="s">
        <v>54</v>
      </c>
      <c r="R2372" s="10" t="s">
        <v>28</v>
      </c>
      <c r="S2372" s="10"/>
      <c r="T2372" s="10"/>
      <c r="U2372" s="10" t="s">
        <v>3435</v>
      </c>
      <c r="V2372" s="10" t="s">
        <v>3435</v>
      </c>
      <c r="W2372" s="50">
        <f>+J2372/$W$2</f>
        <v>5.5995087976547347E-5</v>
      </c>
    </row>
    <row r="2373" spans="1:29">
      <c r="A2373" s="10" t="s">
        <v>334</v>
      </c>
      <c r="B2373" s="10" t="s">
        <v>358</v>
      </c>
      <c r="C2373" s="124">
        <v>46406</v>
      </c>
      <c r="D2373" s="124" t="s">
        <v>471</v>
      </c>
      <c r="E2373" s="21">
        <v>0.92517495000000005</v>
      </c>
      <c r="F2373" s="10"/>
      <c r="G2373" s="14">
        <v>2440210.56</v>
      </c>
      <c r="H2373" s="14">
        <v>2257621.6800000002</v>
      </c>
      <c r="I2373" s="14">
        <v>2440210.56</v>
      </c>
      <c r="J2373" s="14">
        <v>2257621.6800000002</v>
      </c>
      <c r="K2373" s="12">
        <v>3721</v>
      </c>
      <c r="L2373" s="10" t="s">
        <v>101</v>
      </c>
      <c r="M2373" s="10" t="s">
        <v>102</v>
      </c>
      <c r="N2373" s="124" t="s">
        <v>445</v>
      </c>
      <c r="O2373" s="124" t="s">
        <v>445</v>
      </c>
      <c r="P2373" s="21">
        <v>36</v>
      </c>
      <c r="Q2373" s="10" t="s">
        <v>54</v>
      </c>
      <c r="R2373" s="10" t="s">
        <v>28</v>
      </c>
      <c r="S2373" s="10"/>
      <c r="T2373" s="10"/>
      <c r="U2373" s="10" t="s">
        <v>2854</v>
      </c>
      <c r="V2373" s="10" t="s">
        <v>2854</v>
      </c>
      <c r="W2373" s="50">
        <f>+J2373/$W$2</f>
        <v>2.7630231999588013E-5</v>
      </c>
    </row>
    <row r="2374" spans="1:29">
      <c r="A2374" s="10" t="s">
        <v>1423</v>
      </c>
      <c r="B2374" s="10" t="s">
        <v>358</v>
      </c>
      <c r="C2374" s="124">
        <v>46406</v>
      </c>
      <c r="D2374" s="124" t="s">
        <v>471</v>
      </c>
      <c r="E2374" s="21">
        <v>0.93293126000000004</v>
      </c>
      <c r="F2374" s="10"/>
      <c r="G2374" s="14">
        <v>2383603</v>
      </c>
      <c r="H2374" s="14">
        <v>2223737.75</v>
      </c>
      <c r="I2374" s="14">
        <v>2383603</v>
      </c>
      <c r="J2374" s="14">
        <v>2223737.75</v>
      </c>
      <c r="K2374" s="12">
        <v>111053</v>
      </c>
      <c r="L2374" s="10" t="s">
        <v>101</v>
      </c>
      <c r="M2374" s="10" t="s">
        <v>102</v>
      </c>
      <c r="N2374" s="124" t="s">
        <v>391</v>
      </c>
      <c r="O2374" s="124" t="s">
        <v>391</v>
      </c>
      <c r="P2374" s="21">
        <v>32</v>
      </c>
      <c r="Q2374" s="10" t="s">
        <v>54</v>
      </c>
      <c r="R2374" s="10" t="s">
        <v>28</v>
      </c>
      <c r="S2374" s="10"/>
      <c r="T2374" s="10"/>
      <c r="U2374" s="10" t="s">
        <v>1399</v>
      </c>
      <c r="V2374" s="10" t="s">
        <v>1399</v>
      </c>
      <c r="W2374" s="50">
        <f>+J2374/$W$2</f>
        <v>2.7215538583391812E-5</v>
      </c>
    </row>
    <row r="2375" spans="1:29">
      <c r="A2375" s="10" t="s">
        <v>506</v>
      </c>
      <c r="B2375" s="10" t="s">
        <v>358</v>
      </c>
      <c r="C2375" s="124">
        <v>46406</v>
      </c>
      <c r="D2375" s="124" t="s">
        <v>471</v>
      </c>
      <c r="E2375" s="21">
        <v>0.93685837000000005</v>
      </c>
      <c r="F2375" s="10"/>
      <c r="G2375" s="14">
        <v>50000000</v>
      </c>
      <c r="H2375" s="14">
        <v>46842918.479999997</v>
      </c>
      <c r="I2375" s="14">
        <v>50000000</v>
      </c>
      <c r="J2375" s="14">
        <v>46842918.479999997</v>
      </c>
      <c r="K2375" s="12">
        <v>68076</v>
      </c>
      <c r="L2375" s="10" t="s">
        <v>101</v>
      </c>
      <c r="M2375" s="10" t="s">
        <v>102</v>
      </c>
      <c r="N2375" s="124" t="s">
        <v>449</v>
      </c>
      <c r="O2375" s="124" t="s">
        <v>449</v>
      </c>
      <c r="P2375" s="21">
        <v>30</v>
      </c>
      <c r="Q2375" s="10" t="s">
        <v>54</v>
      </c>
      <c r="R2375" s="10" t="s">
        <v>28</v>
      </c>
      <c r="S2375" s="10"/>
      <c r="T2375" s="10"/>
      <c r="U2375" s="10" t="s">
        <v>1946</v>
      </c>
      <c r="V2375" s="10" t="s">
        <v>1946</v>
      </c>
      <c r="W2375" s="50">
        <f>+J2375/$W$2</f>
        <v>5.7329388559919771E-4</v>
      </c>
    </row>
    <row r="2376" spans="1:29">
      <c r="A2376" s="10" t="s">
        <v>3572</v>
      </c>
      <c r="B2376" s="10" t="s">
        <v>358</v>
      </c>
      <c r="C2376" s="124">
        <v>46406</v>
      </c>
      <c r="D2376" s="124" t="s">
        <v>471</v>
      </c>
      <c r="E2376" s="21">
        <v>0.93098004000000001</v>
      </c>
      <c r="F2376" s="10"/>
      <c r="G2376" s="14">
        <v>5816000</v>
      </c>
      <c r="H2376" s="14">
        <v>5414579.9199999999</v>
      </c>
      <c r="I2376" s="14">
        <v>5816000</v>
      </c>
      <c r="J2376" s="14">
        <v>5414579.9199999999</v>
      </c>
      <c r="K2376" s="12">
        <v>737</v>
      </c>
      <c r="L2376" s="10" t="s">
        <v>101</v>
      </c>
      <c r="M2376" s="10" t="s">
        <v>102</v>
      </c>
      <c r="N2376" s="124" t="s">
        <v>451</v>
      </c>
      <c r="O2376" s="124" t="s">
        <v>451</v>
      </c>
      <c r="P2376" s="21">
        <v>33</v>
      </c>
      <c r="Q2376" s="10" t="s">
        <v>54</v>
      </c>
      <c r="R2376" s="10" t="s">
        <v>28</v>
      </c>
      <c r="S2376" s="10"/>
      <c r="T2376" s="10"/>
      <c r="U2376" s="10" t="s">
        <v>3563</v>
      </c>
      <c r="V2376" s="10" t="s">
        <v>3563</v>
      </c>
      <c r="W2376" s="50">
        <f>+J2376/$W$2</f>
        <v>6.6267125575225112E-5</v>
      </c>
    </row>
    <row r="2377" spans="1:29">
      <c r="A2377" s="10" t="s">
        <v>3774</v>
      </c>
      <c r="B2377" s="10" t="s">
        <v>358</v>
      </c>
      <c r="C2377" s="124">
        <v>46406</v>
      </c>
      <c r="D2377" s="124" t="s">
        <v>471</v>
      </c>
      <c r="E2377" s="21">
        <v>0.93098018999999999</v>
      </c>
      <c r="F2377" s="10"/>
      <c r="G2377" s="14">
        <v>2631589</v>
      </c>
      <c r="H2377" s="14">
        <v>2449957.2200000002</v>
      </c>
      <c r="I2377" s="14">
        <v>2631589</v>
      </c>
      <c r="J2377" s="14">
        <v>2449957.2200000002</v>
      </c>
      <c r="K2377" s="12">
        <v>70552284</v>
      </c>
      <c r="L2377" s="10" t="s">
        <v>101</v>
      </c>
      <c r="M2377" s="10" t="s">
        <v>102</v>
      </c>
      <c r="N2377" s="124" t="s">
        <v>467</v>
      </c>
      <c r="O2377" s="124" t="s">
        <v>467</v>
      </c>
      <c r="P2377" s="21">
        <v>33</v>
      </c>
      <c r="Q2377" s="10" t="s">
        <v>54</v>
      </c>
      <c r="R2377" s="10" t="s">
        <v>28</v>
      </c>
      <c r="S2377" s="10"/>
      <c r="T2377" s="10"/>
      <c r="U2377" s="10" t="s">
        <v>3698</v>
      </c>
      <c r="V2377" s="10" t="s">
        <v>3698</v>
      </c>
      <c r="W2377" s="50">
        <f>+J2377/$W$2</f>
        <v>2.9984158540533545E-5</v>
      </c>
    </row>
    <row r="2378" spans="1:29">
      <c r="A2378" s="10" t="s">
        <v>623</v>
      </c>
      <c r="B2378" s="10" t="s">
        <v>358</v>
      </c>
      <c r="C2378" s="124">
        <v>46406</v>
      </c>
      <c r="D2378" s="124" t="s">
        <v>471</v>
      </c>
      <c r="E2378" s="21">
        <v>0.92710197000000005</v>
      </c>
      <c r="F2378" s="10"/>
      <c r="G2378" s="14">
        <v>3000000</v>
      </c>
      <c r="H2378" s="14">
        <v>2781305.9</v>
      </c>
      <c r="I2378" s="14">
        <v>3000000</v>
      </c>
      <c r="J2378" s="14">
        <v>2781305.9</v>
      </c>
      <c r="K2378" s="12">
        <v>48</v>
      </c>
      <c r="L2378" s="10" t="s">
        <v>101</v>
      </c>
      <c r="M2378" s="10" t="s">
        <v>102</v>
      </c>
      <c r="N2378" s="124" t="s">
        <v>446</v>
      </c>
      <c r="O2378" s="124" t="s">
        <v>446</v>
      </c>
      <c r="P2378" s="21">
        <v>35</v>
      </c>
      <c r="Q2378" s="10" t="s">
        <v>54</v>
      </c>
      <c r="R2378" s="10" t="s">
        <v>28</v>
      </c>
      <c r="S2378" s="10"/>
      <c r="T2378" s="10"/>
      <c r="U2378" s="10" t="s">
        <v>3084</v>
      </c>
      <c r="V2378" s="10" t="s">
        <v>3084</v>
      </c>
      <c r="W2378" s="50">
        <f>+J2378/$W$2</f>
        <v>3.4039417657799483E-5</v>
      </c>
    </row>
    <row r="2379" spans="1:29">
      <c r="A2379" s="10" t="s">
        <v>220</v>
      </c>
      <c r="B2379" s="10" t="s">
        <v>358</v>
      </c>
      <c r="C2379" s="124">
        <v>46406</v>
      </c>
      <c r="D2379" s="124" t="s">
        <v>471</v>
      </c>
      <c r="E2379" s="21">
        <v>0.93098007000000005</v>
      </c>
      <c r="F2379" s="10"/>
      <c r="G2379" s="14">
        <v>25000000</v>
      </c>
      <c r="H2379" s="14">
        <v>23274501.870000001</v>
      </c>
      <c r="I2379" s="14">
        <v>25000000</v>
      </c>
      <c r="J2379" s="14">
        <v>23274501.870000001</v>
      </c>
      <c r="K2379" s="12">
        <v>475892</v>
      </c>
      <c r="L2379" s="10" t="s">
        <v>101</v>
      </c>
      <c r="M2379" s="10" t="s">
        <v>102</v>
      </c>
      <c r="N2379" s="124" t="s">
        <v>312</v>
      </c>
      <c r="O2379" s="124" t="s">
        <v>312</v>
      </c>
      <c r="P2379" s="21">
        <v>33</v>
      </c>
      <c r="Q2379" s="10" t="s">
        <v>54</v>
      </c>
      <c r="R2379" s="10" t="s">
        <v>28</v>
      </c>
      <c r="S2379" s="10"/>
      <c r="T2379" s="10"/>
      <c r="U2379" s="10" t="s">
        <v>1031</v>
      </c>
      <c r="V2379" s="10" t="s">
        <v>1031</v>
      </c>
      <c r="W2379" s="50">
        <f>+J2379/$W$2</f>
        <v>2.8484838360647962E-4</v>
      </c>
    </row>
    <row r="2380" spans="1:29">
      <c r="A2380" s="10" t="s">
        <v>3778</v>
      </c>
      <c r="B2380" s="10" t="s">
        <v>358</v>
      </c>
      <c r="C2380" s="124">
        <v>46406</v>
      </c>
      <c r="D2380" s="124" t="s">
        <v>471</v>
      </c>
      <c r="E2380" s="21">
        <v>0.93098018999999999</v>
      </c>
      <c r="F2380" s="10"/>
      <c r="G2380" s="14">
        <v>4000000</v>
      </c>
      <c r="H2380" s="14">
        <v>3723920.74</v>
      </c>
      <c r="I2380" s="14">
        <v>4000000</v>
      </c>
      <c r="J2380" s="14">
        <v>3723920.74</v>
      </c>
      <c r="K2380" s="12">
        <v>200</v>
      </c>
      <c r="L2380" s="10" t="s">
        <v>101</v>
      </c>
      <c r="M2380" s="10" t="s">
        <v>102</v>
      </c>
      <c r="N2380" s="124" t="s">
        <v>467</v>
      </c>
      <c r="O2380" s="124" t="s">
        <v>467</v>
      </c>
      <c r="P2380" s="21">
        <v>33</v>
      </c>
      <c r="Q2380" s="10" t="s">
        <v>54</v>
      </c>
      <c r="R2380" s="10" t="s">
        <v>28</v>
      </c>
      <c r="S2380" s="10"/>
      <c r="T2380" s="10"/>
      <c r="U2380" s="10" t="s">
        <v>3695</v>
      </c>
      <c r="V2380" s="10" t="s">
        <v>3695</v>
      </c>
      <c r="W2380" s="50">
        <f>+J2380/$W$2</f>
        <v>4.5575746771831794E-5</v>
      </c>
      <c r="AC2380" s="47"/>
    </row>
    <row r="2381" spans="1:29">
      <c r="A2381" s="10" t="s">
        <v>522</v>
      </c>
      <c r="B2381" s="10" t="s">
        <v>358</v>
      </c>
      <c r="C2381" s="124">
        <v>46406</v>
      </c>
      <c r="D2381" s="124" t="s">
        <v>471</v>
      </c>
      <c r="E2381" s="21">
        <v>0.93098011999999997</v>
      </c>
      <c r="F2381" s="10"/>
      <c r="G2381" s="14">
        <v>38000000</v>
      </c>
      <c r="H2381" s="14">
        <v>35377244.390000001</v>
      </c>
      <c r="I2381" s="14">
        <v>38000000</v>
      </c>
      <c r="J2381" s="14">
        <v>35377244.390000001</v>
      </c>
      <c r="K2381" s="12">
        <v>9827967</v>
      </c>
      <c r="L2381" s="10" t="s">
        <v>101</v>
      </c>
      <c r="M2381" s="10" t="s">
        <v>102</v>
      </c>
      <c r="N2381" s="124" t="s">
        <v>466</v>
      </c>
      <c r="O2381" s="124" t="s">
        <v>466</v>
      </c>
      <c r="P2381" s="21">
        <v>33</v>
      </c>
      <c r="Q2381" s="10" t="s">
        <v>54</v>
      </c>
      <c r="R2381" s="10" t="s">
        <v>28</v>
      </c>
      <c r="S2381" s="10"/>
      <c r="T2381" s="10"/>
      <c r="U2381" s="10" t="s">
        <v>3628</v>
      </c>
      <c r="V2381" s="10" t="s">
        <v>3628</v>
      </c>
      <c r="W2381" s="50">
        <f>+J2381/$W$2</f>
        <v>4.3296956202237721E-4</v>
      </c>
    </row>
    <row r="2382" spans="1:29">
      <c r="A2382" s="10" t="s">
        <v>433</v>
      </c>
      <c r="B2382" s="10" t="s">
        <v>358</v>
      </c>
      <c r="C2382" s="124">
        <v>46406</v>
      </c>
      <c r="D2382" s="124" t="s">
        <v>471</v>
      </c>
      <c r="E2382" s="21">
        <v>0.93098006</v>
      </c>
      <c r="F2382" s="10"/>
      <c r="G2382" s="14">
        <v>15000000</v>
      </c>
      <c r="H2382" s="14">
        <v>13964700.83</v>
      </c>
      <c r="I2382" s="14">
        <v>15000000</v>
      </c>
      <c r="J2382" s="14">
        <v>13964700.83</v>
      </c>
      <c r="K2382" s="12">
        <v>14724993</v>
      </c>
      <c r="L2382" s="10" t="s">
        <v>101</v>
      </c>
      <c r="M2382" s="10" t="s">
        <v>102</v>
      </c>
      <c r="N2382" s="124" t="s">
        <v>446</v>
      </c>
      <c r="O2382" s="124" t="s">
        <v>446</v>
      </c>
      <c r="P2382" s="21">
        <v>33</v>
      </c>
      <c r="Q2382" s="10" t="s">
        <v>54</v>
      </c>
      <c r="R2382" s="10" t="s">
        <v>28</v>
      </c>
      <c r="S2382" s="10"/>
      <c r="T2382" s="10"/>
      <c r="U2382" s="10" t="s">
        <v>3090</v>
      </c>
      <c r="V2382" s="10" t="s">
        <v>3090</v>
      </c>
      <c r="W2382" s="50">
        <f>+J2382/$W$2</f>
        <v>1.709090265902032E-4</v>
      </c>
    </row>
    <row r="2383" spans="1:29">
      <c r="A2383" s="10" t="s">
        <v>433</v>
      </c>
      <c r="B2383" s="10" t="s">
        <v>358</v>
      </c>
      <c r="C2383" s="124">
        <v>46406</v>
      </c>
      <c r="D2383" s="124" t="s">
        <v>471</v>
      </c>
      <c r="E2383" s="21">
        <v>0.93293137999999998</v>
      </c>
      <c r="F2383" s="10"/>
      <c r="G2383" s="14">
        <v>10000000</v>
      </c>
      <c r="H2383" s="14">
        <v>9329313.8499999996</v>
      </c>
      <c r="I2383" s="14">
        <v>10000000</v>
      </c>
      <c r="J2383" s="14">
        <v>9329313.8499999996</v>
      </c>
      <c r="K2383" s="12">
        <v>14725221</v>
      </c>
      <c r="L2383" s="10" t="s">
        <v>101</v>
      </c>
      <c r="M2383" s="10" t="s">
        <v>102</v>
      </c>
      <c r="N2383" s="124" t="s">
        <v>468</v>
      </c>
      <c r="O2383" s="124" t="s">
        <v>468</v>
      </c>
      <c r="P2383" s="21">
        <v>32</v>
      </c>
      <c r="Q2383" s="10" t="s">
        <v>54</v>
      </c>
      <c r="R2383" s="10" t="s">
        <v>28</v>
      </c>
      <c r="S2383" s="10"/>
      <c r="T2383" s="10"/>
      <c r="U2383" s="10" t="s">
        <v>3806</v>
      </c>
      <c r="V2383" s="10" t="s">
        <v>3806</v>
      </c>
      <c r="W2383" s="50">
        <f>+J2383/$W$2</f>
        <v>1.1417816738563106E-4</v>
      </c>
    </row>
    <row r="2384" spans="1:29">
      <c r="A2384" s="10" t="s">
        <v>3781</v>
      </c>
      <c r="B2384" s="10" t="s">
        <v>358</v>
      </c>
      <c r="C2384" s="124">
        <v>46406</v>
      </c>
      <c r="D2384" s="124" t="s">
        <v>471</v>
      </c>
      <c r="E2384" s="21">
        <v>0.93098018999999999</v>
      </c>
      <c r="F2384" s="10"/>
      <c r="G2384" s="14">
        <v>3000000</v>
      </c>
      <c r="H2384" s="14">
        <v>2792940.57</v>
      </c>
      <c r="I2384" s="14">
        <v>3000000</v>
      </c>
      <c r="J2384" s="14">
        <v>2792940.57</v>
      </c>
      <c r="K2384" s="12">
        <v>40961150</v>
      </c>
      <c r="L2384" s="10" t="s">
        <v>101</v>
      </c>
      <c r="M2384" s="10" t="s">
        <v>102</v>
      </c>
      <c r="N2384" s="124" t="s">
        <v>467</v>
      </c>
      <c r="O2384" s="124" t="s">
        <v>467</v>
      </c>
      <c r="P2384" s="21">
        <v>33</v>
      </c>
      <c r="Q2384" s="10" t="s">
        <v>54</v>
      </c>
      <c r="R2384" s="10" t="s">
        <v>28</v>
      </c>
      <c r="S2384" s="10"/>
      <c r="T2384" s="10"/>
      <c r="U2384" s="10" t="s">
        <v>3688</v>
      </c>
      <c r="V2384" s="10" t="s">
        <v>3688</v>
      </c>
      <c r="W2384" s="50">
        <f>+J2384/$W$2</f>
        <v>3.4181810262453524E-5</v>
      </c>
    </row>
    <row r="2385" spans="1:29">
      <c r="A2385" s="10" t="s">
        <v>3782</v>
      </c>
      <c r="B2385" s="10" t="s">
        <v>358</v>
      </c>
      <c r="C2385" s="124">
        <v>46406</v>
      </c>
      <c r="D2385" s="124" t="s">
        <v>471</v>
      </c>
      <c r="E2385" s="21">
        <v>0.93098018999999999</v>
      </c>
      <c r="F2385" s="10"/>
      <c r="G2385" s="14">
        <v>1249867.6100000001</v>
      </c>
      <c r="H2385" s="14">
        <v>1163601.98</v>
      </c>
      <c r="I2385" s="14">
        <v>1249867.6100000001</v>
      </c>
      <c r="J2385" s="14">
        <v>1163601.98</v>
      </c>
      <c r="K2385" s="12">
        <v>41006118</v>
      </c>
      <c r="L2385" s="10" t="s">
        <v>101</v>
      </c>
      <c r="M2385" s="10" t="s">
        <v>102</v>
      </c>
      <c r="N2385" s="124" t="s">
        <v>467</v>
      </c>
      <c r="O2385" s="124" t="s">
        <v>467</v>
      </c>
      <c r="P2385" s="21">
        <v>33</v>
      </c>
      <c r="Q2385" s="10" t="s">
        <v>54</v>
      </c>
      <c r="R2385" s="10" t="s">
        <v>28</v>
      </c>
      <c r="S2385" s="10"/>
      <c r="T2385" s="10"/>
      <c r="U2385" s="10" t="s">
        <v>3689</v>
      </c>
      <c r="V2385" s="10" t="s">
        <v>3689</v>
      </c>
      <c r="W2385" s="50">
        <f>+J2385/$W$2</f>
        <v>1.4240912437809317E-5</v>
      </c>
    </row>
    <row r="2386" spans="1:29">
      <c r="A2386" s="10" t="s">
        <v>3783</v>
      </c>
      <c r="B2386" s="10" t="s">
        <v>358</v>
      </c>
      <c r="C2386" s="124">
        <v>46406</v>
      </c>
      <c r="D2386" s="124" t="s">
        <v>471</v>
      </c>
      <c r="E2386" s="21">
        <v>0.93098018999999999</v>
      </c>
      <c r="F2386" s="10"/>
      <c r="G2386" s="14">
        <v>6956487.5</v>
      </c>
      <c r="H2386" s="14">
        <v>6476352.0499999998</v>
      </c>
      <c r="I2386" s="14">
        <v>6956487.5</v>
      </c>
      <c r="J2386" s="14">
        <v>6476352.0499999998</v>
      </c>
      <c r="K2386" s="12">
        <v>90000333</v>
      </c>
      <c r="L2386" s="10" t="s">
        <v>101</v>
      </c>
      <c r="M2386" s="10" t="s">
        <v>102</v>
      </c>
      <c r="N2386" s="124" t="s">
        <v>467</v>
      </c>
      <c r="O2386" s="124" t="s">
        <v>467</v>
      </c>
      <c r="P2386" s="21">
        <v>33</v>
      </c>
      <c r="Q2386" s="10" t="s">
        <v>54</v>
      </c>
      <c r="R2386" s="10" t="s">
        <v>28</v>
      </c>
      <c r="S2386" s="10"/>
      <c r="T2386" s="10"/>
      <c r="U2386" s="10" t="s">
        <v>3699</v>
      </c>
      <c r="V2386" s="10" t="s">
        <v>3699</v>
      </c>
      <c r="W2386" s="50">
        <f>+J2386/$W$2</f>
        <v>7.9261778551181964E-5</v>
      </c>
    </row>
    <row r="2387" spans="1:29">
      <c r="A2387" s="10" t="s">
        <v>217</v>
      </c>
      <c r="B2387" s="10" t="s">
        <v>358</v>
      </c>
      <c r="C2387" s="124">
        <v>46406</v>
      </c>
      <c r="D2387" s="124" t="s">
        <v>471</v>
      </c>
      <c r="E2387" s="21">
        <v>0.93685856999999995</v>
      </c>
      <c r="F2387" s="10"/>
      <c r="G2387" s="14">
        <v>50000000</v>
      </c>
      <c r="H2387" s="14">
        <v>46842928.530000001</v>
      </c>
      <c r="I2387" s="14">
        <v>50000000</v>
      </c>
      <c r="J2387" s="14">
        <v>46842928.530000001</v>
      </c>
      <c r="K2387" s="12">
        <v>5506</v>
      </c>
      <c r="L2387" s="10" t="s">
        <v>101</v>
      </c>
      <c r="M2387" s="10" t="s">
        <v>102</v>
      </c>
      <c r="N2387" s="124" t="s">
        <v>474</v>
      </c>
      <c r="O2387" s="124" t="s">
        <v>474</v>
      </c>
      <c r="P2387" s="21">
        <v>30</v>
      </c>
      <c r="Q2387" s="10" t="s">
        <v>54</v>
      </c>
      <c r="R2387" s="10" t="s">
        <v>28</v>
      </c>
      <c r="S2387" s="10"/>
      <c r="T2387" s="10"/>
      <c r="U2387" s="10" t="s">
        <v>3877</v>
      </c>
      <c r="V2387" s="10" t="s">
        <v>3877</v>
      </c>
      <c r="W2387" s="50">
        <f>+J2387/$W$2</f>
        <v>5.7329400859758761E-4</v>
      </c>
    </row>
    <row r="2388" spans="1:29">
      <c r="A2388" s="10" t="s">
        <v>3598</v>
      </c>
      <c r="B2388" s="10" t="s">
        <v>358</v>
      </c>
      <c r="C2388" s="124">
        <v>46406</v>
      </c>
      <c r="D2388" s="124" t="s">
        <v>471</v>
      </c>
      <c r="E2388" s="21">
        <v>0.92903694999999997</v>
      </c>
      <c r="F2388" s="10"/>
      <c r="G2388" s="14">
        <v>1183000</v>
      </c>
      <c r="H2388" s="14">
        <v>1099050.71</v>
      </c>
      <c r="I2388" s="14">
        <v>1183000</v>
      </c>
      <c r="J2388" s="14">
        <v>1099050.71</v>
      </c>
      <c r="K2388" s="12">
        <v>24</v>
      </c>
      <c r="L2388" s="10" t="s">
        <v>101</v>
      </c>
      <c r="M2388" s="10" t="s">
        <v>102</v>
      </c>
      <c r="N2388" s="124" t="s">
        <v>451</v>
      </c>
      <c r="O2388" s="124" t="s">
        <v>451</v>
      </c>
      <c r="P2388" s="21">
        <v>34</v>
      </c>
      <c r="Q2388" s="10" t="s">
        <v>54</v>
      </c>
      <c r="R2388" s="10" t="s">
        <v>28</v>
      </c>
      <c r="S2388" s="10"/>
      <c r="T2388" s="10"/>
      <c r="U2388" s="10" t="s">
        <v>3466</v>
      </c>
      <c r="V2388" s="10" t="s">
        <v>3466</v>
      </c>
      <c r="W2388" s="50">
        <f>+J2388/$W$2</f>
        <v>1.345089231097919E-5</v>
      </c>
    </row>
    <row r="2389" spans="1:29">
      <c r="A2389" s="10" t="s">
        <v>3100</v>
      </c>
      <c r="B2389" s="10" t="s">
        <v>358</v>
      </c>
      <c r="C2389" s="124">
        <v>46406</v>
      </c>
      <c r="D2389" s="124" t="s">
        <v>471</v>
      </c>
      <c r="E2389" s="21">
        <v>0.93098006</v>
      </c>
      <c r="F2389" s="10"/>
      <c r="G2389" s="14">
        <v>4198532</v>
      </c>
      <c r="H2389" s="14">
        <v>3908749.55</v>
      </c>
      <c r="I2389" s="14">
        <v>4198532</v>
      </c>
      <c r="J2389" s="14">
        <v>3908749.55</v>
      </c>
      <c r="K2389" s="12">
        <v>40949989</v>
      </c>
      <c r="L2389" s="10" t="s">
        <v>101</v>
      </c>
      <c r="M2389" s="10" t="s">
        <v>102</v>
      </c>
      <c r="N2389" s="124" t="s">
        <v>446</v>
      </c>
      <c r="O2389" s="124" t="s">
        <v>446</v>
      </c>
      <c r="P2389" s="21">
        <v>33</v>
      </c>
      <c r="Q2389" s="10" t="s">
        <v>54</v>
      </c>
      <c r="R2389" s="10" t="s">
        <v>28</v>
      </c>
      <c r="S2389" s="10"/>
      <c r="T2389" s="10"/>
      <c r="U2389" s="10" t="s">
        <v>3101</v>
      </c>
      <c r="V2389" s="10" t="s">
        <v>3101</v>
      </c>
      <c r="W2389" s="50">
        <f>+J2389/$W$2</f>
        <v>4.7837801103498096E-5</v>
      </c>
    </row>
    <row r="2390" spans="1:29">
      <c r="A2390" s="10" t="s">
        <v>967</v>
      </c>
      <c r="B2390" s="10" t="s">
        <v>358</v>
      </c>
      <c r="C2390" s="124">
        <v>46406</v>
      </c>
      <c r="D2390" s="124" t="s">
        <v>471</v>
      </c>
      <c r="E2390" s="21">
        <v>0.92710190999999997</v>
      </c>
      <c r="F2390" s="10"/>
      <c r="G2390" s="14">
        <v>25000000</v>
      </c>
      <c r="H2390" s="14">
        <v>23177547.850000001</v>
      </c>
      <c r="I2390" s="14">
        <v>25000000</v>
      </c>
      <c r="J2390" s="14">
        <v>23177547.850000001</v>
      </c>
      <c r="K2390" s="12">
        <v>382</v>
      </c>
      <c r="L2390" s="10" t="s">
        <v>101</v>
      </c>
      <c r="M2390" s="10" t="s">
        <v>102</v>
      </c>
      <c r="N2390" s="124" t="s">
        <v>449</v>
      </c>
      <c r="O2390" s="124" t="s">
        <v>449</v>
      </c>
      <c r="P2390" s="21">
        <v>35</v>
      </c>
      <c r="Q2390" s="10" t="s">
        <v>54</v>
      </c>
      <c r="R2390" s="10" t="s">
        <v>28</v>
      </c>
      <c r="S2390" s="10"/>
      <c r="T2390" s="10"/>
      <c r="U2390" s="10" t="s">
        <v>1968</v>
      </c>
      <c r="V2390" s="10" t="s">
        <v>1968</v>
      </c>
      <c r="W2390" s="50">
        <f>+J2390/$W$2</f>
        <v>2.836617977007788E-4</v>
      </c>
      <c r="AC2390" s="47"/>
    </row>
    <row r="2391" spans="1:29">
      <c r="A2391" s="10" t="s">
        <v>400</v>
      </c>
      <c r="B2391" s="10" t="s">
        <v>358</v>
      </c>
      <c r="C2391" s="124">
        <v>46407</v>
      </c>
      <c r="D2391" s="124" t="s">
        <v>471</v>
      </c>
      <c r="E2391" s="21">
        <v>0.94014036000000001</v>
      </c>
      <c r="F2391" s="10"/>
      <c r="G2391" s="14">
        <v>18040295.600000001</v>
      </c>
      <c r="H2391" s="14">
        <v>16960410.010000002</v>
      </c>
      <c r="I2391" s="14">
        <v>18040295.600000001</v>
      </c>
      <c r="J2391" s="14">
        <v>16960410.010000002</v>
      </c>
      <c r="K2391" s="12">
        <v>20906</v>
      </c>
      <c r="L2391" s="10" t="s">
        <v>101</v>
      </c>
      <c r="M2391" s="10" t="s">
        <v>102</v>
      </c>
      <c r="N2391" s="124" t="s">
        <v>469</v>
      </c>
      <c r="O2391" s="124" t="s">
        <v>469</v>
      </c>
      <c r="P2391" s="21">
        <v>28</v>
      </c>
      <c r="Q2391" s="10" t="s">
        <v>54</v>
      </c>
      <c r="R2391" s="10" t="s">
        <v>28</v>
      </c>
      <c r="S2391" s="10"/>
      <c r="T2391" s="10"/>
      <c r="U2391" s="10" t="s">
        <v>4015</v>
      </c>
      <c r="V2391" s="10" t="s">
        <v>4015</v>
      </c>
      <c r="W2391" s="50">
        <f>+J2391/$W$2</f>
        <v>2.0757245004151219E-4</v>
      </c>
    </row>
    <row r="2392" spans="1:29">
      <c r="A2392" s="10" t="s">
        <v>1826</v>
      </c>
      <c r="B2392" s="10" t="s">
        <v>358</v>
      </c>
      <c r="C2392" s="124">
        <v>46407</v>
      </c>
      <c r="D2392" s="124" t="s">
        <v>471</v>
      </c>
      <c r="E2392" s="21">
        <v>0.93216885000000005</v>
      </c>
      <c r="F2392" s="10"/>
      <c r="G2392" s="14">
        <v>21145734.48</v>
      </c>
      <c r="H2392" s="14">
        <v>19711394.949999999</v>
      </c>
      <c r="I2392" s="14">
        <v>21145734.48</v>
      </c>
      <c r="J2392" s="14">
        <v>19711394.949999999</v>
      </c>
      <c r="K2392" s="12">
        <v>1985962</v>
      </c>
      <c r="L2392" s="10" t="s">
        <v>101</v>
      </c>
      <c r="M2392" s="10" t="s">
        <v>102</v>
      </c>
      <c r="N2392" s="124" t="s">
        <v>395</v>
      </c>
      <c r="O2392" s="124" t="s">
        <v>395</v>
      </c>
      <c r="P2392" s="21">
        <v>32</v>
      </c>
      <c r="Q2392" s="10" t="s">
        <v>54</v>
      </c>
      <c r="R2392" s="10" t="s">
        <v>28</v>
      </c>
      <c r="S2392" s="10"/>
      <c r="T2392" s="10"/>
      <c r="U2392" s="10" t="s">
        <v>1796</v>
      </c>
      <c r="V2392" s="10" t="s">
        <v>1796</v>
      </c>
      <c r="W2392" s="50">
        <f>+J2392/$W$2</f>
        <v>2.4124078021079575E-4</v>
      </c>
    </row>
    <row r="2393" spans="1:29">
      <c r="A2393" s="10" t="s">
        <v>2079</v>
      </c>
      <c r="B2393" s="10" t="s">
        <v>358</v>
      </c>
      <c r="C2393" s="124">
        <v>46407</v>
      </c>
      <c r="D2393" s="124" t="s">
        <v>471</v>
      </c>
      <c r="E2393" s="21">
        <v>0.93216891999999996</v>
      </c>
      <c r="F2393" s="10"/>
      <c r="G2393" s="14">
        <v>45000000</v>
      </c>
      <c r="H2393" s="14">
        <v>41947601.530000001</v>
      </c>
      <c r="I2393" s="14">
        <v>45000000</v>
      </c>
      <c r="J2393" s="14">
        <v>41947601.530000001</v>
      </c>
      <c r="K2393" s="12">
        <v>51177</v>
      </c>
      <c r="L2393" s="10" t="s">
        <v>101</v>
      </c>
      <c r="M2393" s="10" t="s">
        <v>102</v>
      </c>
      <c r="N2393" s="124" t="s">
        <v>408</v>
      </c>
      <c r="O2393" s="124" t="s">
        <v>408</v>
      </c>
      <c r="P2393" s="21">
        <v>32</v>
      </c>
      <c r="Q2393" s="10" t="s">
        <v>54</v>
      </c>
      <c r="R2393" s="10" t="s">
        <v>28</v>
      </c>
      <c r="S2393" s="10"/>
      <c r="T2393" s="10"/>
      <c r="U2393" s="10" t="s">
        <v>2052</v>
      </c>
      <c r="V2393" s="10" t="s">
        <v>2052</v>
      </c>
      <c r="W2393" s="50">
        <f>+J2393/$W$2</f>
        <v>5.1338183556962167E-4</v>
      </c>
    </row>
    <row r="2394" spans="1:29">
      <c r="A2394" s="10" t="s">
        <v>2079</v>
      </c>
      <c r="B2394" s="10" t="s">
        <v>358</v>
      </c>
      <c r="C2394" s="124">
        <v>46407</v>
      </c>
      <c r="D2394" s="124" t="s">
        <v>471</v>
      </c>
      <c r="E2394" s="21">
        <v>0.93216889000000003</v>
      </c>
      <c r="F2394" s="10"/>
      <c r="G2394" s="14">
        <v>55000000</v>
      </c>
      <c r="H2394" s="14">
        <v>51269289.020000003</v>
      </c>
      <c r="I2394" s="14">
        <v>55000000</v>
      </c>
      <c r="J2394" s="14">
        <v>51269289.020000003</v>
      </c>
      <c r="K2394" s="12">
        <v>51408</v>
      </c>
      <c r="L2394" s="10" t="s">
        <v>101</v>
      </c>
      <c r="M2394" s="10" t="s">
        <v>102</v>
      </c>
      <c r="N2394" s="124" t="s">
        <v>576</v>
      </c>
      <c r="O2394" s="124" t="s">
        <v>576</v>
      </c>
      <c r="P2394" s="21">
        <v>32</v>
      </c>
      <c r="Q2394" s="10" t="s">
        <v>54</v>
      </c>
      <c r="R2394" s="10" t="s">
        <v>28</v>
      </c>
      <c r="S2394" s="10"/>
      <c r="T2394" s="10"/>
      <c r="U2394" s="10" t="s">
        <v>2364</v>
      </c>
      <c r="V2394" s="10" t="s">
        <v>2364</v>
      </c>
      <c r="W2394" s="50">
        <f>+J2394/$W$2</f>
        <v>6.2746666663678139E-4</v>
      </c>
    </row>
    <row r="2395" spans="1:29">
      <c r="A2395" s="10" t="s">
        <v>831</v>
      </c>
      <c r="B2395" s="10" t="s">
        <v>358</v>
      </c>
      <c r="C2395" s="124">
        <v>46407</v>
      </c>
      <c r="D2395" s="124" t="s">
        <v>471</v>
      </c>
      <c r="E2395" s="21">
        <v>0.94417715000000002</v>
      </c>
      <c r="F2395" s="10"/>
      <c r="G2395" s="14">
        <v>3948801</v>
      </c>
      <c r="H2395" s="14">
        <v>3728367.67</v>
      </c>
      <c r="I2395" s="14">
        <v>3948801</v>
      </c>
      <c r="J2395" s="14">
        <v>3728367.67</v>
      </c>
      <c r="K2395" s="12">
        <v>1016</v>
      </c>
      <c r="L2395" s="10" t="s">
        <v>101</v>
      </c>
      <c r="M2395" s="10" t="s">
        <v>102</v>
      </c>
      <c r="N2395" s="124" t="s">
        <v>344</v>
      </c>
      <c r="O2395" s="124" t="s">
        <v>344</v>
      </c>
      <c r="P2395" s="21">
        <v>26</v>
      </c>
      <c r="Q2395" s="10" t="s">
        <v>54</v>
      </c>
      <c r="R2395" s="10" t="s">
        <v>28</v>
      </c>
      <c r="S2395" s="10"/>
      <c r="T2395" s="10"/>
      <c r="U2395" s="10" t="s">
        <v>820</v>
      </c>
      <c r="V2395" s="10" t="s">
        <v>820</v>
      </c>
      <c r="W2395" s="50">
        <f>+J2395/$W$2</f>
        <v>4.563017117281731E-5</v>
      </c>
    </row>
    <row r="2396" spans="1:29">
      <c r="A2396" s="10" t="s">
        <v>494</v>
      </c>
      <c r="B2396" s="10" t="s">
        <v>358</v>
      </c>
      <c r="C2396" s="124">
        <v>46407</v>
      </c>
      <c r="D2396" s="124" t="s">
        <v>471</v>
      </c>
      <c r="E2396" s="21">
        <v>0.93813460999999998</v>
      </c>
      <c r="F2396" s="10"/>
      <c r="G2396" s="14">
        <v>14000000</v>
      </c>
      <c r="H2396" s="14">
        <v>13133884.48</v>
      </c>
      <c r="I2396" s="14">
        <v>14000000</v>
      </c>
      <c r="J2396" s="14">
        <v>13133884.48</v>
      </c>
      <c r="K2396" s="12">
        <v>122</v>
      </c>
      <c r="L2396" s="10" t="s">
        <v>101</v>
      </c>
      <c r="M2396" s="10" t="s">
        <v>102</v>
      </c>
      <c r="N2396" s="124" t="s">
        <v>369</v>
      </c>
      <c r="O2396" s="124" t="s">
        <v>369</v>
      </c>
      <c r="P2396" s="21">
        <v>29</v>
      </c>
      <c r="Q2396" s="10" t="s">
        <v>54</v>
      </c>
      <c r="R2396" s="10" t="s">
        <v>28</v>
      </c>
      <c r="S2396" s="10"/>
      <c r="T2396" s="10"/>
      <c r="U2396" s="10" t="s">
        <v>664</v>
      </c>
      <c r="V2396" s="10" t="s">
        <v>664</v>
      </c>
      <c r="W2396" s="50">
        <f>+J2396/$W$2</f>
        <v>1.6074095959168339E-4</v>
      </c>
    </row>
    <row r="2397" spans="1:29">
      <c r="A2397" s="10" t="s">
        <v>2759</v>
      </c>
      <c r="B2397" s="10" t="s">
        <v>358</v>
      </c>
      <c r="C2397" s="124">
        <v>46407</v>
      </c>
      <c r="D2397" s="124" t="s">
        <v>471</v>
      </c>
      <c r="E2397" s="21">
        <v>0.93216889000000003</v>
      </c>
      <c r="F2397" s="10"/>
      <c r="G2397" s="14">
        <v>10000000</v>
      </c>
      <c r="H2397" s="14">
        <v>9321688.8900000006</v>
      </c>
      <c r="I2397" s="14">
        <v>10000000</v>
      </c>
      <c r="J2397" s="14">
        <v>9321688.8900000006</v>
      </c>
      <c r="K2397" s="12">
        <v>427</v>
      </c>
      <c r="L2397" s="10" t="s">
        <v>101</v>
      </c>
      <c r="M2397" s="10" t="s">
        <v>102</v>
      </c>
      <c r="N2397" s="124" t="s">
        <v>475</v>
      </c>
      <c r="O2397" s="124" t="s">
        <v>475</v>
      </c>
      <c r="P2397" s="21">
        <v>32</v>
      </c>
      <c r="Q2397" s="10" t="s">
        <v>54</v>
      </c>
      <c r="R2397" s="10" t="s">
        <v>28</v>
      </c>
      <c r="S2397" s="10"/>
      <c r="T2397" s="10"/>
      <c r="U2397" s="10" t="s">
        <v>3358</v>
      </c>
      <c r="V2397" s="10" t="s">
        <v>3358</v>
      </c>
      <c r="W2397" s="50">
        <f>+J2397/$W$2</f>
        <v>1.1408484820126376E-4</v>
      </c>
    </row>
    <row r="2398" spans="1:29">
      <c r="A2398" s="10" t="s">
        <v>964</v>
      </c>
      <c r="B2398" s="10" t="s">
        <v>358</v>
      </c>
      <c r="C2398" s="124">
        <v>46407</v>
      </c>
      <c r="D2398" s="124" t="s">
        <v>471</v>
      </c>
      <c r="E2398" s="21">
        <v>0.93216885000000005</v>
      </c>
      <c r="F2398" s="10"/>
      <c r="G2398" s="14">
        <v>18500000</v>
      </c>
      <c r="H2398" s="14">
        <v>17245123.68</v>
      </c>
      <c r="I2398" s="14">
        <v>18500000</v>
      </c>
      <c r="J2398" s="14">
        <v>17245123.68</v>
      </c>
      <c r="K2398" s="12">
        <v>40780954</v>
      </c>
      <c r="L2398" s="10" t="s">
        <v>101</v>
      </c>
      <c r="M2398" s="10" t="s">
        <v>102</v>
      </c>
      <c r="N2398" s="124" t="s">
        <v>395</v>
      </c>
      <c r="O2398" s="124" t="s">
        <v>395</v>
      </c>
      <c r="P2398" s="21">
        <v>32</v>
      </c>
      <c r="Q2398" s="10" t="s">
        <v>54</v>
      </c>
      <c r="R2398" s="10" t="s">
        <v>28</v>
      </c>
      <c r="S2398" s="10"/>
      <c r="T2398" s="10"/>
      <c r="U2398" s="10" t="s">
        <v>1816</v>
      </c>
      <c r="V2398" s="10" t="s">
        <v>1816</v>
      </c>
      <c r="W2398" s="50">
        <f>+J2398/$W$2</f>
        <v>2.1105695979141596E-4</v>
      </c>
    </row>
    <row r="2399" spans="1:29">
      <c r="A2399" s="10" t="s">
        <v>994</v>
      </c>
      <c r="B2399" s="10" t="s">
        <v>358</v>
      </c>
      <c r="C2399" s="124">
        <v>46407</v>
      </c>
      <c r="D2399" s="124" t="s">
        <v>471</v>
      </c>
      <c r="E2399" s="21">
        <v>0.93019711999999999</v>
      </c>
      <c r="F2399" s="10"/>
      <c r="G2399" s="14">
        <v>10000000</v>
      </c>
      <c r="H2399" s="14">
        <v>9301971.2400000002</v>
      </c>
      <c r="I2399" s="14">
        <v>10000000</v>
      </c>
      <c r="J2399" s="14">
        <v>9301971.2400000002</v>
      </c>
      <c r="K2399" s="12">
        <v>147</v>
      </c>
      <c r="L2399" s="10" t="s">
        <v>101</v>
      </c>
      <c r="M2399" s="10" t="s">
        <v>102</v>
      </c>
      <c r="N2399" s="124" t="s">
        <v>603</v>
      </c>
      <c r="O2399" s="124" t="s">
        <v>603</v>
      </c>
      <c r="P2399" s="21">
        <v>33</v>
      </c>
      <c r="Q2399" s="10" t="s">
        <v>54</v>
      </c>
      <c r="R2399" s="10" t="s">
        <v>28</v>
      </c>
      <c r="S2399" s="10"/>
      <c r="T2399" s="10"/>
      <c r="U2399" s="10" t="s">
        <v>2662</v>
      </c>
      <c r="V2399" s="10" t="s">
        <v>2662</v>
      </c>
      <c r="W2399" s="50">
        <f>+J2399/$W$2</f>
        <v>1.138435308677118E-4</v>
      </c>
    </row>
    <row r="2400" spans="1:29">
      <c r="A2400" s="10" t="s">
        <v>1126</v>
      </c>
      <c r="B2400" s="10" t="s">
        <v>358</v>
      </c>
      <c r="C2400" s="124">
        <v>46407</v>
      </c>
      <c r="D2400" s="124" t="s">
        <v>471</v>
      </c>
      <c r="E2400" s="21">
        <v>0.92239269000000002</v>
      </c>
      <c r="F2400" s="10"/>
      <c r="G2400" s="14">
        <v>25000000</v>
      </c>
      <c r="H2400" s="14">
        <v>23059817.309999999</v>
      </c>
      <c r="I2400" s="14">
        <v>25000000</v>
      </c>
      <c r="J2400" s="14">
        <v>23059817.309999999</v>
      </c>
      <c r="K2400" s="12">
        <v>41</v>
      </c>
      <c r="L2400" s="10" t="s">
        <v>101</v>
      </c>
      <c r="M2400" s="10" t="s">
        <v>102</v>
      </c>
      <c r="N2400" s="124" t="s">
        <v>399</v>
      </c>
      <c r="O2400" s="124" t="s">
        <v>399</v>
      </c>
      <c r="P2400" s="21">
        <v>37</v>
      </c>
      <c r="Q2400" s="10" t="s">
        <v>54</v>
      </c>
      <c r="R2400" s="10" t="s">
        <v>28</v>
      </c>
      <c r="S2400" s="10"/>
      <c r="T2400" s="10"/>
      <c r="U2400" s="10" t="s">
        <v>1109</v>
      </c>
      <c r="V2400" s="10" t="s">
        <v>1109</v>
      </c>
      <c r="W2400" s="50">
        <f>+J2400/$W$2</f>
        <v>2.8222093532669101E-4</v>
      </c>
    </row>
    <row r="2401" spans="1:23">
      <c r="A2401" s="10" t="s">
        <v>3773</v>
      </c>
      <c r="B2401" s="10" t="s">
        <v>358</v>
      </c>
      <c r="C2401" s="124">
        <v>46407</v>
      </c>
      <c r="D2401" s="124" t="s">
        <v>471</v>
      </c>
      <c r="E2401" s="21">
        <v>0.93019715999999997</v>
      </c>
      <c r="F2401" s="10"/>
      <c r="G2401" s="14">
        <v>5850000</v>
      </c>
      <c r="H2401" s="14">
        <v>5441653.4000000004</v>
      </c>
      <c r="I2401" s="14">
        <v>5850000</v>
      </c>
      <c r="J2401" s="14">
        <v>5441653.4000000004</v>
      </c>
      <c r="K2401" s="12">
        <v>1395694</v>
      </c>
      <c r="L2401" s="10" t="s">
        <v>101</v>
      </c>
      <c r="M2401" s="10" t="s">
        <v>102</v>
      </c>
      <c r="N2401" s="124" t="s">
        <v>467</v>
      </c>
      <c r="O2401" s="124" t="s">
        <v>467</v>
      </c>
      <c r="P2401" s="21">
        <v>33</v>
      </c>
      <c r="Q2401" s="10" t="s">
        <v>54</v>
      </c>
      <c r="R2401" s="10" t="s">
        <v>28</v>
      </c>
      <c r="S2401" s="10"/>
      <c r="T2401" s="10"/>
      <c r="U2401" s="10" t="s">
        <v>3682</v>
      </c>
      <c r="V2401" s="10" t="s">
        <v>3682</v>
      </c>
      <c r="W2401" s="50">
        <f>+J2401/$W$2</f>
        <v>6.6598468306411243E-5</v>
      </c>
    </row>
    <row r="2402" spans="1:23">
      <c r="A2402" s="10" t="s">
        <v>3572</v>
      </c>
      <c r="B2402" s="10" t="s">
        <v>358</v>
      </c>
      <c r="C2402" s="124">
        <v>46407</v>
      </c>
      <c r="D2402" s="124" t="s">
        <v>471</v>
      </c>
      <c r="E2402" s="21">
        <v>0.93019702000000004</v>
      </c>
      <c r="F2402" s="10"/>
      <c r="G2402" s="14">
        <v>5820883.9699999997</v>
      </c>
      <c r="H2402" s="14">
        <v>5414568.9000000004</v>
      </c>
      <c r="I2402" s="14">
        <v>5820883.9699999997</v>
      </c>
      <c r="J2402" s="14">
        <v>5414568.9000000004</v>
      </c>
      <c r="K2402" s="12">
        <v>738</v>
      </c>
      <c r="L2402" s="10" t="s">
        <v>101</v>
      </c>
      <c r="M2402" s="10" t="s">
        <v>102</v>
      </c>
      <c r="N2402" s="124" t="s">
        <v>451</v>
      </c>
      <c r="O2402" s="124" t="s">
        <v>451</v>
      </c>
      <c r="P2402" s="21">
        <v>33</v>
      </c>
      <c r="Q2402" s="10" t="s">
        <v>54</v>
      </c>
      <c r="R2402" s="10" t="s">
        <v>28</v>
      </c>
      <c r="S2402" s="10"/>
      <c r="T2402" s="10"/>
      <c r="U2402" s="10" t="s">
        <v>3565</v>
      </c>
      <c r="V2402" s="10" t="s">
        <v>3565</v>
      </c>
      <c r="W2402" s="50">
        <f>+J2402/$W$2</f>
        <v>6.6266990705348845E-5</v>
      </c>
    </row>
    <row r="2403" spans="1:23">
      <c r="A2403" s="10" t="s">
        <v>623</v>
      </c>
      <c r="B2403" s="10" t="s">
        <v>358</v>
      </c>
      <c r="C2403" s="124">
        <v>46407</v>
      </c>
      <c r="D2403" s="124" t="s">
        <v>471</v>
      </c>
      <c r="E2403" s="21">
        <v>0.92627842000000005</v>
      </c>
      <c r="F2403" s="10"/>
      <c r="G2403" s="14">
        <v>3000000</v>
      </c>
      <c r="H2403" s="14">
        <v>2778835.27</v>
      </c>
      <c r="I2403" s="14">
        <v>3000000</v>
      </c>
      <c r="J2403" s="14">
        <v>2778835.27</v>
      </c>
      <c r="K2403" s="12">
        <v>47</v>
      </c>
      <c r="L2403" s="10" t="s">
        <v>101</v>
      </c>
      <c r="M2403" s="10" t="s">
        <v>102</v>
      </c>
      <c r="N2403" s="124" t="s">
        <v>446</v>
      </c>
      <c r="O2403" s="124" t="s">
        <v>446</v>
      </c>
      <c r="P2403" s="21">
        <v>35</v>
      </c>
      <c r="Q2403" s="10" t="s">
        <v>54</v>
      </c>
      <c r="R2403" s="10" t="s">
        <v>28</v>
      </c>
      <c r="S2403" s="10"/>
      <c r="T2403" s="10"/>
      <c r="U2403" s="10" t="s">
        <v>3085</v>
      </c>
      <c r="V2403" s="10" t="s">
        <v>3085</v>
      </c>
      <c r="W2403" s="50">
        <f>+J2403/$W$2</f>
        <v>3.4009180492427671E-5</v>
      </c>
    </row>
    <row r="2404" spans="1:23">
      <c r="A2404" s="10" t="s">
        <v>768</v>
      </c>
      <c r="B2404" s="10" t="s">
        <v>358</v>
      </c>
      <c r="C2404" s="124">
        <v>46407</v>
      </c>
      <c r="D2404" s="124" t="s">
        <v>471</v>
      </c>
      <c r="E2404" s="21">
        <v>0.93019702000000004</v>
      </c>
      <c r="F2404" s="10"/>
      <c r="G2404" s="14">
        <v>20858250</v>
      </c>
      <c r="H2404" s="14">
        <v>19402282.02</v>
      </c>
      <c r="I2404" s="14">
        <v>20858250</v>
      </c>
      <c r="J2404" s="14">
        <v>19402282.02</v>
      </c>
      <c r="K2404" s="12">
        <v>69879181</v>
      </c>
      <c r="L2404" s="10" t="s">
        <v>101</v>
      </c>
      <c r="M2404" s="10" t="s">
        <v>102</v>
      </c>
      <c r="N2404" s="124" t="s">
        <v>478</v>
      </c>
      <c r="O2404" s="124" t="s">
        <v>478</v>
      </c>
      <c r="P2404" s="21">
        <v>33</v>
      </c>
      <c r="Q2404" s="10" t="s">
        <v>54</v>
      </c>
      <c r="R2404" s="10" t="s">
        <v>28</v>
      </c>
      <c r="S2404" s="10"/>
      <c r="T2404" s="10"/>
      <c r="U2404" s="10" t="s">
        <v>2161</v>
      </c>
      <c r="V2404" s="10" t="s">
        <v>2161</v>
      </c>
      <c r="W2404" s="50">
        <f>+J2404/$W$2</f>
        <v>2.3745765656096776E-4</v>
      </c>
    </row>
    <row r="2405" spans="1:23">
      <c r="A2405" s="10" t="s">
        <v>832</v>
      </c>
      <c r="B2405" s="10" t="s">
        <v>358</v>
      </c>
      <c r="C2405" s="124">
        <v>46407</v>
      </c>
      <c r="D2405" s="124" t="s">
        <v>471</v>
      </c>
      <c r="E2405" s="21">
        <v>0.92627839999999995</v>
      </c>
      <c r="F2405" s="10"/>
      <c r="G2405" s="14">
        <v>181355.13</v>
      </c>
      <c r="H2405" s="14">
        <v>167985.34</v>
      </c>
      <c r="I2405" s="14">
        <v>181355.13</v>
      </c>
      <c r="J2405" s="14">
        <v>167985.34</v>
      </c>
      <c r="K2405" s="12">
        <v>127541</v>
      </c>
      <c r="L2405" s="10" t="s">
        <v>101</v>
      </c>
      <c r="M2405" s="10" t="s">
        <v>102</v>
      </c>
      <c r="N2405" s="124" t="s">
        <v>451</v>
      </c>
      <c r="O2405" s="124" t="s">
        <v>451</v>
      </c>
      <c r="P2405" s="21">
        <v>35</v>
      </c>
      <c r="Q2405" s="10" t="s">
        <v>54</v>
      </c>
      <c r="R2405" s="10" t="s">
        <v>28</v>
      </c>
      <c r="S2405" s="10"/>
      <c r="T2405" s="10"/>
      <c r="U2405" s="10" t="s">
        <v>3509</v>
      </c>
      <c r="V2405" s="10" t="s">
        <v>3509</v>
      </c>
      <c r="W2405" s="50">
        <f>+J2405/$W$2</f>
        <v>2.0559130689822538E-6</v>
      </c>
    </row>
    <row r="2406" spans="1:23">
      <c r="A2406" s="10" t="s">
        <v>1241</v>
      </c>
      <c r="B2406" s="10" t="s">
        <v>358</v>
      </c>
      <c r="C2406" s="124">
        <v>46407</v>
      </c>
      <c r="D2406" s="124" t="s">
        <v>471</v>
      </c>
      <c r="E2406" s="21">
        <v>0.93414900000000001</v>
      </c>
      <c r="F2406" s="10"/>
      <c r="G2406" s="14">
        <v>25000000</v>
      </c>
      <c r="H2406" s="14">
        <v>23353724.949999999</v>
      </c>
      <c r="I2406" s="14">
        <v>25000000</v>
      </c>
      <c r="J2406" s="14">
        <v>23353724.949999999</v>
      </c>
      <c r="K2406" s="12">
        <v>10513</v>
      </c>
      <c r="L2406" s="10" t="s">
        <v>101</v>
      </c>
      <c r="M2406" s="10" t="s">
        <v>102</v>
      </c>
      <c r="N2406" s="124" t="s">
        <v>448</v>
      </c>
      <c r="O2406" s="124" t="s">
        <v>448</v>
      </c>
      <c r="P2406" s="21">
        <v>31</v>
      </c>
      <c r="Q2406" s="10" t="s">
        <v>54</v>
      </c>
      <c r="R2406" s="10" t="s">
        <v>28</v>
      </c>
      <c r="S2406" s="10"/>
      <c r="T2406" s="10"/>
      <c r="U2406" s="10" t="s">
        <v>3140</v>
      </c>
      <c r="V2406" s="10" t="s">
        <v>3140</v>
      </c>
      <c r="W2406" s="50">
        <f>+J2406/$W$2</f>
        <v>2.8581796681854455E-4</v>
      </c>
    </row>
    <row r="2407" spans="1:23">
      <c r="A2407" s="10" t="s">
        <v>3592</v>
      </c>
      <c r="B2407" s="10" t="s">
        <v>358</v>
      </c>
      <c r="C2407" s="124">
        <v>46407</v>
      </c>
      <c r="D2407" s="124" t="s">
        <v>471</v>
      </c>
      <c r="E2407" s="21">
        <v>0.93019702000000004</v>
      </c>
      <c r="F2407" s="10"/>
      <c r="G2407" s="14">
        <v>4082482.01</v>
      </c>
      <c r="H2407" s="14">
        <v>3797512.59</v>
      </c>
      <c r="I2407" s="14">
        <v>4082482.01</v>
      </c>
      <c r="J2407" s="14">
        <v>3797512.59</v>
      </c>
      <c r="K2407" s="12">
        <v>90016638</v>
      </c>
      <c r="L2407" s="10" t="s">
        <v>101</v>
      </c>
      <c r="M2407" s="10" t="s">
        <v>102</v>
      </c>
      <c r="N2407" s="124" t="s">
        <v>451</v>
      </c>
      <c r="O2407" s="124" t="s">
        <v>451</v>
      </c>
      <c r="P2407" s="21">
        <v>33</v>
      </c>
      <c r="Q2407" s="10" t="s">
        <v>54</v>
      </c>
      <c r="R2407" s="10" t="s">
        <v>28</v>
      </c>
      <c r="S2407" s="10"/>
      <c r="T2407" s="10"/>
      <c r="U2407" s="10" t="s">
        <v>3549</v>
      </c>
      <c r="V2407" s="10" t="s">
        <v>3549</v>
      </c>
      <c r="W2407" s="50">
        <f>+J2407/$W$2</f>
        <v>4.6476411354738731E-5</v>
      </c>
    </row>
    <row r="2408" spans="1:23">
      <c r="A2408" s="10" t="s">
        <v>3796</v>
      </c>
      <c r="B2408" s="10" t="s">
        <v>358</v>
      </c>
      <c r="C2408" s="124">
        <v>46407</v>
      </c>
      <c r="D2408" s="124" t="s">
        <v>471</v>
      </c>
      <c r="E2408" s="21">
        <v>0.92627855999999997</v>
      </c>
      <c r="F2408" s="10"/>
      <c r="G2408" s="14">
        <v>391319.8</v>
      </c>
      <c r="H2408" s="14">
        <v>362471.14</v>
      </c>
      <c r="I2408" s="14">
        <v>391319.8</v>
      </c>
      <c r="J2408" s="14">
        <v>362471.14</v>
      </c>
      <c r="K2408" s="12">
        <v>286</v>
      </c>
      <c r="L2408" s="10" t="s">
        <v>101</v>
      </c>
      <c r="M2408" s="10" t="s">
        <v>102</v>
      </c>
      <c r="N2408" s="124" t="s">
        <v>467</v>
      </c>
      <c r="O2408" s="124" t="s">
        <v>467</v>
      </c>
      <c r="P2408" s="21">
        <v>35</v>
      </c>
      <c r="Q2408" s="10" t="s">
        <v>54</v>
      </c>
      <c r="R2408" s="10" t="s">
        <v>28</v>
      </c>
      <c r="S2408" s="10"/>
      <c r="T2408" s="10"/>
      <c r="U2408" s="10" t="s">
        <v>3755</v>
      </c>
      <c r="V2408" s="10" t="s">
        <v>3755</v>
      </c>
      <c r="W2408" s="50">
        <f>+J2408/$W$2</f>
        <v>4.4361558803577512E-6</v>
      </c>
    </row>
    <row r="2409" spans="1:23">
      <c r="A2409" s="10" t="s">
        <v>3439</v>
      </c>
      <c r="B2409" s="10" t="s">
        <v>358</v>
      </c>
      <c r="C2409" s="124">
        <v>46407</v>
      </c>
      <c r="D2409" s="124" t="s">
        <v>471</v>
      </c>
      <c r="E2409" s="21">
        <v>0.93414909999999995</v>
      </c>
      <c r="F2409" s="10"/>
      <c r="G2409" s="14">
        <v>15045230</v>
      </c>
      <c r="H2409" s="14">
        <v>14054487.99</v>
      </c>
      <c r="I2409" s="14">
        <v>15045230</v>
      </c>
      <c r="J2409" s="14">
        <v>14054487.99</v>
      </c>
      <c r="K2409" s="12">
        <v>70474349</v>
      </c>
      <c r="L2409" s="10" t="s">
        <v>101</v>
      </c>
      <c r="M2409" s="10" t="s">
        <v>102</v>
      </c>
      <c r="N2409" s="124" t="s">
        <v>450</v>
      </c>
      <c r="O2409" s="124" t="s">
        <v>450</v>
      </c>
      <c r="P2409" s="21">
        <v>31</v>
      </c>
      <c r="Q2409" s="10" t="s">
        <v>54</v>
      </c>
      <c r="R2409" s="10" t="s">
        <v>28</v>
      </c>
      <c r="S2409" s="10"/>
      <c r="T2409" s="10"/>
      <c r="U2409" s="10" t="s">
        <v>3418</v>
      </c>
      <c r="V2409" s="10" t="s">
        <v>3418</v>
      </c>
      <c r="W2409" s="50">
        <f>+J2409/$W$2</f>
        <v>1.72007899835159E-4</v>
      </c>
    </row>
    <row r="2410" spans="1:23">
      <c r="A2410" s="10" t="s">
        <v>3597</v>
      </c>
      <c r="B2410" s="10" t="s">
        <v>358</v>
      </c>
      <c r="C2410" s="124">
        <v>46407</v>
      </c>
      <c r="D2410" s="124" t="s">
        <v>471</v>
      </c>
      <c r="E2410" s="21">
        <v>0.92823358</v>
      </c>
      <c r="F2410" s="10"/>
      <c r="G2410" s="14">
        <v>1000000</v>
      </c>
      <c r="H2410" s="14">
        <v>928233.58</v>
      </c>
      <c r="I2410" s="14">
        <v>1000000</v>
      </c>
      <c r="J2410" s="14">
        <v>928233.58</v>
      </c>
      <c r="K2410" s="12">
        <v>90000136</v>
      </c>
      <c r="L2410" s="10" t="s">
        <v>101</v>
      </c>
      <c r="M2410" s="10" t="s">
        <v>102</v>
      </c>
      <c r="N2410" s="124" t="s">
        <v>451</v>
      </c>
      <c r="O2410" s="124" t="s">
        <v>451</v>
      </c>
      <c r="P2410" s="21">
        <v>34</v>
      </c>
      <c r="Q2410" s="10" t="s">
        <v>54</v>
      </c>
      <c r="R2410" s="10" t="s">
        <v>28</v>
      </c>
      <c r="S2410" s="10"/>
      <c r="T2410" s="10"/>
      <c r="U2410" s="10" t="s">
        <v>3461</v>
      </c>
      <c r="V2410" s="10" t="s">
        <v>3461</v>
      </c>
      <c r="W2410" s="50">
        <f>+J2410/$W$2</f>
        <v>1.1360321967322769E-5</v>
      </c>
    </row>
    <row r="2411" spans="1:23">
      <c r="A2411" s="10" t="s">
        <v>3601</v>
      </c>
      <c r="B2411" s="10" t="s">
        <v>358</v>
      </c>
      <c r="C2411" s="124">
        <v>46407</v>
      </c>
      <c r="D2411" s="124" t="s">
        <v>471</v>
      </c>
      <c r="E2411" s="21">
        <v>0.92823358</v>
      </c>
      <c r="F2411" s="10"/>
      <c r="G2411" s="14">
        <v>618696.5</v>
      </c>
      <c r="H2411" s="14">
        <v>574294.87</v>
      </c>
      <c r="I2411" s="14">
        <v>618696.5</v>
      </c>
      <c r="J2411" s="14">
        <v>574294.87</v>
      </c>
      <c r="K2411" s="12">
        <v>70496867</v>
      </c>
      <c r="L2411" s="10" t="s">
        <v>101</v>
      </c>
      <c r="M2411" s="10" t="s">
        <v>102</v>
      </c>
      <c r="N2411" s="124" t="s">
        <v>451</v>
      </c>
      <c r="O2411" s="124" t="s">
        <v>451</v>
      </c>
      <c r="P2411" s="21">
        <v>34</v>
      </c>
      <c r="Q2411" s="10" t="s">
        <v>54</v>
      </c>
      <c r="R2411" s="10" t="s">
        <v>28</v>
      </c>
      <c r="S2411" s="10"/>
      <c r="T2411" s="10"/>
      <c r="U2411" s="10" t="s">
        <v>3485</v>
      </c>
      <c r="V2411" s="10" t="s">
        <v>3485</v>
      </c>
      <c r="W2411" s="50">
        <f>+J2411/$W$2</f>
        <v>7.0285914751993505E-6</v>
      </c>
    </row>
    <row r="2412" spans="1:23">
      <c r="A2412" s="10" t="s">
        <v>3577</v>
      </c>
      <c r="B2412" s="10" t="s">
        <v>358</v>
      </c>
      <c r="C2412" s="124">
        <v>46407</v>
      </c>
      <c r="D2412" s="124" t="s">
        <v>471</v>
      </c>
      <c r="E2412" s="21">
        <v>0.92823356999999995</v>
      </c>
      <c r="F2412" s="10"/>
      <c r="G2412" s="14">
        <v>4927055.72</v>
      </c>
      <c r="H2412" s="14">
        <v>4573458.54</v>
      </c>
      <c r="I2412" s="14">
        <v>4927055.72</v>
      </c>
      <c r="J2412" s="14">
        <v>4573458.54</v>
      </c>
      <c r="K2412" s="12">
        <v>1496</v>
      </c>
      <c r="L2412" s="10" t="s">
        <v>101</v>
      </c>
      <c r="M2412" s="10" t="s">
        <v>102</v>
      </c>
      <c r="N2412" s="124" t="s">
        <v>451</v>
      </c>
      <c r="O2412" s="124" t="s">
        <v>451</v>
      </c>
      <c r="P2412" s="21">
        <v>34</v>
      </c>
      <c r="Q2412" s="10" t="s">
        <v>54</v>
      </c>
      <c r="R2412" s="10" t="s">
        <v>28</v>
      </c>
      <c r="S2412" s="10"/>
      <c r="T2412" s="10"/>
      <c r="U2412" s="10" t="s">
        <v>3490</v>
      </c>
      <c r="V2412" s="10" t="s">
        <v>3490</v>
      </c>
      <c r="W2412" s="50">
        <f>+J2412/$W$2</f>
        <v>5.5972938964998363E-5</v>
      </c>
    </row>
    <row r="2413" spans="1:23">
      <c r="A2413" s="10" t="s">
        <v>376</v>
      </c>
      <c r="B2413" s="10" t="s">
        <v>358</v>
      </c>
      <c r="C2413" s="124">
        <v>46407</v>
      </c>
      <c r="D2413" s="124" t="s">
        <v>471</v>
      </c>
      <c r="E2413" s="21">
        <v>0.93216893000000001</v>
      </c>
      <c r="F2413" s="10"/>
      <c r="G2413" s="14">
        <v>100000000</v>
      </c>
      <c r="H2413" s="14">
        <v>93216892.879999995</v>
      </c>
      <c r="I2413" s="14">
        <v>100000000</v>
      </c>
      <c r="J2413" s="14">
        <v>93216892.879999995</v>
      </c>
      <c r="K2413" s="12">
        <v>2495</v>
      </c>
      <c r="L2413" s="10" t="s">
        <v>101</v>
      </c>
      <c r="M2413" s="10" t="s">
        <v>102</v>
      </c>
      <c r="N2413" s="124" t="s">
        <v>417</v>
      </c>
      <c r="O2413" s="124" t="s">
        <v>417</v>
      </c>
      <c r="P2413" s="21">
        <v>32</v>
      </c>
      <c r="Q2413" s="10" t="s">
        <v>54</v>
      </c>
      <c r="R2413" s="10" t="s">
        <v>28</v>
      </c>
      <c r="S2413" s="10"/>
      <c r="T2413" s="10"/>
      <c r="U2413" s="10" t="s">
        <v>3299</v>
      </c>
      <c r="V2413" s="10" t="s">
        <v>3299</v>
      </c>
      <c r="W2413" s="50">
        <f>+J2413/$W$2</f>
        <v>1.1408485307224474E-3</v>
      </c>
    </row>
    <row r="2414" spans="1:23">
      <c r="A2414" s="10" t="s">
        <v>3605</v>
      </c>
      <c r="B2414" s="10" t="s">
        <v>358</v>
      </c>
      <c r="C2414" s="124">
        <v>46407</v>
      </c>
      <c r="D2414" s="124" t="s">
        <v>471</v>
      </c>
      <c r="E2414" s="21">
        <v>0.93019702000000004</v>
      </c>
      <c r="F2414" s="10"/>
      <c r="G2414" s="14">
        <v>6368218.4000000004</v>
      </c>
      <c r="H2414" s="14">
        <v>5923697.75</v>
      </c>
      <c r="I2414" s="14">
        <v>6368218.4000000004</v>
      </c>
      <c r="J2414" s="14">
        <v>5923697.75</v>
      </c>
      <c r="K2414" s="12">
        <v>70527779</v>
      </c>
      <c r="L2414" s="10" t="s">
        <v>101</v>
      </c>
      <c r="M2414" s="10" t="s">
        <v>102</v>
      </c>
      <c r="N2414" s="124" t="s">
        <v>451</v>
      </c>
      <c r="O2414" s="124" t="s">
        <v>451</v>
      </c>
      <c r="P2414" s="21">
        <v>33</v>
      </c>
      <c r="Q2414" s="10" t="s">
        <v>54</v>
      </c>
      <c r="R2414" s="10" t="s">
        <v>28</v>
      </c>
      <c r="S2414" s="10"/>
      <c r="T2414" s="10"/>
      <c r="U2414" s="10" t="s">
        <v>3558</v>
      </c>
      <c r="V2414" s="10" t="s">
        <v>3558</v>
      </c>
      <c r="W2414" s="50">
        <f>+J2414/$W$2</f>
        <v>7.2498038346237667E-5</v>
      </c>
    </row>
    <row r="2415" spans="1:23">
      <c r="A2415" s="10" t="s">
        <v>3605</v>
      </c>
      <c r="B2415" s="10" t="s">
        <v>358</v>
      </c>
      <c r="C2415" s="124">
        <v>46407</v>
      </c>
      <c r="D2415" s="124" t="s">
        <v>471</v>
      </c>
      <c r="E2415" s="21">
        <v>0.93019702000000004</v>
      </c>
      <c r="F2415" s="10"/>
      <c r="G2415" s="14">
        <v>6368218.4000000004</v>
      </c>
      <c r="H2415" s="14">
        <v>5923697.75</v>
      </c>
      <c r="I2415" s="14">
        <v>6368218.4000000004</v>
      </c>
      <c r="J2415" s="14">
        <v>5923697.75</v>
      </c>
      <c r="K2415" s="12">
        <v>70527778</v>
      </c>
      <c r="L2415" s="10" t="s">
        <v>101</v>
      </c>
      <c r="M2415" s="10" t="s">
        <v>102</v>
      </c>
      <c r="N2415" s="124" t="s">
        <v>451</v>
      </c>
      <c r="O2415" s="124" t="s">
        <v>451</v>
      </c>
      <c r="P2415" s="21">
        <v>33</v>
      </c>
      <c r="Q2415" s="10" t="s">
        <v>54</v>
      </c>
      <c r="R2415" s="10" t="s">
        <v>28</v>
      </c>
      <c r="S2415" s="10"/>
      <c r="T2415" s="10"/>
      <c r="U2415" s="10" t="s">
        <v>3559</v>
      </c>
      <c r="V2415" s="10" t="s">
        <v>3559</v>
      </c>
      <c r="W2415" s="50">
        <f>+J2415/$W$2</f>
        <v>7.2498038346237667E-5</v>
      </c>
    </row>
    <row r="2416" spans="1:23">
      <c r="A2416" s="10" t="s">
        <v>400</v>
      </c>
      <c r="B2416" s="10" t="s">
        <v>358</v>
      </c>
      <c r="C2416" s="124">
        <v>46408</v>
      </c>
      <c r="D2416" s="124" t="s">
        <v>471</v>
      </c>
      <c r="E2416" s="21">
        <v>0.93946275000000001</v>
      </c>
      <c r="F2416" s="10"/>
      <c r="G2416" s="14">
        <v>18040295.600000001</v>
      </c>
      <c r="H2416" s="14">
        <v>16948185.73</v>
      </c>
      <c r="I2416" s="14">
        <v>18040295.600000001</v>
      </c>
      <c r="J2416" s="14">
        <v>16948185.73</v>
      </c>
      <c r="K2416" s="12">
        <v>20907</v>
      </c>
      <c r="L2416" s="10" t="s">
        <v>101</v>
      </c>
      <c r="M2416" s="10" t="s">
        <v>102</v>
      </c>
      <c r="N2416" s="124" t="s">
        <v>469</v>
      </c>
      <c r="O2416" s="124" t="s">
        <v>469</v>
      </c>
      <c r="P2416" s="21">
        <v>28</v>
      </c>
      <c r="Q2416" s="10" t="s">
        <v>54</v>
      </c>
      <c r="R2416" s="10" t="s">
        <v>28</v>
      </c>
      <c r="S2416" s="10"/>
      <c r="T2416" s="10"/>
      <c r="U2416" s="10" t="s">
        <v>4016</v>
      </c>
      <c r="V2416" s="10" t="s">
        <v>4016</v>
      </c>
      <c r="W2416" s="50">
        <f>+J2416/$W$2</f>
        <v>2.0742284140893211E-4</v>
      </c>
    </row>
    <row r="2417" spans="1:29">
      <c r="A2417" s="10" t="s">
        <v>334</v>
      </c>
      <c r="B2417" s="10" t="s">
        <v>358</v>
      </c>
      <c r="C2417" s="124">
        <v>46408</v>
      </c>
      <c r="D2417" s="124" t="s">
        <v>471</v>
      </c>
      <c r="E2417" s="21">
        <v>0.92545644000000005</v>
      </c>
      <c r="F2417" s="10"/>
      <c r="G2417" s="14">
        <v>3081473.68</v>
      </c>
      <c r="H2417" s="14">
        <v>2851769.65</v>
      </c>
      <c r="I2417" s="14">
        <v>3081473.68</v>
      </c>
      <c r="J2417" s="14">
        <v>2851769.65</v>
      </c>
      <c r="K2417" s="12">
        <v>3876</v>
      </c>
      <c r="L2417" s="10" t="s">
        <v>101</v>
      </c>
      <c r="M2417" s="10" t="s">
        <v>102</v>
      </c>
      <c r="N2417" s="124" t="s">
        <v>468</v>
      </c>
      <c r="O2417" s="124" t="s">
        <v>468</v>
      </c>
      <c r="P2417" s="21">
        <v>35</v>
      </c>
      <c r="Q2417" s="10" t="s">
        <v>54</v>
      </c>
      <c r="R2417" s="10" t="s">
        <v>28</v>
      </c>
      <c r="S2417" s="10"/>
      <c r="T2417" s="10"/>
      <c r="U2417" s="10" t="s">
        <v>3844</v>
      </c>
      <c r="V2417" s="10" t="s">
        <v>3844</v>
      </c>
      <c r="W2417" s="50">
        <f>+J2417/$W$2</f>
        <v>3.4901798532907384E-5</v>
      </c>
    </row>
    <row r="2418" spans="1:29">
      <c r="A2418" s="10" t="s">
        <v>575</v>
      </c>
      <c r="B2418" s="10" t="s">
        <v>358</v>
      </c>
      <c r="C2418" s="124">
        <v>46408</v>
      </c>
      <c r="D2418" s="124" t="s">
        <v>471</v>
      </c>
      <c r="E2418" s="21">
        <v>0.92941543000000004</v>
      </c>
      <c r="F2418" s="10"/>
      <c r="G2418" s="14">
        <v>2200000</v>
      </c>
      <c r="H2418" s="14">
        <v>2044713.94</v>
      </c>
      <c r="I2418" s="14">
        <v>2200000</v>
      </c>
      <c r="J2418" s="14">
        <v>2044713.94</v>
      </c>
      <c r="K2418" s="12">
        <v>6765</v>
      </c>
      <c r="L2418" s="10" t="s">
        <v>101</v>
      </c>
      <c r="M2418" s="10" t="s">
        <v>102</v>
      </c>
      <c r="N2418" s="124" t="s">
        <v>603</v>
      </c>
      <c r="O2418" s="124" t="s">
        <v>603</v>
      </c>
      <c r="P2418" s="21">
        <v>33</v>
      </c>
      <c r="Q2418" s="10" t="s">
        <v>54</v>
      </c>
      <c r="R2418" s="10" t="s">
        <v>28</v>
      </c>
      <c r="S2418" s="10"/>
      <c r="T2418" s="10"/>
      <c r="U2418" s="10" t="s">
        <v>2621</v>
      </c>
      <c r="V2418" s="10" t="s">
        <v>2621</v>
      </c>
      <c r="W2418" s="50">
        <f>+J2418/$W$2</f>
        <v>2.5024529590357085E-5</v>
      </c>
    </row>
    <row r="2419" spans="1:29">
      <c r="A2419" s="10" t="s">
        <v>789</v>
      </c>
      <c r="B2419" s="10" t="s">
        <v>358</v>
      </c>
      <c r="C2419" s="124">
        <v>46408</v>
      </c>
      <c r="D2419" s="124" t="s">
        <v>471</v>
      </c>
      <c r="E2419" s="21">
        <v>0.92348967000000004</v>
      </c>
      <c r="F2419" s="10"/>
      <c r="G2419" s="14">
        <v>4945300.8499999996</v>
      </c>
      <c r="H2419" s="14">
        <v>4566934.24</v>
      </c>
      <c r="I2419" s="14">
        <v>4945300.8499999996</v>
      </c>
      <c r="J2419" s="14">
        <v>4566934.24</v>
      </c>
      <c r="K2419" s="12">
        <v>1384</v>
      </c>
      <c r="L2419" s="10" t="s">
        <v>101</v>
      </c>
      <c r="M2419" s="10" t="s">
        <v>102</v>
      </c>
      <c r="N2419" s="124" t="s">
        <v>450</v>
      </c>
      <c r="O2419" s="124" t="s">
        <v>450</v>
      </c>
      <c r="P2419" s="21">
        <v>36</v>
      </c>
      <c r="Q2419" s="10" t="s">
        <v>54</v>
      </c>
      <c r="R2419" s="10" t="s">
        <v>28</v>
      </c>
      <c r="S2419" s="10"/>
      <c r="T2419" s="10"/>
      <c r="U2419" s="10" t="s">
        <v>3436</v>
      </c>
      <c r="V2419" s="10" t="s">
        <v>3436</v>
      </c>
      <c r="W2419" s="50">
        <f>+J2419/$W$2</f>
        <v>5.5893090368472256E-5</v>
      </c>
    </row>
    <row r="2420" spans="1:29">
      <c r="A2420" s="10" t="s">
        <v>334</v>
      </c>
      <c r="B2420" s="10" t="s">
        <v>358</v>
      </c>
      <c r="C2420" s="124">
        <v>46408</v>
      </c>
      <c r="D2420" s="124" t="s">
        <v>471</v>
      </c>
      <c r="E2420" s="21">
        <v>0.92348969000000003</v>
      </c>
      <c r="F2420" s="10"/>
      <c r="G2420" s="14">
        <v>2440210.56</v>
      </c>
      <c r="H2420" s="14">
        <v>2253509.29</v>
      </c>
      <c r="I2420" s="14">
        <v>2440210.56</v>
      </c>
      <c r="J2420" s="14">
        <v>2253509.29</v>
      </c>
      <c r="K2420" s="12">
        <v>3722</v>
      </c>
      <c r="L2420" s="10" t="s">
        <v>101</v>
      </c>
      <c r="M2420" s="10" t="s">
        <v>102</v>
      </c>
      <c r="N2420" s="124" t="s">
        <v>445</v>
      </c>
      <c r="O2420" s="124" t="s">
        <v>445</v>
      </c>
      <c r="P2420" s="21">
        <v>36</v>
      </c>
      <c r="Q2420" s="10" t="s">
        <v>54</v>
      </c>
      <c r="R2420" s="10" t="s">
        <v>28</v>
      </c>
      <c r="S2420" s="10"/>
      <c r="T2420" s="10"/>
      <c r="U2420" s="10" t="s">
        <v>2855</v>
      </c>
      <c r="V2420" s="10" t="s">
        <v>2855</v>
      </c>
      <c r="W2420" s="50">
        <f>+J2420/$W$2</f>
        <v>2.7579901915154738E-5</v>
      </c>
    </row>
    <row r="2421" spans="1:29">
      <c r="A2421" s="10" t="s">
        <v>910</v>
      </c>
      <c r="B2421" s="10" t="s">
        <v>358</v>
      </c>
      <c r="C2421" s="124">
        <v>46408</v>
      </c>
      <c r="D2421" s="124" t="s">
        <v>471</v>
      </c>
      <c r="E2421" s="21">
        <v>0.93140776999999997</v>
      </c>
      <c r="F2421" s="10"/>
      <c r="G2421" s="14">
        <v>7360000</v>
      </c>
      <c r="H2421" s="14">
        <v>6855161.1799999997</v>
      </c>
      <c r="I2421" s="14">
        <v>7360000</v>
      </c>
      <c r="J2421" s="14">
        <v>6855161.1799999997</v>
      </c>
      <c r="K2421" s="12">
        <v>14822336</v>
      </c>
      <c r="L2421" s="10" t="s">
        <v>101</v>
      </c>
      <c r="M2421" s="10" t="s">
        <v>102</v>
      </c>
      <c r="N2421" s="124" t="s">
        <v>469</v>
      </c>
      <c r="O2421" s="124" t="s">
        <v>469</v>
      </c>
      <c r="P2421" s="21">
        <v>32</v>
      </c>
      <c r="Q2421" s="10" t="s">
        <v>54</v>
      </c>
      <c r="R2421" s="10" t="s">
        <v>28</v>
      </c>
      <c r="S2421" s="10"/>
      <c r="T2421" s="10"/>
      <c r="U2421" s="10" t="s">
        <v>4001</v>
      </c>
      <c r="V2421" s="10" t="s">
        <v>4001</v>
      </c>
      <c r="W2421" s="50">
        <f>+J2421/$W$2</f>
        <v>8.3897889303565467E-5</v>
      </c>
    </row>
    <row r="2422" spans="1:29">
      <c r="A2422" s="10" t="s">
        <v>623</v>
      </c>
      <c r="B2422" s="10" t="s">
        <v>358</v>
      </c>
      <c r="C2422" s="124">
        <v>46408</v>
      </c>
      <c r="D2422" s="124" t="s">
        <v>471</v>
      </c>
      <c r="E2422" s="21">
        <v>0.92545661000000001</v>
      </c>
      <c r="F2422" s="10"/>
      <c r="G2422" s="14">
        <v>3000000</v>
      </c>
      <c r="H2422" s="14">
        <v>2776369.84</v>
      </c>
      <c r="I2422" s="14">
        <v>3000000</v>
      </c>
      <c r="J2422" s="14">
        <v>2776369.84</v>
      </c>
      <c r="K2422" s="12">
        <v>46</v>
      </c>
      <c r="L2422" s="10" t="s">
        <v>101</v>
      </c>
      <c r="M2422" s="10" t="s">
        <v>102</v>
      </c>
      <c r="N2422" s="124" t="s">
        <v>446</v>
      </c>
      <c r="O2422" s="124" t="s">
        <v>446</v>
      </c>
      <c r="P2422" s="21">
        <v>35</v>
      </c>
      <c r="Q2422" s="10" t="s">
        <v>54</v>
      </c>
      <c r="R2422" s="10" t="s">
        <v>28</v>
      </c>
      <c r="S2422" s="10"/>
      <c r="T2422" s="10"/>
      <c r="U2422" s="10" t="s">
        <v>3086</v>
      </c>
      <c r="V2422" s="10" t="s">
        <v>3086</v>
      </c>
      <c r="W2422" s="50">
        <f>+J2422/$W$2</f>
        <v>3.3979006968013807E-5</v>
      </c>
    </row>
    <row r="2423" spans="1:29">
      <c r="A2423" s="10" t="s">
        <v>623</v>
      </c>
      <c r="B2423" s="10" t="s">
        <v>358</v>
      </c>
      <c r="C2423" s="124">
        <v>46408</v>
      </c>
      <c r="D2423" s="124" t="s">
        <v>471</v>
      </c>
      <c r="E2423" s="21">
        <v>0.92941551</v>
      </c>
      <c r="F2423" s="10"/>
      <c r="G2423" s="14">
        <v>2500000</v>
      </c>
      <c r="H2423" s="14">
        <v>2323538.77</v>
      </c>
      <c r="I2423" s="14">
        <v>2500000</v>
      </c>
      <c r="J2423" s="14">
        <v>2323538.77</v>
      </c>
      <c r="K2423" s="12">
        <v>30</v>
      </c>
      <c r="L2423" s="10" t="s">
        <v>101</v>
      </c>
      <c r="M2423" s="10" t="s">
        <v>102</v>
      </c>
      <c r="N2423" s="124" t="s">
        <v>508</v>
      </c>
      <c r="O2423" s="124" t="s">
        <v>508</v>
      </c>
      <c r="P2423" s="21">
        <v>33</v>
      </c>
      <c r="Q2423" s="10" t="s">
        <v>54</v>
      </c>
      <c r="R2423" s="10" t="s">
        <v>28</v>
      </c>
      <c r="S2423" s="10"/>
      <c r="T2423" s="10"/>
      <c r="U2423" s="10" t="s">
        <v>3021</v>
      </c>
      <c r="V2423" s="10" t="s">
        <v>3021</v>
      </c>
      <c r="W2423" s="50">
        <f>+J2423/$W$2</f>
        <v>2.8436967913568834E-5</v>
      </c>
    </row>
    <row r="2424" spans="1:29">
      <c r="A2424" s="10" t="s">
        <v>3068</v>
      </c>
      <c r="B2424" s="10" t="s">
        <v>358</v>
      </c>
      <c r="C2424" s="124">
        <v>46408</v>
      </c>
      <c r="D2424" s="124" t="s">
        <v>471</v>
      </c>
      <c r="E2424" s="21">
        <v>0.93541786999999998</v>
      </c>
      <c r="F2424" s="10"/>
      <c r="G2424" s="14">
        <v>4396000</v>
      </c>
      <c r="H2424" s="14">
        <v>4112096.95</v>
      </c>
      <c r="I2424" s="14">
        <v>4396000</v>
      </c>
      <c r="J2424" s="14">
        <v>4112096.95</v>
      </c>
      <c r="K2424" s="12">
        <v>6405484</v>
      </c>
      <c r="L2424" s="10" t="s">
        <v>101</v>
      </c>
      <c r="M2424" s="10" t="s">
        <v>102</v>
      </c>
      <c r="N2424" s="124" t="s">
        <v>508</v>
      </c>
      <c r="O2424" s="124" t="s">
        <v>508</v>
      </c>
      <c r="P2424" s="21">
        <v>30</v>
      </c>
      <c r="Q2424" s="10" t="s">
        <v>54</v>
      </c>
      <c r="R2424" s="10" t="s">
        <v>28</v>
      </c>
      <c r="S2424" s="10"/>
      <c r="T2424" s="10"/>
      <c r="U2424" s="10" t="s">
        <v>3028</v>
      </c>
      <c r="V2424" s="10" t="s">
        <v>3028</v>
      </c>
      <c r="W2424" s="50">
        <f>+J2424/$W$2</f>
        <v>5.0326497898132451E-5</v>
      </c>
    </row>
    <row r="2425" spans="1:29">
      <c r="A2425" s="10" t="s">
        <v>3775</v>
      </c>
      <c r="B2425" s="10" t="s">
        <v>358</v>
      </c>
      <c r="C2425" s="124">
        <v>46408</v>
      </c>
      <c r="D2425" s="124" t="s">
        <v>471</v>
      </c>
      <c r="E2425" s="21">
        <v>0.93340842999999996</v>
      </c>
      <c r="F2425" s="10"/>
      <c r="G2425" s="14">
        <v>5000000</v>
      </c>
      <c r="H2425" s="14">
        <v>4667042.17</v>
      </c>
      <c r="I2425" s="14">
        <v>5000000</v>
      </c>
      <c r="J2425" s="14">
        <v>4667042.17</v>
      </c>
      <c r="K2425" s="12">
        <v>468</v>
      </c>
      <c r="L2425" s="10" t="s">
        <v>101</v>
      </c>
      <c r="M2425" s="10" t="s">
        <v>102</v>
      </c>
      <c r="N2425" s="124" t="s">
        <v>467</v>
      </c>
      <c r="O2425" s="124" t="s">
        <v>467</v>
      </c>
      <c r="P2425" s="21">
        <v>31</v>
      </c>
      <c r="Q2425" s="10" t="s">
        <v>54</v>
      </c>
      <c r="R2425" s="10" t="s">
        <v>28</v>
      </c>
      <c r="S2425" s="10"/>
      <c r="T2425" s="10"/>
      <c r="U2425" s="10" t="s">
        <v>3718</v>
      </c>
      <c r="V2425" s="10" t="s">
        <v>3718</v>
      </c>
      <c r="W2425" s="50">
        <f>+J2425/$W$2</f>
        <v>5.7118275861419202E-5</v>
      </c>
    </row>
    <row r="2426" spans="1:29">
      <c r="A2426" s="10" t="s">
        <v>574</v>
      </c>
      <c r="B2426" s="10" t="s">
        <v>358</v>
      </c>
      <c r="C2426" s="124">
        <v>46408</v>
      </c>
      <c r="D2426" s="124" t="s">
        <v>471</v>
      </c>
      <c r="E2426" s="21">
        <v>0.93541781000000002</v>
      </c>
      <c r="F2426" s="10"/>
      <c r="G2426" s="14">
        <v>25000000</v>
      </c>
      <c r="H2426" s="14">
        <v>23385445.23</v>
      </c>
      <c r="I2426" s="14">
        <v>25000000</v>
      </c>
      <c r="J2426" s="14">
        <v>23385445.23</v>
      </c>
      <c r="K2426" s="12">
        <v>90004235</v>
      </c>
      <c r="L2426" s="10" t="s">
        <v>101</v>
      </c>
      <c r="M2426" s="10" t="s">
        <v>102</v>
      </c>
      <c r="N2426" s="124" t="s">
        <v>576</v>
      </c>
      <c r="O2426" s="124" t="s">
        <v>576</v>
      </c>
      <c r="P2426" s="21">
        <v>30</v>
      </c>
      <c r="Q2426" s="10" t="s">
        <v>54</v>
      </c>
      <c r="R2426" s="10" t="s">
        <v>28</v>
      </c>
      <c r="S2426" s="10"/>
      <c r="T2426" s="10"/>
      <c r="U2426" s="10" t="s">
        <v>2353</v>
      </c>
      <c r="V2426" s="10" t="s">
        <v>2353</v>
      </c>
      <c r="W2426" s="50">
        <f>+J2426/$W$2</f>
        <v>2.8620618008884412E-4</v>
      </c>
    </row>
    <row r="2427" spans="1:29">
      <c r="A2427" s="10" t="s">
        <v>565</v>
      </c>
      <c r="B2427" s="10" t="s">
        <v>358</v>
      </c>
      <c r="C2427" s="124">
        <v>46408</v>
      </c>
      <c r="D2427" s="124" t="s">
        <v>471</v>
      </c>
      <c r="E2427" s="21">
        <v>0.92941556999999997</v>
      </c>
      <c r="F2427" s="10"/>
      <c r="G2427" s="14">
        <v>10000000</v>
      </c>
      <c r="H2427" s="14">
        <v>9294155.7200000007</v>
      </c>
      <c r="I2427" s="14">
        <v>10000000</v>
      </c>
      <c r="J2427" s="14">
        <v>9294155.7200000007</v>
      </c>
      <c r="K2427" s="12">
        <v>90002384</v>
      </c>
      <c r="L2427" s="10" t="s">
        <v>101</v>
      </c>
      <c r="M2427" s="10" t="s">
        <v>102</v>
      </c>
      <c r="N2427" s="124" t="s">
        <v>446</v>
      </c>
      <c r="O2427" s="124" t="s">
        <v>446</v>
      </c>
      <c r="P2427" s="21">
        <v>33</v>
      </c>
      <c r="Q2427" s="10" t="s">
        <v>54</v>
      </c>
      <c r="R2427" s="10" t="s">
        <v>28</v>
      </c>
      <c r="S2427" s="10"/>
      <c r="T2427" s="10"/>
      <c r="U2427" s="10" t="s">
        <v>3076</v>
      </c>
      <c r="V2427" s="10" t="s">
        <v>3076</v>
      </c>
      <c r="W2427" s="50">
        <f>+J2427/$W$2</f>
        <v>1.1374787948700863E-4</v>
      </c>
    </row>
    <row r="2428" spans="1:29">
      <c r="A2428" s="10" t="s">
        <v>3784</v>
      </c>
      <c r="B2428" s="10" t="s">
        <v>358</v>
      </c>
      <c r="C2428" s="124">
        <v>46408</v>
      </c>
      <c r="D2428" s="124" t="s">
        <v>471</v>
      </c>
      <c r="E2428" s="21">
        <v>0.93340842999999996</v>
      </c>
      <c r="F2428" s="10"/>
      <c r="G2428" s="14">
        <v>5000000</v>
      </c>
      <c r="H2428" s="14">
        <v>4667042.17</v>
      </c>
      <c r="I2428" s="14">
        <v>5000000</v>
      </c>
      <c r="J2428" s="14">
        <v>4667042.17</v>
      </c>
      <c r="K2428" s="12">
        <v>13097176</v>
      </c>
      <c r="L2428" s="10" t="s">
        <v>101</v>
      </c>
      <c r="M2428" s="10" t="s">
        <v>102</v>
      </c>
      <c r="N2428" s="124" t="s">
        <v>467</v>
      </c>
      <c r="O2428" s="124" t="s">
        <v>467</v>
      </c>
      <c r="P2428" s="21">
        <v>31</v>
      </c>
      <c r="Q2428" s="10" t="s">
        <v>54</v>
      </c>
      <c r="R2428" s="10" t="s">
        <v>28</v>
      </c>
      <c r="S2428" s="10"/>
      <c r="T2428" s="10"/>
      <c r="U2428" s="10" t="s">
        <v>3706</v>
      </c>
      <c r="V2428" s="10" t="s">
        <v>3706</v>
      </c>
      <c r="W2428" s="50">
        <f>+J2428/$W$2</f>
        <v>5.7118275861419202E-5</v>
      </c>
      <c r="AC2428" s="47"/>
    </row>
    <row r="2429" spans="1:29">
      <c r="A2429" s="10" t="s">
        <v>135</v>
      </c>
      <c r="B2429" s="10" t="s">
        <v>358</v>
      </c>
      <c r="C2429" s="124">
        <v>46408</v>
      </c>
      <c r="D2429" s="124" t="s">
        <v>471</v>
      </c>
      <c r="E2429" s="21">
        <v>0.92545653000000005</v>
      </c>
      <c r="F2429" s="10"/>
      <c r="G2429" s="14">
        <v>125000000</v>
      </c>
      <c r="H2429" s="14">
        <v>115682066.18000001</v>
      </c>
      <c r="I2429" s="14">
        <v>125000000</v>
      </c>
      <c r="J2429" s="14">
        <v>115682066.18000001</v>
      </c>
      <c r="K2429" s="12">
        <v>1788</v>
      </c>
      <c r="L2429" s="10" t="s">
        <v>101</v>
      </c>
      <c r="M2429" s="10" t="s">
        <v>102</v>
      </c>
      <c r="N2429" s="124" t="s">
        <v>450</v>
      </c>
      <c r="O2429" s="124" t="s">
        <v>450</v>
      </c>
      <c r="P2429" s="21">
        <v>35</v>
      </c>
      <c r="Q2429" s="10" t="s">
        <v>54</v>
      </c>
      <c r="R2429" s="10" t="s">
        <v>28</v>
      </c>
      <c r="S2429" s="10"/>
      <c r="T2429" s="10"/>
      <c r="U2429" s="10" t="s">
        <v>3421</v>
      </c>
      <c r="V2429" s="10" t="s">
        <v>3421</v>
      </c>
      <c r="W2429" s="50">
        <f>+J2429/$W$2</f>
        <v>1.4157918286579769E-3</v>
      </c>
    </row>
    <row r="2430" spans="1:29">
      <c r="A2430" s="10" t="s">
        <v>3100</v>
      </c>
      <c r="B2430" s="10" t="s">
        <v>358</v>
      </c>
      <c r="C2430" s="124">
        <v>46408</v>
      </c>
      <c r="D2430" s="124" t="s">
        <v>471</v>
      </c>
      <c r="E2430" s="21">
        <v>0.92941556999999997</v>
      </c>
      <c r="F2430" s="10"/>
      <c r="G2430" s="14">
        <v>4719302</v>
      </c>
      <c r="H2430" s="14">
        <v>4386192.76</v>
      </c>
      <c r="I2430" s="14">
        <v>4719302</v>
      </c>
      <c r="J2430" s="14">
        <v>4386192.76</v>
      </c>
      <c r="K2430" s="12">
        <v>14433000</v>
      </c>
      <c r="L2430" s="10" t="s">
        <v>101</v>
      </c>
      <c r="M2430" s="10" t="s">
        <v>102</v>
      </c>
      <c r="N2430" s="124" t="s">
        <v>446</v>
      </c>
      <c r="O2430" s="124" t="s">
        <v>446</v>
      </c>
      <c r="P2430" s="21">
        <v>33</v>
      </c>
      <c r="Q2430" s="10" t="s">
        <v>54</v>
      </c>
      <c r="R2430" s="10" t="s">
        <v>28</v>
      </c>
      <c r="S2430" s="10"/>
      <c r="T2430" s="10"/>
      <c r="U2430" s="10" t="s">
        <v>3102</v>
      </c>
      <c r="V2430" s="10" t="s">
        <v>3102</v>
      </c>
      <c r="W2430" s="50">
        <f>+J2430/$W$2</f>
        <v>5.3681059420776489E-5</v>
      </c>
    </row>
    <row r="2431" spans="1:29">
      <c r="A2431" s="10" t="s">
        <v>2016</v>
      </c>
      <c r="B2431" s="10" t="s">
        <v>358</v>
      </c>
      <c r="C2431" s="124">
        <v>46409</v>
      </c>
      <c r="D2431" s="124" t="s">
        <v>471</v>
      </c>
      <c r="E2431" s="21">
        <v>0.93673819999999997</v>
      </c>
      <c r="F2431" s="10"/>
      <c r="G2431" s="14">
        <v>3321697.25</v>
      </c>
      <c r="H2431" s="14">
        <v>3111560.72</v>
      </c>
      <c r="I2431" s="14">
        <v>3321697.25</v>
      </c>
      <c r="J2431" s="14">
        <v>3111560.72</v>
      </c>
      <c r="K2431" s="12">
        <v>6599</v>
      </c>
      <c r="L2431" s="10" t="s">
        <v>101</v>
      </c>
      <c r="M2431" s="10" t="s">
        <v>102</v>
      </c>
      <c r="N2431" s="124" t="s">
        <v>469</v>
      </c>
      <c r="O2431" s="124" t="s">
        <v>469</v>
      </c>
      <c r="P2431" s="21">
        <v>29</v>
      </c>
      <c r="Q2431" s="10" t="s">
        <v>54</v>
      </c>
      <c r="R2431" s="10" t="s">
        <v>28</v>
      </c>
      <c r="S2431" s="10"/>
      <c r="T2431" s="10"/>
      <c r="U2431" s="10" t="s">
        <v>3922</v>
      </c>
      <c r="V2431" s="10" t="s">
        <v>3922</v>
      </c>
      <c r="W2431" s="50">
        <f>+J2431/$W$2</f>
        <v>3.8081289410015372E-5</v>
      </c>
    </row>
    <row r="2432" spans="1:29">
      <c r="A2432" s="10" t="s">
        <v>400</v>
      </c>
      <c r="B2432" s="10" t="s">
        <v>358</v>
      </c>
      <c r="C2432" s="124">
        <v>46409</v>
      </c>
      <c r="D2432" s="124" t="s">
        <v>471</v>
      </c>
      <c r="E2432" s="21">
        <v>0.93571764999999996</v>
      </c>
      <c r="F2432" s="10"/>
      <c r="G2432" s="14">
        <v>5633315</v>
      </c>
      <c r="H2432" s="14">
        <v>5271192.25</v>
      </c>
      <c r="I2432" s="14">
        <v>5633315</v>
      </c>
      <c r="J2432" s="14">
        <v>5271192.25</v>
      </c>
      <c r="K2432" s="12">
        <v>69874671</v>
      </c>
      <c r="L2432" s="10" t="s">
        <v>101</v>
      </c>
      <c r="M2432" s="10" t="s">
        <v>102</v>
      </c>
      <c r="N2432" s="124" t="s">
        <v>439</v>
      </c>
      <c r="O2432" s="124" t="s">
        <v>439</v>
      </c>
      <c r="P2432" s="21">
        <v>29.5</v>
      </c>
      <c r="Q2432" s="10" t="s">
        <v>54</v>
      </c>
      <c r="R2432" s="10" t="s">
        <v>28</v>
      </c>
      <c r="S2432" s="10"/>
      <c r="T2432" s="10"/>
      <c r="U2432" s="10" t="s">
        <v>2228</v>
      </c>
      <c r="V2432" s="10" t="s">
        <v>2228</v>
      </c>
      <c r="W2432" s="50">
        <f>+J2432/$W$2</f>
        <v>6.4512254675872142E-5</v>
      </c>
    </row>
    <row r="2433" spans="1:23">
      <c r="A2433" s="10" t="s">
        <v>400</v>
      </c>
      <c r="B2433" s="10" t="s">
        <v>358</v>
      </c>
      <c r="C2433" s="124">
        <v>46409</v>
      </c>
      <c r="D2433" s="124" t="s">
        <v>471</v>
      </c>
      <c r="E2433" s="21">
        <v>0.93878611999999995</v>
      </c>
      <c r="F2433" s="10"/>
      <c r="G2433" s="14">
        <v>18040295.600000001</v>
      </c>
      <c r="H2433" s="14">
        <v>16935979.02</v>
      </c>
      <c r="I2433" s="14">
        <v>18040295.600000001</v>
      </c>
      <c r="J2433" s="14">
        <v>16935979.02</v>
      </c>
      <c r="K2433" s="12">
        <v>20908</v>
      </c>
      <c r="L2433" s="10" t="s">
        <v>101</v>
      </c>
      <c r="M2433" s="10" t="s">
        <v>102</v>
      </c>
      <c r="N2433" s="124" t="s">
        <v>469</v>
      </c>
      <c r="O2433" s="124" t="s">
        <v>469</v>
      </c>
      <c r="P2433" s="21">
        <v>28</v>
      </c>
      <c r="Q2433" s="10" t="s">
        <v>54</v>
      </c>
      <c r="R2433" s="10" t="s">
        <v>28</v>
      </c>
      <c r="S2433" s="10"/>
      <c r="T2433" s="10"/>
      <c r="U2433" s="10" t="s">
        <v>4017</v>
      </c>
      <c r="V2433" s="10" t="s">
        <v>4017</v>
      </c>
      <c r="W2433" s="50">
        <f>+J2433/$W$2</f>
        <v>2.0727344780935801E-4</v>
      </c>
    </row>
    <row r="2434" spans="1:23">
      <c r="A2434" s="10" t="s">
        <v>334</v>
      </c>
      <c r="B2434" s="10" t="s">
        <v>358</v>
      </c>
      <c r="C2434" s="124">
        <v>46409</v>
      </c>
      <c r="D2434" s="124" t="s">
        <v>471</v>
      </c>
      <c r="E2434" s="21">
        <v>0.92463609999999996</v>
      </c>
      <c r="F2434" s="10"/>
      <c r="G2434" s="14">
        <v>3081473.68</v>
      </c>
      <c r="H2434" s="14">
        <v>2849241.81</v>
      </c>
      <c r="I2434" s="14">
        <v>3081473.68</v>
      </c>
      <c r="J2434" s="14">
        <v>2849241.81</v>
      </c>
      <c r="K2434" s="12">
        <v>3877</v>
      </c>
      <c r="L2434" s="10" t="s">
        <v>101</v>
      </c>
      <c r="M2434" s="10" t="s">
        <v>102</v>
      </c>
      <c r="N2434" s="124" t="s">
        <v>468</v>
      </c>
      <c r="O2434" s="124" t="s">
        <v>468</v>
      </c>
      <c r="P2434" s="21">
        <v>35</v>
      </c>
      <c r="Q2434" s="10" t="s">
        <v>54</v>
      </c>
      <c r="R2434" s="10" t="s">
        <v>28</v>
      </c>
      <c r="S2434" s="10"/>
      <c r="T2434" s="10"/>
      <c r="U2434" s="10" t="s">
        <v>3838</v>
      </c>
      <c r="V2434" s="10" t="s">
        <v>3838</v>
      </c>
      <c r="W2434" s="50">
        <f>+J2434/$W$2</f>
        <v>3.4870861194611693E-5</v>
      </c>
    </row>
    <row r="2435" spans="1:23">
      <c r="A2435" s="10" t="s">
        <v>2758</v>
      </c>
      <c r="B2435" s="10" t="s">
        <v>358</v>
      </c>
      <c r="C2435" s="124">
        <v>46409</v>
      </c>
      <c r="D2435" s="124" t="s">
        <v>471</v>
      </c>
      <c r="E2435" s="21">
        <v>0.93878620000000002</v>
      </c>
      <c r="F2435" s="10"/>
      <c r="G2435" s="14">
        <v>41582115.490000002</v>
      </c>
      <c r="H2435" s="14">
        <v>39036716.07</v>
      </c>
      <c r="I2435" s="14">
        <v>41582115.490000002</v>
      </c>
      <c r="J2435" s="14">
        <v>39036716.07</v>
      </c>
      <c r="K2435" s="12">
        <v>40912140</v>
      </c>
      <c r="L2435" s="10" t="s">
        <v>101</v>
      </c>
      <c r="M2435" s="10" t="s">
        <v>102</v>
      </c>
      <c r="N2435" s="124" t="s">
        <v>411</v>
      </c>
      <c r="O2435" s="124" t="s">
        <v>411</v>
      </c>
      <c r="P2435" s="21">
        <v>28</v>
      </c>
      <c r="Q2435" s="10" t="s">
        <v>54</v>
      </c>
      <c r="R2435" s="10" t="s">
        <v>28</v>
      </c>
      <c r="S2435" s="10"/>
      <c r="T2435" s="10"/>
      <c r="U2435" s="10" t="s">
        <v>2931</v>
      </c>
      <c r="V2435" s="10" t="s">
        <v>2931</v>
      </c>
      <c r="W2435" s="50">
        <f>+J2435/$W$2</f>
        <v>4.777565395793619E-4</v>
      </c>
    </row>
    <row r="2436" spans="1:23">
      <c r="A2436" s="10" t="s">
        <v>1893</v>
      </c>
      <c r="B2436" s="10" t="s">
        <v>358</v>
      </c>
      <c r="C2436" s="124">
        <v>46409</v>
      </c>
      <c r="D2436" s="124" t="s">
        <v>471</v>
      </c>
      <c r="E2436" s="21">
        <v>0.94084305999999995</v>
      </c>
      <c r="F2436" s="10"/>
      <c r="G2436" s="14">
        <v>23900405</v>
      </c>
      <c r="H2436" s="14">
        <v>22486530.25</v>
      </c>
      <c r="I2436" s="14">
        <v>23900405</v>
      </c>
      <c r="J2436" s="14">
        <v>22486530.25</v>
      </c>
      <c r="K2436" s="12">
        <v>90001870</v>
      </c>
      <c r="L2436" s="10" t="s">
        <v>101</v>
      </c>
      <c r="M2436" s="10" t="s">
        <v>102</v>
      </c>
      <c r="N2436" s="124" t="s">
        <v>471</v>
      </c>
      <c r="O2436" s="124" t="s">
        <v>471</v>
      </c>
      <c r="P2436" s="21">
        <v>27</v>
      </c>
      <c r="Q2436" s="10" t="s">
        <v>54</v>
      </c>
      <c r="R2436" s="10" t="s">
        <v>28</v>
      </c>
      <c r="S2436" s="10"/>
      <c r="T2436" s="10"/>
      <c r="U2436" s="10" t="s">
        <v>4076</v>
      </c>
      <c r="V2436" s="10" t="s">
        <v>4076</v>
      </c>
      <c r="W2436" s="50">
        <f>+J2436/$W$2</f>
        <v>2.7520467808107412E-4</v>
      </c>
    </row>
    <row r="2437" spans="1:23">
      <c r="A2437" s="10" t="s">
        <v>1893</v>
      </c>
      <c r="B2437" s="10" t="s">
        <v>358</v>
      </c>
      <c r="C2437" s="124">
        <v>46409</v>
      </c>
      <c r="D2437" s="124" t="s">
        <v>471</v>
      </c>
      <c r="E2437" s="21">
        <v>0.94084305999999995</v>
      </c>
      <c r="F2437" s="10"/>
      <c r="G2437" s="14">
        <v>29962188.5</v>
      </c>
      <c r="H2437" s="14">
        <v>28189717.210000001</v>
      </c>
      <c r="I2437" s="14">
        <v>29962188.5</v>
      </c>
      <c r="J2437" s="14">
        <v>28189717.210000001</v>
      </c>
      <c r="K2437" s="12">
        <v>85238772</v>
      </c>
      <c r="L2437" s="10" t="s">
        <v>101</v>
      </c>
      <c r="M2437" s="10" t="s">
        <v>102</v>
      </c>
      <c r="N2437" s="124" t="s">
        <v>471</v>
      </c>
      <c r="O2437" s="124" t="s">
        <v>471</v>
      </c>
      <c r="P2437" s="21">
        <v>27</v>
      </c>
      <c r="Q2437" s="10" t="s">
        <v>54</v>
      </c>
      <c r="R2437" s="10" t="s">
        <v>28</v>
      </c>
      <c r="S2437" s="10"/>
      <c r="T2437" s="10"/>
      <c r="U2437" s="10" t="s">
        <v>4077</v>
      </c>
      <c r="V2437" s="10" t="s">
        <v>4077</v>
      </c>
      <c r="W2437" s="50">
        <f>+J2437/$W$2</f>
        <v>3.4500396298244214E-4</v>
      </c>
    </row>
    <row r="2438" spans="1:23">
      <c r="A2438" s="10" t="s">
        <v>4044</v>
      </c>
      <c r="B2438" s="10" t="s">
        <v>358</v>
      </c>
      <c r="C2438" s="124">
        <v>46409</v>
      </c>
      <c r="D2438" s="124" t="s">
        <v>471</v>
      </c>
      <c r="E2438" s="21">
        <v>0.93469922000000005</v>
      </c>
      <c r="F2438" s="10"/>
      <c r="G2438" s="14">
        <v>15000000</v>
      </c>
      <c r="H2438" s="14">
        <v>14020488.26</v>
      </c>
      <c r="I2438" s="14">
        <v>15000000</v>
      </c>
      <c r="J2438" s="14">
        <v>14020488.26</v>
      </c>
      <c r="K2438" s="12">
        <v>1419</v>
      </c>
      <c r="L2438" s="10" t="s">
        <v>101</v>
      </c>
      <c r="M2438" s="10" t="s">
        <v>102</v>
      </c>
      <c r="N2438" s="124" t="s">
        <v>469</v>
      </c>
      <c r="O2438" s="124" t="s">
        <v>469</v>
      </c>
      <c r="P2438" s="21">
        <v>30</v>
      </c>
      <c r="Q2438" s="10" t="s">
        <v>54</v>
      </c>
      <c r="R2438" s="10" t="s">
        <v>28</v>
      </c>
      <c r="S2438" s="10"/>
      <c r="T2438" s="10"/>
      <c r="U2438" s="10" t="s">
        <v>3955</v>
      </c>
      <c r="V2438" s="10" t="s">
        <v>3955</v>
      </c>
      <c r="W2438" s="50">
        <f>+J2438/$W$2</f>
        <v>1.7159178918378388E-4</v>
      </c>
    </row>
    <row r="2439" spans="1:23">
      <c r="A2439" s="10" t="s">
        <v>789</v>
      </c>
      <c r="B2439" s="10" t="s">
        <v>358</v>
      </c>
      <c r="C2439" s="124">
        <v>46409</v>
      </c>
      <c r="D2439" s="124" t="s">
        <v>471</v>
      </c>
      <c r="E2439" s="21">
        <v>0.92463609999999996</v>
      </c>
      <c r="F2439" s="10"/>
      <c r="G2439" s="14">
        <v>4945300.8499999996</v>
      </c>
      <c r="H2439" s="14">
        <v>4572603.7</v>
      </c>
      <c r="I2439" s="14">
        <v>4945300.8499999996</v>
      </c>
      <c r="J2439" s="14">
        <v>4572603.7</v>
      </c>
      <c r="K2439" s="12">
        <v>1385</v>
      </c>
      <c r="L2439" s="10" t="s">
        <v>101</v>
      </c>
      <c r="M2439" s="10" t="s">
        <v>102</v>
      </c>
      <c r="N2439" s="124" t="s">
        <v>468</v>
      </c>
      <c r="O2439" s="124" t="s">
        <v>468</v>
      </c>
      <c r="P2439" s="21">
        <v>35</v>
      </c>
      <c r="Q2439" s="10" t="s">
        <v>54</v>
      </c>
      <c r="R2439" s="10" t="s">
        <v>28</v>
      </c>
      <c r="S2439" s="10"/>
      <c r="T2439" s="10"/>
      <c r="U2439" s="10" t="s">
        <v>3837</v>
      </c>
      <c r="V2439" s="10" t="s">
        <v>3837</v>
      </c>
      <c r="W2439" s="50">
        <f>+J2439/$W$2</f>
        <v>5.596247688105765E-5</v>
      </c>
    </row>
    <row r="2440" spans="1:23">
      <c r="A2440" s="10" t="s">
        <v>334</v>
      </c>
      <c r="B2440" s="10" t="s">
        <v>358</v>
      </c>
      <c r="C2440" s="124">
        <v>46409</v>
      </c>
      <c r="D2440" s="124" t="s">
        <v>471</v>
      </c>
      <c r="E2440" s="21">
        <v>0.92264922999999999</v>
      </c>
      <c r="F2440" s="10"/>
      <c r="G2440" s="14">
        <v>2440210.56</v>
      </c>
      <c r="H2440" s="14">
        <v>2251458.39</v>
      </c>
      <c r="I2440" s="14">
        <v>2440210.56</v>
      </c>
      <c r="J2440" s="14">
        <v>2251458.39</v>
      </c>
      <c r="K2440" s="12">
        <v>3723</v>
      </c>
      <c r="L2440" s="10" t="s">
        <v>101</v>
      </c>
      <c r="M2440" s="10" t="s">
        <v>102</v>
      </c>
      <c r="N2440" s="124" t="s">
        <v>445</v>
      </c>
      <c r="O2440" s="124" t="s">
        <v>445</v>
      </c>
      <c r="P2440" s="21">
        <v>36</v>
      </c>
      <c r="Q2440" s="10" t="s">
        <v>54</v>
      </c>
      <c r="R2440" s="10" t="s">
        <v>28</v>
      </c>
      <c r="S2440" s="10"/>
      <c r="T2440" s="10"/>
      <c r="U2440" s="10" t="s">
        <v>2856</v>
      </c>
      <c r="V2440" s="10" t="s">
        <v>2856</v>
      </c>
      <c r="W2440" s="50">
        <f>+J2440/$W$2</f>
        <v>2.7554801676567396E-5</v>
      </c>
    </row>
    <row r="2441" spans="1:23">
      <c r="A2441" s="10" t="s">
        <v>964</v>
      </c>
      <c r="B2441" s="10" t="s">
        <v>358</v>
      </c>
      <c r="C2441" s="124">
        <v>46409</v>
      </c>
      <c r="D2441" s="124" t="s">
        <v>471</v>
      </c>
      <c r="E2441" s="21">
        <v>0.93064780000000003</v>
      </c>
      <c r="F2441" s="10"/>
      <c r="G2441" s="14">
        <v>19500000</v>
      </c>
      <c r="H2441" s="14">
        <v>18147632.100000001</v>
      </c>
      <c r="I2441" s="14">
        <v>19500000</v>
      </c>
      <c r="J2441" s="14">
        <v>18147632.100000001</v>
      </c>
      <c r="K2441" s="12">
        <v>40780952</v>
      </c>
      <c r="L2441" s="10" t="s">
        <v>101</v>
      </c>
      <c r="M2441" s="10" t="s">
        <v>102</v>
      </c>
      <c r="N2441" s="124" t="s">
        <v>395</v>
      </c>
      <c r="O2441" s="124" t="s">
        <v>395</v>
      </c>
      <c r="P2441" s="21">
        <v>32</v>
      </c>
      <c r="Q2441" s="10" t="s">
        <v>54</v>
      </c>
      <c r="R2441" s="10" t="s">
        <v>28</v>
      </c>
      <c r="S2441" s="10"/>
      <c r="T2441" s="10"/>
      <c r="U2441" s="10" t="s">
        <v>1815</v>
      </c>
      <c r="V2441" s="10" t="s">
        <v>1815</v>
      </c>
      <c r="W2441" s="50">
        <f>+J2441/$W$2</f>
        <v>2.2210244063840254E-4</v>
      </c>
    </row>
    <row r="2442" spans="1:23">
      <c r="A2442" s="10" t="s">
        <v>1126</v>
      </c>
      <c r="B2442" s="10" t="s">
        <v>358</v>
      </c>
      <c r="C2442" s="124">
        <v>46409</v>
      </c>
      <c r="D2442" s="124" t="s">
        <v>471</v>
      </c>
      <c r="E2442" s="21">
        <v>0.92067107000000004</v>
      </c>
      <c r="F2442" s="10"/>
      <c r="G2442" s="14">
        <v>25000000</v>
      </c>
      <c r="H2442" s="14">
        <v>23016776.629999999</v>
      </c>
      <c r="I2442" s="14">
        <v>25000000</v>
      </c>
      <c r="J2442" s="14">
        <v>23016776.629999999</v>
      </c>
      <c r="K2442" s="12">
        <v>42</v>
      </c>
      <c r="L2442" s="10" t="s">
        <v>101</v>
      </c>
      <c r="M2442" s="10" t="s">
        <v>102</v>
      </c>
      <c r="N2442" s="124" t="s">
        <v>399</v>
      </c>
      <c r="O2442" s="124" t="s">
        <v>399</v>
      </c>
      <c r="P2442" s="21">
        <v>37</v>
      </c>
      <c r="Q2442" s="10" t="s">
        <v>54</v>
      </c>
      <c r="R2442" s="10" t="s">
        <v>28</v>
      </c>
      <c r="S2442" s="10"/>
      <c r="T2442" s="10"/>
      <c r="U2442" s="10" t="s">
        <v>1110</v>
      </c>
      <c r="V2442" s="10" t="s">
        <v>1110</v>
      </c>
      <c r="W2442" s="50">
        <f>+J2442/$W$2</f>
        <v>2.8169417569094013E-4</v>
      </c>
    </row>
    <row r="2443" spans="1:23">
      <c r="A2443" s="10" t="s">
        <v>1128</v>
      </c>
      <c r="B2443" s="10" t="s">
        <v>358</v>
      </c>
      <c r="C2443" s="124">
        <v>46409</v>
      </c>
      <c r="D2443" s="124" t="s">
        <v>471</v>
      </c>
      <c r="E2443" s="21">
        <v>0.92463609999999996</v>
      </c>
      <c r="F2443" s="10"/>
      <c r="G2443" s="14">
        <v>1785645.28</v>
      </c>
      <c r="H2443" s="14">
        <v>1651072.09</v>
      </c>
      <c r="I2443" s="14">
        <v>1785645.28</v>
      </c>
      <c r="J2443" s="14">
        <v>1651072.09</v>
      </c>
      <c r="K2443" s="12">
        <v>823</v>
      </c>
      <c r="L2443" s="10" t="s">
        <v>101</v>
      </c>
      <c r="M2443" s="10" t="s">
        <v>102</v>
      </c>
      <c r="N2443" s="124" t="s">
        <v>468</v>
      </c>
      <c r="O2443" s="124" t="s">
        <v>468</v>
      </c>
      <c r="P2443" s="21">
        <v>35</v>
      </c>
      <c r="Q2443" s="10" t="s">
        <v>54</v>
      </c>
      <c r="R2443" s="10" t="s">
        <v>28</v>
      </c>
      <c r="S2443" s="10"/>
      <c r="T2443" s="10"/>
      <c r="U2443" s="10" t="s">
        <v>3847</v>
      </c>
      <c r="V2443" s="10" t="s">
        <v>3847</v>
      </c>
      <c r="W2443" s="50">
        <f>+J2443/$W$2</f>
        <v>2.0206886432249647E-5</v>
      </c>
    </row>
    <row r="2444" spans="1:23">
      <c r="A2444" s="10" t="s">
        <v>3775</v>
      </c>
      <c r="B2444" s="10" t="s">
        <v>358</v>
      </c>
      <c r="C2444" s="124">
        <v>46409</v>
      </c>
      <c r="D2444" s="124" t="s">
        <v>471</v>
      </c>
      <c r="E2444" s="21">
        <v>0.93266897999999998</v>
      </c>
      <c r="F2444" s="10"/>
      <c r="G2444" s="14">
        <v>5000000</v>
      </c>
      <c r="H2444" s="14">
        <v>4663344.92</v>
      </c>
      <c r="I2444" s="14">
        <v>5000000</v>
      </c>
      <c r="J2444" s="14">
        <v>4663344.92</v>
      </c>
      <c r="K2444" s="12">
        <v>452</v>
      </c>
      <c r="L2444" s="10" t="s">
        <v>101</v>
      </c>
      <c r="M2444" s="10" t="s">
        <v>102</v>
      </c>
      <c r="N2444" s="124" t="s">
        <v>467</v>
      </c>
      <c r="O2444" s="124" t="s">
        <v>467</v>
      </c>
      <c r="P2444" s="21">
        <v>31</v>
      </c>
      <c r="Q2444" s="10" t="s">
        <v>54</v>
      </c>
      <c r="R2444" s="10" t="s">
        <v>28</v>
      </c>
      <c r="S2444" s="10"/>
      <c r="T2444" s="10"/>
      <c r="U2444" s="10" t="s">
        <v>3719</v>
      </c>
      <c r="V2444" s="10" t="s">
        <v>3719</v>
      </c>
      <c r="W2444" s="50">
        <f>+J2444/$W$2</f>
        <v>5.7073026528386361E-5</v>
      </c>
    </row>
    <row r="2445" spans="1:23">
      <c r="A2445" s="10" t="s">
        <v>832</v>
      </c>
      <c r="B2445" s="10" t="s">
        <v>358</v>
      </c>
      <c r="C2445" s="124">
        <v>46409</v>
      </c>
      <c r="D2445" s="124" t="s">
        <v>471</v>
      </c>
      <c r="E2445" s="21">
        <v>0.92863529</v>
      </c>
      <c r="F2445" s="10"/>
      <c r="G2445" s="14">
        <v>357707.35</v>
      </c>
      <c r="H2445" s="14">
        <v>332179.67</v>
      </c>
      <c r="I2445" s="14">
        <v>357707.35</v>
      </c>
      <c r="J2445" s="14">
        <v>332179.67</v>
      </c>
      <c r="K2445" s="12">
        <v>129160</v>
      </c>
      <c r="L2445" s="10" t="s">
        <v>101</v>
      </c>
      <c r="M2445" s="10" t="s">
        <v>102</v>
      </c>
      <c r="N2445" s="124" t="s">
        <v>468</v>
      </c>
      <c r="O2445" s="124" t="s">
        <v>468</v>
      </c>
      <c r="P2445" s="21">
        <v>33</v>
      </c>
      <c r="Q2445" s="10" t="s">
        <v>54</v>
      </c>
      <c r="R2445" s="10" t="s">
        <v>28</v>
      </c>
      <c r="S2445" s="10"/>
      <c r="T2445" s="10"/>
      <c r="U2445" s="10" t="s">
        <v>3849</v>
      </c>
      <c r="V2445" s="10" t="s">
        <v>3849</v>
      </c>
      <c r="W2445" s="50">
        <f>+J2445/$W$2</f>
        <v>4.0654293095052954E-6</v>
      </c>
    </row>
    <row r="2446" spans="1:23">
      <c r="A2446" s="10" t="s">
        <v>220</v>
      </c>
      <c r="B2446" s="10" t="s">
        <v>358</v>
      </c>
      <c r="C2446" s="124">
        <v>46409</v>
      </c>
      <c r="D2446" s="124" t="s">
        <v>471</v>
      </c>
      <c r="E2446" s="21">
        <v>0.92863514999999996</v>
      </c>
      <c r="F2446" s="10"/>
      <c r="G2446" s="14">
        <v>25000000</v>
      </c>
      <c r="H2446" s="14">
        <v>23215878.760000002</v>
      </c>
      <c r="I2446" s="14">
        <v>25000000</v>
      </c>
      <c r="J2446" s="14">
        <v>23215878.760000002</v>
      </c>
      <c r="K2446" s="12">
        <v>475891</v>
      </c>
      <c r="L2446" s="10" t="s">
        <v>101</v>
      </c>
      <c r="M2446" s="10" t="s">
        <v>102</v>
      </c>
      <c r="N2446" s="124" t="s">
        <v>485</v>
      </c>
      <c r="O2446" s="124" t="s">
        <v>485</v>
      </c>
      <c r="P2446" s="21">
        <v>33</v>
      </c>
      <c r="Q2446" s="10" t="s">
        <v>54</v>
      </c>
      <c r="R2446" s="10" t="s">
        <v>28</v>
      </c>
      <c r="S2446" s="10"/>
      <c r="T2446" s="10"/>
      <c r="U2446" s="10" t="s">
        <v>930</v>
      </c>
      <c r="V2446" s="10" t="s">
        <v>930</v>
      </c>
      <c r="W2446" s="50">
        <f>+J2446/$W$2</f>
        <v>2.8413091612989276E-4</v>
      </c>
    </row>
    <row r="2447" spans="1:23">
      <c r="A2447" s="10" t="s">
        <v>495</v>
      </c>
      <c r="B2447" s="10" t="s">
        <v>358</v>
      </c>
      <c r="C2447" s="124">
        <v>46409</v>
      </c>
      <c r="D2447" s="124" t="s">
        <v>471</v>
      </c>
      <c r="E2447" s="21">
        <v>0.93469926999999997</v>
      </c>
      <c r="F2447" s="10"/>
      <c r="G2447" s="14">
        <v>50000000</v>
      </c>
      <c r="H2447" s="14">
        <v>46734963.329999998</v>
      </c>
      <c r="I2447" s="14">
        <v>50000000</v>
      </c>
      <c r="J2447" s="14">
        <v>46734963.329999998</v>
      </c>
      <c r="K2447" s="12">
        <v>6856</v>
      </c>
      <c r="L2447" s="10" t="s">
        <v>101</v>
      </c>
      <c r="M2447" s="10" t="s">
        <v>102</v>
      </c>
      <c r="N2447" s="124" t="s">
        <v>395</v>
      </c>
      <c r="O2447" s="124" t="s">
        <v>395</v>
      </c>
      <c r="P2447" s="21">
        <v>30</v>
      </c>
      <c r="Q2447" s="10" t="s">
        <v>54</v>
      </c>
      <c r="R2447" s="10" t="s">
        <v>28</v>
      </c>
      <c r="S2447" s="10"/>
      <c r="T2447" s="10"/>
      <c r="U2447" s="10" t="s">
        <v>1810</v>
      </c>
      <c r="V2447" s="10" t="s">
        <v>1810</v>
      </c>
      <c r="W2447" s="50">
        <f>+J2447/$W$2</f>
        <v>5.7197266076047695E-4</v>
      </c>
    </row>
    <row r="2448" spans="1:23">
      <c r="A2448" s="10" t="s">
        <v>565</v>
      </c>
      <c r="B2448" s="10" t="s">
        <v>358</v>
      </c>
      <c r="C2448" s="124">
        <v>46409</v>
      </c>
      <c r="D2448" s="124" t="s">
        <v>471</v>
      </c>
      <c r="E2448" s="21">
        <v>0.92863527999999995</v>
      </c>
      <c r="F2448" s="10"/>
      <c r="G2448" s="14">
        <v>14000000</v>
      </c>
      <c r="H2448" s="14">
        <v>13000893.93</v>
      </c>
      <c r="I2448" s="14">
        <v>14000000</v>
      </c>
      <c r="J2448" s="14">
        <v>13000893.93</v>
      </c>
      <c r="K2448" s="12">
        <v>90002511</v>
      </c>
      <c r="L2448" s="10" t="s">
        <v>101</v>
      </c>
      <c r="M2448" s="10" t="s">
        <v>102</v>
      </c>
      <c r="N2448" s="124" t="s">
        <v>475</v>
      </c>
      <c r="O2448" s="124" t="s">
        <v>475</v>
      </c>
      <c r="P2448" s="21">
        <v>33</v>
      </c>
      <c r="Q2448" s="10" t="s">
        <v>54</v>
      </c>
      <c r="R2448" s="10" t="s">
        <v>28</v>
      </c>
      <c r="S2448" s="10"/>
      <c r="T2448" s="10"/>
      <c r="U2448" s="10" t="s">
        <v>3357</v>
      </c>
      <c r="V2448" s="10" t="s">
        <v>3357</v>
      </c>
      <c r="W2448" s="50">
        <f>+J2448/$W$2</f>
        <v>1.5911333536092526E-4</v>
      </c>
    </row>
    <row r="2449" spans="1:29">
      <c r="A2449" s="10" t="s">
        <v>3581</v>
      </c>
      <c r="B2449" s="10" t="s">
        <v>358</v>
      </c>
      <c r="C2449" s="124">
        <v>46409</v>
      </c>
      <c r="D2449" s="124" t="s">
        <v>471</v>
      </c>
      <c r="E2449" s="21">
        <v>0.92663125999999996</v>
      </c>
      <c r="F2449" s="10"/>
      <c r="G2449" s="14">
        <v>1257626.54</v>
      </c>
      <c r="H2449" s="14">
        <v>1165356.06</v>
      </c>
      <c r="I2449" s="14">
        <v>1257626.54</v>
      </c>
      <c r="J2449" s="14">
        <v>1165356.06</v>
      </c>
      <c r="K2449" s="12">
        <v>115</v>
      </c>
      <c r="L2449" s="10" t="s">
        <v>101</v>
      </c>
      <c r="M2449" s="10" t="s">
        <v>102</v>
      </c>
      <c r="N2449" s="124" t="s">
        <v>451</v>
      </c>
      <c r="O2449" s="124" t="s">
        <v>451</v>
      </c>
      <c r="P2449" s="21">
        <v>34</v>
      </c>
      <c r="Q2449" s="10" t="s">
        <v>54</v>
      </c>
      <c r="R2449" s="10" t="s">
        <v>28</v>
      </c>
      <c r="S2449" s="10"/>
      <c r="T2449" s="10"/>
      <c r="U2449" s="10" t="s">
        <v>3501</v>
      </c>
      <c r="V2449" s="10" t="s">
        <v>3501</v>
      </c>
      <c r="W2449" s="50">
        <f>+J2449/$W$2</f>
        <v>1.4262380001562443E-5</v>
      </c>
    </row>
    <row r="2450" spans="1:29">
      <c r="A2450" s="10" t="s">
        <v>3100</v>
      </c>
      <c r="B2450" s="10" t="s">
        <v>358</v>
      </c>
      <c r="C2450" s="124">
        <v>46409</v>
      </c>
      <c r="D2450" s="124" t="s">
        <v>471</v>
      </c>
      <c r="E2450" s="21">
        <v>0.92863518</v>
      </c>
      <c r="F2450" s="10"/>
      <c r="G2450" s="14">
        <v>4868387</v>
      </c>
      <c r="H2450" s="14">
        <v>4520955.4400000004</v>
      </c>
      <c r="I2450" s="14">
        <v>4868387</v>
      </c>
      <c r="J2450" s="14">
        <v>4520955.4400000004</v>
      </c>
      <c r="K2450" s="12">
        <v>70134611</v>
      </c>
      <c r="L2450" s="10" t="s">
        <v>101</v>
      </c>
      <c r="M2450" s="10" t="s">
        <v>102</v>
      </c>
      <c r="N2450" s="124" t="s">
        <v>446</v>
      </c>
      <c r="O2450" s="124" t="s">
        <v>446</v>
      </c>
      <c r="P2450" s="21">
        <v>33</v>
      </c>
      <c r="Q2450" s="10" t="s">
        <v>54</v>
      </c>
      <c r="R2450" s="10" t="s">
        <v>28</v>
      </c>
      <c r="S2450" s="10"/>
      <c r="T2450" s="10"/>
      <c r="U2450" s="10" t="s">
        <v>3103</v>
      </c>
      <c r="V2450" s="10" t="s">
        <v>3103</v>
      </c>
      <c r="W2450" s="50">
        <f>+J2450/$W$2</f>
        <v>5.5330372122843675E-5</v>
      </c>
    </row>
    <row r="2451" spans="1:29">
      <c r="A2451" s="10" t="s">
        <v>3308</v>
      </c>
      <c r="B2451" s="10" t="s">
        <v>358</v>
      </c>
      <c r="C2451" s="124">
        <v>46409</v>
      </c>
      <c r="D2451" s="124" t="s">
        <v>471</v>
      </c>
      <c r="E2451" s="21">
        <v>0.93469913999999998</v>
      </c>
      <c r="F2451" s="10"/>
      <c r="G2451" s="14">
        <v>20000000</v>
      </c>
      <c r="H2451" s="14">
        <v>18693982.77</v>
      </c>
      <c r="I2451" s="14">
        <v>20000000</v>
      </c>
      <c r="J2451" s="14">
        <v>18693982.77</v>
      </c>
      <c r="K2451" s="12">
        <v>66164781</v>
      </c>
      <c r="L2451" s="10" t="s">
        <v>101</v>
      </c>
      <c r="M2451" s="10" t="s">
        <v>102</v>
      </c>
      <c r="N2451" s="124" t="s">
        <v>417</v>
      </c>
      <c r="O2451" s="124" t="s">
        <v>417</v>
      </c>
      <c r="P2451" s="21">
        <v>30</v>
      </c>
      <c r="Q2451" s="10" t="s">
        <v>54</v>
      </c>
      <c r="R2451" s="10" t="s">
        <v>28</v>
      </c>
      <c r="S2451" s="10"/>
      <c r="T2451" s="10"/>
      <c r="U2451" s="10" t="s">
        <v>3202</v>
      </c>
      <c r="V2451" s="10" t="s">
        <v>3202</v>
      </c>
      <c r="W2451" s="50">
        <f>+J2451/$W$2</f>
        <v>2.2878903294878036E-4</v>
      </c>
    </row>
    <row r="2452" spans="1:29">
      <c r="A2452" s="10" t="s">
        <v>3800</v>
      </c>
      <c r="B2452" s="10" t="s">
        <v>358</v>
      </c>
      <c r="C2452" s="124">
        <v>46409</v>
      </c>
      <c r="D2452" s="124" t="s">
        <v>471</v>
      </c>
      <c r="E2452" s="21">
        <v>0.92863505000000002</v>
      </c>
      <c r="F2452" s="10"/>
      <c r="G2452" s="14">
        <v>2643916.21</v>
      </c>
      <c r="H2452" s="14">
        <v>2455233.27</v>
      </c>
      <c r="I2452" s="14">
        <v>2643916.21</v>
      </c>
      <c r="J2452" s="14">
        <v>2455233.27</v>
      </c>
      <c r="K2452" s="12">
        <v>90023088</v>
      </c>
      <c r="L2452" s="10" t="s">
        <v>101</v>
      </c>
      <c r="M2452" s="10" t="s">
        <v>102</v>
      </c>
      <c r="N2452" s="124" t="s">
        <v>467</v>
      </c>
      <c r="O2452" s="124" t="s">
        <v>467</v>
      </c>
      <c r="P2452" s="21">
        <v>33</v>
      </c>
      <c r="Q2452" s="10" t="s">
        <v>54</v>
      </c>
      <c r="R2452" s="10" t="s">
        <v>28</v>
      </c>
      <c r="S2452" s="10"/>
      <c r="T2452" s="10"/>
      <c r="U2452" s="10" t="s">
        <v>3663</v>
      </c>
      <c r="V2452" s="10" t="s">
        <v>3663</v>
      </c>
      <c r="W2452" s="50">
        <f>+J2452/$W$2</f>
        <v>3.0048730247490848E-5</v>
      </c>
      <c r="AC2452" s="47"/>
    </row>
    <row r="2453" spans="1:29">
      <c r="A2453" s="10" t="s">
        <v>967</v>
      </c>
      <c r="B2453" s="10" t="s">
        <v>358</v>
      </c>
      <c r="C2453" s="124">
        <v>46409</v>
      </c>
      <c r="D2453" s="124" t="s">
        <v>471</v>
      </c>
      <c r="E2453" s="21">
        <v>0.92463594000000005</v>
      </c>
      <c r="F2453" s="10"/>
      <c r="G2453" s="14">
        <v>25000000</v>
      </c>
      <c r="H2453" s="14">
        <v>23115898.579999998</v>
      </c>
      <c r="I2453" s="14">
        <v>25000000</v>
      </c>
      <c r="J2453" s="14">
        <v>23115898.579999998</v>
      </c>
      <c r="K2453" s="12">
        <v>383</v>
      </c>
      <c r="L2453" s="10" t="s">
        <v>101</v>
      </c>
      <c r="M2453" s="10" t="s">
        <v>102</v>
      </c>
      <c r="N2453" s="124" t="s">
        <v>449</v>
      </c>
      <c r="O2453" s="124" t="s">
        <v>449</v>
      </c>
      <c r="P2453" s="21">
        <v>35</v>
      </c>
      <c r="Q2453" s="10" t="s">
        <v>54</v>
      </c>
      <c r="R2453" s="10" t="s">
        <v>28</v>
      </c>
      <c r="S2453" s="10"/>
      <c r="T2453" s="10"/>
      <c r="U2453" s="10" t="s">
        <v>1970</v>
      </c>
      <c r="V2453" s="10" t="s">
        <v>1970</v>
      </c>
      <c r="W2453" s="50">
        <f>+J2453/$W$2</f>
        <v>2.829072941239415E-4</v>
      </c>
    </row>
    <row r="2454" spans="1:29">
      <c r="A2454" s="10" t="s">
        <v>2016</v>
      </c>
      <c r="B2454" s="10" t="s">
        <v>358</v>
      </c>
      <c r="C2454" s="124">
        <v>46412</v>
      </c>
      <c r="D2454" s="124" t="s">
        <v>471</v>
      </c>
      <c r="E2454" s="21">
        <v>0.93465138999999997</v>
      </c>
      <c r="F2454" s="10"/>
      <c r="G2454" s="14">
        <v>4000000</v>
      </c>
      <c r="H2454" s="14">
        <v>3738605.55</v>
      </c>
      <c r="I2454" s="14">
        <v>4000000</v>
      </c>
      <c r="J2454" s="14">
        <v>3738605.55</v>
      </c>
      <c r="K2454" s="12">
        <v>40793520</v>
      </c>
      <c r="L2454" s="10" t="s">
        <v>101</v>
      </c>
      <c r="M2454" s="10" t="s">
        <v>102</v>
      </c>
      <c r="N2454" s="124" t="s">
        <v>469</v>
      </c>
      <c r="O2454" s="124" t="s">
        <v>469</v>
      </c>
      <c r="P2454" s="21">
        <v>29</v>
      </c>
      <c r="Q2454" s="10" t="s">
        <v>54</v>
      </c>
      <c r="R2454" s="10" t="s">
        <v>28</v>
      </c>
      <c r="S2454" s="10"/>
      <c r="T2454" s="10"/>
      <c r="U2454" s="10" t="s">
        <v>3921</v>
      </c>
      <c r="V2454" s="10" t="s">
        <v>3921</v>
      </c>
      <c r="W2454" s="50">
        <f>+J2454/$W$2</f>
        <v>4.5755468959461499E-5</v>
      </c>
      <c r="AC2454" s="47"/>
    </row>
    <row r="2455" spans="1:29">
      <c r="A2455" s="10" t="s">
        <v>400</v>
      </c>
      <c r="B2455" s="10" t="s">
        <v>358</v>
      </c>
      <c r="C2455" s="124">
        <v>46412</v>
      </c>
      <c r="D2455" s="124" t="s">
        <v>471</v>
      </c>
      <c r="E2455" s="21">
        <v>0.93676229</v>
      </c>
      <c r="F2455" s="10"/>
      <c r="G2455" s="14">
        <v>18040295.600000001</v>
      </c>
      <c r="H2455" s="14">
        <v>16899468.609999999</v>
      </c>
      <c r="I2455" s="14">
        <v>18040295.600000001</v>
      </c>
      <c r="J2455" s="14">
        <v>16899468.609999999</v>
      </c>
      <c r="K2455" s="12">
        <v>20909</v>
      </c>
      <c r="L2455" s="10" t="s">
        <v>101</v>
      </c>
      <c r="M2455" s="10" t="s">
        <v>102</v>
      </c>
      <c r="N2455" s="124" t="s">
        <v>469</v>
      </c>
      <c r="O2455" s="124" t="s">
        <v>469</v>
      </c>
      <c r="P2455" s="21">
        <v>28</v>
      </c>
      <c r="Q2455" s="10" t="s">
        <v>54</v>
      </c>
      <c r="R2455" s="10" t="s">
        <v>28</v>
      </c>
      <c r="S2455" s="10"/>
      <c r="T2455" s="10"/>
      <c r="U2455" s="10" t="s">
        <v>4018</v>
      </c>
      <c r="V2455" s="10" t="s">
        <v>4018</v>
      </c>
      <c r="W2455" s="50">
        <f>+J2455/$W$2</f>
        <v>2.0682660983484846E-4</v>
      </c>
    </row>
    <row r="2456" spans="1:29">
      <c r="A2456" s="10" t="s">
        <v>2314</v>
      </c>
      <c r="B2456" s="10" t="s">
        <v>358</v>
      </c>
      <c r="C2456" s="124">
        <v>46412</v>
      </c>
      <c r="D2456" s="124" t="s">
        <v>471</v>
      </c>
      <c r="E2456" s="21">
        <v>0.92630190000000001</v>
      </c>
      <c r="F2456" s="10"/>
      <c r="G2456" s="14">
        <v>6006148</v>
      </c>
      <c r="H2456" s="14">
        <v>5563506.3300000001</v>
      </c>
      <c r="I2456" s="14">
        <v>6006148</v>
      </c>
      <c r="J2456" s="14">
        <v>5563506.3300000001</v>
      </c>
      <c r="K2456" s="12">
        <v>1370646</v>
      </c>
      <c r="L2456" s="10" t="s">
        <v>101</v>
      </c>
      <c r="M2456" s="10" t="s">
        <v>102</v>
      </c>
      <c r="N2456" s="124" t="s">
        <v>439</v>
      </c>
      <c r="O2456" s="124" t="s">
        <v>439</v>
      </c>
      <c r="P2456" s="21">
        <v>33</v>
      </c>
      <c r="Q2456" s="10" t="s">
        <v>54</v>
      </c>
      <c r="R2456" s="10" t="s">
        <v>28</v>
      </c>
      <c r="S2456" s="10"/>
      <c r="T2456" s="10"/>
      <c r="U2456" s="10" t="s">
        <v>2305</v>
      </c>
      <c r="V2456" s="10" t="s">
        <v>2305</v>
      </c>
      <c r="W2456" s="50">
        <f>+J2456/$W$2</f>
        <v>6.8089783151389853E-5</v>
      </c>
    </row>
    <row r="2457" spans="1:29">
      <c r="A2457" s="10" t="s">
        <v>1758</v>
      </c>
      <c r="B2457" s="10" t="s">
        <v>358</v>
      </c>
      <c r="C2457" s="124">
        <v>46412</v>
      </c>
      <c r="D2457" s="124" t="s">
        <v>471</v>
      </c>
      <c r="E2457" s="21">
        <v>0.92837537000000003</v>
      </c>
      <c r="F2457" s="10"/>
      <c r="G2457" s="14">
        <v>1648012.48</v>
      </c>
      <c r="H2457" s="14">
        <v>1529974.19</v>
      </c>
      <c r="I2457" s="14">
        <v>1648012.48</v>
      </c>
      <c r="J2457" s="14">
        <v>1529974.19</v>
      </c>
      <c r="K2457" s="12">
        <v>3410389</v>
      </c>
      <c r="L2457" s="10" t="s">
        <v>101</v>
      </c>
      <c r="M2457" s="10" t="s">
        <v>102</v>
      </c>
      <c r="N2457" s="124" t="s">
        <v>398</v>
      </c>
      <c r="O2457" s="124" t="s">
        <v>398</v>
      </c>
      <c r="P2457" s="21">
        <v>32</v>
      </c>
      <c r="Q2457" s="10" t="s">
        <v>54</v>
      </c>
      <c r="R2457" s="10" t="s">
        <v>28</v>
      </c>
      <c r="S2457" s="10"/>
      <c r="T2457" s="10"/>
      <c r="U2457" s="10" t="s">
        <v>1721</v>
      </c>
      <c r="V2457" s="10" t="s">
        <v>1721</v>
      </c>
      <c r="W2457" s="50">
        <f>+J2457/$W$2</f>
        <v>1.8724812131978528E-5</v>
      </c>
    </row>
    <row r="2458" spans="1:29">
      <c r="A2458" s="10" t="s">
        <v>1893</v>
      </c>
      <c r="B2458" s="10" t="s">
        <v>358</v>
      </c>
      <c r="C2458" s="124">
        <v>46412</v>
      </c>
      <c r="D2458" s="124" t="s">
        <v>471</v>
      </c>
      <c r="E2458" s="21">
        <v>0.93888280999999996</v>
      </c>
      <c r="F2458" s="10"/>
      <c r="G2458" s="14">
        <v>2092000</v>
      </c>
      <c r="H2458" s="14">
        <v>1964142.84</v>
      </c>
      <c r="I2458" s="14">
        <v>2092000</v>
      </c>
      <c r="J2458" s="14">
        <v>1964142.84</v>
      </c>
      <c r="K2458" s="12">
        <v>17704202</v>
      </c>
      <c r="L2458" s="10" t="s">
        <v>101</v>
      </c>
      <c r="M2458" s="10" t="s">
        <v>102</v>
      </c>
      <c r="N2458" s="124" t="s">
        <v>471</v>
      </c>
      <c r="O2458" s="124" t="s">
        <v>471</v>
      </c>
      <c r="P2458" s="21">
        <v>27</v>
      </c>
      <c r="Q2458" s="10" t="s">
        <v>54</v>
      </c>
      <c r="R2458" s="10" t="s">
        <v>28</v>
      </c>
      <c r="S2458" s="10"/>
      <c r="T2458" s="10"/>
      <c r="U2458" s="10" t="s">
        <v>4075</v>
      </c>
      <c r="V2458" s="10" t="s">
        <v>4075</v>
      </c>
      <c r="W2458" s="50">
        <f>+J2458/$W$2</f>
        <v>2.4038448439035931E-5</v>
      </c>
      <c r="AC2458" s="47"/>
    </row>
    <row r="2459" spans="1:29">
      <c r="A2459" s="10" t="s">
        <v>575</v>
      </c>
      <c r="B2459" s="10" t="s">
        <v>358</v>
      </c>
      <c r="C2459" s="124">
        <v>46412</v>
      </c>
      <c r="D2459" s="124" t="s">
        <v>471</v>
      </c>
      <c r="E2459" s="21">
        <v>0.92630195000000004</v>
      </c>
      <c r="F2459" s="10"/>
      <c r="G2459" s="14">
        <v>2200000</v>
      </c>
      <c r="H2459" s="14">
        <v>2037864.29</v>
      </c>
      <c r="I2459" s="14">
        <v>2200000</v>
      </c>
      <c r="J2459" s="14">
        <v>2037864.29</v>
      </c>
      <c r="K2459" s="12">
        <v>6766</v>
      </c>
      <c r="L2459" s="10" t="s">
        <v>101</v>
      </c>
      <c r="M2459" s="10" t="s">
        <v>102</v>
      </c>
      <c r="N2459" s="124" t="s">
        <v>603</v>
      </c>
      <c r="O2459" s="124" t="s">
        <v>603</v>
      </c>
      <c r="P2459" s="21">
        <v>33</v>
      </c>
      <c r="Q2459" s="10" t="s">
        <v>54</v>
      </c>
      <c r="R2459" s="10" t="s">
        <v>28</v>
      </c>
      <c r="S2459" s="10"/>
      <c r="T2459" s="10"/>
      <c r="U2459" s="10" t="s">
        <v>2622</v>
      </c>
      <c r="V2459" s="10" t="s">
        <v>2622</v>
      </c>
      <c r="W2459" s="50">
        <f>+J2459/$W$2</f>
        <v>2.4940699150433255E-5</v>
      </c>
      <c r="AC2459" s="47"/>
    </row>
    <row r="2460" spans="1:29">
      <c r="A2460" s="10" t="s">
        <v>334</v>
      </c>
      <c r="B2460" s="10" t="s">
        <v>358</v>
      </c>
      <c r="C2460" s="124">
        <v>46412</v>
      </c>
      <c r="D2460" s="124" t="s">
        <v>471</v>
      </c>
      <c r="E2460" s="21">
        <v>0.92013729</v>
      </c>
      <c r="F2460" s="10"/>
      <c r="G2460" s="14">
        <v>2440210.56</v>
      </c>
      <c r="H2460" s="14">
        <v>2245328.73</v>
      </c>
      <c r="I2460" s="14">
        <v>2440210.56</v>
      </c>
      <c r="J2460" s="14">
        <v>2245328.73</v>
      </c>
      <c r="K2460" s="12">
        <v>3724</v>
      </c>
      <c r="L2460" s="10" t="s">
        <v>101</v>
      </c>
      <c r="M2460" s="10" t="s">
        <v>102</v>
      </c>
      <c r="N2460" s="124" t="s">
        <v>445</v>
      </c>
      <c r="O2460" s="124" t="s">
        <v>445</v>
      </c>
      <c r="P2460" s="21">
        <v>36</v>
      </c>
      <c r="Q2460" s="10" t="s">
        <v>54</v>
      </c>
      <c r="R2460" s="10" t="s">
        <v>28</v>
      </c>
      <c r="S2460" s="10"/>
      <c r="T2460" s="10"/>
      <c r="U2460" s="10" t="s">
        <v>2857</v>
      </c>
      <c r="V2460" s="10" t="s">
        <v>2857</v>
      </c>
      <c r="W2460" s="50">
        <f>+J2460/$W$2</f>
        <v>2.7479782939203659E-5</v>
      </c>
    </row>
    <row r="2461" spans="1:29">
      <c r="A2461" s="10" t="s">
        <v>1128</v>
      </c>
      <c r="B2461" s="10" t="s">
        <v>358</v>
      </c>
      <c r="C2461" s="124">
        <v>46412</v>
      </c>
      <c r="D2461" s="124" t="s">
        <v>471</v>
      </c>
      <c r="E2461" s="21">
        <v>0.92218294000000001</v>
      </c>
      <c r="F2461" s="10"/>
      <c r="G2461" s="14">
        <v>1785645.28</v>
      </c>
      <c r="H2461" s="14">
        <v>1646691.62</v>
      </c>
      <c r="I2461" s="14">
        <v>1785645.28</v>
      </c>
      <c r="J2461" s="14">
        <v>1646691.62</v>
      </c>
      <c r="K2461" s="12">
        <v>824</v>
      </c>
      <c r="L2461" s="10" t="s">
        <v>101</v>
      </c>
      <c r="M2461" s="10" t="s">
        <v>102</v>
      </c>
      <c r="N2461" s="124" t="s">
        <v>468</v>
      </c>
      <c r="O2461" s="124" t="s">
        <v>468</v>
      </c>
      <c r="P2461" s="21">
        <v>35</v>
      </c>
      <c r="Q2461" s="10" t="s">
        <v>54</v>
      </c>
      <c r="R2461" s="10" t="s">
        <v>28</v>
      </c>
      <c r="S2461" s="10"/>
      <c r="T2461" s="10"/>
      <c r="U2461" s="10" t="s">
        <v>3848</v>
      </c>
      <c r="V2461" s="10" t="s">
        <v>3848</v>
      </c>
      <c r="W2461" s="50">
        <f>+J2461/$W$2</f>
        <v>2.0153275411661276E-5</v>
      </c>
    </row>
    <row r="2462" spans="1:29">
      <c r="A2462" s="10" t="s">
        <v>3773</v>
      </c>
      <c r="B2462" s="10" t="s">
        <v>358</v>
      </c>
      <c r="C2462" s="124">
        <v>46412</v>
      </c>
      <c r="D2462" s="124" t="s">
        <v>471</v>
      </c>
      <c r="E2462" s="21">
        <v>0.92630195999999998</v>
      </c>
      <c r="F2462" s="10"/>
      <c r="G2462" s="14">
        <v>5850000</v>
      </c>
      <c r="H2462" s="14">
        <v>5418866.4900000002</v>
      </c>
      <c r="I2462" s="14">
        <v>5850000</v>
      </c>
      <c r="J2462" s="14">
        <v>5418866.4900000002</v>
      </c>
      <c r="K2462" s="12">
        <v>1395699</v>
      </c>
      <c r="L2462" s="10" t="s">
        <v>101</v>
      </c>
      <c r="M2462" s="10" t="s">
        <v>102</v>
      </c>
      <c r="N2462" s="124" t="s">
        <v>467</v>
      </c>
      <c r="O2462" s="124" t="s">
        <v>467</v>
      </c>
      <c r="P2462" s="21">
        <v>33</v>
      </c>
      <c r="Q2462" s="10" t="s">
        <v>54</v>
      </c>
      <c r="R2462" s="10" t="s">
        <v>28</v>
      </c>
      <c r="S2462" s="10"/>
      <c r="T2462" s="10"/>
      <c r="U2462" s="10" t="s">
        <v>3686</v>
      </c>
      <c r="V2462" s="10" t="s">
        <v>3686</v>
      </c>
      <c r="W2462" s="50">
        <f>+J2462/$W$2</f>
        <v>6.6319587386976704E-5</v>
      </c>
    </row>
    <row r="2463" spans="1:29">
      <c r="A2463" s="10" t="s">
        <v>2211</v>
      </c>
      <c r="B2463" s="10" t="s">
        <v>358</v>
      </c>
      <c r="C2463" s="124">
        <v>46412</v>
      </c>
      <c r="D2463" s="124" t="s">
        <v>471</v>
      </c>
      <c r="E2463" s="21">
        <v>0.92630193999999999</v>
      </c>
      <c r="F2463" s="10"/>
      <c r="G2463" s="14">
        <v>5101408.41</v>
      </c>
      <c r="H2463" s="14">
        <v>4725444.49</v>
      </c>
      <c r="I2463" s="14">
        <v>5101408.41</v>
      </c>
      <c r="J2463" s="14">
        <v>4725444.49</v>
      </c>
      <c r="K2463" s="12">
        <v>90000742</v>
      </c>
      <c r="L2463" s="10" t="s">
        <v>101</v>
      </c>
      <c r="M2463" s="10" t="s">
        <v>102</v>
      </c>
      <c r="N2463" s="124" t="s">
        <v>475</v>
      </c>
      <c r="O2463" s="124" t="s">
        <v>475</v>
      </c>
      <c r="P2463" s="21">
        <v>33</v>
      </c>
      <c r="Q2463" s="10" t="s">
        <v>54</v>
      </c>
      <c r="R2463" s="10" t="s">
        <v>28</v>
      </c>
      <c r="S2463" s="10"/>
      <c r="T2463" s="10"/>
      <c r="U2463" s="10" t="s">
        <v>3355</v>
      </c>
      <c r="V2463" s="10" t="s">
        <v>3355</v>
      </c>
      <c r="W2463" s="50">
        <f>+J2463/$W$2</f>
        <v>5.7833041167408905E-5</v>
      </c>
    </row>
    <row r="2464" spans="1:29">
      <c r="A2464" s="10" t="s">
        <v>2211</v>
      </c>
      <c r="B2464" s="10" t="s">
        <v>358</v>
      </c>
      <c r="C2464" s="124">
        <v>46412</v>
      </c>
      <c r="D2464" s="124" t="s">
        <v>471</v>
      </c>
      <c r="E2464" s="21">
        <v>0.92630193999999999</v>
      </c>
      <c r="F2464" s="10"/>
      <c r="G2464" s="14">
        <v>5391304.5499999998</v>
      </c>
      <c r="H2464" s="14">
        <v>4993975.8499999996</v>
      </c>
      <c r="I2464" s="14">
        <v>5391304.5499999998</v>
      </c>
      <c r="J2464" s="14">
        <v>4993975.8499999996</v>
      </c>
      <c r="K2464" s="12">
        <v>90000762</v>
      </c>
      <c r="L2464" s="10" t="s">
        <v>101</v>
      </c>
      <c r="M2464" s="10" t="s">
        <v>102</v>
      </c>
      <c r="N2464" s="124" t="s">
        <v>475</v>
      </c>
      <c r="O2464" s="124" t="s">
        <v>475</v>
      </c>
      <c r="P2464" s="21">
        <v>33</v>
      </c>
      <c r="Q2464" s="10" t="s">
        <v>54</v>
      </c>
      <c r="R2464" s="10" t="s">
        <v>28</v>
      </c>
      <c r="S2464" s="10"/>
      <c r="T2464" s="10"/>
      <c r="U2464" s="10" t="s">
        <v>3374</v>
      </c>
      <c r="V2464" s="10" t="s">
        <v>3374</v>
      </c>
      <c r="W2464" s="50">
        <f>+J2464/$W$2</f>
        <v>6.1119501357658699E-5</v>
      </c>
    </row>
    <row r="2465" spans="1:23">
      <c r="A2465" s="10" t="s">
        <v>433</v>
      </c>
      <c r="B2465" s="10" t="s">
        <v>358</v>
      </c>
      <c r="C2465" s="124">
        <v>46412</v>
      </c>
      <c r="D2465" s="124" t="s">
        <v>471</v>
      </c>
      <c r="E2465" s="21">
        <v>0.92837523</v>
      </c>
      <c r="F2465" s="10"/>
      <c r="G2465" s="14">
        <v>10000000</v>
      </c>
      <c r="H2465" s="14">
        <v>9283752.3499999996</v>
      </c>
      <c r="I2465" s="14">
        <v>10000000</v>
      </c>
      <c r="J2465" s="14">
        <v>9283752.3499999996</v>
      </c>
      <c r="K2465" s="12">
        <v>14725222</v>
      </c>
      <c r="L2465" s="10" t="s">
        <v>101</v>
      </c>
      <c r="M2465" s="10" t="s">
        <v>102</v>
      </c>
      <c r="N2465" s="124" t="s">
        <v>468</v>
      </c>
      <c r="O2465" s="124" t="s">
        <v>468</v>
      </c>
      <c r="P2465" s="21">
        <v>32</v>
      </c>
      <c r="Q2465" s="10" t="s">
        <v>54</v>
      </c>
      <c r="R2465" s="10" t="s">
        <v>28</v>
      </c>
      <c r="S2465" s="10"/>
      <c r="T2465" s="10"/>
      <c r="U2465" s="10" t="s">
        <v>3802</v>
      </c>
      <c r="V2465" s="10" t="s">
        <v>3802</v>
      </c>
      <c r="W2465" s="50">
        <f>+J2465/$W$2</f>
        <v>1.1362055632687775E-4</v>
      </c>
    </row>
    <row r="2466" spans="1:23">
      <c r="A2466" s="10" t="s">
        <v>434</v>
      </c>
      <c r="B2466" s="10" t="s">
        <v>358</v>
      </c>
      <c r="C2466" s="124">
        <v>46412</v>
      </c>
      <c r="D2466" s="124" t="s">
        <v>471</v>
      </c>
      <c r="E2466" s="21">
        <v>0.93045789999999995</v>
      </c>
      <c r="F2466" s="10"/>
      <c r="G2466" s="14">
        <v>5000000</v>
      </c>
      <c r="H2466" s="14">
        <v>4652289.49</v>
      </c>
      <c r="I2466" s="14">
        <v>5000000</v>
      </c>
      <c r="J2466" s="14">
        <v>4652289.49</v>
      </c>
      <c r="K2466" s="12">
        <v>804</v>
      </c>
      <c r="L2466" s="10" t="s">
        <v>101</v>
      </c>
      <c r="M2466" s="10" t="s">
        <v>102</v>
      </c>
      <c r="N2466" s="124" t="s">
        <v>467</v>
      </c>
      <c r="O2466" s="124" t="s">
        <v>467</v>
      </c>
      <c r="P2466" s="21">
        <v>31</v>
      </c>
      <c r="Q2466" s="10" t="s">
        <v>54</v>
      </c>
      <c r="R2466" s="10" t="s">
        <v>28</v>
      </c>
      <c r="S2466" s="10"/>
      <c r="T2466" s="10"/>
      <c r="U2466" s="10" t="s">
        <v>3714</v>
      </c>
      <c r="V2466" s="10" t="s">
        <v>3714</v>
      </c>
      <c r="W2466" s="50">
        <f>+J2466/$W$2</f>
        <v>5.6937723036901822E-5</v>
      </c>
    </row>
    <row r="2467" spans="1:23">
      <c r="A2467" s="10" t="s">
        <v>3795</v>
      </c>
      <c r="B2467" s="10" t="s">
        <v>358</v>
      </c>
      <c r="C2467" s="124">
        <v>46412</v>
      </c>
      <c r="D2467" s="124" t="s">
        <v>471</v>
      </c>
      <c r="E2467" s="21">
        <v>0.92218299000000004</v>
      </c>
      <c r="F2467" s="10"/>
      <c r="G2467" s="14">
        <v>1518463.43</v>
      </c>
      <c r="H2467" s="14">
        <v>1400301.15</v>
      </c>
      <c r="I2467" s="14">
        <v>1518463.43</v>
      </c>
      <c r="J2467" s="14">
        <v>1400301.15</v>
      </c>
      <c r="K2467" s="12">
        <v>11460875</v>
      </c>
      <c r="L2467" s="10" t="s">
        <v>101</v>
      </c>
      <c r="M2467" s="10" t="s">
        <v>102</v>
      </c>
      <c r="N2467" s="124" t="s">
        <v>467</v>
      </c>
      <c r="O2467" s="124" t="s">
        <v>467</v>
      </c>
      <c r="P2467" s="21">
        <v>35</v>
      </c>
      <c r="Q2467" s="10" t="s">
        <v>54</v>
      </c>
      <c r="R2467" s="10" t="s">
        <v>28</v>
      </c>
      <c r="S2467" s="10"/>
      <c r="T2467" s="10"/>
      <c r="U2467" s="10" t="s">
        <v>3753</v>
      </c>
      <c r="V2467" s="10" t="s">
        <v>3753</v>
      </c>
      <c r="W2467" s="50">
        <f>+J2467/$W$2</f>
        <v>1.7137789730912703E-5</v>
      </c>
    </row>
    <row r="2468" spans="1:23">
      <c r="A2468" s="10" t="s">
        <v>2016</v>
      </c>
      <c r="B2468" s="10" t="s">
        <v>358</v>
      </c>
      <c r="C2468" s="124">
        <v>46413</v>
      </c>
      <c r="D2468" s="124" t="s">
        <v>471</v>
      </c>
      <c r="E2468" s="21">
        <v>0.93395775999999997</v>
      </c>
      <c r="F2468" s="10"/>
      <c r="G2468" s="14">
        <v>4130886.2</v>
      </c>
      <c r="H2468" s="14">
        <v>3858073.23</v>
      </c>
      <c r="I2468" s="14">
        <v>4130886.2</v>
      </c>
      <c r="J2468" s="14">
        <v>3858073.23</v>
      </c>
      <c r="K2468" s="12">
        <v>40793521</v>
      </c>
      <c r="L2468" s="10" t="s">
        <v>101</v>
      </c>
      <c r="M2468" s="10" t="s">
        <v>102</v>
      </c>
      <c r="N2468" s="124" t="s">
        <v>469</v>
      </c>
      <c r="O2468" s="124" t="s">
        <v>469</v>
      </c>
      <c r="P2468" s="21">
        <v>29</v>
      </c>
      <c r="Q2468" s="10" t="s">
        <v>54</v>
      </c>
      <c r="R2468" s="10" t="s">
        <v>28</v>
      </c>
      <c r="S2468" s="10"/>
      <c r="T2468" s="10"/>
      <c r="U2468" s="10" t="s">
        <v>3920</v>
      </c>
      <c r="V2468" s="10" t="s">
        <v>3920</v>
      </c>
      <c r="W2468" s="50">
        <f>+J2468/$W$2</f>
        <v>4.721759157464322E-5</v>
      </c>
    </row>
    <row r="2469" spans="1:23">
      <c r="A2469" s="10" t="s">
        <v>375</v>
      </c>
      <c r="B2469" s="10" t="s">
        <v>358</v>
      </c>
      <c r="C2469" s="124">
        <v>46413</v>
      </c>
      <c r="D2469" s="124" t="s">
        <v>471</v>
      </c>
      <c r="E2469" s="21">
        <v>0.93289544999999996</v>
      </c>
      <c r="F2469" s="10"/>
      <c r="G2469" s="14">
        <v>50000000</v>
      </c>
      <c r="H2469" s="14">
        <v>46644772.270000003</v>
      </c>
      <c r="I2469" s="14">
        <v>50000000</v>
      </c>
      <c r="J2469" s="14">
        <v>46644772.270000003</v>
      </c>
      <c r="K2469" s="12">
        <v>60074597</v>
      </c>
      <c r="L2469" s="10" t="s">
        <v>101</v>
      </c>
      <c r="M2469" s="10" t="s">
        <v>102</v>
      </c>
      <c r="N2469" s="124" t="s">
        <v>397</v>
      </c>
      <c r="O2469" s="124" t="s">
        <v>397</v>
      </c>
      <c r="P2469" s="21">
        <v>29.5</v>
      </c>
      <c r="Q2469" s="10" t="s">
        <v>54</v>
      </c>
      <c r="R2469" s="10" t="s">
        <v>28</v>
      </c>
      <c r="S2469" s="10"/>
      <c r="T2469" s="10"/>
      <c r="U2469" s="10" t="s">
        <v>1832</v>
      </c>
      <c r="V2469" s="10" t="s">
        <v>1832</v>
      </c>
      <c r="W2469" s="50">
        <f>+J2469/$W$2</f>
        <v>5.7086884432649922E-4</v>
      </c>
    </row>
    <row r="2470" spans="1:23">
      <c r="A2470" s="10" t="s">
        <v>400</v>
      </c>
      <c r="B2470" s="10" t="s">
        <v>358</v>
      </c>
      <c r="C2470" s="124">
        <v>46413</v>
      </c>
      <c r="D2470" s="124" t="s">
        <v>471</v>
      </c>
      <c r="E2470" s="21">
        <v>0.93608954</v>
      </c>
      <c r="F2470" s="10"/>
      <c r="G2470" s="14">
        <v>18040295.600000001</v>
      </c>
      <c r="H2470" s="14">
        <v>16887331.969999999</v>
      </c>
      <c r="I2470" s="14">
        <v>18040295.600000001</v>
      </c>
      <c r="J2470" s="14">
        <v>16887331.969999999</v>
      </c>
      <c r="K2470" s="12">
        <v>20910</v>
      </c>
      <c r="L2470" s="10" t="s">
        <v>101</v>
      </c>
      <c r="M2470" s="10" t="s">
        <v>102</v>
      </c>
      <c r="N2470" s="124" t="s">
        <v>469</v>
      </c>
      <c r="O2470" s="124" t="s">
        <v>469</v>
      </c>
      <c r="P2470" s="21">
        <v>28</v>
      </c>
      <c r="Q2470" s="10" t="s">
        <v>54</v>
      </c>
      <c r="R2470" s="10" t="s">
        <v>28</v>
      </c>
      <c r="S2470" s="10"/>
      <c r="T2470" s="10"/>
      <c r="U2470" s="10" t="s">
        <v>4019</v>
      </c>
      <c r="V2470" s="10" t="s">
        <v>4019</v>
      </c>
      <c r="W2470" s="50">
        <f>+J2470/$W$2</f>
        <v>2.0667807379718271E-4</v>
      </c>
    </row>
    <row r="2471" spans="1:23">
      <c r="A2471" s="10" t="s">
        <v>2079</v>
      </c>
      <c r="B2471" s="10" t="s">
        <v>358</v>
      </c>
      <c r="C2471" s="124">
        <v>46413</v>
      </c>
      <c r="D2471" s="124" t="s">
        <v>471</v>
      </c>
      <c r="E2471" s="21">
        <v>0.92762025000000004</v>
      </c>
      <c r="F2471" s="10"/>
      <c r="G2471" s="14">
        <v>45000000</v>
      </c>
      <c r="H2471" s="14">
        <v>41742911.219999999</v>
      </c>
      <c r="I2471" s="14">
        <v>45000000</v>
      </c>
      <c r="J2471" s="14">
        <v>41742911.219999999</v>
      </c>
      <c r="K2471" s="12">
        <v>51178</v>
      </c>
      <c r="L2471" s="10" t="s">
        <v>101</v>
      </c>
      <c r="M2471" s="10" t="s">
        <v>102</v>
      </c>
      <c r="N2471" s="124" t="s">
        <v>408</v>
      </c>
      <c r="O2471" s="124" t="s">
        <v>408</v>
      </c>
      <c r="P2471" s="21">
        <v>32</v>
      </c>
      <c r="Q2471" s="10" t="s">
        <v>54</v>
      </c>
      <c r="R2471" s="10" t="s">
        <v>28</v>
      </c>
      <c r="S2471" s="10"/>
      <c r="T2471" s="10"/>
      <c r="U2471" s="10" t="s">
        <v>2051</v>
      </c>
      <c r="V2471" s="10" t="s">
        <v>2051</v>
      </c>
      <c r="W2471" s="50">
        <f>+J2471/$W$2</f>
        <v>5.1087670337521089E-4</v>
      </c>
    </row>
    <row r="2472" spans="1:23">
      <c r="A2472" s="10" t="s">
        <v>2079</v>
      </c>
      <c r="B2472" s="10" t="s">
        <v>358</v>
      </c>
      <c r="C2472" s="124">
        <v>46413</v>
      </c>
      <c r="D2472" s="124" t="s">
        <v>471</v>
      </c>
      <c r="E2472" s="21">
        <v>0.92762022</v>
      </c>
      <c r="F2472" s="10"/>
      <c r="G2472" s="14">
        <v>55000000</v>
      </c>
      <c r="H2472" s="14">
        <v>51019111.859999999</v>
      </c>
      <c r="I2472" s="14">
        <v>55000000</v>
      </c>
      <c r="J2472" s="14">
        <v>51019111.859999999</v>
      </c>
      <c r="K2472" s="12">
        <v>51410</v>
      </c>
      <c r="L2472" s="10" t="s">
        <v>101</v>
      </c>
      <c r="M2472" s="10" t="s">
        <v>102</v>
      </c>
      <c r="N2472" s="124" t="s">
        <v>576</v>
      </c>
      <c r="O2472" s="124" t="s">
        <v>576</v>
      </c>
      <c r="P2472" s="21">
        <v>32</v>
      </c>
      <c r="Q2472" s="10" t="s">
        <v>54</v>
      </c>
      <c r="R2472" s="10" t="s">
        <v>28</v>
      </c>
      <c r="S2472" s="10"/>
      <c r="T2472" s="10"/>
      <c r="U2472" s="10" t="s">
        <v>2358</v>
      </c>
      <c r="V2472" s="10" t="s">
        <v>2358</v>
      </c>
      <c r="W2472" s="50">
        <f>+J2472/$W$2</f>
        <v>6.2440483699852318E-4</v>
      </c>
    </row>
    <row r="2473" spans="1:23">
      <c r="A2473" s="10" t="s">
        <v>206</v>
      </c>
      <c r="B2473" s="10" t="s">
        <v>358</v>
      </c>
      <c r="C2473" s="124">
        <v>46413</v>
      </c>
      <c r="D2473" s="124" t="s">
        <v>471</v>
      </c>
      <c r="E2473" s="21">
        <v>0.92552699999999999</v>
      </c>
      <c r="F2473" s="10"/>
      <c r="G2473" s="14">
        <v>2500000</v>
      </c>
      <c r="H2473" s="14">
        <v>2313817.5</v>
      </c>
      <c r="I2473" s="14">
        <v>2500000</v>
      </c>
      <c r="J2473" s="14">
        <v>2313817.5</v>
      </c>
      <c r="K2473" s="12">
        <v>1569</v>
      </c>
      <c r="L2473" s="10" t="s">
        <v>101</v>
      </c>
      <c r="M2473" s="10" t="s">
        <v>102</v>
      </c>
      <c r="N2473" s="124" t="s">
        <v>603</v>
      </c>
      <c r="O2473" s="124" t="s">
        <v>603</v>
      </c>
      <c r="P2473" s="21">
        <v>33</v>
      </c>
      <c r="Q2473" s="10" t="s">
        <v>54</v>
      </c>
      <c r="R2473" s="10" t="s">
        <v>28</v>
      </c>
      <c r="S2473" s="10"/>
      <c r="T2473" s="10"/>
      <c r="U2473" s="10" t="s">
        <v>2630</v>
      </c>
      <c r="V2473" s="10" t="s">
        <v>2630</v>
      </c>
      <c r="W2473" s="50">
        <f>+J2473/$W$2</f>
        <v>2.8317992733710249E-5</v>
      </c>
    </row>
    <row r="2474" spans="1:23">
      <c r="A2474" s="10" t="s">
        <v>265</v>
      </c>
      <c r="B2474" s="10" t="s">
        <v>358</v>
      </c>
      <c r="C2474" s="124">
        <v>46413</v>
      </c>
      <c r="D2474" s="124" t="s">
        <v>471</v>
      </c>
      <c r="E2474" s="21">
        <v>0.92762029000000001</v>
      </c>
      <c r="F2474" s="10"/>
      <c r="G2474" s="14">
        <v>50000000</v>
      </c>
      <c r="H2474" s="14">
        <v>46381014.670000002</v>
      </c>
      <c r="I2474" s="14">
        <v>50000000</v>
      </c>
      <c r="J2474" s="14">
        <v>46381014.670000002</v>
      </c>
      <c r="K2474" s="12">
        <v>29937729</v>
      </c>
      <c r="L2474" s="10" t="s">
        <v>101</v>
      </c>
      <c r="M2474" s="10" t="s">
        <v>102</v>
      </c>
      <c r="N2474" s="124" t="s">
        <v>399</v>
      </c>
      <c r="O2474" s="124" t="s">
        <v>399</v>
      </c>
      <c r="P2474" s="21">
        <v>32</v>
      </c>
      <c r="Q2474" s="10" t="s">
        <v>54</v>
      </c>
      <c r="R2474" s="10" t="s">
        <v>28</v>
      </c>
      <c r="S2474" s="10"/>
      <c r="T2474" s="10"/>
      <c r="U2474" s="10" t="s">
        <v>1111</v>
      </c>
      <c r="V2474" s="10" t="s">
        <v>1111</v>
      </c>
      <c r="W2474" s="50">
        <f>+J2474/$W$2</f>
        <v>5.6764080849382832E-4</v>
      </c>
    </row>
    <row r="2475" spans="1:23">
      <c r="A2475" s="10" t="s">
        <v>265</v>
      </c>
      <c r="B2475" s="10" t="s">
        <v>358</v>
      </c>
      <c r="C2475" s="124">
        <v>46413</v>
      </c>
      <c r="D2475" s="124" t="s">
        <v>471</v>
      </c>
      <c r="E2475" s="21">
        <v>0.93395771000000005</v>
      </c>
      <c r="F2475" s="10"/>
      <c r="G2475" s="14">
        <v>50000000</v>
      </c>
      <c r="H2475" s="14">
        <v>46697885.590000004</v>
      </c>
      <c r="I2475" s="14">
        <v>50000000</v>
      </c>
      <c r="J2475" s="14">
        <v>46697885.590000004</v>
      </c>
      <c r="K2475" s="12">
        <v>29867211</v>
      </c>
      <c r="L2475" s="10" t="s">
        <v>101</v>
      </c>
      <c r="M2475" s="10" t="s">
        <v>102</v>
      </c>
      <c r="N2475" s="124" t="s">
        <v>389</v>
      </c>
      <c r="O2475" s="124" t="s">
        <v>389</v>
      </c>
      <c r="P2475" s="21">
        <v>29</v>
      </c>
      <c r="Q2475" s="10" t="s">
        <v>54</v>
      </c>
      <c r="R2475" s="10" t="s">
        <v>28</v>
      </c>
      <c r="S2475" s="10"/>
      <c r="T2475" s="10"/>
      <c r="U2475" s="10" t="s">
        <v>973</v>
      </c>
      <c r="V2475" s="10" t="s">
        <v>973</v>
      </c>
      <c r="W2475" s="50">
        <f>+J2475/$W$2</f>
        <v>5.7151887943506896E-4</v>
      </c>
    </row>
    <row r="2476" spans="1:23">
      <c r="A2476" s="10" t="s">
        <v>334</v>
      </c>
      <c r="B2476" s="10" t="s">
        <v>358</v>
      </c>
      <c r="C2476" s="124">
        <v>46413</v>
      </c>
      <c r="D2476" s="124" t="s">
        <v>471</v>
      </c>
      <c r="E2476" s="21">
        <v>0.91930290999999997</v>
      </c>
      <c r="F2476" s="10"/>
      <c r="G2476" s="14">
        <v>2440210.56</v>
      </c>
      <c r="H2476" s="14">
        <v>2243292.67</v>
      </c>
      <c r="I2476" s="14">
        <v>2440210.56</v>
      </c>
      <c r="J2476" s="14">
        <v>2243292.67</v>
      </c>
      <c r="K2476" s="12">
        <v>3725</v>
      </c>
      <c r="L2476" s="10" t="s">
        <v>101</v>
      </c>
      <c r="M2476" s="10" t="s">
        <v>102</v>
      </c>
      <c r="N2476" s="124" t="s">
        <v>445</v>
      </c>
      <c r="O2476" s="124" t="s">
        <v>445</v>
      </c>
      <c r="P2476" s="21">
        <v>36</v>
      </c>
      <c r="Q2476" s="10" t="s">
        <v>54</v>
      </c>
      <c r="R2476" s="10" t="s">
        <v>28</v>
      </c>
      <c r="S2476" s="10"/>
      <c r="T2476" s="10"/>
      <c r="U2476" s="10" t="s">
        <v>2858</v>
      </c>
      <c r="V2476" s="10" t="s">
        <v>2858</v>
      </c>
      <c r="W2476" s="50">
        <f>+J2476/$W$2</f>
        <v>2.7454864322119385E-5</v>
      </c>
    </row>
    <row r="2477" spans="1:23">
      <c r="A2477" s="10" t="s">
        <v>623</v>
      </c>
      <c r="B2477" s="10" t="s">
        <v>358</v>
      </c>
      <c r="C2477" s="124">
        <v>46413</v>
      </c>
      <c r="D2477" s="124" t="s">
        <v>471</v>
      </c>
      <c r="E2477" s="21">
        <v>0.92136828999999998</v>
      </c>
      <c r="F2477" s="10"/>
      <c r="G2477" s="14">
        <v>3000000</v>
      </c>
      <c r="H2477" s="14">
        <v>2764104.88</v>
      </c>
      <c r="I2477" s="14">
        <v>3000000</v>
      </c>
      <c r="J2477" s="14">
        <v>2764104.88</v>
      </c>
      <c r="K2477" s="12">
        <v>45</v>
      </c>
      <c r="L2477" s="10" t="s">
        <v>101</v>
      </c>
      <c r="M2477" s="10" t="s">
        <v>102</v>
      </c>
      <c r="N2477" s="124" t="s">
        <v>446</v>
      </c>
      <c r="O2477" s="124" t="s">
        <v>446</v>
      </c>
      <c r="P2477" s="21">
        <v>35</v>
      </c>
      <c r="Q2477" s="10" t="s">
        <v>54</v>
      </c>
      <c r="R2477" s="10" t="s">
        <v>28</v>
      </c>
      <c r="S2477" s="10"/>
      <c r="T2477" s="10"/>
      <c r="U2477" s="10" t="s">
        <v>3087</v>
      </c>
      <c r="V2477" s="10" t="s">
        <v>3087</v>
      </c>
      <c r="W2477" s="50">
        <f>+J2477/$W$2</f>
        <v>3.3828900467324256E-5</v>
      </c>
    </row>
    <row r="2478" spans="1:23">
      <c r="A2478" s="10" t="s">
        <v>623</v>
      </c>
      <c r="B2478" s="10" t="s">
        <v>358</v>
      </c>
      <c r="C2478" s="124">
        <v>46413</v>
      </c>
      <c r="D2478" s="124" t="s">
        <v>471</v>
      </c>
      <c r="E2478" s="21">
        <v>0.92552685000000001</v>
      </c>
      <c r="F2478" s="10"/>
      <c r="G2478" s="14">
        <v>2500000</v>
      </c>
      <c r="H2478" s="14">
        <v>2313817.12</v>
      </c>
      <c r="I2478" s="14">
        <v>2500000</v>
      </c>
      <c r="J2478" s="14">
        <v>2313817.12</v>
      </c>
      <c r="K2478" s="12">
        <v>42</v>
      </c>
      <c r="L2478" s="10" t="s">
        <v>101</v>
      </c>
      <c r="M2478" s="10" t="s">
        <v>102</v>
      </c>
      <c r="N2478" s="124" t="s">
        <v>508</v>
      </c>
      <c r="O2478" s="124" t="s">
        <v>508</v>
      </c>
      <c r="P2478" s="21">
        <v>33</v>
      </c>
      <c r="Q2478" s="10" t="s">
        <v>54</v>
      </c>
      <c r="R2478" s="10" t="s">
        <v>28</v>
      </c>
      <c r="S2478" s="10"/>
      <c r="T2478" s="10"/>
      <c r="U2478" s="10" t="s">
        <v>3017</v>
      </c>
      <c r="V2478" s="10" t="s">
        <v>3017</v>
      </c>
      <c r="W2478" s="50">
        <f>+J2478/$W$2</f>
        <v>2.8317988083024864E-5</v>
      </c>
    </row>
    <row r="2479" spans="1:23">
      <c r="A2479" s="10" t="s">
        <v>3775</v>
      </c>
      <c r="B2479" s="10" t="s">
        <v>358</v>
      </c>
      <c r="C2479" s="124">
        <v>46413</v>
      </c>
      <c r="D2479" s="124" t="s">
        <v>471</v>
      </c>
      <c r="E2479" s="21">
        <v>0.92972337000000005</v>
      </c>
      <c r="F2479" s="10"/>
      <c r="G2479" s="14">
        <v>5000000</v>
      </c>
      <c r="H2479" s="14">
        <v>4648616.83</v>
      </c>
      <c r="I2479" s="14">
        <v>5000000</v>
      </c>
      <c r="J2479" s="14">
        <v>4648616.83</v>
      </c>
      <c r="K2479" s="12">
        <v>453</v>
      </c>
      <c r="L2479" s="10" t="s">
        <v>101</v>
      </c>
      <c r="M2479" s="10" t="s">
        <v>102</v>
      </c>
      <c r="N2479" s="124" t="s">
        <v>467</v>
      </c>
      <c r="O2479" s="124" t="s">
        <v>467</v>
      </c>
      <c r="P2479" s="21">
        <v>31</v>
      </c>
      <c r="Q2479" s="10" t="s">
        <v>54</v>
      </c>
      <c r="R2479" s="10" t="s">
        <v>28</v>
      </c>
      <c r="S2479" s="10"/>
      <c r="T2479" s="10"/>
      <c r="U2479" s="10" t="s">
        <v>3717</v>
      </c>
      <c r="V2479" s="10" t="s">
        <v>3717</v>
      </c>
      <c r="W2479" s="50">
        <f>+J2479/$W$2</f>
        <v>5.6892774652168194E-5</v>
      </c>
    </row>
    <row r="2480" spans="1:23">
      <c r="A2480" s="10" t="s">
        <v>3778</v>
      </c>
      <c r="B2480" s="10" t="s">
        <v>358</v>
      </c>
      <c r="C2480" s="124">
        <v>46413</v>
      </c>
      <c r="D2480" s="124" t="s">
        <v>471</v>
      </c>
      <c r="E2480" s="21">
        <v>0.92552705000000002</v>
      </c>
      <c r="F2480" s="10"/>
      <c r="G2480" s="14">
        <v>4000000</v>
      </c>
      <c r="H2480" s="14">
        <v>3702108.19</v>
      </c>
      <c r="I2480" s="14">
        <v>4000000</v>
      </c>
      <c r="J2480" s="14">
        <v>3702108.19</v>
      </c>
      <c r="K2480" s="12">
        <v>201</v>
      </c>
      <c r="L2480" s="10" t="s">
        <v>101</v>
      </c>
      <c r="M2480" s="10" t="s">
        <v>102</v>
      </c>
      <c r="N2480" s="124" t="s">
        <v>467</v>
      </c>
      <c r="O2480" s="124" t="s">
        <v>467</v>
      </c>
      <c r="P2480" s="21">
        <v>33</v>
      </c>
      <c r="Q2480" s="10" t="s">
        <v>54</v>
      </c>
      <c r="R2480" s="10" t="s">
        <v>28</v>
      </c>
      <c r="S2480" s="10"/>
      <c r="T2480" s="10"/>
      <c r="U2480" s="10" t="s">
        <v>3696</v>
      </c>
      <c r="V2480" s="10" t="s">
        <v>3696</v>
      </c>
      <c r="W2480" s="50">
        <f>+J2480/$W$2</f>
        <v>4.5308790699279097E-5</v>
      </c>
    </row>
    <row r="2481" spans="1:23">
      <c r="A2481" s="10" t="s">
        <v>3815</v>
      </c>
      <c r="B2481" s="10" t="s">
        <v>358</v>
      </c>
      <c r="C2481" s="124">
        <v>46413</v>
      </c>
      <c r="D2481" s="124" t="s">
        <v>471</v>
      </c>
      <c r="E2481" s="21">
        <v>0.92552701000000004</v>
      </c>
      <c r="F2481" s="10"/>
      <c r="G2481" s="14">
        <v>5368571.43</v>
      </c>
      <c r="H2481" s="14">
        <v>4968757.8499999996</v>
      </c>
      <c r="I2481" s="14">
        <v>5368571.43</v>
      </c>
      <c r="J2481" s="14">
        <v>4968757.8499999996</v>
      </c>
      <c r="K2481" s="12">
        <v>468</v>
      </c>
      <c r="L2481" s="10" t="s">
        <v>101</v>
      </c>
      <c r="M2481" s="10" t="s">
        <v>102</v>
      </c>
      <c r="N2481" s="124" t="s">
        <v>468</v>
      </c>
      <c r="O2481" s="124" t="s">
        <v>468</v>
      </c>
      <c r="P2481" s="21">
        <v>33</v>
      </c>
      <c r="Q2481" s="10" t="s">
        <v>54</v>
      </c>
      <c r="R2481" s="10" t="s">
        <v>28</v>
      </c>
      <c r="S2481" s="10"/>
      <c r="T2481" s="10"/>
      <c r="U2481" s="10" t="s">
        <v>3816</v>
      </c>
      <c r="V2481" s="10" t="s">
        <v>3816</v>
      </c>
      <c r="W2481" s="50">
        <f>+J2481/$W$2</f>
        <v>6.0810867188905675E-5</v>
      </c>
    </row>
    <row r="2482" spans="1:23">
      <c r="A2482" s="10" t="s">
        <v>4175</v>
      </c>
      <c r="B2482" s="10" t="s">
        <v>358</v>
      </c>
      <c r="C2482" s="124">
        <v>46413</v>
      </c>
      <c r="D2482" s="124" t="s">
        <v>471</v>
      </c>
      <c r="E2482" s="21">
        <v>0.93183574999999996</v>
      </c>
      <c r="F2482" s="10"/>
      <c r="G2482" s="14">
        <v>20000000</v>
      </c>
      <c r="H2482" s="14">
        <v>18636714.989999998</v>
      </c>
      <c r="I2482" s="14">
        <v>20000000</v>
      </c>
      <c r="J2482" s="14">
        <v>18636714.989999998</v>
      </c>
      <c r="K2482" s="12">
        <v>67863975</v>
      </c>
      <c r="L2482" s="10" t="s">
        <v>101</v>
      </c>
      <c r="M2482" s="10" t="s">
        <v>102</v>
      </c>
      <c r="N2482" s="124" t="s">
        <v>471</v>
      </c>
      <c r="O2482" s="124" t="s">
        <v>471</v>
      </c>
      <c r="P2482" s="21">
        <v>30</v>
      </c>
      <c r="Q2482" s="10" t="s">
        <v>54</v>
      </c>
      <c r="R2482" s="10" t="s">
        <v>28</v>
      </c>
      <c r="S2482" s="10"/>
      <c r="T2482" s="10"/>
      <c r="U2482" s="10" t="s">
        <v>4157</v>
      </c>
      <c r="V2482" s="10" t="s">
        <v>4157</v>
      </c>
      <c r="W2482" s="50">
        <f>+J2482/$W$2</f>
        <v>2.280881528759502E-4</v>
      </c>
    </row>
    <row r="2483" spans="1:23">
      <c r="A2483" s="10" t="s">
        <v>434</v>
      </c>
      <c r="B2483" s="10" t="s">
        <v>358</v>
      </c>
      <c r="C2483" s="124">
        <v>46413</v>
      </c>
      <c r="D2483" s="124" t="s">
        <v>471</v>
      </c>
      <c r="E2483" s="21">
        <v>0.92972337000000005</v>
      </c>
      <c r="F2483" s="10"/>
      <c r="G2483" s="14">
        <v>5000000</v>
      </c>
      <c r="H2483" s="14">
        <v>4648616.83</v>
      </c>
      <c r="I2483" s="14">
        <v>5000000</v>
      </c>
      <c r="J2483" s="14">
        <v>4648616.83</v>
      </c>
      <c r="K2483" s="12">
        <v>805</v>
      </c>
      <c r="L2483" s="10" t="s">
        <v>101</v>
      </c>
      <c r="M2483" s="10" t="s">
        <v>102</v>
      </c>
      <c r="N2483" s="124" t="s">
        <v>467</v>
      </c>
      <c r="O2483" s="124" t="s">
        <v>467</v>
      </c>
      <c r="P2483" s="21">
        <v>31</v>
      </c>
      <c r="Q2483" s="10" t="s">
        <v>54</v>
      </c>
      <c r="R2483" s="10" t="s">
        <v>28</v>
      </c>
      <c r="S2483" s="10"/>
      <c r="T2483" s="10"/>
      <c r="U2483" s="10" t="s">
        <v>3715</v>
      </c>
      <c r="V2483" s="10" t="s">
        <v>3715</v>
      </c>
      <c r="W2483" s="50">
        <f>+J2483/$W$2</f>
        <v>5.6892774652168194E-5</v>
      </c>
    </row>
    <row r="2484" spans="1:23">
      <c r="A2484" s="10" t="s">
        <v>3783</v>
      </c>
      <c r="B2484" s="10" t="s">
        <v>358</v>
      </c>
      <c r="C2484" s="124">
        <v>46413</v>
      </c>
      <c r="D2484" s="124" t="s">
        <v>471</v>
      </c>
      <c r="E2484" s="21">
        <v>0.92552705000000002</v>
      </c>
      <c r="F2484" s="10"/>
      <c r="G2484" s="14">
        <v>6956450</v>
      </c>
      <c r="H2484" s="14">
        <v>6438382.6200000001</v>
      </c>
      <c r="I2484" s="14">
        <v>6956450</v>
      </c>
      <c r="J2484" s="14">
        <v>6438382.6200000001</v>
      </c>
      <c r="K2484" s="12">
        <v>90000334</v>
      </c>
      <c r="L2484" s="10" t="s">
        <v>101</v>
      </c>
      <c r="M2484" s="10" t="s">
        <v>102</v>
      </c>
      <c r="N2484" s="124" t="s">
        <v>467</v>
      </c>
      <c r="O2484" s="124" t="s">
        <v>467</v>
      </c>
      <c r="P2484" s="21">
        <v>33</v>
      </c>
      <c r="Q2484" s="10" t="s">
        <v>54</v>
      </c>
      <c r="R2484" s="10" t="s">
        <v>28</v>
      </c>
      <c r="S2484" s="10"/>
      <c r="T2484" s="10"/>
      <c r="U2484" s="10" t="s">
        <v>3700</v>
      </c>
      <c r="V2484" s="10" t="s">
        <v>3700</v>
      </c>
      <c r="W2484" s="50">
        <f>+J2484/$W$2</f>
        <v>7.8797084147736967E-5</v>
      </c>
    </row>
    <row r="2485" spans="1:23">
      <c r="A2485" s="10" t="s">
        <v>3792</v>
      </c>
      <c r="B2485" s="10" t="s">
        <v>358</v>
      </c>
      <c r="C2485" s="124">
        <v>46413</v>
      </c>
      <c r="D2485" s="124" t="s">
        <v>471</v>
      </c>
      <c r="E2485" s="21">
        <v>0.92136841999999997</v>
      </c>
      <c r="F2485" s="10"/>
      <c r="G2485" s="14">
        <v>240000</v>
      </c>
      <c r="H2485" s="14">
        <v>221128.42</v>
      </c>
      <c r="I2485" s="14">
        <v>240000</v>
      </c>
      <c r="J2485" s="14">
        <v>221128.42</v>
      </c>
      <c r="K2485" s="12">
        <v>70595565</v>
      </c>
      <c r="L2485" s="10" t="s">
        <v>101</v>
      </c>
      <c r="M2485" s="10" t="s">
        <v>102</v>
      </c>
      <c r="N2485" s="124" t="s">
        <v>467</v>
      </c>
      <c r="O2485" s="124" t="s">
        <v>467</v>
      </c>
      <c r="P2485" s="21">
        <v>35</v>
      </c>
      <c r="Q2485" s="10" t="s">
        <v>54</v>
      </c>
      <c r="R2485" s="10" t="s">
        <v>28</v>
      </c>
      <c r="S2485" s="10"/>
      <c r="T2485" s="10"/>
      <c r="U2485" s="10" t="s">
        <v>3746</v>
      </c>
      <c r="V2485" s="10" t="s">
        <v>3746</v>
      </c>
      <c r="W2485" s="50">
        <f>+J2485/$W$2</f>
        <v>2.7063123996498551E-6</v>
      </c>
    </row>
    <row r="2486" spans="1:23">
      <c r="A2486" s="10" t="s">
        <v>482</v>
      </c>
      <c r="B2486" s="10" t="s">
        <v>358</v>
      </c>
      <c r="C2486" s="124">
        <v>46413</v>
      </c>
      <c r="D2486" s="124" t="s">
        <v>471</v>
      </c>
      <c r="E2486" s="21">
        <v>0.92972337000000005</v>
      </c>
      <c r="F2486" s="10"/>
      <c r="G2486" s="14">
        <v>5000000</v>
      </c>
      <c r="H2486" s="14">
        <v>4648616.83</v>
      </c>
      <c r="I2486" s="14">
        <v>5000000</v>
      </c>
      <c r="J2486" s="14">
        <v>4648616.83</v>
      </c>
      <c r="K2486" s="12">
        <v>14693859</v>
      </c>
      <c r="L2486" s="10" t="s">
        <v>101</v>
      </c>
      <c r="M2486" s="10" t="s">
        <v>102</v>
      </c>
      <c r="N2486" s="124" t="s">
        <v>467</v>
      </c>
      <c r="O2486" s="124" t="s">
        <v>467</v>
      </c>
      <c r="P2486" s="21">
        <v>31</v>
      </c>
      <c r="Q2486" s="10" t="s">
        <v>54</v>
      </c>
      <c r="R2486" s="10" t="s">
        <v>28</v>
      </c>
      <c r="S2486" s="10"/>
      <c r="T2486" s="10"/>
      <c r="U2486" s="10" t="s">
        <v>3708</v>
      </c>
      <c r="V2486" s="10" t="s">
        <v>3708</v>
      </c>
      <c r="W2486" s="50">
        <f>+J2486/$W$2</f>
        <v>5.6892774652168194E-5</v>
      </c>
    </row>
    <row r="2487" spans="1:23">
      <c r="A2487" s="10" t="s">
        <v>3440</v>
      </c>
      <c r="B2487" s="10" t="s">
        <v>358</v>
      </c>
      <c r="C2487" s="124">
        <v>46413</v>
      </c>
      <c r="D2487" s="124" t="s">
        <v>471</v>
      </c>
      <c r="E2487" s="21">
        <v>0.92972315999999999</v>
      </c>
      <c r="F2487" s="10"/>
      <c r="G2487" s="14">
        <v>7000000</v>
      </c>
      <c r="H2487" s="14">
        <v>6508062.0999999996</v>
      </c>
      <c r="I2487" s="14">
        <v>7000000</v>
      </c>
      <c r="J2487" s="14">
        <v>6508062.0999999996</v>
      </c>
      <c r="K2487" s="12">
        <v>368</v>
      </c>
      <c r="L2487" s="10" t="s">
        <v>101</v>
      </c>
      <c r="M2487" s="10" t="s">
        <v>102</v>
      </c>
      <c r="N2487" s="124" t="s">
        <v>450</v>
      </c>
      <c r="O2487" s="124" t="s">
        <v>450</v>
      </c>
      <c r="P2487" s="21">
        <v>31</v>
      </c>
      <c r="Q2487" s="10" t="s">
        <v>54</v>
      </c>
      <c r="R2487" s="10" t="s">
        <v>28</v>
      </c>
      <c r="S2487" s="10"/>
      <c r="T2487" s="10"/>
      <c r="U2487" s="10" t="s">
        <v>3420</v>
      </c>
      <c r="V2487" s="10" t="s">
        <v>3420</v>
      </c>
      <c r="W2487" s="50">
        <f>+J2487/$W$2</f>
        <v>7.9649866620135363E-5</v>
      </c>
    </row>
    <row r="2488" spans="1:23">
      <c r="A2488" s="10" t="s">
        <v>2822</v>
      </c>
      <c r="B2488" s="10" t="s">
        <v>358</v>
      </c>
      <c r="C2488" s="124">
        <v>46413</v>
      </c>
      <c r="D2488" s="124" t="s">
        <v>471</v>
      </c>
      <c r="E2488" s="21">
        <v>0.92762020999999995</v>
      </c>
      <c r="F2488" s="10"/>
      <c r="G2488" s="14">
        <v>1858362</v>
      </c>
      <c r="H2488" s="14">
        <v>1723854.15</v>
      </c>
      <c r="I2488" s="14">
        <v>1858362</v>
      </c>
      <c r="J2488" s="14">
        <v>1723854.15</v>
      </c>
      <c r="K2488" s="12">
        <v>1489</v>
      </c>
      <c r="L2488" s="10" t="s">
        <v>101</v>
      </c>
      <c r="M2488" s="10" t="s">
        <v>102</v>
      </c>
      <c r="N2488" s="124" t="s">
        <v>412</v>
      </c>
      <c r="O2488" s="124" t="s">
        <v>412</v>
      </c>
      <c r="P2488" s="21">
        <v>32</v>
      </c>
      <c r="Q2488" s="10" t="s">
        <v>54</v>
      </c>
      <c r="R2488" s="10" t="s">
        <v>28</v>
      </c>
      <c r="S2488" s="10"/>
      <c r="T2488" s="10"/>
      <c r="U2488" s="10" t="s">
        <v>2770</v>
      </c>
      <c r="V2488" s="10" t="s">
        <v>2770</v>
      </c>
      <c r="W2488" s="50">
        <f>+J2488/$W$2</f>
        <v>2.1097640282207331E-5</v>
      </c>
    </row>
    <row r="2489" spans="1:23">
      <c r="A2489" s="10" t="s">
        <v>3100</v>
      </c>
      <c r="B2489" s="10" t="s">
        <v>358</v>
      </c>
      <c r="C2489" s="124">
        <v>46413</v>
      </c>
      <c r="D2489" s="124" t="s">
        <v>471</v>
      </c>
      <c r="E2489" s="21">
        <v>0.92552701000000004</v>
      </c>
      <c r="F2489" s="10"/>
      <c r="G2489" s="14">
        <v>4198532</v>
      </c>
      <c r="H2489" s="14">
        <v>3885854.78</v>
      </c>
      <c r="I2489" s="14">
        <v>4198532</v>
      </c>
      <c r="J2489" s="14">
        <v>3885854.78</v>
      </c>
      <c r="K2489" s="12">
        <v>40949984</v>
      </c>
      <c r="L2489" s="10" t="s">
        <v>101</v>
      </c>
      <c r="M2489" s="10" t="s">
        <v>102</v>
      </c>
      <c r="N2489" s="124" t="s">
        <v>475</v>
      </c>
      <c r="O2489" s="124" t="s">
        <v>475</v>
      </c>
      <c r="P2489" s="21">
        <v>33</v>
      </c>
      <c r="Q2489" s="10" t="s">
        <v>54</v>
      </c>
      <c r="R2489" s="10" t="s">
        <v>28</v>
      </c>
      <c r="S2489" s="10"/>
      <c r="T2489" s="10"/>
      <c r="U2489" s="10" t="s">
        <v>3356</v>
      </c>
      <c r="V2489" s="10" t="s">
        <v>3356</v>
      </c>
      <c r="W2489" s="50">
        <f>+J2489/$W$2</f>
        <v>4.7557600123731991E-5</v>
      </c>
    </row>
    <row r="2490" spans="1:23">
      <c r="A2490" s="10" t="s">
        <v>3112</v>
      </c>
      <c r="B2490" s="10" t="s">
        <v>358</v>
      </c>
      <c r="C2490" s="124">
        <v>46413</v>
      </c>
      <c r="D2490" s="124" t="s">
        <v>471</v>
      </c>
      <c r="E2490" s="21">
        <v>0.92136830000000003</v>
      </c>
      <c r="F2490" s="10"/>
      <c r="G2490" s="14">
        <v>4500000</v>
      </c>
      <c r="H2490" s="14">
        <v>4146157.34</v>
      </c>
      <c r="I2490" s="14">
        <v>4500000</v>
      </c>
      <c r="J2490" s="14">
        <v>4146157.34</v>
      </c>
      <c r="K2490" s="12">
        <v>69406924</v>
      </c>
      <c r="L2490" s="10" t="s">
        <v>101</v>
      </c>
      <c r="M2490" s="10" t="s">
        <v>102</v>
      </c>
      <c r="N2490" s="124" t="s">
        <v>446</v>
      </c>
      <c r="O2490" s="124" t="s">
        <v>446</v>
      </c>
      <c r="P2490" s="21">
        <v>35</v>
      </c>
      <c r="Q2490" s="10" t="s">
        <v>54</v>
      </c>
      <c r="R2490" s="10" t="s">
        <v>28</v>
      </c>
      <c r="S2490" s="10"/>
      <c r="T2490" s="10"/>
      <c r="U2490" s="10" t="s">
        <v>3114</v>
      </c>
      <c r="V2490" s="10" t="s">
        <v>3114</v>
      </c>
      <c r="W2490" s="50">
        <f>+J2490/$W$2</f>
        <v>5.0743350945759302E-5</v>
      </c>
    </row>
    <row r="2491" spans="1:23">
      <c r="A2491" s="10" t="s">
        <v>271</v>
      </c>
      <c r="B2491" s="10" t="s">
        <v>358</v>
      </c>
      <c r="C2491" s="124">
        <v>46413</v>
      </c>
      <c r="D2491" s="124" t="s">
        <v>471</v>
      </c>
      <c r="E2491" s="21">
        <v>0.92762027000000002</v>
      </c>
      <c r="F2491" s="10"/>
      <c r="G2491" s="14">
        <v>15000000</v>
      </c>
      <c r="H2491" s="14">
        <v>13914304.119999999</v>
      </c>
      <c r="I2491" s="14">
        <v>15000000</v>
      </c>
      <c r="J2491" s="14">
        <v>13914304.119999999</v>
      </c>
      <c r="K2491" s="12">
        <v>2203</v>
      </c>
      <c r="L2491" s="10" t="s">
        <v>101</v>
      </c>
      <c r="M2491" s="10" t="s">
        <v>102</v>
      </c>
      <c r="N2491" s="124" t="s">
        <v>486</v>
      </c>
      <c r="O2491" s="124" t="s">
        <v>486</v>
      </c>
      <c r="P2491" s="21">
        <v>32</v>
      </c>
      <c r="Q2491" s="10" t="s">
        <v>54</v>
      </c>
      <c r="R2491" s="10" t="s">
        <v>28</v>
      </c>
      <c r="S2491" s="10"/>
      <c r="T2491" s="10"/>
      <c r="U2491" s="10" t="s">
        <v>1436</v>
      </c>
      <c r="V2491" s="10" t="s">
        <v>1436</v>
      </c>
      <c r="W2491" s="50">
        <f>+J2491/$W$2</f>
        <v>1.7029223910908903E-4</v>
      </c>
    </row>
    <row r="2492" spans="1:23">
      <c r="A2492" s="10" t="s">
        <v>967</v>
      </c>
      <c r="B2492" s="10" t="s">
        <v>358</v>
      </c>
      <c r="C2492" s="124">
        <v>46413</v>
      </c>
      <c r="D2492" s="124" t="s">
        <v>471</v>
      </c>
      <c r="E2492" s="21">
        <v>0.92136825</v>
      </c>
      <c r="F2492" s="10"/>
      <c r="G2492" s="14">
        <v>25000000</v>
      </c>
      <c r="H2492" s="14">
        <v>23034206.18</v>
      </c>
      <c r="I2492" s="14">
        <v>25000000</v>
      </c>
      <c r="J2492" s="14">
        <v>23034206.18</v>
      </c>
      <c r="K2492" s="12">
        <v>384</v>
      </c>
      <c r="L2492" s="10" t="s">
        <v>101</v>
      </c>
      <c r="M2492" s="10" t="s">
        <v>102</v>
      </c>
      <c r="N2492" s="124" t="s">
        <v>449</v>
      </c>
      <c r="O2492" s="124" t="s">
        <v>449</v>
      </c>
      <c r="P2492" s="21">
        <v>35</v>
      </c>
      <c r="Q2492" s="10" t="s">
        <v>54</v>
      </c>
      <c r="R2492" s="10" t="s">
        <v>28</v>
      </c>
      <c r="S2492" s="10"/>
      <c r="T2492" s="10"/>
      <c r="U2492" s="10" t="s">
        <v>1967</v>
      </c>
      <c r="V2492" s="10" t="s">
        <v>1967</v>
      </c>
      <c r="W2492" s="50">
        <f>+J2492/$W$2</f>
        <v>2.8190748977913069E-4</v>
      </c>
    </row>
    <row r="2493" spans="1:23">
      <c r="A2493" s="10" t="s">
        <v>2539</v>
      </c>
      <c r="B2493" s="10" t="s">
        <v>358</v>
      </c>
      <c r="C2493" s="124">
        <v>46413</v>
      </c>
      <c r="D2493" s="124" t="s">
        <v>471</v>
      </c>
      <c r="E2493" s="21">
        <v>0.93183567</v>
      </c>
      <c r="F2493" s="10"/>
      <c r="G2493" s="14">
        <v>3535037.55</v>
      </c>
      <c r="H2493" s="14">
        <v>3294074.07</v>
      </c>
      <c r="I2493" s="14">
        <v>3535037.55</v>
      </c>
      <c r="J2493" s="14">
        <v>3294074.07</v>
      </c>
      <c r="K2493" s="12">
        <v>3658348</v>
      </c>
      <c r="L2493" s="10" t="s">
        <v>101</v>
      </c>
      <c r="M2493" s="10" t="s">
        <v>102</v>
      </c>
      <c r="N2493" s="124" t="s">
        <v>452</v>
      </c>
      <c r="O2493" s="124" t="s">
        <v>452</v>
      </c>
      <c r="P2493" s="21">
        <v>30</v>
      </c>
      <c r="Q2493" s="10" t="s">
        <v>54</v>
      </c>
      <c r="R2493" s="10" t="s">
        <v>28</v>
      </c>
      <c r="S2493" s="10"/>
      <c r="T2493" s="10"/>
      <c r="U2493" s="10" t="s">
        <v>2522</v>
      </c>
      <c r="V2493" s="10" t="s">
        <v>2522</v>
      </c>
      <c r="W2493" s="50">
        <f>+J2493/$W$2</f>
        <v>4.0315005646972306E-5</v>
      </c>
    </row>
    <row r="2494" spans="1:23">
      <c r="A2494" s="10" t="s">
        <v>400</v>
      </c>
      <c r="B2494" s="10" t="s">
        <v>358</v>
      </c>
      <c r="C2494" s="124">
        <v>46414</v>
      </c>
      <c r="D2494" s="124" t="s">
        <v>471</v>
      </c>
      <c r="E2494" s="21">
        <v>0.93541775000000005</v>
      </c>
      <c r="F2494" s="10"/>
      <c r="G2494" s="14">
        <v>18040295.600000001</v>
      </c>
      <c r="H2494" s="14">
        <v>16875212.75</v>
      </c>
      <c r="I2494" s="14">
        <v>18040295.600000001</v>
      </c>
      <c r="J2494" s="14">
        <v>16875212.75</v>
      </c>
      <c r="K2494" s="12">
        <v>20911</v>
      </c>
      <c r="L2494" s="10" t="s">
        <v>101</v>
      </c>
      <c r="M2494" s="10" t="s">
        <v>102</v>
      </c>
      <c r="N2494" s="124" t="s">
        <v>469</v>
      </c>
      <c r="O2494" s="124" t="s">
        <v>469</v>
      </c>
      <c r="P2494" s="21">
        <v>28</v>
      </c>
      <c r="Q2494" s="10" t="s">
        <v>54</v>
      </c>
      <c r="R2494" s="10" t="s">
        <v>28</v>
      </c>
      <c r="S2494" s="10"/>
      <c r="T2494" s="10"/>
      <c r="U2494" s="10" t="s">
        <v>4020</v>
      </c>
      <c r="V2494" s="10" t="s">
        <v>4020</v>
      </c>
      <c r="W2494" s="50">
        <f>+J2494/$W$2</f>
        <v>2.0652975095672608E-4</v>
      </c>
    </row>
    <row r="2495" spans="1:23">
      <c r="A2495" s="10" t="s">
        <v>284</v>
      </c>
      <c r="B2495" s="10" t="s">
        <v>125</v>
      </c>
      <c r="C2495" s="124">
        <v>46414</v>
      </c>
      <c r="D2495" s="124" t="s">
        <v>471</v>
      </c>
      <c r="E2495" s="21">
        <v>0.97593713999999998</v>
      </c>
      <c r="F2495" s="10" t="s">
        <v>4162</v>
      </c>
      <c r="G2495" s="14">
        <v>13904</v>
      </c>
      <c r="H2495" s="14">
        <v>13569.43</v>
      </c>
      <c r="I2495" s="14">
        <v>21406501.359999999</v>
      </c>
      <c r="J2495" s="14">
        <v>20891399.73</v>
      </c>
      <c r="K2495" s="12">
        <v>134916</v>
      </c>
      <c r="L2495" s="10" t="s">
        <v>101</v>
      </c>
      <c r="M2495" s="10" t="s">
        <v>102</v>
      </c>
      <c r="N2495" s="124" t="s">
        <v>139</v>
      </c>
      <c r="O2495" s="124" t="s">
        <v>139</v>
      </c>
      <c r="P2495" s="21">
        <v>10</v>
      </c>
      <c r="Q2495" s="10" t="s">
        <v>54</v>
      </c>
      <c r="R2495" s="10" t="s">
        <v>28</v>
      </c>
      <c r="S2495" s="10"/>
      <c r="T2495" s="10"/>
      <c r="U2495" s="10" t="s">
        <v>282</v>
      </c>
      <c r="V2495" s="10" t="s">
        <v>282</v>
      </c>
      <c r="W2495" s="50">
        <f>+J2495/$W$2</f>
        <v>2.5568244070726248E-4</v>
      </c>
    </row>
    <row r="2496" spans="1:23">
      <c r="A2496" s="10" t="s">
        <v>2079</v>
      </c>
      <c r="B2496" s="10" t="s">
        <v>358</v>
      </c>
      <c r="C2496" s="124">
        <v>46414</v>
      </c>
      <c r="D2496" s="124" t="s">
        <v>471</v>
      </c>
      <c r="E2496" s="21">
        <v>0.92686661000000004</v>
      </c>
      <c r="F2496" s="10"/>
      <c r="G2496" s="14">
        <v>45000000</v>
      </c>
      <c r="H2496" s="14">
        <v>41708997.439999998</v>
      </c>
      <c r="I2496" s="14">
        <v>45000000</v>
      </c>
      <c r="J2496" s="14">
        <v>41708997.439999998</v>
      </c>
      <c r="K2496" s="12">
        <v>51180</v>
      </c>
      <c r="L2496" s="10" t="s">
        <v>101</v>
      </c>
      <c r="M2496" s="10" t="s">
        <v>102</v>
      </c>
      <c r="N2496" s="124" t="s">
        <v>408</v>
      </c>
      <c r="O2496" s="124" t="s">
        <v>408</v>
      </c>
      <c r="P2496" s="21">
        <v>32</v>
      </c>
      <c r="Q2496" s="10" t="s">
        <v>54</v>
      </c>
      <c r="R2496" s="10" t="s">
        <v>28</v>
      </c>
      <c r="S2496" s="10"/>
      <c r="T2496" s="10"/>
      <c r="U2496" s="10" t="s">
        <v>2053</v>
      </c>
      <c r="V2496" s="10" t="s">
        <v>2053</v>
      </c>
      <c r="W2496" s="50">
        <f>+J2496/$W$2</f>
        <v>5.1046164463543881E-4</v>
      </c>
    </row>
    <row r="2497" spans="1:23">
      <c r="A2497" s="10" t="s">
        <v>2079</v>
      </c>
      <c r="B2497" s="10" t="s">
        <v>358</v>
      </c>
      <c r="C2497" s="124">
        <v>46414</v>
      </c>
      <c r="D2497" s="124" t="s">
        <v>471</v>
      </c>
      <c r="E2497" s="21">
        <v>0.92686658</v>
      </c>
      <c r="F2497" s="10"/>
      <c r="G2497" s="14">
        <v>55000000</v>
      </c>
      <c r="H2497" s="14">
        <v>50977661.780000001</v>
      </c>
      <c r="I2497" s="14">
        <v>55000000</v>
      </c>
      <c r="J2497" s="14">
        <v>50977661.780000001</v>
      </c>
      <c r="K2497" s="12">
        <v>51411</v>
      </c>
      <c r="L2497" s="10" t="s">
        <v>101</v>
      </c>
      <c r="M2497" s="10" t="s">
        <v>102</v>
      </c>
      <c r="N2497" s="124" t="s">
        <v>576</v>
      </c>
      <c r="O2497" s="124" t="s">
        <v>576</v>
      </c>
      <c r="P2497" s="21">
        <v>32</v>
      </c>
      <c r="Q2497" s="10" t="s">
        <v>54</v>
      </c>
      <c r="R2497" s="10" t="s">
        <v>28</v>
      </c>
      <c r="S2497" s="10"/>
      <c r="T2497" s="10"/>
      <c r="U2497" s="10" t="s">
        <v>2361</v>
      </c>
      <c r="V2497" s="10" t="s">
        <v>2361</v>
      </c>
      <c r="W2497" s="50">
        <f>+J2497/$W$2</f>
        <v>6.238975441527168E-4</v>
      </c>
    </row>
    <row r="2498" spans="1:23">
      <c r="A2498" s="10" t="s">
        <v>2079</v>
      </c>
      <c r="B2498" s="10" t="s">
        <v>358</v>
      </c>
      <c r="C2498" s="124">
        <v>46414</v>
      </c>
      <c r="D2498" s="124" t="s">
        <v>471</v>
      </c>
      <c r="E2498" s="21">
        <v>0.93112258999999997</v>
      </c>
      <c r="F2498" s="10"/>
      <c r="G2498" s="14">
        <v>28000000</v>
      </c>
      <c r="H2498" s="14">
        <v>26071432.52</v>
      </c>
      <c r="I2498" s="14">
        <v>28000000</v>
      </c>
      <c r="J2498" s="14">
        <v>26071432.52</v>
      </c>
      <c r="K2498" s="12">
        <v>52504</v>
      </c>
      <c r="L2498" s="10" t="s">
        <v>101</v>
      </c>
      <c r="M2498" s="10" t="s">
        <v>102</v>
      </c>
      <c r="N2498" s="124" t="s">
        <v>475</v>
      </c>
      <c r="O2498" s="124" t="s">
        <v>475</v>
      </c>
      <c r="P2498" s="21">
        <v>30</v>
      </c>
      <c r="Q2498" s="10" t="s">
        <v>54</v>
      </c>
      <c r="R2498" s="10" t="s">
        <v>28</v>
      </c>
      <c r="S2498" s="10"/>
      <c r="T2498" s="10"/>
      <c r="U2498" s="10" t="s">
        <v>3394</v>
      </c>
      <c r="V2498" s="10" t="s">
        <v>3394</v>
      </c>
      <c r="W2498" s="50">
        <f>+J2498/$W$2</f>
        <v>3.1907902704460359E-4</v>
      </c>
    </row>
    <row r="2499" spans="1:23">
      <c r="A2499" s="10" t="s">
        <v>2212</v>
      </c>
      <c r="B2499" s="10" t="s">
        <v>358</v>
      </c>
      <c r="C2499" s="124">
        <v>46414</v>
      </c>
      <c r="D2499" s="124" t="s">
        <v>471</v>
      </c>
      <c r="E2499" s="21">
        <v>0.92898974000000001</v>
      </c>
      <c r="F2499" s="10"/>
      <c r="G2499" s="14">
        <v>5000000</v>
      </c>
      <c r="H2499" s="14">
        <v>4644948.7</v>
      </c>
      <c r="I2499" s="14">
        <v>5000000</v>
      </c>
      <c r="J2499" s="14">
        <v>4644948.7</v>
      </c>
      <c r="K2499" s="12">
        <v>422</v>
      </c>
      <c r="L2499" s="10" t="s">
        <v>101</v>
      </c>
      <c r="M2499" s="10" t="s">
        <v>102</v>
      </c>
      <c r="N2499" s="124" t="s">
        <v>467</v>
      </c>
      <c r="O2499" s="124" t="s">
        <v>467</v>
      </c>
      <c r="P2499" s="21">
        <v>31</v>
      </c>
      <c r="Q2499" s="10" t="s">
        <v>54</v>
      </c>
      <c r="R2499" s="10" t="s">
        <v>28</v>
      </c>
      <c r="S2499" s="10"/>
      <c r="T2499" s="10"/>
      <c r="U2499" s="10" t="s">
        <v>3705</v>
      </c>
      <c r="V2499" s="10" t="s">
        <v>3705</v>
      </c>
      <c r="W2499" s="50">
        <f>+J2499/$W$2</f>
        <v>5.6847881708499865E-5</v>
      </c>
    </row>
    <row r="2500" spans="1:23">
      <c r="A2500" s="10" t="s">
        <v>2214</v>
      </c>
      <c r="B2500" s="10" t="s">
        <v>358</v>
      </c>
      <c r="C2500" s="124">
        <v>46414</v>
      </c>
      <c r="D2500" s="124" t="s">
        <v>471</v>
      </c>
      <c r="E2500" s="21">
        <v>0.92055505000000004</v>
      </c>
      <c r="F2500" s="10"/>
      <c r="G2500" s="14">
        <v>705770</v>
      </c>
      <c r="H2500" s="14">
        <v>649700.14</v>
      </c>
      <c r="I2500" s="14">
        <v>705770</v>
      </c>
      <c r="J2500" s="14">
        <v>649700.14</v>
      </c>
      <c r="K2500" s="12">
        <v>2506</v>
      </c>
      <c r="L2500" s="10" t="s">
        <v>101</v>
      </c>
      <c r="M2500" s="10" t="s">
        <v>102</v>
      </c>
      <c r="N2500" s="124" t="s">
        <v>467</v>
      </c>
      <c r="O2500" s="124" t="s">
        <v>467</v>
      </c>
      <c r="P2500" s="21">
        <v>35</v>
      </c>
      <c r="Q2500" s="10" t="s">
        <v>54</v>
      </c>
      <c r="R2500" s="10" t="s">
        <v>28</v>
      </c>
      <c r="S2500" s="10"/>
      <c r="T2500" s="10"/>
      <c r="U2500" s="10" t="s">
        <v>3744</v>
      </c>
      <c r="V2500" s="10" t="s">
        <v>3744</v>
      </c>
      <c r="W2500" s="50">
        <f>+J2500/$W$2</f>
        <v>7.9514498630987674E-6</v>
      </c>
    </row>
    <row r="2501" spans="1:23">
      <c r="A2501" s="10" t="s">
        <v>443</v>
      </c>
      <c r="B2501" s="10" t="s">
        <v>358</v>
      </c>
      <c r="C2501" s="124">
        <v>46414</v>
      </c>
      <c r="D2501" s="124" t="s">
        <v>471</v>
      </c>
      <c r="E2501" s="21">
        <v>0.93112258999999997</v>
      </c>
      <c r="F2501" s="10"/>
      <c r="G2501" s="14">
        <v>5000000</v>
      </c>
      <c r="H2501" s="14">
        <v>4655612.95</v>
      </c>
      <c r="I2501" s="14">
        <v>5000000</v>
      </c>
      <c r="J2501" s="14">
        <v>4655612.95</v>
      </c>
      <c r="K2501" s="12">
        <v>40810976</v>
      </c>
      <c r="L2501" s="10" t="s">
        <v>101</v>
      </c>
      <c r="M2501" s="10" t="s">
        <v>102</v>
      </c>
      <c r="N2501" s="124" t="s">
        <v>576</v>
      </c>
      <c r="O2501" s="124" t="s">
        <v>576</v>
      </c>
      <c r="P2501" s="21">
        <v>30</v>
      </c>
      <c r="Q2501" s="10" t="s">
        <v>54</v>
      </c>
      <c r="R2501" s="10" t="s">
        <v>28</v>
      </c>
      <c r="S2501" s="10"/>
      <c r="T2501" s="10"/>
      <c r="U2501" s="10" t="s">
        <v>2329</v>
      </c>
      <c r="V2501" s="10" t="s">
        <v>2329</v>
      </c>
      <c r="W2501" s="50">
        <f>+J2501/$W$2</f>
        <v>5.697839768653636E-5</v>
      </c>
    </row>
    <row r="2502" spans="1:23">
      <c r="A2502" s="10" t="s">
        <v>1893</v>
      </c>
      <c r="B2502" s="10" t="s">
        <v>358</v>
      </c>
      <c r="C2502" s="124">
        <v>46414</v>
      </c>
      <c r="D2502" s="124" t="s">
        <v>471</v>
      </c>
      <c r="E2502" s="21">
        <v>0.93758034999999995</v>
      </c>
      <c r="F2502" s="10"/>
      <c r="G2502" s="14">
        <v>23900405</v>
      </c>
      <c r="H2502" s="14">
        <v>22408550.140000001</v>
      </c>
      <c r="I2502" s="14">
        <v>23900405</v>
      </c>
      <c r="J2502" s="14">
        <v>22408550.140000001</v>
      </c>
      <c r="K2502" s="12">
        <v>90001871</v>
      </c>
      <c r="L2502" s="10" t="s">
        <v>101</v>
      </c>
      <c r="M2502" s="10" t="s">
        <v>102</v>
      </c>
      <c r="N2502" s="124" t="s">
        <v>471</v>
      </c>
      <c r="O2502" s="124" t="s">
        <v>471</v>
      </c>
      <c r="P2502" s="21">
        <v>27</v>
      </c>
      <c r="Q2502" s="10" t="s">
        <v>54</v>
      </c>
      <c r="R2502" s="10" t="s">
        <v>28</v>
      </c>
      <c r="S2502" s="10"/>
      <c r="T2502" s="10"/>
      <c r="U2502" s="10" t="s">
        <v>4073</v>
      </c>
      <c r="V2502" s="10" t="s">
        <v>4073</v>
      </c>
      <c r="W2502" s="50">
        <f>+J2502/$W$2</f>
        <v>2.7425030713852834E-4</v>
      </c>
    </row>
    <row r="2503" spans="1:23">
      <c r="A2503" s="10" t="s">
        <v>453</v>
      </c>
      <c r="B2503" s="10" t="s">
        <v>358</v>
      </c>
      <c r="C2503" s="124">
        <v>46414</v>
      </c>
      <c r="D2503" s="124" t="s">
        <v>471</v>
      </c>
      <c r="E2503" s="21">
        <v>0.93326534999999999</v>
      </c>
      <c r="F2503" s="10"/>
      <c r="G2503" s="14">
        <v>2950000</v>
      </c>
      <c r="H2503" s="14">
        <v>2753132.77</v>
      </c>
      <c r="I2503" s="14">
        <v>2950000</v>
      </c>
      <c r="J2503" s="14">
        <v>2753132.77</v>
      </c>
      <c r="K2503" s="12">
        <v>41040331</v>
      </c>
      <c r="L2503" s="10" t="s">
        <v>101</v>
      </c>
      <c r="M2503" s="10" t="s">
        <v>102</v>
      </c>
      <c r="N2503" s="124" t="s">
        <v>474</v>
      </c>
      <c r="O2503" s="124" t="s">
        <v>474</v>
      </c>
      <c r="P2503" s="21">
        <v>29</v>
      </c>
      <c r="Q2503" s="10" t="s">
        <v>54</v>
      </c>
      <c r="R2503" s="10" t="s">
        <v>28</v>
      </c>
      <c r="S2503" s="10"/>
      <c r="T2503" s="10"/>
      <c r="U2503" s="10" t="s">
        <v>3876</v>
      </c>
      <c r="V2503" s="10" t="s">
        <v>3876</v>
      </c>
      <c r="W2503" s="50">
        <f>+J2503/$W$2</f>
        <v>3.3694616699804362E-5</v>
      </c>
    </row>
    <row r="2504" spans="1:23">
      <c r="A2504" s="10" t="s">
        <v>453</v>
      </c>
      <c r="B2504" s="10" t="s">
        <v>358</v>
      </c>
      <c r="C2504" s="124">
        <v>46414</v>
      </c>
      <c r="D2504" s="124" t="s">
        <v>471</v>
      </c>
      <c r="E2504" s="21">
        <v>0.93326516999999998</v>
      </c>
      <c r="F2504" s="10"/>
      <c r="G2504" s="14">
        <v>30000000</v>
      </c>
      <c r="H2504" s="14">
        <v>27997955</v>
      </c>
      <c r="I2504" s="14">
        <v>30000000</v>
      </c>
      <c r="J2504" s="14">
        <v>27997955</v>
      </c>
      <c r="K2504" s="12">
        <v>21805</v>
      </c>
      <c r="L2504" s="10" t="s">
        <v>101</v>
      </c>
      <c r="M2504" s="10" t="s">
        <v>102</v>
      </c>
      <c r="N2504" s="124" t="s">
        <v>469</v>
      </c>
      <c r="O2504" s="124" t="s">
        <v>469</v>
      </c>
      <c r="P2504" s="21">
        <v>29</v>
      </c>
      <c r="Q2504" s="10" t="s">
        <v>54</v>
      </c>
      <c r="R2504" s="10" t="s">
        <v>28</v>
      </c>
      <c r="S2504" s="10"/>
      <c r="T2504" s="10"/>
      <c r="U2504" s="10" t="s">
        <v>3953</v>
      </c>
      <c r="V2504" s="10" t="s">
        <v>3953</v>
      </c>
      <c r="W2504" s="50">
        <f>+J2504/$W$2</f>
        <v>3.4265705322426967E-4</v>
      </c>
    </row>
    <row r="2505" spans="1:23">
      <c r="A2505" s="10" t="s">
        <v>575</v>
      </c>
      <c r="B2505" s="10" t="s">
        <v>358</v>
      </c>
      <c r="C2505" s="124">
        <v>46414</v>
      </c>
      <c r="D2505" s="124" t="s">
        <v>471</v>
      </c>
      <c r="E2505" s="21">
        <v>0.92475311999999998</v>
      </c>
      <c r="F2505" s="10"/>
      <c r="G2505" s="14">
        <v>2200000</v>
      </c>
      <c r="H2505" s="14">
        <v>2034456.87</v>
      </c>
      <c r="I2505" s="14">
        <v>2200000</v>
      </c>
      <c r="J2505" s="14">
        <v>2034456.87</v>
      </c>
      <c r="K2505" s="12">
        <v>6767</v>
      </c>
      <c r="L2505" s="10" t="s">
        <v>101</v>
      </c>
      <c r="M2505" s="10" t="s">
        <v>102</v>
      </c>
      <c r="N2505" s="124" t="s">
        <v>603</v>
      </c>
      <c r="O2505" s="124" t="s">
        <v>603</v>
      </c>
      <c r="P2505" s="21">
        <v>33</v>
      </c>
      <c r="Q2505" s="10" t="s">
        <v>54</v>
      </c>
      <c r="R2505" s="10" t="s">
        <v>28</v>
      </c>
      <c r="S2505" s="10"/>
      <c r="T2505" s="10"/>
      <c r="U2505" s="10" t="s">
        <v>2623</v>
      </c>
      <c r="V2505" s="10" t="s">
        <v>2623</v>
      </c>
      <c r="W2505" s="50">
        <f>+J2505/$W$2</f>
        <v>2.4898996944100777E-5</v>
      </c>
    </row>
    <row r="2506" spans="1:23">
      <c r="A2506" s="10" t="s">
        <v>948</v>
      </c>
      <c r="B2506" s="10" t="s">
        <v>358</v>
      </c>
      <c r="C2506" s="124">
        <v>46414</v>
      </c>
      <c r="D2506" s="124" t="s">
        <v>471</v>
      </c>
      <c r="E2506" s="21">
        <v>0.92055494000000004</v>
      </c>
      <c r="F2506" s="10"/>
      <c r="G2506" s="14">
        <v>10000000</v>
      </c>
      <c r="H2506" s="14">
        <v>9205549.3699999992</v>
      </c>
      <c r="I2506" s="14">
        <v>10000000</v>
      </c>
      <c r="J2506" s="14">
        <v>9205549.3699999992</v>
      </c>
      <c r="K2506" s="12">
        <v>2285694</v>
      </c>
      <c r="L2506" s="10" t="s">
        <v>101</v>
      </c>
      <c r="M2506" s="10" t="s">
        <v>102</v>
      </c>
      <c r="N2506" s="124" t="s">
        <v>162</v>
      </c>
      <c r="O2506" s="124" t="s">
        <v>162</v>
      </c>
      <c r="P2506" s="21">
        <v>35</v>
      </c>
      <c r="Q2506" s="10" t="s">
        <v>54</v>
      </c>
      <c r="R2506" s="10" t="s">
        <v>28</v>
      </c>
      <c r="S2506" s="10"/>
      <c r="T2506" s="10"/>
      <c r="U2506" s="10" t="s">
        <v>1304</v>
      </c>
      <c r="V2506" s="10" t="s">
        <v>1304</v>
      </c>
      <c r="W2506" s="50">
        <f>+J2506/$W$2</f>
        <v>1.1266345775735163E-4</v>
      </c>
    </row>
    <row r="2507" spans="1:23">
      <c r="A2507" s="10" t="s">
        <v>984</v>
      </c>
      <c r="B2507" s="10" t="s">
        <v>358</v>
      </c>
      <c r="C2507" s="124">
        <v>46414</v>
      </c>
      <c r="D2507" s="124" t="s">
        <v>471</v>
      </c>
      <c r="E2507" s="21">
        <v>0.92686645999999995</v>
      </c>
      <c r="F2507" s="10"/>
      <c r="G2507" s="14">
        <v>37500000</v>
      </c>
      <c r="H2507" s="14">
        <v>34757492.07</v>
      </c>
      <c r="I2507" s="14">
        <v>37500000</v>
      </c>
      <c r="J2507" s="14">
        <v>34757492.07</v>
      </c>
      <c r="K2507" s="12">
        <v>90000192</v>
      </c>
      <c r="L2507" s="10" t="s">
        <v>101</v>
      </c>
      <c r="M2507" s="10" t="s">
        <v>102</v>
      </c>
      <c r="N2507" s="124" t="s">
        <v>452</v>
      </c>
      <c r="O2507" s="124" t="s">
        <v>452</v>
      </c>
      <c r="P2507" s="21">
        <v>32</v>
      </c>
      <c r="Q2507" s="10" t="s">
        <v>54</v>
      </c>
      <c r="R2507" s="10" t="s">
        <v>28</v>
      </c>
      <c r="S2507" s="10"/>
      <c r="T2507" s="10"/>
      <c r="U2507" s="10" t="s">
        <v>2530</v>
      </c>
      <c r="V2507" s="10" t="s">
        <v>2530</v>
      </c>
      <c r="W2507" s="50">
        <f>+J2507/$W$2</f>
        <v>4.2538463291951579E-4</v>
      </c>
    </row>
    <row r="2508" spans="1:23">
      <c r="A2508" s="10" t="s">
        <v>984</v>
      </c>
      <c r="B2508" s="10" t="s">
        <v>358</v>
      </c>
      <c r="C2508" s="124">
        <v>46414</v>
      </c>
      <c r="D2508" s="124" t="s">
        <v>471</v>
      </c>
      <c r="E2508" s="21">
        <v>0.92686645999999995</v>
      </c>
      <c r="F2508" s="10"/>
      <c r="G2508" s="14">
        <v>37500000</v>
      </c>
      <c r="H2508" s="14">
        <v>34757492.07</v>
      </c>
      <c r="I2508" s="14">
        <v>37500000</v>
      </c>
      <c r="J2508" s="14">
        <v>34757492.07</v>
      </c>
      <c r="K2508" s="12">
        <v>90000194</v>
      </c>
      <c r="L2508" s="10" t="s">
        <v>101</v>
      </c>
      <c r="M2508" s="10" t="s">
        <v>102</v>
      </c>
      <c r="N2508" s="124" t="s">
        <v>452</v>
      </c>
      <c r="O2508" s="124" t="s">
        <v>452</v>
      </c>
      <c r="P2508" s="21">
        <v>32</v>
      </c>
      <c r="Q2508" s="10" t="s">
        <v>54</v>
      </c>
      <c r="R2508" s="10" t="s">
        <v>28</v>
      </c>
      <c r="S2508" s="10"/>
      <c r="T2508" s="10"/>
      <c r="U2508" s="10" t="s">
        <v>2531</v>
      </c>
      <c r="V2508" s="10" t="s">
        <v>2531</v>
      </c>
      <c r="W2508" s="50">
        <f>+J2508/$W$2</f>
        <v>4.2538463291951579E-4</v>
      </c>
    </row>
    <row r="2509" spans="1:23">
      <c r="A2509" s="10" t="s">
        <v>984</v>
      </c>
      <c r="B2509" s="10" t="s">
        <v>358</v>
      </c>
      <c r="C2509" s="124">
        <v>46414</v>
      </c>
      <c r="D2509" s="124" t="s">
        <v>471</v>
      </c>
      <c r="E2509" s="21">
        <v>0.92686645999999995</v>
      </c>
      <c r="F2509" s="10"/>
      <c r="G2509" s="14">
        <v>37500000</v>
      </c>
      <c r="H2509" s="14">
        <v>34757492.07</v>
      </c>
      <c r="I2509" s="14">
        <v>37500000</v>
      </c>
      <c r="J2509" s="14">
        <v>34757492.07</v>
      </c>
      <c r="K2509" s="12">
        <v>90000191</v>
      </c>
      <c r="L2509" s="10" t="s">
        <v>101</v>
      </c>
      <c r="M2509" s="10" t="s">
        <v>102</v>
      </c>
      <c r="N2509" s="124" t="s">
        <v>452</v>
      </c>
      <c r="O2509" s="124" t="s">
        <v>452</v>
      </c>
      <c r="P2509" s="21">
        <v>32</v>
      </c>
      <c r="Q2509" s="10" t="s">
        <v>54</v>
      </c>
      <c r="R2509" s="10" t="s">
        <v>28</v>
      </c>
      <c r="S2509" s="10"/>
      <c r="T2509" s="10"/>
      <c r="U2509" s="10" t="s">
        <v>2532</v>
      </c>
      <c r="V2509" s="10" t="s">
        <v>2532</v>
      </c>
      <c r="W2509" s="50">
        <f>+J2509/$W$2</f>
        <v>4.2538463291951579E-4</v>
      </c>
    </row>
    <row r="2510" spans="1:23">
      <c r="A2510" s="10" t="s">
        <v>1036</v>
      </c>
      <c r="B2510" s="10" t="s">
        <v>358</v>
      </c>
      <c r="C2510" s="124">
        <v>46414</v>
      </c>
      <c r="D2510" s="124" t="s">
        <v>471</v>
      </c>
      <c r="E2510" s="21">
        <v>0.92898966000000005</v>
      </c>
      <c r="F2510" s="10"/>
      <c r="G2510" s="14">
        <v>10000000</v>
      </c>
      <c r="H2510" s="14">
        <v>9289896.5600000005</v>
      </c>
      <c r="I2510" s="14">
        <v>10000000</v>
      </c>
      <c r="J2510" s="14">
        <v>9289896.5600000005</v>
      </c>
      <c r="K2510" s="12">
        <v>142</v>
      </c>
      <c r="L2510" s="10" t="s">
        <v>101</v>
      </c>
      <c r="M2510" s="10" t="s">
        <v>102</v>
      </c>
      <c r="N2510" s="124" t="s">
        <v>312</v>
      </c>
      <c r="O2510" s="124" t="s">
        <v>312</v>
      </c>
      <c r="P2510" s="21">
        <v>31</v>
      </c>
      <c r="Q2510" s="10" t="s">
        <v>54</v>
      </c>
      <c r="R2510" s="10" t="s">
        <v>28</v>
      </c>
      <c r="S2510" s="10"/>
      <c r="T2510" s="10"/>
      <c r="U2510" s="10" t="s">
        <v>1033</v>
      </c>
      <c r="V2510" s="10" t="s">
        <v>1033</v>
      </c>
      <c r="W2510" s="50">
        <f>+J2510/$W$2</f>
        <v>1.1369575313653729E-4</v>
      </c>
    </row>
    <row r="2511" spans="1:23">
      <c r="A2511" s="10" t="s">
        <v>3773</v>
      </c>
      <c r="B2511" s="10" t="s">
        <v>358</v>
      </c>
      <c r="C2511" s="124">
        <v>46414</v>
      </c>
      <c r="D2511" s="124" t="s">
        <v>471</v>
      </c>
      <c r="E2511" s="21">
        <v>0.92475315999999996</v>
      </c>
      <c r="F2511" s="10"/>
      <c r="G2511" s="14">
        <v>5850000</v>
      </c>
      <c r="H2511" s="14">
        <v>5409806</v>
      </c>
      <c r="I2511" s="14">
        <v>5850000</v>
      </c>
      <c r="J2511" s="14">
        <v>5409806</v>
      </c>
      <c r="K2511" s="12">
        <v>1395702</v>
      </c>
      <c r="L2511" s="10" t="s">
        <v>101</v>
      </c>
      <c r="M2511" s="10" t="s">
        <v>102</v>
      </c>
      <c r="N2511" s="124" t="s">
        <v>467</v>
      </c>
      <c r="O2511" s="124" t="s">
        <v>467</v>
      </c>
      <c r="P2511" s="21">
        <v>33</v>
      </c>
      <c r="Q2511" s="10" t="s">
        <v>54</v>
      </c>
      <c r="R2511" s="10" t="s">
        <v>28</v>
      </c>
      <c r="S2511" s="10"/>
      <c r="T2511" s="10"/>
      <c r="U2511" s="10" t="s">
        <v>3687</v>
      </c>
      <c r="V2511" s="10" t="s">
        <v>3687</v>
      </c>
      <c r="W2511" s="50">
        <f>+J2511/$W$2</f>
        <v>6.620869925946282E-5</v>
      </c>
    </row>
    <row r="2512" spans="1:23">
      <c r="A2512" s="10" t="s">
        <v>768</v>
      </c>
      <c r="B2512" s="10" t="s">
        <v>358</v>
      </c>
      <c r="C2512" s="124">
        <v>46414</v>
      </c>
      <c r="D2512" s="124" t="s">
        <v>471</v>
      </c>
      <c r="E2512" s="21">
        <v>0.92055502</v>
      </c>
      <c r="F2512" s="10"/>
      <c r="G2512" s="14">
        <v>20858250</v>
      </c>
      <c r="H2512" s="14">
        <v>19201166.66</v>
      </c>
      <c r="I2512" s="14">
        <v>20858250</v>
      </c>
      <c r="J2512" s="14">
        <v>19201166.66</v>
      </c>
      <c r="K2512" s="12">
        <v>69879215</v>
      </c>
      <c r="L2512" s="10" t="s">
        <v>101</v>
      </c>
      <c r="M2512" s="10" t="s">
        <v>102</v>
      </c>
      <c r="N2512" s="124" t="s">
        <v>576</v>
      </c>
      <c r="O2512" s="124" t="s">
        <v>576</v>
      </c>
      <c r="P2512" s="21">
        <v>35</v>
      </c>
      <c r="Q2512" s="10" t="s">
        <v>54</v>
      </c>
      <c r="R2512" s="10" t="s">
        <v>28</v>
      </c>
      <c r="S2512" s="10"/>
      <c r="T2512" s="10"/>
      <c r="U2512" s="10" t="s">
        <v>2346</v>
      </c>
      <c r="V2512" s="10" t="s">
        <v>2346</v>
      </c>
      <c r="W2512" s="50">
        <f>+J2512/$W$2</f>
        <v>2.3499627691321356E-4</v>
      </c>
    </row>
    <row r="2513" spans="1:23">
      <c r="A2513" s="10" t="s">
        <v>3775</v>
      </c>
      <c r="B2513" s="10" t="s">
        <v>358</v>
      </c>
      <c r="C2513" s="124">
        <v>46414</v>
      </c>
      <c r="D2513" s="124" t="s">
        <v>471</v>
      </c>
      <c r="E2513" s="21">
        <v>0.92898974000000001</v>
      </c>
      <c r="F2513" s="10"/>
      <c r="G2513" s="14">
        <v>5000000</v>
      </c>
      <c r="H2513" s="14">
        <v>4644948.7</v>
      </c>
      <c r="I2513" s="14">
        <v>5000000</v>
      </c>
      <c r="J2513" s="14">
        <v>4644948.7</v>
      </c>
      <c r="K2513" s="12">
        <v>469</v>
      </c>
      <c r="L2513" s="10" t="s">
        <v>101</v>
      </c>
      <c r="M2513" s="10" t="s">
        <v>102</v>
      </c>
      <c r="N2513" s="124" t="s">
        <v>467</v>
      </c>
      <c r="O2513" s="124" t="s">
        <v>467</v>
      </c>
      <c r="P2513" s="21">
        <v>31</v>
      </c>
      <c r="Q2513" s="10" t="s">
        <v>54</v>
      </c>
      <c r="R2513" s="10" t="s">
        <v>28</v>
      </c>
      <c r="S2513" s="10"/>
      <c r="T2513" s="10"/>
      <c r="U2513" s="10" t="s">
        <v>3720</v>
      </c>
      <c r="V2513" s="10" t="s">
        <v>3720</v>
      </c>
      <c r="W2513" s="50">
        <f>+J2513/$W$2</f>
        <v>5.6847881708499865E-5</v>
      </c>
    </row>
    <row r="2514" spans="1:23">
      <c r="A2514" s="10" t="s">
        <v>832</v>
      </c>
      <c r="B2514" s="10" t="s">
        <v>358</v>
      </c>
      <c r="C2514" s="124">
        <v>46414</v>
      </c>
      <c r="D2514" s="124" t="s">
        <v>471</v>
      </c>
      <c r="E2514" s="21">
        <v>0.92264913999999998</v>
      </c>
      <c r="F2514" s="10"/>
      <c r="G2514" s="14">
        <v>215553.52</v>
      </c>
      <c r="H2514" s="14">
        <v>198880.27</v>
      </c>
      <c r="I2514" s="14">
        <v>215553.52</v>
      </c>
      <c r="J2514" s="14">
        <v>198880.27</v>
      </c>
      <c r="K2514" s="12">
        <v>30107611</v>
      </c>
      <c r="L2514" s="10" t="s">
        <v>101</v>
      </c>
      <c r="M2514" s="10" t="s">
        <v>102</v>
      </c>
      <c r="N2514" s="124" t="s">
        <v>469</v>
      </c>
      <c r="O2514" s="124" t="s">
        <v>469</v>
      </c>
      <c r="P2514" s="21">
        <v>34</v>
      </c>
      <c r="Q2514" s="10" t="s">
        <v>54</v>
      </c>
      <c r="R2514" s="10" t="s">
        <v>28</v>
      </c>
      <c r="S2514" s="10"/>
      <c r="T2514" s="10"/>
      <c r="U2514" s="10" t="s">
        <v>3965</v>
      </c>
      <c r="V2514" s="10" t="s">
        <v>3965</v>
      </c>
      <c r="W2514" s="50">
        <f>+J2514/$W$2</f>
        <v>2.434025173004497E-6</v>
      </c>
    </row>
    <row r="2515" spans="1:23">
      <c r="A2515" s="10" t="s">
        <v>832</v>
      </c>
      <c r="B2515" s="10" t="s">
        <v>358</v>
      </c>
      <c r="C2515" s="124">
        <v>46414</v>
      </c>
      <c r="D2515" s="124" t="s">
        <v>471</v>
      </c>
      <c r="E2515" s="21">
        <v>0.92264937000000002</v>
      </c>
      <c r="F2515" s="10"/>
      <c r="G2515" s="14">
        <v>361280.85</v>
      </c>
      <c r="H2515" s="14">
        <v>333335.55</v>
      </c>
      <c r="I2515" s="14">
        <v>361280.85</v>
      </c>
      <c r="J2515" s="14">
        <v>333335.55</v>
      </c>
      <c r="K2515" s="12">
        <v>30106874</v>
      </c>
      <c r="L2515" s="10" t="s">
        <v>101</v>
      </c>
      <c r="M2515" s="10" t="s">
        <v>102</v>
      </c>
      <c r="N2515" s="124" t="s">
        <v>474</v>
      </c>
      <c r="O2515" s="124" t="s">
        <v>474</v>
      </c>
      <c r="P2515" s="21">
        <v>34</v>
      </c>
      <c r="Q2515" s="10" t="s">
        <v>54</v>
      </c>
      <c r="R2515" s="10" t="s">
        <v>28</v>
      </c>
      <c r="S2515" s="10"/>
      <c r="T2515" s="10"/>
      <c r="U2515" s="10" t="s">
        <v>3873</v>
      </c>
      <c r="V2515" s="10" t="s">
        <v>3873</v>
      </c>
      <c r="W2515" s="50">
        <f>+J2515/$W$2</f>
        <v>4.0795757153653261E-6</v>
      </c>
    </row>
    <row r="2516" spans="1:23">
      <c r="A2516" s="10" t="s">
        <v>495</v>
      </c>
      <c r="B2516" s="10" t="s">
        <v>358</v>
      </c>
      <c r="C2516" s="124">
        <v>46414</v>
      </c>
      <c r="D2516" s="124" t="s">
        <v>471</v>
      </c>
      <c r="E2516" s="21">
        <v>0.93112254999999999</v>
      </c>
      <c r="F2516" s="10"/>
      <c r="G2516" s="14">
        <v>50000000</v>
      </c>
      <c r="H2516" s="14">
        <v>46556127.369999997</v>
      </c>
      <c r="I2516" s="14">
        <v>50000000</v>
      </c>
      <c r="J2516" s="14">
        <v>46556127.369999997</v>
      </c>
      <c r="K2516" s="12">
        <v>6857</v>
      </c>
      <c r="L2516" s="10" t="s">
        <v>101</v>
      </c>
      <c r="M2516" s="10" t="s">
        <v>102</v>
      </c>
      <c r="N2516" s="124" t="s">
        <v>395</v>
      </c>
      <c r="O2516" s="124" t="s">
        <v>395</v>
      </c>
      <c r="P2516" s="21">
        <v>30</v>
      </c>
      <c r="Q2516" s="10" t="s">
        <v>54</v>
      </c>
      <c r="R2516" s="10" t="s">
        <v>28</v>
      </c>
      <c r="S2516" s="10"/>
      <c r="T2516" s="10"/>
      <c r="U2516" s="10" t="s">
        <v>1809</v>
      </c>
      <c r="V2516" s="10" t="s">
        <v>1809</v>
      </c>
      <c r="W2516" s="50">
        <f>+J2516/$W$2</f>
        <v>5.6978395079704811E-4</v>
      </c>
    </row>
    <row r="2517" spans="1:23">
      <c r="A2517" s="10" t="s">
        <v>495</v>
      </c>
      <c r="B2517" s="10" t="s">
        <v>358</v>
      </c>
      <c r="C2517" s="124">
        <v>46414</v>
      </c>
      <c r="D2517" s="124" t="s">
        <v>471</v>
      </c>
      <c r="E2517" s="21">
        <v>0.93112254999999999</v>
      </c>
      <c r="F2517" s="10"/>
      <c r="G2517" s="14">
        <v>50000000</v>
      </c>
      <c r="H2517" s="14">
        <v>46556127.369999997</v>
      </c>
      <c r="I2517" s="14">
        <v>50000000</v>
      </c>
      <c r="J2517" s="14">
        <v>46556127.369999997</v>
      </c>
      <c r="K2517" s="12">
        <v>6858</v>
      </c>
      <c r="L2517" s="10" t="s">
        <v>101</v>
      </c>
      <c r="M2517" s="10" t="s">
        <v>102</v>
      </c>
      <c r="N2517" s="124" t="s">
        <v>395</v>
      </c>
      <c r="O2517" s="124" t="s">
        <v>395</v>
      </c>
      <c r="P2517" s="21">
        <v>30</v>
      </c>
      <c r="Q2517" s="10" t="s">
        <v>54</v>
      </c>
      <c r="R2517" s="10" t="s">
        <v>28</v>
      </c>
      <c r="S2517" s="10"/>
      <c r="T2517" s="10"/>
      <c r="U2517" s="10" t="s">
        <v>1811</v>
      </c>
      <c r="V2517" s="10" t="s">
        <v>1811</v>
      </c>
      <c r="W2517" s="50">
        <f>+J2517/$W$2</f>
        <v>5.6978395079704811E-4</v>
      </c>
    </row>
    <row r="2518" spans="1:23">
      <c r="A2518" s="10" t="s">
        <v>4046</v>
      </c>
      <c r="B2518" s="10" t="s">
        <v>358</v>
      </c>
      <c r="C2518" s="124">
        <v>46414</v>
      </c>
      <c r="D2518" s="124" t="s">
        <v>471</v>
      </c>
      <c r="E2518" s="21">
        <v>0.92264915999999997</v>
      </c>
      <c r="F2518" s="10"/>
      <c r="G2518" s="14">
        <v>19131395.420000002</v>
      </c>
      <c r="H2518" s="14">
        <v>17651565.899999999</v>
      </c>
      <c r="I2518" s="14">
        <v>19131395.420000002</v>
      </c>
      <c r="J2518" s="14">
        <v>17651565.899999999</v>
      </c>
      <c r="K2518" s="12">
        <v>282</v>
      </c>
      <c r="L2518" s="10" t="s">
        <v>101</v>
      </c>
      <c r="M2518" s="10" t="s">
        <v>102</v>
      </c>
      <c r="N2518" s="124" t="s">
        <v>469</v>
      </c>
      <c r="O2518" s="124" t="s">
        <v>469</v>
      </c>
      <c r="P2518" s="21">
        <v>34</v>
      </c>
      <c r="Q2518" s="10" t="s">
        <v>54</v>
      </c>
      <c r="R2518" s="10" t="s">
        <v>28</v>
      </c>
      <c r="S2518" s="10"/>
      <c r="T2518" s="10"/>
      <c r="U2518" s="10" t="s">
        <v>3971</v>
      </c>
      <c r="V2518" s="10" t="s">
        <v>3971</v>
      </c>
      <c r="W2518" s="50">
        <f>+J2518/$W$2</f>
        <v>2.160312621435388E-4</v>
      </c>
    </row>
    <row r="2519" spans="1:23">
      <c r="A2519" s="10" t="s">
        <v>4054</v>
      </c>
      <c r="B2519" s="10" t="s">
        <v>358</v>
      </c>
      <c r="C2519" s="124">
        <v>46414</v>
      </c>
      <c r="D2519" s="124" t="s">
        <v>471</v>
      </c>
      <c r="E2519" s="21">
        <v>0.92264915999999997</v>
      </c>
      <c r="F2519" s="10"/>
      <c r="G2519" s="14">
        <v>12701545.390000001</v>
      </c>
      <c r="H2519" s="14">
        <v>11719070.18</v>
      </c>
      <c r="I2519" s="14">
        <v>12701545.390000001</v>
      </c>
      <c r="J2519" s="14">
        <v>11719070.18</v>
      </c>
      <c r="K2519" s="12">
        <v>139</v>
      </c>
      <c r="L2519" s="10" t="s">
        <v>101</v>
      </c>
      <c r="M2519" s="10" t="s">
        <v>102</v>
      </c>
      <c r="N2519" s="124" t="s">
        <v>469</v>
      </c>
      <c r="O2519" s="124" t="s">
        <v>469</v>
      </c>
      <c r="P2519" s="21">
        <v>34</v>
      </c>
      <c r="Q2519" s="10" t="s">
        <v>54</v>
      </c>
      <c r="R2519" s="10" t="s">
        <v>28</v>
      </c>
      <c r="S2519" s="10"/>
      <c r="T2519" s="10"/>
      <c r="U2519" s="10" t="s">
        <v>4009</v>
      </c>
      <c r="V2519" s="10" t="s">
        <v>4009</v>
      </c>
      <c r="W2519" s="50">
        <f>+J2519/$W$2</f>
        <v>1.4342554855907195E-4</v>
      </c>
    </row>
    <row r="2520" spans="1:23">
      <c r="A2520" s="10" t="s">
        <v>362</v>
      </c>
      <c r="B2520" s="10" t="s">
        <v>358</v>
      </c>
      <c r="C2520" s="124">
        <v>46414</v>
      </c>
      <c r="D2520" s="124" t="s">
        <v>471</v>
      </c>
      <c r="E2520" s="21">
        <v>0.92475309000000006</v>
      </c>
      <c r="F2520" s="10"/>
      <c r="G2520" s="14">
        <v>7692308</v>
      </c>
      <c r="H2520" s="14">
        <v>7113485.5800000001</v>
      </c>
      <c r="I2520" s="14">
        <v>7692308</v>
      </c>
      <c r="J2520" s="14">
        <v>7113485.5800000001</v>
      </c>
      <c r="K2520" s="12">
        <v>4446</v>
      </c>
      <c r="L2520" s="10" t="s">
        <v>101</v>
      </c>
      <c r="M2520" s="10" t="s">
        <v>102</v>
      </c>
      <c r="N2520" s="124" t="s">
        <v>466</v>
      </c>
      <c r="O2520" s="124" t="s">
        <v>466</v>
      </c>
      <c r="P2520" s="21">
        <v>33</v>
      </c>
      <c r="Q2520" s="10" t="s">
        <v>54</v>
      </c>
      <c r="R2520" s="10" t="s">
        <v>28</v>
      </c>
      <c r="S2520" s="10"/>
      <c r="T2520" s="10"/>
      <c r="U2520" s="10" t="s">
        <v>3612</v>
      </c>
      <c r="V2520" s="10" t="s">
        <v>3612</v>
      </c>
      <c r="W2520" s="50">
        <f>+J2520/$W$2</f>
        <v>8.7059430126097955E-5</v>
      </c>
    </row>
    <row r="2521" spans="1:23">
      <c r="A2521" s="10" t="s">
        <v>4176</v>
      </c>
      <c r="B2521" s="10" t="s">
        <v>358</v>
      </c>
      <c r="C2521" s="124">
        <v>46414</v>
      </c>
      <c r="D2521" s="124" t="s">
        <v>471</v>
      </c>
      <c r="E2521" s="21">
        <v>0.93112254000000005</v>
      </c>
      <c r="F2521" s="10"/>
      <c r="G2521" s="14">
        <v>150000000</v>
      </c>
      <c r="H2521" s="14">
        <v>139668380.81999999</v>
      </c>
      <c r="I2521" s="14">
        <v>150000000</v>
      </c>
      <c r="J2521" s="14">
        <v>139668380.81999999</v>
      </c>
      <c r="K2521" s="12">
        <v>8711</v>
      </c>
      <c r="L2521" s="10" t="s">
        <v>101</v>
      </c>
      <c r="M2521" s="10" t="s">
        <v>102</v>
      </c>
      <c r="N2521" s="124" t="s">
        <v>471</v>
      </c>
      <c r="O2521" s="124" t="s">
        <v>471</v>
      </c>
      <c r="P2521" s="21">
        <v>30</v>
      </c>
      <c r="Q2521" s="10" t="s">
        <v>54</v>
      </c>
      <c r="R2521" s="10" t="s">
        <v>28</v>
      </c>
      <c r="S2521" s="10"/>
      <c r="T2521" s="10"/>
      <c r="U2521" s="10" t="s">
        <v>4153</v>
      </c>
      <c r="V2521" s="10" t="s">
        <v>4153</v>
      </c>
      <c r="W2521" s="50">
        <f>+J2521/$W$2</f>
        <v>1.7093518366032912E-3</v>
      </c>
    </row>
    <row r="2522" spans="1:23">
      <c r="A2522" s="10" t="s">
        <v>2668</v>
      </c>
      <c r="B2522" s="10" t="s">
        <v>358</v>
      </c>
      <c r="C2522" s="124">
        <v>46414</v>
      </c>
      <c r="D2522" s="124" t="s">
        <v>471</v>
      </c>
      <c r="E2522" s="21">
        <v>0.92686654999999996</v>
      </c>
      <c r="F2522" s="10"/>
      <c r="G2522" s="14">
        <v>661730</v>
      </c>
      <c r="H2522" s="14">
        <v>613335.4</v>
      </c>
      <c r="I2522" s="14">
        <v>661730</v>
      </c>
      <c r="J2522" s="14">
        <v>613335.4</v>
      </c>
      <c r="K2522" s="12">
        <v>1254</v>
      </c>
      <c r="L2522" s="10" t="s">
        <v>101</v>
      </c>
      <c r="M2522" s="10" t="s">
        <v>102</v>
      </c>
      <c r="N2522" s="124" t="s">
        <v>603</v>
      </c>
      <c r="O2522" s="124" t="s">
        <v>603</v>
      </c>
      <c r="P2522" s="21">
        <v>32</v>
      </c>
      <c r="Q2522" s="10" t="s">
        <v>54</v>
      </c>
      <c r="R2522" s="10" t="s">
        <v>28</v>
      </c>
      <c r="S2522" s="10"/>
      <c r="T2522" s="10"/>
      <c r="U2522" s="10" t="s">
        <v>2570</v>
      </c>
      <c r="V2522" s="10" t="s">
        <v>2570</v>
      </c>
      <c r="W2522" s="50">
        <f>+J2522/$W$2</f>
        <v>7.5063946921169325E-6</v>
      </c>
    </row>
    <row r="2523" spans="1:23">
      <c r="A2523" s="10" t="s">
        <v>522</v>
      </c>
      <c r="B2523" s="10" t="s">
        <v>358</v>
      </c>
      <c r="C2523" s="124">
        <v>46414</v>
      </c>
      <c r="D2523" s="124" t="s">
        <v>471</v>
      </c>
      <c r="E2523" s="21">
        <v>0.92475309000000006</v>
      </c>
      <c r="F2523" s="10"/>
      <c r="G2523" s="14">
        <v>38400000</v>
      </c>
      <c r="H2523" s="14">
        <v>35510518.609999999</v>
      </c>
      <c r="I2523" s="14">
        <v>38400000</v>
      </c>
      <c r="J2523" s="14">
        <v>35510518.609999999</v>
      </c>
      <c r="K2523" s="12">
        <v>9827968</v>
      </c>
      <c r="L2523" s="10" t="s">
        <v>101</v>
      </c>
      <c r="M2523" s="10" t="s">
        <v>102</v>
      </c>
      <c r="N2523" s="124" t="s">
        <v>466</v>
      </c>
      <c r="O2523" s="124" t="s">
        <v>466</v>
      </c>
      <c r="P2523" s="21">
        <v>33</v>
      </c>
      <c r="Q2523" s="10" t="s">
        <v>54</v>
      </c>
      <c r="R2523" s="10" t="s">
        <v>28</v>
      </c>
      <c r="S2523" s="10"/>
      <c r="T2523" s="10"/>
      <c r="U2523" s="10" t="s">
        <v>3626</v>
      </c>
      <c r="V2523" s="10" t="s">
        <v>3626</v>
      </c>
      <c r="W2523" s="50">
        <f>+J2523/$W$2</f>
        <v>4.3460065798977778E-4</v>
      </c>
    </row>
    <row r="2524" spans="1:23">
      <c r="A2524" s="10" t="s">
        <v>433</v>
      </c>
      <c r="B2524" s="10" t="s">
        <v>358</v>
      </c>
      <c r="C2524" s="124">
        <v>46414</v>
      </c>
      <c r="D2524" s="124" t="s">
        <v>471</v>
      </c>
      <c r="E2524" s="21">
        <v>0.92475302999999998</v>
      </c>
      <c r="F2524" s="10"/>
      <c r="G2524" s="14">
        <v>15000000</v>
      </c>
      <c r="H2524" s="14">
        <v>13871295.51</v>
      </c>
      <c r="I2524" s="14">
        <v>15000000</v>
      </c>
      <c r="J2524" s="14">
        <v>13871295.51</v>
      </c>
      <c r="K2524" s="12">
        <v>14724994</v>
      </c>
      <c r="L2524" s="10" t="s">
        <v>101</v>
      </c>
      <c r="M2524" s="10" t="s">
        <v>102</v>
      </c>
      <c r="N2524" s="124" t="s">
        <v>446</v>
      </c>
      <c r="O2524" s="124" t="s">
        <v>446</v>
      </c>
      <c r="P2524" s="21">
        <v>33</v>
      </c>
      <c r="Q2524" s="10" t="s">
        <v>54</v>
      </c>
      <c r="R2524" s="10" t="s">
        <v>28</v>
      </c>
      <c r="S2524" s="10"/>
      <c r="T2524" s="10"/>
      <c r="U2524" s="10" t="s">
        <v>3089</v>
      </c>
      <c r="V2524" s="10" t="s">
        <v>3089</v>
      </c>
      <c r="W2524" s="50">
        <f>+J2524/$W$2</f>
        <v>1.6976587196670766E-4</v>
      </c>
    </row>
    <row r="2525" spans="1:23">
      <c r="A2525" s="10" t="s">
        <v>3582</v>
      </c>
      <c r="B2525" s="10" t="s">
        <v>358</v>
      </c>
      <c r="C2525" s="124">
        <v>46414</v>
      </c>
      <c r="D2525" s="124" t="s">
        <v>471</v>
      </c>
      <c r="E2525" s="21">
        <v>0.92686647</v>
      </c>
      <c r="F2525" s="10"/>
      <c r="G2525" s="14">
        <v>4466336.49</v>
      </c>
      <c r="H2525" s="14">
        <v>4139697.53</v>
      </c>
      <c r="I2525" s="14">
        <v>4466336.49</v>
      </c>
      <c r="J2525" s="14">
        <v>4139697.53</v>
      </c>
      <c r="K2525" s="12">
        <v>265338</v>
      </c>
      <c r="L2525" s="10" t="s">
        <v>101</v>
      </c>
      <c r="M2525" s="10" t="s">
        <v>102</v>
      </c>
      <c r="N2525" s="124" t="s">
        <v>451</v>
      </c>
      <c r="O2525" s="124" t="s">
        <v>451</v>
      </c>
      <c r="P2525" s="21">
        <v>32</v>
      </c>
      <c r="Q2525" s="10" t="s">
        <v>54</v>
      </c>
      <c r="R2525" s="10" t="s">
        <v>28</v>
      </c>
      <c r="S2525" s="10"/>
      <c r="T2525" s="10"/>
      <c r="U2525" s="10" t="s">
        <v>3519</v>
      </c>
      <c r="V2525" s="10" t="s">
        <v>3519</v>
      </c>
      <c r="W2525" s="50">
        <f>+J2525/$W$2</f>
        <v>5.0664291619498197E-5</v>
      </c>
    </row>
    <row r="2526" spans="1:23">
      <c r="A2526" s="10" t="s">
        <v>3592</v>
      </c>
      <c r="B2526" s="10" t="s">
        <v>358</v>
      </c>
      <c r="C2526" s="124">
        <v>46414</v>
      </c>
      <c r="D2526" s="124" t="s">
        <v>471</v>
      </c>
      <c r="E2526" s="21">
        <v>0.92475302000000004</v>
      </c>
      <c r="F2526" s="10"/>
      <c r="G2526" s="14">
        <v>2320040.0499999998</v>
      </c>
      <c r="H2526" s="14">
        <v>2145464.04</v>
      </c>
      <c r="I2526" s="14">
        <v>2320040.0499999998</v>
      </c>
      <c r="J2526" s="14">
        <v>2145464.04</v>
      </c>
      <c r="K2526" s="12">
        <v>90016643</v>
      </c>
      <c r="L2526" s="10" t="s">
        <v>101</v>
      </c>
      <c r="M2526" s="10" t="s">
        <v>102</v>
      </c>
      <c r="N2526" s="124" t="s">
        <v>451</v>
      </c>
      <c r="O2526" s="124" t="s">
        <v>451</v>
      </c>
      <c r="P2526" s="21">
        <v>33</v>
      </c>
      <c r="Q2526" s="10" t="s">
        <v>54</v>
      </c>
      <c r="R2526" s="10" t="s">
        <v>28</v>
      </c>
      <c r="S2526" s="10"/>
      <c r="T2526" s="10"/>
      <c r="U2526" s="10" t="s">
        <v>3550</v>
      </c>
      <c r="V2526" s="10" t="s">
        <v>3550</v>
      </c>
      <c r="W2526" s="50">
        <f>+J2526/$W$2</f>
        <v>2.6257574374451158E-5</v>
      </c>
    </row>
    <row r="2527" spans="1:23">
      <c r="A2527" s="10" t="s">
        <v>3784</v>
      </c>
      <c r="B2527" s="10" t="s">
        <v>358</v>
      </c>
      <c r="C2527" s="124">
        <v>46414</v>
      </c>
      <c r="D2527" s="124" t="s">
        <v>471</v>
      </c>
      <c r="E2527" s="21">
        <v>0.92898974000000001</v>
      </c>
      <c r="F2527" s="10"/>
      <c r="G2527" s="14">
        <v>5000000</v>
      </c>
      <c r="H2527" s="14">
        <v>4644948.7</v>
      </c>
      <c r="I2527" s="14">
        <v>5000000</v>
      </c>
      <c r="J2527" s="14">
        <v>4644948.7</v>
      </c>
      <c r="K2527" s="12">
        <v>13097177</v>
      </c>
      <c r="L2527" s="10" t="s">
        <v>101</v>
      </c>
      <c r="M2527" s="10" t="s">
        <v>102</v>
      </c>
      <c r="N2527" s="124" t="s">
        <v>467</v>
      </c>
      <c r="O2527" s="124" t="s">
        <v>467</v>
      </c>
      <c r="P2527" s="21">
        <v>31</v>
      </c>
      <c r="Q2527" s="10" t="s">
        <v>54</v>
      </c>
      <c r="R2527" s="10" t="s">
        <v>28</v>
      </c>
      <c r="S2527" s="10"/>
      <c r="T2527" s="10"/>
      <c r="U2527" s="10" t="s">
        <v>3707</v>
      </c>
      <c r="V2527" s="10" t="s">
        <v>3707</v>
      </c>
      <c r="W2527" s="50">
        <f>+J2527/$W$2</f>
        <v>5.6847881708499865E-5</v>
      </c>
    </row>
    <row r="2528" spans="1:23">
      <c r="A2528" s="10" t="s">
        <v>3785</v>
      </c>
      <c r="B2528" s="10" t="s">
        <v>358</v>
      </c>
      <c r="C2528" s="124">
        <v>46414</v>
      </c>
      <c r="D2528" s="124" t="s">
        <v>471</v>
      </c>
      <c r="E2528" s="21">
        <v>0.92898974000000001</v>
      </c>
      <c r="F2528" s="10"/>
      <c r="G2528" s="14">
        <v>15000000</v>
      </c>
      <c r="H2528" s="14">
        <v>13934846.09</v>
      </c>
      <c r="I2528" s="14">
        <v>15000000</v>
      </c>
      <c r="J2528" s="14">
        <v>13934846.09</v>
      </c>
      <c r="K2528" s="12">
        <v>11426078</v>
      </c>
      <c r="L2528" s="10" t="s">
        <v>101</v>
      </c>
      <c r="M2528" s="10" t="s">
        <v>102</v>
      </c>
      <c r="N2528" s="124" t="s">
        <v>467</v>
      </c>
      <c r="O2528" s="124" t="s">
        <v>467</v>
      </c>
      <c r="P2528" s="21">
        <v>31</v>
      </c>
      <c r="Q2528" s="10" t="s">
        <v>54</v>
      </c>
      <c r="R2528" s="10" t="s">
        <v>28</v>
      </c>
      <c r="S2528" s="10"/>
      <c r="T2528" s="10"/>
      <c r="U2528" s="10" t="s">
        <v>3711</v>
      </c>
      <c r="V2528" s="10" t="s">
        <v>3711</v>
      </c>
      <c r="W2528" s="50">
        <f>+J2528/$W$2</f>
        <v>1.7054364500311312E-4</v>
      </c>
    </row>
    <row r="2529" spans="1:29">
      <c r="A2529" s="10" t="s">
        <v>3793</v>
      </c>
      <c r="B2529" s="10" t="s">
        <v>358</v>
      </c>
      <c r="C2529" s="124">
        <v>46414</v>
      </c>
      <c r="D2529" s="124" t="s">
        <v>471</v>
      </c>
      <c r="E2529" s="21">
        <v>0.92055505000000004</v>
      </c>
      <c r="F2529" s="10"/>
      <c r="G2529" s="14">
        <v>7345493.4699999997</v>
      </c>
      <c r="H2529" s="14">
        <v>6761931.0999999996</v>
      </c>
      <c r="I2529" s="14">
        <v>7345493.4699999997</v>
      </c>
      <c r="J2529" s="14">
        <v>6761931.0999999996</v>
      </c>
      <c r="K2529" s="12">
        <v>41018392</v>
      </c>
      <c r="L2529" s="10" t="s">
        <v>101</v>
      </c>
      <c r="M2529" s="10" t="s">
        <v>102</v>
      </c>
      <c r="N2529" s="124" t="s">
        <v>467</v>
      </c>
      <c r="O2529" s="124" t="s">
        <v>467</v>
      </c>
      <c r="P2529" s="21">
        <v>35</v>
      </c>
      <c r="Q2529" s="10" t="s">
        <v>54</v>
      </c>
      <c r="R2529" s="10" t="s">
        <v>28</v>
      </c>
      <c r="S2529" s="10"/>
      <c r="T2529" s="10"/>
      <c r="U2529" s="10" t="s">
        <v>3750</v>
      </c>
      <c r="V2529" s="10" t="s">
        <v>3750</v>
      </c>
      <c r="W2529" s="50">
        <f>+J2529/$W$2</f>
        <v>8.2756879380352748E-5</v>
      </c>
    </row>
    <row r="2530" spans="1:29">
      <c r="A2530" s="10" t="s">
        <v>482</v>
      </c>
      <c r="B2530" s="10" t="s">
        <v>358</v>
      </c>
      <c r="C2530" s="124">
        <v>46414</v>
      </c>
      <c r="D2530" s="124" t="s">
        <v>471</v>
      </c>
      <c r="E2530" s="21">
        <v>0.92898974000000001</v>
      </c>
      <c r="F2530" s="10"/>
      <c r="G2530" s="14">
        <v>5000000</v>
      </c>
      <c r="H2530" s="14">
        <v>4644948.7</v>
      </c>
      <c r="I2530" s="14">
        <v>5000000</v>
      </c>
      <c r="J2530" s="14">
        <v>4644948.7</v>
      </c>
      <c r="K2530" s="12">
        <v>14693860</v>
      </c>
      <c r="L2530" s="10" t="s">
        <v>101</v>
      </c>
      <c r="M2530" s="10" t="s">
        <v>102</v>
      </c>
      <c r="N2530" s="124" t="s">
        <v>467</v>
      </c>
      <c r="O2530" s="124" t="s">
        <v>467</v>
      </c>
      <c r="P2530" s="21">
        <v>31</v>
      </c>
      <c r="Q2530" s="10" t="s">
        <v>54</v>
      </c>
      <c r="R2530" s="10" t="s">
        <v>28</v>
      </c>
      <c r="S2530" s="10"/>
      <c r="T2530" s="10"/>
      <c r="U2530" s="10" t="s">
        <v>3709</v>
      </c>
      <c r="V2530" s="10" t="s">
        <v>3709</v>
      </c>
      <c r="W2530" s="50">
        <f>+J2530/$W$2</f>
        <v>5.6847881708499865E-5</v>
      </c>
    </row>
    <row r="2531" spans="1:29">
      <c r="A2531" s="10" t="s">
        <v>438</v>
      </c>
      <c r="B2531" s="10" t="s">
        <v>358</v>
      </c>
      <c r="C2531" s="124">
        <v>46414</v>
      </c>
      <c r="D2531" s="124" t="s">
        <v>471</v>
      </c>
      <c r="E2531" s="21">
        <v>0.93436180999999996</v>
      </c>
      <c r="F2531" s="10"/>
      <c r="G2531" s="14">
        <v>3000000</v>
      </c>
      <c r="H2531" s="14">
        <v>2803085.44</v>
      </c>
      <c r="I2531" s="14">
        <v>3000000</v>
      </c>
      <c r="J2531" s="14">
        <v>2803085.44</v>
      </c>
      <c r="K2531" s="12">
        <v>3966972</v>
      </c>
      <c r="L2531" s="10" t="s">
        <v>101</v>
      </c>
      <c r="M2531" s="10" t="s">
        <v>102</v>
      </c>
      <c r="N2531" s="124" t="s">
        <v>471</v>
      </c>
      <c r="O2531" s="124" t="s">
        <v>471</v>
      </c>
      <c r="P2531" s="21">
        <v>28.49</v>
      </c>
      <c r="Q2531" s="10" t="s">
        <v>54</v>
      </c>
      <c r="R2531" s="10" t="s">
        <v>28</v>
      </c>
      <c r="S2531" s="10"/>
      <c r="T2531" s="10"/>
      <c r="U2531" s="10" t="s">
        <v>4059</v>
      </c>
      <c r="V2531" s="10" t="s">
        <v>4059</v>
      </c>
      <c r="W2531" s="50">
        <f>+J2531/$W$2</f>
        <v>3.4305969732655664E-5</v>
      </c>
    </row>
    <row r="2532" spans="1:29">
      <c r="A2532" s="10" t="s">
        <v>361</v>
      </c>
      <c r="B2532" s="10" t="s">
        <v>358</v>
      </c>
      <c r="C2532" s="124">
        <v>46414</v>
      </c>
      <c r="D2532" s="124" t="s">
        <v>471</v>
      </c>
      <c r="E2532" s="21">
        <v>0.93112254000000005</v>
      </c>
      <c r="F2532" s="10"/>
      <c r="G2532" s="14">
        <v>110000000</v>
      </c>
      <c r="H2532" s="14">
        <v>102423479.27</v>
      </c>
      <c r="I2532" s="14">
        <v>110000000</v>
      </c>
      <c r="J2532" s="14">
        <v>102423479.27</v>
      </c>
      <c r="K2532" s="12">
        <v>349</v>
      </c>
      <c r="L2532" s="10" t="s">
        <v>101</v>
      </c>
      <c r="M2532" s="10" t="s">
        <v>102</v>
      </c>
      <c r="N2532" s="124" t="s">
        <v>471</v>
      </c>
      <c r="O2532" s="124" t="s">
        <v>471</v>
      </c>
      <c r="P2532" s="21">
        <v>30</v>
      </c>
      <c r="Q2532" s="10" t="s">
        <v>54</v>
      </c>
      <c r="R2532" s="10" t="s">
        <v>28</v>
      </c>
      <c r="S2532" s="10"/>
      <c r="T2532" s="10"/>
      <c r="U2532" s="10" t="s">
        <v>4140</v>
      </c>
      <c r="V2532" s="10" t="s">
        <v>4140</v>
      </c>
      <c r="W2532" s="50">
        <f>+J2532/$W$2</f>
        <v>1.2535246802002243E-3</v>
      </c>
      <c r="AC2532" s="47"/>
    </row>
    <row r="2533" spans="1:29">
      <c r="A2533" s="10" t="s">
        <v>3894</v>
      </c>
      <c r="B2533" s="10" t="s">
        <v>358</v>
      </c>
      <c r="C2533" s="124">
        <v>46414</v>
      </c>
      <c r="D2533" s="124" t="s">
        <v>471</v>
      </c>
      <c r="E2533" s="21">
        <v>0.9315504</v>
      </c>
      <c r="F2533" s="10"/>
      <c r="G2533" s="14">
        <v>100000000</v>
      </c>
      <c r="H2533" s="14">
        <v>93155040.280000001</v>
      </c>
      <c r="I2533" s="14">
        <v>100000000</v>
      </c>
      <c r="J2533" s="14">
        <v>93155040.280000001</v>
      </c>
      <c r="K2533" s="12">
        <v>2524</v>
      </c>
      <c r="L2533" s="10" t="s">
        <v>101</v>
      </c>
      <c r="M2533" s="10" t="s">
        <v>102</v>
      </c>
      <c r="N2533" s="124" t="s">
        <v>474</v>
      </c>
      <c r="O2533" s="124" t="s">
        <v>474</v>
      </c>
      <c r="P2533" s="21">
        <v>29.8</v>
      </c>
      <c r="Q2533" s="10" t="s">
        <v>54</v>
      </c>
      <c r="R2533" s="10" t="s">
        <v>28</v>
      </c>
      <c r="S2533" s="10"/>
      <c r="T2533" s="10"/>
      <c r="U2533" s="10" t="s">
        <v>3859</v>
      </c>
      <c r="V2533" s="10" t="s">
        <v>3859</v>
      </c>
      <c r="W2533" s="50">
        <f>+J2533/$W$2</f>
        <v>1.1400915386617682E-3</v>
      </c>
    </row>
    <row r="2534" spans="1:29">
      <c r="A2534" s="10" t="s">
        <v>3112</v>
      </c>
      <c r="B2534" s="10" t="s">
        <v>358</v>
      </c>
      <c r="C2534" s="124">
        <v>46414</v>
      </c>
      <c r="D2534" s="124" t="s">
        <v>471</v>
      </c>
      <c r="E2534" s="21">
        <v>0.92055491</v>
      </c>
      <c r="F2534" s="10"/>
      <c r="G2534" s="14">
        <v>4500000</v>
      </c>
      <c r="H2534" s="14">
        <v>4142497.11</v>
      </c>
      <c r="I2534" s="14">
        <v>4500000</v>
      </c>
      <c r="J2534" s="14">
        <v>4142497.11</v>
      </c>
      <c r="K2534" s="12">
        <v>69406938</v>
      </c>
      <c r="L2534" s="10" t="s">
        <v>101</v>
      </c>
      <c r="M2534" s="10" t="s">
        <v>102</v>
      </c>
      <c r="N2534" s="124" t="s">
        <v>446</v>
      </c>
      <c r="O2534" s="124" t="s">
        <v>446</v>
      </c>
      <c r="P2534" s="21">
        <v>35</v>
      </c>
      <c r="Q2534" s="10" t="s">
        <v>54</v>
      </c>
      <c r="R2534" s="10" t="s">
        <v>28</v>
      </c>
      <c r="S2534" s="10"/>
      <c r="T2534" s="10"/>
      <c r="U2534" s="10" t="s">
        <v>3115</v>
      </c>
      <c r="V2534" s="10" t="s">
        <v>3115</v>
      </c>
      <c r="W2534" s="50">
        <f>+J2534/$W$2</f>
        <v>5.0698554687392462E-5</v>
      </c>
    </row>
    <row r="2535" spans="1:29">
      <c r="A2535" s="10" t="s">
        <v>3305</v>
      </c>
      <c r="B2535" s="10" t="s">
        <v>358</v>
      </c>
      <c r="C2535" s="124">
        <v>46414</v>
      </c>
      <c r="D2535" s="124" t="s">
        <v>471</v>
      </c>
      <c r="E2535" s="21">
        <v>0.93112254000000005</v>
      </c>
      <c r="F2535" s="10"/>
      <c r="G2535" s="14">
        <v>35345018</v>
      </c>
      <c r="H2535" s="14">
        <v>32910542.890000001</v>
      </c>
      <c r="I2535" s="14">
        <v>35345018</v>
      </c>
      <c r="J2535" s="14">
        <v>32910542.890000001</v>
      </c>
      <c r="K2535" s="12">
        <v>2684</v>
      </c>
      <c r="L2535" s="10" t="s">
        <v>101</v>
      </c>
      <c r="M2535" s="10" t="s">
        <v>102</v>
      </c>
      <c r="N2535" s="124" t="s">
        <v>471</v>
      </c>
      <c r="O2535" s="124" t="s">
        <v>471</v>
      </c>
      <c r="P2535" s="21">
        <v>30</v>
      </c>
      <c r="Q2535" s="10" t="s">
        <v>54</v>
      </c>
      <c r="R2535" s="10" t="s">
        <v>28</v>
      </c>
      <c r="S2535" s="10"/>
      <c r="T2535" s="10"/>
      <c r="U2535" s="10" t="s">
        <v>4155</v>
      </c>
      <c r="V2535" s="10" t="s">
        <v>4155</v>
      </c>
      <c r="W2535" s="50">
        <f>+J2535/$W$2</f>
        <v>4.0278047617043245E-4</v>
      </c>
    </row>
    <row r="2536" spans="1:29">
      <c r="A2536" s="10" t="s">
        <v>379</v>
      </c>
      <c r="B2536" s="10" t="s">
        <v>358</v>
      </c>
      <c r="C2536" s="124">
        <v>46414</v>
      </c>
      <c r="D2536" s="124" t="s">
        <v>471</v>
      </c>
      <c r="E2536" s="21">
        <v>0.93112249000000002</v>
      </c>
      <c r="F2536" s="10"/>
      <c r="G2536" s="14">
        <v>20000000</v>
      </c>
      <c r="H2536" s="14">
        <v>18622449.75</v>
      </c>
      <c r="I2536" s="14">
        <v>20000000</v>
      </c>
      <c r="J2536" s="14">
        <v>18622449.75</v>
      </c>
      <c r="K2536" s="12">
        <v>40808737</v>
      </c>
      <c r="L2536" s="10" t="s">
        <v>101</v>
      </c>
      <c r="M2536" s="10" t="s">
        <v>102</v>
      </c>
      <c r="N2536" s="124" t="s">
        <v>478</v>
      </c>
      <c r="O2536" s="124" t="s">
        <v>478</v>
      </c>
      <c r="P2536" s="21">
        <v>30</v>
      </c>
      <c r="Q2536" s="10" t="s">
        <v>54</v>
      </c>
      <c r="R2536" s="10" t="s">
        <v>28</v>
      </c>
      <c r="S2536" s="10"/>
      <c r="T2536" s="10"/>
      <c r="U2536" s="10" t="s">
        <v>2122</v>
      </c>
      <c r="V2536" s="10" t="s">
        <v>2122</v>
      </c>
      <c r="W2536" s="50">
        <f>+J2536/$W$2</f>
        <v>2.2791356565692164E-4</v>
      </c>
    </row>
    <row r="2537" spans="1:29">
      <c r="A2537" s="10" t="s">
        <v>2675</v>
      </c>
      <c r="B2537" s="10" t="s">
        <v>358</v>
      </c>
      <c r="C2537" s="124">
        <v>46414</v>
      </c>
      <c r="D2537" s="124" t="s">
        <v>471</v>
      </c>
      <c r="E2537" s="21">
        <v>0.92475311999999998</v>
      </c>
      <c r="F2537" s="10"/>
      <c r="G2537" s="14">
        <v>36300000</v>
      </c>
      <c r="H2537" s="14">
        <v>33568538.340000004</v>
      </c>
      <c r="I2537" s="14">
        <v>36300000</v>
      </c>
      <c r="J2537" s="14">
        <v>33568538.340000004</v>
      </c>
      <c r="K2537" s="12">
        <v>154</v>
      </c>
      <c r="L2537" s="10" t="s">
        <v>101</v>
      </c>
      <c r="M2537" s="10" t="s">
        <v>102</v>
      </c>
      <c r="N2537" s="124" t="s">
        <v>603</v>
      </c>
      <c r="O2537" s="124" t="s">
        <v>603</v>
      </c>
      <c r="P2537" s="21">
        <v>33</v>
      </c>
      <c r="Q2537" s="10" t="s">
        <v>54</v>
      </c>
      <c r="R2537" s="10" t="s">
        <v>28</v>
      </c>
      <c r="S2537" s="10"/>
      <c r="T2537" s="10"/>
      <c r="U2537" s="10" t="s">
        <v>2595</v>
      </c>
      <c r="V2537" s="10" t="s">
        <v>2595</v>
      </c>
      <c r="W2537" s="50">
        <f>+J2537/$W$2</f>
        <v>4.1083344939408319E-4</v>
      </c>
    </row>
    <row r="2538" spans="1:29">
      <c r="A2538" s="10" t="s">
        <v>2677</v>
      </c>
      <c r="B2538" s="10" t="s">
        <v>358</v>
      </c>
      <c r="C2538" s="124">
        <v>46414</v>
      </c>
      <c r="D2538" s="124" t="s">
        <v>471</v>
      </c>
      <c r="E2538" s="21">
        <v>0.92475311999999998</v>
      </c>
      <c r="F2538" s="10"/>
      <c r="G2538" s="14">
        <v>10000000</v>
      </c>
      <c r="H2538" s="14">
        <v>9247531.1999999993</v>
      </c>
      <c r="I2538" s="14">
        <v>10000000</v>
      </c>
      <c r="J2538" s="14">
        <v>9247531.1999999993</v>
      </c>
      <c r="K2538" s="12">
        <v>70407060</v>
      </c>
      <c r="L2538" s="10" t="s">
        <v>101</v>
      </c>
      <c r="M2538" s="10" t="s">
        <v>102</v>
      </c>
      <c r="N2538" s="124" t="s">
        <v>603</v>
      </c>
      <c r="O2538" s="124" t="s">
        <v>603</v>
      </c>
      <c r="P2538" s="21">
        <v>33</v>
      </c>
      <c r="Q2538" s="10" t="s">
        <v>54</v>
      </c>
      <c r="R2538" s="10" t="s">
        <v>28</v>
      </c>
      <c r="S2538" s="10"/>
      <c r="T2538" s="10"/>
      <c r="U2538" s="10" t="s">
        <v>2614</v>
      </c>
      <c r="V2538" s="10" t="s">
        <v>2614</v>
      </c>
      <c r="W2538" s="50">
        <f>+J2538/$W$2</f>
        <v>1.1317725850304046E-4</v>
      </c>
    </row>
    <row r="2539" spans="1:29">
      <c r="A2539" s="10" t="s">
        <v>443</v>
      </c>
      <c r="B2539" s="10" t="s">
        <v>358</v>
      </c>
      <c r="C2539" s="124">
        <v>46415</v>
      </c>
      <c r="D2539" s="124" t="s">
        <v>471</v>
      </c>
      <c r="E2539" s="21">
        <v>0.93041059999999998</v>
      </c>
      <c r="F2539" s="10"/>
      <c r="G2539" s="14">
        <v>5500000</v>
      </c>
      <c r="H2539" s="14">
        <v>5117258.32</v>
      </c>
      <c r="I2539" s="14">
        <v>5500000</v>
      </c>
      <c r="J2539" s="14">
        <v>5117258.32</v>
      </c>
      <c r="K2539" s="12">
        <v>987</v>
      </c>
      <c r="L2539" s="10" t="s">
        <v>101</v>
      </c>
      <c r="M2539" s="10" t="s">
        <v>102</v>
      </c>
      <c r="N2539" s="124" t="s">
        <v>469</v>
      </c>
      <c r="O2539" s="124" t="s">
        <v>469</v>
      </c>
      <c r="P2539" s="21">
        <v>30</v>
      </c>
      <c r="Q2539" s="10" t="s">
        <v>54</v>
      </c>
      <c r="R2539" s="10" t="s">
        <v>28</v>
      </c>
      <c r="S2539" s="10"/>
      <c r="T2539" s="10"/>
      <c r="U2539" s="10" t="s">
        <v>4042</v>
      </c>
      <c r="V2539" s="10" t="s">
        <v>4042</v>
      </c>
      <c r="W2539" s="50">
        <f>+J2539/$W$2</f>
        <v>6.2628311836295796E-5</v>
      </c>
    </row>
    <row r="2540" spans="1:29">
      <c r="A2540" s="10" t="s">
        <v>401</v>
      </c>
      <c r="B2540" s="10" t="s">
        <v>358</v>
      </c>
      <c r="C2540" s="124">
        <v>46415</v>
      </c>
      <c r="D2540" s="124" t="s">
        <v>471</v>
      </c>
      <c r="E2540" s="21">
        <v>0.93041057000000005</v>
      </c>
      <c r="F2540" s="10"/>
      <c r="G2540" s="14">
        <v>20000000</v>
      </c>
      <c r="H2540" s="14">
        <v>18608211.460000001</v>
      </c>
      <c r="I2540" s="14">
        <v>20000000</v>
      </c>
      <c r="J2540" s="14">
        <v>18608211.460000001</v>
      </c>
      <c r="K2540" s="12">
        <v>40808736</v>
      </c>
      <c r="L2540" s="10" t="s">
        <v>101</v>
      </c>
      <c r="M2540" s="10" t="s">
        <v>102</v>
      </c>
      <c r="N2540" s="124" t="s">
        <v>478</v>
      </c>
      <c r="O2540" s="124" t="s">
        <v>478</v>
      </c>
      <c r="P2540" s="21">
        <v>30</v>
      </c>
      <c r="Q2540" s="10" t="s">
        <v>54</v>
      </c>
      <c r="R2540" s="10" t="s">
        <v>28</v>
      </c>
      <c r="S2540" s="10"/>
      <c r="T2540" s="10"/>
      <c r="U2540" s="10" t="s">
        <v>2121</v>
      </c>
      <c r="V2540" s="10" t="s">
        <v>2121</v>
      </c>
      <c r="W2540" s="50">
        <f>+J2540/$W$2</f>
        <v>2.2773930826939628E-4</v>
      </c>
    </row>
    <row r="2541" spans="1:29">
      <c r="A2541" s="10" t="s">
        <v>453</v>
      </c>
      <c r="B2541" s="10" t="s">
        <v>358</v>
      </c>
      <c r="C2541" s="124">
        <v>46415</v>
      </c>
      <c r="D2541" s="124" t="s">
        <v>471</v>
      </c>
      <c r="E2541" s="21">
        <v>0.93912423</v>
      </c>
      <c r="F2541" s="10"/>
      <c r="G2541" s="14">
        <v>25000000</v>
      </c>
      <c r="H2541" s="14">
        <v>23478105.800000001</v>
      </c>
      <c r="I2541" s="14">
        <v>25000000</v>
      </c>
      <c r="J2541" s="14">
        <v>23478105.800000001</v>
      </c>
      <c r="K2541" s="12">
        <v>9508928</v>
      </c>
      <c r="L2541" s="10" t="s">
        <v>101</v>
      </c>
      <c r="M2541" s="10" t="s">
        <v>102</v>
      </c>
      <c r="N2541" s="124" t="s">
        <v>308</v>
      </c>
      <c r="O2541" s="124" t="s">
        <v>308</v>
      </c>
      <c r="P2541" s="21">
        <v>26</v>
      </c>
      <c r="Q2541" s="10" t="s">
        <v>54</v>
      </c>
      <c r="R2541" s="10" t="s">
        <v>28</v>
      </c>
      <c r="S2541" s="10"/>
      <c r="T2541" s="10"/>
      <c r="U2541" s="10" t="s">
        <v>740</v>
      </c>
      <c r="V2541" s="10" t="s">
        <v>740</v>
      </c>
      <c r="W2541" s="50">
        <f>+J2541/$W$2</f>
        <v>2.8734021998091057E-4</v>
      </c>
      <c r="AC2541" s="47"/>
    </row>
    <row r="2542" spans="1:29">
      <c r="A2542" s="10" t="s">
        <v>206</v>
      </c>
      <c r="B2542" s="10" t="s">
        <v>358</v>
      </c>
      <c r="C2542" s="124">
        <v>46415</v>
      </c>
      <c r="D2542" s="124" t="s">
        <v>471</v>
      </c>
      <c r="E2542" s="21">
        <v>0.92398055000000001</v>
      </c>
      <c r="F2542" s="10"/>
      <c r="G2542" s="14">
        <v>2500000</v>
      </c>
      <c r="H2542" s="14">
        <v>2309951.38</v>
      </c>
      <c r="I2542" s="14">
        <v>2500000</v>
      </c>
      <c r="J2542" s="14">
        <v>2309951.38</v>
      </c>
      <c r="K2542" s="12">
        <v>1570</v>
      </c>
      <c r="L2542" s="10" t="s">
        <v>101</v>
      </c>
      <c r="M2542" s="10" t="s">
        <v>102</v>
      </c>
      <c r="N2542" s="124" t="s">
        <v>603</v>
      </c>
      <c r="O2542" s="124" t="s">
        <v>603</v>
      </c>
      <c r="P2542" s="21">
        <v>33</v>
      </c>
      <c r="Q2542" s="10" t="s">
        <v>54</v>
      </c>
      <c r="R2542" s="10" t="s">
        <v>28</v>
      </c>
      <c r="S2542" s="10"/>
      <c r="T2542" s="10"/>
      <c r="U2542" s="10" t="s">
        <v>2631</v>
      </c>
      <c r="V2542" s="10" t="s">
        <v>2631</v>
      </c>
      <c r="W2542" s="50">
        <f>+J2542/$W$2</f>
        <v>2.8270676660568071E-5</v>
      </c>
    </row>
    <row r="2543" spans="1:29">
      <c r="A2543" s="10" t="s">
        <v>334</v>
      </c>
      <c r="B2543" s="10" t="s">
        <v>358</v>
      </c>
      <c r="C2543" s="124">
        <v>46415</v>
      </c>
      <c r="D2543" s="124" t="s">
        <v>471</v>
      </c>
      <c r="E2543" s="21">
        <v>0.91763897000000005</v>
      </c>
      <c r="F2543" s="10"/>
      <c r="G2543" s="14">
        <v>2440210.56</v>
      </c>
      <c r="H2543" s="14">
        <v>2239232.2999999998</v>
      </c>
      <c r="I2543" s="14">
        <v>2440210.56</v>
      </c>
      <c r="J2543" s="14">
        <v>2239232.2999999998</v>
      </c>
      <c r="K2543" s="12">
        <v>3726</v>
      </c>
      <c r="L2543" s="10" t="s">
        <v>101</v>
      </c>
      <c r="M2543" s="10" t="s">
        <v>102</v>
      </c>
      <c r="N2543" s="124" t="s">
        <v>445</v>
      </c>
      <c r="O2543" s="124" t="s">
        <v>445</v>
      </c>
      <c r="P2543" s="21">
        <v>36</v>
      </c>
      <c r="Q2543" s="10" t="s">
        <v>54</v>
      </c>
      <c r="R2543" s="10" t="s">
        <v>28</v>
      </c>
      <c r="S2543" s="10"/>
      <c r="T2543" s="10"/>
      <c r="U2543" s="10" t="s">
        <v>2859</v>
      </c>
      <c r="V2543" s="10" t="s">
        <v>2859</v>
      </c>
      <c r="W2543" s="50">
        <f>+J2543/$W$2</f>
        <v>2.7405170892038499E-5</v>
      </c>
    </row>
    <row r="2544" spans="1:29">
      <c r="A2544" s="10" t="s">
        <v>984</v>
      </c>
      <c r="B2544" s="10" t="s">
        <v>358</v>
      </c>
      <c r="C2544" s="124">
        <v>46415</v>
      </c>
      <c r="D2544" s="124" t="s">
        <v>471</v>
      </c>
      <c r="E2544" s="21">
        <v>0.92611405000000002</v>
      </c>
      <c r="F2544" s="10"/>
      <c r="G2544" s="14">
        <v>37500000</v>
      </c>
      <c r="H2544" s="14">
        <v>34729276.850000001</v>
      </c>
      <c r="I2544" s="14">
        <v>37500000</v>
      </c>
      <c r="J2544" s="14">
        <v>34729276.850000001</v>
      </c>
      <c r="K2544" s="12">
        <v>90000193</v>
      </c>
      <c r="L2544" s="10" t="s">
        <v>101</v>
      </c>
      <c r="M2544" s="10" t="s">
        <v>102</v>
      </c>
      <c r="N2544" s="124" t="s">
        <v>452</v>
      </c>
      <c r="O2544" s="124" t="s">
        <v>452</v>
      </c>
      <c r="P2544" s="21">
        <v>32</v>
      </c>
      <c r="Q2544" s="10" t="s">
        <v>54</v>
      </c>
      <c r="R2544" s="10" t="s">
        <v>28</v>
      </c>
      <c r="S2544" s="10"/>
      <c r="T2544" s="10"/>
      <c r="U2544" s="10" t="s">
        <v>2533</v>
      </c>
      <c r="V2544" s="10" t="s">
        <v>2533</v>
      </c>
      <c r="W2544" s="50">
        <f>+J2544/$W$2</f>
        <v>4.2503931683692068E-4</v>
      </c>
    </row>
    <row r="2545" spans="1:29">
      <c r="A2545" s="10" t="s">
        <v>623</v>
      </c>
      <c r="B2545" s="10" t="s">
        <v>358</v>
      </c>
      <c r="C2545" s="124">
        <v>46415</v>
      </c>
      <c r="D2545" s="124" t="s">
        <v>471</v>
      </c>
      <c r="E2545" s="21">
        <v>0.92398062000000003</v>
      </c>
      <c r="F2545" s="10"/>
      <c r="G2545" s="14">
        <v>2500000</v>
      </c>
      <c r="H2545" s="14">
        <v>2309951.56</v>
      </c>
      <c r="I2545" s="14">
        <v>2500000</v>
      </c>
      <c r="J2545" s="14">
        <v>2309951.56</v>
      </c>
      <c r="K2545" s="12">
        <v>29</v>
      </c>
      <c r="L2545" s="10" t="s">
        <v>101</v>
      </c>
      <c r="M2545" s="10" t="s">
        <v>102</v>
      </c>
      <c r="N2545" s="124" t="s">
        <v>508</v>
      </c>
      <c r="O2545" s="124" t="s">
        <v>508</v>
      </c>
      <c r="P2545" s="21">
        <v>33</v>
      </c>
      <c r="Q2545" s="10" t="s">
        <v>54</v>
      </c>
      <c r="R2545" s="10" t="s">
        <v>28</v>
      </c>
      <c r="S2545" s="10"/>
      <c r="T2545" s="10"/>
      <c r="U2545" s="10" t="s">
        <v>3018</v>
      </c>
      <c r="V2545" s="10" t="s">
        <v>3018</v>
      </c>
      <c r="W2545" s="50">
        <f>+J2545/$W$2</f>
        <v>2.8270678863524309E-5</v>
      </c>
    </row>
    <row r="2546" spans="1:29">
      <c r="A2546" s="10" t="s">
        <v>3775</v>
      </c>
      <c r="B2546" s="10" t="s">
        <v>358</v>
      </c>
      <c r="C2546" s="124">
        <v>46415</v>
      </c>
      <c r="D2546" s="124" t="s">
        <v>471</v>
      </c>
      <c r="E2546" s="21">
        <v>0.92825727000000002</v>
      </c>
      <c r="F2546" s="10"/>
      <c r="G2546" s="14">
        <v>5000000</v>
      </c>
      <c r="H2546" s="14">
        <v>4641286.3499999996</v>
      </c>
      <c r="I2546" s="14">
        <v>5000000</v>
      </c>
      <c r="J2546" s="14">
        <v>4641286.3499999996</v>
      </c>
      <c r="K2546" s="12">
        <v>454</v>
      </c>
      <c r="L2546" s="10" t="s">
        <v>101</v>
      </c>
      <c r="M2546" s="10" t="s">
        <v>102</v>
      </c>
      <c r="N2546" s="124" t="s">
        <v>467</v>
      </c>
      <c r="O2546" s="124" t="s">
        <v>467</v>
      </c>
      <c r="P2546" s="21">
        <v>31</v>
      </c>
      <c r="Q2546" s="10" t="s">
        <v>54</v>
      </c>
      <c r="R2546" s="10" t="s">
        <v>28</v>
      </c>
      <c r="S2546" s="10"/>
      <c r="T2546" s="10"/>
      <c r="U2546" s="10" t="s">
        <v>3721</v>
      </c>
      <c r="V2546" s="10" t="s">
        <v>3721</v>
      </c>
      <c r="W2546" s="50">
        <f>+J2546/$W$2</f>
        <v>5.6803059504204012E-5</v>
      </c>
    </row>
    <row r="2547" spans="1:29">
      <c r="A2547" s="10" t="s">
        <v>574</v>
      </c>
      <c r="B2547" s="10" t="s">
        <v>358</v>
      </c>
      <c r="C2547" s="124">
        <v>46415</v>
      </c>
      <c r="D2547" s="124" t="s">
        <v>471</v>
      </c>
      <c r="E2547" s="21">
        <v>0.93041048999999998</v>
      </c>
      <c r="F2547" s="10"/>
      <c r="G2547" s="14">
        <v>25000000</v>
      </c>
      <c r="H2547" s="14">
        <v>23260262.27</v>
      </c>
      <c r="I2547" s="14">
        <v>25000000</v>
      </c>
      <c r="J2547" s="14">
        <v>23260262.27</v>
      </c>
      <c r="K2547" s="12">
        <v>90004236</v>
      </c>
      <c r="L2547" s="10" t="s">
        <v>101</v>
      </c>
      <c r="M2547" s="10" t="s">
        <v>102</v>
      </c>
      <c r="N2547" s="124" t="s">
        <v>576</v>
      </c>
      <c r="O2547" s="124" t="s">
        <v>576</v>
      </c>
      <c r="P2547" s="21">
        <v>30</v>
      </c>
      <c r="Q2547" s="10" t="s">
        <v>54</v>
      </c>
      <c r="R2547" s="10" t="s">
        <v>28</v>
      </c>
      <c r="S2547" s="10"/>
      <c r="T2547" s="10"/>
      <c r="U2547" s="10" t="s">
        <v>2355</v>
      </c>
      <c r="V2547" s="10" t="s">
        <v>2355</v>
      </c>
      <c r="W2547" s="50">
        <f>+J2547/$W$2</f>
        <v>2.8467411018632833E-4</v>
      </c>
    </row>
    <row r="2548" spans="1:29">
      <c r="A2548" s="10" t="s">
        <v>362</v>
      </c>
      <c r="B2548" s="10" t="s">
        <v>358</v>
      </c>
      <c r="C2548" s="124">
        <v>46415</v>
      </c>
      <c r="D2548" s="124" t="s">
        <v>471</v>
      </c>
      <c r="E2548" s="21">
        <v>0.92398049999999998</v>
      </c>
      <c r="F2548" s="10"/>
      <c r="G2548" s="14">
        <v>7692308</v>
      </c>
      <c r="H2548" s="14">
        <v>7107542.5700000003</v>
      </c>
      <c r="I2548" s="14">
        <v>7692308</v>
      </c>
      <c r="J2548" s="14">
        <v>7107542.5700000003</v>
      </c>
      <c r="K2548" s="12">
        <v>4447</v>
      </c>
      <c r="L2548" s="10" t="s">
        <v>101</v>
      </c>
      <c r="M2548" s="10" t="s">
        <v>102</v>
      </c>
      <c r="N2548" s="124" t="s">
        <v>466</v>
      </c>
      <c r="O2548" s="124" t="s">
        <v>466</v>
      </c>
      <c r="P2548" s="21">
        <v>33</v>
      </c>
      <c r="Q2548" s="10" t="s">
        <v>54</v>
      </c>
      <c r="R2548" s="10" t="s">
        <v>28</v>
      </c>
      <c r="S2548" s="10"/>
      <c r="T2548" s="10"/>
      <c r="U2548" s="10" t="s">
        <v>3610</v>
      </c>
      <c r="V2548" s="10" t="s">
        <v>3610</v>
      </c>
      <c r="W2548" s="50">
        <f>+J2548/$W$2</f>
        <v>8.6986695731965159E-5</v>
      </c>
    </row>
    <row r="2549" spans="1:29">
      <c r="A2549" s="10" t="s">
        <v>482</v>
      </c>
      <c r="B2549" s="10" t="s">
        <v>358</v>
      </c>
      <c r="C2549" s="124">
        <v>46415</v>
      </c>
      <c r="D2549" s="124" t="s">
        <v>471</v>
      </c>
      <c r="E2549" s="21">
        <v>0.92825727000000002</v>
      </c>
      <c r="F2549" s="10"/>
      <c r="G2549" s="14">
        <v>5000000</v>
      </c>
      <c r="H2549" s="14">
        <v>4641286.3499999996</v>
      </c>
      <c r="I2549" s="14">
        <v>5000000</v>
      </c>
      <c r="J2549" s="14">
        <v>4641286.3499999996</v>
      </c>
      <c r="K2549" s="12">
        <v>14693861</v>
      </c>
      <c r="L2549" s="10" t="s">
        <v>101</v>
      </c>
      <c r="M2549" s="10" t="s">
        <v>102</v>
      </c>
      <c r="N2549" s="124" t="s">
        <v>467</v>
      </c>
      <c r="O2549" s="124" t="s">
        <v>467</v>
      </c>
      <c r="P2549" s="21">
        <v>31</v>
      </c>
      <c r="Q2549" s="10" t="s">
        <v>54</v>
      </c>
      <c r="R2549" s="10" t="s">
        <v>28</v>
      </c>
      <c r="S2549" s="10"/>
      <c r="T2549" s="10"/>
      <c r="U2549" s="10" t="s">
        <v>3710</v>
      </c>
      <c r="V2549" s="10" t="s">
        <v>3710</v>
      </c>
      <c r="W2549" s="50">
        <f>+J2549/$W$2</f>
        <v>5.6803059504204012E-5</v>
      </c>
    </row>
    <row r="2550" spans="1:29">
      <c r="A2550" s="10" t="s">
        <v>3401</v>
      </c>
      <c r="B2550" s="10" t="s">
        <v>358</v>
      </c>
      <c r="C2550" s="124">
        <v>46415</v>
      </c>
      <c r="D2550" s="124" t="s">
        <v>471</v>
      </c>
      <c r="E2550" s="21">
        <v>0.93041048000000004</v>
      </c>
      <c r="F2550" s="10"/>
      <c r="G2550" s="14">
        <v>5850000</v>
      </c>
      <c r="H2550" s="14">
        <v>5442901.2999999998</v>
      </c>
      <c r="I2550" s="14">
        <v>5850000</v>
      </c>
      <c r="J2550" s="14">
        <v>5442901.2999999998</v>
      </c>
      <c r="K2550" s="12">
        <v>69910395</v>
      </c>
      <c r="L2550" s="10" t="s">
        <v>101</v>
      </c>
      <c r="M2550" s="10" t="s">
        <v>102</v>
      </c>
      <c r="N2550" s="124" t="s">
        <v>475</v>
      </c>
      <c r="O2550" s="124" t="s">
        <v>475</v>
      </c>
      <c r="P2550" s="21">
        <v>30</v>
      </c>
      <c r="Q2550" s="10" t="s">
        <v>54</v>
      </c>
      <c r="R2550" s="10" t="s">
        <v>28</v>
      </c>
      <c r="S2550" s="10"/>
      <c r="T2550" s="10"/>
      <c r="U2550" s="10" t="s">
        <v>3341</v>
      </c>
      <c r="V2550" s="10" t="s">
        <v>3341</v>
      </c>
      <c r="W2550" s="50">
        <f>+J2550/$W$2</f>
        <v>6.6613740912454023E-5</v>
      </c>
    </row>
    <row r="2551" spans="1:29">
      <c r="A2551" s="10" t="s">
        <v>367</v>
      </c>
      <c r="B2551" s="10" t="s">
        <v>358</v>
      </c>
      <c r="C2551" s="124">
        <v>46415</v>
      </c>
      <c r="D2551" s="124" t="s">
        <v>471</v>
      </c>
      <c r="E2551" s="21">
        <v>0.92398060000000004</v>
      </c>
      <c r="F2551" s="10"/>
      <c r="G2551" s="14">
        <v>2000000</v>
      </c>
      <c r="H2551" s="14">
        <v>1847961.21</v>
      </c>
      <c r="I2551" s="14">
        <v>2000000</v>
      </c>
      <c r="J2551" s="14">
        <v>1847961.21</v>
      </c>
      <c r="K2551" s="12">
        <v>44</v>
      </c>
      <c r="L2551" s="10" t="s">
        <v>101</v>
      </c>
      <c r="M2551" s="10" t="s">
        <v>102</v>
      </c>
      <c r="N2551" s="124" t="s">
        <v>442</v>
      </c>
      <c r="O2551" s="124" t="s">
        <v>442</v>
      </c>
      <c r="P2551" s="21">
        <v>33</v>
      </c>
      <c r="Q2551" s="10" t="s">
        <v>54</v>
      </c>
      <c r="R2551" s="10" t="s">
        <v>28</v>
      </c>
      <c r="S2551" s="10"/>
      <c r="T2551" s="10"/>
      <c r="U2551" s="10" t="s">
        <v>990</v>
      </c>
      <c r="V2551" s="10" t="s">
        <v>990</v>
      </c>
      <c r="W2551" s="50">
        <f>+J2551/$W$2</f>
        <v>2.2616542625750907E-5</v>
      </c>
    </row>
    <row r="2552" spans="1:29">
      <c r="A2552" s="10" t="s">
        <v>2485</v>
      </c>
      <c r="B2552" s="10" t="s">
        <v>358</v>
      </c>
      <c r="C2552" s="124">
        <v>46415</v>
      </c>
      <c r="D2552" s="124" t="s">
        <v>471</v>
      </c>
      <c r="E2552" s="21">
        <v>0.92825738000000002</v>
      </c>
      <c r="F2552" s="10"/>
      <c r="G2552" s="14">
        <v>6509893.4400000004</v>
      </c>
      <c r="H2552" s="14">
        <v>6042856.6299999999</v>
      </c>
      <c r="I2552" s="14">
        <v>6509893.4400000004</v>
      </c>
      <c r="J2552" s="14">
        <v>6042856.6299999999</v>
      </c>
      <c r="K2552" s="12">
        <v>11548</v>
      </c>
      <c r="L2552" s="10" t="s">
        <v>101</v>
      </c>
      <c r="M2552" s="10" t="s">
        <v>102</v>
      </c>
      <c r="N2552" s="124" t="s">
        <v>451</v>
      </c>
      <c r="O2552" s="124" t="s">
        <v>451</v>
      </c>
      <c r="P2552" s="21">
        <v>31</v>
      </c>
      <c r="Q2552" s="10" t="s">
        <v>54</v>
      </c>
      <c r="R2552" s="10" t="s">
        <v>28</v>
      </c>
      <c r="S2552" s="10"/>
      <c r="T2552" s="10"/>
      <c r="U2552" s="10" t="s">
        <v>3446</v>
      </c>
      <c r="V2552" s="10" t="s">
        <v>3446</v>
      </c>
      <c r="W2552" s="50">
        <f>+J2552/$W$2</f>
        <v>7.395638166760897E-5</v>
      </c>
    </row>
    <row r="2553" spans="1:29">
      <c r="A2553" s="10" t="s">
        <v>2485</v>
      </c>
      <c r="B2553" s="10" t="s">
        <v>358</v>
      </c>
      <c r="C2553" s="124">
        <v>46415</v>
      </c>
      <c r="D2553" s="124" t="s">
        <v>471</v>
      </c>
      <c r="E2553" s="21">
        <v>0.92825738000000002</v>
      </c>
      <c r="F2553" s="10"/>
      <c r="G2553" s="14">
        <v>6509893.4400000004</v>
      </c>
      <c r="H2553" s="14">
        <v>6042856.6299999999</v>
      </c>
      <c r="I2553" s="14">
        <v>6509893.4400000004</v>
      </c>
      <c r="J2553" s="14">
        <v>6042856.6299999999</v>
      </c>
      <c r="K2553" s="12">
        <v>11549</v>
      </c>
      <c r="L2553" s="10" t="s">
        <v>101</v>
      </c>
      <c r="M2553" s="10" t="s">
        <v>102</v>
      </c>
      <c r="N2553" s="124" t="s">
        <v>451</v>
      </c>
      <c r="O2553" s="124" t="s">
        <v>451</v>
      </c>
      <c r="P2553" s="21">
        <v>31</v>
      </c>
      <c r="Q2553" s="10" t="s">
        <v>54</v>
      </c>
      <c r="R2553" s="10" t="s">
        <v>28</v>
      </c>
      <c r="S2553" s="10"/>
      <c r="T2553" s="10"/>
      <c r="U2553" s="10" t="s">
        <v>3447</v>
      </c>
      <c r="V2553" s="10" t="s">
        <v>3447</v>
      </c>
      <c r="W2553" s="50">
        <f>+J2553/$W$2</f>
        <v>7.395638166760897E-5</v>
      </c>
    </row>
    <row r="2554" spans="1:29">
      <c r="A2554" s="10" t="s">
        <v>2538</v>
      </c>
      <c r="B2554" s="10" t="s">
        <v>358</v>
      </c>
      <c r="C2554" s="124">
        <v>46415</v>
      </c>
      <c r="D2554" s="124" t="s">
        <v>471</v>
      </c>
      <c r="E2554" s="21">
        <v>0.92611405000000002</v>
      </c>
      <c r="F2554" s="10"/>
      <c r="G2554" s="14">
        <v>11145337.859999999</v>
      </c>
      <c r="H2554" s="14">
        <v>10321853.98</v>
      </c>
      <c r="I2554" s="14">
        <v>11145337.859999999</v>
      </c>
      <c r="J2554" s="14">
        <v>10321853.98</v>
      </c>
      <c r="K2554" s="12">
        <v>18</v>
      </c>
      <c r="L2554" s="10" t="s">
        <v>101</v>
      </c>
      <c r="M2554" s="10" t="s">
        <v>102</v>
      </c>
      <c r="N2554" s="124" t="s">
        <v>452</v>
      </c>
      <c r="O2554" s="124" t="s">
        <v>452</v>
      </c>
      <c r="P2554" s="21">
        <v>32</v>
      </c>
      <c r="Q2554" s="10" t="s">
        <v>54</v>
      </c>
      <c r="R2554" s="10" t="s">
        <v>28</v>
      </c>
      <c r="S2554" s="10"/>
      <c r="T2554" s="10"/>
      <c r="U2554" s="10" t="s">
        <v>2512</v>
      </c>
      <c r="V2554" s="10" t="s">
        <v>2512</v>
      </c>
      <c r="W2554" s="50">
        <f>+J2554/$W$2</f>
        <v>1.2632551443839379E-4</v>
      </c>
    </row>
    <row r="2555" spans="1:29">
      <c r="A2555" s="10" t="s">
        <v>1831</v>
      </c>
      <c r="B2555" s="10" t="s">
        <v>358</v>
      </c>
      <c r="C2555" s="124">
        <v>46416</v>
      </c>
      <c r="D2555" s="124" t="s">
        <v>471</v>
      </c>
      <c r="E2555" s="21">
        <v>0.92536264999999995</v>
      </c>
      <c r="F2555" s="10"/>
      <c r="G2555" s="14">
        <v>5000000</v>
      </c>
      <c r="H2555" s="14">
        <v>4626813.2300000004</v>
      </c>
      <c r="I2555" s="14">
        <v>5000000</v>
      </c>
      <c r="J2555" s="14">
        <v>4626813.2300000004</v>
      </c>
      <c r="K2555" s="12">
        <v>1826</v>
      </c>
      <c r="L2555" s="10" t="s">
        <v>101</v>
      </c>
      <c r="M2555" s="10" t="s">
        <v>102</v>
      </c>
      <c r="N2555" s="124" t="s">
        <v>449</v>
      </c>
      <c r="O2555" s="124" t="s">
        <v>449</v>
      </c>
      <c r="P2555" s="21">
        <v>32</v>
      </c>
      <c r="Q2555" s="10" t="s">
        <v>54</v>
      </c>
      <c r="R2555" s="10" t="s">
        <v>28</v>
      </c>
      <c r="S2555" s="10"/>
      <c r="T2555" s="10"/>
      <c r="U2555" s="10" t="s">
        <v>2012</v>
      </c>
      <c r="V2555" s="10" t="s">
        <v>2012</v>
      </c>
      <c r="W2555" s="50">
        <f>+J2555/$W$2</f>
        <v>5.6625928115495049E-5</v>
      </c>
    </row>
    <row r="2556" spans="1:29">
      <c r="A2556" s="10" t="s">
        <v>2079</v>
      </c>
      <c r="B2556" s="10" t="s">
        <v>358</v>
      </c>
      <c r="C2556" s="124">
        <v>46416</v>
      </c>
      <c r="D2556" s="124" t="s">
        <v>471</v>
      </c>
      <c r="E2556" s="21">
        <v>0.92969944999999998</v>
      </c>
      <c r="F2556" s="10"/>
      <c r="G2556" s="14">
        <v>28000000</v>
      </c>
      <c r="H2556" s="14">
        <v>26031584.68</v>
      </c>
      <c r="I2556" s="14">
        <v>28000000</v>
      </c>
      <c r="J2556" s="14">
        <v>26031584.68</v>
      </c>
      <c r="K2556" s="12">
        <v>52505</v>
      </c>
      <c r="L2556" s="10" t="s">
        <v>101</v>
      </c>
      <c r="M2556" s="10" t="s">
        <v>102</v>
      </c>
      <c r="N2556" s="124" t="s">
        <v>475</v>
      </c>
      <c r="O2556" s="124" t="s">
        <v>475</v>
      </c>
      <c r="P2556" s="21">
        <v>30</v>
      </c>
      <c r="Q2556" s="10" t="s">
        <v>54</v>
      </c>
      <c r="R2556" s="10" t="s">
        <v>28</v>
      </c>
      <c r="S2556" s="10"/>
      <c r="T2556" s="10"/>
      <c r="U2556" s="10" t="s">
        <v>3396</v>
      </c>
      <c r="V2556" s="10" t="s">
        <v>3396</v>
      </c>
      <c r="W2556" s="50">
        <f>+J2556/$W$2</f>
        <v>3.1859134344657826E-4</v>
      </c>
      <c r="AC2556" s="47"/>
    </row>
    <row r="2557" spans="1:29">
      <c r="A2557" s="10" t="s">
        <v>401</v>
      </c>
      <c r="B2557" s="10" t="s">
        <v>358</v>
      </c>
      <c r="C2557" s="124">
        <v>46416</v>
      </c>
      <c r="D2557" s="124" t="s">
        <v>471</v>
      </c>
      <c r="E2557" s="21">
        <v>0.93628166999999995</v>
      </c>
      <c r="F2557" s="10"/>
      <c r="G2557" s="14">
        <v>10000000</v>
      </c>
      <c r="H2557" s="14">
        <v>9362816.7300000004</v>
      </c>
      <c r="I2557" s="14">
        <v>10000000</v>
      </c>
      <c r="J2557" s="14">
        <v>9362816.7300000004</v>
      </c>
      <c r="K2557" s="12">
        <v>72</v>
      </c>
      <c r="L2557" s="10" t="s">
        <v>101</v>
      </c>
      <c r="M2557" s="10" t="s">
        <v>102</v>
      </c>
      <c r="N2557" s="124" t="s">
        <v>469</v>
      </c>
      <c r="O2557" s="124" t="s">
        <v>469</v>
      </c>
      <c r="P2557" s="21">
        <v>27</v>
      </c>
      <c r="Q2557" s="10" t="s">
        <v>54</v>
      </c>
      <c r="R2557" s="10" t="s">
        <v>28</v>
      </c>
      <c r="S2557" s="10"/>
      <c r="T2557" s="10"/>
      <c r="U2557" s="10" t="s">
        <v>3947</v>
      </c>
      <c r="V2557" s="10" t="s">
        <v>3947</v>
      </c>
      <c r="W2557" s="50">
        <f>+J2557/$W$2</f>
        <v>1.1458819726586076E-4</v>
      </c>
    </row>
    <row r="2558" spans="1:29">
      <c r="A2558" s="10" t="s">
        <v>401</v>
      </c>
      <c r="B2558" s="10" t="s">
        <v>358</v>
      </c>
      <c r="C2558" s="124">
        <v>46416</v>
      </c>
      <c r="D2558" s="124" t="s">
        <v>471</v>
      </c>
      <c r="E2558" s="21">
        <v>0.93628166999999995</v>
      </c>
      <c r="F2558" s="10"/>
      <c r="G2558" s="14">
        <v>20000000</v>
      </c>
      <c r="H2558" s="14">
        <v>18725633.460000001</v>
      </c>
      <c r="I2558" s="14">
        <v>20000000</v>
      </c>
      <c r="J2558" s="14">
        <v>18725633.460000001</v>
      </c>
      <c r="K2558" s="12">
        <v>70</v>
      </c>
      <c r="L2558" s="10" t="s">
        <v>101</v>
      </c>
      <c r="M2558" s="10" t="s">
        <v>102</v>
      </c>
      <c r="N2558" s="124" t="s">
        <v>469</v>
      </c>
      <c r="O2558" s="124" t="s">
        <v>469</v>
      </c>
      <c r="P2558" s="21">
        <v>27</v>
      </c>
      <c r="Q2558" s="10" t="s">
        <v>54</v>
      </c>
      <c r="R2558" s="10" t="s">
        <v>28</v>
      </c>
      <c r="S2558" s="10"/>
      <c r="T2558" s="10"/>
      <c r="U2558" s="10" t="s">
        <v>3948</v>
      </c>
      <c r="V2558" s="10" t="s">
        <v>3948</v>
      </c>
      <c r="W2558" s="50">
        <f>+J2558/$W$2</f>
        <v>2.2917639453172152E-4</v>
      </c>
    </row>
    <row r="2559" spans="1:29">
      <c r="A2559" s="10" t="s">
        <v>401</v>
      </c>
      <c r="B2559" s="10" t="s">
        <v>358</v>
      </c>
      <c r="C2559" s="124">
        <v>46416</v>
      </c>
      <c r="D2559" s="124" t="s">
        <v>471</v>
      </c>
      <c r="E2559" s="21">
        <v>0.93628166999999995</v>
      </c>
      <c r="F2559" s="10"/>
      <c r="G2559" s="14">
        <v>20000000</v>
      </c>
      <c r="H2559" s="14">
        <v>18725633.460000001</v>
      </c>
      <c r="I2559" s="14">
        <v>20000000</v>
      </c>
      <c r="J2559" s="14">
        <v>18725633.460000001</v>
      </c>
      <c r="K2559" s="12">
        <v>71</v>
      </c>
      <c r="L2559" s="10" t="s">
        <v>101</v>
      </c>
      <c r="M2559" s="10" t="s">
        <v>102</v>
      </c>
      <c r="N2559" s="124" t="s">
        <v>469</v>
      </c>
      <c r="O2559" s="124" t="s">
        <v>469</v>
      </c>
      <c r="P2559" s="21">
        <v>27</v>
      </c>
      <c r="Q2559" s="10" t="s">
        <v>54</v>
      </c>
      <c r="R2559" s="10" t="s">
        <v>28</v>
      </c>
      <c r="S2559" s="10"/>
      <c r="T2559" s="10"/>
      <c r="U2559" s="10" t="s">
        <v>3949</v>
      </c>
      <c r="V2559" s="10" t="s">
        <v>3949</v>
      </c>
      <c r="W2559" s="50">
        <f>+J2559/$W$2</f>
        <v>2.2917639453172152E-4</v>
      </c>
    </row>
    <row r="2560" spans="1:29">
      <c r="A2560" s="10" t="s">
        <v>206</v>
      </c>
      <c r="B2560" s="10" t="s">
        <v>358</v>
      </c>
      <c r="C2560" s="124">
        <v>46416</v>
      </c>
      <c r="D2560" s="124" t="s">
        <v>471</v>
      </c>
      <c r="E2560" s="21">
        <v>0.92320924000000004</v>
      </c>
      <c r="F2560" s="10"/>
      <c r="G2560" s="14">
        <v>2500000</v>
      </c>
      <c r="H2560" s="14">
        <v>2308023.11</v>
      </c>
      <c r="I2560" s="14">
        <v>2500000</v>
      </c>
      <c r="J2560" s="14">
        <v>2308023.11</v>
      </c>
      <c r="K2560" s="12">
        <v>1571</v>
      </c>
      <c r="L2560" s="10" t="s">
        <v>101</v>
      </c>
      <c r="M2560" s="10" t="s">
        <v>102</v>
      </c>
      <c r="N2560" s="124" t="s">
        <v>603</v>
      </c>
      <c r="O2560" s="124" t="s">
        <v>603</v>
      </c>
      <c r="P2560" s="21">
        <v>33</v>
      </c>
      <c r="Q2560" s="10" t="s">
        <v>54</v>
      </c>
      <c r="R2560" s="10" t="s">
        <v>28</v>
      </c>
      <c r="S2560" s="10"/>
      <c r="T2560" s="10"/>
      <c r="U2560" s="10" t="s">
        <v>2632</v>
      </c>
      <c r="V2560" s="10" t="s">
        <v>2632</v>
      </c>
      <c r="W2560" s="50">
        <f>+J2560/$W$2</f>
        <v>2.824707724711017E-5</v>
      </c>
    </row>
    <row r="2561" spans="1:29">
      <c r="A2561" s="10" t="s">
        <v>575</v>
      </c>
      <c r="B2561" s="10" t="s">
        <v>358</v>
      </c>
      <c r="C2561" s="124">
        <v>46416</v>
      </c>
      <c r="D2561" s="124" t="s">
        <v>471</v>
      </c>
      <c r="E2561" s="21">
        <v>0.92320926000000003</v>
      </c>
      <c r="F2561" s="10"/>
      <c r="G2561" s="14">
        <v>2200000</v>
      </c>
      <c r="H2561" s="14">
        <v>2031060.37</v>
      </c>
      <c r="I2561" s="14">
        <v>2200000</v>
      </c>
      <c r="J2561" s="14">
        <v>2031060.37</v>
      </c>
      <c r="K2561" s="12">
        <v>6768</v>
      </c>
      <c r="L2561" s="10" t="s">
        <v>101</v>
      </c>
      <c r="M2561" s="10" t="s">
        <v>102</v>
      </c>
      <c r="N2561" s="124" t="s">
        <v>603</v>
      </c>
      <c r="O2561" s="124" t="s">
        <v>603</v>
      </c>
      <c r="P2561" s="21">
        <v>33</v>
      </c>
      <c r="Q2561" s="10" t="s">
        <v>54</v>
      </c>
      <c r="R2561" s="10" t="s">
        <v>28</v>
      </c>
      <c r="S2561" s="10"/>
      <c r="T2561" s="10"/>
      <c r="U2561" s="10" t="s">
        <v>2624</v>
      </c>
      <c r="V2561" s="10" t="s">
        <v>2624</v>
      </c>
      <c r="W2561" s="50">
        <f>+J2561/$W$2</f>
        <v>2.485742838377999E-5</v>
      </c>
    </row>
    <row r="2562" spans="1:29">
      <c r="A2562" s="10" t="s">
        <v>334</v>
      </c>
      <c r="B2562" s="10" t="s">
        <v>358</v>
      </c>
      <c r="C2562" s="124">
        <v>46416</v>
      </c>
      <c r="D2562" s="124" t="s">
        <v>471</v>
      </c>
      <c r="E2562" s="21">
        <v>0.91680912000000003</v>
      </c>
      <c r="F2562" s="10"/>
      <c r="G2562" s="14">
        <v>2440210.56</v>
      </c>
      <c r="H2562" s="14">
        <v>2237207.2999999998</v>
      </c>
      <c r="I2562" s="14">
        <v>2440210.56</v>
      </c>
      <c r="J2562" s="14">
        <v>2237207.2999999998</v>
      </c>
      <c r="K2562" s="12">
        <v>3727</v>
      </c>
      <c r="L2562" s="10" t="s">
        <v>101</v>
      </c>
      <c r="M2562" s="10" t="s">
        <v>102</v>
      </c>
      <c r="N2562" s="124" t="s">
        <v>445</v>
      </c>
      <c r="O2562" s="124" t="s">
        <v>445</v>
      </c>
      <c r="P2562" s="21">
        <v>36</v>
      </c>
      <c r="Q2562" s="10" t="s">
        <v>54</v>
      </c>
      <c r="R2562" s="10" t="s">
        <v>28</v>
      </c>
      <c r="S2562" s="10"/>
      <c r="T2562" s="10"/>
      <c r="U2562" s="10" t="s">
        <v>2860</v>
      </c>
      <c r="V2562" s="10" t="s">
        <v>2860</v>
      </c>
      <c r="W2562" s="50">
        <f>+J2562/$W$2</f>
        <v>2.7380387634376318E-5</v>
      </c>
      <c r="AC2562" s="47"/>
    </row>
    <row r="2563" spans="1:29">
      <c r="A2563" s="10" t="s">
        <v>495</v>
      </c>
      <c r="B2563" s="10" t="s">
        <v>358</v>
      </c>
      <c r="C2563" s="124">
        <v>46416</v>
      </c>
      <c r="D2563" s="124" t="s">
        <v>471</v>
      </c>
      <c r="E2563" s="21">
        <v>0.92969944000000004</v>
      </c>
      <c r="F2563" s="10"/>
      <c r="G2563" s="14">
        <v>50000000</v>
      </c>
      <c r="H2563" s="14">
        <v>46484972.090000004</v>
      </c>
      <c r="I2563" s="14">
        <v>50000000</v>
      </c>
      <c r="J2563" s="14">
        <v>46484972.090000004</v>
      </c>
      <c r="K2563" s="12">
        <v>6859</v>
      </c>
      <c r="L2563" s="10" t="s">
        <v>101</v>
      </c>
      <c r="M2563" s="10" t="s">
        <v>102</v>
      </c>
      <c r="N2563" s="124" t="s">
        <v>395</v>
      </c>
      <c r="O2563" s="124" t="s">
        <v>395</v>
      </c>
      <c r="P2563" s="21">
        <v>30</v>
      </c>
      <c r="Q2563" s="10" t="s">
        <v>54</v>
      </c>
      <c r="R2563" s="10" t="s">
        <v>28</v>
      </c>
      <c r="S2563" s="10"/>
      <c r="T2563" s="10"/>
      <c r="U2563" s="10" t="s">
        <v>1812</v>
      </c>
      <c r="V2563" s="10" t="s">
        <v>1812</v>
      </c>
      <c r="W2563" s="50">
        <f>+J2563/$W$2</f>
        <v>5.6891310653123847E-4</v>
      </c>
      <c r="AC2563" s="47"/>
    </row>
    <row r="2564" spans="1:29">
      <c r="A2564" s="10" t="s">
        <v>3778</v>
      </c>
      <c r="B2564" s="10" t="s">
        <v>358</v>
      </c>
      <c r="C2564" s="124">
        <v>46416</v>
      </c>
      <c r="D2564" s="124" t="s">
        <v>471</v>
      </c>
      <c r="E2564" s="21">
        <v>0.92320926999999997</v>
      </c>
      <c r="F2564" s="10"/>
      <c r="G2564" s="14">
        <v>3077616.76</v>
      </c>
      <c r="H2564" s="14">
        <v>2841284.31</v>
      </c>
      <c r="I2564" s="14">
        <v>3077616.76</v>
      </c>
      <c r="J2564" s="14">
        <v>2841284.31</v>
      </c>
      <c r="K2564" s="12">
        <v>202</v>
      </c>
      <c r="L2564" s="10" t="s">
        <v>101</v>
      </c>
      <c r="M2564" s="10" t="s">
        <v>102</v>
      </c>
      <c r="N2564" s="124" t="s">
        <v>467</v>
      </c>
      <c r="O2564" s="124" t="s">
        <v>467</v>
      </c>
      <c r="P2564" s="21">
        <v>33</v>
      </c>
      <c r="Q2564" s="10" t="s">
        <v>54</v>
      </c>
      <c r="R2564" s="10" t="s">
        <v>28</v>
      </c>
      <c r="S2564" s="10"/>
      <c r="T2564" s="10"/>
      <c r="U2564" s="10" t="s">
        <v>3694</v>
      </c>
      <c r="V2564" s="10" t="s">
        <v>3694</v>
      </c>
      <c r="W2564" s="50">
        <f>+J2564/$W$2</f>
        <v>3.4773472170983641E-5</v>
      </c>
    </row>
    <row r="2565" spans="1:29">
      <c r="A2565" s="10" t="s">
        <v>362</v>
      </c>
      <c r="B2565" s="10" t="s">
        <v>358</v>
      </c>
      <c r="C2565" s="124">
        <v>46416</v>
      </c>
      <c r="D2565" s="124" t="s">
        <v>471</v>
      </c>
      <c r="E2565" s="21">
        <v>0.92320946000000004</v>
      </c>
      <c r="F2565" s="10"/>
      <c r="G2565" s="14">
        <v>7692308</v>
      </c>
      <c r="H2565" s="14">
        <v>7101611.4900000002</v>
      </c>
      <c r="I2565" s="14">
        <v>7692308</v>
      </c>
      <c r="J2565" s="14">
        <v>7101611.4900000002</v>
      </c>
      <c r="K2565" s="12">
        <v>4448</v>
      </c>
      <c r="L2565" s="10" t="s">
        <v>101</v>
      </c>
      <c r="M2565" s="10" t="s">
        <v>102</v>
      </c>
      <c r="N2565" s="124" t="s">
        <v>466</v>
      </c>
      <c r="O2565" s="124" t="s">
        <v>466</v>
      </c>
      <c r="P2565" s="21">
        <v>33</v>
      </c>
      <c r="Q2565" s="10" t="s">
        <v>54</v>
      </c>
      <c r="R2565" s="10" t="s">
        <v>28</v>
      </c>
      <c r="S2565" s="10"/>
      <c r="T2565" s="10"/>
      <c r="U2565" s="10" t="s">
        <v>3613</v>
      </c>
      <c r="V2565" s="10" t="s">
        <v>3613</v>
      </c>
      <c r="W2565" s="50">
        <f>+J2565/$W$2</f>
        <v>8.6914107344876262E-5</v>
      </c>
    </row>
    <row r="2566" spans="1:29">
      <c r="A2566" s="10" t="s">
        <v>3785</v>
      </c>
      <c r="B2566" s="10" t="s">
        <v>358</v>
      </c>
      <c r="C2566" s="124">
        <v>46416</v>
      </c>
      <c r="D2566" s="124" t="s">
        <v>471</v>
      </c>
      <c r="E2566" s="21">
        <v>0.92752595999999998</v>
      </c>
      <c r="F2566" s="10"/>
      <c r="G2566" s="14">
        <v>20000000</v>
      </c>
      <c r="H2566" s="14">
        <v>18550519.140000001</v>
      </c>
      <c r="I2566" s="14">
        <v>20000000</v>
      </c>
      <c r="J2566" s="14">
        <v>18550519.140000001</v>
      </c>
      <c r="K2566" s="12">
        <v>11426080</v>
      </c>
      <c r="L2566" s="10" t="s">
        <v>101</v>
      </c>
      <c r="M2566" s="10" t="s">
        <v>102</v>
      </c>
      <c r="N2566" s="124" t="s">
        <v>467</v>
      </c>
      <c r="O2566" s="124" t="s">
        <v>467</v>
      </c>
      <c r="P2566" s="21">
        <v>31</v>
      </c>
      <c r="Q2566" s="10" t="s">
        <v>54</v>
      </c>
      <c r="R2566" s="10" t="s">
        <v>28</v>
      </c>
      <c r="S2566" s="10"/>
      <c r="T2566" s="10"/>
      <c r="U2566" s="10" t="s">
        <v>3712</v>
      </c>
      <c r="V2566" s="10" t="s">
        <v>3712</v>
      </c>
      <c r="W2566" s="50">
        <f>+J2566/$W$2</f>
        <v>2.2703323240189555E-4</v>
      </c>
    </row>
    <row r="2567" spans="1:29">
      <c r="A2567" s="10" t="s">
        <v>438</v>
      </c>
      <c r="B2567" s="10" t="s">
        <v>358</v>
      </c>
      <c r="C2567" s="124">
        <v>46416</v>
      </c>
      <c r="D2567" s="124" t="s">
        <v>471</v>
      </c>
      <c r="E2567" s="21">
        <v>0.93300101999999996</v>
      </c>
      <c r="F2567" s="10"/>
      <c r="G2567" s="14">
        <v>3000000</v>
      </c>
      <c r="H2567" s="14">
        <v>2799003.07</v>
      </c>
      <c r="I2567" s="14">
        <v>3000000</v>
      </c>
      <c r="J2567" s="14">
        <v>2799003.07</v>
      </c>
      <c r="K2567" s="12">
        <v>3966973</v>
      </c>
      <c r="L2567" s="10" t="s">
        <v>101</v>
      </c>
      <c r="M2567" s="10" t="s">
        <v>102</v>
      </c>
      <c r="N2567" s="124" t="s">
        <v>471</v>
      </c>
      <c r="O2567" s="124" t="s">
        <v>471</v>
      </c>
      <c r="P2567" s="21">
        <v>28.49</v>
      </c>
      <c r="Q2567" s="10" t="s">
        <v>54</v>
      </c>
      <c r="R2567" s="10" t="s">
        <v>28</v>
      </c>
      <c r="S2567" s="10"/>
      <c r="T2567" s="10"/>
      <c r="U2567" s="10" t="s">
        <v>4060</v>
      </c>
      <c r="V2567" s="10" t="s">
        <v>4060</v>
      </c>
      <c r="W2567" s="50">
        <f>+J2567/$W$2</f>
        <v>3.4256007052368081E-5</v>
      </c>
    </row>
    <row r="2568" spans="1:29">
      <c r="A2568" s="10" t="s">
        <v>695</v>
      </c>
      <c r="B2568" s="10" t="s">
        <v>358</v>
      </c>
      <c r="C2568" s="124">
        <v>46416</v>
      </c>
      <c r="D2568" s="124" t="s">
        <v>471</v>
      </c>
      <c r="E2568" s="21">
        <v>0.92536280000000004</v>
      </c>
      <c r="F2568" s="10"/>
      <c r="G2568" s="14">
        <v>475000000</v>
      </c>
      <c r="H2568" s="14">
        <v>439547329.19</v>
      </c>
      <c r="I2568" s="14">
        <v>475000000</v>
      </c>
      <c r="J2568" s="14">
        <v>439547329.19</v>
      </c>
      <c r="K2568" s="12">
        <v>1423</v>
      </c>
      <c r="L2568" s="10" t="s">
        <v>101</v>
      </c>
      <c r="M2568" s="10" t="s">
        <v>102</v>
      </c>
      <c r="N2568" s="124" t="s">
        <v>468</v>
      </c>
      <c r="O2568" s="124" t="s">
        <v>468</v>
      </c>
      <c r="P2568" s="21">
        <v>32</v>
      </c>
      <c r="Q2568" s="10" t="s">
        <v>54</v>
      </c>
      <c r="R2568" s="10" t="s">
        <v>28</v>
      </c>
      <c r="S2568" s="10"/>
      <c r="T2568" s="10"/>
      <c r="U2568" s="10" t="s">
        <v>3825</v>
      </c>
      <c r="V2568" s="10" t="s">
        <v>3825</v>
      </c>
      <c r="W2568" s="50">
        <f>+J2568/$W$2</f>
        <v>5.3794640563156635E-3</v>
      </c>
    </row>
    <row r="2569" spans="1:29">
      <c r="A2569" s="10" t="s">
        <v>2674</v>
      </c>
      <c r="B2569" s="10" t="s">
        <v>358</v>
      </c>
      <c r="C2569" s="124">
        <v>46416</v>
      </c>
      <c r="D2569" s="124" t="s">
        <v>471</v>
      </c>
      <c r="E2569" s="21">
        <v>0.92536257</v>
      </c>
      <c r="F2569" s="10"/>
      <c r="G2569" s="14">
        <v>2336718.2999999998</v>
      </c>
      <c r="H2569" s="14">
        <v>2162311.65</v>
      </c>
      <c r="I2569" s="14">
        <v>2336718.2999999998</v>
      </c>
      <c r="J2569" s="14">
        <v>2162311.65</v>
      </c>
      <c r="K2569" s="12">
        <v>5393</v>
      </c>
      <c r="L2569" s="10" t="s">
        <v>101</v>
      </c>
      <c r="M2569" s="10" t="s">
        <v>102</v>
      </c>
      <c r="N2569" s="124" t="s">
        <v>603</v>
      </c>
      <c r="O2569" s="124" t="s">
        <v>603</v>
      </c>
      <c r="P2569" s="21">
        <v>32</v>
      </c>
      <c r="Q2569" s="10" t="s">
        <v>54</v>
      </c>
      <c r="R2569" s="10" t="s">
        <v>28</v>
      </c>
      <c r="S2569" s="10"/>
      <c r="T2569" s="10"/>
      <c r="U2569" s="10" t="s">
        <v>2578</v>
      </c>
      <c r="V2569" s="10" t="s">
        <v>2578</v>
      </c>
      <c r="W2569" s="50">
        <f>+J2569/$W$2</f>
        <v>2.6463766305128653E-5</v>
      </c>
    </row>
    <row r="2570" spans="1:29">
      <c r="A2570" s="10" t="s">
        <v>1831</v>
      </c>
      <c r="B2570" s="10" t="s">
        <v>358</v>
      </c>
      <c r="C2570" s="124">
        <v>46419</v>
      </c>
      <c r="D2570" s="124" t="s">
        <v>471</v>
      </c>
      <c r="E2570" s="21">
        <v>0.92311597000000001</v>
      </c>
      <c r="F2570" s="10"/>
      <c r="G2570" s="14">
        <v>5000000</v>
      </c>
      <c r="H2570" s="14">
        <v>4615579.8600000003</v>
      </c>
      <c r="I2570" s="14">
        <v>5000000</v>
      </c>
      <c r="J2570" s="14">
        <v>4615579.8600000003</v>
      </c>
      <c r="K2570" s="12">
        <v>1827</v>
      </c>
      <c r="L2570" s="10" t="s">
        <v>101</v>
      </c>
      <c r="M2570" s="10" t="s">
        <v>102</v>
      </c>
      <c r="N2570" s="124" t="s">
        <v>449</v>
      </c>
      <c r="O2570" s="124" t="s">
        <v>449</v>
      </c>
      <c r="P2570" s="21">
        <v>32</v>
      </c>
      <c r="Q2570" s="10" t="s">
        <v>54</v>
      </c>
      <c r="R2570" s="10" t="s">
        <v>28</v>
      </c>
      <c r="S2570" s="10"/>
      <c r="T2570" s="10"/>
      <c r="U2570" s="10" t="s">
        <v>2013</v>
      </c>
      <c r="V2570" s="10" t="s">
        <v>2013</v>
      </c>
      <c r="W2570" s="50">
        <f>+J2570/$W$2</f>
        <v>5.6488446879384129E-5</v>
      </c>
    </row>
    <row r="2571" spans="1:29">
      <c r="A2571" s="10" t="s">
        <v>2314</v>
      </c>
      <c r="B2571" s="10" t="s">
        <v>358</v>
      </c>
      <c r="C2571" s="124">
        <v>46419</v>
      </c>
      <c r="D2571" s="124" t="s">
        <v>471</v>
      </c>
      <c r="E2571" s="21">
        <v>0.92090326</v>
      </c>
      <c r="F2571" s="10"/>
      <c r="G2571" s="14">
        <v>6006148</v>
      </c>
      <c r="H2571" s="14">
        <v>5531081.2999999998</v>
      </c>
      <c r="I2571" s="14">
        <v>6006148</v>
      </c>
      <c r="J2571" s="14">
        <v>5531081.2999999998</v>
      </c>
      <c r="K2571" s="12">
        <v>1370652</v>
      </c>
      <c r="L2571" s="10" t="s">
        <v>101</v>
      </c>
      <c r="M2571" s="10" t="s">
        <v>102</v>
      </c>
      <c r="N2571" s="124" t="s">
        <v>439</v>
      </c>
      <c r="O2571" s="124" t="s">
        <v>439</v>
      </c>
      <c r="P2571" s="21">
        <v>33</v>
      </c>
      <c r="Q2571" s="10" t="s">
        <v>54</v>
      </c>
      <c r="R2571" s="10" t="s">
        <v>28</v>
      </c>
      <c r="S2571" s="10"/>
      <c r="T2571" s="10"/>
      <c r="U2571" s="10" t="s">
        <v>2307</v>
      </c>
      <c r="V2571" s="10" t="s">
        <v>2307</v>
      </c>
      <c r="W2571" s="50">
        <f>+J2571/$W$2</f>
        <v>6.7692944695491608E-5</v>
      </c>
    </row>
    <row r="2572" spans="1:29">
      <c r="A2572" s="10" t="s">
        <v>206</v>
      </c>
      <c r="B2572" s="10" t="s">
        <v>358</v>
      </c>
      <c r="C2572" s="124">
        <v>46419</v>
      </c>
      <c r="D2572" s="124" t="s">
        <v>471</v>
      </c>
      <c r="E2572" s="21">
        <v>0.92090329999999998</v>
      </c>
      <c r="F2572" s="10"/>
      <c r="G2572" s="14">
        <v>2500000</v>
      </c>
      <c r="H2572" s="14">
        <v>2302258.2599999998</v>
      </c>
      <c r="I2572" s="14">
        <v>2500000</v>
      </c>
      <c r="J2572" s="14">
        <v>2302258.2599999998</v>
      </c>
      <c r="K2572" s="12">
        <v>1572</v>
      </c>
      <c r="L2572" s="10" t="s">
        <v>101</v>
      </c>
      <c r="M2572" s="10" t="s">
        <v>102</v>
      </c>
      <c r="N2572" s="124" t="s">
        <v>603</v>
      </c>
      <c r="O2572" s="124" t="s">
        <v>603</v>
      </c>
      <c r="P2572" s="21">
        <v>33</v>
      </c>
      <c r="Q2572" s="10" t="s">
        <v>54</v>
      </c>
      <c r="R2572" s="10" t="s">
        <v>28</v>
      </c>
      <c r="S2572" s="10"/>
      <c r="T2572" s="10"/>
      <c r="U2572" s="10" t="s">
        <v>2633</v>
      </c>
      <c r="V2572" s="10" t="s">
        <v>2633</v>
      </c>
      <c r="W2572" s="50">
        <f>+J2572/$W$2</f>
        <v>2.817652329010581E-5</v>
      </c>
    </row>
    <row r="2573" spans="1:29">
      <c r="A2573" s="10" t="s">
        <v>2759</v>
      </c>
      <c r="B2573" s="10" t="s">
        <v>358</v>
      </c>
      <c r="C2573" s="124">
        <v>46419</v>
      </c>
      <c r="D2573" s="124" t="s">
        <v>471</v>
      </c>
      <c r="E2573" s="21">
        <v>0.92757330999999998</v>
      </c>
      <c r="F2573" s="10"/>
      <c r="G2573" s="14">
        <v>17500000</v>
      </c>
      <c r="H2573" s="14">
        <v>16232532.98</v>
      </c>
      <c r="I2573" s="14">
        <v>17500000</v>
      </c>
      <c r="J2573" s="14">
        <v>16232532.98</v>
      </c>
      <c r="K2573" s="12">
        <v>460</v>
      </c>
      <c r="L2573" s="10" t="s">
        <v>101</v>
      </c>
      <c r="M2573" s="10" t="s">
        <v>102</v>
      </c>
      <c r="N2573" s="124" t="s">
        <v>471</v>
      </c>
      <c r="O2573" s="124" t="s">
        <v>471</v>
      </c>
      <c r="P2573" s="21">
        <v>30</v>
      </c>
      <c r="Q2573" s="10" t="s">
        <v>54</v>
      </c>
      <c r="R2573" s="10" t="s">
        <v>28</v>
      </c>
      <c r="S2573" s="10"/>
      <c r="T2573" s="10"/>
      <c r="U2573" s="10" t="s">
        <v>4145</v>
      </c>
      <c r="V2573" s="10" t="s">
        <v>4145</v>
      </c>
      <c r="W2573" s="50">
        <f>+J2573/$W$2</f>
        <v>1.9866422091515515E-4</v>
      </c>
    </row>
    <row r="2574" spans="1:29">
      <c r="A2574" s="10" t="s">
        <v>141</v>
      </c>
      <c r="B2574" s="10" t="s">
        <v>358</v>
      </c>
      <c r="C2574" s="124">
        <v>46419</v>
      </c>
      <c r="D2574" s="124" t="s">
        <v>471</v>
      </c>
      <c r="E2574" s="21">
        <v>0.92090329999999998</v>
      </c>
      <c r="F2574" s="10"/>
      <c r="G2574" s="14">
        <v>22000000</v>
      </c>
      <c r="H2574" s="14">
        <v>20259872.640000001</v>
      </c>
      <c r="I2574" s="14">
        <v>22000000</v>
      </c>
      <c r="J2574" s="14">
        <v>20259872.640000001</v>
      </c>
      <c r="K2574" s="12">
        <v>431</v>
      </c>
      <c r="L2574" s="10" t="s">
        <v>101</v>
      </c>
      <c r="M2574" s="10" t="s">
        <v>102</v>
      </c>
      <c r="N2574" s="124" t="s">
        <v>475</v>
      </c>
      <c r="O2574" s="124" t="s">
        <v>475</v>
      </c>
      <c r="P2574" s="21">
        <v>33</v>
      </c>
      <c r="Q2574" s="10" t="s">
        <v>54</v>
      </c>
      <c r="R2574" s="10" t="s">
        <v>28</v>
      </c>
      <c r="S2574" s="10"/>
      <c r="T2574" s="10"/>
      <c r="U2574" s="10" t="s">
        <v>3350</v>
      </c>
      <c r="V2574" s="10" t="s">
        <v>3350</v>
      </c>
      <c r="W2574" s="50">
        <f>+J2574/$W$2</f>
        <v>2.4795340436547614E-4</v>
      </c>
    </row>
    <row r="2575" spans="1:29">
      <c r="A2575" s="10" t="s">
        <v>334</v>
      </c>
      <c r="B2575" s="10" t="s">
        <v>358</v>
      </c>
      <c r="C2575" s="124">
        <v>46419</v>
      </c>
      <c r="D2575" s="124" t="s">
        <v>471</v>
      </c>
      <c r="E2575" s="21">
        <v>0.91432882000000004</v>
      </c>
      <c r="F2575" s="10"/>
      <c r="G2575" s="14">
        <v>2440210.56</v>
      </c>
      <c r="H2575" s="14">
        <v>2231154.84</v>
      </c>
      <c r="I2575" s="14">
        <v>2440210.56</v>
      </c>
      <c r="J2575" s="14">
        <v>2231154.84</v>
      </c>
      <c r="K2575" s="12">
        <v>3728</v>
      </c>
      <c r="L2575" s="10" t="s">
        <v>101</v>
      </c>
      <c r="M2575" s="10" t="s">
        <v>102</v>
      </c>
      <c r="N2575" s="124" t="s">
        <v>445</v>
      </c>
      <c r="O2575" s="124" t="s">
        <v>445</v>
      </c>
      <c r="P2575" s="21">
        <v>36</v>
      </c>
      <c r="Q2575" s="10" t="s">
        <v>54</v>
      </c>
      <c r="R2575" s="10" t="s">
        <v>28</v>
      </c>
      <c r="S2575" s="10"/>
      <c r="T2575" s="10"/>
      <c r="U2575" s="10" t="s">
        <v>2861</v>
      </c>
      <c r="V2575" s="10" t="s">
        <v>2861</v>
      </c>
      <c r="W2575" s="50">
        <f>+J2575/$W$2</f>
        <v>2.7306313720465187E-5</v>
      </c>
    </row>
    <row r="2576" spans="1:29">
      <c r="A2576" s="10" t="s">
        <v>1003</v>
      </c>
      <c r="B2576" s="10" t="s">
        <v>358</v>
      </c>
      <c r="C2576" s="124">
        <v>46419</v>
      </c>
      <c r="D2576" s="124" t="s">
        <v>471</v>
      </c>
      <c r="E2576" s="21">
        <v>0.92311584999999996</v>
      </c>
      <c r="F2576" s="10"/>
      <c r="G2576" s="14">
        <v>20000000</v>
      </c>
      <c r="H2576" s="14">
        <v>18462317.079999998</v>
      </c>
      <c r="I2576" s="14">
        <v>20000000</v>
      </c>
      <c r="J2576" s="14">
        <v>18462317.079999998</v>
      </c>
      <c r="K2576" s="12">
        <v>53979</v>
      </c>
      <c r="L2576" s="10" t="s">
        <v>101</v>
      </c>
      <c r="M2576" s="10" t="s">
        <v>102</v>
      </c>
      <c r="N2576" s="124" t="s">
        <v>310</v>
      </c>
      <c r="O2576" s="124" t="s">
        <v>310</v>
      </c>
      <c r="P2576" s="21">
        <v>32</v>
      </c>
      <c r="Q2576" s="10" t="s">
        <v>54</v>
      </c>
      <c r="R2576" s="10" t="s">
        <v>28</v>
      </c>
      <c r="S2576" s="10"/>
      <c r="T2576" s="10"/>
      <c r="U2576" s="10" t="s">
        <v>1005</v>
      </c>
      <c r="V2576" s="10" t="s">
        <v>1005</v>
      </c>
      <c r="W2576" s="50">
        <f>+J2576/$W$2</f>
        <v>2.2595375863433247E-4</v>
      </c>
    </row>
    <row r="2577" spans="1:23">
      <c r="A2577" s="10" t="s">
        <v>2824</v>
      </c>
      <c r="B2577" s="10" t="s">
        <v>358</v>
      </c>
      <c r="C2577" s="124">
        <v>46419</v>
      </c>
      <c r="D2577" s="124" t="s">
        <v>471</v>
      </c>
      <c r="E2577" s="21">
        <v>0.92311591000000004</v>
      </c>
      <c r="F2577" s="10"/>
      <c r="G2577" s="14">
        <v>766335</v>
      </c>
      <c r="H2577" s="14">
        <v>707416.03</v>
      </c>
      <c r="I2577" s="14">
        <v>766335</v>
      </c>
      <c r="J2577" s="14">
        <v>707416.03</v>
      </c>
      <c r="K2577" s="12">
        <v>50492553</v>
      </c>
      <c r="L2577" s="10" t="s">
        <v>101</v>
      </c>
      <c r="M2577" s="10" t="s">
        <v>102</v>
      </c>
      <c r="N2577" s="124" t="s">
        <v>412</v>
      </c>
      <c r="O2577" s="124" t="s">
        <v>412</v>
      </c>
      <c r="P2577" s="21">
        <v>32</v>
      </c>
      <c r="Q2577" s="10" t="s">
        <v>54</v>
      </c>
      <c r="R2577" s="10" t="s">
        <v>28</v>
      </c>
      <c r="S2577" s="10"/>
      <c r="T2577" s="10"/>
      <c r="U2577" s="10" t="s">
        <v>2788</v>
      </c>
      <c r="V2577" s="10" t="s">
        <v>2788</v>
      </c>
      <c r="W2577" s="50">
        <f>+J2577/$W$2</f>
        <v>8.6578141954800477E-6</v>
      </c>
    </row>
    <row r="2578" spans="1:23">
      <c r="A2578" s="10" t="s">
        <v>3773</v>
      </c>
      <c r="B2578" s="10" t="s">
        <v>358</v>
      </c>
      <c r="C2578" s="124">
        <v>46419</v>
      </c>
      <c r="D2578" s="124" t="s">
        <v>471</v>
      </c>
      <c r="E2578" s="21">
        <v>0.92090333000000002</v>
      </c>
      <c r="F2578" s="10"/>
      <c r="G2578" s="14">
        <v>5805595.3099999996</v>
      </c>
      <c r="H2578" s="14">
        <v>5346392.04</v>
      </c>
      <c r="I2578" s="14">
        <v>5805595.3099999996</v>
      </c>
      <c r="J2578" s="14">
        <v>5346392.04</v>
      </c>
      <c r="K2578" s="12">
        <v>1395704</v>
      </c>
      <c r="L2578" s="10" t="s">
        <v>101</v>
      </c>
      <c r="M2578" s="10" t="s">
        <v>102</v>
      </c>
      <c r="N2578" s="124" t="s">
        <v>467</v>
      </c>
      <c r="O2578" s="124" t="s">
        <v>467</v>
      </c>
      <c r="P2578" s="21">
        <v>33</v>
      </c>
      <c r="Q2578" s="10" t="s">
        <v>54</v>
      </c>
      <c r="R2578" s="10" t="s">
        <v>28</v>
      </c>
      <c r="S2578" s="10"/>
      <c r="T2578" s="10"/>
      <c r="U2578" s="10" t="s">
        <v>3683</v>
      </c>
      <c r="V2578" s="10" t="s">
        <v>3683</v>
      </c>
      <c r="W2578" s="50">
        <f>+J2578/$W$2</f>
        <v>6.5432598266840981E-5</v>
      </c>
    </row>
    <row r="2579" spans="1:23">
      <c r="A2579" s="10" t="s">
        <v>4171</v>
      </c>
      <c r="B2579" s="10" t="s">
        <v>358</v>
      </c>
      <c r="C2579" s="124">
        <v>46419</v>
      </c>
      <c r="D2579" s="124" t="s">
        <v>471</v>
      </c>
      <c r="E2579" s="21">
        <v>0.92757330999999998</v>
      </c>
      <c r="F2579" s="10"/>
      <c r="G2579" s="14">
        <v>25254118.149999999</v>
      </c>
      <c r="H2579" s="14">
        <v>23425046.039999999</v>
      </c>
      <c r="I2579" s="14">
        <v>25254118.149999999</v>
      </c>
      <c r="J2579" s="14">
        <v>23425046.039999999</v>
      </c>
      <c r="K2579" s="12">
        <v>921</v>
      </c>
      <c r="L2579" s="10" t="s">
        <v>101</v>
      </c>
      <c r="M2579" s="10" t="s">
        <v>102</v>
      </c>
      <c r="N2579" s="124" t="s">
        <v>471</v>
      </c>
      <c r="O2579" s="124" t="s">
        <v>471</v>
      </c>
      <c r="P2579" s="21">
        <v>30</v>
      </c>
      <c r="Q2579" s="10" t="s">
        <v>54</v>
      </c>
      <c r="R2579" s="10" t="s">
        <v>28</v>
      </c>
      <c r="S2579" s="10"/>
      <c r="T2579" s="10"/>
      <c r="U2579" s="10" t="s">
        <v>4142</v>
      </c>
      <c r="V2579" s="10" t="s">
        <v>4142</v>
      </c>
      <c r="W2579" s="50">
        <f>+J2579/$W$2</f>
        <v>2.8669084037420759E-4</v>
      </c>
    </row>
    <row r="2580" spans="1:23">
      <c r="A2580" s="10" t="s">
        <v>362</v>
      </c>
      <c r="B2580" s="10" t="s">
        <v>358</v>
      </c>
      <c r="C2580" s="124">
        <v>46419</v>
      </c>
      <c r="D2580" s="124" t="s">
        <v>471</v>
      </c>
      <c r="E2580" s="21">
        <v>0.92090326</v>
      </c>
      <c r="F2580" s="10"/>
      <c r="G2580" s="14">
        <v>7692308</v>
      </c>
      <c r="H2580" s="14">
        <v>7083871.4900000002</v>
      </c>
      <c r="I2580" s="14">
        <v>7692308</v>
      </c>
      <c r="J2580" s="14">
        <v>7083871.4900000002</v>
      </c>
      <c r="K2580" s="12">
        <v>4449</v>
      </c>
      <c r="L2580" s="10" t="s">
        <v>101</v>
      </c>
      <c r="M2580" s="10" t="s">
        <v>102</v>
      </c>
      <c r="N2580" s="124" t="s">
        <v>466</v>
      </c>
      <c r="O2580" s="124" t="s">
        <v>466</v>
      </c>
      <c r="P2580" s="21">
        <v>33</v>
      </c>
      <c r="Q2580" s="10" t="s">
        <v>54</v>
      </c>
      <c r="R2580" s="10" t="s">
        <v>28</v>
      </c>
      <c r="S2580" s="10"/>
      <c r="T2580" s="10"/>
      <c r="U2580" s="10" t="s">
        <v>3611</v>
      </c>
      <c r="V2580" s="10" t="s">
        <v>3611</v>
      </c>
      <c r="W2580" s="50">
        <f>+J2580/$W$2</f>
        <v>8.6696993769109807E-5</v>
      </c>
    </row>
    <row r="2581" spans="1:23">
      <c r="A2581" s="10" t="s">
        <v>433</v>
      </c>
      <c r="B2581" s="10" t="s">
        <v>358</v>
      </c>
      <c r="C2581" s="124">
        <v>46419</v>
      </c>
      <c r="D2581" s="124" t="s">
        <v>471</v>
      </c>
      <c r="E2581" s="21">
        <v>0.92311586999999995</v>
      </c>
      <c r="F2581" s="10"/>
      <c r="G2581" s="14">
        <v>10000000</v>
      </c>
      <c r="H2581" s="14">
        <v>9231158.7200000007</v>
      </c>
      <c r="I2581" s="14">
        <v>10000000</v>
      </c>
      <c r="J2581" s="14">
        <v>9231158.7200000007</v>
      </c>
      <c r="K2581" s="12">
        <v>14725223</v>
      </c>
      <c r="L2581" s="10" t="s">
        <v>101</v>
      </c>
      <c r="M2581" s="10" t="s">
        <v>102</v>
      </c>
      <c r="N2581" s="124" t="s">
        <v>468</v>
      </c>
      <c r="O2581" s="124" t="s">
        <v>468</v>
      </c>
      <c r="P2581" s="21">
        <v>32</v>
      </c>
      <c r="Q2581" s="10" t="s">
        <v>54</v>
      </c>
      <c r="R2581" s="10" t="s">
        <v>28</v>
      </c>
      <c r="S2581" s="10"/>
      <c r="T2581" s="10"/>
      <c r="U2581" s="10" t="s">
        <v>3807</v>
      </c>
      <c r="V2581" s="10" t="s">
        <v>3807</v>
      </c>
      <c r="W2581" s="50">
        <f>+J2581/$W$2</f>
        <v>1.1297688152012249E-4</v>
      </c>
    </row>
    <row r="2582" spans="1:23">
      <c r="A2582" s="10" t="s">
        <v>135</v>
      </c>
      <c r="B2582" s="10" t="s">
        <v>358</v>
      </c>
      <c r="C2582" s="124">
        <v>46419</v>
      </c>
      <c r="D2582" s="124" t="s">
        <v>471</v>
      </c>
      <c r="E2582" s="21">
        <v>0.91651002000000004</v>
      </c>
      <c r="F2582" s="10"/>
      <c r="G2582" s="14">
        <v>100000000</v>
      </c>
      <c r="H2582" s="14">
        <v>91651001.650000006</v>
      </c>
      <c r="I2582" s="14">
        <v>100000000</v>
      </c>
      <c r="J2582" s="14">
        <v>91651001.650000006</v>
      </c>
      <c r="K2582" s="12">
        <v>2027</v>
      </c>
      <c r="L2582" s="10" t="s">
        <v>101</v>
      </c>
      <c r="M2582" s="10" t="s">
        <v>102</v>
      </c>
      <c r="N2582" s="124" t="s">
        <v>471</v>
      </c>
      <c r="O2582" s="124" t="s">
        <v>471</v>
      </c>
      <c r="P2582" s="21">
        <v>35</v>
      </c>
      <c r="Q2582" s="10" t="s">
        <v>54</v>
      </c>
      <c r="R2582" s="10" t="s">
        <v>28</v>
      </c>
      <c r="S2582" s="10"/>
      <c r="T2582" s="10"/>
      <c r="U2582" s="10" t="s">
        <v>4108</v>
      </c>
      <c r="V2582" s="10" t="s">
        <v>4108</v>
      </c>
      <c r="W2582" s="50">
        <f>+J2582/$W$2</f>
        <v>1.1216841426611936E-3</v>
      </c>
    </row>
    <row r="2583" spans="1:23">
      <c r="A2583" s="10" t="s">
        <v>2676</v>
      </c>
      <c r="B2583" s="10" t="s">
        <v>358</v>
      </c>
      <c r="C2583" s="124">
        <v>46419</v>
      </c>
      <c r="D2583" s="124" t="s">
        <v>471</v>
      </c>
      <c r="E2583" s="21">
        <v>0.92311589999999999</v>
      </c>
      <c r="F2583" s="10"/>
      <c r="G2583" s="14">
        <v>6250000</v>
      </c>
      <c r="H2583" s="14">
        <v>5769474.3499999996</v>
      </c>
      <c r="I2583" s="14">
        <v>6250000</v>
      </c>
      <c r="J2583" s="14">
        <v>5769474.3499999996</v>
      </c>
      <c r="K2583" s="12">
        <v>1413</v>
      </c>
      <c r="L2583" s="10" t="s">
        <v>101</v>
      </c>
      <c r="M2583" s="10" t="s">
        <v>102</v>
      </c>
      <c r="N2583" s="124" t="s">
        <v>603</v>
      </c>
      <c r="O2583" s="124" t="s">
        <v>603</v>
      </c>
      <c r="P2583" s="21">
        <v>32</v>
      </c>
      <c r="Q2583" s="10" t="s">
        <v>54</v>
      </c>
      <c r="R2583" s="10" t="s">
        <v>28</v>
      </c>
      <c r="S2583" s="10"/>
      <c r="T2583" s="10"/>
      <c r="U2583" s="10" t="s">
        <v>2607</v>
      </c>
      <c r="V2583" s="10" t="s">
        <v>2607</v>
      </c>
      <c r="W2583" s="50">
        <f>+J2583/$W$2</f>
        <v>7.0610552785873421E-5</v>
      </c>
    </row>
    <row r="2584" spans="1:23">
      <c r="A2584" s="10" t="s">
        <v>2016</v>
      </c>
      <c r="B2584" s="10" t="s">
        <v>358</v>
      </c>
      <c r="C2584" s="124">
        <v>46420</v>
      </c>
      <c r="D2584" s="124" t="s">
        <v>471</v>
      </c>
      <c r="E2584" s="21">
        <v>0.92913155999999997</v>
      </c>
      <c r="F2584" s="10"/>
      <c r="G2584" s="14">
        <v>5046812.3</v>
      </c>
      <c r="H2584" s="14">
        <v>4689152.58</v>
      </c>
      <c r="I2584" s="14">
        <v>5046812.3</v>
      </c>
      <c r="J2584" s="14">
        <v>4689152.58</v>
      </c>
      <c r="K2584" s="12">
        <v>5265</v>
      </c>
      <c r="L2584" s="10" t="s">
        <v>101</v>
      </c>
      <c r="M2584" s="10" t="s">
        <v>102</v>
      </c>
      <c r="N2584" s="124" t="s">
        <v>469</v>
      </c>
      <c r="O2584" s="124" t="s">
        <v>469</v>
      </c>
      <c r="P2584" s="21">
        <v>29</v>
      </c>
      <c r="Q2584" s="10" t="s">
        <v>54</v>
      </c>
      <c r="R2584" s="10" t="s">
        <v>28</v>
      </c>
      <c r="S2584" s="10"/>
      <c r="T2584" s="10"/>
      <c r="U2584" s="10" t="s">
        <v>3907</v>
      </c>
      <c r="V2584" s="10" t="s">
        <v>3907</v>
      </c>
      <c r="W2584" s="50">
        <f>+J2584/$W$2</f>
        <v>5.7388877336997702E-5</v>
      </c>
    </row>
    <row r="2585" spans="1:23">
      <c r="A2585" s="10" t="s">
        <v>400</v>
      </c>
      <c r="B2585" s="10" t="s">
        <v>358</v>
      </c>
      <c r="C2585" s="124">
        <v>46420</v>
      </c>
      <c r="D2585" s="124" t="s">
        <v>471</v>
      </c>
      <c r="E2585" s="21">
        <v>0.92686650999999998</v>
      </c>
      <c r="F2585" s="10"/>
      <c r="G2585" s="14">
        <v>5580000</v>
      </c>
      <c r="H2585" s="14">
        <v>5171915.1399999997</v>
      </c>
      <c r="I2585" s="14">
        <v>5580000</v>
      </c>
      <c r="J2585" s="14">
        <v>5171915.1399999997</v>
      </c>
      <c r="K2585" s="12">
        <v>11415145</v>
      </c>
      <c r="L2585" s="10" t="s">
        <v>101</v>
      </c>
      <c r="M2585" s="10" t="s">
        <v>102</v>
      </c>
      <c r="N2585" s="124" t="s">
        <v>449</v>
      </c>
      <c r="O2585" s="124" t="s">
        <v>449</v>
      </c>
      <c r="P2585" s="21">
        <v>30</v>
      </c>
      <c r="Q2585" s="10" t="s">
        <v>54</v>
      </c>
      <c r="R2585" s="10" t="s">
        <v>28</v>
      </c>
      <c r="S2585" s="10"/>
      <c r="T2585" s="10"/>
      <c r="U2585" s="10" t="s">
        <v>1926</v>
      </c>
      <c r="V2585" s="10" t="s">
        <v>1926</v>
      </c>
      <c r="W2585" s="50">
        <f>+J2585/$W$2</f>
        <v>6.3297237294594768E-5</v>
      </c>
    </row>
    <row r="2586" spans="1:23">
      <c r="A2586" s="10" t="s">
        <v>2079</v>
      </c>
      <c r="B2586" s="10" t="s">
        <v>358</v>
      </c>
      <c r="C2586" s="124">
        <v>46420</v>
      </c>
      <c r="D2586" s="124" t="s">
        <v>471</v>
      </c>
      <c r="E2586" s="21">
        <v>0.92236940999999995</v>
      </c>
      <c r="F2586" s="10"/>
      <c r="G2586" s="14">
        <v>40000000</v>
      </c>
      <c r="H2586" s="14">
        <v>36894776.32</v>
      </c>
      <c r="I2586" s="14">
        <v>40000000</v>
      </c>
      <c r="J2586" s="14">
        <v>36894776.32</v>
      </c>
      <c r="K2586" s="12">
        <v>51181</v>
      </c>
      <c r="L2586" s="10" t="s">
        <v>101</v>
      </c>
      <c r="M2586" s="10" t="s">
        <v>102</v>
      </c>
      <c r="N2586" s="124" t="s">
        <v>408</v>
      </c>
      <c r="O2586" s="124" t="s">
        <v>408</v>
      </c>
      <c r="P2586" s="21">
        <v>32</v>
      </c>
      <c r="Q2586" s="10" t="s">
        <v>54</v>
      </c>
      <c r="R2586" s="10" t="s">
        <v>28</v>
      </c>
      <c r="S2586" s="10"/>
      <c r="T2586" s="10"/>
      <c r="U2586" s="10" t="s">
        <v>2054</v>
      </c>
      <c r="V2586" s="10" t="s">
        <v>2054</v>
      </c>
      <c r="W2586" s="50">
        <f>+J2586/$W$2</f>
        <v>4.515420977417731E-4</v>
      </c>
    </row>
    <row r="2587" spans="1:23">
      <c r="A2587" s="10" t="s">
        <v>2079</v>
      </c>
      <c r="B2587" s="10" t="s">
        <v>358</v>
      </c>
      <c r="C2587" s="124">
        <v>46420</v>
      </c>
      <c r="D2587" s="124" t="s">
        <v>471</v>
      </c>
      <c r="E2587" s="21">
        <v>0.92236936999999997</v>
      </c>
      <c r="F2587" s="10"/>
      <c r="G2587" s="14">
        <v>55000000</v>
      </c>
      <c r="H2587" s="14">
        <v>50730315.590000004</v>
      </c>
      <c r="I2587" s="14">
        <v>55000000</v>
      </c>
      <c r="J2587" s="14">
        <v>50730315.590000004</v>
      </c>
      <c r="K2587" s="12">
        <v>51412</v>
      </c>
      <c r="L2587" s="10" t="s">
        <v>101</v>
      </c>
      <c r="M2587" s="10" t="s">
        <v>102</v>
      </c>
      <c r="N2587" s="124" t="s">
        <v>576</v>
      </c>
      <c r="O2587" s="124" t="s">
        <v>576</v>
      </c>
      <c r="P2587" s="21">
        <v>32</v>
      </c>
      <c r="Q2587" s="10" t="s">
        <v>54</v>
      </c>
      <c r="R2587" s="10" t="s">
        <v>28</v>
      </c>
      <c r="S2587" s="10"/>
      <c r="T2587" s="10"/>
      <c r="U2587" s="10" t="s">
        <v>2363</v>
      </c>
      <c r="V2587" s="10" t="s">
        <v>2363</v>
      </c>
      <c r="W2587" s="50">
        <f>+J2587/$W$2</f>
        <v>6.2087036175344332E-4</v>
      </c>
    </row>
    <row r="2588" spans="1:23">
      <c r="A2588" s="10" t="s">
        <v>443</v>
      </c>
      <c r="B2588" s="10" t="s">
        <v>358</v>
      </c>
      <c r="C2588" s="124">
        <v>46420</v>
      </c>
      <c r="D2588" s="124" t="s">
        <v>471</v>
      </c>
      <c r="E2588" s="21">
        <v>0.92013721999999998</v>
      </c>
      <c r="F2588" s="10"/>
      <c r="G2588" s="14">
        <v>10000000</v>
      </c>
      <c r="H2588" s="14">
        <v>9201372.2100000009</v>
      </c>
      <c r="I2588" s="14">
        <v>10000000</v>
      </c>
      <c r="J2588" s="14">
        <v>9201372.2100000009</v>
      </c>
      <c r="K2588" s="12">
        <v>2285691</v>
      </c>
      <c r="L2588" s="10" t="s">
        <v>101</v>
      </c>
      <c r="M2588" s="10" t="s">
        <v>102</v>
      </c>
      <c r="N2588" s="124" t="s">
        <v>486</v>
      </c>
      <c r="O2588" s="124" t="s">
        <v>486</v>
      </c>
      <c r="P2588" s="21">
        <v>33</v>
      </c>
      <c r="Q2588" s="10" t="s">
        <v>54</v>
      </c>
      <c r="R2588" s="10" t="s">
        <v>28</v>
      </c>
      <c r="S2588" s="10"/>
      <c r="T2588" s="10"/>
      <c r="U2588" s="10" t="s">
        <v>1443</v>
      </c>
      <c r="V2588" s="10" t="s">
        <v>1443</v>
      </c>
      <c r="W2588" s="50">
        <f>+J2588/$W$2</f>
        <v>1.1261233497583257E-4</v>
      </c>
    </row>
    <row r="2589" spans="1:23">
      <c r="A2589" s="10" t="s">
        <v>1893</v>
      </c>
      <c r="B2589" s="10" t="s">
        <v>358</v>
      </c>
      <c r="C2589" s="124">
        <v>46420</v>
      </c>
      <c r="D2589" s="124" t="s">
        <v>471</v>
      </c>
      <c r="E2589" s="21">
        <v>0.93369504000000003</v>
      </c>
      <c r="F2589" s="10"/>
      <c r="G2589" s="14">
        <v>8228053.0700000003</v>
      </c>
      <c r="H2589" s="14">
        <v>7682492.3099999996</v>
      </c>
      <c r="I2589" s="14">
        <v>8228053.0700000003</v>
      </c>
      <c r="J2589" s="14">
        <v>7682492.3099999996</v>
      </c>
      <c r="K2589" s="12">
        <v>1546</v>
      </c>
      <c r="L2589" s="10" t="s">
        <v>101</v>
      </c>
      <c r="M2589" s="10" t="s">
        <v>102</v>
      </c>
      <c r="N2589" s="124" t="s">
        <v>471</v>
      </c>
      <c r="O2589" s="124" t="s">
        <v>471</v>
      </c>
      <c r="P2589" s="21">
        <v>27</v>
      </c>
      <c r="Q2589" s="10" t="s">
        <v>54</v>
      </c>
      <c r="R2589" s="10" t="s">
        <v>28</v>
      </c>
      <c r="S2589" s="10"/>
      <c r="T2589" s="10"/>
      <c r="U2589" s="10" t="s">
        <v>4072</v>
      </c>
      <c r="V2589" s="10" t="s">
        <v>4072</v>
      </c>
      <c r="W2589" s="50">
        <f>+J2589/$W$2</f>
        <v>9.4023301929112765E-5</v>
      </c>
    </row>
    <row r="2590" spans="1:23">
      <c r="A2590" s="10" t="s">
        <v>141</v>
      </c>
      <c r="B2590" s="10" t="s">
        <v>358</v>
      </c>
      <c r="C2590" s="124">
        <v>46420</v>
      </c>
      <c r="D2590" s="124" t="s">
        <v>471</v>
      </c>
      <c r="E2590" s="21">
        <v>0.92013734000000003</v>
      </c>
      <c r="F2590" s="10"/>
      <c r="G2590" s="14">
        <v>22000000</v>
      </c>
      <c r="H2590" s="14">
        <v>20243021.5</v>
      </c>
      <c r="I2590" s="14">
        <v>22000000</v>
      </c>
      <c r="J2590" s="14">
        <v>20243021.5</v>
      </c>
      <c r="K2590" s="12">
        <v>441</v>
      </c>
      <c r="L2590" s="10" t="s">
        <v>101</v>
      </c>
      <c r="M2590" s="10" t="s">
        <v>102</v>
      </c>
      <c r="N2590" s="124" t="s">
        <v>466</v>
      </c>
      <c r="O2590" s="124" t="s">
        <v>466</v>
      </c>
      <c r="P2590" s="21">
        <v>33</v>
      </c>
      <c r="Q2590" s="10" t="s">
        <v>54</v>
      </c>
      <c r="R2590" s="10" t="s">
        <v>28</v>
      </c>
      <c r="S2590" s="10"/>
      <c r="T2590" s="10"/>
      <c r="U2590" s="10" t="s">
        <v>3615</v>
      </c>
      <c r="V2590" s="10" t="s">
        <v>3615</v>
      </c>
      <c r="W2590" s="50">
        <f>+J2590/$W$2</f>
        <v>2.4774716923237913E-4</v>
      </c>
    </row>
    <row r="2591" spans="1:23">
      <c r="A2591" s="10" t="s">
        <v>265</v>
      </c>
      <c r="B2591" s="10" t="s">
        <v>358</v>
      </c>
      <c r="C2591" s="124">
        <v>46420</v>
      </c>
      <c r="D2591" s="124" t="s">
        <v>471</v>
      </c>
      <c r="E2591" s="21">
        <v>0.92236945000000004</v>
      </c>
      <c r="F2591" s="10"/>
      <c r="G2591" s="14">
        <v>50000000</v>
      </c>
      <c r="H2591" s="14">
        <v>46118472.530000001</v>
      </c>
      <c r="I2591" s="14">
        <v>50000000</v>
      </c>
      <c r="J2591" s="14">
        <v>46118472.530000001</v>
      </c>
      <c r="K2591" s="12">
        <v>29937730</v>
      </c>
      <c r="L2591" s="10" t="s">
        <v>101</v>
      </c>
      <c r="M2591" s="10" t="s">
        <v>102</v>
      </c>
      <c r="N2591" s="124" t="s">
        <v>399</v>
      </c>
      <c r="O2591" s="124" t="s">
        <v>399</v>
      </c>
      <c r="P2591" s="21">
        <v>32</v>
      </c>
      <c r="Q2591" s="10" t="s">
        <v>54</v>
      </c>
      <c r="R2591" s="10" t="s">
        <v>28</v>
      </c>
      <c r="S2591" s="10"/>
      <c r="T2591" s="10"/>
      <c r="U2591" s="10" t="s">
        <v>1112</v>
      </c>
      <c r="V2591" s="10" t="s">
        <v>1112</v>
      </c>
      <c r="W2591" s="50">
        <f>+J2591/$W$2</f>
        <v>5.6442764824553185E-4</v>
      </c>
    </row>
    <row r="2592" spans="1:23">
      <c r="A2592" s="10" t="s">
        <v>334</v>
      </c>
      <c r="B2592" s="10" t="s">
        <v>358</v>
      </c>
      <c r="C2592" s="124">
        <v>46420</v>
      </c>
      <c r="D2592" s="124" t="s">
        <v>471</v>
      </c>
      <c r="E2592" s="21">
        <v>0.91350494999999998</v>
      </c>
      <c r="F2592" s="10"/>
      <c r="G2592" s="14">
        <v>2440210.56</v>
      </c>
      <c r="H2592" s="14">
        <v>2229144.4300000002</v>
      </c>
      <c r="I2592" s="14">
        <v>2440210.56</v>
      </c>
      <c r="J2592" s="14">
        <v>2229144.4300000002</v>
      </c>
      <c r="K2592" s="12">
        <v>3729</v>
      </c>
      <c r="L2592" s="10" t="s">
        <v>101</v>
      </c>
      <c r="M2592" s="10" t="s">
        <v>102</v>
      </c>
      <c r="N2592" s="124" t="s">
        <v>445</v>
      </c>
      <c r="O2592" s="124" t="s">
        <v>445</v>
      </c>
      <c r="P2592" s="21">
        <v>36</v>
      </c>
      <c r="Q2592" s="10" t="s">
        <v>54</v>
      </c>
      <c r="R2592" s="10" t="s">
        <v>28</v>
      </c>
      <c r="S2592" s="10"/>
      <c r="T2592" s="10"/>
      <c r="U2592" s="10" t="s">
        <v>2862</v>
      </c>
      <c r="V2592" s="10" t="s">
        <v>2862</v>
      </c>
      <c r="W2592" s="50">
        <f>+J2592/$W$2</f>
        <v>2.7281709024644632E-5</v>
      </c>
    </row>
    <row r="2593" spans="1:29">
      <c r="A2593" s="10" t="s">
        <v>623</v>
      </c>
      <c r="B2593" s="10" t="s">
        <v>358</v>
      </c>
      <c r="C2593" s="124">
        <v>46420</v>
      </c>
      <c r="D2593" s="124" t="s">
        <v>471</v>
      </c>
      <c r="E2593" s="21">
        <v>0.92013721999999998</v>
      </c>
      <c r="F2593" s="10"/>
      <c r="G2593" s="14">
        <v>2500000</v>
      </c>
      <c r="H2593" s="14">
        <v>2300343.04</v>
      </c>
      <c r="I2593" s="14">
        <v>2500000</v>
      </c>
      <c r="J2593" s="14">
        <v>2300343.04</v>
      </c>
      <c r="K2593" s="12">
        <v>41</v>
      </c>
      <c r="L2593" s="10" t="s">
        <v>101</v>
      </c>
      <c r="M2593" s="10" t="s">
        <v>102</v>
      </c>
      <c r="N2593" s="124" t="s">
        <v>508</v>
      </c>
      <c r="O2593" s="124" t="s">
        <v>508</v>
      </c>
      <c r="P2593" s="21">
        <v>33</v>
      </c>
      <c r="Q2593" s="10" t="s">
        <v>54</v>
      </c>
      <c r="R2593" s="10" t="s">
        <v>28</v>
      </c>
      <c r="S2593" s="10"/>
      <c r="T2593" s="10"/>
      <c r="U2593" s="10" t="s">
        <v>3012</v>
      </c>
      <c r="V2593" s="10" t="s">
        <v>3012</v>
      </c>
      <c r="W2593" s="50">
        <f>+J2593/$W$2</f>
        <v>2.8153083590975067E-5</v>
      </c>
    </row>
    <row r="2594" spans="1:29">
      <c r="A2594" s="10" t="s">
        <v>4175</v>
      </c>
      <c r="B2594" s="10" t="s">
        <v>358</v>
      </c>
      <c r="C2594" s="124">
        <v>46420</v>
      </c>
      <c r="D2594" s="124" t="s">
        <v>471</v>
      </c>
      <c r="E2594" s="21">
        <v>0.92686661000000004</v>
      </c>
      <c r="F2594" s="10"/>
      <c r="G2594" s="14">
        <v>20000000</v>
      </c>
      <c r="H2594" s="14">
        <v>18537332.210000001</v>
      </c>
      <c r="I2594" s="14">
        <v>20000000</v>
      </c>
      <c r="J2594" s="14">
        <v>18537332.210000001</v>
      </c>
      <c r="K2594" s="12">
        <v>67863976</v>
      </c>
      <c r="L2594" s="10" t="s">
        <v>101</v>
      </c>
      <c r="M2594" s="10" t="s">
        <v>102</v>
      </c>
      <c r="N2594" s="124" t="s">
        <v>471</v>
      </c>
      <c r="O2594" s="124" t="s">
        <v>471</v>
      </c>
      <c r="P2594" s="21">
        <v>30</v>
      </c>
      <c r="Q2594" s="10" t="s">
        <v>54</v>
      </c>
      <c r="R2594" s="10" t="s">
        <v>28</v>
      </c>
      <c r="S2594" s="10"/>
      <c r="T2594" s="10"/>
      <c r="U2594" s="10" t="s">
        <v>4158</v>
      </c>
      <c r="V2594" s="10" t="s">
        <v>4158</v>
      </c>
      <c r="W2594" s="50">
        <f>+J2594/$W$2</f>
        <v>2.2687184223697549E-4</v>
      </c>
    </row>
    <row r="2595" spans="1:29">
      <c r="A2595" s="10" t="s">
        <v>362</v>
      </c>
      <c r="B2595" s="10" t="s">
        <v>358</v>
      </c>
      <c r="C2595" s="124">
        <v>46420</v>
      </c>
      <c r="D2595" s="124" t="s">
        <v>471</v>
      </c>
      <c r="E2595" s="21">
        <v>0.92013734000000003</v>
      </c>
      <c r="F2595" s="10"/>
      <c r="G2595" s="14">
        <v>7692308</v>
      </c>
      <c r="H2595" s="14">
        <v>7077979.8300000001</v>
      </c>
      <c r="I2595" s="14">
        <v>7692308</v>
      </c>
      <c r="J2595" s="14">
        <v>7077979.8300000001</v>
      </c>
      <c r="K2595" s="12">
        <v>4450</v>
      </c>
      <c r="L2595" s="10" t="s">
        <v>101</v>
      </c>
      <c r="M2595" s="10" t="s">
        <v>102</v>
      </c>
      <c r="N2595" s="124" t="s">
        <v>466</v>
      </c>
      <c r="O2595" s="124" t="s">
        <v>466</v>
      </c>
      <c r="P2595" s="21">
        <v>33</v>
      </c>
      <c r="Q2595" s="10" t="s">
        <v>54</v>
      </c>
      <c r="R2595" s="10" t="s">
        <v>28</v>
      </c>
      <c r="S2595" s="10"/>
      <c r="T2595" s="10"/>
      <c r="U2595" s="10" t="s">
        <v>3614</v>
      </c>
      <c r="V2595" s="10" t="s">
        <v>3614</v>
      </c>
      <c r="W2595" s="50">
        <f>+J2595/$W$2</f>
        <v>8.6624887829436735E-5</v>
      </c>
    </row>
    <row r="2596" spans="1:29">
      <c r="A2596" s="10" t="s">
        <v>2828</v>
      </c>
      <c r="B2596" s="10" t="s">
        <v>358</v>
      </c>
      <c r="C2596" s="124">
        <v>46420</v>
      </c>
      <c r="D2596" s="124" t="s">
        <v>471</v>
      </c>
      <c r="E2596" s="21">
        <v>0.92236936999999997</v>
      </c>
      <c r="F2596" s="10"/>
      <c r="G2596" s="14">
        <v>716184.35</v>
      </c>
      <c r="H2596" s="14">
        <v>660586.51</v>
      </c>
      <c r="I2596" s="14">
        <v>716184.35</v>
      </c>
      <c r="J2596" s="14">
        <v>660586.51</v>
      </c>
      <c r="K2596" s="12">
        <v>6718</v>
      </c>
      <c r="L2596" s="10" t="s">
        <v>101</v>
      </c>
      <c r="M2596" s="10" t="s">
        <v>102</v>
      </c>
      <c r="N2596" s="124" t="s">
        <v>412</v>
      </c>
      <c r="O2596" s="124" t="s">
        <v>412</v>
      </c>
      <c r="P2596" s="21">
        <v>32</v>
      </c>
      <c r="Q2596" s="10" t="s">
        <v>54</v>
      </c>
      <c r="R2596" s="10" t="s">
        <v>28</v>
      </c>
      <c r="S2596" s="10"/>
      <c r="T2596" s="10"/>
      <c r="U2596" s="10" t="s">
        <v>2793</v>
      </c>
      <c r="V2596" s="10" t="s">
        <v>2793</v>
      </c>
      <c r="W2596" s="50">
        <f>+J2596/$W$2</f>
        <v>8.0846842891312799E-6</v>
      </c>
    </row>
    <row r="2597" spans="1:29">
      <c r="A2597" s="10" t="s">
        <v>433</v>
      </c>
      <c r="B2597" s="10" t="s">
        <v>358</v>
      </c>
      <c r="C2597" s="124">
        <v>46420</v>
      </c>
      <c r="D2597" s="124" t="s">
        <v>471</v>
      </c>
      <c r="E2597" s="21">
        <v>0.92013738</v>
      </c>
      <c r="F2597" s="10"/>
      <c r="G2597" s="14">
        <v>20000000</v>
      </c>
      <c r="H2597" s="14">
        <v>18402747.620000001</v>
      </c>
      <c r="I2597" s="14">
        <v>20000000</v>
      </c>
      <c r="J2597" s="14">
        <v>18402747.620000001</v>
      </c>
      <c r="K2597" s="12">
        <v>14725039</v>
      </c>
      <c r="L2597" s="10" t="s">
        <v>101</v>
      </c>
      <c r="M2597" s="10" t="s">
        <v>102</v>
      </c>
      <c r="N2597" s="124" t="s">
        <v>475</v>
      </c>
      <c r="O2597" s="124" t="s">
        <v>475</v>
      </c>
      <c r="P2597" s="21">
        <v>33</v>
      </c>
      <c r="Q2597" s="10" t="s">
        <v>54</v>
      </c>
      <c r="R2597" s="10" t="s">
        <v>28</v>
      </c>
      <c r="S2597" s="10"/>
      <c r="T2597" s="10"/>
      <c r="U2597" s="10" t="s">
        <v>3351</v>
      </c>
      <c r="V2597" s="10" t="s">
        <v>3351</v>
      </c>
      <c r="W2597" s="50">
        <f>+J2597/$W$2</f>
        <v>2.2522470911533156E-4</v>
      </c>
    </row>
    <row r="2598" spans="1:29">
      <c r="A2598" s="10" t="s">
        <v>3579</v>
      </c>
      <c r="B2598" s="10" t="s">
        <v>358</v>
      </c>
      <c r="C2598" s="124">
        <v>46420</v>
      </c>
      <c r="D2598" s="124" t="s">
        <v>471</v>
      </c>
      <c r="E2598" s="21">
        <v>0.91791584999999998</v>
      </c>
      <c r="F2598" s="10"/>
      <c r="G2598" s="14">
        <v>784454.61</v>
      </c>
      <c r="H2598" s="14">
        <v>720063.32</v>
      </c>
      <c r="I2598" s="14">
        <v>784454.61</v>
      </c>
      <c r="J2598" s="14">
        <v>720063.32</v>
      </c>
      <c r="K2598" s="12">
        <v>20647352</v>
      </c>
      <c r="L2598" s="10" t="s">
        <v>101</v>
      </c>
      <c r="M2598" s="10" t="s">
        <v>102</v>
      </c>
      <c r="N2598" s="124" t="s">
        <v>451</v>
      </c>
      <c r="O2598" s="124" t="s">
        <v>451</v>
      </c>
      <c r="P2598" s="21">
        <v>34</v>
      </c>
      <c r="Q2598" s="10" t="s">
        <v>54</v>
      </c>
      <c r="R2598" s="10" t="s">
        <v>28</v>
      </c>
      <c r="S2598" s="10"/>
      <c r="T2598" s="10"/>
      <c r="U2598" s="10" t="s">
        <v>3493</v>
      </c>
      <c r="V2598" s="10" t="s">
        <v>3493</v>
      </c>
      <c r="W2598" s="50">
        <f>+J2598/$W$2</f>
        <v>8.8125998976026759E-6</v>
      </c>
    </row>
    <row r="2599" spans="1:29">
      <c r="A2599" s="10" t="s">
        <v>2823</v>
      </c>
      <c r="B2599" s="10" t="s">
        <v>358</v>
      </c>
      <c r="C2599" s="124">
        <v>46420</v>
      </c>
      <c r="D2599" s="124" t="s">
        <v>471</v>
      </c>
      <c r="E2599" s="21">
        <v>0.92236938999999996</v>
      </c>
      <c r="F2599" s="10"/>
      <c r="G2599" s="14">
        <v>513679.69</v>
      </c>
      <c r="H2599" s="14">
        <v>473802.42</v>
      </c>
      <c r="I2599" s="14">
        <v>513679.69</v>
      </c>
      <c r="J2599" s="14">
        <v>473802.42</v>
      </c>
      <c r="K2599" s="12">
        <v>5289</v>
      </c>
      <c r="L2599" s="10" t="s">
        <v>101</v>
      </c>
      <c r="M2599" s="10" t="s">
        <v>102</v>
      </c>
      <c r="N2599" s="124" t="s">
        <v>412</v>
      </c>
      <c r="O2599" s="124" t="s">
        <v>412</v>
      </c>
      <c r="P2599" s="21">
        <v>32</v>
      </c>
      <c r="Q2599" s="10" t="s">
        <v>54</v>
      </c>
      <c r="R2599" s="10" t="s">
        <v>28</v>
      </c>
      <c r="S2599" s="10"/>
      <c r="T2599" s="10"/>
      <c r="U2599" s="10" t="s">
        <v>2783</v>
      </c>
      <c r="V2599" s="10" t="s">
        <v>2783</v>
      </c>
      <c r="W2599" s="50">
        <f>+J2599/$W$2</f>
        <v>5.7986999781851129E-6</v>
      </c>
    </row>
    <row r="2600" spans="1:29">
      <c r="A2600" s="10" t="s">
        <v>3306</v>
      </c>
      <c r="B2600" s="10" t="s">
        <v>358</v>
      </c>
      <c r="C2600" s="124">
        <v>46420</v>
      </c>
      <c r="D2600" s="124" t="s">
        <v>471</v>
      </c>
      <c r="E2600" s="21">
        <v>0.92686645999999995</v>
      </c>
      <c r="F2600" s="10"/>
      <c r="G2600" s="14">
        <v>26800000</v>
      </c>
      <c r="H2600" s="14">
        <v>24840021.16</v>
      </c>
      <c r="I2600" s="14">
        <v>26800000</v>
      </c>
      <c r="J2600" s="14">
        <v>24840021.16</v>
      </c>
      <c r="K2600" s="12">
        <v>7044</v>
      </c>
      <c r="L2600" s="10" t="s">
        <v>101</v>
      </c>
      <c r="M2600" s="10" t="s">
        <v>102</v>
      </c>
      <c r="N2600" s="124" t="s">
        <v>417</v>
      </c>
      <c r="O2600" s="124" t="s">
        <v>417</v>
      </c>
      <c r="P2600" s="21">
        <v>30</v>
      </c>
      <c r="Q2600" s="10" t="s">
        <v>54</v>
      </c>
      <c r="R2600" s="10" t="s">
        <v>28</v>
      </c>
      <c r="S2600" s="10"/>
      <c r="T2600" s="10"/>
      <c r="U2600" s="10" t="s">
        <v>3199</v>
      </c>
      <c r="V2600" s="10" t="s">
        <v>3199</v>
      </c>
      <c r="W2600" s="50">
        <f>+J2600/$W$2</f>
        <v>3.0400821962582998E-4</v>
      </c>
    </row>
    <row r="2601" spans="1:29">
      <c r="A2601" s="10" t="s">
        <v>3307</v>
      </c>
      <c r="B2601" s="10" t="s">
        <v>358</v>
      </c>
      <c r="C2601" s="124">
        <v>46420</v>
      </c>
      <c r="D2601" s="124" t="s">
        <v>471</v>
      </c>
      <c r="E2601" s="21">
        <v>0.92686645999999995</v>
      </c>
      <c r="F2601" s="10"/>
      <c r="G2601" s="14">
        <v>22250000</v>
      </c>
      <c r="H2601" s="14">
        <v>20622778.760000002</v>
      </c>
      <c r="I2601" s="14">
        <v>22250000</v>
      </c>
      <c r="J2601" s="14">
        <v>20622778.760000002</v>
      </c>
      <c r="K2601" s="12">
        <v>6028601</v>
      </c>
      <c r="L2601" s="10" t="s">
        <v>101</v>
      </c>
      <c r="M2601" s="10" t="s">
        <v>102</v>
      </c>
      <c r="N2601" s="124" t="s">
        <v>417</v>
      </c>
      <c r="O2601" s="124" t="s">
        <v>417</v>
      </c>
      <c r="P2601" s="21">
        <v>30</v>
      </c>
      <c r="Q2601" s="10" t="s">
        <v>54</v>
      </c>
      <c r="R2601" s="10" t="s">
        <v>28</v>
      </c>
      <c r="S2601" s="10"/>
      <c r="T2601" s="10"/>
      <c r="U2601" s="10" t="s">
        <v>3200</v>
      </c>
      <c r="V2601" s="10" t="s">
        <v>3200</v>
      </c>
      <c r="W2601" s="50">
        <f>+J2601/$W$2</f>
        <v>2.5239488381196624E-4</v>
      </c>
    </row>
    <row r="2602" spans="1:29">
      <c r="A2602" s="10" t="s">
        <v>271</v>
      </c>
      <c r="B2602" s="10" t="s">
        <v>358</v>
      </c>
      <c r="C2602" s="124">
        <v>46420</v>
      </c>
      <c r="D2602" s="124" t="s">
        <v>471</v>
      </c>
      <c r="E2602" s="21">
        <v>0.92236943000000005</v>
      </c>
      <c r="F2602" s="10"/>
      <c r="G2602" s="14">
        <v>10000000</v>
      </c>
      <c r="H2602" s="14">
        <v>9223694.3300000001</v>
      </c>
      <c r="I2602" s="14">
        <v>10000000</v>
      </c>
      <c r="J2602" s="14">
        <v>9223694.3300000001</v>
      </c>
      <c r="K2602" s="12">
        <v>2204</v>
      </c>
      <c r="L2602" s="10" t="s">
        <v>101</v>
      </c>
      <c r="M2602" s="10" t="s">
        <v>102</v>
      </c>
      <c r="N2602" s="124" t="s">
        <v>486</v>
      </c>
      <c r="O2602" s="124" t="s">
        <v>486</v>
      </c>
      <c r="P2602" s="21">
        <v>32</v>
      </c>
      <c r="Q2602" s="10" t="s">
        <v>54</v>
      </c>
      <c r="R2602" s="10" t="s">
        <v>28</v>
      </c>
      <c r="S2602" s="10"/>
      <c r="T2602" s="10"/>
      <c r="U2602" s="10" t="s">
        <v>1437</v>
      </c>
      <c r="V2602" s="10" t="s">
        <v>1437</v>
      </c>
      <c r="W2602" s="50">
        <f>+J2602/$W$2</f>
        <v>1.1288552749510471E-4</v>
      </c>
      <c r="AC2602"/>
    </row>
    <row r="2603" spans="1:29">
      <c r="A2603" s="10" t="s">
        <v>3606</v>
      </c>
      <c r="B2603" s="10" t="s">
        <v>358</v>
      </c>
      <c r="C2603" s="124">
        <v>46420</v>
      </c>
      <c r="D2603" s="124" t="s">
        <v>471</v>
      </c>
      <c r="E2603" s="21">
        <v>0.92013727000000001</v>
      </c>
      <c r="F2603" s="10"/>
      <c r="G2603" s="14">
        <v>4725000</v>
      </c>
      <c r="H2603" s="14">
        <v>4347648.5999999996</v>
      </c>
      <c r="I2603" s="14">
        <v>4725000</v>
      </c>
      <c r="J2603" s="14">
        <v>4347648.5999999996</v>
      </c>
      <c r="K2603" s="12">
        <v>11163483</v>
      </c>
      <c r="L2603" s="10" t="s">
        <v>101</v>
      </c>
      <c r="M2603" s="10" t="s">
        <v>102</v>
      </c>
      <c r="N2603" s="124" t="s">
        <v>451</v>
      </c>
      <c r="O2603" s="124" t="s">
        <v>451</v>
      </c>
      <c r="P2603" s="21">
        <v>33</v>
      </c>
      <c r="Q2603" s="10" t="s">
        <v>54</v>
      </c>
      <c r="R2603" s="10" t="s">
        <v>28</v>
      </c>
      <c r="S2603" s="10"/>
      <c r="T2603" s="10"/>
      <c r="U2603" s="10" t="s">
        <v>3551</v>
      </c>
      <c r="V2603" s="10" t="s">
        <v>3551</v>
      </c>
      <c r="W2603" s="50">
        <f>+J2603/$W$2</f>
        <v>5.3209331100454351E-5</v>
      </c>
    </row>
    <row r="2604" spans="1:29">
      <c r="A2604" s="10" t="s">
        <v>2537</v>
      </c>
      <c r="B2604" s="10" t="s">
        <v>358</v>
      </c>
      <c r="C2604" s="124">
        <v>46420</v>
      </c>
      <c r="D2604" s="124" t="s">
        <v>471</v>
      </c>
      <c r="E2604" s="21">
        <v>0.92236945000000004</v>
      </c>
      <c r="F2604" s="10"/>
      <c r="G2604" s="14">
        <v>10386286.039999999</v>
      </c>
      <c r="H2604" s="14">
        <v>9579992.9700000007</v>
      </c>
      <c r="I2604" s="14">
        <v>10386286.039999999</v>
      </c>
      <c r="J2604" s="14">
        <v>9579992.9700000007</v>
      </c>
      <c r="K2604" s="12">
        <v>54595092</v>
      </c>
      <c r="L2604" s="10" t="s">
        <v>101</v>
      </c>
      <c r="M2604" s="10" t="s">
        <v>102</v>
      </c>
      <c r="N2604" s="124" t="s">
        <v>452</v>
      </c>
      <c r="O2604" s="124" t="s">
        <v>452</v>
      </c>
      <c r="P2604" s="21">
        <v>32</v>
      </c>
      <c r="Q2604" s="10" t="s">
        <v>54</v>
      </c>
      <c r="R2604" s="10" t="s">
        <v>28</v>
      </c>
      <c r="S2604" s="10"/>
      <c r="T2604" s="10"/>
      <c r="U2604" s="10" t="s">
        <v>2509</v>
      </c>
      <c r="V2604" s="10" t="s">
        <v>2509</v>
      </c>
      <c r="W2604" s="50">
        <f>+J2604/$W$2</f>
        <v>1.1724614033451442E-4</v>
      </c>
    </row>
    <row r="2605" spans="1:29">
      <c r="A2605" s="10" t="s">
        <v>379</v>
      </c>
      <c r="B2605" s="10" t="s">
        <v>358</v>
      </c>
      <c r="C2605" s="124">
        <v>46421</v>
      </c>
      <c r="D2605" s="124" t="s">
        <v>471</v>
      </c>
      <c r="E2605" s="21">
        <v>0.92616098999999996</v>
      </c>
      <c r="F2605" s="10"/>
      <c r="G2605" s="14">
        <v>14000000</v>
      </c>
      <c r="H2605" s="14">
        <v>12966253.82</v>
      </c>
      <c r="I2605" s="14">
        <v>14000000</v>
      </c>
      <c r="J2605" s="14">
        <v>12966253.82</v>
      </c>
      <c r="K2605" s="12">
        <v>3385320</v>
      </c>
      <c r="L2605" s="10" t="s">
        <v>101</v>
      </c>
      <c r="M2605" s="10" t="s">
        <v>102</v>
      </c>
      <c r="N2605" s="124" t="s">
        <v>395</v>
      </c>
      <c r="O2605" s="124" t="s">
        <v>395</v>
      </c>
      <c r="P2605" s="21">
        <v>30</v>
      </c>
      <c r="Q2605" s="10" t="s">
        <v>54</v>
      </c>
      <c r="R2605" s="10" t="s">
        <v>28</v>
      </c>
      <c r="S2605" s="10"/>
      <c r="T2605" s="10"/>
      <c r="U2605" s="10" t="s">
        <v>1771</v>
      </c>
      <c r="V2605" s="10" t="s">
        <v>1771</v>
      </c>
      <c r="W2605" s="50">
        <f>+J2605/$W$2</f>
        <v>1.5868938732557897E-4</v>
      </c>
    </row>
    <row r="2606" spans="1:29">
      <c r="A2606" s="10" t="s">
        <v>379</v>
      </c>
      <c r="B2606" s="10" t="s">
        <v>358</v>
      </c>
      <c r="C2606" s="124">
        <v>46421</v>
      </c>
      <c r="D2606" s="124" t="s">
        <v>471</v>
      </c>
      <c r="E2606" s="21">
        <v>0.92616091</v>
      </c>
      <c r="F2606" s="10"/>
      <c r="G2606" s="14">
        <v>13500000</v>
      </c>
      <c r="H2606" s="14">
        <v>12503172.25</v>
      </c>
      <c r="I2606" s="14">
        <v>13500000</v>
      </c>
      <c r="J2606" s="14">
        <v>12503172.25</v>
      </c>
      <c r="K2606" s="12">
        <v>166</v>
      </c>
      <c r="L2606" s="10" t="s">
        <v>101</v>
      </c>
      <c r="M2606" s="10" t="s">
        <v>102</v>
      </c>
      <c r="N2606" s="124" t="s">
        <v>449</v>
      </c>
      <c r="O2606" s="124" t="s">
        <v>449</v>
      </c>
      <c r="P2606" s="21">
        <v>30</v>
      </c>
      <c r="Q2606" s="10" t="s">
        <v>54</v>
      </c>
      <c r="R2606" s="10" t="s">
        <v>28</v>
      </c>
      <c r="S2606" s="10"/>
      <c r="T2606" s="10"/>
      <c r="U2606" s="10" t="s">
        <v>1944</v>
      </c>
      <c r="V2606" s="10" t="s">
        <v>1944</v>
      </c>
      <c r="W2606" s="50">
        <f>+J2606/$W$2</f>
        <v>1.5302189603278032E-4</v>
      </c>
    </row>
    <row r="2607" spans="1:29">
      <c r="A2607" s="10" t="s">
        <v>2314</v>
      </c>
      <c r="B2607" s="10" t="s">
        <v>358</v>
      </c>
      <c r="C2607" s="124">
        <v>46421</v>
      </c>
      <c r="D2607" s="124" t="s">
        <v>471</v>
      </c>
      <c r="E2607" s="21">
        <v>0.91937241999999997</v>
      </c>
      <c r="F2607" s="10"/>
      <c r="G2607" s="14">
        <v>6006148</v>
      </c>
      <c r="H2607" s="14">
        <v>5521886.8399999999</v>
      </c>
      <c r="I2607" s="14">
        <v>6006148</v>
      </c>
      <c r="J2607" s="14">
        <v>5521886.8399999999</v>
      </c>
      <c r="K2607" s="12">
        <v>1370653</v>
      </c>
      <c r="L2607" s="10" t="s">
        <v>101</v>
      </c>
      <c r="M2607" s="10" t="s">
        <v>102</v>
      </c>
      <c r="N2607" s="124" t="s">
        <v>439</v>
      </c>
      <c r="O2607" s="124" t="s">
        <v>439</v>
      </c>
      <c r="P2607" s="21">
        <v>33</v>
      </c>
      <c r="Q2607" s="10" t="s">
        <v>54</v>
      </c>
      <c r="R2607" s="10" t="s">
        <v>28</v>
      </c>
      <c r="S2607" s="10"/>
      <c r="T2607" s="10"/>
      <c r="U2607" s="10" t="s">
        <v>2309</v>
      </c>
      <c r="V2607" s="10" t="s">
        <v>2309</v>
      </c>
      <c r="W2607" s="50">
        <f>+J2607/$W$2</f>
        <v>6.7580416956605378E-5</v>
      </c>
    </row>
    <row r="2608" spans="1:29">
      <c r="A2608" s="10" t="s">
        <v>401</v>
      </c>
      <c r="B2608" s="10" t="s">
        <v>358</v>
      </c>
      <c r="C2608" s="124">
        <v>46421</v>
      </c>
      <c r="D2608" s="124" t="s">
        <v>471</v>
      </c>
      <c r="E2608" s="21">
        <v>0.92616091</v>
      </c>
      <c r="F2608" s="10"/>
      <c r="G2608" s="14">
        <v>6441003</v>
      </c>
      <c r="H2608" s="14">
        <v>5965405.1799999997</v>
      </c>
      <c r="I2608" s="14">
        <v>6441003</v>
      </c>
      <c r="J2608" s="14">
        <v>5965405.1799999997</v>
      </c>
      <c r="K2608" s="12">
        <v>14097860</v>
      </c>
      <c r="L2608" s="10" t="s">
        <v>101</v>
      </c>
      <c r="M2608" s="10" t="s">
        <v>102</v>
      </c>
      <c r="N2608" s="124" t="s">
        <v>449</v>
      </c>
      <c r="O2608" s="124" t="s">
        <v>449</v>
      </c>
      <c r="P2608" s="21">
        <v>30</v>
      </c>
      <c r="Q2608" s="10" t="s">
        <v>54</v>
      </c>
      <c r="R2608" s="10" t="s">
        <v>28</v>
      </c>
      <c r="S2608" s="10"/>
      <c r="T2608" s="10"/>
      <c r="U2608" s="10" t="s">
        <v>1913</v>
      </c>
      <c r="V2608" s="10" t="s">
        <v>1913</v>
      </c>
      <c r="W2608" s="50">
        <f>+J2608/$W$2</f>
        <v>7.3008480807530186E-5</v>
      </c>
    </row>
    <row r="2609" spans="1:23">
      <c r="A2609" s="10" t="s">
        <v>401</v>
      </c>
      <c r="B2609" s="10" t="s">
        <v>358</v>
      </c>
      <c r="C2609" s="124">
        <v>46421</v>
      </c>
      <c r="D2609" s="124" t="s">
        <v>471</v>
      </c>
      <c r="E2609" s="21">
        <v>0.92616089999999995</v>
      </c>
      <c r="F2609" s="10"/>
      <c r="G2609" s="14">
        <v>961486.87</v>
      </c>
      <c r="H2609" s="14">
        <v>890491.55</v>
      </c>
      <c r="I2609" s="14">
        <v>961486.87</v>
      </c>
      <c r="J2609" s="14">
        <v>890491.55</v>
      </c>
      <c r="K2609" s="12">
        <v>285</v>
      </c>
      <c r="L2609" s="10" t="s">
        <v>101</v>
      </c>
      <c r="M2609" s="10" t="s">
        <v>102</v>
      </c>
      <c r="N2609" s="124" t="s">
        <v>449</v>
      </c>
      <c r="O2609" s="124" t="s">
        <v>449</v>
      </c>
      <c r="P2609" s="21">
        <v>30</v>
      </c>
      <c r="Q2609" s="10" t="s">
        <v>54</v>
      </c>
      <c r="R2609" s="10" t="s">
        <v>28</v>
      </c>
      <c r="S2609" s="10"/>
      <c r="T2609" s="10"/>
      <c r="U2609" s="10" t="s">
        <v>1914</v>
      </c>
      <c r="V2609" s="10" t="s">
        <v>1914</v>
      </c>
      <c r="W2609" s="50">
        <f>+J2609/$W$2</f>
        <v>1.0898410631923382E-5</v>
      </c>
    </row>
    <row r="2610" spans="1:23">
      <c r="A2610" s="10" t="s">
        <v>2758</v>
      </c>
      <c r="B2610" s="10" t="s">
        <v>358</v>
      </c>
      <c r="C2610" s="124">
        <v>46421</v>
      </c>
      <c r="D2610" s="124" t="s">
        <v>471</v>
      </c>
      <c r="E2610" s="21">
        <v>0.93074268999999998</v>
      </c>
      <c r="F2610" s="10"/>
      <c r="G2610" s="14">
        <v>8876079</v>
      </c>
      <c r="H2610" s="14">
        <v>8261345.6200000001</v>
      </c>
      <c r="I2610" s="14">
        <v>8876079</v>
      </c>
      <c r="J2610" s="14">
        <v>8261345.6200000001</v>
      </c>
      <c r="K2610" s="12">
        <v>718564</v>
      </c>
      <c r="L2610" s="10" t="s">
        <v>101</v>
      </c>
      <c r="M2610" s="10" t="s">
        <v>102</v>
      </c>
      <c r="N2610" s="124" t="s">
        <v>411</v>
      </c>
      <c r="O2610" s="124" t="s">
        <v>411</v>
      </c>
      <c r="P2610" s="21">
        <v>28</v>
      </c>
      <c r="Q2610" s="10" t="s">
        <v>54</v>
      </c>
      <c r="R2610" s="10" t="s">
        <v>28</v>
      </c>
      <c r="S2610" s="10"/>
      <c r="T2610" s="10"/>
      <c r="U2610" s="10" t="s">
        <v>2935</v>
      </c>
      <c r="V2610" s="10" t="s">
        <v>2935</v>
      </c>
      <c r="W2610" s="50">
        <f>+J2610/$W$2</f>
        <v>1.0110768253668623E-4</v>
      </c>
    </row>
    <row r="2611" spans="1:23">
      <c r="A2611" s="10" t="s">
        <v>1893</v>
      </c>
      <c r="B2611" s="10" t="s">
        <v>358</v>
      </c>
      <c r="C2611" s="124">
        <v>46421</v>
      </c>
      <c r="D2611" s="124" t="s">
        <v>471</v>
      </c>
      <c r="E2611" s="21">
        <v>0.93305053999999998</v>
      </c>
      <c r="F2611" s="10"/>
      <c r="G2611" s="14">
        <v>8000000</v>
      </c>
      <c r="H2611" s="14">
        <v>7464404.2800000003</v>
      </c>
      <c r="I2611" s="14">
        <v>8000000</v>
      </c>
      <c r="J2611" s="14">
        <v>7464404.2800000003</v>
      </c>
      <c r="K2611" s="12">
        <v>90017121</v>
      </c>
      <c r="L2611" s="10" t="s">
        <v>101</v>
      </c>
      <c r="M2611" s="10" t="s">
        <v>102</v>
      </c>
      <c r="N2611" s="124" t="s">
        <v>471</v>
      </c>
      <c r="O2611" s="124" t="s">
        <v>471</v>
      </c>
      <c r="P2611" s="21">
        <v>27</v>
      </c>
      <c r="Q2611" s="10" t="s">
        <v>54</v>
      </c>
      <c r="R2611" s="10" t="s">
        <v>28</v>
      </c>
      <c r="S2611" s="10"/>
      <c r="T2611" s="10"/>
      <c r="U2611" s="10" t="s">
        <v>4071</v>
      </c>
      <c r="V2611" s="10" t="s">
        <v>4071</v>
      </c>
      <c r="W2611" s="50">
        <f>+J2611/$W$2</f>
        <v>9.1354199785642436E-5</v>
      </c>
    </row>
    <row r="2612" spans="1:23">
      <c r="A2612" s="10" t="s">
        <v>4044</v>
      </c>
      <c r="B2612" s="10" t="s">
        <v>358</v>
      </c>
      <c r="C2612" s="124">
        <v>46421</v>
      </c>
      <c r="D2612" s="124" t="s">
        <v>471</v>
      </c>
      <c r="E2612" s="21">
        <v>0.92616091</v>
      </c>
      <c r="F2612" s="10"/>
      <c r="G2612" s="14">
        <v>15000000</v>
      </c>
      <c r="H2612" s="14">
        <v>13892413.67</v>
      </c>
      <c r="I2612" s="14">
        <v>15000000</v>
      </c>
      <c r="J2612" s="14">
        <v>13892413.67</v>
      </c>
      <c r="K2612" s="12">
        <v>1420</v>
      </c>
      <c r="L2612" s="10" t="s">
        <v>101</v>
      </c>
      <c r="M2612" s="10" t="s">
        <v>102</v>
      </c>
      <c r="N2612" s="124" t="s">
        <v>469</v>
      </c>
      <c r="O2612" s="124" t="s">
        <v>469</v>
      </c>
      <c r="P2612" s="21">
        <v>30</v>
      </c>
      <c r="Q2612" s="10" t="s">
        <v>54</v>
      </c>
      <c r="R2612" s="10" t="s">
        <v>28</v>
      </c>
      <c r="S2612" s="10"/>
      <c r="T2612" s="10"/>
      <c r="U2612" s="10" t="s">
        <v>3961</v>
      </c>
      <c r="V2612" s="10" t="s">
        <v>3961</v>
      </c>
      <c r="W2612" s="50">
        <f>+J2612/$W$2</f>
        <v>1.700243296460317E-4</v>
      </c>
    </row>
    <row r="2613" spans="1:23">
      <c r="A2613" s="10" t="s">
        <v>1393</v>
      </c>
      <c r="B2613" s="10" t="s">
        <v>358</v>
      </c>
      <c r="C2613" s="124">
        <v>46421</v>
      </c>
      <c r="D2613" s="124" t="s">
        <v>471</v>
      </c>
      <c r="E2613" s="21">
        <v>0.92388691999999994</v>
      </c>
      <c r="F2613" s="10"/>
      <c r="G2613" s="14">
        <v>60000000</v>
      </c>
      <c r="H2613" s="14">
        <v>55433215.18</v>
      </c>
      <c r="I2613" s="14">
        <v>60000000</v>
      </c>
      <c r="J2613" s="14">
        <v>55433215.18</v>
      </c>
      <c r="K2613" s="12">
        <v>3040</v>
      </c>
      <c r="L2613" s="10" t="s">
        <v>101</v>
      </c>
      <c r="M2613" s="10" t="s">
        <v>102</v>
      </c>
      <c r="N2613" s="124" t="s">
        <v>396</v>
      </c>
      <c r="O2613" s="124" t="s">
        <v>396</v>
      </c>
      <c r="P2613" s="21">
        <v>31</v>
      </c>
      <c r="Q2613" s="10" t="s">
        <v>54</v>
      </c>
      <c r="R2613" s="10" t="s">
        <v>28</v>
      </c>
      <c r="S2613" s="10"/>
      <c r="T2613" s="10"/>
      <c r="U2613" s="10" t="s">
        <v>1374</v>
      </c>
      <c r="V2613" s="10" t="s">
        <v>1374</v>
      </c>
      <c r="W2613" s="50">
        <f>+J2613/$W$2</f>
        <v>6.7842748387607788E-4</v>
      </c>
    </row>
    <row r="2614" spans="1:23">
      <c r="A2614" s="10" t="s">
        <v>298</v>
      </c>
      <c r="B2614" s="10" t="s">
        <v>358</v>
      </c>
      <c r="C2614" s="124">
        <v>46421</v>
      </c>
      <c r="D2614" s="124" t="s">
        <v>471</v>
      </c>
      <c r="E2614" s="21">
        <v>0.91490174999999996</v>
      </c>
      <c r="F2614" s="10"/>
      <c r="G2614" s="14">
        <v>32000000</v>
      </c>
      <c r="H2614" s="14">
        <v>29276855.940000001</v>
      </c>
      <c r="I2614" s="14">
        <v>32000000</v>
      </c>
      <c r="J2614" s="14">
        <v>29276855.940000001</v>
      </c>
      <c r="K2614" s="12">
        <v>90000140</v>
      </c>
      <c r="L2614" s="10" t="s">
        <v>101</v>
      </c>
      <c r="M2614" s="10" t="s">
        <v>102</v>
      </c>
      <c r="N2614" s="124" t="s">
        <v>395</v>
      </c>
      <c r="O2614" s="124" t="s">
        <v>395</v>
      </c>
      <c r="P2614" s="21">
        <v>35</v>
      </c>
      <c r="Q2614" s="10" t="s">
        <v>54</v>
      </c>
      <c r="R2614" s="10" t="s">
        <v>28</v>
      </c>
      <c r="S2614" s="10"/>
      <c r="T2614" s="10"/>
      <c r="U2614" s="10" t="s">
        <v>1808</v>
      </c>
      <c r="V2614" s="10" t="s">
        <v>1808</v>
      </c>
      <c r="W2614" s="50">
        <f>+J2614/$W$2</f>
        <v>3.5830906878991182E-4</v>
      </c>
    </row>
    <row r="2615" spans="1:23">
      <c r="A2615" s="10" t="s">
        <v>574</v>
      </c>
      <c r="B2615" s="10" t="s">
        <v>358</v>
      </c>
      <c r="C2615" s="124">
        <v>46421</v>
      </c>
      <c r="D2615" s="124" t="s">
        <v>471</v>
      </c>
      <c r="E2615" s="21">
        <v>0.92616105999999998</v>
      </c>
      <c r="F2615" s="10"/>
      <c r="G2615" s="14">
        <v>40000000</v>
      </c>
      <c r="H2615" s="14">
        <v>37046442.479999997</v>
      </c>
      <c r="I2615" s="14">
        <v>40000000</v>
      </c>
      <c r="J2615" s="14">
        <v>37046442.479999997</v>
      </c>
      <c r="K2615" s="12">
        <v>90004381</v>
      </c>
      <c r="L2615" s="10" t="s">
        <v>101</v>
      </c>
      <c r="M2615" s="10" t="s">
        <v>102</v>
      </c>
      <c r="N2615" s="124" t="s">
        <v>467</v>
      </c>
      <c r="O2615" s="124" t="s">
        <v>467</v>
      </c>
      <c r="P2615" s="21">
        <v>30</v>
      </c>
      <c r="Q2615" s="10" t="s">
        <v>54</v>
      </c>
      <c r="R2615" s="10" t="s">
        <v>28</v>
      </c>
      <c r="S2615" s="10"/>
      <c r="T2615" s="10"/>
      <c r="U2615" s="10" t="s">
        <v>3766</v>
      </c>
      <c r="V2615" s="10" t="s">
        <v>3766</v>
      </c>
      <c r="W2615" s="50">
        <f>+J2615/$W$2</f>
        <v>4.5339828614765628E-4</v>
      </c>
    </row>
    <row r="2616" spans="1:23">
      <c r="A2616" s="10" t="s">
        <v>4045</v>
      </c>
      <c r="B2616" s="10" t="s">
        <v>358</v>
      </c>
      <c r="C2616" s="124">
        <v>46421</v>
      </c>
      <c r="D2616" s="124" t="s">
        <v>471</v>
      </c>
      <c r="E2616" s="21">
        <v>0.92616091</v>
      </c>
      <c r="F2616" s="10"/>
      <c r="G2616" s="14">
        <v>100000000</v>
      </c>
      <c r="H2616" s="14">
        <v>92616091.159999996</v>
      </c>
      <c r="I2616" s="14">
        <v>100000000</v>
      </c>
      <c r="J2616" s="14">
        <v>92616091.159999996</v>
      </c>
      <c r="K2616" s="12">
        <v>12316</v>
      </c>
      <c r="L2616" s="10" t="s">
        <v>101</v>
      </c>
      <c r="M2616" s="10" t="s">
        <v>102</v>
      </c>
      <c r="N2616" s="124" t="s">
        <v>469</v>
      </c>
      <c r="O2616" s="124" t="s">
        <v>469</v>
      </c>
      <c r="P2616" s="21">
        <v>30</v>
      </c>
      <c r="Q2616" s="10" t="s">
        <v>54</v>
      </c>
      <c r="R2616" s="10" t="s">
        <v>28</v>
      </c>
      <c r="S2616" s="10"/>
      <c r="T2616" s="10"/>
      <c r="U2616" s="10" t="s">
        <v>3897</v>
      </c>
      <c r="V2616" s="10" t="s">
        <v>3897</v>
      </c>
      <c r="W2616" s="50">
        <f>+J2616/$W$2</f>
        <v>1.1334955312999086E-3</v>
      </c>
    </row>
    <row r="2617" spans="1:23">
      <c r="A2617" s="10" t="s">
        <v>4045</v>
      </c>
      <c r="B2617" s="10" t="s">
        <v>358</v>
      </c>
      <c r="C2617" s="124">
        <v>46421</v>
      </c>
      <c r="D2617" s="124" t="s">
        <v>471</v>
      </c>
      <c r="E2617" s="21">
        <v>0.92616091</v>
      </c>
      <c r="F2617" s="10"/>
      <c r="G2617" s="14">
        <v>100000000</v>
      </c>
      <c r="H2617" s="14">
        <v>92616091.159999996</v>
      </c>
      <c r="I2617" s="14">
        <v>100000000</v>
      </c>
      <c r="J2617" s="14">
        <v>92616091.159999996</v>
      </c>
      <c r="K2617" s="12">
        <v>12318</v>
      </c>
      <c r="L2617" s="10" t="s">
        <v>101</v>
      </c>
      <c r="M2617" s="10" t="s">
        <v>102</v>
      </c>
      <c r="N2617" s="124" t="s">
        <v>469</v>
      </c>
      <c r="O2617" s="124" t="s">
        <v>469</v>
      </c>
      <c r="P2617" s="21">
        <v>30</v>
      </c>
      <c r="Q2617" s="10" t="s">
        <v>54</v>
      </c>
      <c r="R2617" s="10" t="s">
        <v>28</v>
      </c>
      <c r="S2617" s="10"/>
      <c r="T2617" s="10"/>
      <c r="U2617" s="10" t="s">
        <v>3898</v>
      </c>
      <c r="V2617" s="10" t="s">
        <v>3898</v>
      </c>
      <c r="W2617" s="50">
        <f>+J2617/$W$2</f>
        <v>1.1334955312999086E-3</v>
      </c>
    </row>
    <row r="2618" spans="1:23">
      <c r="A2618" s="10" t="s">
        <v>4170</v>
      </c>
      <c r="B2618" s="10" t="s">
        <v>358</v>
      </c>
      <c r="C2618" s="124">
        <v>46421</v>
      </c>
      <c r="D2618" s="124" t="s">
        <v>471</v>
      </c>
      <c r="E2618" s="21">
        <v>0.92616098000000002</v>
      </c>
      <c r="F2618" s="10"/>
      <c r="G2618" s="14">
        <v>113000000</v>
      </c>
      <c r="H2618" s="14">
        <v>104656191</v>
      </c>
      <c r="I2618" s="14">
        <v>113000000</v>
      </c>
      <c r="J2618" s="14">
        <v>104656191</v>
      </c>
      <c r="K2618" s="12">
        <v>14846952</v>
      </c>
      <c r="L2618" s="10" t="s">
        <v>101</v>
      </c>
      <c r="M2618" s="10" t="s">
        <v>102</v>
      </c>
      <c r="N2618" s="124" t="s">
        <v>471</v>
      </c>
      <c r="O2618" s="124" t="s">
        <v>471</v>
      </c>
      <c r="P2618" s="21">
        <v>30</v>
      </c>
      <c r="Q2618" s="10" t="s">
        <v>54</v>
      </c>
      <c r="R2618" s="10" t="s">
        <v>28</v>
      </c>
      <c r="S2618" s="10"/>
      <c r="T2618" s="10"/>
      <c r="U2618" s="10" t="s">
        <v>4129</v>
      </c>
      <c r="V2618" s="10" t="s">
        <v>4129</v>
      </c>
      <c r="W2618" s="50">
        <f>+J2618/$W$2</f>
        <v>1.2808500481458853E-3</v>
      </c>
    </row>
    <row r="2619" spans="1:23">
      <c r="A2619" s="10" t="s">
        <v>4174</v>
      </c>
      <c r="B2619" s="10" t="s">
        <v>358</v>
      </c>
      <c r="C2619" s="124">
        <v>46421</v>
      </c>
      <c r="D2619" s="124" t="s">
        <v>471</v>
      </c>
      <c r="E2619" s="21">
        <v>0.92616098000000002</v>
      </c>
      <c r="F2619" s="10"/>
      <c r="G2619" s="14">
        <v>100000000</v>
      </c>
      <c r="H2619" s="14">
        <v>92616098.230000004</v>
      </c>
      <c r="I2619" s="14">
        <v>100000000</v>
      </c>
      <c r="J2619" s="14">
        <v>92616098.230000004</v>
      </c>
      <c r="K2619" s="12">
        <v>1877</v>
      </c>
      <c r="L2619" s="10" t="s">
        <v>101</v>
      </c>
      <c r="M2619" s="10" t="s">
        <v>102</v>
      </c>
      <c r="N2619" s="124" t="s">
        <v>471</v>
      </c>
      <c r="O2619" s="124" t="s">
        <v>471</v>
      </c>
      <c r="P2619" s="21">
        <v>30</v>
      </c>
      <c r="Q2619" s="10" t="s">
        <v>54</v>
      </c>
      <c r="R2619" s="10" t="s">
        <v>28</v>
      </c>
      <c r="S2619" s="10"/>
      <c r="T2619" s="10"/>
      <c r="U2619" s="10" t="s">
        <v>4156</v>
      </c>
      <c r="V2619" s="10" t="s">
        <v>4156</v>
      </c>
      <c r="W2619" s="50">
        <f>+J2619/$W$2</f>
        <v>1.1334956178271341E-3</v>
      </c>
    </row>
    <row r="2620" spans="1:23">
      <c r="A2620" s="10" t="s">
        <v>4176</v>
      </c>
      <c r="B2620" s="10" t="s">
        <v>358</v>
      </c>
      <c r="C2620" s="124">
        <v>46421</v>
      </c>
      <c r="D2620" s="124" t="s">
        <v>471</v>
      </c>
      <c r="E2620" s="21">
        <v>0.92616098000000002</v>
      </c>
      <c r="F2620" s="10"/>
      <c r="G2620" s="14">
        <v>150000000</v>
      </c>
      <c r="H2620" s="14">
        <v>138924147.34999999</v>
      </c>
      <c r="I2620" s="14">
        <v>150000000</v>
      </c>
      <c r="J2620" s="14">
        <v>138924147.34999999</v>
      </c>
      <c r="K2620" s="12">
        <v>8712</v>
      </c>
      <c r="L2620" s="10" t="s">
        <v>101</v>
      </c>
      <c r="M2620" s="10" t="s">
        <v>102</v>
      </c>
      <c r="N2620" s="124" t="s">
        <v>471</v>
      </c>
      <c r="O2620" s="124" t="s">
        <v>471</v>
      </c>
      <c r="P2620" s="21">
        <v>30</v>
      </c>
      <c r="Q2620" s="10" t="s">
        <v>54</v>
      </c>
      <c r="R2620" s="10" t="s">
        <v>28</v>
      </c>
      <c r="S2620" s="10"/>
      <c r="T2620" s="10"/>
      <c r="U2620" s="10" t="s">
        <v>4154</v>
      </c>
      <c r="V2620" s="10" t="s">
        <v>4154</v>
      </c>
      <c r="W2620" s="50">
        <f>+J2620/$W$2</f>
        <v>1.7002434268018943E-3</v>
      </c>
    </row>
    <row r="2621" spans="1:23">
      <c r="A2621" s="10" t="s">
        <v>3787</v>
      </c>
      <c r="B2621" s="10" t="s">
        <v>358</v>
      </c>
      <c r="C2621" s="124">
        <v>46421</v>
      </c>
      <c r="D2621" s="124" t="s">
        <v>471</v>
      </c>
      <c r="E2621" s="21">
        <v>0.92844623999999998</v>
      </c>
      <c r="F2621" s="10"/>
      <c r="G2621" s="14">
        <v>8621773.1799999997</v>
      </c>
      <c r="H2621" s="14">
        <v>8004852.9299999997</v>
      </c>
      <c r="I2621" s="14">
        <v>8621773.1799999997</v>
      </c>
      <c r="J2621" s="14">
        <v>8004852.9299999997</v>
      </c>
      <c r="K2621" s="12">
        <v>2048460</v>
      </c>
      <c r="L2621" s="10" t="s">
        <v>101</v>
      </c>
      <c r="M2621" s="10" t="s">
        <v>102</v>
      </c>
      <c r="N2621" s="124" t="s">
        <v>467</v>
      </c>
      <c r="O2621" s="124" t="s">
        <v>467</v>
      </c>
      <c r="P2621" s="21">
        <v>29</v>
      </c>
      <c r="Q2621" s="10" t="s">
        <v>54</v>
      </c>
      <c r="R2621" s="10" t="s">
        <v>28</v>
      </c>
      <c r="S2621" s="10"/>
      <c r="T2621" s="10"/>
      <c r="U2621" s="10" t="s">
        <v>3716</v>
      </c>
      <c r="V2621" s="10" t="s">
        <v>3716</v>
      </c>
      <c r="W2621" s="50">
        <f>+J2621/$W$2</f>
        <v>9.7968559363977156E-5</v>
      </c>
    </row>
    <row r="2622" spans="1:23">
      <c r="A2622" s="10" t="s">
        <v>3441</v>
      </c>
      <c r="B2622" s="10" t="s">
        <v>358</v>
      </c>
      <c r="C2622" s="124">
        <v>46421</v>
      </c>
      <c r="D2622" s="124" t="s">
        <v>471</v>
      </c>
      <c r="E2622" s="21">
        <v>0.92844627999999996</v>
      </c>
      <c r="F2622" s="10"/>
      <c r="G2622" s="14">
        <v>10000000</v>
      </c>
      <c r="H2622" s="14">
        <v>9284462.8100000005</v>
      </c>
      <c r="I2622" s="14">
        <v>10000000</v>
      </c>
      <c r="J2622" s="14">
        <v>9284462.8100000005</v>
      </c>
      <c r="K2622" s="12">
        <v>1055</v>
      </c>
      <c r="L2622" s="10" t="s">
        <v>101</v>
      </c>
      <c r="M2622" s="10" t="s">
        <v>102</v>
      </c>
      <c r="N2622" s="124" t="s">
        <v>450</v>
      </c>
      <c r="O2622" s="124" t="s">
        <v>450</v>
      </c>
      <c r="P2622" s="21">
        <v>29</v>
      </c>
      <c r="Q2622" s="10" t="s">
        <v>54</v>
      </c>
      <c r="R2622" s="10" t="s">
        <v>28</v>
      </c>
      <c r="S2622" s="10"/>
      <c r="T2622" s="10"/>
      <c r="U2622" s="10" t="s">
        <v>3432</v>
      </c>
      <c r="V2622" s="10" t="s">
        <v>3432</v>
      </c>
      <c r="W2622" s="50">
        <f>+J2622/$W$2</f>
        <v>1.1362925139514378E-4</v>
      </c>
    </row>
    <row r="2623" spans="1:23">
      <c r="A2623" s="10" t="s">
        <v>3597</v>
      </c>
      <c r="B2623" s="10" t="s">
        <v>358</v>
      </c>
      <c r="C2623" s="124">
        <v>46421</v>
      </c>
      <c r="D2623" s="124" t="s">
        <v>471</v>
      </c>
      <c r="E2623" s="21">
        <v>0.91713157000000001</v>
      </c>
      <c r="F2623" s="10"/>
      <c r="G2623" s="14">
        <v>1000000</v>
      </c>
      <c r="H2623" s="14">
        <v>917131.57</v>
      </c>
      <c r="I2623" s="14">
        <v>1000000</v>
      </c>
      <c r="J2623" s="14">
        <v>917131.57</v>
      </c>
      <c r="K2623" s="12">
        <v>90000138</v>
      </c>
      <c r="L2623" s="10" t="s">
        <v>101</v>
      </c>
      <c r="M2623" s="10" t="s">
        <v>102</v>
      </c>
      <c r="N2623" s="124" t="s">
        <v>451</v>
      </c>
      <c r="O2623" s="124" t="s">
        <v>451</v>
      </c>
      <c r="P2623" s="21">
        <v>34</v>
      </c>
      <c r="Q2623" s="10" t="s">
        <v>54</v>
      </c>
      <c r="R2623" s="10" t="s">
        <v>28</v>
      </c>
      <c r="S2623" s="10"/>
      <c r="T2623" s="10"/>
      <c r="U2623" s="10" t="s">
        <v>3462</v>
      </c>
      <c r="V2623" s="10" t="s">
        <v>3462</v>
      </c>
      <c r="W2623" s="50">
        <f>+J2623/$W$2</f>
        <v>1.1224448399718765E-5</v>
      </c>
    </row>
    <row r="2624" spans="1:23">
      <c r="A2624" s="10" t="s">
        <v>124</v>
      </c>
      <c r="B2624" s="10" t="s">
        <v>125</v>
      </c>
      <c r="C2624" s="124">
        <v>46421</v>
      </c>
      <c r="D2624" s="124" t="s">
        <v>471</v>
      </c>
      <c r="E2624" s="21">
        <v>0.97664099999999998</v>
      </c>
      <c r="F2624" s="10" t="s">
        <v>4162</v>
      </c>
      <c r="G2624" s="14">
        <v>70000</v>
      </c>
      <c r="H2624" s="14">
        <v>68364.87</v>
      </c>
      <c r="I2624" s="14">
        <v>107771511.45999999</v>
      </c>
      <c r="J2624" s="14">
        <v>105254076.73</v>
      </c>
      <c r="K2624" s="12">
        <v>167559</v>
      </c>
      <c r="L2624" s="10" t="s">
        <v>101</v>
      </c>
      <c r="M2624" s="10" t="s">
        <v>102</v>
      </c>
      <c r="N2624" s="124" t="s">
        <v>603</v>
      </c>
      <c r="O2624" s="124" t="s">
        <v>603</v>
      </c>
      <c r="P2624" s="21">
        <v>9</v>
      </c>
      <c r="Q2624" s="10" t="s">
        <v>54</v>
      </c>
      <c r="R2624" s="10" t="s">
        <v>28</v>
      </c>
      <c r="S2624" s="10"/>
      <c r="T2624" s="10"/>
      <c r="U2624" s="10" t="s">
        <v>2666</v>
      </c>
      <c r="V2624" s="10" t="s">
        <v>2666</v>
      </c>
      <c r="W2624" s="50">
        <f>+J2624/$W$2</f>
        <v>1.2881673597997774E-3</v>
      </c>
    </row>
    <row r="2625" spans="1:23">
      <c r="A2625" s="10" t="s">
        <v>359</v>
      </c>
      <c r="B2625" s="10" t="s">
        <v>125</v>
      </c>
      <c r="C2625" s="124">
        <v>46421</v>
      </c>
      <c r="D2625" s="124" t="s">
        <v>471</v>
      </c>
      <c r="E2625" s="21">
        <v>0.97918260000000001</v>
      </c>
      <c r="F2625" s="10" t="s">
        <v>4162</v>
      </c>
      <c r="G2625" s="14">
        <v>50000</v>
      </c>
      <c r="H2625" s="14">
        <v>48959.13</v>
      </c>
      <c r="I2625" s="14">
        <v>76979651.049999997</v>
      </c>
      <c r="J2625" s="14">
        <v>75377134.859999999</v>
      </c>
      <c r="K2625" s="12">
        <v>170696</v>
      </c>
      <c r="L2625" s="10" t="s">
        <v>101</v>
      </c>
      <c r="M2625" s="10" t="s">
        <v>102</v>
      </c>
      <c r="N2625" s="124" t="s">
        <v>468</v>
      </c>
      <c r="O2625" s="124" t="s">
        <v>468</v>
      </c>
      <c r="P2625" s="21">
        <v>8</v>
      </c>
      <c r="Q2625" s="10" t="s">
        <v>54</v>
      </c>
      <c r="R2625" s="10" t="s">
        <v>28</v>
      </c>
      <c r="S2625" s="10"/>
      <c r="T2625" s="10"/>
      <c r="U2625" s="10" t="s">
        <v>3829</v>
      </c>
      <c r="V2625" s="10" t="s">
        <v>3829</v>
      </c>
      <c r="W2625" s="50">
        <f>+J2625/$W$2</f>
        <v>9.2251405188757435E-4</v>
      </c>
    </row>
    <row r="2626" spans="1:23">
      <c r="A2626" s="10" t="s">
        <v>361</v>
      </c>
      <c r="B2626" s="10" t="s">
        <v>358</v>
      </c>
      <c r="C2626" s="124">
        <v>46421</v>
      </c>
      <c r="D2626" s="124" t="s">
        <v>471</v>
      </c>
      <c r="E2626" s="21">
        <v>0.92616098000000002</v>
      </c>
      <c r="F2626" s="10"/>
      <c r="G2626" s="14">
        <v>110000000</v>
      </c>
      <c r="H2626" s="14">
        <v>101877708.05</v>
      </c>
      <c r="I2626" s="14">
        <v>110000000</v>
      </c>
      <c r="J2626" s="14">
        <v>101877708.05</v>
      </c>
      <c r="K2626" s="12">
        <v>350</v>
      </c>
      <c r="L2626" s="10" t="s">
        <v>101</v>
      </c>
      <c r="M2626" s="10" t="s">
        <v>102</v>
      </c>
      <c r="N2626" s="124" t="s">
        <v>471</v>
      </c>
      <c r="O2626" s="124" t="s">
        <v>471</v>
      </c>
      <c r="P2626" s="21">
        <v>30</v>
      </c>
      <c r="Q2626" s="10" t="s">
        <v>54</v>
      </c>
      <c r="R2626" s="10" t="s">
        <v>28</v>
      </c>
      <c r="S2626" s="10"/>
      <c r="T2626" s="10"/>
      <c r="U2626" s="10" t="s">
        <v>4141</v>
      </c>
      <c r="V2626" s="10" t="s">
        <v>4141</v>
      </c>
      <c r="W2626" s="50">
        <f>+J2626/$W$2</f>
        <v>1.2468451795731314E-3</v>
      </c>
    </row>
    <row r="2627" spans="1:23">
      <c r="A2627" s="10" t="s">
        <v>367</v>
      </c>
      <c r="B2627" s="10" t="s">
        <v>358</v>
      </c>
      <c r="C2627" s="124">
        <v>46421</v>
      </c>
      <c r="D2627" s="124" t="s">
        <v>471</v>
      </c>
      <c r="E2627" s="21">
        <v>0.91937236</v>
      </c>
      <c r="F2627" s="10"/>
      <c r="G2627" s="14">
        <v>2000000</v>
      </c>
      <c r="H2627" s="14">
        <v>1838744.73</v>
      </c>
      <c r="I2627" s="14">
        <v>2000000</v>
      </c>
      <c r="J2627" s="14">
        <v>1838744.73</v>
      </c>
      <c r="K2627" s="12">
        <v>45</v>
      </c>
      <c r="L2627" s="10" t="s">
        <v>101</v>
      </c>
      <c r="M2627" s="10" t="s">
        <v>102</v>
      </c>
      <c r="N2627" s="124" t="s">
        <v>442</v>
      </c>
      <c r="O2627" s="124" t="s">
        <v>442</v>
      </c>
      <c r="P2627" s="21">
        <v>33</v>
      </c>
      <c r="Q2627" s="10" t="s">
        <v>54</v>
      </c>
      <c r="R2627" s="10" t="s">
        <v>28</v>
      </c>
      <c r="S2627" s="10"/>
      <c r="T2627" s="10"/>
      <c r="U2627" s="10" t="s">
        <v>991</v>
      </c>
      <c r="V2627" s="10" t="s">
        <v>991</v>
      </c>
      <c r="W2627" s="50">
        <f>+J2627/$W$2</f>
        <v>2.2503745391885064E-5</v>
      </c>
    </row>
    <row r="2628" spans="1:23">
      <c r="A2628" s="10" t="s">
        <v>2821</v>
      </c>
      <c r="B2628" s="10" t="s">
        <v>358</v>
      </c>
      <c r="C2628" s="124">
        <v>46421</v>
      </c>
      <c r="D2628" s="124" t="s">
        <v>471</v>
      </c>
      <c r="E2628" s="21">
        <v>0.92162425999999997</v>
      </c>
      <c r="F2628" s="10"/>
      <c r="G2628" s="14">
        <v>5106356</v>
      </c>
      <c r="H2628" s="14">
        <v>4706141.59</v>
      </c>
      <c r="I2628" s="14">
        <v>5106356</v>
      </c>
      <c r="J2628" s="14">
        <v>4706141.59</v>
      </c>
      <c r="K2628" s="12">
        <v>10407</v>
      </c>
      <c r="L2628" s="10" t="s">
        <v>101</v>
      </c>
      <c r="M2628" s="10" t="s">
        <v>102</v>
      </c>
      <c r="N2628" s="124" t="s">
        <v>412</v>
      </c>
      <c r="O2628" s="124" t="s">
        <v>412</v>
      </c>
      <c r="P2628" s="21">
        <v>32</v>
      </c>
      <c r="Q2628" s="10" t="s">
        <v>54</v>
      </c>
      <c r="R2628" s="10" t="s">
        <v>28</v>
      </c>
      <c r="S2628" s="10"/>
      <c r="T2628" s="10"/>
      <c r="U2628" s="10" t="s">
        <v>2766</v>
      </c>
      <c r="V2628" s="10" t="s">
        <v>2766</v>
      </c>
      <c r="W2628" s="50">
        <f>+J2628/$W$2</f>
        <v>5.7596799812185532E-5</v>
      </c>
    </row>
    <row r="2629" spans="1:23">
      <c r="A2629" s="10" t="s">
        <v>2869</v>
      </c>
      <c r="B2629" s="10" t="s">
        <v>358</v>
      </c>
      <c r="C2629" s="124">
        <v>46421</v>
      </c>
      <c r="D2629" s="124" t="s">
        <v>471</v>
      </c>
      <c r="E2629" s="21">
        <v>0.92162412999999999</v>
      </c>
      <c r="F2629" s="10"/>
      <c r="G2629" s="14">
        <v>363375.5</v>
      </c>
      <c r="H2629" s="14">
        <v>334895.63</v>
      </c>
      <c r="I2629" s="14">
        <v>363375.5</v>
      </c>
      <c r="J2629" s="14">
        <v>334895.63</v>
      </c>
      <c r="K2629" s="12">
        <v>307</v>
      </c>
      <c r="L2629" s="10" t="s">
        <v>101</v>
      </c>
      <c r="M2629" s="10" t="s">
        <v>102</v>
      </c>
      <c r="N2629" s="124" t="s">
        <v>445</v>
      </c>
      <c r="O2629" s="124" t="s">
        <v>445</v>
      </c>
      <c r="P2629" s="21">
        <v>32</v>
      </c>
      <c r="Q2629" s="10" t="s">
        <v>54</v>
      </c>
      <c r="R2629" s="10" t="s">
        <v>28</v>
      </c>
      <c r="S2629" s="10"/>
      <c r="T2629" s="10"/>
      <c r="U2629" s="10" t="s">
        <v>2834</v>
      </c>
      <c r="V2629" s="10" t="s">
        <v>2834</v>
      </c>
      <c r="W2629" s="50">
        <f>+J2629/$W$2</f>
        <v>4.0986689818411853E-6</v>
      </c>
    </row>
    <row r="2630" spans="1:23">
      <c r="A2630" s="10" t="s">
        <v>2870</v>
      </c>
      <c r="B2630" s="10" t="s">
        <v>358</v>
      </c>
      <c r="C2630" s="124">
        <v>46421</v>
      </c>
      <c r="D2630" s="124" t="s">
        <v>471</v>
      </c>
      <c r="E2630" s="21">
        <v>0.92162411</v>
      </c>
      <c r="F2630" s="10"/>
      <c r="G2630" s="14">
        <v>17889421.149999999</v>
      </c>
      <c r="H2630" s="14">
        <v>16487321.77</v>
      </c>
      <c r="I2630" s="14">
        <v>17889421.149999999</v>
      </c>
      <c r="J2630" s="14">
        <v>16487321.77</v>
      </c>
      <c r="K2630" s="12">
        <v>90000936</v>
      </c>
      <c r="L2630" s="10" t="s">
        <v>101</v>
      </c>
      <c r="M2630" s="10" t="s">
        <v>102</v>
      </c>
      <c r="N2630" s="124" t="s">
        <v>445</v>
      </c>
      <c r="O2630" s="124" t="s">
        <v>445</v>
      </c>
      <c r="P2630" s="21">
        <v>32</v>
      </c>
      <c r="Q2630" s="10" t="s">
        <v>54</v>
      </c>
      <c r="R2630" s="10" t="s">
        <v>28</v>
      </c>
      <c r="S2630" s="10"/>
      <c r="T2630" s="10"/>
      <c r="U2630" s="10" t="s">
        <v>2840</v>
      </c>
      <c r="V2630" s="10" t="s">
        <v>2840</v>
      </c>
      <c r="W2630" s="50">
        <f>+J2630/$W$2</f>
        <v>2.0178249065935528E-4</v>
      </c>
    </row>
    <row r="2631" spans="1:23">
      <c r="A2631" s="10" t="s">
        <v>3305</v>
      </c>
      <c r="B2631" s="10" t="s">
        <v>358</v>
      </c>
      <c r="C2631" s="124">
        <v>46421</v>
      </c>
      <c r="D2631" s="124" t="s">
        <v>471</v>
      </c>
      <c r="E2631" s="21">
        <v>0.92616107000000003</v>
      </c>
      <c r="F2631" s="10"/>
      <c r="G2631" s="14">
        <v>39096780</v>
      </c>
      <c r="H2631" s="14">
        <v>36209915.560000002</v>
      </c>
      <c r="I2631" s="14">
        <v>39096780</v>
      </c>
      <c r="J2631" s="14">
        <v>36209915.560000002</v>
      </c>
      <c r="K2631" s="12">
        <v>2425</v>
      </c>
      <c r="L2631" s="10" t="s">
        <v>101</v>
      </c>
      <c r="M2631" s="10" t="s">
        <v>102</v>
      </c>
      <c r="N2631" s="124" t="s">
        <v>417</v>
      </c>
      <c r="O2631" s="124" t="s">
        <v>417</v>
      </c>
      <c r="P2631" s="21">
        <v>30</v>
      </c>
      <c r="Q2631" s="10" t="s">
        <v>54</v>
      </c>
      <c r="R2631" s="10" t="s">
        <v>28</v>
      </c>
      <c r="S2631" s="10"/>
      <c r="T2631" s="10"/>
      <c r="U2631" s="10" t="s">
        <v>3193</v>
      </c>
      <c r="V2631" s="10" t="s">
        <v>3193</v>
      </c>
      <c r="W2631" s="50">
        <f>+J2631/$W$2</f>
        <v>4.4316032950582394E-4</v>
      </c>
    </row>
    <row r="2632" spans="1:23">
      <c r="A2632" s="10" t="s">
        <v>3306</v>
      </c>
      <c r="B2632" s="10" t="s">
        <v>358</v>
      </c>
      <c r="C2632" s="124">
        <v>46421</v>
      </c>
      <c r="D2632" s="124" t="s">
        <v>471</v>
      </c>
      <c r="E2632" s="21">
        <v>0.92616107000000003</v>
      </c>
      <c r="F2632" s="10"/>
      <c r="G2632" s="14">
        <v>26800000</v>
      </c>
      <c r="H2632" s="14">
        <v>24821116.649999999</v>
      </c>
      <c r="I2632" s="14">
        <v>26800000</v>
      </c>
      <c r="J2632" s="14">
        <v>24821116.649999999</v>
      </c>
      <c r="K2632" s="12">
        <v>7045</v>
      </c>
      <c r="L2632" s="10" t="s">
        <v>101</v>
      </c>
      <c r="M2632" s="10" t="s">
        <v>102</v>
      </c>
      <c r="N2632" s="124" t="s">
        <v>417</v>
      </c>
      <c r="O2632" s="124" t="s">
        <v>417</v>
      </c>
      <c r="P2632" s="21">
        <v>30</v>
      </c>
      <c r="Q2632" s="10" t="s">
        <v>54</v>
      </c>
      <c r="R2632" s="10" t="s">
        <v>28</v>
      </c>
      <c r="S2632" s="10"/>
      <c r="T2632" s="10"/>
      <c r="U2632" s="10" t="s">
        <v>3198</v>
      </c>
      <c r="V2632" s="10" t="s">
        <v>3198</v>
      </c>
      <c r="W2632" s="50">
        <f>+J2632/$W$2</f>
        <v>3.0377685402469055E-4</v>
      </c>
    </row>
    <row r="2633" spans="1:23">
      <c r="A2633" s="10" t="s">
        <v>2669</v>
      </c>
      <c r="B2633" s="10" t="s">
        <v>358</v>
      </c>
      <c r="C2633" s="124">
        <v>46421</v>
      </c>
      <c r="D2633" s="124" t="s">
        <v>471</v>
      </c>
      <c r="E2633" s="21">
        <v>0.92162423999999998</v>
      </c>
      <c r="F2633" s="10"/>
      <c r="G2633" s="14">
        <v>1734700</v>
      </c>
      <c r="H2633" s="14">
        <v>1598741.57</v>
      </c>
      <c r="I2633" s="14">
        <v>1734700</v>
      </c>
      <c r="J2633" s="14">
        <v>1598741.57</v>
      </c>
      <c r="K2633" s="12">
        <v>9088654</v>
      </c>
      <c r="L2633" s="10" t="s">
        <v>101</v>
      </c>
      <c r="M2633" s="10" t="s">
        <v>102</v>
      </c>
      <c r="N2633" s="124" t="s">
        <v>603</v>
      </c>
      <c r="O2633" s="124" t="s">
        <v>603</v>
      </c>
      <c r="P2633" s="21">
        <v>32</v>
      </c>
      <c r="Q2633" s="10" t="s">
        <v>54</v>
      </c>
      <c r="R2633" s="10" t="s">
        <v>28</v>
      </c>
      <c r="S2633" s="10"/>
      <c r="T2633" s="10"/>
      <c r="U2633" s="10" t="s">
        <v>2561</v>
      </c>
      <c r="V2633" s="10" t="s">
        <v>2561</v>
      </c>
      <c r="W2633" s="50">
        <f>+J2633/$W$2</f>
        <v>1.9566431735580062E-5</v>
      </c>
    </row>
    <row r="2634" spans="1:23">
      <c r="A2634" s="10" t="s">
        <v>2753</v>
      </c>
      <c r="B2634" s="10" t="s">
        <v>358</v>
      </c>
      <c r="C2634" s="124">
        <v>46421</v>
      </c>
      <c r="D2634" s="124" t="s">
        <v>471</v>
      </c>
      <c r="E2634" s="21">
        <v>0.92162409000000001</v>
      </c>
      <c r="F2634" s="10"/>
      <c r="G2634" s="14">
        <v>6000000</v>
      </c>
      <c r="H2634" s="14">
        <v>5529744.5099999998</v>
      </c>
      <c r="I2634" s="14">
        <v>6000000</v>
      </c>
      <c r="J2634" s="14">
        <v>5529744.5099999998</v>
      </c>
      <c r="K2634" s="12">
        <v>70158559</v>
      </c>
      <c r="L2634" s="10" t="s">
        <v>101</v>
      </c>
      <c r="M2634" s="10" t="s">
        <v>102</v>
      </c>
      <c r="N2634" s="124" t="s">
        <v>440</v>
      </c>
      <c r="O2634" s="124" t="s">
        <v>440</v>
      </c>
      <c r="P2634" s="21">
        <v>32</v>
      </c>
      <c r="Q2634" s="10" t="s">
        <v>54</v>
      </c>
      <c r="R2634" s="10" t="s">
        <v>28</v>
      </c>
      <c r="S2634" s="10"/>
      <c r="T2634" s="10"/>
      <c r="U2634" s="10" t="s">
        <v>2724</v>
      </c>
      <c r="V2634" s="10" t="s">
        <v>2724</v>
      </c>
      <c r="W2634" s="50">
        <f>+J2634/$W$2</f>
        <v>6.7676584196227289E-5</v>
      </c>
    </row>
    <row r="2635" spans="1:23">
      <c r="A2635" s="10" t="s">
        <v>141</v>
      </c>
      <c r="B2635" s="10" t="s">
        <v>358</v>
      </c>
      <c r="C2635" s="124">
        <v>46422</v>
      </c>
      <c r="D2635" s="124" t="s">
        <v>471</v>
      </c>
      <c r="E2635" s="21">
        <v>0.91860885000000003</v>
      </c>
      <c r="F2635" s="10"/>
      <c r="G2635" s="14">
        <v>11250000</v>
      </c>
      <c r="H2635" s="14">
        <v>10334349.59</v>
      </c>
      <c r="I2635" s="14">
        <v>11250000</v>
      </c>
      <c r="J2635" s="14">
        <v>10334349.59</v>
      </c>
      <c r="K2635" s="12">
        <v>430</v>
      </c>
      <c r="L2635" s="10" t="s">
        <v>101</v>
      </c>
      <c r="M2635" s="10" t="s">
        <v>102</v>
      </c>
      <c r="N2635" s="124" t="s">
        <v>475</v>
      </c>
      <c r="O2635" s="124" t="s">
        <v>475</v>
      </c>
      <c r="P2635" s="21">
        <v>33</v>
      </c>
      <c r="Q2635" s="10" t="s">
        <v>54</v>
      </c>
      <c r="R2635" s="10" t="s">
        <v>28</v>
      </c>
      <c r="S2635" s="10"/>
      <c r="T2635" s="10"/>
      <c r="U2635" s="10" t="s">
        <v>3349</v>
      </c>
      <c r="V2635" s="10" t="s">
        <v>3349</v>
      </c>
      <c r="W2635" s="50">
        <f>+J2635/$W$2</f>
        <v>1.2647844378272768E-4</v>
      </c>
    </row>
    <row r="2636" spans="1:23">
      <c r="A2636" s="10" t="s">
        <v>623</v>
      </c>
      <c r="B2636" s="10" t="s">
        <v>358</v>
      </c>
      <c r="C2636" s="124">
        <v>46422</v>
      </c>
      <c r="D2636" s="124" t="s">
        <v>471</v>
      </c>
      <c r="E2636" s="21">
        <v>0.91860892999999999</v>
      </c>
      <c r="F2636" s="10"/>
      <c r="G2636" s="14">
        <v>2500000</v>
      </c>
      <c r="H2636" s="14">
        <v>2296522.33</v>
      </c>
      <c r="I2636" s="14">
        <v>2500000</v>
      </c>
      <c r="J2636" s="14">
        <v>2296522.33</v>
      </c>
      <c r="K2636" s="12">
        <v>40</v>
      </c>
      <c r="L2636" s="10" t="s">
        <v>101</v>
      </c>
      <c r="M2636" s="10" t="s">
        <v>102</v>
      </c>
      <c r="N2636" s="124" t="s">
        <v>508</v>
      </c>
      <c r="O2636" s="124" t="s">
        <v>508</v>
      </c>
      <c r="P2636" s="21">
        <v>33</v>
      </c>
      <c r="Q2636" s="10" t="s">
        <v>54</v>
      </c>
      <c r="R2636" s="10" t="s">
        <v>28</v>
      </c>
      <c r="S2636" s="10"/>
      <c r="T2636" s="10"/>
      <c r="U2636" s="10" t="s">
        <v>3013</v>
      </c>
      <c r="V2636" s="10" t="s">
        <v>3013</v>
      </c>
      <c r="W2636" s="50">
        <f>+J2636/$W$2</f>
        <v>2.8106323274736809E-5</v>
      </c>
    </row>
    <row r="2637" spans="1:23">
      <c r="A2637" s="10" t="s">
        <v>3167</v>
      </c>
      <c r="B2637" s="10" t="s">
        <v>358</v>
      </c>
      <c r="C2637" s="124">
        <v>46422</v>
      </c>
      <c r="D2637" s="124" t="s">
        <v>471</v>
      </c>
      <c r="E2637" s="21">
        <v>0.92545646000000004</v>
      </c>
      <c r="F2637" s="10"/>
      <c r="G2637" s="14">
        <v>2776829.85</v>
      </c>
      <c r="H2637" s="14">
        <v>2569835.12</v>
      </c>
      <c r="I2637" s="14">
        <v>2776829.85</v>
      </c>
      <c r="J2637" s="14">
        <v>2569835.12</v>
      </c>
      <c r="K2637" s="12">
        <v>89</v>
      </c>
      <c r="L2637" s="10" t="s">
        <v>101</v>
      </c>
      <c r="M2637" s="10" t="s">
        <v>102</v>
      </c>
      <c r="N2637" s="124" t="s">
        <v>448</v>
      </c>
      <c r="O2637" s="124" t="s">
        <v>448</v>
      </c>
      <c r="P2637" s="21">
        <v>30</v>
      </c>
      <c r="Q2637" s="10" t="s">
        <v>54</v>
      </c>
      <c r="R2637" s="10" t="s">
        <v>28</v>
      </c>
      <c r="S2637" s="10"/>
      <c r="T2637" s="10"/>
      <c r="U2637" s="10" t="s">
        <v>3126</v>
      </c>
      <c r="V2637" s="10" t="s">
        <v>3126</v>
      </c>
      <c r="W2637" s="50">
        <f>+J2637/$W$2</f>
        <v>3.1451301692978557E-5</v>
      </c>
    </row>
    <row r="2638" spans="1:23">
      <c r="A2638" s="10" t="s">
        <v>3306</v>
      </c>
      <c r="B2638" s="10" t="s">
        <v>358</v>
      </c>
      <c r="C2638" s="124">
        <v>46422</v>
      </c>
      <c r="D2638" s="124" t="s">
        <v>471</v>
      </c>
      <c r="E2638" s="21">
        <v>0.92545652</v>
      </c>
      <c r="F2638" s="10"/>
      <c r="G2638" s="14">
        <v>26800000</v>
      </c>
      <c r="H2638" s="14">
        <v>24802234.809999999</v>
      </c>
      <c r="I2638" s="14">
        <v>26800000</v>
      </c>
      <c r="J2638" s="14">
        <v>24802234.809999999</v>
      </c>
      <c r="K2638" s="12">
        <v>7046</v>
      </c>
      <c r="L2638" s="10" t="s">
        <v>101</v>
      </c>
      <c r="M2638" s="10" t="s">
        <v>102</v>
      </c>
      <c r="N2638" s="124" t="s">
        <v>417</v>
      </c>
      <c r="O2638" s="124" t="s">
        <v>417</v>
      </c>
      <c r="P2638" s="21">
        <v>30</v>
      </c>
      <c r="Q2638" s="10" t="s">
        <v>54</v>
      </c>
      <c r="R2638" s="10" t="s">
        <v>28</v>
      </c>
      <c r="S2638" s="10"/>
      <c r="T2638" s="10"/>
      <c r="U2638" s="10" t="s">
        <v>3196</v>
      </c>
      <c r="V2638" s="10" t="s">
        <v>3196</v>
      </c>
      <c r="W2638" s="50">
        <f>+J2638/$W$2</f>
        <v>3.0354576587365053E-4</v>
      </c>
    </row>
    <row r="2639" spans="1:23">
      <c r="A2639" s="10" t="s">
        <v>2742</v>
      </c>
      <c r="B2639" s="10" t="s">
        <v>358</v>
      </c>
      <c r="C2639" s="124">
        <v>46422</v>
      </c>
      <c r="D2639" s="124" t="s">
        <v>471</v>
      </c>
      <c r="E2639" s="21">
        <v>0.91860891</v>
      </c>
      <c r="F2639" s="10"/>
      <c r="G2639" s="14">
        <v>9000000</v>
      </c>
      <c r="H2639" s="14">
        <v>8267480.2199999997</v>
      </c>
      <c r="I2639" s="14">
        <v>9000000</v>
      </c>
      <c r="J2639" s="14">
        <v>8267480.2199999997</v>
      </c>
      <c r="K2639" s="12">
        <v>5018</v>
      </c>
      <c r="L2639" s="10" t="s">
        <v>101</v>
      </c>
      <c r="M2639" s="10" t="s">
        <v>102</v>
      </c>
      <c r="N2639" s="124" t="s">
        <v>440</v>
      </c>
      <c r="O2639" s="124" t="s">
        <v>440</v>
      </c>
      <c r="P2639" s="21">
        <v>33</v>
      </c>
      <c r="Q2639" s="10" t="s">
        <v>54</v>
      </c>
      <c r="R2639" s="10" t="s">
        <v>28</v>
      </c>
      <c r="S2639" s="10"/>
      <c r="T2639" s="10"/>
      <c r="U2639" s="10" t="s">
        <v>2703</v>
      </c>
      <c r="V2639" s="10" t="s">
        <v>2703</v>
      </c>
      <c r="W2639" s="50">
        <f>+J2639/$W$2</f>
        <v>1.0118276173296001E-4</v>
      </c>
    </row>
    <row r="2640" spans="1:23">
      <c r="A2640" s="10" t="s">
        <v>2016</v>
      </c>
      <c r="B2640" s="10" t="s">
        <v>358</v>
      </c>
      <c r="C2640" s="124">
        <v>46423</v>
      </c>
      <c r="D2640" s="124" t="s">
        <v>471</v>
      </c>
      <c r="E2640" s="21">
        <v>0.92475311000000004</v>
      </c>
      <c r="F2640" s="10"/>
      <c r="G2640" s="14">
        <v>5000000</v>
      </c>
      <c r="H2640" s="14">
        <v>4623765.57</v>
      </c>
      <c r="I2640" s="14">
        <v>5000000</v>
      </c>
      <c r="J2640" s="14">
        <v>4623765.57</v>
      </c>
      <c r="K2640" s="12">
        <v>3897146</v>
      </c>
      <c r="L2640" s="10" t="s">
        <v>101</v>
      </c>
      <c r="M2640" s="10" t="s">
        <v>102</v>
      </c>
      <c r="N2640" s="124" t="s">
        <v>478</v>
      </c>
      <c r="O2640" s="124" t="s">
        <v>478</v>
      </c>
      <c r="P2640" s="21">
        <v>30</v>
      </c>
      <c r="Q2640" s="10" t="s">
        <v>54</v>
      </c>
      <c r="R2640" s="10" t="s">
        <v>28</v>
      </c>
      <c r="S2640" s="10"/>
      <c r="T2640" s="10"/>
      <c r="U2640" s="10" t="s">
        <v>2101</v>
      </c>
      <c r="V2640" s="10" t="s">
        <v>2101</v>
      </c>
      <c r="W2640" s="50">
        <f>+J2640/$W$2</f>
        <v>5.6588628884360861E-5</v>
      </c>
    </row>
    <row r="2641" spans="1:29">
      <c r="A2641" s="10" t="s">
        <v>2016</v>
      </c>
      <c r="B2641" s="10" t="s">
        <v>358</v>
      </c>
      <c r="C2641" s="124">
        <v>46423</v>
      </c>
      <c r="D2641" s="124" t="s">
        <v>471</v>
      </c>
      <c r="E2641" s="21">
        <v>0.92707846000000005</v>
      </c>
      <c r="F2641" s="10"/>
      <c r="G2641" s="14">
        <v>5000000</v>
      </c>
      <c r="H2641" s="14">
        <v>4635392.28</v>
      </c>
      <c r="I2641" s="14">
        <v>5000000</v>
      </c>
      <c r="J2641" s="14">
        <v>4635392.28</v>
      </c>
      <c r="K2641" s="12">
        <v>6699</v>
      </c>
      <c r="L2641" s="10" t="s">
        <v>101</v>
      </c>
      <c r="M2641" s="10" t="s">
        <v>102</v>
      </c>
      <c r="N2641" s="124" t="s">
        <v>469</v>
      </c>
      <c r="O2641" s="124" t="s">
        <v>469</v>
      </c>
      <c r="P2641" s="21">
        <v>29</v>
      </c>
      <c r="Q2641" s="10" t="s">
        <v>54</v>
      </c>
      <c r="R2641" s="10" t="s">
        <v>28</v>
      </c>
      <c r="S2641" s="10"/>
      <c r="T2641" s="10"/>
      <c r="U2641" s="10" t="s">
        <v>3915</v>
      </c>
      <c r="V2641" s="10" t="s">
        <v>3915</v>
      </c>
      <c r="W2641" s="50">
        <f>+J2641/$W$2</f>
        <v>5.6730924069394667E-5</v>
      </c>
    </row>
    <row r="2642" spans="1:29">
      <c r="A2642" s="10" t="s">
        <v>2314</v>
      </c>
      <c r="B2642" s="10" t="s">
        <v>358</v>
      </c>
      <c r="C2642" s="124">
        <v>46423</v>
      </c>
      <c r="D2642" s="124" t="s">
        <v>471</v>
      </c>
      <c r="E2642" s="21">
        <v>0.91784646000000003</v>
      </c>
      <c r="F2642" s="10"/>
      <c r="G2642" s="14">
        <v>6006148</v>
      </c>
      <c r="H2642" s="14">
        <v>5512721.6699999999</v>
      </c>
      <c r="I2642" s="14">
        <v>6006148</v>
      </c>
      <c r="J2642" s="14">
        <v>5512721.6699999999</v>
      </c>
      <c r="K2642" s="12">
        <v>1370657</v>
      </c>
      <c r="L2642" s="10" t="s">
        <v>101</v>
      </c>
      <c r="M2642" s="10" t="s">
        <v>102</v>
      </c>
      <c r="N2642" s="124" t="s">
        <v>439</v>
      </c>
      <c r="O2642" s="124" t="s">
        <v>439</v>
      </c>
      <c r="P2642" s="21">
        <v>33</v>
      </c>
      <c r="Q2642" s="10" t="s">
        <v>54</v>
      </c>
      <c r="R2642" s="10" t="s">
        <v>28</v>
      </c>
      <c r="S2642" s="10"/>
      <c r="T2642" s="10"/>
      <c r="U2642" s="10" t="s">
        <v>2299</v>
      </c>
      <c r="V2642" s="10" t="s">
        <v>2299</v>
      </c>
      <c r="W2642" s="50">
        <f>+J2642/$W$2</f>
        <v>6.7468247687653426E-5</v>
      </c>
    </row>
    <row r="2643" spans="1:29">
      <c r="A2643" s="10" t="s">
        <v>1485</v>
      </c>
      <c r="B2643" s="10" t="s">
        <v>358</v>
      </c>
      <c r="C2643" s="124">
        <v>46423</v>
      </c>
      <c r="D2643" s="124" t="s">
        <v>471</v>
      </c>
      <c r="E2643" s="21">
        <v>0.92013718</v>
      </c>
      <c r="F2643" s="10"/>
      <c r="G2643" s="14">
        <v>1660000</v>
      </c>
      <c r="H2643" s="14">
        <v>1527427.71</v>
      </c>
      <c r="I2643" s="14">
        <v>1660000</v>
      </c>
      <c r="J2643" s="14">
        <v>1527427.71</v>
      </c>
      <c r="K2643" s="12">
        <v>381</v>
      </c>
      <c r="L2643" s="10" t="s">
        <v>101</v>
      </c>
      <c r="M2643" s="10" t="s">
        <v>102</v>
      </c>
      <c r="N2643" s="124" t="s">
        <v>603</v>
      </c>
      <c r="O2643" s="124" t="s">
        <v>603</v>
      </c>
      <c r="P2643" s="21">
        <v>32</v>
      </c>
      <c r="Q2643" s="10" t="s">
        <v>54</v>
      </c>
      <c r="R2643" s="10" t="s">
        <v>28</v>
      </c>
      <c r="S2643" s="10"/>
      <c r="T2643" s="10"/>
      <c r="U2643" s="10" t="s">
        <v>2574</v>
      </c>
      <c r="V2643" s="10" t="s">
        <v>2574</v>
      </c>
      <c r="W2643" s="50">
        <f>+J2643/$W$2</f>
        <v>1.869364666532589E-5</v>
      </c>
    </row>
    <row r="2644" spans="1:29">
      <c r="A2644" s="10" t="s">
        <v>1535</v>
      </c>
      <c r="B2644" s="10" t="s">
        <v>358</v>
      </c>
      <c r="C2644" s="124">
        <v>46423</v>
      </c>
      <c r="D2644" s="124" t="s">
        <v>471</v>
      </c>
      <c r="E2644" s="21">
        <v>0.92243931000000001</v>
      </c>
      <c r="F2644" s="10"/>
      <c r="G2644" s="14">
        <v>11820000</v>
      </c>
      <c r="H2644" s="14">
        <v>10903232.68</v>
      </c>
      <c r="I2644" s="14">
        <v>11820000</v>
      </c>
      <c r="J2644" s="14">
        <v>10903232.68</v>
      </c>
      <c r="K2644" s="12">
        <v>14310297</v>
      </c>
      <c r="L2644" s="10" t="s">
        <v>101</v>
      </c>
      <c r="M2644" s="10" t="s">
        <v>102</v>
      </c>
      <c r="N2644" s="124" t="s">
        <v>480</v>
      </c>
      <c r="O2644" s="124" t="s">
        <v>480</v>
      </c>
      <c r="P2644" s="21">
        <v>31</v>
      </c>
      <c r="Q2644" s="10" t="s">
        <v>54</v>
      </c>
      <c r="R2644" s="10" t="s">
        <v>28</v>
      </c>
      <c r="S2644" s="10"/>
      <c r="T2644" s="10"/>
      <c r="U2644" s="10" t="s">
        <v>1527</v>
      </c>
      <c r="V2644" s="10" t="s">
        <v>1527</v>
      </c>
      <c r="W2644" s="50">
        <f>+J2644/$W$2</f>
        <v>1.3344080239958083E-4</v>
      </c>
    </row>
    <row r="2645" spans="1:29">
      <c r="A2645" s="10" t="s">
        <v>623</v>
      </c>
      <c r="B2645" s="10" t="s">
        <v>358</v>
      </c>
      <c r="C2645" s="124">
        <v>46423</v>
      </c>
      <c r="D2645" s="124" t="s">
        <v>471</v>
      </c>
      <c r="E2645" s="21">
        <v>0.91784657000000003</v>
      </c>
      <c r="F2645" s="10"/>
      <c r="G2645" s="14">
        <v>2500000</v>
      </c>
      <c r="H2645" s="14">
        <v>2294616.4300000002</v>
      </c>
      <c r="I2645" s="14">
        <v>2500000</v>
      </c>
      <c r="J2645" s="14">
        <v>2294616.4300000002</v>
      </c>
      <c r="K2645" s="12">
        <v>39</v>
      </c>
      <c r="L2645" s="10" t="s">
        <v>101</v>
      </c>
      <c r="M2645" s="10" t="s">
        <v>102</v>
      </c>
      <c r="N2645" s="124" t="s">
        <v>508</v>
      </c>
      <c r="O2645" s="124" t="s">
        <v>508</v>
      </c>
      <c r="P2645" s="21">
        <v>33</v>
      </c>
      <c r="Q2645" s="10" t="s">
        <v>54</v>
      </c>
      <c r="R2645" s="10" t="s">
        <v>28</v>
      </c>
      <c r="S2645" s="10"/>
      <c r="T2645" s="10"/>
      <c r="U2645" s="10" t="s">
        <v>3014</v>
      </c>
      <c r="V2645" s="10" t="s">
        <v>3014</v>
      </c>
      <c r="W2645" s="50">
        <f>+J2645/$W$2</f>
        <v>2.8082997639784538E-5</v>
      </c>
    </row>
    <row r="2646" spans="1:29">
      <c r="A2646" s="10" t="s">
        <v>220</v>
      </c>
      <c r="B2646" s="10" t="s">
        <v>358</v>
      </c>
      <c r="C2646" s="124">
        <v>46423</v>
      </c>
      <c r="D2646" s="124" t="s">
        <v>471</v>
      </c>
      <c r="E2646" s="21">
        <v>0.91784648999999996</v>
      </c>
      <c r="F2646" s="10"/>
      <c r="G2646" s="14">
        <v>25000000</v>
      </c>
      <c r="H2646" s="14">
        <v>22946162.190000001</v>
      </c>
      <c r="I2646" s="14">
        <v>25000000</v>
      </c>
      <c r="J2646" s="14">
        <v>22946162.190000001</v>
      </c>
      <c r="K2646" s="12">
        <v>1353268</v>
      </c>
      <c r="L2646" s="10" t="s">
        <v>101</v>
      </c>
      <c r="M2646" s="10" t="s">
        <v>102</v>
      </c>
      <c r="N2646" s="124" t="s">
        <v>480</v>
      </c>
      <c r="O2646" s="124" t="s">
        <v>480</v>
      </c>
      <c r="P2646" s="21">
        <v>33</v>
      </c>
      <c r="Q2646" s="10" t="s">
        <v>54</v>
      </c>
      <c r="R2646" s="10" t="s">
        <v>28</v>
      </c>
      <c r="S2646" s="10"/>
      <c r="T2646" s="10"/>
      <c r="U2646" s="10" t="s">
        <v>1524</v>
      </c>
      <c r="V2646" s="10" t="s">
        <v>1524</v>
      </c>
      <c r="W2646" s="50">
        <f>+J2646/$W$2</f>
        <v>2.8082995057430283E-4</v>
      </c>
    </row>
    <row r="2647" spans="1:29">
      <c r="A2647" s="10" t="s">
        <v>376</v>
      </c>
      <c r="B2647" s="10" t="s">
        <v>358</v>
      </c>
      <c r="C2647" s="124">
        <v>46423</v>
      </c>
      <c r="D2647" s="124" t="s">
        <v>471</v>
      </c>
      <c r="E2647" s="21">
        <v>0.92013736999999995</v>
      </c>
      <c r="F2647" s="10"/>
      <c r="G2647" s="14">
        <v>100000000</v>
      </c>
      <c r="H2647" s="14">
        <v>92013737.480000004</v>
      </c>
      <c r="I2647" s="14">
        <v>100000000</v>
      </c>
      <c r="J2647" s="14">
        <v>92013737.480000004</v>
      </c>
      <c r="K2647" s="12">
        <v>3229</v>
      </c>
      <c r="L2647" s="10" t="s">
        <v>101</v>
      </c>
      <c r="M2647" s="10" t="s">
        <v>102</v>
      </c>
      <c r="N2647" s="124" t="s">
        <v>471</v>
      </c>
      <c r="O2647" s="124" t="s">
        <v>471</v>
      </c>
      <c r="P2647" s="21">
        <v>32</v>
      </c>
      <c r="Q2647" s="10" t="s">
        <v>54</v>
      </c>
      <c r="R2647" s="10" t="s">
        <v>28</v>
      </c>
      <c r="S2647" s="10"/>
      <c r="T2647" s="10"/>
      <c r="U2647" s="10" t="s">
        <v>4107</v>
      </c>
      <c r="V2647" s="10" t="s">
        <v>4107</v>
      </c>
      <c r="W2647" s="50">
        <f>+J2647/$W$2</f>
        <v>1.1261235379886974E-3</v>
      </c>
    </row>
    <row r="2648" spans="1:29">
      <c r="A2648" s="10" t="s">
        <v>967</v>
      </c>
      <c r="B2648" s="10" t="s">
        <v>358</v>
      </c>
      <c r="C2648" s="124">
        <v>46423</v>
      </c>
      <c r="D2648" s="124" t="s">
        <v>471</v>
      </c>
      <c r="E2648" s="21">
        <v>0.91329927</v>
      </c>
      <c r="F2648" s="10"/>
      <c r="G2648" s="14">
        <v>25000000</v>
      </c>
      <c r="H2648" s="14">
        <v>22832481.760000002</v>
      </c>
      <c r="I2648" s="14">
        <v>25000000</v>
      </c>
      <c r="J2648" s="14">
        <v>22832481.760000002</v>
      </c>
      <c r="K2648" s="12">
        <v>1149</v>
      </c>
      <c r="L2648" s="10" t="s">
        <v>101</v>
      </c>
      <c r="M2648" s="10" t="s">
        <v>102</v>
      </c>
      <c r="N2648" s="124" t="s">
        <v>449</v>
      </c>
      <c r="O2648" s="124" t="s">
        <v>449</v>
      </c>
      <c r="P2648" s="21">
        <v>35</v>
      </c>
      <c r="Q2648" s="10" t="s">
        <v>54</v>
      </c>
      <c r="R2648" s="10" t="s">
        <v>28</v>
      </c>
      <c r="S2648" s="10"/>
      <c r="T2648" s="10"/>
      <c r="U2648" s="10" t="s">
        <v>1973</v>
      </c>
      <c r="V2648" s="10" t="s">
        <v>1973</v>
      </c>
      <c r="W2648" s="50">
        <f>+J2648/$W$2</f>
        <v>2.7943865606179047E-4</v>
      </c>
    </row>
    <row r="2649" spans="1:29">
      <c r="A2649" s="10" t="s">
        <v>2742</v>
      </c>
      <c r="B2649" s="10" t="s">
        <v>358</v>
      </c>
      <c r="C2649" s="124">
        <v>46423</v>
      </c>
      <c r="D2649" s="124" t="s">
        <v>471</v>
      </c>
      <c r="E2649" s="21">
        <v>0.91784655999999998</v>
      </c>
      <c r="F2649" s="10"/>
      <c r="G2649" s="14">
        <v>9000000</v>
      </c>
      <c r="H2649" s="14">
        <v>8260619.0499999998</v>
      </c>
      <c r="I2649" s="14">
        <v>9000000</v>
      </c>
      <c r="J2649" s="14">
        <v>8260619.0499999998</v>
      </c>
      <c r="K2649" s="12">
        <v>5019</v>
      </c>
      <c r="L2649" s="10" t="s">
        <v>101</v>
      </c>
      <c r="M2649" s="10" t="s">
        <v>102</v>
      </c>
      <c r="N2649" s="124" t="s">
        <v>440</v>
      </c>
      <c r="O2649" s="124" t="s">
        <v>440</v>
      </c>
      <c r="P2649" s="21">
        <v>33</v>
      </c>
      <c r="Q2649" s="10" t="s">
        <v>54</v>
      </c>
      <c r="R2649" s="10" t="s">
        <v>28</v>
      </c>
      <c r="S2649" s="10"/>
      <c r="T2649" s="10"/>
      <c r="U2649" s="10" t="s">
        <v>2705</v>
      </c>
      <c r="V2649" s="10" t="s">
        <v>2705</v>
      </c>
      <c r="W2649" s="50">
        <f>+J2649/$W$2</f>
        <v>1.0109879030383705E-4</v>
      </c>
    </row>
    <row r="2650" spans="1:29">
      <c r="A2650" s="10" t="s">
        <v>2016</v>
      </c>
      <c r="B2650" s="10" t="s">
        <v>358</v>
      </c>
      <c r="C2650" s="124">
        <v>46428</v>
      </c>
      <c r="D2650" s="124" t="s">
        <v>471</v>
      </c>
      <c r="E2650" s="21">
        <v>0.92367653999999999</v>
      </c>
      <c r="F2650" s="10"/>
      <c r="G2650" s="14">
        <v>4000000</v>
      </c>
      <c r="H2650" s="14">
        <v>3694706.17</v>
      </c>
      <c r="I2650" s="14">
        <v>4000000</v>
      </c>
      <c r="J2650" s="14">
        <v>3694706.17</v>
      </c>
      <c r="K2650" s="12">
        <v>9826687</v>
      </c>
      <c r="L2650" s="10" t="s">
        <v>101</v>
      </c>
      <c r="M2650" s="10" t="s">
        <v>102</v>
      </c>
      <c r="N2650" s="124" t="s">
        <v>469</v>
      </c>
      <c r="O2650" s="124" t="s">
        <v>469</v>
      </c>
      <c r="P2650" s="21">
        <v>29</v>
      </c>
      <c r="Q2650" s="10" t="s">
        <v>54</v>
      </c>
      <c r="R2650" s="10" t="s">
        <v>28</v>
      </c>
      <c r="S2650" s="10"/>
      <c r="T2650" s="10"/>
      <c r="U2650" s="10" t="s">
        <v>3913</v>
      </c>
      <c r="V2650" s="10" t="s">
        <v>3913</v>
      </c>
      <c r="W2650" s="50">
        <f>+J2650/$W$2</f>
        <v>4.5218199998597307E-5</v>
      </c>
    </row>
    <row r="2651" spans="1:29">
      <c r="A2651" s="10" t="s">
        <v>2016</v>
      </c>
      <c r="B2651" s="10" t="s">
        <v>358</v>
      </c>
      <c r="C2651" s="124">
        <v>46428</v>
      </c>
      <c r="D2651" s="124" t="s">
        <v>471</v>
      </c>
      <c r="E2651" s="21">
        <v>0.92367653999999999</v>
      </c>
      <c r="F2651" s="10"/>
      <c r="G2651" s="14">
        <v>5000000</v>
      </c>
      <c r="H2651" s="14">
        <v>4618382.71</v>
      </c>
      <c r="I2651" s="14">
        <v>5000000</v>
      </c>
      <c r="J2651" s="14">
        <v>4618382.71</v>
      </c>
      <c r="K2651" s="12">
        <v>6700</v>
      </c>
      <c r="L2651" s="10" t="s">
        <v>101</v>
      </c>
      <c r="M2651" s="10" t="s">
        <v>102</v>
      </c>
      <c r="N2651" s="124" t="s">
        <v>469</v>
      </c>
      <c r="O2651" s="124" t="s">
        <v>469</v>
      </c>
      <c r="P2651" s="21">
        <v>29</v>
      </c>
      <c r="Q2651" s="10" t="s">
        <v>54</v>
      </c>
      <c r="R2651" s="10" t="s">
        <v>28</v>
      </c>
      <c r="S2651" s="10"/>
      <c r="T2651" s="10"/>
      <c r="U2651" s="10" t="s">
        <v>3914</v>
      </c>
      <c r="V2651" s="10" t="s">
        <v>3914</v>
      </c>
      <c r="W2651" s="50">
        <f>+J2651/$W$2</f>
        <v>5.652274996765002E-5</v>
      </c>
    </row>
    <row r="2652" spans="1:29">
      <c r="A2652" s="10" t="s">
        <v>1424</v>
      </c>
      <c r="B2652" s="10" t="s">
        <v>358</v>
      </c>
      <c r="C2652" s="124">
        <v>46428</v>
      </c>
      <c r="D2652" s="124" t="s">
        <v>471</v>
      </c>
      <c r="E2652" s="21">
        <v>0.91644077000000002</v>
      </c>
      <c r="F2652" s="10"/>
      <c r="G2652" s="14">
        <v>13000000</v>
      </c>
      <c r="H2652" s="14">
        <v>11913730.029999999</v>
      </c>
      <c r="I2652" s="14">
        <v>13000000</v>
      </c>
      <c r="J2652" s="14">
        <v>11913730.029999999</v>
      </c>
      <c r="K2652" s="12">
        <v>1309</v>
      </c>
      <c r="L2652" s="10" t="s">
        <v>101</v>
      </c>
      <c r="M2652" s="10" t="s">
        <v>102</v>
      </c>
      <c r="N2652" s="124" t="s">
        <v>391</v>
      </c>
      <c r="O2652" s="124" t="s">
        <v>391</v>
      </c>
      <c r="P2652" s="21">
        <v>32</v>
      </c>
      <c r="Q2652" s="10" t="s">
        <v>54</v>
      </c>
      <c r="R2652" s="10" t="s">
        <v>28</v>
      </c>
      <c r="S2652" s="10"/>
      <c r="T2652" s="10"/>
      <c r="U2652" s="10" t="s">
        <v>1402</v>
      </c>
      <c r="V2652" s="10" t="s">
        <v>1402</v>
      </c>
      <c r="W2652" s="50">
        <f>+J2652/$W$2</f>
        <v>1.4580792150674181E-4</v>
      </c>
    </row>
    <row r="2653" spans="1:29">
      <c r="A2653" s="10" t="s">
        <v>641</v>
      </c>
      <c r="B2653" s="10" t="s">
        <v>358</v>
      </c>
      <c r="C2653" s="124">
        <v>46428</v>
      </c>
      <c r="D2653" s="124" t="s">
        <v>471</v>
      </c>
      <c r="E2653" s="21">
        <v>0.92125199999999996</v>
      </c>
      <c r="F2653" s="10"/>
      <c r="G2653" s="14">
        <v>12500000</v>
      </c>
      <c r="H2653" s="14">
        <v>11515649.99</v>
      </c>
      <c r="I2653" s="14">
        <v>12500000</v>
      </c>
      <c r="J2653" s="14">
        <v>11515649.99</v>
      </c>
      <c r="K2653" s="12">
        <v>240</v>
      </c>
      <c r="L2653" s="10" t="s">
        <v>101</v>
      </c>
      <c r="M2653" s="10" t="s">
        <v>102</v>
      </c>
      <c r="N2653" s="124" t="s">
        <v>317</v>
      </c>
      <c r="O2653" s="124" t="s">
        <v>317</v>
      </c>
      <c r="P2653" s="21">
        <v>30</v>
      </c>
      <c r="Q2653" s="10" t="s">
        <v>54</v>
      </c>
      <c r="R2653" s="10" t="s">
        <v>28</v>
      </c>
      <c r="S2653" s="10"/>
      <c r="T2653" s="10"/>
      <c r="U2653" s="10" t="s">
        <v>629</v>
      </c>
      <c r="V2653" s="10" t="s">
        <v>629</v>
      </c>
      <c r="W2653" s="50">
        <f>+J2653/$W$2</f>
        <v>1.409359609134128E-4</v>
      </c>
    </row>
    <row r="2654" spans="1:29">
      <c r="A2654" s="10" t="s">
        <v>3573</v>
      </c>
      <c r="B2654" s="10" t="s">
        <v>358</v>
      </c>
      <c r="C2654" s="124">
        <v>46428</v>
      </c>
      <c r="D2654" s="124" t="s">
        <v>471</v>
      </c>
      <c r="E2654" s="21">
        <v>0.92125195999999998</v>
      </c>
      <c r="F2654" s="10"/>
      <c r="G2654" s="14">
        <v>2006000</v>
      </c>
      <c r="H2654" s="14">
        <v>1848031.44</v>
      </c>
      <c r="I2654" s="14">
        <v>2006000</v>
      </c>
      <c r="J2654" s="14">
        <v>1848031.44</v>
      </c>
      <c r="K2654" s="12">
        <v>70556120</v>
      </c>
      <c r="L2654" s="10" t="s">
        <v>101</v>
      </c>
      <c r="M2654" s="10" t="s">
        <v>102</v>
      </c>
      <c r="N2654" s="124" t="s">
        <v>451</v>
      </c>
      <c r="O2654" s="124" t="s">
        <v>451</v>
      </c>
      <c r="P2654" s="21">
        <v>30</v>
      </c>
      <c r="Q2654" s="10" t="s">
        <v>54</v>
      </c>
      <c r="R2654" s="10" t="s">
        <v>28</v>
      </c>
      <c r="S2654" s="10"/>
      <c r="T2654" s="10"/>
      <c r="U2654" s="10" t="s">
        <v>3539</v>
      </c>
      <c r="V2654" s="10" t="s">
        <v>3539</v>
      </c>
      <c r="W2654" s="50">
        <f>+J2654/$W$2</f>
        <v>2.261740214584257E-5</v>
      </c>
      <c r="AC2654" s="47"/>
    </row>
    <row r="2655" spans="1:29">
      <c r="A2655" s="10" t="s">
        <v>1892</v>
      </c>
      <c r="B2655" s="10" t="s">
        <v>358</v>
      </c>
      <c r="C2655" s="124">
        <v>46428</v>
      </c>
      <c r="D2655" s="124" t="s">
        <v>471</v>
      </c>
      <c r="E2655" s="21">
        <v>0.91405389000000004</v>
      </c>
      <c r="F2655" s="10"/>
      <c r="G2655" s="14">
        <v>27000000</v>
      </c>
      <c r="H2655" s="14">
        <v>24679455.07</v>
      </c>
      <c r="I2655" s="14">
        <v>27000000</v>
      </c>
      <c r="J2655" s="14">
        <v>24679455.07</v>
      </c>
      <c r="K2655" s="12">
        <v>80314322</v>
      </c>
      <c r="L2655" s="10" t="s">
        <v>101</v>
      </c>
      <c r="M2655" s="10" t="s">
        <v>102</v>
      </c>
      <c r="N2655" s="124" t="s">
        <v>397</v>
      </c>
      <c r="O2655" s="124" t="s">
        <v>397</v>
      </c>
      <c r="P2655" s="21">
        <v>33</v>
      </c>
      <c r="Q2655" s="10" t="s">
        <v>54</v>
      </c>
      <c r="R2655" s="10" t="s">
        <v>28</v>
      </c>
      <c r="S2655" s="10"/>
      <c r="T2655" s="10"/>
      <c r="U2655" s="10" t="s">
        <v>1862</v>
      </c>
      <c r="V2655" s="10" t="s">
        <v>1862</v>
      </c>
      <c r="W2655" s="50">
        <f>+J2655/$W$2</f>
        <v>3.0204310812939595E-4</v>
      </c>
    </row>
    <row r="2656" spans="1:29">
      <c r="A2656" s="10" t="s">
        <v>3794</v>
      </c>
      <c r="B2656" s="10" t="s">
        <v>358</v>
      </c>
      <c r="C2656" s="124">
        <v>46428</v>
      </c>
      <c r="D2656" s="124" t="s">
        <v>471</v>
      </c>
      <c r="E2656" s="21">
        <v>0.90931764000000004</v>
      </c>
      <c r="F2656" s="10"/>
      <c r="G2656" s="14">
        <v>719400</v>
      </c>
      <c r="H2656" s="14">
        <v>654163.11</v>
      </c>
      <c r="I2656" s="14">
        <v>719400</v>
      </c>
      <c r="J2656" s="14">
        <v>654163.11</v>
      </c>
      <c r="K2656" s="12">
        <v>2155</v>
      </c>
      <c r="L2656" s="10" t="s">
        <v>101</v>
      </c>
      <c r="M2656" s="10" t="s">
        <v>102</v>
      </c>
      <c r="N2656" s="124" t="s">
        <v>467</v>
      </c>
      <c r="O2656" s="124" t="s">
        <v>467</v>
      </c>
      <c r="P2656" s="21">
        <v>35</v>
      </c>
      <c r="Q2656" s="10" t="s">
        <v>54</v>
      </c>
      <c r="R2656" s="10" t="s">
        <v>28</v>
      </c>
      <c r="S2656" s="10"/>
      <c r="T2656" s="10"/>
      <c r="U2656" s="10" t="s">
        <v>3752</v>
      </c>
      <c r="V2656" s="10" t="s">
        <v>3752</v>
      </c>
      <c r="W2656" s="50">
        <f>+J2656/$W$2</f>
        <v>8.0060705719622662E-6</v>
      </c>
    </row>
    <row r="2657" spans="1:29">
      <c r="A2657" s="10" t="s">
        <v>967</v>
      </c>
      <c r="B2657" s="10" t="s">
        <v>358</v>
      </c>
      <c r="C2657" s="124">
        <v>46428</v>
      </c>
      <c r="D2657" s="124" t="s">
        <v>471</v>
      </c>
      <c r="E2657" s="21">
        <v>0.90931744999999997</v>
      </c>
      <c r="F2657" s="10"/>
      <c r="G2657" s="14">
        <v>25000000</v>
      </c>
      <c r="H2657" s="14">
        <v>22732936.140000001</v>
      </c>
      <c r="I2657" s="14">
        <v>25000000</v>
      </c>
      <c r="J2657" s="14">
        <v>22732936.140000001</v>
      </c>
      <c r="K2657" s="12">
        <v>1150</v>
      </c>
      <c r="L2657" s="10" t="s">
        <v>101</v>
      </c>
      <c r="M2657" s="10" t="s">
        <v>102</v>
      </c>
      <c r="N2657" s="124" t="s">
        <v>449</v>
      </c>
      <c r="O2657" s="124" t="s">
        <v>449</v>
      </c>
      <c r="P2657" s="21">
        <v>35</v>
      </c>
      <c r="Q2657" s="10" t="s">
        <v>54</v>
      </c>
      <c r="R2657" s="10" t="s">
        <v>28</v>
      </c>
      <c r="S2657" s="10"/>
      <c r="T2657" s="10"/>
      <c r="U2657" s="10" t="s">
        <v>1972</v>
      </c>
      <c r="V2657" s="10" t="s">
        <v>1972</v>
      </c>
      <c r="W2657" s="50">
        <f>+J2657/$W$2</f>
        <v>2.7822035248174033E-4</v>
      </c>
    </row>
    <row r="2658" spans="1:29">
      <c r="A2658" s="10" t="s">
        <v>2742</v>
      </c>
      <c r="B2658" s="10" t="s">
        <v>358</v>
      </c>
      <c r="C2658" s="124">
        <v>46428</v>
      </c>
      <c r="D2658" s="124" t="s">
        <v>471</v>
      </c>
      <c r="E2658" s="21">
        <v>0.91405391999999996</v>
      </c>
      <c r="F2658" s="10"/>
      <c r="G2658" s="14">
        <v>9000000</v>
      </c>
      <c r="H2658" s="14">
        <v>8226485.2400000002</v>
      </c>
      <c r="I2658" s="14">
        <v>9000000</v>
      </c>
      <c r="J2658" s="14">
        <v>8226485.2400000002</v>
      </c>
      <c r="K2658" s="12">
        <v>5020</v>
      </c>
      <c r="L2658" s="10" t="s">
        <v>101</v>
      </c>
      <c r="M2658" s="10" t="s">
        <v>102</v>
      </c>
      <c r="N2658" s="124" t="s">
        <v>440</v>
      </c>
      <c r="O2658" s="124" t="s">
        <v>440</v>
      </c>
      <c r="P2658" s="21">
        <v>33</v>
      </c>
      <c r="Q2658" s="10" t="s">
        <v>54</v>
      </c>
      <c r="R2658" s="10" t="s">
        <v>28</v>
      </c>
      <c r="S2658" s="10"/>
      <c r="T2658" s="10"/>
      <c r="U2658" s="10" t="s">
        <v>2706</v>
      </c>
      <c r="V2658" s="10" t="s">
        <v>2706</v>
      </c>
      <c r="W2658" s="50">
        <f>+J2658/$W$2</f>
        <v>1.0068103869483857E-4</v>
      </c>
    </row>
    <row r="2659" spans="1:29">
      <c r="A2659" s="10" t="s">
        <v>2016</v>
      </c>
      <c r="B2659" s="10" t="s">
        <v>358</v>
      </c>
      <c r="C2659" s="124">
        <v>46429</v>
      </c>
      <c r="D2659" s="124" t="s">
        <v>471</v>
      </c>
      <c r="E2659" s="21">
        <v>0.92299935</v>
      </c>
      <c r="F2659" s="10"/>
      <c r="G2659" s="14">
        <v>4537348.54</v>
      </c>
      <c r="H2659" s="14">
        <v>4187969.75</v>
      </c>
      <c r="I2659" s="14">
        <v>4537348.54</v>
      </c>
      <c r="J2659" s="14">
        <v>4187969.75</v>
      </c>
      <c r="K2659" s="12">
        <v>9826686</v>
      </c>
      <c r="L2659" s="10" t="s">
        <v>101</v>
      </c>
      <c r="M2659" s="10" t="s">
        <v>102</v>
      </c>
      <c r="N2659" s="124" t="s">
        <v>469</v>
      </c>
      <c r="O2659" s="124" t="s">
        <v>469</v>
      </c>
      <c r="P2659" s="21">
        <v>29</v>
      </c>
      <c r="Q2659" s="10" t="s">
        <v>54</v>
      </c>
      <c r="R2659" s="10" t="s">
        <v>28</v>
      </c>
      <c r="S2659" s="10"/>
      <c r="T2659" s="10"/>
      <c r="U2659" s="10" t="s">
        <v>3911</v>
      </c>
      <c r="V2659" s="10" t="s">
        <v>3911</v>
      </c>
      <c r="W2659" s="50">
        <f>+J2659/$W$2</f>
        <v>5.1255078220083625E-5</v>
      </c>
    </row>
    <row r="2660" spans="1:29">
      <c r="A2660" s="10" t="s">
        <v>2016</v>
      </c>
      <c r="B2660" s="10" t="s">
        <v>358</v>
      </c>
      <c r="C2660" s="124">
        <v>46429</v>
      </c>
      <c r="D2660" s="124" t="s">
        <v>471</v>
      </c>
      <c r="E2660" s="21">
        <v>0.92299935</v>
      </c>
      <c r="F2660" s="10"/>
      <c r="G2660" s="14">
        <v>5297622.96</v>
      </c>
      <c r="H2660" s="14">
        <v>4889702.55</v>
      </c>
      <c r="I2660" s="14">
        <v>5297622.96</v>
      </c>
      <c r="J2660" s="14">
        <v>4889702.55</v>
      </c>
      <c r="K2660" s="12">
        <v>6701</v>
      </c>
      <c r="L2660" s="10" t="s">
        <v>101</v>
      </c>
      <c r="M2660" s="10" t="s">
        <v>102</v>
      </c>
      <c r="N2660" s="124" t="s">
        <v>469</v>
      </c>
      <c r="O2660" s="124" t="s">
        <v>469</v>
      </c>
      <c r="P2660" s="21">
        <v>29</v>
      </c>
      <c r="Q2660" s="10" t="s">
        <v>54</v>
      </c>
      <c r="R2660" s="10" t="s">
        <v>28</v>
      </c>
      <c r="S2660" s="10"/>
      <c r="T2660" s="10"/>
      <c r="U2660" s="10" t="s">
        <v>3912</v>
      </c>
      <c r="V2660" s="10" t="s">
        <v>3912</v>
      </c>
      <c r="W2660" s="50">
        <f>+J2660/$W$2</f>
        <v>5.9843337376826166E-5</v>
      </c>
    </row>
    <row r="2661" spans="1:29">
      <c r="A2661" s="10" t="s">
        <v>379</v>
      </c>
      <c r="B2661" s="10" t="s">
        <v>358</v>
      </c>
      <c r="C2661" s="124">
        <v>46429</v>
      </c>
      <c r="D2661" s="124" t="s">
        <v>471</v>
      </c>
      <c r="E2661" s="21">
        <v>0.92055498999999996</v>
      </c>
      <c r="F2661" s="10"/>
      <c r="G2661" s="14">
        <v>5000000</v>
      </c>
      <c r="H2661" s="14">
        <v>4602774.93</v>
      </c>
      <c r="I2661" s="14">
        <v>5000000</v>
      </c>
      <c r="J2661" s="14">
        <v>4602774.93</v>
      </c>
      <c r="K2661" s="12">
        <v>1035</v>
      </c>
      <c r="L2661" s="10" t="s">
        <v>101</v>
      </c>
      <c r="M2661" s="10" t="s">
        <v>102</v>
      </c>
      <c r="N2661" s="124" t="s">
        <v>397</v>
      </c>
      <c r="O2661" s="124" t="s">
        <v>397</v>
      </c>
      <c r="P2661" s="21">
        <v>30</v>
      </c>
      <c r="Q2661" s="10" t="s">
        <v>54</v>
      </c>
      <c r="R2661" s="10" t="s">
        <v>28</v>
      </c>
      <c r="S2661" s="10"/>
      <c r="T2661" s="10"/>
      <c r="U2661" s="10" t="s">
        <v>1834</v>
      </c>
      <c r="V2661" s="10" t="s">
        <v>1834</v>
      </c>
      <c r="W2661" s="50">
        <f>+J2661/$W$2</f>
        <v>5.6331731877144026E-5</v>
      </c>
    </row>
    <row r="2662" spans="1:29">
      <c r="A2662" s="10" t="s">
        <v>443</v>
      </c>
      <c r="B2662" s="10" t="s">
        <v>358</v>
      </c>
      <c r="C2662" s="124">
        <v>46429</v>
      </c>
      <c r="D2662" s="124" t="s">
        <v>471</v>
      </c>
      <c r="E2662" s="21">
        <v>0.91329932000000003</v>
      </c>
      <c r="F2662" s="10"/>
      <c r="G2662" s="14">
        <v>10000000</v>
      </c>
      <c r="H2662" s="14">
        <v>9132993.1899999995</v>
      </c>
      <c r="I2662" s="14">
        <v>10000000</v>
      </c>
      <c r="J2662" s="14">
        <v>9132993.1899999995</v>
      </c>
      <c r="K2662" s="12">
        <v>2285692</v>
      </c>
      <c r="L2662" s="10" t="s">
        <v>101</v>
      </c>
      <c r="M2662" s="10" t="s">
        <v>102</v>
      </c>
      <c r="N2662" s="124" t="s">
        <v>486</v>
      </c>
      <c r="O2662" s="124" t="s">
        <v>486</v>
      </c>
      <c r="P2662" s="21">
        <v>33</v>
      </c>
      <c r="Q2662" s="10" t="s">
        <v>54</v>
      </c>
      <c r="R2662" s="10" t="s">
        <v>28</v>
      </c>
      <c r="S2662" s="10"/>
      <c r="T2662" s="10"/>
      <c r="U2662" s="10" t="s">
        <v>1450</v>
      </c>
      <c r="V2662" s="10" t="s">
        <v>1450</v>
      </c>
      <c r="W2662" s="50">
        <f>+J2662/$W$2</f>
        <v>1.1177546837269801E-4</v>
      </c>
      <c r="AC2662" s="47"/>
    </row>
    <row r="2663" spans="1:29">
      <c r="A2663" s="10" t="s">
        <v>443</v>
      </c>
      <c r="B2663" s="10" t="s">
        <v>358</v>
      </c>
      <c r="C2663" s="124">
        <v>46429</v>
      </c>
      <c r="D2663" s="124" t="s">
        <v>471</v>
      </c>
      <c r="E2663" s="21">
        <v>0.92055498000000002</v>
      </c>
      <c r="F2663" s="10"/>
      <c r="G2663" s="14">
        <v>5000000</v>
      </c>
      <c r="H2663" s="14">
        <v>4602774.88</v>
      </c>
      <c r="I2663" s="14">
        <v>5000000</v>
      </c>
      <c r="J2663" s="14">
        <v>4602774.88</v>
      </c>
      <c r="K2663" s="12">
        <v>40810975</v>
      </c>
      <c r="L2663" s="10" t="s">
        <v>101</v>
      </c>
      <c r="M2663" s="10" t="s">
        <v>102</v>
      </c>
      <c r="N2663" s="124" t="s">
        <v>576</v>
      </c>
      <c r="O2663" s="124" t="s">
        <v>576</v>
      </c>
      <c r="P2663" s="21">
        <v>30</v>
      </c>
      <c r="Q2663" s="10" t="s">
        <v>54</v>
      </c>
      <c r="R2663" s="10" t="s">
        <v>28</v>
      </c>
      <c r="S2663" s="10"/>
      <c r="T2663" s="10"/>
      <c r="U2663" s="10" t="s">
        <v>2328</v>
      </c>
      <c r="V2663" s="10" t="s">
        <v>2328</v>
      </c>
      <c r="W2663" s="50">
        <f>+J2663/$W$2</f>
        <v>5.6331731265211741E-5</v>
      </c>
    </row>
    <row r="2664" spans="1:29">
      <c r="A2664" s="10" t="s">
        <v>1893</v>
      </c>
      <c r="B2664" s="10" t="s">
        <v>358</v>
      </c>
      <c r="C2664" s="124">
        <v>46429</v>
      </c>
      <c r="D2664" s="124" t="s">
        <v>471</v>
      </c>
      <c r="E2664" s="21">
        <v>0.92792682999999998</v>
      </c>
      <c r="F2664" s="10"/>
      <c r="G2664" s="14">
        <v>2092000</v>
      </c>
      <c r="H2664" s="14">
        <v>1941222.94</v>
      </c>
      <c r="I2664" s="14">
        <v>2092000</v>
      </c>
      <c r="J2664" s="14">
        <v>1941222.94</v>
      </c>
      <c r="K2664" s="12">
        <v>14604204</v>
      </c>
      <c r="L2664" s="10" t="s">
        <v>101</v>
      </c>
      <c r="M2664" s="10" t="s">
        <v>102</v>
      </c>
      <c r="N2664" s="124" t="s">
        <v>471</v>
      </c>
      <c r="O2664" s="124" t="s">
        <v>471</v>
      </c>
      <c r="P2664" s="21">
        <v>27</v>
      </c>
      <c r="Q2664" s="10" t="s">
        <v>54</v>
      </c>
      <c r="R2664" s="10" t="s">
        <v>28</v>
      </c>
      <c r="S2664" s="10"/>
      <c r="T2664" s="10"/>
      <c r="U2664" s="10" t="s">
        <v>4078</v>
      </c>
      <c r="V2664" s="10" t="s">
        <v>4078</v>
      </c>
      <c r="W2664" s="50">
        <f>+J2664/$W$2</f>
        <v>2.3757939902101895E-5</v>
      </c>
    </row>
    <row r="2665" spans="1:29">
      <c r="A2665" s="10" t="s">
        <v>1893</v>
      </c>
      <c r="B2665" s="10" t="s">
        <v>358</v>
      </c>
      <c r="C2665" s="124">
        <v>46429</v>
      </c>
      <c r="D2665" s="124" t="s">
        <v>471</v>
      </c>
      <c r="E2665" s="21">
        <v>0.92792684000000003</v>
      </c>
      <c r="F2665" s="10"/>
      <c r="G2665" s="14">
        <v>8228053.0700000003</v>
      </c>
      <c r="H2665" s="14">
        <v>7635031.2599999998</v>
      </c>
      <c r="I2665" s="14">
        <v>8228053.0700000003</v>
      </c>
      <c r="J2665" s="14">
        <v>7635031.2599999998</v>
      </c>
      <c r="K2665" s="12">
        <v>1547</v>
      </c>
      <c r="L2665" s="10" t="s">
        <v>101</v>
      </c>
      <c r="M2665" s="10" t="s">
        <v>102</v>
      </c>
      <c r="N2665" s="124" t="s">
        <v>471</v>
      </c>
      <c r="O2665" s="124" t="s">
        <v>471</v>
      </c>
      <c r="P2665" s="21">
        <v>27</v>
      </c>
      <c r="Q2665" s="10" t="s">
        <v>54</v>
      </c>
      <c r="R2665" s="10" t="s">
        <v>28</v>
      </c>
      <c r="S2665" s="10"/>
      <c r="T2665" s="10"/>
      <c r="U2665" s="10" t="s">
        <v>4079</v>
      </c>
      <c r="V2665" s="10" t="s">
        <v>4079</v>
      </c>
      <c r="W2665" s="50">
        <f>+J2665/$W$2</f>
        <v>9.3442442950807751E-5</v>
      </c>
    </row>
    <row r="2666" spans="1:29">
      <c r="A2666" s="10" t="s">
        <v>141</v>
      </c>
      <c r="B2666" s="10" t="s">
        <v>358</v>
      </c>
      <c r="C2666" s="124">
        <v>46429</v>
      </c>
      <c r="D2666" s="124" t="s">
        <v>471</v>
      </c>
      <c r="E2666" s="21">
        <v>0.91329932000000003</v>
      </c>
      <c r="F2666" s="10"/>
      <c r="G2666" s="14">
        <v>22000000</v>
      </c>
      <c r="H2666" s="14">
        <v>20092585.07</v>
      </c>
      <c r="I2666" s="14">
        <v>22000000</v>
      </c>
      <c r="J2666" s="14">
        <v>20092585.07</v>
      </c>
      <c r="K2666" s="12">
        <v>450</v>
      </c>
      <c r="L2666" s="10" t="s">
        <v>101</v>
      </c>
      <c r="M2666" s="10" t="s">
        <v>102</v>
      </c>
      <c r="N2666" s="124" t="s">
        <v>474</v>
      </c>
      <c r="O2666" s="124" t="s">
        <v>474</v>
      </c>
      <c r="P2666" s="21">
        <v>33</v>
      </c>
      <c r="Q2666" s="10" t="s">
        <v>54</v>
      </c>
      <c r="R2666" s="10" t="s">
        <v>28</v>
      </c>
      <c r="S2666" s="10"/>
      <c r="T2666" s="10"/>
      <c r="U2666" s="10" t="s">
        <v>3870</v>
      </c>
      <c r="V2666" s="10" t="s">
        <v>3870</v>
      </c>
      <c r="W2666" s="50">
        <f>+J2666/$W$2</f>
        <v>2.4590603105634521E-4</v>
      </c>
    </row>
    <row r="2667" spans="1:29">
      <c r="A2667" s="10" t="s">
        <v>623</v>
      </c>
      <c r="B2667" s="10" t="s">
        <v>358</v>
      </c>
      <c r="C2667" s="124">
        <v>46429</v>
      </c>
      <c r="D2667" s="124" t="s">
        <v>471</v>
      </c>
      <c r="E2667" s="21">
        <v>0.91329934000000002</v>
      </c>
      <c r="F2667" s="10"/>
      <c r="G2667" s="14">
        <v>2500000</v>
      </c>
      <c r="H2667" s="14">
        <v>2283248.35</v>
      </c>
      <c r="I2667" s="14">
        <v>2500000</v>
      </c>
      <c r="J2667" s="14">
        <v>2283248.35</v>
      </c>
      <c r="K2667" s="12">
        <v>37</v>
      </c>
      <c r="L2667" s="10" t="s">
        <v>101</v>
      </c>
      <c r="M2667" s="10" t="s">
        <v>102</v>
      </c>
      <c r="N2667" s="124" t="s">
        <v>508</v>
      </c>
      <c r="O2667" s="124" t="s">
        <v>508</v>
      </c>
      <c r="P2667" s="21">
        <v>33</v>
      </c>
      <c r="Q2667" s="10" t="s">
        <v>54</v>
      </c>
      <c r="R2667" s="10" t="s">
        <v>28</v>
      </c>
      <c r="S2667" s="10"/>
      <c r="T2667" s="10"/>
      <c r="U2667" s="10" t="s">
        <v>3015</v>
      </c>
      <c r="V2667" s="10" t="s">
        <v>3015</v>
      </c>
      <c r="W2667" s="50">
        <f>+J2667/$W$2</f>
        <v>2.7943867735703407E-5</v>
      </c>
    </row>
    <row r="2668" spans="1:29">
      <c r="A2668" s="10" t="s">
        <v>433</v>
      </c>
      <c r="B2668" s="10" t="s">
        <v>358</v>
      </c>
      <c r="C2668" s="124">
        <v>46429</v>
      </c>
      <c r="D2668" s="124" t="s">
        <v>471</v>
      </c>
      <c r="E2668" s="21">
        <v>0.91570521999999999</v>
      </c>
      <c r="F2668" s="10"/>
      <c r="G2668" s="14">
        <v>10000000</v>
      </c>
      <c r="H2668" s="14">
        <v>9157052.2300000004</v>
      </c>
      <c r="I2668" s="14">
        <v>10000000</v>
      </c>
      <c r="J2668" s="14">
        <v>9157052.2300000004</v>
      </c>
      <c r="K2668" s="12">
        <v>14822652</v>
      </c>
      <c r="L2668" s="10" t="s">
        <v>101</v>
      </c>
      <c r="M2668" s="10" t="s">
        <v>102</v>
      </c>
      <c r="N2668" s="124" t="s">
        <v>469</v>
      </c>
      <c r="O2668" s="124" t="s">
        <v>469</v>
      </c>
      <c r="P2668" s="21">
        <v>32</v>
      </c>
      <c r="Q2668" s="10" t="s">
        <v>54</v>
      </c>
      <c r="R2668" s="10" t="s">
        <v>28</v>
      </c>
      <c r="S2668" s="10"/>
      <c r="T2668" s="10"/>
      <c r="U2668" s="10" t="s">
        <v>3990</v>
      </c>
      <c r="V2668" s="10" t="s">
        <v>3990</v>
      </c>
      <c r="W2668" s="50">
        <f>+J2668/$W$2</f>
        <v>1.1206991844056209E-4</v>
      </c>
    </row>
    <row r="2669" spans="1:29">
      <c r="A2669" s="10" t="s">
        <v>433</v>
      </c>
      <c r="B2669" s="10" t="s">
        <v>358</v>
      </c>
      <c r="C2669" s="124">
        <v>46429</v>
      </c>
      <c r="D2669" s="124" t="s">
        <v>471</v>
      </c>
      <c r="E2669" s="21">
        <v>0.91570507000000001</v>
      </c>
      <c r="F2669" s="10"/>
      <c r="G2669" s="14">
        <v>10000000</v>
      </c>
      <c r="H2669" s="14">
        <v>9157050.7400000002</v>
      </c>
      <c r="I2669" s="14">
        <v>10000000</v>
      </c>
      <c r="J2669" s="14">
        <v>9157050.7400000002</v>
      </c>
      <c r="K2669" s="12">
        <v>14725224</v>
      </c>
      <c r="L2669" s="10" t="s">
        <v>101</v>
      </c>
      <c r="M2669" s="10" t="s">
        <v>102</v>
      </c>
      <c r="N2669" s="124" t="s">
        <v>468</v>
      </c>
      <c r="O2669" s="124" t="s">
        <v>468</v>
      </c>
      <c r="P2669" s="21">
        <v>32</v>
      </c>
      <c r="Q2669" s="10" t="s">
        <v>54</v>
      </c>
      <c r="R2669" s="10" t="s">
        <v>28</v>
      </c>
      <c r="S2669" s="10"/>
      <c r="T2669" s="10"/>
      <c r="U2669" s="10" t="s">
        <v>3803</v>
      </c>
      <c r="V2669" s="10" t="s">
        <v>3803</v>
      </c>
      <c r="W2669" s="50">
        <f>+J2669/$W$2</f>
        <v>1.120699002049799E-4</v>
      </c>
    </row>
    <row r="2670" spans="1:29">
      <c r="A2670" s="10" t="s">
        <v>433</v>
      </c>
      <c r="B2670" s="10" t="s">
        <v>358</v>
      </c>
      <c r="C2670" s="124">
        <v>46429</v>
      </c>
      <c r="D2670" s="124" t="s">
        <v>471</v>
      </c>
      <c r="E2670" s="21">
        <v>0.91570507000000001</v>
      </c>
      <c r="F2670" s="10"/>
      <c r="G2670" s="14">
        <v>10000000</v>
      </c>
      <c r="H2670" s="14">
        <v>9157050.7400000002</v>
      </c>
      <c r="I2670" s="14">
        <v>10000000</v>
      </c>
      <c r="J2670" s="14">
        <v>9157050.7400000002</v>
      </c>
      <c r="K2670" s="12">
        <v>14725225</v>
      </c>
      <c r="L2670" s="10" t="s">
        <v>101</v>
      </c>
      <c r="M2670" s="10" t="s">
        <v>102</v>
      </c>
      <c r="N2670" s="124" t="s">
        <v>468</v>
      </c>
      <c r="O2670" s="124" t="s">
        <v>468</v>
      </c>
      <c r="P2670" s="21">
        <v>32</v>
      </c>
      <c r="Q2670" s="10" t="s">
        <v>54</v>
      </c>
      <c r="R2670" s="10" t="s">
        <v>28</v>
      </c>
      <c r="S2670" s="10"/>
      <c r="T2670" s="10"/>
      <c r="U2670" s="10" t="s">
        <v>3804</v>
      </c>
      <c r="V2670" s="10" t="s">
        <v>3804</v>
      </c>
      <c r="W2670" s="50">
        <f>+J2670/$W$2</f>
        <v>1.120699002049799E-4</v>
      </c>
    </row>
    <row r="2671" spans="1:29">
      <c r="A2671" s="10" t="s">
        <v>3580</v>
      </c>
      <c r="B2671" s="10" t="s">
        <v>358</v>
      </c>
      <c r="C2671" s="124">
        <v>46429</v>
      </c>
      <c r="D2671" s="124" t="s">
        <v>471</v>
      </c>
      <c r="E2671" s="21">
        <v>0.91090590999999999</v>
      </c>
      <c r="F2671" s="10"/>
      <c r="G2671" s="14">
        <v>980655</v>
      </c>
      <c r="H2671" s="14">
        <v>893284.44</v>
      </c>
      <c r="I2671" s="14">
        <v>980655</v>
      </c>
      <c r="J2671" s="14">
        <v>893284.44</v>
      </c>
      <c r="K2671" s="12">
        <v>70426712</v>
      </c>
      <c r="L2671" s="10" t="s">
        <v>101</v>
      </c>
      <c r="M2671" s="10" t="s">
        <v>102</v>
      </c>
      <c r="N2671" s="124" t="s">
        <v>451</v>
      </c>
      <c r="O2671" s="124" t="s">
        <v>451</v>
      </c>
      <c r="P2671" s="21">
        <v>34</v>
      </c>
      <c r="Q2671" s="10" t="s">
        <v>54</v>
      </c>
      <c r="R2671" s="10" t="s">
        <v>28</v>
      </c>
      <c r="S2671" s="10"/>
      <c r="T2671" s="10"/>
      <c r="U2671" s="10" t="s">
        <v>3498</v>
      </c>
      <c r="V2671" s="10" t="s">
        <v>3498</v>
      </c>
      <c r="W2671" s="50">
        <f>+J2671/$W$2</f>
        <v>1.0932591823277518E-5</v>
      </c>
    </row>
    <row r="2672" spans="1:29">
      <c r="A2672" s="10" t="s">
        <v>3306</v>
      </c>
      <c r="B2672" s="10" t="s">
        <v>358</v>
      </c>
      <c r="C2672" s="124">
        <v>46429</v>
      </c>
      <c r="D2672" s="124" t="s">
        <v>471</v>
      </c>
      <c r="E2672" s="21">
        <v>0.92055500999999995</v>
      </c>
      <c r="F2672" s="10"/>
      <c r="G2672" s="14">
        <v>27038520.739999998</v>
      </c>
      <c r="H2672" s="14">
        <v>24890445.620000001</v>
      </c>
      <c r="I2672" s="14">
        <v>27038520.739999998</v>
      </c>
      <c r="J2672" s="14">
        <v>24890445.620000001</v>
      </c>
      <c r="K2672" s="12">
        <v>7047</v>
      </c>
      <c r="L2672" s="10" t="s">
        <v>101</v>
      </c>
      <c r="M2672" s="10" t="s">
        <v>102</v>
      </c>
      <c r="N2672" s="124" t="s">
        <v>417</v>
      </c>
      <c r="O2672" s="124" t="s">
        <v>417</v>
      </c>
      <c r="P2672" s="21">
        <v>30</v>
      </c>
      <c r="Q2672" s="10" t="s">
        <v>54</v>
      </c>
      <c r="R2672" s="10" t="s">
        <v>28</v>
      </c>
      <c r="S2672" s="10"/>
      <c r="T2672" s="10"/>
      <c r="U2672" s="10" t="s">
        <v>3195</v>
      </c>
      <c r="V2672" s="10" t="s">
        <v>3195</v>
      </c>
      <c r="W2672" s="50">
        <f>+J2672/$W$2</f>
        <v>3.0462534672936402E-4</v>
      </c>
    </row>
    <row r="2673" spans="1:29">
      <c r="A2673" s="10" t="s">
        <v>622</v>
      </c>
      <c r="B2673" s="10" t="s">
        <v>358</v>
      </c>
      <c r="C2673" s="124">
        <v>46429</v>
      </c>
      <c r="D2673" s="124" t="s">
        <v>471</v>
      </c>
      <c r="E2673" s="21">
        <v>0.92545643</v>
      </c>
      <c r="F2673" s="10"/>
      <c r="G2673" s="14">
        <v>74495580</v>
      </c>
      <c r="H2673" s="14">
        <v>68942413.439999998</v>
      </c>
      <c r="I2673" s="14">
        <v>74495580</v>
      </c>
      <c r="J2673" s="14">
        <v>68942413.439999998</v>
      </c>
      <c r="K2673" s="12">
        <v>155357</v>
      </c>
      <c r="L2673" s="10" t="s">
        <v>101</v>
      </c>
      <c r="M2673" s="10" t="s">
        <v>102</v>
      </c>
      <c r="N2673" s="124" t="s">
        <v>297</v>
      </c>
      <c r="O2673" s="124" t="s">
        <v>297</v>
      </c>
      <c r="P2673" s="21">
        <v>28</v>
      </c>
      <c r="Q2673" s="10" t="s">
        <v>54</v>
      </c>
      <c r="R2673" s="10" t="s">
        <v>28</v>
      </c>
      <c r="S2673" s="10"/>
      <c r="T2673" s="10"/>
      <c r="U2673" s="10" t="s">
        <v>615</v>
      </c>
      <c r="V2673" s="10" t="s">
        <v>615</v>
      </c>
      <c r="W2673" s="50">
        <f>+J2673/$W$2</f>
        <v>8.437617758696906E-4</v>
      </c>
    </row>
    <row r="2674" spans="1:29">
      <c r="A2674" s="10" t="s">
        <v>967</v>
      </c>
      <c r="B2674" s="10" t="s">
        <v>358</v>
      </c>
      <c r="C2674" s="124">
        <v>46429</v>
      </c>
      <c r="D2674" s="124" t="s">
        <v>471</v>
      </c>
      <c r="E2674" s="21">
        <v>0.90852520000000003</v>
      </c>
      <c r="F2674" s="10"/>
      <c r="G2674" s="14">
        <v>25000000</v>
      </c>
      <c r="H2674" s="14">
        <v>22713130.059999999</v>
      </c>
      <c r="I2674" s="14">
        <v>25000000</v>
      </c>
      <c r="J2674" s="14">
        <v>22713130.059999999</v>
      </c>
      <c r="K2674" s="12">
        <v>1152</v>
      </c>
      <c r="L2674" s="10" t="s">
        <v>101</v>
      </c>
      <c r="M2674" s="10" t="s">
        <v>102</v>
      </c>
      <c r="N2674" s="124" t="s">
        <v>449</v>
      </c>
      <c r="O2674" s="124" t="s">
        <v>449</v>
      </c>
      <c r="P2674" s="21">
        <v>35</v>
      </c>
      <c r="Q2674" s="10" t="s">
        <v>54</v>
      </c>
      <c r="R2674" s="10" t="s">
        <v>28</v>
      </c>
      <c r="S2674" s="10"/>
      <c r="T2674" s="10"/>
      <c r="U2674" s="10" t="s">
        <v>1971</v>
      </c>
      <c r="V2674" s="10" t="s">
        <v>1971</v>
      </c>
      <c r="W2674" s="50">
        <f>+J2674/$W$2</f>
        <v>2.7797795288474387E-4</v>
      </c>
    </row>
    <row r="2675" spans="1:29">
      <c r="A2675" s="10" t="s">
        <v>967</v>
      </c>
      <c r="B2675" s="10" t="s">
        <v>358</v>
      </c>
      <c r="C2675" s="124">
        <v>46429</v>
      </c>
      <c r="D2675" s="124" t="s">
        <v>471</v>
      </c>
      <c r="E2675" s="21">
        <v>0.90852520000000003</v>
      </c>
      <c r="F2675" s="10"/>
      <c r="G2675" s="14">
        <v>25000000</v>
      </c>
      <c r="H2675" s="14">
        <v>22713130.059999999</v>
      </c>
      <c r="I2675" s="14">
        <v>25000000</v>
      </c>
      <c r="J2675" s="14">
        <v>22713130.059999999</v>
      </c>
      <c r="K2675" s="12">
        <v>1151</v>
      </c>
      <c r="L2675" s="10" t="s">
        <v>101</v>
      </c>
      <c r="M2675" s="10" t="s">
        <v>102</v>
      </c>
      <c r="N2675" s="124" t="s">
        <v>449</v>
      </c>
      <c r="O2675" s="124" t="s">
        <v>449</v>
      </c>
      <c r="P2675" s="21">
        <v>35</v>
      </c>
      <c r="Q2675" s="10" t="s">
        <v>54</v>
      </c>
      <c r="R2675" s="10" t="s">
        <v>28</v>
      </c>
      <c r="S2675" s="10"/>
      <c r="T2675" s="10"/>
      <c r="U2675" s="10" t="s">
        <v>1974</v>
      </c>
      <c r="V2675" s="10" t="s">
        <v>1974</v>
      </c>
      <c r="W2675" s="50">
        <f>+J2675/$W$2</f>
        <v>2.7797795288474387E-4</v>
      </c>
    </row>
    <row r="2676" spans="1:29">
      <c r="A2676" s="10" t="s">
        <v>2673</v>
      </c>
      <c r="B2676" s="10" t="s">
        <v>358</v>
      </c>
      <c r="C2676" s="124">
        <v>46429</v>
      </c>
      <c r="D2676" s="124" t="s">
        <v>471</v>
      </c>
      <c r="E2676" s="21">
        <v>0.91570499999999999</v>
      </c>
      <c r="F2676" s="10"/>
      <c r="G2676" s="14">
        <v>250000</v>
      </c>
      <c r="H2676" s="14">
        <v>228926.25</v>
      </c>
      <c r="I2676" s="14">
        <v>250000</v>
      </c>
      <c r="J2676" s="14">
        <v>228926.25</v>
      </c>
      <c r="K2676" s="12">
        <v>103</v>
      </c>
      <c r="L2676" s="10" t="s">
        <v>101</v>
      </c>
      <c r="M2676" s="10" t="s">
        <v>102</v>
      </c>
      <c r="N2676" s="124" t="s">
        <v>603</v>
      </c>
      <c r="O2676" s="124" t="s">
        <v>603</v>
      </c>
      <c r="P2676" s="21">
        <v>32</v>
      </c>
      <c r="Q2676" s="10" t="s">
        <v>54</v>
      </c>
      <c r="R2676" s="10" t="s">
        <v>28</v>
      </c>
      <c r="S2676" s="10"/>
      <c r="T2676" s="10"/>
      <c r="U2676" s="10" t="s">
        <v>2573</v>
      </c>
      <c r="V2676" s="10" t="s">
        <v>2573</v>
      </c>
      <c r="W2676" s="50">
        <f>+J2676/$W$2</f>
        <v>2.801747278709551E-6</v>
      </c>
      <c r="AC2676" s="47"/>
    </row>
    <row r="2677" spans="1:29">
      <c r="A2677" s="10" t="s">
        <v>2677</v>
      </c>
      <c r="B2677" s="10" t="s">
        <v>358</v>
      </c>
      <c r="C2677" s="124">
        <v>46429</v>
      </c>
      <c r="D2677" s="124" t="s">
        <v>471</v>
      </c>
      <c r="E2677" s="21">
        <v>0.91329925999999995</v>
      </c>
      <c r="F2677" s="10"/>
      <c r="G2677" s="14">
        <v>10000000</v>
      </c>
      <c r="H2677" s="14">
        <v>9132992.5899999999</v>
      </c>
      <c r="I2677" s="14">
        <v>10000000</v>
      </c>
      <c r="J2677" s="14">
        <v>9132992.5899999999</v>
      </c>
      <c r="K2677" s="12">
        <v>70407061</v>
      </c>
      <c r="L2677" s="10" t="s">
        <v>101</v>
      </c>
      <c r="M2677" s="10" t="s">
        <v>102</v>
      </c>
      <c r="N2677" s="124" t="s">
        <v>603</v>
      </c>
      <c r="O2677" s="124" t="s">
        <v>603</v>
      </c>
      <c r="P2677" s="21">
        <v>33</v>
      </c>
      <c r="Q2677" s="10" t="s">
        <v>54</v>
      </c>
      <c r="R2677" s="10" t="s">
        <v>28</v>
      </c>
      <c r="S2677" s="10"/>
      <c r="T2677" s="10"/>
      <c r="U2677" s="10" t="s">
        <v>2612</v>
      </c>
      <c r="V2677" s="10" t="s">
        <v>2612</v>
      </c>
      <c r="W2677" s="50">
        <f>+J2677/$W$2</f>
        <v>1.1177546102951057E-4</v>
      </c>
    </row>
    <row r="2678" spans="1:29">
      <c r="A2678" s="10" t="s">
        <v>2742</v>
      </c>
      <c r="B2678" s="10" t="s">
        <v>358</v>
      </c>
      <c r="C2678" s="124">
        <v>46429</v>
      </c>
      <c r="D2678" s="124" t="s">
        <v>471</v>
      </c>
      <c r="E2678" s="21">
        <v>0.91329932000000003</v>
      </c>
      <c r="F2678" s="10"/>
      <c r="G2678" s="14">
        <v>9000000</v>
      </c>
      <c r="H2678" s="14">
        <v>8219693.8700000001</v>
      </c>
      <c r="I2678" s="14">
        <v>9000000</v>
      </c>
      <c r="J2678" s="14">
        <v>8219693.8700000001</v>
      </c>
      <c r="K2678" s="12">
        <v>5021</v>
      </c>
      <c r="L2678" s="10" t="s">
        <v>101</v>
      </c>
      <c r="M2678" s="10" t="s">
        <v>102</v>
      </c>
      <c r="N2678" s="124" t="s">
        <v>440</v>
      </c>
      <c r="O2678" s="124" t="s">
        <v>440</v>
      </c>
      <c r="P2678" s="21">
        <v>33</v>
      </c>
      <c r="Q2678" s="10" t="s">
        <v>54</v>
      </c>
      <c r="R2678" s="10" t="s">
        <v>28</v>
      </c>
      <c r="S2678" s="10"/>
      <c r="T2678" s="10"/>
      <c r="U2678" s="10" t="s">
        <v>2707</v>
      </c>
      <c r="V2678" s="10" t="s">
        <v>2707</v>
      </c>
      <c r="W2678" s="50">
        <f>+J2678/$W$2</f>
        <v>1.0059792152318957E-4</v>
      </c>
    </row>
    <row r="2679" spans="1:29">
      <c r="A2679" s="10" t="s">
        <v>2016</v>
      </c>
      <c r="B2679" s="10" t="s">
        <v>358</v>
      </c>
      <c r="C2679" s="124">
        <v>46430</v>
      </c>
      <c r="D2679" s="124" t="s">
        <v>471</v>
      </c>
      <c r="E2679" s="21">
        <v>0.91985903000000002</v>
      </c>
      <c r="F2679" s="10"/>
      <c r="G2679" s="14">
        <v>3000000</v>
      </c>
      <c r="H2679" s="14">
        <v>2759577.09</v>
      </c>
      <c r="I2679" s="14">
        <v>3000000</v>
      </c>
      <c r="J2679" s="14">
        <v>2759577.09</v>
      </c>
      <c r="K2679" s="12">
        <v>3897147</v>
      </c>
      <c r="L2679" s="10" t="s">
        <v>101</v>
      </c>
      <c r="M2679" s="10" t="s">
        <v>102</v>
      </c>
      <c r="N2679" s="124" t="s">
        <v>478</v>
      </c>
      <c r="O2679" s="124" t="s">
        <v>478</v>
      </c>
      <c r="P2679" s="21">
        <v>30</v>
      </c>
      <c r="Q2679" s="10" t="s">
        <v>54</v>
      </c>
      <c r="R2679" s="10" t="s">
        <v>28</v>
      </c>
      <c r="S2679" s="10"/>
      <c r="T2679" s="10"/>
      <c r="U2679" s="10" t="s">
        <v>2100</v>
      </c>
      <c r="V2679" s="10" t="s">
        <v>2100</v>
      </c>
      <c r="W2679" s="50">
        <f>+J2679/$W$2</f>
        <v>3.3773486449442654E-5</v>
      </c>
    </row>
    <row r="2680" spans="1:29">
      <c r="A2680" s="10" t="s">
        <v>2016</v>
      </c>
      <c r="B2680" s="10" t="s">
        <v>358</v>
      </c>
      <c r="C2680" s="124">
        <v>46430</v>
      </c>
      <c r="D2680" s="124" t="s">
        <v>471</v>
      </c>
      <c r="E2680" s="21">
        <v>0.92232291</v>
      </c>
      <c r="F2680" s="10"/>
      <c r="G2680" s="14">
        <v>20000000</v>
      </c>
      <c r="H2680" s="14">
        <v>18446458.100000001</v>
      </c>
      <c r="I2680" s="14">
        <v>20000000</v>
      </c>
      <c r="J2680" s="14">
        <v>18446458.100000001</v>
      </c>
      <c r="K2680" s="12">
        <v>5324</v>
      </c>
      <c r="L2680" s="10" t="s">
        <v>101</v>
      </c>
      <c r="M2680" s="10" t="s">
        <v>102</v>
      </c>
      <c r="N2680" s="124" t="s">
        <v>469</v>
      </c>
      <c r="O2680" s="124" t="s">
        <v>469</v>
      </c>
      <c r="P2680" s="21">
        <v>29</v>
      </c>
      <c r="Q2680" s="10" t="s">
        <v>54</v>
      </c>
      <c r="R2680" s="10" t="s">
        <v>28</v>
      </c>
      <c r="S2680" s="10"/>
      <c r="T2680" s="10"/>
      <c r="U2680" s="10" t="s">
        <v>3909</v>
      </c>
      <c r="V2680" s="10" t="s">
        <v>3909</v>
      </c>
      <c r="W2680" s="50">
        <f>+J2680/$W$2</f>
        <v>2.2575966619601184E-4</v>
      </c>
    </row>
    <row r="2681" spans="1:29">
      <c r="A2681" s="10" t="s">
        <v>2016</v>
      </c>
      <c r="B2681" s="10" t="s">
        <v>358</v>
      </c>
      <c r="C2681" s="124">
        <v>46430</v>
      </c>
      <c r="D2681" s="124" t="s">
        <v>471</v>
      </c>
      <c r="E2681" s="21">
        <v>0.92232291</v>
      </c>
      <c r="F2681" s="10"/>
      <c r="G2681" s="14">
        <v>15191494.890000001</v>
      </c>
      <c r="H2681" s="14">
        <v>14011463.699999999</v>
      </c>
      <c r="I2681" s="14">
        <v>15191494.890000001</v>
      </c>
      <c r="J2681" s="14">
        <v>14011463.699999999</v>
      </c>
      <c r="K2681" s="12">
        <v>5323</v>
      </c>
      <c r="L2681" s="10" t="s">
        <v>101</v>
      </c>
      <c r="M2681" s="10" t="s">
        <v>102</v>
      </c>
      <c r="N2681" s="124" t="s">
        <v>469</v>
      </c>
      <c r="O2681" s="124" t="s">
        <v>469</v>
      </c>
      <c r="P2681" s="21">
        <v>29</v>
      </c>
      <c r="Q2681" s="10" t="s">
        <v>54</v>
      </c>
      <c r="R2681" s="10" t="s">
        <v>28</v>
      </c>
      <c r="S2681" s="10"/>
      <c r="T2681" s="10"/>
      <c r="U2681" s="10" t="s">
        <v>3910</v>
      </c>
      <c r="V2681" s="10" t="s">
        <v>3910</v>
      </c>
      <c r="W2681" s="50">
        <f>+J2681/$W$2</f>
        <v>1.7148134079081212E-4</v>
      </c>
    </row>
    <row r="2682" spans="1:29">
      <c r="A2682" s="10" t="s">
        <v>2314</v>
      </c>
      <c r="B2682" s="10" t="s">
        <v>358</v>
      </c>
      <c r="C2682" s="124">
        <v>46430</v>
      </c>
      <c r="D2682" s="124" t="s">
        <v>471</v>
      </c>
      <c r="E2682" s="21">
        <v>0.91254564999999999</v>
      </c>
      <c r="F2682" s="10"/>
      <c r="G2682" s="14">
        <v>6006148</v>
      </c>
      <c r="H2682" s="14">
        <v>5480884.21</v>
      </c>
      <c r="I2682" s="14">
        <v>6006148</v>
      </c>
      <c r="J2682" s="14">
        <v>5480884.21</v>
      </c>
      <c r="K2682" s="12">
        <v>1370659</v>
      </c>
      <c r="L2682" s="10" t="s">
        <v>101</v>
      </c>
      <c r="M2682" s="10" t="s">
        <v>102</v>
      </c>
      <c r="N2682" s="124" t="s">
        <v>439</v>
      </c>
      <c r="O2682" s="124" t="s">
        <v>439</v>
      </c>
      <c r="P2682" s="21">
        <v>33</v>
      </c>
      <c r="Q2682" s="10" t="s">
        <v>54</v>
      </c>
      <c r="R2682" s="10" t="s">
        <v>28</v>
      </c>
      <c r="S2682" s="10"/>
      <c r="T2682" s="10"/>
      <c r="U2682" s="10" t="s">
        <v>2302</v>
      </c>
      <c r="V2682" s="10" t="s">
        <v>2302</v>
      </c>
      <c r="W2682" s="50">
        <f>+J2682/$W$2</f>
        <v>6.7078600292843859E-5</v>
      </c>
    </row>
    <row r="2683" spans="1:29">
      <c r="A2683" s="10" t="s">
        <v>443</v>
      </c>
      <c r="B2683" s="10" t="s">
        <v>358</v>
      </c>
      <c r="C2683" s="124">
        <v>46430</v>
      </c>
      <c r="D2683" s="124" t="s">
        <v>471</v>
      </c>
      <c r="E2683" s="21">
        <v>0.91497059999999997</v>
      </c>
      <c r="F2683" s="10"/>
      <c r="G2683" s="14">
        <v>3000000</v>
      </c>
      <c r="H2683" s="14">
        <v>2744911.81</v>
      </c>
      <c r="I2683" s="14">
        <v>3000000</v>
      </c>
      <c r="J2683" s="14">
        <v>2744911.81</v>
      </c>
      <c r="K2683" s="12">
        <v>30</v>
      </c>
      <c r="L2683" s="10" t="s">
        <v>101</v>
      </c>
      <c r="M2683" s="10" t="s">
        <v>102</v>
      </c>
      <c r="N2683" s="124" t="s">
        <v>469</v>
      </c>
      <c r="O2683" s="124" t="s">
        <v>469</v>
      </c>
      <c r="P2683" s="21">
        <v>32</v>
      </c>
      <c r="Q2683" s="10" t="s">
        <v>54</v>
      </c>
      <c r="R2683" s="10" t="s">
        <v>28</v>
      </c>
      <c r="S2683" s="10"/>
      <c r="T2683" s="10"/>
      <c r="U2683" s="10" t="s">
        <v>4030</v>
      </c>
      <c r="V2683" s="10" t="s">
        <v>4030</v>
      </c>
      <c r="W2683" s="50">
        <f>+J2683/$W$2</f>
        <v>3.3594003282564613E-5</v>
      </c>
    </row>
    <row r="2684" spans="1:29">
      <c r="A2684" s="10" t="s">
        <v>1515</v>
      </c>
      <c r="B2684" s="10" t="s">
        <v>358</v>
      </c>
      <c r="C2684" s="124">
        <v>46430</v>
      </c>
      <c r="D2684" s="124" t="s">
        <v>471</v>
      </c>
      <c r="E2684" s="21">
        <v>0.91740818000000002</v>
      </c>
      <c r="F2684" s="10"/>
      <c r="G2684" s="14">
        <v>9990457.7699999996</v>
      </c>
      <c r="H2684" s="14">
        <v>9165327.6799999997</v>
      </c>
      <c r="I2684" s="14">
        <v>9990457.7699999996</v>
      </c>
      <c r="J2684" s="14">
        <v>9165327.6799999997</v>
      </c>
      <c r="K2684" s="12">
        <v>3018</v>
      </c>
      <c r="L2684" s="10" t="s">
        <v>101</v>
      </c>
      <c r="M2684" s="10" t="s">
        <v>102</v>
      </c>
      <c r="N2684" s="124" t="s">
        <v>480</v>
      </c>
      <c r="O2684" s="124" t="s">
        <v>480</v>
      </c>
      <c r="P2684" s="21">
        <v>31</v>
      </c>
      <c r="Q2684" s="10" t="s">
        <v>54</v>
      </c>
      <c r="R2684" s="10" t="s">
        <v>28</v>
      </c>
      <c r="S2684" s="10"/>
      <c r="T2684" s="10"/>
      <c r="U2684" s="10" t="s">
        <v>1529</v>
      </c>
      <c r="V2684" s="10" t="s">
        <v>1529</v>
      </c>
      <c r="W2684" s="50">
        <f>+J2684/$W$2</f>
        <v>1.1217119874160924E-4</v>
      </c>
    </row>
    <row r="2685" spans="1:29">
      <c r="A2685" s="10" t="s">
        <v>1751</v>
      </c>
      <c r="B2685" s="10" t="s">
        <v>358</v>
      </c>
      <c r="C2685" s="124">
        <v>46430</v>
      </c>
      <c r="D2685" s="124" t="s">
        <v>471</v>
      </c>
      <c r="E2685" s="21">
        <v>0.91497059000000003</v>
      </c>
      <c r="F2685" s="10"/>
      <c r="G2685" s="14">
        <v>353613.17</v>
      </c>
      <c r="H2685" s="14">
        <v>323545.65000000002</v>
      </c>
      <c r="I2685" s="14">
        <v>353613.17</v>
      </c>
      <c r="J2685" s="14">
        <v>323545.65000000002</v>
      </c>
      <c r="K2685" s="12">
        <v>2860</v>
      </c>
      <c r="L2685" s="10" t="s">
        <v>101</v>
      </c>
      <c r="M2685" s="10" t="s">
        <v>102</v>
      </c>
      <c r="N2685" s="124" t="s">
        <v>398</v>
      </c>
      <c r="O2685" s="124" t="s">
        <v>398</v>
      </c>
      <c r="P2685" s="21">
        <v>32</v>
      </c>
      <c r="Q2685" s="10" t="s">
        <v>54</v>
      </c>
      <c r="R2685" s="10" t="s">
        <v>28</v>
      </c>
      <c r="S2685" s="10"/>
      <c r="T2685" s="10"/>
      <c r="U2685" s="10" t="s">
        <v>1694</v>
      </c>
      <c r="V2685" s="10" t="s">
        <v>1694</v>
      </c>
      <c r="W2685" s="50">
        <f>+J2685/$W$2</f>
        <v>3.9597605972482966E-6</v>
      </c>
    </row>
    <row r="2686" spans="1:29">
      <c r="A2686" s="10" t="s">
        <v>1754</v>
      </c>
      <c r="B2686" s="10" t="s">
        <v>358</v>
      </c>
      <c r="C2686" s="124">
        <v>46430</v>
      </c>
      <c r="D2686" s="124" t="s">
        <v>471</v>
      </c>
      <c r="E2686" s="21">
        <v>0.91497059000000003</v>
      </c>
      <c r="F2686" s="10"/>
      <c r="G2686" s="14">
        <v>8123170.71</v>
      </c>
      <c r="H2686" s="14">
        <v>7432462.2999999998</v>
      </c>
      <c r="I2686" s="14">
        <v>8123170.71</v>
      </c>
      <c r="J2686" s="14">
        <v>7432462.2999999998</v>
      </c>
      <c r="K2686" s="12">
        <v>11247</v>
      </c>
      <c r="L2686" s="10" t="s">
        <v>101</v>
      </c>
      <c r="M2686" s="10" t="s">
        <v>102</v>
      </c>
      <c r="N2686" s="124" t="s">
        <v>398</v>
      </c>
      <c r="O2686" s="124" t="s">
        <v>398</v>
      </c>
      <c r="P2686" s="21">
        <v>32</v>
      </c>
      <c r="Q2686" s="10" t="s">
        <v>54</v>
      </c>
      <c r="R2686" s="10" t="s">
        <v>28</v>
      </c>
      <c r="S2686" s="10"/>
      <c r="T2686" s="10"/>
      <c r="U2686" s="10" t="s">
        <v>1707</v>
      </c>
      <c r="V2686" s="10" t="s">
        <v>1707</v>
      </c>
      <c r="W2686" s="50">
        <f>+J2686/$W$2</f>
        <v>9.0963273207578119E-5</v>
      </c>
    </row>
    <row r="2687" spans="1:29">
      <c r="A2687" s="10" t="s">
        <v>2826</v>
      </c>
      <c r="B2687" s="10" t="s">
        <v>358</v>
      </c>
      <c r="C2687" s="124">
        <v>46430</v>
      </c>
      <c r="D2687" s="124" t="s">
        <v>471</v>
      </c>
      <c r="E2687" s="21">
        <v>0.91497050000000002</v>
      </c>
      <c r="F2687" s="10"/>
      <c r="G2687" s="14">
        <v>5325299.2</v>
      </c>
      <c r="H2687" s="14">
        <v>4872491.6900000004</v>
      </c>
      <c r="I2687" s="14">
        <v>5325299.2</v>
      </c>
      <c r="J2687" s="14">
        <v>4872491.6900000004</v>
      </c>
      <c r="K2687" s="12">
        <v>52046622</v>
      </c>
      <c r="L2687" s="10" t="s">
        <v>101</v>
      </c>
      <c r="M2687" s="10" t="s">
        <v>102</v>
      </c>
      <c r="N2687" s="124" t="s">
        <v>412</v>
      </c>
      <c r="O2687" s="124" t="s">
        <v>412</v>
      </c>
      <c r="P2687" s="21">
        <v>32</v>
      </c>
      <c r="Q2687" s="10" t="s">
        <v>54</v>
      </c>
      <c r="R2687" s="10" t="s">
        <v>28</v>
      </c>
      <c r="S2687" s="10"/>
      <c r="T2687" s="10"/>
      <c r="U2687" s="10" t="s">
        <v>2778</v>
      </c>
      <c r="V2687" s="10" t="s">
        <v>2778</v>
      </c>
      <c r="W2687" s="50">
        <f>+J2687/$W$2</f>
        <v>5.963269975807668E-5</v>
      </c>
      <c r="AC2687" s="47"/>
    </row>
    <row r="2688" spans="1:29">
      <c r="A2688" s="10" t="s">
        <v>4044</v>
      </c>
      <c r="B2688" s="10" t="s">
        <v>358</v>
      </c>
      <c r="C2688" s="124">
        <v>46430</v>
      </c>
      <c r="D2688" s="124" t="s">
        <v>471</v>
      </c>
      <c r="E2688" s="21">
        <v>0.91985903999999996</v>
      </c>
      <c r="F2688" s="10"/>
      <c r="G2688" s="14">
        <v>15000000</v>
      </c>
      <c r="H2688" s="14">
        <v>13797885.65</v>
      </c>
      <c r="I2688" s="14">
        <v>15000000</v>
      </c>
      <c r="J2688" s="14">
        <v>13797885.65</v>
      </c>
      <c r="K2688" s="12">
        <v>1421</v>
      </c>
      <c r="L2688" s="10" t="s">
        <v>101</v>
      </c>
      <c r="M2688" s="10" t="s">
        <v>102</v>
      </c>
      <c r="N2688" s="124" t="s">
        <v>469</v>
      </c>
      <c r="O2688" s="124" t="s">
        <v>469</v>
      </c>
      <c r="P2688" s="21">
        <v>30</v>
      </c>
      <c r="Q2688" s="10" t="s">
        <v>54</v>
      </c>
      <c r="R2688" s="10" t="s">
        <v>28</v>
      </c>
      <c r="S2688" s="10"/>
      <c r="T2688" s="10"/>
      <c r="U2688" s="10" t="s">
        <v>3958</v>
      </c>
      <c r="V2688" s="10" t="s">
        <v>3958</v>
      </c>
      <c r="W2688" s="50">
        <f>+J2688/$W$2</f>
        <v>1.6886743469494243E-4</v>
      </c>
    </row>
    <row r="2689" spans="1:23">
      <c r="A2689" s="10" t="s">
        <v>506</v>
      </c>
      <c r="B2689" s="10" t="s">
        <v>358</v>
      </c>
      <c r="C2689" s="124">
        <v>46430</v>
      </c>
      <c r="D2689" s="124" t="s">
        <v>471</v>
      </c>
      <c r="E2689" s="21">
        <v>0.92479986000000003</v>
      </c>
      <c r="F2689" s="10"/>
      <c r="G2689" s="14">
        <v>50000000</v>
      </c>
      <c r="H2689" s="14">
        <v>46239992.890000001</v>
      </c>
      <c r="I2689" s="14">
        <v>50000000</v>
      </c>
      <c r="J2689" s="14">
        <v>46239992.890000001</v>
      </c>
      <c r="K2689" s="12">
        <v>68036</v>
      </c>
      <c r="L2689" s="10" t="s">
        <v>101</v>
      </c>
      <c r="M2689" s="10" t="s">
        <v>102</v>
      </c>
      <c r="N2689" s="124" t="s">
        <v>310</v>
      </c>
      <c r="O2689" s="124" t="s">
        <v>310</v>
      </c>
      <c r="P2689" s="21">
        <v>28</v>
      </c>
      <c r="Q2689" s="10" t="s">
        <v>54</v>
      </c>
      <c r="R2689" s="10" t="s">
        <v>28</v>
      </c>
      <c r="S2689" s="10"/>
      <c r="T2689" s="10"/>
      <c r="U2689" s="10" t="s">
        <v>996</v>
      </c>
      <c r="V2689" s="10" t="s">
        <v>996</v>
      </c>
      <c r="W2689" s="50">
        <f>+J2689/$W$2</f>
        <v>5.6591489288409038E-4</v>
      </c>
    </row>
    <row r="2690" spans="1:23">
      <c r="A2690" s="10" t="s">
        <v>623</v>
      </c>
      <c r="B2690" s="10" t="s">
        <v>358</v>
      </c>
      <c r="C2690" s="124">
        <v>46430</v>
      </c>
      <c r="D2690" s="124" t="s">
        <v>471</v>
      </c>
      <c r="E2690" s="21">
        <v>0.91254577000000003</v>
      </c>
      <c r="F2690" s="10"/>
      <c r="G2690" s="14">
        <v>2500000</v>
      </c>
      <c r="H2690" s="14">
        <v>2281364.41</v>
      </c>
      <c r="I2690" s="14">
        <v>2500000</v>
      </c>
      <c r="J2690" s="14">
        <v>2281364.41</v>
      </c>
      <c r="K2690" s="12">
        <v>38</v>
      </c>
      <c r="L2690" s="10" t="s">
        <v>101</v>
      </c>
      <c r="M2690" s="10" t="s">
        <v>102</v>
      </c>
      <c r="N2690" s="124" t="s">
        <v>508</v>
      </c>
      <c r="O2690" s="124" t="s">
        <v>508</v>
      </c>
      <c r="P2690" s="21">
        <v>33</v>
      </c>
      <c r="Q2690" s="10" t="s">
        <v>54</v>
      </c>
      <c r="R2690" s="10" t="s">
        <v>28</v>
      </c>
      <c r="S2690" s="10"/>
      <c r="T2690" s="10"/>
      <c r="U2690" s="10" t="s">
        <v>3007</v>
      </c>
      <c r="V2690" s="10" t="s">
        <v>3007</v>
      </c>
      <c r="W2690" s="50">
        <f>+J2690/$W$2</f>
        <v>2.7920810861412009E-5</v>
      </c>
    </row>
    <row r="2691" spans="1:23">
      <c r="A2691" s="10" t="s">
        <v>574</v>
      </c>
      <c r="B2691" s="10" t="s">
        <v>358</v>
      </c>
      <c r="C2691" s="124">
        <v>46430</v>
      </c>
      <c r="D2691" s="124" t="s">
        <v>471</v>
      </c>
      <c r="E2691" s="21">
        <v>0.91985894999999995</v>
      </c>
      <c r="F2691" s="10"/>
      <c r="G2691" s="14">
        <v>40000000</v>
      </c>
      <c r="H2691" s="14">
        <v>36794357.880000003</v>
      </c>
      <c r="I2691" s="14">
        <v>40000000</v>
      </c>
      <c r="J2691" s="14">
        <v>36794357.880000003</v>
      </c>
      <c r="K2691" s="12">
        <v>90004382</v>
      </c>
      <c r="L2691" s="10" t="s">
        <v>101</v>
      </c>
      <c r="M2691" s="10" t="s">
        <v>102</v>
      </c>
      <c r="N2691" s="124" t="s">
        <v>467</v>
      </c>
      <c r="O2691" s="124" t="s">
        <v>467</v>
      </c>
      <c r="P2691" s="21">
        <v>30</v>
      </c>
      <c r="Q2691" s="10" t="s">
        <v>54</v>
      </c>
      <c r="R2691" s="10" t="s">
        <v>28</v>
      </c>
      <c r="S2691" s="10"/>
      <c r="T2691" s="10"/>
      <c r="U2691" s="10" t="s">
        <v>3764</v>
      </c>
      <c r="V2691" s="10" t="s">
        <v>3764</v>
      </c>
      <c r="W2691" s="50">
        <f>+J2691/$W$2</f>
        <v>4.503131120269315E-4</v>
      </c>
    </row>
    <row r="2692" spans="1:23">
      <c r="A2692" s="10" t="s">
        <v>362</v>
      </c>
      <c r="B2692" s="10" t="s">
        <v>358</v>
      </c>
      <c r="C2692" s="124">
        <v>46430</v>
      </c>
      <c r="D2692" s="124" t="s">
        <v>471</v>
      </c>
      <c r="E2692" s="21">
        <v>0.91254570999999995</v>
      </c>
      <c r="F2692" s="10"/>
      <c r="G2692" s="14">
        <v>13000000</v>
      </c>
      <c r="H2692" s="14">
        <v>11863094.25</v>
      </c>
      <c r="I2692" s="14">
        <v>13000000</v>
      </c>
      <c r="J2692" s="14">
        <v>11863094.25</v>
      </c>
      <c r="K2692" s="12">
        <v>4342</v>
      </c>
      <c r="L2692" s="10" t="s">
        <v>101</v>
      </c>
      <c r="M2692" s="10" t="s">
        <v>102</v>
      </c>
      <c r="N2692" s="124" t="s">
        <v>412</v>
      </c>
      <c r="O2692" s="124" t="s">
        <v>412</v>
      </c>
      <c r="P2692" s="21">
        <v>33</v>
      </c>
      <c r="Q2692" s="10" t="s">
        <v>54</v>
      </c>
      <c r="R2692" s="10" t="s">
        <v>28</v>
      </c>
      <c r="S2692" s="10"/>
      <c r="T2692" s="10"/>
      <c r="U2692" s="10" t="s">
        <v>2799</v>
      </c>
      <c r="V2692" s="10" t="s">
        <v>2799</v>
      </c>
      <c r="W2692" s="50">
        <f>+J2692/$W$2</f>
        <v>1.4518820813258602E-4</v>
      </c>
    </row>
    <row r="2693" spans="1:23">
      <c r="A2693" s="10" t="s">
        <v>362</v>
      </c>
      <c r="B2693" s="10" t="s">
        <v>358</v>
      </c>
      <c r="C2693" s="124">
        <v>46430</v>
      </c>
      <c r="D2693" s="124" t="s">
        <v>471</v>
      </c>
      <c r="E2693" s="21">
        <v>0.91254583</v>
      </c>
      <c r="F2693" s="10"/>
      <c r="G2693" s="14">
        <v>13000000</v>
      </c>
      <c r="H2693" s="14">
        <v>11863095.83</v>
      </c>
      <c r="I2693" s="14">
        <v>13000000</v>
      </c>
      <c r="J2693" s="14">
        <v>11863095.83</v>
      </c>
      <c r="K2693" s="12">
        <v>4372</v>
      </c>
      <c r="L2693" s="10" t="s">
        <v>101</v>
      </c>
      <c r="M2693" s="10" t="s">
        <v>102</v>
      </c>
      <c r="N2693" s="124" t="s">
        <v>446</v>
      </c>
      <c r="O2693" s="124" t="s">
        <v>446</v>
      </c>
      <c r="P2693" s="21">
        <v>33</v>
      </c>
      <c r="Q2693" s="10" t="s">
        <v>54</v>
      </c>
      <c r="R2693" s="10" t="s">
        <v>28</v>
      </c>
      <c r="S2693" s="10"/>
      <c r="T2693" s="10"/>
      <c r="U2693" s="10" t="s">
        <v>3088</v>
      </c>
      <c r="V2693" s="10" t="s">
        <v>3088</v>
      </c>
      <c r="W2693" s="50">
        <f>+J2693/$W$2</f>
        <v>1.4518822746964632E-4</v>
      </c>
    </row>
    <row r="2694" spans="1:23">
      <c r="A2694" s="10" t="s">
        <v>433</v>
      </c>
      <c r="B2694" s="10" t="s">
        <v>358</v>
      </c>
      <c r="C2694" s="124">
        <v>46430</v>
      </c>
      <c r="D2694" s="124" t="s">
        <v>471</v>
      </c>
      <c r="E2694" s="21">
        <v>0.91497059999999997</v>
      </c>
      <c r="F2694" s="10"/>
      <c r="G2694" s="14">
        <v>10000000</v>
      </c>
      <c r="H2694" s="14">
        <v>9149706.0299999993</v>
      </c>
      <c r="I2694" s="14">
        <v>10000000</v>
      </c>
      <c r="J2694" s="14">
        <v>9149706.0299999993</v>
      </c>
      <c r="K2694" s="12">
        <v>14822653</v>
      </c>
      <c r="L2694" s="10" t="s">
        <v>101</v>
      </c>
      <c r="M2694" s="10" t="s">
        <v>102</v>
      </c>
      <c r="N2694" s="124" t="s">
        <v>469</v>
      </c>
      <c r="O2694" s="124" t="s">
        <v>469</v>
      </c>
      <c r="P2694" s="21">
        <v>32</v>
      </c>
      <c r="Q2694" s="10" t="s">
        <v>54</v>
      </c>
      <c r="R2694" s="10" t="s">
        <v>28</v>
      </c>
      <c r="S2694" s="10"/>
      <c r="T2694" s="10"/>
      <c r="U2694" s="10" t="s">
        <v>3992</v>
      </c>
      <c r="V2694" s="10" t="s">
        <v>3992</v>
      </c>
      <c r="W2694" s="50">
        <f>+J2694/$W$2</f>
        <v>1.1198001090108656E-4</v>
      </c>
    </row>
    <row r="2695" spans="1:23">
      <c r="A2695" s="10" t="s">
        <v>3793</v>
      </c>
      <c r="B2695" s="10" t="s">
        <v>358</v>
      </c>
      <c r="C2695" s="124">
        <v>46430</v>
      </c>
      <c r="D2695" s="124" t="s">
        <v>471</v>
      </c>
      <c r="E2695" s="21">
        <v>0.90773448000000001</v>
      </c>
      <c r="F2695" s="10"/>
      <c r="G2695" s="14">
        <v>7345493.4699999997</v>
      </c>
      <c r="H2695" s="14">
        <v>6667757.7000000002</v>
      </c>
      <c r="I2695" s="14">
        <v>7345493.4699999997</v>
      </c>
      <c r="J2695" s="14">
        <v>6667757.7000000002</v>
      </c>
      <c r="K2695" s="12">
        <v>41018389</v>
      </c>
      <c r="L2695" s="10" t="s">
        <v>101</v>
      </c>
      <c r="M2695" s="10" t="s">
        <v>102</v>
      </c>
      <c r="N2695" s="124" t="s">
        <v>467</v>
      </c>
      <c r="O2695" s="124" t="s">
        <v>467</v>
      </c>
      <c r="P2695" s="21">
        <v>35</v>
      </c>
      <c r="Q2695" s="10" t="s">
        <v>54</v>
      </c>
      <c r="R2695" s="10" t="s">
        <v>28</v>
      </c>
      <c r="S2695" s="10"/>
      <c r="T2695" s="10"/>
      <c r="U2695" s="10" t="s">
        <v>3749</v>
      </c>
      <c r="V2695" s="10" t="s">
        <v>3749</v>
      </c>
      <c r="W2695" s="50">
        <f>+J2695/$W$2</f>
        <v>8.1604324497822574E-5</v>
      </c>
    </row>
    <row r="2696" spans="1:23">
      <c r="A2696" s="10" t="s">
        <v>438</v>
      </c>
      <c r="B2696" s="10" t="s">
        <v>358</v>
      </c>
      <c r="C2696" s="124">
        <v>46430</v>
      </c>
      <c r="D2696" s="124" t="s">
        <v>471</v>
      </c>
      <c r="E2696" s="21">
        <v>0.92232296999999996</v>
      </c>
      <c r="F2696" s="10"/>
      <c r="G2696" s="14">
        <v>30000000</v>
      </c>
      <c r="H2696" s="14">
        <v>27669689.23</v>
      </c>
      <c r="I2696" s="14">
        <v>30000000</v>
      </c>
      <c r="J2696" s="14">
        <v>27669689.23</v>
      </c>
      <c r="K2696" s="12">
        <v>327</v>
      </c>
      <c r="L2696" s="10" t="s">
        <v>101</v>
      </c>
      <c r="M2696" s="10" t="s">
        <v>102</v>
      </c>
      <c r="N2696" s="124" t="s">
        <v>471</v>
      </c>
      <c r="O2696" s="124" t="s">
        <v>471</v>
      </c>
      <c r="P2696" s="21">
        <v>29</v>
      </c>
      <c r="Q2696" s="10" t="s">
        <v>54</v>
      </c>
      <c r="R2696" s="10" t="s">
        <v>28</v>
      </c>
      <c r="S2696" s="10"/>
      <c r="T2696" s="10"/>
      <c r="U2696" s="10" t="s">
        <v>4096</v>
      </c>
      <c r="V2696" s="10" t="s">
        <v>4096</v>
      </c>
      <c r="W2696" s="50">
        <f>+J2696/$W$2</f>
        <v>3.3863952475040091E-4</v>
      </c>
    </row>
    <row r="2697" spans="1:23">
      <c r="A2697" s="10" t="s">
        <v>3066</v>
      </c>
      <c r="B2697" s="10" t="s">
        <v>358</v>
      </c>
      <c r="C2697" s="124">
        <v>46430</v>
      </c>
      <c r="D2697" s="124" t="s">
        <v>471</v>
      </c>
      <c r="E2697" s="21">
        <v>0.91985899999999998</v>
      </c>
      <c r="F2697" s="10"/>
      <c r="G2697" s="14">
        <v>2624182.96</v>
      </c>
      <c r="H2697" s="14">
        <v>2413878.31</v>
      </c>
      <c r="I2697" s="14">
        <v>2624182.96</v>
      </c>
      <c r="J2697" s="14">
        <v>2413878.31</v>
      </c>
      <c r="K2697" s="12">
        <v>16108037</v>
      </c>
      <c r="L2697" s="10" t="s">
        <v>101</v>
      </c>
      <c r="M2697" s="10" t="s">
        <v>102</v>
      </c>
      <c r="N2697" s="124" t="s">
        <v>508</v>
      </c>
      <c r="O2697" s="124" t="s">
        <v>508</v>
      </c>
      <c r="P2697" s="21">
        <v>30</v>
      </c>
      <c r="Q2697" s="10" t="s">
        <v>54</v>
      </c>
      <c r="R2697" s="10" t="s">
        <v>28</v>
      </c>
      <c r="S2697" s="10"/>
      <c r="T2697" s="10"/>
      <c r="U2697" s="10" t="s">
        <v>3001</v>
      </c>
      <c r="V2697" s="10" t="s">
        <v>3001</v>
      </c>
      <c r="W2697" s="50">
        <f>+J2697/$W$2</f>
        <v>2.9542601541669032E-5</v>
      </c>
    </row>
    <row r="2698" spans="1:23">
      <c r="A2698" s="10" t="s">
        <v>390</v>
      </c>
      <c r="B2698" s="10" t="s">
        <v>833</v>
      </c>
      <c r="C2698" s="124">
        <v>46430</v>
      </c>
      <c r="D2698" s="124" t="s">
        <v>471</v>
      </c>
      <c r="E2698" s="21">
        <v>0.96227309999999999</v>
      </c>
      <c r="F2698" s="10" t="s">
        <v>3851</v>
      </c>
      <c r="G2698" s="14">
        <v>5817.6</v>
      </c>
      <c r="H2698" s="14">
        <v>5598.12</v>
      </c>
      <c r="I2698" s="14">
        <v>9075456.5800000001</v>
      </c>
      <c r="J2698" s="14">
        <v>8733067.7599999998</v>
      </c>
      <c r="K2698" s="12">
        <v>60</v>
      </c>
      <c r="L2698" s="10" t="s">
        <v>101</v>
      </c>
      <c r="M2698" s="10" t="s">
        <v>102</v>
      </c>
      <c r="N2698" s="124" t="s">
        <v>471</v>
      </c>
      <c r="O2698" s="124" t="s">
        <v>471</v>
      </c>
      <c r="P2698" s="21">
        <v>13.5</v>
      </c>
      <c r="Q2698" s="10" t="s">
        <v>54</v>
      </c>
      <c r="R2698" s="10" t="s">
        <v>28</v>
      </c>
      <c r="S2698" s="10"/>
      <c r="T2698" s="10"/>
      <c r="U2698" s="10" t="s">
        <v>4159</v>
      </c>
      <c r="V2698" s="10" t="s">
        <v>4159</v>
      </c>
      <c r="W2698" s="50">
        <f>+J2698/$W$2</f>
        <v>1.0688092270487161E-4</v>
      </c>
    </row>
    <row r="2699" spans="1:23">
      <c r="A2699" s="10" t="s">
        <v>390</v>
      </c>
      <c r="B2699" s="10" t="s">
        <v>833</v>
      </c>
      <c r="C2699" s="124">
        <v>46430</v>
      </c>
      <c r="D2699" s="124" t="s">
        <v>471</v>
      </c>
      <c r="E2699" s="21">
        <v>0.96227496999999995</v>
      </c>
      <c r="F2699" s="10" t="s">
        <v>3851</v>
      </c>
      <c r="G2699" s="14">
        <v>3067.99</v>
      </c>
      <c r="H2699" s="14">
        <v>2952.25</v>
      </c>
      <c r="I2699" s="14">
        <v>4786064.71</v>
      </c>
      <c r="J2699" s="14">
        <v>4605510.29</v>
      </c>
      <c r="K2699" s="12">
        <v>61</v>
      </c>
      <c r="L2699" s="10" t="s">
        <v>101</v>
      </c>
      <c r="M2699" s="10" t="s">
        <v>102</v>
      </c>
      <c r="N2699" s="124" t="s">
        <v>471</v>
      </c>
      <c r="O2699" s="124" t="s">
        <v>471</v>
      </c>
      <c r="P2699" s="21">
        <v>13.5</v>
      </c>
      <c r="Q2699" s="10" t="s">
        <v>54</v>
      </c>
      <c r="R2699" s="10" t="s">
        <v>28</v>
      </c>
      <c r="S2699" s="10"/>
      <c r="T2699" s="10"/>
      <c r="U2699" s="10" t="s">
        <v>4160</v>
      </c>
      <c r="V2699" s="10" t="s">
        <v>4160</v>
      </c>
      <c r="W2699" s="50">
        <f>+J2699/$W$2</f>
        <v>5.636520897920765E-5</v>
      </c>
    </row>
    <row r="2700" spans="1:23">
      <c r="A2700" s="10" t="s">
        <v>2016</v>
      </c>
      <c r="B2700" s="10" t="s">
        <v>358</v>
      </c>
      <c r="C2700" s="124">
        <v>46433</v>
      </c>
      <c r="D2700" s="124" t="s">
        <v>471</v>
      </c>
      <c r="E2700" s="21">
        <v>0.92029974999999997</v>
      </c>
      <c r="F2700" s="10"/>
      <c r="G2700" s="14">
        <v>20000000</v>
      </c>
      <c r="H2700" s="14">
        <v>18405994.969999999</v>
      </c>
      <c r="I2700" s="14">
        <v>20000000</v>
      </c>
      <c r="J2700" s="14">
        <v>18405994.969999999</v>
      </c>
      <c r="K2700" s="12">
        <v>5325</v>
      </c>
      <c r="L2700" s="10" t="s">
        <v>101</v>
      </c>
      <c r="M2700" s="10" t="s">
        <v>102</v>
      </c>
      <c r="N2700" s="124" t="s">
        <v>469</v>
      </c>
      <c r="O2700" s="124" t="s">
        <v>469</v>
      </c>
      <c r="P2700" s="21">
        <v>29</v>
      </c>
      <c r="Q2700" s="10" t="s">
        <v>54</v>
      </c>
      <c r="R2700" s="10" t="s">
        <v>28</v>
      </c>
      <c r="S2700" s="10"/>
      <c r="T2700" s="10"/>
      <c r="U2700" s="10" t="s">
        <v>3908</v>
      </c>
      <c r="V2700" s="10" t="s">
        <v>3908</v>
      </c>
      <c r="W2700" s="50">
        <f>+J2700/$W$2</f>
        <v>2.2526445228163733E-4</v>
      </c>
    </row>
    <row r="2701" spans="1:23">
      <c r="A2701" s="10" t="s">
        <v>1755</v>
      </c>
      <c r="B2701" s="10" t="s">
        <v>358</v>
      </c>
      <c r="C2701" s="124">
        <v>46433</v>
      </c>
      <c r="D2701" s="124" t="s">
        <v>471</v>
      </c>
      <c r="E2701" s="21">
        <v>0.91277383000000001</v>
      </c>
      <c r="F2701" s="10"/>
      <c r="G2701" s="14">
        <v>1129854.56</v>
      </c>
      <c r="H2701" s="14">
        <v>1031301.67</v>
      </c>
      <c r="I2701" s="14">
        <v>1129854.56</v>
      </c>
      <c r="J2701" s="14">
        <v>1031301.67</v>
      </c>
      <c r="K2701" s="12">
        <v>1027</v>
      </c>
      <c r="L2701" s="10" t="s">
        <v>101</v>
      </c>
      <c r="M2701" s="10" t="s">
        <v>102</v>
      </c>
      <c r="N2701" s="124" t="s">
        <v>398</v>
      </c>
      <c r="O2701" s="124" t="s">
        <v>398</v>
      </c>
      <c r="P2701" s="21">
        <v>32</v>
      </c>
      <c r="Q2701" s="10" t="s">
        <v>54</v>
      </c>
      <c r="R2701" s="10" t="s">
        <v>28</v>
      </c>
      <c r="S2701" s="10"/>
      <c r="T2701" s="10"/>
      <c r="U2701" s="10" t="s">
        <v>1714</v>
      </c>
      <c r="V2701" s="10" t="s">
        <v>1714</v>
      </c>
      <c r="W2701" s="50">
        <f>+J2701/$W$2</f>
        <v>1.2621735809899981E-5</v>
      </c>
    </row>
    <row r="2702" spans="1:23">
      <c r="A2702" s="10" t="s">
        <v>3573</v>
      </c>
      <c r="B2702" s="10" t="s">
        <v>358</v>
      </c>
      <c r="C2702" s="124">
        <v>46433</v>
      </c>
      <c r="D2702" s="124" t="s">
        <v>471</v>
      </c>
      <c r="E2702" s="21">
        <v>0.91777744000000006</v>
      </c>
      <c r="F2702" s="10"/>
      <c r="G2702" s="14">
        <v>2012911.53</v>
      </c>
      <c r="H2702" s="14">
        <v>1847404.79</v>
      </c>
      <c r="I2702" s="14">
        <v>2012911.53</v>
      </c>
      <c r="J2702" s="14">
        <v>1847404.79</v>
      </c>
      <c r="K2702" s="12">
        <v>70556164</v>
      </c>
      <c r="L2702" s="10" t="s">
        <v>101</v>
      </c>
      <c r="M2702" s="10" t="s">
        <v>102</v>
      </c>
      <c r="N2702" s="124" t="s">
        <v>451</v>
      </c>
      <c r="O2702" s="124" t="s">
        <v>451</v>
      </c>
      <c r="P2702" s="21">
        <v>30</v>
      </c>
      <c r="Q2702" s="10" t="s">
        <v>54</v>
      </c>
      <c r="R2702" s="10" t="s">
        <v>28</v>
      </c>
      <c r="S2702" s="10"/>
      <c r="T2702" s="10"/>
      <c r="U2702" s="10" t="s">
        <v>3541</v>
      </c>
      <c r="V2702" s="10" t="s">
        <v>3541</v>
      </c>
      <c r="W2702" s="50">
        <f>+J2702/$W$2</f>
        <v>2.2609732798477629E-5</v>
      </c>
    </row>
    <row r="2703" spans="1:23">
      <c r="A2703" s="10" t="s">
        <v>3576</v>
      </c>
      <c r="B2703" s="10" t="s">
        <v>358</v>
      </c>
      <c r="C2703" s="124">
        <v>46433</v>
      </c>
      <c r="D2703" s="124" t="s">
        <v>471</v>
      </c>
      <c r="E2703" s="21">
        <v>0.90782494999999996</v>
      </c>
      <c r="F2703" s="10"/>
      <c r="G2703" s="14">
        <v>1049734.68</v>
      </c>
      <c r="H2703" s="14">
        <v>952975.33</v>
      </c>
      <c r="I2703" s="14">
        <v>1049734.68</v>
      </c>
      <c r="J2703" s="14">
        <v>952975.33</v>
      </c>
      <c r="K2703" s="12">
        <v>1544</v>
      </c>
      <c r="L2703" s="10" t="s">
        <v>101</v>
      </c>
      <c r="M2703" s="10" t="s">
        <v>102</v>
      </c>
      <c r="N2703" s="124" t="s">
        <v>451</v>
      </c>
      <c r="O2703" s="124" t="s">
        <v>451</v>
      </c>
      <c r="P2703" s="21">
        <v>34</v>
      </c>
      <c r="Q2703" s="10" t="s">
        <v>54</v>
      </c>
      <c r="R2703" s="10" t="s">
        <v>28</v>
      </c>
      <c r="S2703" s="10"/>
      <c r="T2703" s="10"/>
      <c r="U2703" s="10" t="s">
        <v>3479</v>
      </c>
      <c r="V2703" s="10" t="s">
        <v>3479</v>
      </c>
      <c r="W2703" s="50">
        <f>+J2703/$W$2</f>
        <v>1.1663127481033024E-5</v>
      </c>
    </row>
    <row r="2704" spans="1:23">
      <c r="A2704" s="10" t="s">
        <v>432</v>
      </c>
      <c r="B2704" s="10" t="s">
        <v>125</v>
      </c>
      <c r="C2704" s="124">
        <v>46433</v>
      </c>
      <c r="D2704" s="124" t="s">
        <v>471</v>
      </c>
      <c r="E2704" s="21">
        <v>0.97666649000000005</v>
      </c>
      <c r="F2704" s="10" t="s">
        <v>4162</v>
      </c>
      <c r="G2704" s="14">
        <v>18230</v>
      </c>
      <c r="H2704" s="14">
        <v>17804.63</v>
      </c>
      <c r="I2704" s="14">
        <v>28066780.77</v>
      </c>
      <c r="J2704" s="14">
        <v>27411884.09</v>
      </c>
      <c r="K2704" s="12">
        <v>146450</v>
      </c>
      <c r="L2704" s="10" t="s">
        <v>101</v>
      </c>
      <c r="M2704" s="10" t="s">
        <v>102</v>
      </c>
      <c r="N2704" s="124" t="s">
        <v>294</v>
      </c>
      <c r="O2704" s="124" t="s">
        <v>294</v>
      </c>
      <c r="P2704" s="21">
        <v>8</v>
      </c>
      <c r="Q2704" s="10" t="s">
        <v>54</v>
      </c>
      <c r="R2704" s="10" t="s">
        <v>28</v>
      </c>
      <c r="S2704" s="10"/>
      <c r="T2704" s="10"/>
      <c r="U2704" s="10" t="s">
        <v>430</v>
      </c>
      <c r="V2704" s="10" t="s">
        <v>430</v>
      </c>
      <c r="W2704" s="50">
        <f>+J2704/$W$2</f>
        <v>3.3548433896706529E-4</v>
      </c>
    </row>
    <row r="2705" spans="1:23">
      <c r="A2705" s="10" t="s">
        <v>2671</v>
      </c>
      <c r="B2705" s="10" t="s">
        <v>358</v>
      </c>
      <c r="C2705" s="124">
        <v>46433</v>
      </c>
      <c r="D2705" s="124" t="s">
        <v>471</v>
      </c>
      <c r="E2705" s="21">
        <v>0.91277392999999996</v>
      </c>
      <c r="F2705" s="10"/>
      <c r="G2705" s="14">
        <v>1211583.6200000001</v>
      </c>
      <c r="H2705" s="14">
        <v>1105901.94</v>
      </c>
      <c r="I2705" s="14">
        <v>1211583.6200000001</v>
      </c>
      <c r="J2705" s="14">
        <v>1105901.94</v>
      </c>
      <c r="K2705" s="12">
        <v>81825816</v>
      </c>
      <c r="L2705" s="10" t="s">
        <v>101</v>
      </c>
      <c r="M2705" s="10" t="s">
        <v>102</v>
      </c>
      <c r="N2705" s="124" t="s">
        <v>603</v>
      </c>
      <c r="O2705" s="124" t="s">
        <v>603</v>
      </c>
      <c r="P2705" s="21">
        <v>32</v>
      </c>
      <c r="Q2705" s="10" t="s">
        <v>54</v>
      </c>
      <c r="R2705" s="10" t="s">
        <v>28</v>
      </c>
      <c r="S2705" s="10"/>
      <c r="T2705" s="10"/>
      <c r="U2705" s="10" t="s">
        <v>2566</v>
      </c>
      <c r="V2705" s="10" t="s">
        <v>2566</v>
      </c>
      <c r="W2705" s="50">
        <f>+J2705/$W$2</f>
        <v>1.3534742087963319E-5</v>
      </c>
    </row>
    <row r="2706" spans="1:23">
      <c r="A2706" s="10" t="s">
        <v>2016</v>
      </c>
      <c r="B2706" s="10" t="s">
        <v>358</v>
      </c>
      <c r="C2706" s="124">
        <v>46434</v>
      </c>
      <c r="D2706" s="124" t="s">
        <v>471</v>
      </c>
      <c r="E2706" s="21">
        <v>0.91962725000000001</v>
      </c>
      <c r="F2706" s="10"/>
      <c r="G2706" s="14">
        <v>20000000</v>
      </c>
      <c r="H2706" s="14">
        <v>18392545.059999999</v>
      </c>
      <c r="I2706" s="14">
        <v>20000000</v>
      </c>
      <c r="J2706" s="14">
        <v>18392545.059999999</v>
      </c>
      <c r="K2706" s="12">
        <v>5326</v>
      </c>
      <c r="L2706" s="10" t="s">
        <v>101</v>
      </c>
      <c r="M2706" s="10" t="s">
        <v>102</v>
      </c>
      <c r="N2706" s="124" t="s">
        <v>469</v>
      </c>
      <c r="O2706" s="124" t="s">
        <v>469</v>
      </c>
      <c r="P2706" s="21">
        <v>29</v>
      </c>
      <c r="Q2706" s="10" t="s">
        <v>54</v>
      </c>
      <c r="R2706" s="10" t="s">
        <v>28</v>
      </c>
      <c r="S2706" s="10"/>
      <c r="T2706" s="10"/>
      <c r="U2706" s="10" t="s">
        <v>3919</v>
      </c>
      <c r="V2706" s="10" t="s">
        <v>3919</v>
      </c>
      <c r="W2706" s="50">
        <f>+J2706/$W$2</f>
        <v>2.2509984359765552E-4</v>
      </c>
    </row>
    <row r="2707" spans="1:23">
      <c r="A2707" s="10" t="s">
        <v>443</v>
      </c>
      <c r="B2707" s="10" t="s">
        <v>358</v>
      </c>
      <c r="C2707" s="124">
        <v>46434</v>
      </c>
      <c r="D2707" s="124" t="s">
        <v>471</v>
      </c>
      <c r="E2707" s="21">
        <v>0.91455788000000005</v>
      </c>
      <c r="F2707" s="10"/>
      <c r="G2707" s="14">
        <v>3700000</v>
      </c>
      <c r="H2707" s="14">
        <v>3383864.15</v>
      </c>
      <c r="I2707" s="14">
        <v>3700000</v>
      </c>
      <c r="J2707" s="14">
        <v>3383864.15</v>
      </c>
      <c r="K2707" s="12">
        <v>164553</v>
      </c>
      <c r="L2707" s="10" t="s">
        <v>101</v>
      </c>
      <c r="M2707" s="10" t="s">
        <v>102</v>
      </c>
      <c r="N2707" s="124" t="s">
        <v>449</v>
      </c>
      <c r="O2707" s="124" t="s">
        <v>449</v>
      </c>
      <c r="P2707" s="21">
        <v>31</v>
      </c>
      <c r="Q2707" s="10" t="s">
        <v>54</v>
      </c>
      <c r="R2707" s="10" t="s">
        <v>28</v>
      </c>
      <c r="S2707" s="10"/>
      <c r="T2707" s="10"/>
      <c r="U2707" s="10" t="s">
        <v>1910</v>
      </c>
      <c r="V2707" s="10" t="s">
        <v>1910</v>
      </c>
      <c r="W2707" s="50">
        <f>+J2707/$W$2</f>
        <v>4.1413914628773711E-5</v>
      </c>
    </row>
    <row r="2708" spans="1:23">
      <c r="A2708" s="10" t="s">
        <v>1753</v>
      </c>
      <c r="B2708" s="10" t="s">
        <v>358</v>
      </c>
      <c r="C2708" s="124">
        <v>46434</v>
      </c>
      <c r="D2708" s="124" t="s">
        <v>471</v>
      </c>
      <c r="E2708" s="21">
        <v>0.91204412000000001</v>
      </c>
      <c r="F2708" s="10"/>
      <c r="G2708" s="14">
        <v>1264579.98</v>
      </c>
      <c r="H2708" s="14">
        <v>1153352.74</v>
      </c>
      <c r="I2708" s="14">
        <v>1264579.98</v>
      </c>
      <c r="J2708" s="14">
        <v>1153352.74</v>
      </c>
      <c r="K2708" s="12">
        <v>798</v>
      </c>
      <c r="L2708" s="10" t="s">
        <v>101</v>
      </c>
      <c r="M2708" s="10" t="s">
        <v>102</v>
      </c>
      <c r="N2708" s="124" t="s">
        <v>398</v>
      </c>
      <c r="O2708" s="124" t="s">
        <v>398</v>
      </c>
      <c r="P2708" s="21">
        <v>32</v>
      </c>
      <c r="Q2708" s="10" t="s">
        <v>54</v>
      </c>
      <c r="R2708" s="10" t="s">
        <v>28</v>
      </c>
      <c r="S2708" s="10"/>
      <c r="T2708" s="10"/>
      <c r="U2708" s="10" t="s">
        <v>1701</v>
      </c>
      <c r="V2708" s="10" t="s">
        <v>1701</v>
      </c>
      <c r="W2708" s="50">
        <f>+J2708/$W$2</f>
        <v>1.4115475620149303E-5</v>
      </c>
    </row>
    <row r="2709" spans="1:23">
      <c r="A2709" s="10" t="s">
        <v>265</v>
      </c>
      <c r="B2709" s="10" t="s">
        <v>358</v>
      </c>
      <c r="C2709" s="124">
        <v>46434</v>
      </c>
      <c r="D2709" s="124" t="s">
        <v>471</v>
      </c>
      <c r="E2709" s="21">
        <v>0.91204410000000002</v>
      </c>
      <c r="F2709" s="10"/>
      <c r="G2709" s="14">
        <v>50000000</v>
      </c>
      <c r="H2709" s="14">
        <v>45602204.920000002</v>
      </c>
      <c r="I2709" s="14">
        <v>50000000</v>
      </c>
      <c r="J2709" s="14">
        <v>45602204.920000002</v>
      </c>
      <c r="K2709" s="12">
        <v>40679255</v>
      </c>
      <c r="L2709" s="10" t="s">
        <v>101</v>
      </c>
      <c r="M2709" s="10" t="s">
        <v>102</v>
      </c>
      <c r="N2709" s="124" t="s">
        <v>410</v>
      </c>
      <c r="O2709" s="124" t="s">
        <v>410</v>
      </c>
      <c r="P2709" s="21">
        <v>32</v>
      </c>
      <c r="Q2709" s="10" t="s">
        <v>54</v>
      </c>
      <c r="R2709" s="10" t="s">
        <v>28</v>
      </c>
      <c r="S2709" s="10"/>
      <c r="T2709" s="10"/>
      <c r="U2709" s="10" t="s">
        <v>1245</v>
      </c>
      <c r="V2709" s="10" t="s">
        <v>1245</v>
      </c>
      <c r="W2709" s="50">
        <f>+J2709/$W$2</f>
        <v>5.5810923184984379E-4</v>
      </c>
    </row>
    <row r="2710" spans="1:23">
      <c r="A2710" s="10" t="s">
        <v>3777</v>
      </c>
      <c r="B2710" s="10" t="s">
        <v>358</v>
      </c>
      <c r="C2710" s="124">
        <v>46434</v>
      </c>
      <c r="D2710" s="124" t="s">
        <v>471</v>
      </c>
      <c r="E2710" s="21">
        <v>0.90954404</v>
      </c>
      <c r="F2710" s="10"/>
      <c r="G2710" s="14">
        <v>11276671.109999999</v>
      </c>
      <c r="H2710" s="14">
        <v>10256628.99</v>
      </c>
      <c r="I2710" s="14">
        <v>11276671.109999999</v>
      </c>
      <c r="J2710" s="14">
        <v>10256628.99</v>
      </c>
      <c r="K2710" s="12">
        <v>2743</v>
      </c>
      <c r="L2710" s="10" t="s">
        <v>101</v>
      </c>
      <c r="M2710" s="10" t="s">
        <v>102</v>
      </c>
      <c r="N2710" s="124" t="s">
        <v>467</v>
      </c>
      <c r="O2710" s="124" t="s">
        <v>467</v>
      </c>
      <c r="P2710" s="21">
        <v>33</v>
      </c>
      <c r="Q2710" s="10" t="s">
        <v>54</v>
      </c>
      <c r="R2710" s="10" t="s">
        <v>28</v>
      </c>
      <c r="S2710" s="10"/>
      <c r="T2710" s="10"/>
      <c r="U2710" s="10" t="s">
        <v>3693</v>
      </c>
      <c r="V2710" s="10" t="s">
        <v>3693</v>
      </c>
      <c r="W2710" s="50">
        <f>+J2710/$W$2</f>
        <v>1.2552724889114284E-4</v>
      </c>
    </row>
    <row r="2711" spans="1:23">
      <c r="A2711" s="10" t="s">
        <v>641</v>
      </c>
      <c r="B2711" s="10" t="s">
        <v>358</v>
      </c>
      <c r="C2711" s="124">
        <v>46434</v>
      </c>
      <c r="D2711" s="124" t="s">
        <v>471</v>
      </c>
      <c r="E2711" s="21">
        <v>0.91708546000000002</v>
      </c>
      <c r="F2711" s="10"/>
      <c r="G2711" s="14">
        <v>12500000</v>
      </c>
      <c r="H2711" s="14">
        <v>11463568.220000001</v>
      </c>
      <c r="I2711" s="14">
        <v>12500000</v>
      </c>
      <c r="J2711" s="14">
        <v>11463568.220000001</v>
      </c>
      <c r="K2711" s="12">
        <v>241</v>
      </c>
      <c r="L2711" s="10" t="s">
        <v>101</v>
      </c>
      <c r="M2711" s="10" t="s">
        <v>102</v>
      </c>
      <c r="N2711" s="124" t="s">
        <v>317</v>
      </c>
      <c r="O2711" s="124" t="s">
        <v>317</v>
      </c>
      <c r="P2711" s="21">
        <v>30</v>
      </c>
      <c r="Q2711" s="10" t="s">
        <v>54</v>
      </c>
      <c r="R2711" s="10" t="s">
        <v>28</v>
      </c>
      <c r="S2711" s="10"/>
      <c r="T2711" s="10"/>
      <c r="U2711" s="10" t="s">
        <v>631</v>
      </c>
      <c r="V2711" s="10" t="s">
        <v>631</v>
      </c>
      <c r="W2711" s="50">
        <f>+J2711/$W$2</f>
        <v>1.4029855057987579E-4</v>
      </c>
    </row>
    <row r="2712" spans="1:23">
      <c r="A2712" s="10" t="s">
        <v>364</v>
      </c>
      <c r="B2712" s="10" t="s">
        <v>358</v>
      </c>
      <c r="C2712" s="124">
        <v>46434</v>
      </c>
      <c r="D2712" s="124" t="s">
        <v>471</v>
      </c>
      <c r="E2712" s="21">
        <v>0.90954404</v>
      </c>
      <c r="F2712" s="10"/>
      <c r="G2712" s="14">
        <v>11321347.060000001</v>
      </c>
      <c r="H2712" s="14">
        <v>10297263.74</v>
      </c>
      <c r="I2712" s="14">
        <v>11321347.060000001</v>
      </c>
      <c r="J2712" s="14">
        <v>10297263.74</v>
      </c>
      <c r="K2712" s="12">
        <v>31225</v>
      </c>
      <c r="L2712" s="10" t="s">
        <v>101</v>
      </c>
      <c r="M2712" s="10" t="s">
        <v>102</v>
      </c>
      <c r="N2712" s="124" t="s">
        <v>467</v>
      </c>
      <c r="O2712" s="124" t="s">
        <v>467</v>
      </c>
      <c r="P2712" s="21">
        <v>33</v>
      </c>
      <c r="Q2712" s="10" t="s">
        <v>54</v>
      </c>
      <c r="R2712" s="10" t="s">
        <v>28</v>
      </c>
      <c r="S2712" s="10"/>
      <c r="T2712" s="10"/>
      <c r="U2712" s="10" t="s">
        <v>3666</v>
      </c>
      <c r="V2712" s="10" t="s">
        <v>3666</v>
      </c>
      <c r="W2712" s="50">
        <f>+J2712/$W$2</f>
        <v>1.2602456320190251E-4</v>
      </c>
    </row>
    <row r="2713" spans="1:23">
      <c r="A2713" s="10" t="s">
        <v>2822</v>
      </c>
      <c r="B2713" s="10" t="s">
        <v>358</v>
      </c>
      <c r="C2713" s="124">
        <v>46434</v>
      </c>
      <c r="D2713" s="124" t="s">
        <v>471</v>
      </c>
      <c r="E2713" s="21">
        <v>0.91204403000000001</v>
      </c>
      <c r="F2713" s="10"/>
      <c r="G2713" s="14">
        <v>1858362</v>
      </c>
      <c r="H2713" s="14">
        <v>1694907.96</v>
      </c>
      <c r="I2713" s="14">
        <v>1858362</v>
      </c>
      <c r="J2713" s="14">
        <v>1694907.96</v>
      </c>
      <c r="K2713" s="12">
        <v>1490</v>
      </c>
      <c r="L2713" s="10" t="s">
        <v>101</v>
      </c>
      <c r="M2713" s="10" t="s">
        <v>102</v>
      </c>
      <c r="N2713" s="124" t="s">
        <v>412</v>
      </c>
      <c r="O2713" s="124" t="s">
        <v>412</v>
      </c>
      <c r="P2713" s="21">
        <v>32</v>
      </c>
      <c r="Q2713" s="10" t="s">
        <v>54</v>
      </c>
      <c r="R2713" s="10" t="s">
        <v>28</v>
      </c>
      <c r="S2713" s="10"/>
      <c r="T2713" s="10"/>
      <c r="U2713" s="10" t="s">
        <v>2769</v>
      </c>
      <c r="V2713" s="10" t="s">
        <v>2769</v>
      </c>
      <c r="W2713" s="50">
        <f>+J2713/$W$2</f>
        <v>2.0743378116721681E-5</v>
      </c>
    </row>
    <row r="2714" spans="1:23">
      <c r="A2714" s="10" t="s">
        <v>2016</v>
      </c>
      <c r="B2714" s="10" t="s">
        <v>358</v>
      </c>
      <c r="C2714" s="124">
        <v>46435</v>
      </c>
      <c r="D2714" s="124" t="s">
        <v>471</v>
      </c>
      <c r="E2714" s="21">
        <v>0.91639470999999995</v>
      </c>
      <c r="F2714" s="10"/>
      <c r="G2714" s="14">
        <v>20000000</v>
      </c>
      <c r="H2714" s="14">
        <v>18327894.210000001</v>
      </c>
      <c r="I2714" s="14">
        <v>20000000</v>
      </c>
      <c r="J2714" s="14">
        <v>18327894.210000001</v>
      </c>
      <c r="K2714" s="12">
        <v>68586589</v>
      </c>
      <c r="L2714" s="10" t="s">
        <v>101</v>
      </c>
      <c r="M2714" s="10" t="s">
        <v>102</v>
      </c>
      <c r="N2714" s="124" t="s">
        <v>408</v>
      </c>
      <c r="O2714" s="124" t="s">
        <v>408</v>
      </c>
      <c r="P2714" s="21">
        <v>30</v>
      </c>
      <c r="Q2714" s="10" t="s">
        <v>54</v>
      </c>
      <c r="R2714" s="10" t="s">
        <v>28</v>
      </c>
      <c r="S2714" s="10"/>
      <c r="T2714" s="10"/>
      <c r="U2714" s="10" t="s">
        <v>2066</v>
      </c>
      <c r="V2714" s="10" t="s">
        <v>2066</v>
      </c>
      <c r="W2714" s="50">
        <f>+J2714/$W$2</f>
        <v>2.2430860474648075E-4</v>
      </c>
    </row>
    <row r="2715" spans="1:23">
      <c r="A2715" s="10" t="s">
        <v>400</v>
      </c>
      <c r="B2715" s="10" t="s">
        <v>358</v>
      </c>
      <c r="C2715" s="124">
        <v>46435</v>
      </c>
      <c r="D2715" s="124" t="s">
        <v>471</v>
      </c>
      <c r="E2715" s="21">
        <v>0.91639473999999999</v>
      </c>
      <c r="F2715" s="10"/>
      <c r="G2715" s="14">
        <v>5580000</v>
      </c>
      <c r="H2715" s="14">
        <v>5113482.67</v>
      </c>
      <c r="I2715" s="14">
        <v>5580000</v>
      </c>
      <c r="J2715" s="14">
        <v>5113482.67</v>
      </c>
      <c r="K2715" s="12">
        <v>11415144</v>
      </c>
      <c r="L2715" s="10" t="s">
        <v>101</v>
      </c>
      <c r="M2715" s="10" t="s">
        <v>102</v>
      </c>
      <c r="N2715" s="124" t="s">
        <v>449</v>
      </c>
      <c r="O2715" s="124" t="s">
        <v>449</v>
      </c>
      <c r="P2715" s="21">
        <v>30</v>
      </c>
      <c r="Q2715" s="10" t="s">
        <v>54</v>
      </c>
      <c r="R2715" s="10" t="s">
        <v>28</v>
      </c>
      <c r="S2715" s="10"/>
      <c r="T2715" s="10"/>
      <c r="U2715" s="10" t="s">
        <v>1917</v>
      </c>
      <c r="V2715" s="10" t="s">
        <v>1917</v>
      </c>
      <c r="W2715" s="50">
        <f>+J2715/$W$2</f>
        <v>6.2582102993435427E-5</v>
      </c>
    </row>
    <row r="2716" spans="1:23">
      <c r="A2716" s="10" t="s">
        <v>379</v>
      </c>
      <c r="B2716" s="10" t="s">
        <v>358</v>
      </c>
      <c r="C2716" s="124">
        <v>46435</v>
      </c>
      <c r="D2716" s="124" t="s">
        <v>471</v>
      </c>
      <c r="E2716" s="21">
        <v>0.91639473999999999</v>
      </c>
      <c r="F2716" s="10"/>
      <c r="G2716" s="14">
        <v>13500000</v>
      </c>
      <c r="H2716" s="14">
        <v>12371329.039999999</v>
      </c>
      <c r="I2716" s="14">
        <v>13500000</v>
      </c>
      <c r="J2716" s="14">
        <v>12371329.039999999</v>
      </c>
      <c r="K2716" s="12">
        <v>163</v>
      </c>
      <c r="L2716" s="10" t="s">
        <v>101</v>
      </c>
      <c r="M2716" s="10" t="s">
        <v>102</v>
      </c>
      <c r="N2716" s="124" t="s">
        <v>449</v>
      </c>
      <c r="O2716" s="124" t="s">
        <v>449</v>
      </c>
      <c r="P2716" s="21">
        <v>30</v>
      </c>
      <c r="Q2716" s="10" t="s">
        <v>54</v>
      </c>
      <c r="R2716" s="10" t="s">
        <v>28</v>
      </c>
      <c r="S2716" s="10"/>
      <c r="T2716" s="10"/>
      <c r="U2716" s="10" t="s">
        <v>1945</v>
      </c>
      <c r="V2716" s="10" t="s">
        <v>1945</v>
      </c>
      <c r="W2716" s="50">
        <f>+J2716/$W$2</f>
        <v>1.5140831368984744E-4</v>
      </c>
    </row>
    <row r="2717" spans="1:23">
      <c r="A2717" s="10" t="s">
        <v>1825</v>
      </c>
      <c r="B2717" s="10" t="s">
        <v>358</v>
      </c>
      <c r="C2717" s="124">
        <v>46435</v>
      </c>
      <c r="D2717" s="124" t="s">
        <v>471</v>
      </c>
      <c r="E2717" s="21">
        <v>0.91131545999999997</v>
      </c>
      <c r="F2717" s="10"/>
      <c r="G2717" s="14">
        <v>1027513.96</v>
      </c>
      <c r="H2717" s="14">
        <v>936389.36</v>
      </c>
      <c r="I2717" s="14">
        <v>1027513.96</v>
      </c>
      <c r="J2717" s="14">
        <v>936389.36</v>
      </c>
      <c r="K2717" s="12">
        <v>3585518</v>
      </c>
      <c r="L2717" s="10" t="s">
        <v>101</v>
      </c>
      <c r="M2717" s="10" t="s">
        <v>102</v>
      </c>
      <c r="N2717" s="124" t="s">
        <v>395</v>
      </c>
      <c r="O2717" s="124" t="s">
        <v>395</v>
      </c>
      <c r="P2717" s="21">
        <v>32</v>
      </c>
      <c r="Q2717" s="10" t="s">
        <v>54</v>
      </c>
      <c r="R2717" s="10" t="s">
        <v>28</v>
      </c>
      <c r="S2717" s="10"/>
      <c r="T2717" s="10"/>
      <c r="U2717" s="10" t="s">
        <v>1793</v>
      </c>
      <c r="V2717" s="10" t="s">
        <v>1793</v>
      </c>
      <c r="W2717" s="50">
        <f>+J2717/$W$2</f>
        <v>1.1460137669631936E-5</v>
      </c>
    </row>
    <row r="2718" spans="1:23">
      <c r="A2718" s="10" t="s">
        <v>443</v>
      </c>
      <c r="B2718" s="10" t="s">
        <v>358</v>
      </c>
      <c r="C2718" s="124">
        <v>46435</v>
      </c>
      <c r="D2718" s="124" t="s">
        <v>471</v>
      </c>
      <c r="E2718" s="21">
        <v>0.91131536999999996</v>
      </c>
      <c r="F2718" s="10"/>
      <c r="G2718" s="14">
        <v>2500000</v>
      </c>
      <c r="H2718" s="14">
        <v>2278288.4300000002</v>
      </c>
      <c r="I2718" s="14">
        <v>2500000</v>
      </c>
      <c r="J2718" s="14">
        <v>2278288.4300000002</v>
      </c>
      <c r="K2718" s="12">
        <v>70665281</v>
      </c>
      <c r="L2718" s="10" t="s">
        <v>101</v>
      </c>
      <c r="M2718" s="10" t="s">
        <v>102</v>
      </c>
      <c r="N2718" s="124" t="s">
        <v>469</v>
      </c>
      <c r="O2718" s="124" t="s">
        <v>469</v>
      </c>
      <c r="P2718" s="21">
        <v>32</v>
      </c>
      <c r="Q2718" s="10" t="s">
        <v>54</v>
      </c>
      <c r="R2718" s="10" t="s">
        <v>28</v>
      </c>
      <c r="S2718" s="10"/>
      <c r="T2718" s="10"/>
      <c r="U2718" s="10" t="s">
        <v>4027</v>
      </c>
      <c r="V2718" s="10" t="s">
        <v>4027</v>
      </c>
      <c r="W2718" s="50">
        <f>+J2718/$W$2</f>
        <v>2.7883165031829925E-5</v>
      </c>
    </row>
    <row r="2719" spans="1:23">
      <c r="A2719" s="10" t="s">
        <v>1760</v>
      </c>
      <c r="B2719" s="10" t="s">
        <v>358</v>
      </c>
      <c r="C2719" s="124">
        <v>46435</v>
      </c>
      <c r="D2719" s="124" t="s">
        <v>471</v>
      </c>
      <c r="E2719" s="21">
        <v>0.91131541000000005</v>
      </c>
      <c r="F2719" s="10"/>
      <c r="G2719" s="14">
        <v>1566916.35</v>
      </c>
      <c r="H2719" s="14">
        <v>1427955.02</v>
      </c>
      <c r="I2719" s="14">
        <v>1566916.35</v>
      </c>
      <c r="J2719" s="14">
        <v>1427955.02</v>
      </c>
      <c r="K2719" s="12">
        <v>1184</v>
      </c>
      <c r="L2719" s="10" t="s">
        <v>101</v>
      </c>
      <c r="M2719" s="10" t="s">
        <v>102</v>
      </c>
      <c r="N2719" s="124" t="s">
        <v>398</v>
      </c>
      <c r="O2719" s="124" t="s">
        <v>398</v>
      </c>
      <c r="P2719" s="21">
        <v>32</v>
      </c>
      <c r="Q2719" s="10" t="s">
        <v>54</v>
      </c>
      <c r="R2719" s="10" t="s">
        <v>28</v>
      </c>
      <c r="S2719" s="10"/>
      <c r="T2719" s="10"/>
      <c r="U2719" s="10" t="s">
        <v>1730</v>
      </c>
      <c r="V2719" s="10" t="s">
        <v>1730</v>
      </c>
      <c r="W2719" s="50">
        <f>+J2719/$W$2</f>
        <v>1.7476235649710953E-5</v>
      </c>
    </row>
    <row r="2720" spans="1:23">
      <c r="A2720" s="10" t="s">
        <v>2758</v>
      </c>
      <c r="B2720" s="10" t="s">
        <v>358</v>
      </c>
      <c r="C2720" s="124">
        <v>46435</v>
      </c>
      <c r="D2720" s="124" t="s">
        <v>471</v>
      </c>
      <c r="E2720" s="21">
        <v>0.91895570000000004</v>
      </c>
      <c r="F2720" s="10"/>
      <c r="G2720" s="14">
        <v>12244199.85</v>
      </c>
      <c r="H2720" s="14">
        <v>11251877.27</v>
      </c>
      <c r="I2720" s="14">
        <v>12244199.85</v>
      </c>
      <c r="J2720" s="14">
        <v>11251877.27</v>
      </c>
      <c r="K2720" s="12">
        <v>70060272</v>
      </c>
      <c r="L2720" s="10" t="s">
        <v>101</v>
      </c>
      <c r="M2720" s="10" t="s">
        <v>102</v>
      </c>
      <c r="N2720" s="124" t="s">
        <v>440</v>
      </c>
      <c r="O2720" s="124" t="s">
        <v>440</v>
      </c>
      <c r="P2720" s="21">
        <v>29</v>
      </c>
      <c r="Q2720" s="10" t="s">
        <v>54</v>
      </c>
      <c r="R2720" s="10" t="s">
        <v>28</v>
      </c>
      <c r="S2720" s="10"/>
      <c r="T2720" s="10"/>
      <c r="U2720" s="10" t="s">
        <v>2690</v>
      </c>
      <c r="V2720" s="10" t="s">
        <v>2690</v>
      </c>
      <c r="W2720" s="50">
        <f>+J2720/$W$2</f>
        <v>1.3770774003241809E-4</v>
      </c>
    </row>
    <row r="2721" spans="1:23">
      <c r="A2721" s="10" t="s">
        <v>1893</v>
      </c>
      <c r="B2721" s="10" t="s">
        <v>358</v>
      </c>
      <c r="C2721" s="124">
        <v>46435</v>
      </c>
      <c r="D2721" s="124" t="s">
        <v>471</v>
      </c>
      <c r="E2721" s="21">
        <v>0.92412095000000005</v>
      </c>
      <c r="F2721" s="10"/>
      <c r="G2721" s="14">
        <v>23900405</v>
      </c>
      <c r="H2721" s="14">
        <v>22086865.079999998</v>
      </c>
      <c r="I2721" s="14">
        <v>23900405</v>
      </c>
      <c r="J2721" s="14">
        <v>22086865.079999998</v>
      </c>
      <c r="K2721" s="12">
        <v>90001872</v>
      </c>
      <c r="L2721" s="10" t="s">
        <v>101</v>
      </c>
      <c r="M2721" s="10" t="s">
        <v>102</v>
      </c>
      <c r="N2721" s="124" t="s">
        <v>471</v>
      </c>
      <c r="O2721" s="124" t="s">
        <v>471</v>
      </c>
      <c r="P2721" s="21">
        <v>27</v>
      </c>
      <c r="Q2721" s="10" t="s">
        <v>54</v>
      </c>
      <c r="R2721" s="10" t="s">
        <v>28</v>
      </c>
      <c r="S2721" s="10"/>
      <c r="T2721" s="10"/>
      <c r="U2721" s="10" t="s">
        <v>4081</v>
      </c>
      <c r="V2721" s="10" t="s">
        <v>4081</v>
      </c>
      <c r="W2721" s="50">
        <f>+J2721/$W$2</f>
        <v>2.7031331764319294E-4</v>
      </c>
    </row>
    <row r="2722" spans="1:23">
      <c r="A2722" s="10" t="s">
        <v>443</v>
      </c>
      <c r="B2722" s="10" t="s">
        <v>358</v>
      </c>
      <c r="C2722" s="124">
        <v>46435</v>
      </c>
      <c r="D2722" s="124" t="s">
        <v>471</v>
      </c>
      <c r="E2722" s="21">
        <v>0.91639482000000005</v>
      </c>
      <c r="F2722" s="10"/>
      <c r="G2722" s="14">
        <v>35000000</v>
      </c>
      <c r="H2722" s="14">
        <v>32073818.800000001</v>
      </c>
      <c r="I2722" s="14">
        <v>35000000</v>
      </c>
      <c r="J2722" s="14">
        <v>32073818.800000001</v>
      </c>
      <c r="K2722" s="12">
        <v>509301</v>
      </c>
      <c r="L2722" s="10" t="s">
        <v>101</v>
      </c>
      <c r="M2722" s="10" t="s">
        <v>102</v>
      </c>
      <c r="N2722" s="124" t="s">
        <v>395</v>
      </c>
      <c r="O2722" s="124" t="s">
        <v>395</v>
      </c>
      <c r="P2722" s="21">
        <v>30</v>
      </c>
      <c r="Q2722" s="10" t="s">
        <v>54</v>
      </c>
      <c r="R2722" s="10" t="s">
        <v>28</v>
      </c>
      <c r="S2722" s="10"/>
      <c r="T2722" s="10"/>
      <c r="U2722" s="10" t="s">
        <v>1776</v>
      </c>
      <c r="V2722" s="10" t="s">
        <v>1776</v>
      </c>
      <c r="W2722" s="50">
        <f>+J2722/$W$2</f>
        <v>3.9254010643481575E-4</v>
      </c>
    </row>
    <row r="2723" spans="1:23">
      <c r="A2723" s="10" t="s">
        <v>1126</v>
      </c>
      <c r="B2723" s="10" t="s">
        <v>358</v>
      </c>
      <c r="C2723" s="124">
        <v>46435</v>
      </c>
      <c r="D2723" s="124" t="s">
        <v>471</v>
      </c>
      <c r="E2723" s="21">
        <v>0.89885990000000004</v>
      </c>
      <c r="F2723" s="10"/>
      <c r="G2723" s="14">
        <v>25000000</v>
      </c>
      <c r="H2723" s="14">
        <v>22471497.460000001</v>
      </c>
      <c r="I2723" s="14">
        <v>25000000</v>
      </c>
      <c r="J2723" s="14">
        <v>22471497.460000001</v>
      </c>
      <c r="K2723" s="12">
        <v>43</v>
      </c>
      <c r="L2723" s="10" t="s">
        <v>101</v>
      </c>
      <c r="M2723" s="10" t="s">
        <v>102</v>
      </c>
      <c r="N2723" s="124" t="s">
        <v>399</v>
      </c>
      <c r="O2723" s="124" t="s">
        <v>399</v>
      </c>
      <c r="P2723" s="21">
        <v>37</v>
      </c>
      <c r="Q2723" s="10" t="s">
        <v>54</v>
      </c>
      <c r="R2723" s="10" t="s">
        <v>28</v>
      </c>
      <c r="S2723" s="10"/>
      <c r="T2723" s="10"/>
      <c r="U2723" s="10" t="s">
        <v>1107</v>
      </c>
      <c r="V2723" s="10" t="s">
        <v>1107</v>
      </c>
      <c r="W2723" s="50">
        <f>+J2723/$W$2</f>
        <v>2.7502069708949318E-4</v>
      </c>
    </row>
    <row r="2724" spans="1:23">
      <c r="A2724" s="10" t="s">
        <v>364</v>
      </c>
      <c r="B2724" s="10" t="s">
        <v>358</v>
      </c>
      <c r="C2724" s="124">
        <v>46435</v>
      </c>
      <c r="D2724" s="124" t="s">
        <v>471</v>
      </c>
      <c r="E2724" s="21">
        <v>0.90879690000000002</v>
      </c>
      <c r="F2724" s="10"/>
      <c r="G2724" s="14">
        <v>11321347.039999999</v>
      </c>
      <c r="H2724" s="14">
        <v>10288805.060000001</v>
      </c>
      <c r="I2724" s="14">
        <v>11321347.039999999</v>
      </c>
      <c r="J2724" s="14">
        <v>10288805.060000001</v>
      </c>
      <c r="K2724" s="12">
        <v>31226</v>
      </c>
      <c r="L2724" s="10" t="s">
        <v>101</v>
      </c>
      <c r="M2724" s="10" t="s">
        <v>102</v>
      </c>
      <c r="N2724" s="124" t="s">
        <v>467</v>
      </c>
      <c r="O2724" s="124" t="s">
        <v>467</v>
      </c>
      <c r="P2724" s="21">
        <v>33</v>
      </c>
      <c r="Q2724" s="10" t="s">
        <v>54</v>
      </c>
      <c r="R2724" s="10" t="s">
        <v>28</v>
      </c>
      <c r="S2724" s="10"/>
      <c r="T2724" s="10"/>
      <c r="U2724" s="10" t="s">
        <v>3673</v>
      </c>
      <c r="V2724" s="10" t="s">
        <v>3673</v>
      </c>
      <c r="W2724" s="50">
        <f>+J2724/$W$2</f>
        <v>1.2592104041379292E-4</v>
      </c>
    </row>
    <row r="2725" spans="1:23">
      <c r="A2725" s="10" t="s">
        <v>178</v>
      </c>
      <c r="B2725" s="10" t="s">
        <v>358</v>
      </c>
      <c r="C2725" s="124">
        <v>46435</v>
      </c>
      <c r="D2725" s="124" t="s">
        <v>471</v>
      </c>
      <c r="E2725" s="21">
        <v>0.91639472</v>
      </c>
      <c r="F2725" s="10"/>
      <c r="G2725" s="14">
        <v>1822304.03</v>
      </c>
      <c r="H2725" s="14">
        <v>1669949.79</v>
      </c>
      <c r="I2725" s="14">
        <v>1822304.03</v>
      </c>
      <c r="J2725" s="14">
        <v>1669949.79</v>
      </c>
      <c r="K2725" s="12">
        <v>692244</v>
      </c>
      <c r="L2725" s="10" t="s">
        <v>101</v>
      </c>
      <c r="M2725" s="10" t="s">
        <v>102</v>
      </c>
      <c r="N2725" s="124" t="s">
        <v>508</v>
      </c>
      <c r="O2725" s="124" t="s">
        <v>508</v>
      </c>
      <c r="P2725" s="21">
        <v>30</v>
      </c>
      <c r="Q2725" s="10" t="s">
        <v>54</v>
      </c>
      <c r="R2725" s="10" t="s">
        <v>28</v>
      </c>
      <c r="S2725" s="10"/>
      <c r="T2725" s="10"/>
      <c r="U2725" s="10" t="s">
        <v>3039</v>
      </c>
      <c r="V2725" s="10" t="s">
        <v>3039</v>
      </c>
      <c r="W2725" s="50">
        <f>+J2725/$W$2</f>
        <v>2.043792391529624E-5</v>
      </c>
    </row>
    <row r="2726" spans="1:23">
      <c r="A2726" s="10" t="s">
        <v>178</v>
      </c>
      <c r="B2726" s="10" t="s">
        <v>358</v>
      </c>
      <c r="C2726" s="124">
        <v>46435</v>
      </c>
      <c r="D2726" s="124" t="s">
        <v>471</v>
      </c>
      <c r="E2726" s="21">
        <v>0.91639472</v>
      </c>
      <c r="F2726" s="10"/>
      <c r="G2726" s="14">
        <v>1822304.03</v>
      </c>
      <c r="H2726" s="14">
        <v>1669949.79</v>
      </c>
      <c r="I2726" s="14">
        <v>1822304.03</v>
      </c>
      <c r="J2726" s="14">
        <v>1669949.79</v>
      </c>
      <c r="K2726" s="12">
        <v>692234</v>
      </c>
      <c r="L2726" s="10" t="s">
        <v>101</v>
      </c>
      <c r="M2726" s="10" t="s">
        <v>102</v>
      </c>
      <c r="N2726" s="124" t="s">
        <v>508</v>
      </c>
      <c r="O2726" s="124" t="s">
        <v>508</v>
      </c>
      <c r="P2726" s="21">
        <v>30</v>
      </c>
      <c r="Q2726" s="10" t="s">
        <v>54</v>
      </c>
      <c r="R2726" s="10" t="s">
        <v>28</v>
      </c>
      <c r="S2726" s="10"/>
      <c r="T2726" s="10"/>
      <c r="U2726" s="10" t="s">
        <v>3040</v>
      </c>
      <c r="V2726" s="10" t="s">
        <v>3040</v>
      </c>
      <c r="W2726" s="50">
        <f>+J2726/$W$2</f>
        <v>2.043792391529624E-5</v>
      </c>
    </row>
    <row r="2727" spans="1:23">
      <c r="A2727" s="10" t="s">
        <v>178</v>
      </c>
      <c r="B2727" s="10" t="s">
        <v>358</v>
      </c>
      <c r="C2727" s="124">
        <v>46435</v>
      </c>
      <c r="D2727" s="124" t="s">
        <v>471</v>
      </c>
      <c r="E2727" s="21">
        <v>0.91639472</v>
      </c>
      <c r="F2727" s="10"/>
      <c r="G2727" s="14">
        <v>1822304.03</v>
      </c>
      <c r="H2727" s="14">
        <v>1669949.79</v>
      </c>
      <c r="I2727" s="14">
        <v>1822304.03</v>
      </c>
      <c r="J2727" s="14">
        <v>1669949.79</v>
      </c>
      <c r="K2727" s="12">
        <v>692185</v>
      </c>
      <c r="L2727" s="10" t="s">
        <v>101</v>
      </c>
      <c r="M2727" s="10" t="s">
        <v>102</v>
      </c>
      <c r="N2727" s="124" t="s">
        <v>508</v>
      </c>
      <c r="O2727" s="124" t="s">
        <v>508</v>
      </c>
      <c r="P2727" s="21">
        <v>30</v>
      </c>
      <c r="Q2727" s="10" t="s">
        <v>54</v>
      </c>
      <c r="R2727" s="10" t="s">
        <v>28</v>
      </c>
      <c r="S2727" s="10"/>
      <c r="T2727" s="10"/>
      <c r="U2727" s="10" t="s">
        <v>3045</v>
      </c>
      <c r="V2727" s="10" t="s">
        <v>3045</v>
      </c>
      <c r="W2727" s="50">
        <f>+J2727/$W$2</f>
        <v>2.043792391529624E-5</v>
      </c>
    </row>
    <row r="2728" spans="1:23">
      <c r="A2728" s="10" t="s">
        <v>178</v>
      </c>
      <c r="B2728" s="10" t="s">
        <v>358</v>
      </c>
      <c r="C2728" s="124">
        <v>46435</v>
      </c>
      <c r="D2728" s="124" t="s">
        <v>471</v>
      </c>
      <c r="E2728" s="21">
        <v>0.91639472</v>
      </c>
      <c r="F2728" s="10"/>
      <c r="G2728" s="14">
        <v>1822304.03</v>
      </c>
      <c r="H2728" s="14">
        <v>1669949.79</v>
      </c>
      <c r="I2728" s="14">
        <v>1822304.03</v>
      </c>
      <c r="J2728" s="14">
        <v>1669949.79</v>
      </c>
      <c r="K2728" s="12">
        <v>692236</v>
      </c>
      <c r="L2728" s="10" t="s">
        <v>101</v>
      </c>
      <c r="M2728" s="10" t="s">
        <v>102</v>
      </c>
      <c r="N2728" s="124" t="s">
        <v>508</v>
      </c>
      <c r="O2728" s="124" t="s">
        <v>508</v>
      </c>
      <c r="P2728" s="21">
        <v>30</v>
      </c>
      <c r="Q2728" s="10" t="s">
        <v>54</v>
      </c>
      <c r="R2728" s="10" t="s">
        <v>28</v>
      </c>
      <c r="S2728" s="10"/>
      <c r="T2728" s="10"/>
      <c r="U2728" s="10" t="s">
        <v>3046</v>
      </c>
      <c r="V2728" s="10" t="s">
        <v>3046</v>
      </c>
      <c r="W2728" s="50">
        <f>+J2728/$W$2</f>
        <v>2.043792391529624E-5</v>
      </c>
    </row>
    <row r="2729" spans="1:23">
      <c r="A2729" s="10" t="s">
        <v>623</v>
      </c>
      <c r="B2729" s="10" t="s">
        <v>358</v>
      </c>
      <c r="C2729" s="124">
        <v>46435</v>
      </c>
      <c r="D2729" s="124" t="s">
        <v>471</v>
      </c>
      <c r="E2729" s="21">
        <v>0.90879670000000001</v>
      </c>
      <c r="F2729" s="10"/>
      <c r="G2729" s="14">
        <v>2500000</v>
      </c>
      <c r="H2729" s="14">
        <v>2271991.7599999998</v>
      </c>
      <c r="I2729" s="14">
        <v>2500000</v>
      </c>
      <c r="J2729" s="14">
        <v>2271991.7599999998</v>
      </c>
      <c r="K2729" s="12">
        <v>35</v>
      </c>
      <c r="L2729" s="10" t="s">
        <v>101</v>
      </c>
      <c r="M2729" s="10" t="s">
        <v>102</v>
      </c>
      <c r="N2729" s="124" t="s">
        <v>508</v>
      </c>
      <c r="O2729" s="124" t="s">
        <v>508</v>
      </c>
      <c r="P2729" s="21">
        <v>33</v>
      </c>
      <c r="Q2729" s="10" t="s">
        <v>54</v>
      </c>
      <c r="R2729" s="10" t="s">
        <v>28</v>
      </c>
      <c r="S2729" s="10"/>
      <c r="T2729" s="10"/>
      <c r="U2729" s="10" t="s">
        <v>3016</v>
      </c>
      <c r="V2729" s="10" t="s">
        <v>3016</v>
      </c>
      <c r="W2729" s="50">
        <f>+J2729/$W$2</f>
        <v>2.7806102318237959E-5</v>
      </c>
    </row>
    <row r="2730" spans="1:23">
      <c r="A2730" s="10" t="s">
        <v>574</v>
      </c>
      <c r="B2730" s="10" t="s">
        <v>358</v>
      </c>
      <c r="C2730" s="124">
        <v>46435</v>
      </c>
      <c r="D2730" s="124" t="s">
        <v>471</v>
      </c>
      <c r="E2730" s="21">
        <v>0.91639490000000001</v>
      </c>
      <c r="F2730" s="10"/>
      <c r="G2730" s="14">
        <v>40000000</v>
      </c>
      <c r="H2730" s="14">
        <v>36655796.079999998</v>
      </c>
      <c r="I2730" s="14">
        <v>40000000</v>
      </c>
      <c r="J2730" s="14">
        <v>36655796.079999998</v>
      </c>
      <c r="K2730" s="12">
        <v>90004383</v>
      </c>
      <c r="L2730" s="10" t="s">
        <v>101</v>
      </c>
      <c r="M2730" s="10" t="s">
        <v>102</v>
      </c>
      <c r="N2730" s="124" t="s">
        <v>467</v>
      </c>
      <c r="O2730" s="124" t="s">
        <v>467</v>
      </c>
      <c r="P2730" s="21">
        <v>30</v>
      </c>
      <c r="Q2730" s="10" t="s">
        <v>54</v>
      </c>
      <c r="R2730" s="10" t="s">
        <v>28</v>
      </c>
      <c r="S2730" s="10"/>
      <c r="T2730" s="10"/>
      <c r="U2730" s="10" t="s">
        <v>3767</v>
      </c>
      <c r="V2730" s="10" t="s">
        <v>3767</v>
      </c>
      <c r="W2730" s="50">
        <f>+J2730/$W$2</f>
        <v>4.4861730324098793E-4</v>
      </c>
    </row>
    <row r="2731" spans="1:23">
      <c r="A2731" s="10" t="s">
        <v>3797</v>
      </c>
      <c r="B2731" s="10" t="s">
        <v>358</v>
      </c>
      <c r="C2731" s="124">
        <v>46435</v>
      </c>
      <c r="D2731" s="124" t="s">
        <v>471</v>
      </c>
      <c r="E2731" s="21">
        <v>0.90380115000000005</v>
      </c>
      <c r="F2731" s="10"/>
      <c r="G2731" s="14">
        <v>139858.32999999999</v>
      </c>
      <c r="H2731" s="14">
        <v>126404.12</v>
      </c>
      <c r="I2731" s="14">
        <v>139858.32999999999</v>
      </c>
      <c r="J2731" s="14">
        <v>126404.12</v>
      </c>
      <c r="K2731" s="12">
        <v>70367344</v>
      </c>
      <c r="L2731" s="10" t="s">
        <v>101</v>
      </c>
      <c r="M2731" s="10" t="s">
        <v>102</v>
      </c>
      <c r="N2731" s="124" t="s">
        <v>467</v>
      </c>
      <c r="O2731" s="124" t="s">
        <v>467</v>
      </c>
      <c r="P2731" s="21">
        <v>35</v>
      </c>
      <c r="Q2731" s="10" t="s">
        <v>54</v>
      </c>
      <c r="R2731" s="10" t="s">
        <v>28</v>
      </c>
      <c r="S2731" s="10"/>
      <c r="T2731" s="10"/>
      <c r="U2731" s="10" t="s">
        <v>3756</v>
      </c>
      <c r="V2731" s="10" t="s">
        <v>3756</v>
      </c>
      <c r="W2731" s="50">
        <f>+J2731/$W$2</f>
        <v>1.5470152471709799E-6</v>
      </c>
    </row>
    <row r="2732" spans="1:23">
      <c r="A2732" s="10" t="s">
        <v>4165</v>
      </c>
      <c r="B2732" s="10" t="s">
        <v>358</v>
      </c>
      <c r="C2732" s="124">
        <v>46435</v>
      </c>
      <c r="D2732" s="124" t="s">
        <v>471</v>
      </c>
      <c r="E2732" s="21">
        <v>0.91639482999999999</v>
      </c>
      <c r="F2732" s="10"/>
      <c r="G2732" s="14">
        <v>50000000</v>
      </c>
      <c r="H2732" s="14">
        <v>45819741.280000001</v>
      </c>
      <c r="I2732" s="14">
        <v>50000000</v>
      </c>
      <c r="J2732" s="14">
        <v>45819741.280000001</v>
      </c>
      <c r="K2732" s="12">
        <v>881</v>
      </c>
      <c r="L2732" s="10" t="s">
        <v>101</v>
      </c>
      <c r="M2732" s="10" t="s">
        <v>102</v>
      </c>
      <c r="N2732" s="124" t="s">
        <v>471</v>
      </c>
      <c r="O2732" s="124" t="s">
        <v>471</v>
      </c>
      <c r="P2732" s="21">
        <v>30</v>
      </c>
      <c r="Q2732" s="10" t="s">
        <v>54</v>
      </c>
      <c r="R2732" s="10" t="s">
        <v>28</v>
      </c>
      <c r="S2732" s="10"/>
      <c r="T2732" s="10"/>
      <c r="U2732" s="10" t="s">
        <v>4105</v>
      </c>
      <c r="V2732" s="10" t="s">
        <v>4105</v>
      </c>
      <c r="W2732" s="50">
        <f>+J2732/$W$2</f>
        <v>5.6077158229960822E-4</v>
      </c>
    </row>
    <row r="2733" spans="1:23">
      <c r="A2733" s="10" t="s">
        <v>3441</v>
      </c>
      <c r="B2733" s="10" t="s">
        <v>358</v>
      </c>
      <c r="C2733" s="124">
        <v>46435</v>
      </c>
      <c r="D2733" s="124" t="s">
        <v>471</v>
      </c>
      <c r="E2733" s="21">
        <v>0.91895568999999999</v>
      </c>
      <c r="F2733" s="10"/>
      <c r="G2733" s="14">
        <v>10000000</v>
      </c>
      <c r="H2733" s="14">
        <v>9189556.9199999999</v>
      </c>
      <c r="I2733" s="14">
        <v>10000000</v>
      </c>
      <c r="J2733" s="14">
        <v>9189556.9199999999</v>
      </c>
      <c r="K2733" s="12">
        <v>1056</v>
      </c>
      <c r="L2733" s="10" t="s">
        <v>101</v>
      </c>
      <c r="M2733" s="10" t="s">
        <v>102</v>
      </c>
      <c r="N2733" s="124" t="s">
        <v>450</v>
      </c>
      <c r="O2733" s="124" t="s">
        <v>450</v>
      </c>
      <c r="P2733" s="21">
        <v>29</v>
      </c>
      <c r="Q2733" s="10" t="s">
        <v>54</v>
      </c>
      <c r="R2733" s="10" t="s">
        <v>28</v>
      </c>
      <c r="S2733" s="10"/>
      <c r="T2733" s="10"/>
      <c r="U2733" s="10" t="s">
        <v>3431</v>
      </c>
      <c r="V2733" s="10" t="s">
        <v>3431</v>
      </c>
      <c r="W2733" s="50">
        <f>+J2733/$W$2</f>
        <v>1.1246773182698149E-4</v>
      </c>
    </row>
    <row r="2734" spans="1:23">
      <c r="A2734" s="10" t="s">
        <v>3594</v>
      </c>
      <c r="B2734" s="10" t="s">
        <v>358</v>
      </c>
      <c r="C2734" s="124">
        <v>46435</v>
      </c>
      <c r="D2734" s="124" t="s">
        <v>471</v>
      </c>
      <c r="E2734" s="21">
        <v>0.90629201000000004</v>
      </c>
      <c r="F2734" s="10"/>
      <c r="G2734" s="14">
        <v>803060</v>
      </c>
      <c r="H2734" s="14">
        <v>727806.86</v>
      </c>
      <c r="I2734" s="14">
        <v>803060</v>
      </c>
      <c r="J2734" s="14">
        <v>727806.86</v>
      </c>
      <c r="K2734" s="12">
        <v>96</v>
      </c>
      <c r="L2734" s="10" t="s">
        <v>101</v>
      </c>
      <c r="M2734" s="10" t="s">
        <v>102</v>
      </c>
      <c r="N2734" s="124" t="s">
        <v>451</v>
      </c>
      <c r="O2734" s="124" t="s">
        <v>451</v>
      </c>
      <c r="P2734" s="21">
        <v>34</v>
      </c>
      <c r="Q2734" s="10" t="s">
        <v>54</v>
      </c>
      <c r="R2734" s="10" t="s">
        <v>28</v>
      </c>
      <c r="S2734" s="10"/>
      <c r="T2734" s="10"/>
      <c r="U2734" s="10" t="s">
        <v>3451</v>
      </c>
      <c r="V2734" s="10" t="s">
        <v>3451</v>
      </c>
      <c r="W2734" s="50">
        <f>+J2734/$W$2</f>
        <v>8.9073703405841097E-6</v>
      </c>
    </row>
    <row r="2735" spans="1:23">
      <c r="A2735" s="10" t="s">
        <v>3598</v>
      </c>
      <c r="B2735" s="10" t="s">
        <v>358</v>
      </c>
      <c r="C2735" s="124">
        <v>46435</v>
      </c>
      <c r="D2735" s="124" t="s">
        <v>471</v>
      </c>
      <c r="E2735" s="21">
        <v>0.90629199999999999</v>
      </c>
      <c r="F2735" s="10"/>
      <c r="G2735" s="14">
        <v>1183000</v>
      </c>
      <c r="H2735" s="14">
        <v>1072143.44</v>
      </c>
      <c r="I2735" s="14">
        <v>1183000</v>
      </c>
      <c r="J2735" s="14">
        <v>1072143.44</v>
      </c>
      <c r="K2735" s="12">
        <v>25</v>
      </c>
      <c r="L2735" s="10" t="s">
        <v>101</v>
      </c>
      <c r="M2735" s="10" t="s">
        <v>102</v>
      </c>
      <c r="N2735" s="124" t="s">
        <v>451</v>
      </c>
      <c r="O2735" s="124" t="s">
        <v>451</v>
      </c>
      <c r="P2735" s="21">
        <v>34</v>
      </c>
      <c r="Q2735" s="10" t="s">
        <v>54</v>
      </c>
      <c r="R2735" s="10" t="s">
        <v>28</v>
      </c>
      <c r="S2735" s="10"/>
      <c r="T2735" s="10"/>
      <c r="U2735" s="10" t="s">
        <v>3464</v>
      </c>
      <c r="V2735" s="10" t="s">
        <v>3464</v>
      </c>
      <c r="W2735" s="50">
        <f>+J2735/$W$2</f>
        <v>1.3121583765104685E-5</v>
      </c>
    </row>
    <row r="2736" spans="1:23">
      <c r="A2736" s="10" t="s">
        <v>3599</v>
      </c>
      <c r="B2736" s="10" t="s">
        <v>358</v>
      </c>
      <c r="C2736" s="124">
        <v>46435</v>
      </c>
      <c r="D2736" s="124" t="s">
        <v>471</v>
      </c>
      <c r="E2736" s="21">
        <v>0.90629201000000004</v>
      </c>
      <c r="F2736" s="10"/>
      <c r="G2736" s="14">
        <v>1416494.71</v>
      </c>
      <c r="H2736" s="14">
        <v>1283757.83</v>
      </c>
      <c r="I2736" s="14">
        <v>1416494.71</v>
      </c>
      <c r="J2736" s="14">
        <v>1283757.83</v>
      </c>
      <c r="K2736" s="12">
        <v>251</v>
      </c>
      <c r="L2736" s="10" t="s">
        <v>101</v>
      </c>
      <c r="M2736" s="10" t="s">
        <v>102</v>
      </c>
      <c r="N2736" s="124" t="s">
        <v>451</v>
      </c>
      <c r="O2736" s="124" t="s">
        <v>451</v>
      </c>
      <c r="P2736" s="21">
        <v>34</v>
      </c>
      <c r="Q2736" s="10" t="s">
        <v>54</v>
      </c>
      <c r="R2736" s="10" t="s">
        <v>28</v>
      </c>
      <c r="S2736" s="10"/>
      <c r="T2736" s="10"/>
      <c r="U2736" s="10" t="s">
        <v>3468</v>
      </c>
      <c r="V2736" s="10" t="s">
        <v>3468</v>
      </c>
      <c r="W2736" s="50">
        <f>+J2736/$W$2</f>
        <v>1.5711457321843076E-5</v>
      </c>
    </row>
    <row r="2737" spans="1:23">
      <c r="A2737" s="10" t="s">
        <v>3600</v>
      </c>
      <c r="B2737" s="10" t="s">
        <v>358</v>
      </c>
      <c r="C2737" s="124">
        <v>46435</v>
      </c>
      <c r="D2737" s="124" t="s">
        <v>471</v>
      </c>
      <c r="E2737" s="21">
        <v>0.90629201000000004</v>
      </c>
      <c r="F2737" s="10"/>
      <c r="G2737" s="14">
        <v>1820648.76</v>
      </c>
      <c r="H2737" s="14">
        <v>1650039.42</v>
      </c>
      <c r="I2737" s="14">
        <v>1820648.76</v>
      </c>
      <c r="J2737" s="14">
        <v>1650039.42</v>
      </c>
      <c r="K2737" s="12">
        <v>10</v>
      </c>
      <c r="L2737" s="10" t="s">
        <v>101</v>
      </c>
      <c r="M2737" s="10" t="s">
        <v>102</v>
      </c>
      <c r="N2737" s="124" t="s">
        <v>451</v>
      </c>
      <c r="O2737" s="124" t="s">
        <v>451</v>
      </c>
      <c r="P2737" s="21">
        <v>34</v>
      </c>
      <c r="Q2737" s="10" t="s">
        <v>54</v>
      </c>
      <c r="R2737" s="10" t="s">
        <v>28</v>
      </c>
      <c r="S2737" s="10"/>
      <c r="T2737" s="10"/>
      <c r="U2737" s="10" t="s">
        <v>3477</v>
      </c>
      <c r="V2737" s="10" t="s">
        <v>3477</v>
      </c>
      <c r="W2737" s="50">
        <f>+J2737/$W$2</f>
        <v>2.0194247949933595E-5</v>
      </c>
    </row>
    <row r="2738" spans="1:23">
      <c r="A2738" s="10" t="s">
        <v>367</v>
      </c>
      <c r="B2738" s="10" t="s">
        <v>358</v>
      </c>
      <c r="C2738" s="124">
        <v>46435</v>
      </c>
      <c r="D2738" s="124" t="s">
        <v>471</v>
      </c>
      <c r="E2738" s="21">
        <v>0.91131534000000003</v>
      </c>
      <c r="F2738" s="10"/>
      <c r="G2738" s="14">
        <v>2833000</v>
      </c>
      <c r="H2738" s="14">
        <v>2581756.35</v>
      </c>
      <c r="I2738" s="14">
        <v>2833000</v>
      </c>
      <c r="J2738" s="14">
        <v>2581756.35</v>
      </c>
      <c r="K2738" s="12">
        <v>90000058</v>
      </c>
      <c r="L2738" s="10" t="s">
        <v>101</v>
      </c>
      <c r="M2738" s="10" t="s">
        <v>102</v>
      </c>
      <c r="N2738" s="124" t="s">
        <v>477</v>
      </c>
      <c r="O2738" s="124" t="s">
        <v>477</v>
      </c>
      <c r="P2738" s="21">
        <v>32</v>
      </c>
      <c r="Q2738" s="10" t="s">
        <v>54</v>
      </c>
      <c r="R2738" s="10" t="s">
        <v>28</v>
      </c>
      <c r="S2738" s="10"/>
      <c r="T2738" s="10"/>
      <c r="U2738" s="10" t="s">
        <v>2395</v>
      </c>
      <c r="V2738" s="10" t="s">
        <v>2395</v>
      </c>
      <c r="W2738" s="50">
        <f>+J2738/$W$2</f>
        <v>3.1597201403961335E-5</v>
      </c>
    </row>
    <row r="2739" spans="1:23">
      <c r="A2739" s="10" t="s">
        <v>2016</v>
      </c>
      <c r="B2739" s="10" t="s">
        <v>358</v>
      </c>
      <c r="C2739" s="124">
        <v>46436</v>
      </c>
      <c r="D2739" s="124" t="s">
        <v>471</v>
      </c>
      <c r="E2739" s="21">
        <v>0.91828520999999996</v>
      </c>
      <c r="F2739" s="10"/>
      <c r="G2739" s="14">
        <v>6934251.4900000002</v>
      </c>
      <c r="H2739" s="14">
        <v>6367620.5700000003</v>
      </c>
      <c r="I2739" s="14">
        <v>6934251.4900000002</v>
      </c>
      <c r="J2739" s="14">
        <v>6367620.5700000003</v>
      </c>
      <c r="K2739" s="12">
        <v>9842511</v>
      </c>
      <c r="L2739" s="10" t="s">
        <v>101</v>
      </c>
      <c r="M2739" s="10" t="s">
        <v>102</v>
      </c>
      <c r="N2739" s="124" t="s">
        <v>469</v>
      </c>
      <c r="O2739" s="124" t="s">
        <v>469</v>
      </c>
      <c r="P2739" s="21">
        <v>29</v>
      </c>
      <c r="Q2739" s="10" t="s">
        <v>54</v>
      </c>
      <c r="R2739" s="10" t="s">
        <v>28</v>
      </c>
      <c r="S2739" s="10"/>
      <c r="T2739" s="10"/>
      <c r="U2739" s="10" t="s">
        <v>3933</v>
      </c>
      <c r="V2739" s="10" t="s">
        <v>3933</v>
      </c>
      <c r="W2739" s="50">
        <f>+J2739/$W$2</f>
        <v>7.7931052484599128E-5</v>
      </c>
    </row>
    <row r="2740" spans="1:23">
      <c r="A2740" s="10" t="s">
        <v>1826</v>
      </c>
      <c r="B2740" s="10" t="s">
        <v>358</v>
      </c>
      <c r="C2740" s="124">
        <v>46436</v>
      </c>
      <c r="D2740" s="124" t="s">
        <v>471</v>
      </c>
      <c r="E2740" s="21">
        <v>0.91058786999999997</v>
      </c>
      <c r="F2740" s="10"/>
      <c r="G2740" s="14">
        <v>21145734.48</v>
      </c>
      <c r="H2740" s="14">
        <v>19255049.27</v>
      </c>
      <c r="I2740" s="14">
        <v>21145734.48</v>
      </c>
      <c r="J2740" s="14">
        <v>19255049.27</v>
      </c>
      <c r="K2740" s="12">
        <v>1985963</v>
      </c>
      <c r="L2740" s="10" t="s">
        <v>101</v>
      </c>
      <c r="M2740" s="10" t="s">
        <v>102</v>
      </c>
      <c r="N2740" s="124" t="s">
        <v>395</v>
      </c>
      <c r="O2740" s="124" t="s">
        <v>395</v>
      </c>
      <c r="P2740" s="21">
        <v>32</v>
      </c>
      <c r="Q2740" s="10" t="s">
        <v>54</v>
      </c>
      <c r="R2740" s="10" t="s">
        <v>28</v>
      </c>
      <c r="S2740" s="10"/>
      <c r="T2740" s="10"/>
      <c r="U2740" s="10" t="s">
        <v>1795</v>
      </c>
      <c r="V2740" s="10" t="s">
        <v>1795</v>
      </c>
      <c r="W2740" s="50">
        <f>+J2740/$W$2</f>
        <v>2.3565572708957939E-4</v>
      </c>
    </row>
    <row r="2741" spans="1:23">
      <c r="A2741" s="10" t="s">
        <v>831</v>
      </c>
      <c r="B2741" s="10" t="s">
        <v>358</v>
      </c>
      <c r="C2741" s="124">
        <v>46436</v>
      </c>
      <c r="D2741" s="124" t="s">
        <v>471</v>
      </c>
      <c r="E2741" s="21">
        <v>0.92611389</v>
      </c>
      <c r="F2741" s="10"/>
      <c r="G2741" s="14">
        <v>3948801</v>
      </c>
      <c r="H2741" s="14">
        <v>3657039.44</v>
      </c>
      <c r="I2741" s="14">
        <v>3948801</v>
      </c>
      <c r="J2741" s="14">
        <v>3657039.44</v>
      </c>
      <c r="K2741" s="12">
        <v>1017</v>
      </c>
      <c r="L2741" s="10" t="s">
        <v>101</v>
      </c>
      <c r="M2741" s="10" t="s">
        <v>102</v>
      </c>
      <c r="N2741" s="124" t="s">
        <v>344</v>
      </c>
      <c r="O2741" s="124" t="s">
        <v>344</v>
      </c>
      <c r="P2741" s="21">
        <v>26</v>
      </c>
      <c r="Q2741" s="10" t="s">
        <v>54</v>
      </c>
      <c r="R2741" s="10" t="s">
        <v>28</v>
      </c>
      <c r="S2741" s="10"/>
      <c r="T2741" s="10"/>
      <c r="U2741" s="10" t="s">
        <v>821</v>
      </c>
      <c r="V2741" s="10" t="s">
        <v>821</v>
      </c>
      <c r="W2741" s="50">
        <f>+J2741/$W$2</f>
        <v>4.4757210233223583E-5</v>
      </c>
    </row>
    <row r="2742" spans="1:23">
      <c r="A2742" s="10" t="s">
        <v>364</v>
      </c>
      <c r="B2742" s="10" t="s">
        <v>358</v>
      </c>
      <c r="C2742" s="124">
        <v>46436</v>
      </c>
      <c r="D2742" s="124" t="s">
        <v>471</v>
      </c>
      <c r="E2742" s="21">
        <v>0.90805073000000003</v>
      </c>
      <c r="F2742" s="10"/>
      <c r="G2742" s="14">
        <v>11321347.039999999</v>
      </c>
      <c r="H2742" s="14">
        <v>10280357.41</v>
      </c>
      <c r="I2742" s="14">
        <v>11321347.039999999</v>
      </c>
      <c r="J2742" s="14">
        <v>10280357.41</v>
      </c>
      <c r="K2742" s="12">
        <v>31227</v>
      </c>
      <c r="L2742" s="10" t="s">
        <v>101</v>
      </c>
      <c r="M2742" s="10" t="s">
        <v>102</v>
      </c>
      <c r="N2742" s="124" t="s">
        <v>467</v>
      </c>
      <c r="O2742" s="124" t="s">
        <v>467</v>
      </c>
      <c r="P2742" s="21">
        <v>33</v>
      </c>
      <c r="Q2742" s="10" t="s">
        <v>54</v>
      </c>
      <c r="R2742" s="10" t="s">
        <v>28</v>
      </c>
      <c r="S2742" s="10"/>
      <c r="T2742" s="10"/>
      <c r="U2742" s="10" t="s">
        <v>3674</v>
      </c>
      <c r="V2742" s="10" t="s">
        <v>3674</v>
      </c>
      <c r="W2742" s="50">
        <f>+J2742/$W$2</f>
        <v>1.2581765261794603E-4</v>
      </c>
    </row>
    <row r="2743" spans="1:23">
      <c r="A2743" s="10" t="s">
        <v>3796</v>
      </c>
      <c r="B2743" s="10" t="s">
        <v>358</v>
      </c>
      <c r="C2743" s="124">
        <v>46436</v>
      </c>
      <c r="D2743" s="124" t="s">
        <v>471</v>
      </c>
      <c r="E2743" s="21">
        <v>0.90805068</v>
      </c>
      <c r="F2743" s="10"/>
      <c r="G2743" s="14">
        <v>391319.8</v>
      </c>
      <c r="H2743" s="14">
        <v>355338.21</v>
      </c>
      <c r="I2743" s="14">
        <v>391319.8</v>
      </c>
      <c r="J2743" s="14">
        <v>355338.21</v>
      </c>
      <c r="K2743" s="12">
        <v>287</v>
      </c>
      <c r="L2743" s="10" t="s">
        <v>101</v>
      </c>
      <c r="M2743" s="10" t="s">
        <v>102</v>
      </c>
      <c r="N2743" s="124" t="s">
        <v>468</v>
      </c>
      <c r="O2743" s="124" t="s">
        <v>468</v>
      </c>
      <c r="P2743" s="21">
        <v>33</v>
      </c>
      <c r="Q2743" s="10" t="s">
        <v>54</v>
      </c>
      <c r="R2743" s="10" t="s">
        <v>28</v>
      </c>
      <c r="S2743" s="10"/>
      <c r="T2743" s="10"/>
      <c r="U2743" s="10" t="s">
        <v>3814</v>
      </c>
      <c r="V2743" s="10" t="s">
        <v>3814</v>
      </c>
      <c r="W2743" s="50">
        <f>+J2743/$W$2</f>
        <v>4.3488584768632821E-6</v>
      </c>
    </row>
    <row r="2744" spans="1:23">
      <c r="A2744" s="10" t="s">
        <v>3601</v>
      </c>
      <c r="B2744" s="10" t="s">
        <v>358</v>
      </c>
      <c r="C2744" s="124">
        <v>46436</v>
      </c>
      <c r="D2744" s="124" t="s">
        <v>471</v>
      </c>
      <c r="E2744" s="21">
        <v>0.90552745999999995</v>
      </c>
      <c r="F2744" s="10"/>
      <c r="G2744" s="14">
        <v>618696.5</v>
      </c>
      <c r="H2744" s="14">
        <v>560246.67000000004</v>
      </c>
      <c r="I2744" s="14">
        <v>618696.5</v>
      </c>
      <c r="J2744" s="14">
        <v>560246.67000000004</v>
      </c>
      <c r="K2744" s="12">
        <v>70497068</v>
      </c>
      <c r="L2744" s="10" t="s">
        <v>101</v>
      </c>
      <c r="M2744" s="10" t="s">
        <v>102</v>
      </c>
      <c r="N2744" s="124" t="s">
        <v>451</v>
      </c>
      <c r="O2744" s="124" t="s">
        <v>451</v>
      </c>
      <c r="P2744" s="21">
        <v>34</v>
      </c>
      <c r="Q2744" s="10" t="s">
        <v>54</v>
      </c>
      <c r="R2744" s="10" t="s">
        <v>28</v>
      </c>
      <c r="S2744" s="10"/>
      <c r="T2744" s="10"/>
      <c r="U2744" s="10" t="s">
        <v>3484</v>
      </c>
      <c r="V2744" s="10" t="s">
        <v>3484</v>
      </c>
      <c r="W2744" s="50">
        <f>+J2744/$W$2</f>
        <v>6.8566605318463384E-6</v>
      </c>
    </row>
    <row r="2745" spans="1:23">
      <c r="A2745" s="10" t="s">
        <v>2016</v>
      </c>
      <c r="B2745" s="10" t="s">
        <v>358</v>
      </c>
      <c r="C2745" s="124">
        <v>46437</v>
      </c>
      <c r="D2745" s="124" t="s">
        <v>471</v>
      </c>
      <c r="E2745" s="21">
        <v>0.91501646999999997</v>
      </c>
      <c r="F2745" s="10"/>
      <c r="G2745" s="14">
        <v>5000000</v>
      </c>
      <c r="H2745" s="14">
        <v>4575082.33</v>
      </c>
      <c r="I2745" s="14">
        <v>5000000</v>
      </c>
      <c r="J2745" s="14">
        <v>4575082.33</v>
      </c>
      <c r="K2745" s="12">
        <v>3897148</v>
      </c>
      <c r="L2745" s="10" t="s">
        <v>101</v>
      </c>
      <c r="M2745" s="10" t="s">
        <v>102</v>
      </c>
      <c r="N2745" s="124" t="s">
        <v>478</v>
      </c>
      <c r="O2745" s="124" t="s">
        <v>478</v>
      </c>
      <c r="P2745" s="21">
        <v>30</v>
      </c>
      <c r="Q2745" s="10" t="s">
        <v>54</v>
      </c>
      <c r="R2745" s="10" t="s">
        <v>28</v>
      </c>
      <c r="S2745" s="10"/>
      <c r="T2745" s="10"/>
      <c r="U2745" s="10" t="s">
        <v>2098</v>
      </c>
      <c r="V2745" s="10" t="s">
        <v>2098</v>
      </c>
      <c r="W2745" s="50">
        <f>+J2745/$W$2</f>
        <v>5.5992811955595534E-5</v>
      </c>
    </row>
    <row r="2746" spans="1:23">
      <c r="A2746" s="10" t="s">
        <v>2314</v>
      </c>
      <c r="B2746" s="10" t="s">
        <v>358</v>
      </c>
      <c r="C2746" s="124">
        <v>46437</v>
      </c>
      <c r="D2746" s="124" t="s">
        <v>471</v>
      </c>
      <c r="E2746" s="21">
        <v>0.90730571000000004</v>
      </c>
      <c r="F2746" s="10"/>
      <c r="G2746" s="14">
        <v>6006148</v>
      </c>
      <c r="H2746" s="14">
        <v>5449412.3799999999</v>
      </c>
      <c r="I2746" s="14">
        <v>6006148</v>
      </c>
      <c r="J2746" s="14">
        <v>5449412.3799999999</v>
      </c>
      <c r="K2746" s="12">
        <v>1370661</v>
      </c>
      <c r="L2746" s="10" t="s">
        <v>101</v>
      </c>
      <c r="M2746" s="10" t="s">
        <v>102</v>
      </c>
      <c r="N2746" s="124" t="s">
        <v>439</v>
      </c>
      <c r="O2746" s="124" t="s">
        <v>439</v>
      </c>
      <c r="P2746" s="21">
        <v>33</v>
      </c>
      <c r="Q2746" s="10" t="s">
        <v>54</v>
      </c>
      <c r="R2746" s="10" t="s">
        <v>28</v>
      </c>
      <c r="S2746" s="10"/>
      <c r="T2746" s="10"/>
      <c r="U2746" s="10" t="s">
        <v>2304</v>
      </c>
      <c r="V2746" s="10" t="s">
        <v>2304</v>
      </c>
      <c r="W2746" s="50">
        <f>+J2746/$W$2</f>
        <v>6.6693427714083193E-5</v>
      </c>
    </row>
    <row r="2747" spans="1:23">
      <c r="A2747" s="10" t="s">
        <v>364</v>
      </c>
      <c r="B2747" s="10" t="s">
        <v>358</v>
      </c>
      <c r="C2747" s="124">
        <v>46437</v>
      </c>
      <c r="D2747" s="124" t="s">
        <v>471</v>
      </c>
      <c r="E2747" s="21">
        <v>0.90730577999999995</v>
      </c>
      <c r="F2747" s="10"/>
      <c r="G2747" s="14">
        <v>11321347.039999999</v>
      </c>
      <c r="H2747" s="14">
        <v>10271923.57</v>
      </c>
      <c r="I2747" s="14">
        <v>11321347.039999999</v>
      </c>
      <c r="J2747" s="14">
        <v>10271923.57</v>
      </c>
      <c r="K2747" s="12">
        <v>31228</v>
      </c>
      <c r="L2747" s="10" t="s">
        <v>101</v>
      </c>
      <c r="M2747" s="10" t="s">
        <v>102</v>
      </c>
      <c r="N2747" s="124" t="s">
        <v>467</v>
      </c>
      <c r="O2747" s="124" t="s">
        <v>467</v>
      </c>
      <c r="P2747" s="21">
        <v>33</v>
      </c>
      <c r="Q2747" s="10" t="s">
        <v>54</v>
      </c>
      <c r="R2747" s="10" t="s">
        <v>28</v>
      </c>
      <c r="S2747" s="10"/>
      <c r="T2747" s="10"/>
      <c r="U2747" s="10" t="s">
        <v>3675</v>
      </c>
      <c r="V2747" s="10" t="s">
        <v>3675</v>
      </c>
      <c r="W2747" s="50">
        <f>+J2747/$W$2</f>
        <v>1.2571443383779709E-4</v>
      </c>
    </row>
    <row r="2748" spans="1:23">
      <c r="A2748" s="10" t="s">
        <v>623</v>
      </c>
      <c r="B2748" s="10" t="s">
        <v>358</v>
      </c>
      <c r="C2748" s="124">
        <v>46437</v>
      </c>
      <c r="D2748" s="124" t="s">
        <v>471</v>
      </c>
      <c r="E2748" s="21">
        <v>0.90730582999999998</v>
      </c>
      <c r="F2748" s="10"/>
      <c r="G2748" s="14">
        <v>2500000</v>
      </c>
      <c r="H2748" s="14">
        <v>2268264.58</v>
      </c>
      <c r="I2748" s="14">
        <v>2500000</v>
      </c>
      <c r="J2748" s="14">
        <v>2268264.58</v>
      </c>
      <c r="K2748" s="12">
        <v>36</v>
      </c>
      <c r="L2748" s="10" t="s">
        <v>101</v>
      </c>
      <c r="M2748" s="10" t="s">
        <v>102</v>
      </c>
      <c r="N2748" s="124" t="s">
        <v>508</v>
      </c>
      <c r="O2748" s="124" t="s">
        <v>508</v>
      </c>
      <c r="P2748" s="21">
        <v>33</v>
      </c>
      <c r="Q2748" s="10" t="s">
        <v>54</v>
      </c>
      <c r="R2748" s="10" t="s">
        <v>28</v>
      </c>
      <c r="S2748" s="10"/>
      <c r="T2748" s="10"/>
      <c r="U2748" s="10" t="s">
        <v>3008</v>
      </c>
      <c r="V2748" s="10" t="s">
        <v>3008</v>
      </c>
      <c r="W2748" s="50">
        <f>+J2748/$W$2</f>
        <v>2.7760486682537554E-5</v>
      </c>
    </row>
    <row r="2749" spans="1:23">
      <c r="A2749" s="10" t="s">
        <v>375</v>
      </c>
      <c r="B2749" s="10" t="s">
        <v>358</v>
      </c>
      <c r="C2749" s="124">
        <v>46440</v>
      </c>
      <c r="D2749" s="124" t="s">
        <v>471</v>
      </c>
      <c r="E2749" s="21">
        <v>0.91031525999999996</v>
      </c>
      <c r="F2749" s="10"/>
      <c r="G2749" s="14">
        <v>40000000</v>
      </c>
      <c r="H2749" s="14">
        <v>36412610.369999997</v>
      </c>
      <c r="I2749" s="14">
        <v>40000000</v>
      </c>
      <c r="J2749" s="14">
        <v>36412610.369999997</v>
      </c>
      <c r="K2749" s="12">
        <v>14046</v>
      </c>
      <c r="L2749" s="10" t="s">
        <v>101</v>
      </c>
      <c r="M2749" s="10" t="s">
        <v>102</v>
      </c>
      <c r="N2749" s="124" t="s">
        <v>478</v>
      </c>
      <c r="O2749" s="124" t="s">
        <v>478</v>
      </c>
      <c r="P2749" s="21">
        <v>31</v>
      </c>
      <c r="Q2749" s="10" t="s">
        <v>54</v>
      </c>
      <c r="R2749" s="10" t="s">
        <v>28</v>
      </c>
      <c r="S2749" s="10"/>
      <c r="T2749" s="10"/>
      <c r="U2749" s="10" t="s">
        <v>2146</v>
      </c>
      <c r="V2749" s="10" t="s">
        <v>2146</v>
      </c>
      <c r="W2749" s="50">
        <f>+J2749/$W$2</f>
        <v>4.4564103948262229E-4</v>
      </c>
    </row>
    <row r="2750" spans="1:23">
      <c r="A2750" s="10" t="s">
        <v>375</v>
      </c>
      <c r="B2750" s="10" t="s">
        <v>358</v>
      </c>
      <c r="C2750" s="124">
        <v>46440</v>
      </c>
      <c r="D2750" s="124" t="s">
        <v>471</v>
      </c>
      <c r="E2750" s="21">
        <v>0.91031525999999996</v>
      </c>
      <c r="F2750" s="10"/>
      <c r="G2750" s="14">
        <v>21076489.489999998</v>
      </c>
      <c r="H2750" s="14">
        <v>19186249.989999998</v>
      </c>
      <c r="I2750" s="14">
        <v>21076489.489999998</v>
      </c>
      <c r="J2750" s="14">
        <v>19186249.989999998</v>
      </c>
      <c r="K2750" s="12">
        <v>14049</v>
      </c>
      <c r="L2750" s="10" t="s">
        <v>101</v>
      </c>
      <c r="M2750" s="10" t="s">
        <v>102</v>
      </c>
      <c r="N2750" s="124" t="s">
        <v>478</v>
      </c>
      <c r="O2750" s="124" t="s">
        <v>478</v>
      </c>
      <c r="P2750" s="21">
        <v>31</v>
      </c>
      <c r="Q2750" s="10" t="s">
        <v>54</v>
      </c>
      <c r="R2750" s="10" t="s">
        <v>28</v>
      </c>
      <c r="S2750" s="10"/>
      <c r="T2750" s="10"/>
      <c r="U2750" s="10" t="s">
        <v>2148</v>
      </c>
      <c r="V2750" s="10" t="s">
        <v>2148</v>
      </c>
      <c r="W2750" s="50">
        <f>+J2750/$W$2</f>
        <v>2.3481371707317813E-4</v>
      </c>
    </row>
    <row r="2751" spans="1:23">
      <c r="A2751" s="10" t="s">
        <v>375</v>
      </c>
      <c r="B2751" s="10" t="s">
        <v>358</v>
      </c>
      <c r="C2751" s="124">
        <v>46440</v>
      </c>
      <c r="D2751" s="124" t="s">
        <v>471</v>
      </c>
      <c r="E2751" s="21">
        <v>0.91031525999999996</v>
      </c>
      <c r="F2751" s="10"/>
      <c r="G2751" s="14">
        <v>3640499.43</v>
      </c>
      <c r="H2751" s="14">
        <v>3314002.18</v>
      </c>
      <c r="I2751" s="14">
        <v>3640499.43</v>
      </c>
      <c r="J2751" s="14">
        <v>3314002.18</v>
      </c>
      <c r="K2751" s="12">
        <v>14050</v>
      </c>
      <c r="L2751" s="10" t="s">
        <v>101</v>
      </c>
      <c r="M2751" s="10" t="s">
        <v>102</v>
      </c>
      <c r="N2751" s="124" t="s">
        <v>478</v>
      </c>
      <c r="O2751" s="124" t="s">
        <v>478</v>
      </c>
      <c r="P2751" s="21">
        <v>31</v>
      </c>
      <c r="Q2751" s="10" t="s">
        <v>54</v>
      </c>
      <c r="R2751" s="10" t="s">
        <v>28</v>
      </c>
      <c r="S2751" s="10"/>
      <c r="T2751" s="10"/>
      <c r="U2751" s="10" t="s">
        <v>2149</v>
      </c>
      <c r="V2751" s="10" t="s">
        <v>2149</v>
      </c>
      <c r="W2751" s="50">
        <f>+J2751/$W$2</f>
        <v>4.0558898725910722E-5</v>
      </c>
    </row>
    <row r="2752" spans="1:23">
      <c r="A2752" s="10" t="s">
        <v>375</v>
      </c>
      <c r="B2752" s="10" t="s">
        <v>358</v>
      </c>
      <c r="C2752" s="124">
        <v>46440</v>
      </c>
      <c r="D2752" s="124" t="s">
        <v>471</v>
      </c>
      <c r="E2752" s="21">
        <v>0.91031525999999996</v>
      </c>
      <c r="F2752" s="10"/>
      <c r="G2752" s="14">
        <v>26701225.219999999</v>
      </c>
      <c r="H2752" s="14">
        <v>24306532.760000002</v>
      </c>
      <c r="I2752" s="14">
        <v>26701225.219999999</v>
      </c>
      <c r="J2752" s="14">
        <v>24306532.760000002</v>
      </c>
      <c r="K2752" s="12">
        <v>14047</v>
      </c>
      <c r="L2752" s="10" t="s">
        <v>101</v>
      </c>
      <c r="M2752" s="10" t="s">
        <v>102</v>
      </c>
      <c r="N2752" s="124" t="s">
        <v>478</v>
      </c>
      <c r="O2752" s="124" t="s">
        <v>478</v>
      </c>
      <c r="P2752" s="21">
        <v>31</v>
      </c>
      <c r="Q2752" s="10" t="s">
        <v>54</v>
      </c>
      <c r="R2752" s="10" t="s">
        <v>28</v>
      </c>
      <c r="S2752" s="10"/>
      <c r="T2752" s="10"/>
      <c r="U2752" s="10" t="s">
        <v>2150</v>
      </c>
      <c r="V2752" s="10" t="s">
        <v>2150</v>
      </c>
      <c r="W2752" s="50">
        <f>+J2752/$W$2</f>
        <v>2.9747904408164005E-4</v>
      </c>
    </row>
    <row r="2753" spans="1:23">
      <c r="A2753" s="10" t="s">
        <v>4044</v>
      </c>
      <c r="B2753" s="10" t="s">
        <v>358</v>
      </c>
      <c r="C2753" s="124">
        <v>46440</v>
      </c>
      <c r="D2753" s="124" t="s">
        <v>471</v>
      </c>
      <c r="E2753" s="21">
        <v>0.91295671</v>
      </c>
      <c r="F2753" s="10"/>
      <c r="G2753" s="14">
        <v>15000000</v>
      </c>
      <c r="H2753" s="14">
        <v>13694350.67</v>
      </c>
      <c r="I2753" s="14">
        <v>15000000</v>
      </c>
      <c r="J2753" s="14">
        <v>13694350.67</v>
      </c>
      <c r="K2753" s="12">
        <v>1422</v>
      </c>
      <c r="L2753" s="10" t="s">
        <v>101</v>
      </c>
      <c r="M2753" s="10" t="s">
        <v>102</v>
      </c>
      <c r="N2753" s="124" t="s">
        <v>469</v>
      </c>
      <c r="O2753" s="124" t="s">
        <v>469</v>
      </c>
      <c r="P2753" s="21">
        <v>30</v>
      </c>
      <c r="Q2753" s="10" t="s">
        <v>54</v>
      </c>
      <c r="R2753" s="10" t="s">
        <v>28</v>
      </c>
      <c r="S2753" s="10"/>
      <c r="T2753" s="10"/>
      <c r="U2753" s="10" t="s">
        <v>3956</v>
      </c>
      <c r="V2753" s="10" t="s">
        <v>3956</v>
      </c>
      <c r="W2753" s="50">
        <f>+J2753/$W$2</f>
        <v>1.6760030675104675E-4</v>
      </c>
    </row>
    <row r="2754" spans="1:23">
      <c r="A2754" s="10" t="s">
        <v>364</v>
      </c>
      <c r="B2754" s="10" t="s">
        <v>358</v>
      </c>
      <c r="C2754" s="124">
        <v>46440</v>
      </c>
      <c r="D2754" s="124" t="s">
        <v>471</v>
      </c>
      <c r="E2754" s="21">
        <v>0.90507850999999995</v>
      </c>
      <c r="F2754" s="10"/>
      <c r="G2754" s="14">
        <v>11321347.039999999</v>
      </c>
      <c r="H2754" s="14">
        <v>10246707.859999999</v>
      </c>
      <c r="I2754" s="14">
        <v>11321347.039999999</v>
      </c>
      <c r="J2754" s="14">
        <v>10246707.859999999</v>
      </c>
      <c r="K2754" s="12">
        <v>31229</v>
      </c>
      <c r="L2754" s="10" t="s">
        <v>101</v>
      </c>
      <c r="M2754" s="10" t="s">
        <v>102</v>
      </c>
      <c r="N2754" s="124" t="s">
        <v>467</v>
      </c>
      <c r="O2754" s="124" t="s">
        <v>467</v>
      </c>
      <c r="P2754" s="21">
        <v>33</v>
      </c>
      <c r="Q2754" s="10" t="s">
        <v>54</v>
      </c>
      <c r="R2754" s="10" t="s">
        <v>28</v>
      </c>
      <c r="S2754" s="10"/>
      <c r="T2754" s="10"/>
      <c r="U2754" s="10" t="s">
        <v>3676</v>
      </c>
      <c r="V2754" s="10" t="s">
        <v>3676</v>
      </c>
      <c r="W2754" s="50">
        <f>+J2754/$W$2</f>
        <v>1.2540582769554284E-4</v>
      </c>
    </row>
    <row r="2755" spans="1:23">
      <c r="A2755" s="10" t="s">
        <v>3577</v>
      </c>
      <c r="B2755" s="10" t="s">
        <v>358</v>
      </c>
      <c r="C2755" s="124">
        <v>46440</v>
      </c>
      <c r="D2755" s="124" t="s">
        <v>471</v>
      </c>
      <c r="E2755" s="21">
        <v>0.90248245000000005</v>
      </c>
      <c r="F2755" s="10"/>
      <c r="G2755" s="14">
        <v>4927055.72</v>
      </c>
      <c r="H2755" s="14">
        <v>4446581.33</v>
      </c>
      <c r="I2755" s="14">
        <v>4927055.72</v>
      </c>
      <c r="J2755" s="14">
        <v>4446581.33</v>
      </c>
      <c r="K2755" s="12">
        <v>1497</v>
      </c>
      <c r="L2755" s="10" t="s">
        <v>101</v>
      </c>
      <c r="M2755" s="10" t="s">
        <v>102</v>
      </c>
      <c r="N2755" s="124" t="s">
        <v>451</v>
      </c>
      <c r="O2755" s="124" t="s">
        <v>451</v>
      </c>
      <c r="P2755" s="21">
        <v>34</v>
      </c>
      <c r="Q2755" s="10" t="s">
        <v>54</v>
      </c>
      <c r="R2755" s="10" t="s">
        <v>28</v>
      </c>
      <c r="S2755" s="10"/>
      <c r="T2755" s="10"/>
      <c r="U2755" s="10" t="s">
        <v>3488</v>
      </c>
      <c r="V2755" s="10" t="s">
        <v>3488</v>
      </c>
      <c r="W2755" s="50">
        <f>+J2755/$W$2</f>
        <v>5.4420133736905208E-5</v>
      </c>
    </row>
    <row r="2756" spans="1:23">
      <c r="A2756" s="10" t="s">
        <v>400</v>
      </c>
      <c r="B2756" s="10" t="s">
        <v>358</v>
      </c>
      <c r="C2756" s="124">
        <v>46441</v>
      </c>
      <c r="D2756" s="124" t="s">
        <v>471</v>
      </c>
      <c r="E2756" s="21">
        <v>0.91360777000000004</v>
      </c>
      <c r="F2756" s="10"/>
      <c r="G2756" s="14">
        <v>5633315</v>
      </c>
      <c r="H2756" s="14">
        <v>5146640.33</v>
      </c>
      <c r="I2756" s="14">
        <v>5633315</v>
      </c>
      <c r="J2756" s="14">
        <v>5146640.33</v>
      </c>
      <c r="K2756" s="12">
        <v>69874693</v>
      </c>
      <c r="L2756" s="10" t="s">
        <v>101</v>
      </c>
      <c r="M2756" s="10" t="s">
        <v>102</v>
      </c>
      <c r="N2756" s="124" t="s">
        <v>439</v>
      </c>
      <c r="O2756" s="124" t="s">
        <v>439</v>
      </c>
      <c r="P2756" s="21">
        <v>29.5</v>
      </c>
      <c r="Q2756" s="10" t="s">
        <v>54</v>
      </c>
      <c r="R2756" s="10" t="s">
        <v>28</v>
      </c>
      <c r="S2756" s="10"/>
      <c r="T2756" s="10"/>
      <c r="U2756" s="10" t="s">
        <v>2229</v>
      </c>
      <c r="V2756" s="10" t="s">
        <v>2229</v>
      </c>
      <c r="W2756" s="50">
        <f>+J2756/$W$2</f>
        <v>6.2987907848376172E-5</v>
      </c>
    </row>
    <row r="2757" spans="1:23">
      <c r="A2757" s="10" t="s">
        <v>2079</v>
      </c>
      <c r="B2757" s="10" t="s">
        <v>358</v>
      </c>
      <c r="C2757" s="124">
        <v>46441</v>
      </c>
      <c r="D2757" s="124" t="s">
        <v>471</v>
      </c>
      <c r="E2757" s="21">
        <v>0.90696756999999995</v>
      </c>
      <c r="F2757" s="10"/>
      <c r="G2757" s="14">
        <v>75000000</v>
      </c>
      <c r="H2757" s="14">
        <v>68022567.709999993</v>
      </c>
      <c r="I2757" s="14">
        <v>75000000</v>
      </c>
      <c r="J2757" s="14">
        <v>68022567.709999993</v>
      </c>
      <c r="K2757" s="12">
        <v>51413</v>
      </c>
      <c r="L2757" s="10" t="s">
        <v>101</v>
      </c>
      <c r="M2757" s="10" t="s">
        <v>102</v>
      </c>
      <c r="N2757" s="124" t="s">
        <v>576</v>
      </c>
      <c r="O2757" s="124" t="s">
        <v>576</v>
      </c>
      <c r="P2757" s="21">
        <v>32</v>
      </c>
      <c r="Q2757" s="10" t="s">
        <v>54</v>
      </c>
      <c r="R2757" s="10" t="s">
        <v>28</v>
      </c>
      <c r="S2757" s="10"/>
      <c r="T2757" s="10"/>
      <c r="U2757" s="10" t="s">
        <v>2360</v>
      </c>
      <c r="V2757" s="10" t="s">
        <v>2360</v>
      </c>
      <c r="W2757" s="50">
        <f>+J2757/$W$2</f>
        <v>8.325041098271983E-4</v>
      </c>
    </row>
    <row r="2758" spans="1:23">
      <c r="A2758" s="10" t="s">
        <v>2079</v>
      </c>
      <c r="B2758" s="10" t="s">
        <v>358</v>
      </c>
      <c r="C2758" s="124">
        <v>46441</v>
      </c>
      <c r="D2758" s="124" t="s">
        <v>471</v>
      </c>
      <c r="E2758" s="21">
        <v>0.90696759000000005</v>
      </c>
      <c r="F2758" s="10"/>
      <c r="G2758" s="14">
        <v>55000000</v>
      </c>
      <c r="H2758" s="14">
        <v>49883217.630000003</v>
      </c>
      <c r="I2758" s="14">
        <v>55000000</v>
      </c>
      <c r="J2758" s="14">
        <v>49883217.630000003</v>
      </c>
      <c r="K2758" s="12">
        <v>51556</v>
      </c>
      <c r="L2758" s="10" t="s">
        <v>101</v>
      </c>
      <c r="M2758" s="10" t="s">
        <v>102</v>
      </c>
      <c r="N2758" s="124" t="s">
        <v>577</v>
      </c>
      <c r="O2758" s="124" t="s">
        <v>577</v>
      </c>
      <c r="P2758" s="21">
        <v>32</v>
      </c>
      <c r="Q2758" s="10" t="s">
        <v>54</v>
      </c>
      <c r="R2758" s="10" t="s">
        <v>28</v>
      </c>
      <c r="S2758" s="10"/>
      <c r="T2758" s="10"/>
      <c r="U2758" s="10" t="s">
        <v>2479</v>
      </c>
      <c r="V2758" s="10" t="s">
        <v>2479</v>
      </c>
      <c r="W2758" s="50">
        <f>+J2758/$W$2</f>
        <v>6.1050302989774572E-4</v>
      </c>
    </row>
    <row r="2759" spans="1:23">
      <c r="A2759" s="10" t="s">
        <v>2758</v>
      </c>
      <c r="B2759" s="10" t="s">
        <v>358</v>
      </c>
      <c r="C2759" s="124">
        <v>46441</v>
      </c>
      <c r="D2759" s="124" t="s">
        <v>471</v>
      </c>
      <c r="E2759" s="21">
        <v>0.91494759000000003</v>
      </c>
      <c r="F2759" s="10"/>
      <c r="G2759" s="14">
        <v>12252176.529999999</v>
      </c>
      <c r="H2759" s="14">
        <v>11210099.41</v>
      </c>
      <c r="I2759" s="14">
        <v>12252176.529999999</v>
      </c>
      <c r="J2759" s="14">
        <v>11210099.41</v>
      </c>
      <c r="K2759" s="12">
        <v>70060287</v>
      </c>
      <c r="L2759" s="10" t="s">
        <v>101</v>
      </c>
      <c r="M2759" s="10" t="s">
        <v>102</v>
      </c>
      <c r="N2759" s="124" t="s">
        <v>440</v>
      </c>
      <c r="O2759" s="124" t="s">
        <v>440</v>
      </c>
      <c r="P2759" s="21">
        <v>29</v>
      </c>
      <c r="Q2759" s="10" t="s">
        <v>54</v>
      </c>
      <c r="R2759" s="10" t="s">
        <v>28</v>
      </c>
      <c r="S2759" s="10"/>
      <c r="T2759" s="10"/>
      <c r="U2759" s="10" t="s">
        <v>2691</v>
      </c>
      <c r="V2759" s="10" t="s">
        <v>2691</v>
      </c>
      <c r="W2759" s="50">
        <f>+J2759/$W$2</f>
        <v>1.3719643560330475E-4</v>
      </c>
    </row>
    <row r="2760" spans="1:23">
      <c r="A2760" s="10" t="s">
        <v>364</v>
      </c>
      <c r="B2760" s="10" t="s">
        <v>358</v>
      </c>
      <c r="C2760" s="124">
        <v>46441</v>
      </c>
      <c r="D2760" s="124" t="s">
        <v>471</v>
      </c>
      <c r="E2760" s="21">
        <v>0.90433843000000003</v>
      </c>
      <c r="F2760" s="10"/>
      <c r="G2760" s="14">
        <v>11321347.039999999</v>
      </c>
      <c r="H2760" s="14">
        <v>10238329.15</v>
      </c>
      <c r="I2760" s="14">
        <v>11321347.039999999</v>
      </c>
      <c r="J2760" s="14">
        <v>10238329.15</v>
      </c>
      <c r="K2760" s="12">
        <v>31230</v>
      </c>
      <c r="L2760" s="10" t="s">
        <v>101</v>
      </c>
      <c r="M2760" s="10" t="s">
        <v>102</v>
      </c>
      <c r="N2760" s="124" t="s">
        <v>467</v>
      </c>
      <c r="O2760" s="124" t="s">
        <v>467</v>
      </c>
      <c r="P2760" s="21">
        <v>33</v>
      </c>
      <c r="Q2760" s="10" t="s">
        <v>54</v>
      </c>
      <c r="R2760" s="10" t="s">
        <v>28</v>
      </c>
      <c r="S2760" s="10"/>
      <c r="T2760" s="10"/>
      <c r="U2760" s="10" t="s">
        <v>3677</v>
      </c>
      <c r="V2760" s="10" t="s">
        <v>3677</v>
      </c>
      <c r="W2760" s="50">
        <f>+J2760/$W$2</f>
        <v>1.2530328363193462E-4</v>
      </c>
    </row>
    <row r="2761" spans="1:23">
      <c r="A2761" s="10" t="s">
        <v>3581</v>
      </c>
      <c r="B2761" s="10" t="s">
        <v>358</v>
      </c>
      <c r="C2761" s="124">
        <v>46441</v>
      </c>
      <c r="D2761" s="124" t="s">
        <v>471</v>
      </c>
      <c r="E2761" s="21">
        <v>0.90172459000000005</v>
      </c>
      <c r="F2761" s="10"/>
      <c r="G2761" s="14">
        <v>1257626.56</v>
      </c>
      <c r="H2761" s="14">
        <v>1134032.79</v>
      </c>
      <c r="I2761" s="14">
        <v>1257626.56</v>
      </c>
      <c r="J2761" s="14">
        <v>1134032.79</v>
      </c>
      <c r="K2761" s="12">
        <v>129</v>
      </c>
      <c r="L2761" s="10" t="s">
        <v>101</v>
      </c>
      <c r="M2761" s="10" t="s">
        <v>102</v>
      </c>
      <c r="N2761" s="124" t="s">
        <v>451</v>
      </c>
      <c r="O2761" s="124" t="s">
        <v>451</v>
      </c>
      <c r="P2761" s="21">
        <v>34</v>
      </c>
      <c r="Q2761" s="10" t="s">
        <v>54</v>
      </c>
      <c r="R2761" s="10" t="s">
        <v>28</v>
      </c>
      <c r="S2761" s="10"/>
      <c r="T2761" s="10"/>
      <c r="U2761" s="10" t="s">
        <v>3500</v>
      </c>
      <c r="V2761" s="10" t="s">
        <v>3500</v>
      </c>
      <c r="W2761" s="50">
        <f>+J2761/$W$2</f>
        <v>1.3879025596015747E-5</v>
      </c>
    </row>
    <row r="2762" spans="1:23">
      <c r="A2762" s="10" t="s">
        <v>3792</v>
      </c>
      <c r="B2762" s="10" t="s">
        <v>358</v>
      </c>
      <c r="C2762" s="124">
        <v>46441</v>
      </c>
      <c r="D2762" s="124" t="s">
        <v>471</v>
      </c>
      <c r="E2762" s="21">
        <v>0.90433832999999997</v>
      </c>
      <c r="F2762" s="10"/>
      <c r="G2762" s="14">
        <v>240000</v>
      </c>
      <c r="H2762" s="14">
        <v>217041.2</v>
      </c>
      <c r="I2762" s="14">
        <v>240000</v>
      </c>
      <c r="J2762" s="14">
        <v>217041.2</v>
      </c>
      <c r="K2762" s="12">
        <v>70595585</v>
      </c>
      <c r="L2762" s="10" t="s">
        <v>101</v>
      </c>
      <c r="M2762" s="10" t="s">
        <v>102</v>
      </c>
      <c r="N2762" s="124" t="s">
        <v>468</v>
      </c>
      <c r="O2762" s="124" t="s">
        <v>468</v>
      </c>
      <c r="P2762" s="21">
        <v>33</v>
      </c>
      <c r="Q2762" s="10" t="s">
        <v>54</v>
      </c>
      <c r="R2762" s="10" t="s">
        <v>28</v>
      </c>
      <c r="S2762" s="10"/>
      <c r="T2762" s="10"/>
      <c r="U2762" s="10" t="s">
        <v>3809</v>
      </c>
      <c r="V2762" s="10" t="s">
        <v>3809</v>
      </c>
      <c r="W2762" s="50">
        <f>+J2762/$W$2</f>
        <v>2.6562903619303394E-6</v>
      </c>
    </row>
    <row r="2763" spans="1:23">
      <c r="A2763" s="10" t="s">
        <v>2079</v>
      </c>
      <c r="B2763" s="10" t="s">
        <v>358</v>
      </c>
      <c r="C2763" s="124">
        <v>46442</v>
      </c>
      <c r="D2763" s="124" t="s">
        <v>471</v>
      </c>
      <c r="E2763" s="21">
        <v>0.91158859000000003</v>
      </c>
      <c r="F2763" s="10"/>
      <c r="G2763" s="14">
        <v>10000000</v>
      </c>
      <c r="H2763" s="14">
        <v>9115885.8900000006</v>
      </c>
      <c r="I2763" s="14">
        <v>10000000</v>
      </c>
      <c r="J2763" s="14">
        <v>9115885.8900000006</v>
      </c>
      <c r="K2763" s="12">
        <v>52711</v>
      </c>
      <c r="L2763" s="10" t="s">
        <v>101</v>
      </c>
      <c r="M2763" s="10" t="s">
        <v>102</v>
      </c>
      <c r="N2763" s="124" t="s">
        <v>466</v>
      </c>
      <c r="O2763" s="124" t="s">
        <v>466</v>
      </c>
      <c r="P2763" s="21">
        <v>30</v>
      </c>
      <c r="Q2763" s="10" t="s">
        <v>54</v>
      </c>
      <c r="R2763" s="10" t="s">
        <v>28</v>
      </c>
      <c r="S2763" s="10"/>
      <c r="T2763" s="10"/>
      <c r="U2763" s="10" t="s">
        <v>3640</v>
      </c>
      <c r="V2763" s="10" t="s">
        <v>3640</v>
      </c>
      <c r="W2763" s="50">
        <f>+J2763/$W$2</f>
        <v>1.1156609818810335E-4</v>
      </c>
    </row>
    <row r="2764" spans="1:23">
      <c r="A2764" s="10" t="s">
        <v>443</v>
      </c>
      <c r="B2764" s="10" t="s">
        <v>358</v>
      </c>
      <c r="C2764" s="124">
        <v>46442</v>
      </c>
      <c r="D2764" s="124" t="s">
        <v>471</v>
      </c>
      <c r="E2764" s="21">
        <v>0.90359962000000005</v>
      </c>
      <c r="F2764" s="10"/>
      <c r="G2764" s="14">
        <v>10000000</v>
      </c>
      <c r="H2764" s="14">
        <v>9035996.2400000002</v>
      </c>
      <c r="I2764" s="14">
        <v>10000000</v>
      </c>
      <c r="J2764" s="14">
        <v>9035996.2400000002</v>
      </c>
      <c r="K2764" s="12">
        <v>69401185</v>
      </c>
      <c r="L2764" s="10" t="s">
        <v>101</v>
      </c>
      <c r="M2764" s="10" t="s">
        <v>102</v>
      </c>
      <c r="N2764" s="124" t="s">
        <v>486</v>
      </c>
      <c r="O2764" s="124" t="s">
        <v>486</v>
      </c>
      <c r="P2764" s="21">
        <v>33</v>
      </c>
      <c r="Q2764" s="10" t="s">
        <v>54</v>
      </c>
      <c r="R2764" s="10" t="s">
        <v>28</v>
      </c>
      <c r="S2764" s="10"/>
      <c r="T2764" s="10"/>
      <c r="U2764" s="10" t="s">
        <v>1447</v>
      </c>
      <c r="V2764" s="10" t="s">
        <v>1447</v>
      </c>
      <c r="W2764" s="50">
        <f>+J2764/$W$2</f>
        <v>1.1058835706193473E-4</v>
      </c>
    </row>
    <row r="2765" spans="1:23">
      <c r="A2765" s="10" t="s">
        <v>443</v>
      </c>
      <c r="B2765" s="10" t="s">
        <v>358</v>
      </c>
      <c r="C2765" s="124">
        <v>46442</v>
      </c>
      <c r="D2765" s="124" t="s">
        <v>471</v>
      </c>
      <c r="E2765" s="21">
        <v>0.90624700000000002</v>
      </c>
      <c r="F2765" s="10"/>
      <c r="G2765" s="14">
        <v>4500000</v>
      </c>
      <c r="H2765" s="14">
        <v>4078111.5</v>
      </c>
      <c r="I2765" s="14">
        <v>4500000</v>
      </c>
      <c r="J2765" s="14">
        <v>4078111.5</v>
      </c>
      <c r="K2765" s="12">
        <v>70661149</v>
      </c>
      <c r="L2765" s="10" t="s">
        <v>101</v>
      </c>
      <c r="M2765" s="10" t="s">
        <v>102</v>
      </c>
      <c r="N2765" s="124" t="s">
        <v>469</v>
      </c>
      <c r="O2765" s="124" t="s">
        <v>469</v>
      </c>
      <c r="P2765" s="21">
        <v>32</v>
      </c>
      <c r="Q2765" s="10" t="s">
        <v>54</v>
      </c>
      <c r="R2765" s="10" t="s">
        <v>28</v>
      </c>
      <c r="S2765" s="10"/>
      <c r="T2765" s="10"/>
      <c r="U2765" s="10" t="s">
        <v>4028</v>
      </c>
      <c r="V2765" s="10" t="s">
        <v>4028</v>
      </c>
      <c r="W2765" s="50">
        <f>+J2765/$W$2</f>
        <v>4.9910562014618791E-5</v>
      </c>
    </row>
    <row r="2766" spans="1:23">
      <c r="A2766" s="10" t="s">
        <v>2758</v>
      </c>
      <c r="B2766" s="10" t="s">
        <v>358</v>
      </c>
      <c r="C2766" s="124">
        <v>46442</v>
      </c>
      <c r="D2766" s="124" t="s">
        <v>471</v>
      </c>
      <c r="E2766" s="21">
        <v>0.91428290999999995</v>
      </c>
      <c r="F2766" s="10"/>
      <c r="G2766" s="14">
        <v>12258159.039999999</v>
      </c>
      <c r="H2766" s="14">
        <v>11207425.26</v>
      </c>
      <c r="I2766" s="14">
        <v>12258159.039999999</v>
      </c>
      <c r="J2766" s="14">
        <v>11207425.26</v>
      </c>
      <c r="K2766" s="12">
        <v>70060311</v>
      </c>
      <c r="L2766" s="10" t="s">
        <v>101</v>
      </c>
      <c r="M2766" s="10" t="s">
        <v>102</v>
      </c>
      <c r="N2766" s="124" t="s">
        <v>440</v>
      </c>
      <c r="O2766" s="124" t="s">
        <v>440</v>
      </c>
      <c r="P2766" s="21">
        <v>29</v>
      </c>
      <c r="Q2766" s="10" t="s">
        <v>54</v>
      </c>
      <c r="R2766" s="10" t="s">
        <v>28</v>
      </c>
      <c r="S2766" s="10"/>
      <c r="T2766" s="10"/>
      <c r="U2766" s="10" t="s">
        <v>2692</v>
      </c>
      <c r="V2766" s="10" t="s">
        <v>2692</v>
      </c>
      <c r="W2766" s="50">
        <f>+J2766/$W$2</f>
        <v>1.3716370762874804E-4</v>
      </c>
    </row>
    <row r="2767" spans="1:23">
      <c r="A2767" s="10" t="s">
        <v>1893</v>
      </c>
      <c r="B2767" s="10" t="s">
        <v>358</v>
      </c>
      <c r="C2767" s="124">
        <v>46442</v>
      </c>
      <c r="D2767" s="124" t="s">
        <v>471</v>
      </c>
      <c r="E2767" s="21">
        <v>0.91971994999999995</v>
      </c>
      <c r="F2767" s="10"/>
      <c r="G2767" s="14">
        <v>19550000</v>
      </c>
      <c r="H2767" s="14">
        <v>17980525.09</v>
      </c>
      <c r="I2767" s="14">
        <v>19550000</v>
      </c>
      <c r="J2767" s="14">
        <v>17980525.09</v>
      </c>
      <c r="K2767" s="12">
        <v>90017129</v>
      </c>
      <c r="L2767" s="10" t="s">
        <v>101</v>
      </c>
      <c r="M2767" s="10" t="s">
        <v>102</v>
      </c>
      <c r="N2767" s="124" t="s">
        <v>471</v>
      </c>
      <c r="O2767" s="124" t="s">
        <v>471</v>
      </c>
      <c r="P2767" s="21">
        <v>27</v>
      </c>
      <c r="Q2767" s="10" t="s">
        <v>54</v>
      </c>
      <c r="R2767" s="10" t="s">
        <v>28</v>
      </c>
      <c r="S2767" s="10"/>
      <c r="T2767" s="10"/>
      <c r="U2767" s="10" t="s">
        <v>4074</v>
      </c>
      <c r="V2767" s="10" t="s">
        <v>4074</v>
      </c>
      <c r="W2767" s="50">
        <f>+J2767/$W$2</f>
        <v>2.2005727713914986E-4</v>
      </c>
    </row>
    <row r="2768" spans="1:23">
      <c r="A2768" s="10" t="s">
        <v>1893</v>
      </c>
      <c r="B2768" s="10" t="s">
        <v>358</v>
      </c>
      <c r="C2768" s="124">
        <v>46442</v>
      </c>
      <c r="D2768" s="124" t="s">
        <v>471</v>
      </c>
      <c r="E2768" s="21">
        <v>0.91971994999999995</v>
      </c>
      <c r="F2768" s="10"/>
      <c r="G2768" s="14">
        <v>30000000</v>
      </c>
      <c r="H2768" s="14">
        <v>27591598.609999999</v>
      </c>
      <c r="I2768" s="14">
        <v>30000000</v>
      </c>
      <c r="J2768" s="14">
        <v>27591598.609999999</v>
      </c>
      <c r="K2768" s="12">
        <v>1832</v>
      </c>
      <c r="L2768" s="10" t="s">
        <v>101</v>
      </c>
      <c r="M2768" s="10" t="s">
        <v>102</v>
      </c>
      <c r="N2768" s="124" t="s">
        <v>471</v>
      </c>
      <c r="O2768" s="124" t="s">
        <v>471</v>
      </c>
      <c r="P2768" s="21">
        <v>27</v>
      </c>
      <c r="Q2768" s="10" t="s">
        <v>54</v>
      </c>
      <c r="R2768" s="10" t="s">
        <v>28</v>
      </c>
      <c r="S2768" s="10"/>
      <c r="T2768" s="10"/>
      <c r="U2768" s="10" t="s">
        <v>4087</v>
      </c>
      <c r="V2768" s="10" t="s">
        <v>4087</v>
      </c>
      <c r="W2768" s="50">
        <f>+J2768/$W$2</f>
        <v>3.3768380131511227E-4</v>
      </c>
    </row>
    <row r="2769" spans="1:23">
      <c r="A2769" s="10" t="s">
        <v>220</v>
      </c>
      <c r="B2769" s="10" t="s">
        <v>358</v>
      </c>
      <c r="C2769" s="124">
        <v>46442</v>
      </c>
      <c r="D2769" s="124" t="s">
        <v>471</v>
      </c>
      <c r="E2769" s="21">
        <v>0.90359966999999997</v>
      </c>
      <c r="F2769" s="10"/>
      <c r="G2769" s="14">
        <v>20000000</v>
      </c>
      <c r="H2769" s="14">
        <v>18071993.32</v>
      </c>
      <c r="I2769" s="14">
        <v>20000000</v>
      </c>
      <c r="J2769" s="14">
        <v>18071993.32</v>
      </c>
      <c r="K2769" s="12">
        <v>1405376</v>
      </c>
      <c r="L2769" s="10" t="s">
        <v>101</v>
      </c>
      <c r="M2769" s="10" t="s">
        <v>102</v>
      </c>
      <c r="N2769" s="124" t="s">
        <v>451</v>
      </c>
      <c r="O2769" s="124" t="s">
        <v>451</v>
      </c>
      <c r="P2769" s="21">
        <v>33</v>
      </c>
      <c r="Q2769" s="10" t="s">
        <v>54</v>
      </c>
      <c r="R2769" s="10" t="s">
        <v>28</v>
      </c>
      <c r="S2769" s="10"/>
      <c r="T2769" s="10"/>
      <c r="U2769" s="10" t="s">
        <v>3513</v>
      </c>
      <c r="V2769" s="10" t="s">
        <v>3513</v>
      </c>
      <c r="W2769" s="50">
        <f>+J2769/$W$2</f>
        <v>2.2117672440433189E-4</v>
      </c>
    </row>
    <row r="2770" spans="1:23">
      <c r="A2770" s="10" t="s">
        <v>574</v>
      </c>
      <c r="B2770" s="10" t="s">
        <v>358</v>
      </c>
      <c r="C2770" s="124">
        <v>46442</v>
      </c>
      <c r="D2770" s="124" t="s">
        <v>471</v>
      </c>
      <c r="E2770" s="21">
        <v>0.91158841999999995</v>
      </c>
      <c r="F2770" s="10"/>
      <c r="G2770" s="14">
        <v>40000000</v>
      </c>
      <c r="H2770" s="14">
        <v>36463536.68</v>
      </c>
      <c r="I2770" s="14">
        <v>40000000</v>
      </c>
      <c r="J2770" s="14">
        <v>36463536.68</v>
      </c>
      <c r="K2770" s="12">
        <v>90004384</v>
      </c>
      <c r="L2770" s="10" t="s">
        <v>101</v>
      </c>
      <c r="M2770" s="10" t="s">
        <v>102</v>
      </c>
      <c r="N2770" s="124" t="s">
        <v>467</v>
      </c>
      <c r="O2770" s="124" t="s">
        <v>467</v>
      </c>
      <c r="P2770" s="21">
        <v>30</v>
      </c>
      <c r="Q2770" s="10" t="s">
        <v>54</v>
      </c>
      <c r="R2770" s="10" t="s">
        <v>28</v>
      </c>
      <c r="S2770" s="10"/>
      <c r="T2770" s="10"/>
      <c r="U2770" s="10" t="s">
        <v>3765</v>
      </c>
      <c r="V2770" s="10" t="s">
        <v>3765</v>
      </c>
      <c r="W2770" s="50">
        <f>+J2770/$W$2</f>
        <v>4.4626430855053054E-4</v>
      </c>
    </row>
    <row r="2771" spans="1:23">
      <c r="A2771" s="10" t="s">
        <v>364</v>
      </c>
      <c r="B2771" s="10" t="s">
        <v>358</v>
      </c>
      <c r="C2771" s="124">
        <v>46442</v>
      </c>
      <c r="D2771" s="124" t="s">
        <v>471</v>
      </c>
      <c r="E2771" s="21">
        <v>0.90359955000000003</v>
      </c>
      <c r="F2771" s="10"/>
      <c r="G2771" s="14">
        <v>11321347.039999999</v>
      </c>
      <c r="H2771" s="14">
        <v>10229964.119999999</v>
      </c>
      <c r="I2771" s="14">
        <v>11321347.039999999</v>
      </c>
      <c r="J2771" s="14">
        <v>10229964.119999999</v>
      </c>
      <c r="K2771" s="12">
        <v>31231</v>
      </c>
      <c r="L2771" s="10" t="s">
        <v>101</v>
      </c>
      <c r="M2771" s="10" t="s">
        <v>102</v>
      </c>
      <c r="N2771" s="124" t="s">
        <v>467</v>
      </c>
      <c r="O2771" s="124" t="s">
        <v>467</v>
      </c>
      <c r="P2771" s="21">
        <v>33</v>
      </c>
      <c r="Q2771" s="10" t="s">
        <v>54</v>
      </c>
      <c r="R2771" s="10" t="s">
        <v>28</v>
      </c>
      <c r="S2771" s="10"/>
      <c r="T2771" s="10"/>
      <c r="U2771" s="10" t="s">
        <v>3667</v>
      </c>
      <c r="V2771" s="10" t="s">
        <v>3667</v>
      </c>
      <c r="W2771" s="50">
        <f>+J2771/$W$2</f>
        <v>1.2520090699300032E-4</v>
      </c>
    </row>
    <row r="2772" spans="1:23">
      <c r="A2772" s="10" t="s">
        <v>3815</v>
      </c>
      <c r="B2772" s="10" t="s">
        <v>358</v>
      </c>
      <c r="C2772" s="124">
        <v>46442</v>
      </c>
      <c r="D2772" s="124" t="s">
        <v>471</v>
      </c>
      <c r="E2772" s="21">
        <v>0.90359977000000002</v>
      </c>
      <c r="F2772" s="10"/>
      <c r="G2772" s="14">
        <v>5368571.43</v>
      </c>
      <c r="H2772" s="14">
        <v>4851039.9000000004</v>
      </c>
      <c r="I2772" s="14">
        <v>5368571.43</v>
      </c>
      <c r="J2772" s="14">
        <v>4851039.9000000004</v>
      </c>
      <c r="K2772" s="12">
        <v>469</v>
      </c>
      <c r="L2772" s="10" t="s">
        <v>101</v>
      </c>
      <c r="M2772" s="10" t="s">
        <v>102</v>
      </c>
      <c r="N2772" s="124" t="s">
        <v>468</v>
      </c>
      <c r="O2772" s="124" t="s">
        <v>468</v>
      </c>
      <c r="P2772" s="21">
        <v>33</v>
      </c>
      <c r="Q2772" s="10" t="s">
        <v>54</v>
      </c>
      <c r="R2772" s="10" t="s">
        <v>28</v>
      </c>
      <c r="S2772" s="10"/>
      <c r="T2772" s="10"/>
      <c r="U2772" s="10" t="s">
        <v>3817</v>
      </c>
      <c r="V2772" s="10" t="s">
        <v>3817</v>
      </c>
      <c r="W2772" s="50">
        <f>+J2772/$W$2</f>
        <v>5.9370158899368038E-5</v>
      </c>
    </row>
    <row r="2773" spans="1:23">
      <c r="A2773" s="10" t="s">
        <v>3793</v>
      </c>
      <c r="B2773" s="10" t="s">
        <v>358</v>
      </c>
      <c r="C2773" s="124">
        <v>46442</v>
      </c>
      <c r="D2773" s="124" t="s">
        <v>471</v>
      </c>
      <c r="E2773" s="21">
        <v>0.90359977000000002</v>
      </c>
      <c r="F2773" s="10"/>
      <c r="G2773" s="14">
        <v>7345493.4699999997</v>
      </c>
      <c r="H2773" s="14">
        <v>6637386.1799999997</v>
      </c>
      <c r="I2773" s="14">
        <v>7345493.4699999997</v>
      </c>
      <c r="J2773" s="14">
        <v>6637386.1799999997</v>
      </c>
      <c r="K2773" s="12">
        <v>41018391</v>
      </c>
      <c r="L2773" s="10" t="s">
        <v>101</v>
      </c>
      <c r="M2773" s="10" t="s">
        <v>102</v>
      </c>
      <c r="N2773" s="124" t="s">
        <v>468</v>
      </c>
      <c r="O2773" s="124" t="s">
        <v>468</v>
      </c>
      <c r="P2773" s="21">
        <v>33</v>
      </c>
      <c r="Q2773" s="10" t="s">
        <v>54</v>
      </c>
      <c r="R2773" s="10" t="s">
        <v>28</v>
      </c>
      <c r="S2773" s="10"/>
      <c r="T2773" s="10"/>
      <c r="U2773" s="10" t="s">
        <v>3811</v>
      </c>
      <c r="V2773" s="10" t="s">
        <v>3811</v>
      </c>
      <c r="W2773" s="50">
        <f>+J2773/$W$2</f>
        <v>8.1232618223377098E-5</v>
      </c>
    </row>
    <row r="2774" spans="1:23">
      <c r="A2774" s="10" t="s">
        <v>3795</v>
      </c>
      <c r="B2774" s="10" t="s">
        <v>358</v>
      </c>
      <c r="C2774" s="124">
        <v>46442</v>
      </c>
      <c r="D2774" s="124" t="s">
        <v>471</v>
      </c>
      <c r="E2774" s="21">
        <v>0.90359977000000002</v>
      </c>
      <c r="F2774" s="10"/>
      <c r="G2774" s="14">
        <v>1518463.43</v>
      </c>
      <c r="H2774" s="14">
        <v>1372083.2</v>
      </c>
      <c r="I2774" s="14">
        <v>1518463.43</v>
      </c>
      <c r="J2774" s="14">
        <v>1372083.2</v>
      </c>
      <c r="K2774" s="12">
        <v>11460876</v>
      </c>
      <c r="L2774" s="10" t="s">
        <v>101</v>
      </c>
      <c r="M2774" s="10" t="s">
        <v>102</v>
      </c>
      <c r="N2774" s="124" t="s">
        <v>468</v>
      </c>
      <c r="O2774" s="124" t="s">
        <v>468</v>
      </c>
      <c r="P2774" s="21">
        <v>33</v>
      </c>
      <c r="Q2774" s="10" t="s">
        <v>54</v>
      </c>
      <c r="R2774" s="10" t="s">
        <v>28</v>
      </c>
      <c r="S2774" s="10"/>
      <c r="T2774" s="10"/>
      <c r="U2774" s="10" t="s">
        <v>3813</v>
      </c>
      <c r="V2774" s="10" t="s">
        <v>3813</v>
      </c>
      <c r="W2774" s="50">
        <f>+J2774/$W$2</f>
        <v>1.6792440236814662E-5</v>
      </c>
    </row>
    <row r="2775" spans="1:23">
      <c r="A2775" s="10" t="s">
        <v>3800</v>
      </c>
      <c r="B2775" s="10" t="s">
        <v>358</v>
      </c>
      <c r="C2775" s="124">
        <v>46442</v>
      </c>
      <c r="D2775" s="124" t="s">
        <v>471</v>
      </c>
      <c r="E2775" s="21">
        <v>0.90359955999999997</v>
      </c>
      <c r="F2775" s="10"/>
      <c r="G2775" s="14">
        <v>2643916.21</v>
      </c>
      <c r="H2775" s="14">
        <v>2389041.5099999998</v>
      </c>
      <c r="I2775" s="14">
        <v>2643916.21</v>
      </c>
      <c r="J2775" s="14">
        <v>2389041.5099999998</v>
      </c>
      <c r="K2775" s="12">
        <v>90023089</v>
      </c>
      <c r="L2775" s="10" t="s">
        <v>101</v>
      </c>
      <c r="M2775" s="10" t="s">
        <v>102</v>
      </c>
      <c r="N2775" s="124" t="s">
        <v>467</v>
      </c>
      <c r="O2775" s="124" t="s">
        <v>467</v>
      </c>
      <c r="P2775" s="21">
        <v>33</v>
      </c>
      <c r="Q2775" s="10" t="s">
        <v>54</v>
      </c>
      <c r="R2775" s="10" t="s">
        <v>28</v>
      </c>
      <c r="S2775" s="10"/>
      <c r="T2775" s="10"/>
      <c r="U2775" s="10" t="s">
        <v>3664</v>
      </c>
      <c r="V2775" s="10" t="s">
        <v>3664</v>
      </c>
      <c r="W2775" s="50">
        <f>+J2775/$W$2</f>
        <v>2.9238632744679372E-5</v>
      </c>
    </row>
    <row r="2776" spans="1:23">
      <c r="A2776" s="10" t="s">
        <v>364</v>
      </c>
      <c r="B2776" s="10" t="s">
        <v>358</v>
      </c>
      <c r="C2776" s="124">
        <v>46443</v>
      </c>
      <c r="D2776" s="124" t="s">
        <v>471</v>
      </c>
      <c r="E2776" s="21">
        <v>0.90286213999999998</v>
      </c>
      <c r="F2776" s="10"/>
      <c r="G2776" s="14">
        <v>11321347.039999999</v>
      </c>
      <c r="H2776" s="14">
        <v>10221615.65</v>
      </c>
      <c r="I2776" s="14">
        <v>11321347.039999999</v>
      </c>
      <c r="J2776" s="14">
        <v>10221615.65</v>
      </c>
      <c r="K2776" s="12">
        <v>31232</v>
      </c>
      <c r="L2776" s="10" t="s">
        <v>101</v>
      </c>
      <c r="M2776" s="10" t="s">
        <v>102</v>
      </c>
      <c r="N2776" s="124" t="s">
        <v>467</v>
      </c>
      <c r="O2776" s="124" t="s">
        <v>467</v>
      </c>
      <c r="P2776" s="21">
        <v>33</v>
      </c>
      <c r="Q2776" s="10" t="s">
        <v>54</v>
      </c>
      <c r="R2776" s="10" t="s">
        <v>28</v>
      </c>
      <c r="S2776" s="10"/>
      <c r="T2776" s="10"/>
      <c r="U2776" s="10" t="s">
        <v>3668</v>
      </c>
      <c r="V2776" s="10" t="s">
        <v>3668</v>
      </c>
      <c r="W2776" s="50">
        <f>+J2776/$W$2</f>
        <v>1.2509873302603985E-4</v>
      </c>
    </row>
    <row r="2777" spans="1:23">
      <c r="A2777" s="10" t="s">
        <v>2016</v>
      </c>
      <c r="B2777" s="10" t="s">
        <v>358</v>
      </c>
      <c r="C2777" s="124">
        <v>46444</v>
      </c>
      <c r="D2777" s="124" t="s">
        <v>471</v>
      </c>
      <c r="E2777" s="21">
        <v>0.91022462999999998</v>
      </c>
      <c r="F2777" s="10"/>
      <c r="G2777" s="14">
        <v>5000000</v>
      </c>
      <c r="H2777" s="14">
        <v>4551123.13</v>
      </c>
      <c r="I2777" s="14">
        <v>5000000</v>
      </c>
      <c r="J2777" s="14">
        <v>4551123.13</v>
      </c>
      <c r="K2777" s="12">
        <v>3897149</v>
      </c>
      <c r="L2777" s="10" t="s">
        <v>101</v>
      </c>
      <c r="M2777" s="10" t="s">
        <v>102</v>
      </c>
      <c r="N2777" s="124" t="s">
        <v>478</v>
      </c>
      <c r="O2777" s="124" t="s">
        <v>478</v>
      </c>
      <c r="P2777" s="21">
        <v>30</v>
      </c>
      <c r="Q2777" s="10" t="s">
        <v>54</v>
      </c>
      <c r="R2777" s="10" t="s">
        <v>28</v>
      </c>
      <c r="S2777" s="10"/>
      <c r="T2777" s="10"/>
      <c r="U2777" s="10" t="s">
        <v>2096</v>
      </c>
      <c r="V2777" s="10" t="s">
        <v>2096</v>
      </c>
      <c r="W2777" s="50">
        <f>+J2777/$W$2</f>
        <v>5.5699583794124062E-5</v>
      </c>
    </row>
    <row r="2778" spans="1:23">
      <c r="A2778" s="10" t="s">
        <v>2079</v>
      </c>
      <c r="B2778" s="10" t="s">
        <v>358</v>
      </c>
      <c r="C2778" s="124">
        <v>46444</v>
      </c>
      <c r="D2778" s="124" t="s">
        <v>471</v>
      </c>
      <c r="E2778" s="21">
        <v>0.90480925000000001</v>
      </c>
      <c r="F2778" s="10"/>
      <c r="G2778" s="14">
        <v>45000000</v>
      </c>
      <c r="H2778" s="14">
        <v>40716416.439999998</v>
      </c>
      <c r="I2778" s="14">
        <v>45000000</v>
      </c>
      <c r="J2778" s="14">
        <v>40716416.439999998</v>
      </c>
      <c r="K2778" s="12">
        <v>51558</v>
      </c>
      <c r="L2778" s="10" t="s">
        <v>101</v>
      </c>
      <c r="M2778" s="10" t="s">
        <v>102</v>
      </c>
      <c r="N2778" s="124" t="s">
        <v>577</v>
      </c>
      <c r="O2778" s="124" t="s">
        <v>577</v>
      </c>
      <c r="P2778" s="21">
        <v>32</v>
      </c>
      <c r="Q2778" s="10" t="s">
        <v>54</v>
      </c>
      <c r="R2778" s="10" t="s">
        <v>28</v>
      </c>
      <c r="S2778" s="10"/>
      <c r="T2778" s="10"/>
      <c r="U2778" s="10" t="s">
        <v>2481</v>
      </c>
      <c r="V2778" s="10" t="s">
        <v>2481</v>
      </c>
      <c r="W2778" s="50">
        <f>+J2778/$W$2</f>
        <v>4.9831379738922389E-4</v>
      </c>
    </row>
    <row r="2779" spans="1:23">
      <c r="A2779" s="10" t="s">
        <v>2079</v>
      </c>
      <c r="B2779" s="10" t="s">
        <v>358</v>
      </c>
      <c r="C2779" s="124">
        <v>46444</v>
      </c>
      <c r="D2779" s="124" t="s">
        <v>471</v>
      </c>
      <c r="E2779" s="21">
        <v>0.91022449000000005</v>
      </c>
      <c r="F2779" s="10"/>
      <c r="G2779" s="14">
        <v>10000000</v>
      </c>
      <c r="H2779" s="14">
        <v>9102244.8800000008</v>
      </c>
      <c r="I2779" s="14">
        <v>10000000</v>
      </c>
      <c r="J2779" s="14">
        <v>9102244.8800000008</v>
      </c>
      <c r="K2779" s="12">
        <v>52712</v>
      </c>
      <c r="L2779" s="10" t="s">
        <v>101</v>
      </c>
      <c r="M2779" s="10" t="s">
        <v>102</v>
      </c>
      <c r="N2779" s="124" t="s">
        <v>466</v>
      </c>
      <c r="O2779" s="124" t="s">
        <v>466</v>
      </c>
      <c r="P2779" s="21">
        <v>30</v>
      </c>
      <c r="Q2779" s="10" t="s">
        <v>54</v>
      </c>
      <c r="R2779" s="10" t="s">
        <v>28</v>
      </c>
      <c r="S2779" s="10"/>
      <c r="T2779" s="10"/>
      <c r="U2779" s="10" t="s">
        <v>3642</v>
      </c>
      <c r="V2779" s="10" t="s">
        <v>3642</v>
      </c>
      <c r="W2779" s="50">
        <f>+J2779/$W$2</f>
        <v>1.1139915069891699E-4</v>
      </c>
    </row>
    <row r="2780" spans="1:23">
      <c r="A2780" s="10" t="s">
        <v>2214</v>
      </c>
      <c r="B2780" s="10" t="s">
        <v>358</v>
      </c>
      <c r="C2780" s="124">
        <v>46444</v>
      </c>
      <c r="D2780" s="124" t="s">
        <v>471</v>
      </c>
      <c r="E2780" s="21">
        <v>0.90212563000000001</v>
      </c>
      <c r="F2780" s="10"/>
      <c r="G2780" s="14">
        <v>565911.67000000004</v>
      </c>
      <c r="H2780" s="14">
        <v>510523.42</v>
      </c>
      <c r="I2780" s="14">
        <v>565911.67000000004</v>
      </c>
      <c r="J2780" s="14">
        <v>510523.42</v>
      </c>
      <c r="K2780" s="12">
        <v>2507</v>
      </c>
      <c r="L2780" s="10" t="s">
        <v>101</v>
      </c>
      <c r="M2780" s="10" t="s">
        <v>102</v>
      </c>
      <c r="N2780" s="124" t="s">
        <v>468</v>
      </c>
      <c r="O2780" s="124" t="s">
        <v>468</v>
      </c>
      <c r="P2780" s="21">
        <v>33</v>
      </c>
      <c r="Q2780" s="10" t="s">
        <v>54</v>
      </c>
      <c r="R2780" s="10" t="s">
        <v>28</v>
      </c>
      <c r="S2780" s="10"/>
      <c r="T2780" s="10"/>
      <c r="U2780" s="10" t="s">
        <v>3834</v>
      </c>
      <c r="V2780" s="10" t="s">
        <v>3834</v>
      </c>
      <c r="W2780" s="50">
        <f>+J2780/$W$2</f>
        <v>6.2481152891050857E-6</v>
      </c>
    </row>
    <row r="2781" spans="1:23">
      <c r="A2781" s="10" t="s">
        <v>2314</v>
      </c>
      <c r="B2781" s="10" t="s">
        <v>358</v>
      </c>
      <c r="C2781" s="124">
        <v>46444</v>
      </c>
      <c r="D2781" s="124" t="s">
        <v>471</v>
      </c>
      <c r="E2781" s="21">
        <v>0.90212561000000002</v>
      </c>
      <c r="F2781" s="10"/>
      <c r="G2781" s="14">
        <v>6006148</v>
      </c>
      <c r="H2781" s="14">
        <v>5418299.9299999997</v>
      </c>
      <c r="I2781" s="14">
        <v>6006148</v>
      </c>
      <c r="J2781" s="14">
        <v>5418299.9299999997</v>
      </c>
      <c r="K2781" s="12">
        <v>1370662</v>
      </c>
      <c r="L2781" s="10" t="s">
        <v>101</v>
      </c>
      <c r="M2781" s="10" t="s">
        <v>102</v>
      </c>
      <c r="N2781" s="124" t="s">
        <v>439</v>
      </c>
      <c r="O2781" s="124" t="s">
        <v>439</v>
      </c>
      <c r="P2781" s="21">
        <v>33</v>
      </c>
      <c r="Q2781" s="10" t="s">
        <v>54</v>
      </c>
      <c r="R2781" s="10" t="s">
        <v>28</v>
      </c>
      <c r="S2781" s="10"/>
      <c r="T2781" s="10"/>
      <c r="U2781" s="10" t="s">
        <v>2306</v>
      </c>
      <c r="V2781" s="10" t="s">
        <v>2306</v>
      </c>
      <c r="W2781" s="50">
        <f>+J2781/$W$2</f>
        <v>6.6312653459835421E-5</v>
      </c>
    </row>
    <row r="2782" spans="1:23">
      <c r="A2782" s="10" t="s">
        <v>443</v>
      </c>
      <c r="B2782" s="10" t="s">
        <v>358</v>
      </c>
      <c r="C2782" s="124">
        <v>46444</v>
      </c>
      <c r="D2782" s="124" t="s">
        <v>471</v>
      </c>
      <c r="E2782" s="21">
        <v>0.90212572000000002</v>
      </c>
      <c r="F2782" s="10"/>
      <c r="G2782" s="14">
        <v>10000000</v>
      </c>
      <c r="H2782" s="14">
        <v>9021257.1899999995</v>
      </c>
      <c r="I2782" s="14">
        <v>10000000</v>
      </c>
      <c r="J2782" s="14">
        <v>9021257.1899999995</v>
      </c>
      <c r="K2782" s="12">
        <v>69401363</v>
      </c>
      <c r="L2782" s="10" t="s">
        <v>101</v>
      </c>
      <c r="M2782" s="10" t="s">
        <v>102</v>
      </c>
      <c r="N2782" s="124" t="s">
        <v>486</v>
      </c>
      <c r="O2782" s="124" t="s">
        <v>486</v>
      </c>
      <c r="P2782" s="21">
        <v>33</v>
      </c>
      <c r="Q2782" s="10" t="s">
        <v>54</v>
      </c>
      <c r="R2782" s="10" t="s">
        <v>28</v>
      </c>
      <c r="S2782" s="10"/>
      <c r="T2782" s="10"/>
      <c r="U2782" s="10" t="s">
        <v>1445</v>
      </c>
      <c r="V2782" s="10" t="s">
        <v>1445</v>
      </c>
      <c r="W2782" s="50">
        <f>+J2782/$W$2</f>
        <v>1.1040797105015903E-4</v>
      </c>
    </row>
    <row r="2783" spans="1:23">
      <c r="A2783" s="10" t="s">
        <v>364</v>
      </c>
      <c r="B2783" s="10" t="s">
        <v>358</v>
      </c>
      <c r="C2783" s="124">
        <v>46444</v>
      </c>
      <c r="D2783" s="124" t="s">
        <v>471</v>
      </c>
      <c r="E2783" s="21">
        <v>0.90212568000000004</v>
      </c>
      <c r="F2783" s="10"/>
      <c r="G2783" s="14">
        <v>11321347.039999999</v>
      </c>
      <c r="H2783" s="14">
        <v>10213277.890000001</v>
      </c>
      <c r="I2783" s="14">
        <v>11321347.039999999</v>
      </c>
      <c r="J2783" s="14">
        <v>10213277.890000001</v>
      </c>
      <c r="K2783" s="12">
        <v>31233</v>
      </c>
      <c r="L2783" s="10" t="s">
        <v>101</v>
      </c>
      <c r="M2783" s="10" t="s">
        <v>102</v>
      </c>
      <c r="N2783" s="124" t="s">
        <v>467</v>
      </c>
      <c r="O2783" s="124" t="s">
        <v>467</v>
      </c>
      <c r="P2783" s="21">
        <v>33</v>
      </c>
      <c r="Q2783" s="10" t="s">
        <v>54</v>
      </c>
      <c r="R2783" s="10" t="s">
        <v>28</v>
      </c>
      <c r="S2783" s="10"/>
      <c r="T2783" s="10"/>
      <c r="U2783" s="10" t="s">
        <v>3678</v>
      </c>
      <c r="V2783" s="10" t="s">
        <v>3678</v>
      </c>
      <c r="W2783" s="50">
        <f>+J2783/$W$2</f>
        <v>1.2499669013497545E-4</v>
      </c>
    </row>
    <row r="2784" spans="1:23">
      <c r="A2784" s="10" t="s">
        <v>623</v>
      </c>
      <c r="B2784" s="10" t="s">
        <v>358</v>
      </c>
      <c r="C2784" s="124">
        <v>46444</v>
      </c>
      <c r="D2784" s="124" t="s">
        <v>471</v>
      </c>
      <c r="E2784" s="21">
        <v>0.90212574000000001</v>
      </c>
      <c r="F2784" s="10"/>
      <c r="G2784" s="14">
        <v>2500000</v>
      </c>
      <c r="H2784" s="14">
        <v>2255314.35</v>
      </c>
      <c r="I2784" s="14">
        <v>2500000</v>
      </c>
      <c r="J2784" s="14">
        <v>2255314.35</v>
      </c>
      <c r="K2784" s="12">
        <v>33</v>
      </c>
      <c r="L2784" s="10" t="s">
        <v>101</v>
      </c>
      <c r="M2784" s="10" t="s">
        <v>102</v>
      </c>
      <c r="N2784" s="124" t="s">
        <v>508</v>
      </c>
      <c r="O2784" s="124" t="s">
        <v>508</v>
      </c>
      <c r="P2784" s="21">
        <v>33</v>
      </c>
      <c r="Q2784" s="10" t="s">
        <v>54</v>
      </c>
      <c r="R2784" s="10" t="s">
        <v>28</v>
      </c>
      <c r="S2784" s="10"/>
      <c r="T2784" s="10"/>
      <c r="U2784" s="10" t="s">
        <v>3009</v>
      </c>
      <c r="V2784" s="10" t="s">
        <v>3009</v>
      </c>
      <c r="W2784" s="50">
        <f>+J2784/$W$2</f>
        <v>2.7601993405068664E-5</v>
      </c>
    </row>
    <row r="2785" spans="1:35">
      <c r="A2785" s="10" t="s">
        <v>4046</v>
      </c>
      <c r="B2785" s="10" t="s">
        <v>358</v>
      </c>
      <c r="C2785" s="124">
        <v>46444</v>
      </c>
      <c r="D2785" s="124" t="s">
        <v>471</v>
      </c>
      <c r="E2785" s="21">
        <v>0.89945808999999999</v>
      </c>
      <c r="F2785" s="10"/>
      <c r="G2785" s="14">
        <v>19131395.420000002</v>
      </c>
      <c r="H2785" s="14">
        <v>17207888.43</v>
      </c>
      <c r="I2785" s="14">
        <v>19131395.420000002</v>
      </c>
      <c r="J2785" s="14">
        <v>17207888.43</v>
      </c>
      <c r="K2785" s="12">
        <v>283</v>
      </c>
      <c r="L2785" s="10" t="s">
        <v>101</v>
      </c>
      <c r="M2785" s="10" t="s">
        <v>102</v>
      </c>
      <c r="N2785" s="124" t="s">
        <v>469</v>
      </c>
      <c r="O2785" s="124" t="s">
        <v>469</v>
      </c>
      <c r="P2785" s="21">
        <v>34</v>
      </c>
      <c r="Q2785" s="10" t="s">
        <v>54</v>
      </c>
      <c r="R2785" s="10" t="s">
        <v>28</v>
      </c>
      <c r="S2785" s="10"/>
      <c r="T2785" s="10"/>
      <c r="U2785" s="10" t="s">
        <v>3976</v>
      </c>
      <c r="V2785" s="10" t="s">
        <v>3976</v>
      </c>
      <c r="W2785" s="50">
        <f>+J2785/$W$2</f>
        <v>2.1060125075691435E-4</v>
      </c>
    </row>
    <row r="2786" spans="1:35">
      <c r="A2786" s="10" t="s">
        <v>4054</v>
      </c>
      <c r="B2786" s="10" t="s">
        <v>358</v>
      </c>
      <c r="C2786" s="124">
        <v>46444</v>
      </c>
      <c r="D2786" s="124" t="s">
        <v>471</v>
      </c>
      <c r="E2786" s="21">
        <v>0.89945808999999999</v>
      </c>
      <c r="F2786" s="10"/>
      <c r="G2786" s="14">
        <v>12701545.390000001</v>
      </c>
      <c r="H2786" s="14">
        <v>11424507.789999999</v>
      </c>
      <c r="I2786" s="14">
        <v>12701545.390000001</v>
      </c>
      <c r="J2786" s="14">
        <v>11424507.789999999</v>
      </c>
      <c r="K2786" s="12">
        <v>140</v>
      </c>
      <c r="L2786" s="10" t="s">
        <v>101</v>
      </c>
      <c r="M2786" s="10" t="s">
        <v>102</v>
      </c>
      <c r="N2786" s="124" t="s">
        <v>469</v>
      </c>
      <c r="O2786" s="124" t="s">
        <v>469</v>
      </c>
      <c r="P2786" s="21">
        <v>34</v>
      </c>
      <c r="Q2786" s="10" t="s">
        <v>54</v>
      </c>
      <c r="R2786" s="10" t="s">
        <v>28</v>
      </c>
      <c r="S2786" s="10"/>
      <c r="T2786" s="10"/>
      <c r="U2786" s="10" t="s">
        <v>4008</v>
      </c>
      <c r="V2786" s="10" t="s">
        <v>4008</v>
      </c>
      <c r="W2786" s="50">
        <f>+J2786/$W$2</f>
        <v>1.3982050381390758E-4</v>
      </c>
    </row>
    <row r="2787" spans="1:35">
      <c r="A2787" s="10" t="s">
        <v>2668</v>
      </c>
      <c r="B2787" s="10" t="s">
        <v>358</v>
      </c>
      <c r="C2787" s="124">
        <v>46444</v>
      </c>
      <c r="D2787" s="124" t="s">
        <v>471</v>
      </c>
      <c r="E2787" s="21">
        <v>0.90480921000000003</v>
      </c>
      <c r="F2787" s="10"/>
      <c r="G2787" s="14">
        <v>661730</v>
      </c>
      <c r="H2787" s="14">
        <v>598739.4</v>
      </c>
      <c r="I2787" s="14">
        <v>661730</v>
      </c>
      <c r="J2787" s="14">
        <v>598739.4</v>
      </c>
      <c r="K2787" s="12">
        <v>1255</v>
      </c>
      <c r="L2787" s="10" t="s">
        <v>101</v>
      </c>
      <c r="M2787" s="10" t="s">
        <v>102</v>
      </c>
      <c r="N2787" s="124" t="s">
        <v>603</v>
      </c>
      <c r="O2787" s="124" t="s">
        <v>603</v>
      </c>
      <c r="P2787" s="21">
        <v>32</v>
      </c>
      <c r="Q2787" s="10" t="s">
        <v>54</v>
      </c>
      <c r="R2787" s="10" t="s">
        <v>28</v>
      </c>
      <c r="S2787" s="10"/>
      <c r="T2787" s="10"/>
      <c r="U2787" s="10" t="s">
        <v>2569</v>
      </c>
      <c r="V2787" s="10" t="s">
        <v>2569</v>
      </c>
      <c r="W2787" s="50">
        <f>+J2787/$W$2</f>
        <v>7.3277594186170842E-6</v>
      </c>
    </row>
    <row r="2788" spans="1:35">
      <c r="A2788" s="10" t="s">
        <v>3894</v>
      </c>
      <c r="B2788" s="10" t="s">
        <v>358</v>
      </c>
      <c r="C2788" s="124">
        <v>46444</v>
      </c>
      <c r="D2788" s="124" t="s">
        <v>471</v>
      </c>
      <c r="E2788" s="21">
        <v>0.91076968000000003</v>
      </c>
      <c r="F2788" s="10"/>
      <c r="G2788" s="14">
        <v>300000000</v>
      </c>
      <c r="H2788" s="14">
        <v>273230903.10000002</v>
      </c>
      <c r="I2788" s="14">
        <v>300000000</v>
      </c>
      <c r="J2788" s="14">
        <v>273230903.10000002</v>
      </c>
      <c r="K2788" s="12">
        <v>2529</v>
      </c>
      <c r="L2788" s="10" t="s">
        <v>101</v>
      </c>
      <c r="M2788" s="10" t="s">
        <v>102</v>
      </c>
      <c r="N2788" s="124" t="s">
        <v>474</v>
      </c>
      <c r="O2788" s="124" t="s">
        <v>474</v>
      </c>
      <c r="P2788" s="21">
        <v>29.8</v>
      </c>
      <c r="Q2788" s="10" t="s">
        <v>54</v>
      </c>
      <c r="R2788" s="10" t="s">
        <v>28</v>
      </c>
      <c r="S2788" s="10"/>
      <c r="T2788" s="10"/>
      <c r="U2788" s="10" t="s">
        <v>3858</v>
      </c>
      <c r="V2788" s="10" t="s">
        <v>3858</v>
      </c>
      <c r="W2788" s="50">
        <f>+J2788/$W$2</f>
        <v>3.3439762334803373E-3</v>
      </c>
    </row>
    <row r="2789" spans="1:35">
      <c r="A2789" s="10" t="s">
        <v>4044</v>
      </c>
      <c r="B2789" s="10" t="s">
        <v>358</v>
      </c>
      <c r="C2789" s="124">
        <v>46447</v>
      </c>
      <c r="D2789" s="124" t="s">
        <v>471</v>
      </c>
      <c r="E2789" s="21">
        <v>0.90818611999999999</v>
      </c>
      <c r="F2789" s="10"/>
      <c r="G2789" s="14">
        <v>15000000</v>
      </c>
      <c r="H2789" s="14">
        <v>13622791.82</v>
      </c>
      <c r="I2789" s="14">
        <v>15000000</v>
      </c>
      <c r="J2789" s="14">
        <v>13622791.82</v>
      </c>
      <c r="K2789" s="12">
        <v>1423</v>
      </c>
      <c r="L2789" s="10" t="s">
        <v>101</v>
      </c>
      <c r="M2789" s="10" t="s">
        <v>102</v>
      </c>
      <c r="N2789" s="124" t="s">
        <v>469</v>
      </c>
      <c r="O2789" s="124" t="s">
        <v>469</v>
      </c>
      <c r="P2789" s="21">
        <v>30</v>
      </c>
      <c r="Q2789" s="10" t="s">
        <v>54</v>
      </c>
      <c r="R2789" s="10" t="s">
        <v>28</v>
      </c>
      <c r="S2789" s="10"/>
      <c r="T2789" s="10"/>
      <c r="U2789" s="10" t="s">
        <v>3963</v>
      </c>
      <c r="V2789" s="10" t="s">
        <v>3963</v>
      </c>
      <c r="W2789" s="50">
        <f>+J2789/$W$2</f>
        <v>1.6672452333496806E-4</v>
      </c>
    </row>
    <row r="2790" spans="1:35">
      <c r="A2790" s="10" t="s">
        <v>364</v>
      </c>
      <c r="B2790" s="10" t="s">
        <v>358</v>
      </c>
      <c r="C2790" s="124">
        <v>46447</v>
      </c>
      <c r="D2790" s="124" t="s">
        <v>471</v>
      </c>
      <c r="E2790" s="21">
        <v>0.89992373000000003</v>
      </c>
      <c r="F2790" s="10"/>
      <c r="G2790" s="14">
        <v>11321347.039999999</v>
      </c>
      <c r="H2790" s="14">
        <v>10188348.91</v>
      </c>
      <c r="I2790" s="14">
        <v>11321347.039999999</v>
      </c>
      <c r="J2790" s="14">
        <v>10188348.91</v>
      </c>
      <c r="K2790" s="12">
        <v>31234</v>
      </c>
      <c r="L2790" s="10" t="s">
        <v>101</v>
      </c>
      <c r="M2790" s="10" t="s">
        <v>102</v>
      </c>
      <c r="N2790" s="124" t="s">
        <v>467</v>
      </c>
      <c r="O2790" s="124" t="s">
        <v>467</v>
      </c>
      <c r="P2790" s="21">
        <v>33</v>
      </c>
      <c r="Q2790" s="10" t="s">
        <v>54</v>
      </c>
      <c r="R2790" s="10" t="s">
        <v>28</v>
      </c>
      <c r="S2790" s="10"/>
      <c r="T2790" s="10"/>
      <c r="U2790" s="10" t="s">
        <v>3679</v>
      </c>
      <c r="V2790" s="10" t="s">
        <v>3679</v>
      </c>
      <c r="W2790" s="50">
        <f>+J2790/$W$2</f>
        <v>1.2469159317961972E-4</v>
      </c>
    </row>
    <row r="2791" spans="1:35">
      <c r="A2791" s="10" t="s">
        <v>2670</v>
      </c>
      <c r="B2791" s="10" t="s">
        <v>358</v>
      </c>
      <c r="C2791" s="124">
        <v>46447</v>
      </c>
      <c r="D2791" s="124" t="s">
        <v>471</v>
      </c>
      <c r="E2791" s="21">
        <v>0.90266113000000003</v>
      </c>
      <c r="F2791" s="10"/>
      <c r="G2791" s="14">
        <v>6700113.5999999996</v>
      </c>
      <c r="H2791" s="14">
        <v>6047932.1100000003</v>
      </c>
      <c r="I2791" s="14">
        <v>6700113.5999999996</v>
      </c>
      <c r="J2791" s="14">
        <v>6047932.1100000003</v>
      </c>
      <c r="K2791" s="12">
        <v>20</v>
      </c>
      <c r="L2791" s="10" t="s">
        <v>101</v>
      </c>
      <c r="M2791" s="10" t="s">
        <v>102</v>
      </c>
      <c r="N2791" s="124" t="s">
        <v>603</v>
      </c>
      <c r="O2791" s="124" t="s">
        <v>603</v>
      </c>
      <c r="P2791" s="21">
        <v>32</v>
      </c>
      <c r="Q2791" s="10" t="s">
        <v>54</v>
      </c>
      <c r="R2791" s="10" t="s">
        <v>28</v>
      </c>
      <c r="S2791" s="10"/>
      <c r="T2791" s="10"/>
      <c r="U2791" s="10" t="s">
        <v>2564</v>
      </c>
      <c r="V2791" s="10" t="s">
        <v>2564</v>
      </c>
      <c r="W2791" s="50">
        <f>+J2791/$W$2</f>
        <v>7.4018498669386378E-5</v>
      </c>
    </row>
    <row r="2792" spans="1:35">
      <c r="A2792" s="10" t="s">
        <v>1896</v>
      </c>
      <c r="B2792" s="10" t="s">
        <v>358</v>
      </c>
      <c r="C2792" s="124">
        <v>46448</v>
      </c>
      <c r="D2792" s="124" t="s">
        <v>471</v>
      </c>
      <c r="E2792" s="21">
        <v>0.91031525000000002</v>
      </c>
      <c r="F2792" s="10"/>
      <c r="G2792" s="14">
        <v>13318880</v>
      </c>
      <c r="H2792" s="14">
        <v>12124379.560000001</v>
      </c>
      <c r="I2792" s="14">
        <v>13318880</v>
      </c>
      <c r="J2792" s="14">
        <v>12124379.560000001</v>
      </c>
      <c r="K2792" s="12">
        <v>547</v>
      </c>
      <c r="L2792" s="10" t="s">
        <v>101</v>
      </c>
      <c r="M2792" s="10" t="s">
        <v>102</v>
      </c>
      <c r="N2792" s="124" t="s">
        <v>471</v>
      </c>
      <c r="O2792" s="124" t="s">
        <v>471</v>
      </c>
      <c r="P2792" s="21">
        <v>29</v>
      </c>
      <c r="Q2792" s="10" t="s">
        <v>54</v>
      </c>
      <c r="R2792" s="10" t="s">
        <v>28</v>
      </c>
      <c r="S2792" s="10"/>
      <c r="T2792" s="10"/>
      <c r="U2792" s="10" t="s">
        <v>4086</v>
      </c>
      <c r="V2792" s="10" t="s">
        <v>4086</v>
      </c>
      <c r="W2792" s="50">
        <f>+J2792/$W$2</f>
        <v>1.4838598648373309E-4</v>
      </c>
    </row>
    <row r="2793" spans="1:35">
      <c r="A2793" s="10" t="s">
        <v>2079</v>
      </c>
      <c r="B2793" s="10" t="s">
        <v>358</v>
      </c>
      <c r="C2793" s="124">
        <v>46448</v>
      </c>
      <c r="D2793" s="124" t="s">
        <v>471</v>
      </c>
      <c r="E2793" s="21">
        <v>0.90194730999999995</v>
      </c>
      <c r="F2793" s="10"/>
      <c r="G2793" s="14">
        <v>75000000</v>
      </c>
      <c r="H2793" s="14">
        <v>67646047.950000003</v>
      </c>
      <c r="I2793" s="14">
        <v>75000000</v>
      </c>
      <c r="J2793" s="14">
        <v>67646047.950000003</v>
      </c>
      <c r="K2793" s="12">
        <v>51414</v>
      </c>
      <c r="L2793" s="10" t="s">
        <v>101</v>
      </c>
      <c r="M2793" s="10" t="s">
        <v>102</v>
      </c>
      <c r="N2793" s="124" t="s">
        <v>576</v>
      </c>
      <c r="O2793" s="124" t="s">
        <v>576</v>
      </c>
      <c r="P2793" s="21">
        <v>32</v>
      </c>
      <c r="Q2793" s="10" t="s">
        <v>54</v>
      </c>
      <c r="R2793" s="10" t="s">
        <v>28</v>
      </c>
      <c r="S2793" s="10"/>
      <c r="T2793" s="10"/>
      <c r="U2793" s="10" t="s">
        <v>2362</v>
      </c>
      <c r="V2793" s="10" t="s">
        <v>2362</v>
      </c>
      <c r="W2793" s="50">
        <f>+J2793/$W$2</f>
        <v>8.278960178632564E-4</v>
      </c>
    </row>
    <row r="2794" spans="1:35">
      <c r="A2794" s="10" t="s">
        <v>2365</v>
      </c>
      <c r="B2794" s="10" t="s">
        <v>358</v>
      </c>
      <c r="C2794" s="124">
        <v>46448</v>
      </c>
      <c r="D2794" s="124" t="s">
        <v>471</v>
      </c>
      <c r="E2794" s="21">
        <v>0.89919205000000002</v>
      </c>
      <c r="F2794" s="10"/>
      <c r="G2794" s="14">
        <v>26750000</v>
      </c>
      <c r="H2794" s="14">
        <v>24053387.329999998</v>
      </c>
      <c r="I2794" s="14">
        <v>26750000</v>
      </c>
      <c r="J2794" s="14">
        <v>24053387.329999998</v>
      </c>
      <c r="K2794" s="12">
        <v>17</v>
      </c>
      <c r="L2794" s="10" t="s">
        <v>101</v>
      </c>
      <c r="M2794" s="10" t="s">
        <v>102</v>
      </c>
      <c r="N2794" s="124" t="s">
        <v>576</v>
      </c>
      <c r="O2794" s="124" t="s">
        <v>576</v>
      </c>
      <c r="P2794" s="21">
        <v>33</v>
      </c>
      <c r="Q2794" s="10" t="s">
        <v>54</v>
      </c>
      <c r="R2794" s="10" t="s">
        <v>28</v>
      </c>
      <c r="S2794" s="10"/>
      <c r="T2794" s="10"/>
      <c r="U2794" s="10" t="s">
        <v>2349</v>
      </c>
      <c r="V2794" s="10" t="s">
        <v>2349</v>
      </c>
      <c r="W2794" s="50">
        <f>+J2794/$W$2</f>
        <v>2.9438088683833455E-4</v>
      </c>
    </row>
    <row r="2795" spans="1:35">
      <c r="A2795" s="10" t="s">
        <v>443</v>
      </c>
      <c r="B2795" s="10" t="s">
        <v>358</v>
      </c>
      <c r="C2795" s="124">
        <v>46448</v>
      </c>
      <c r="D2795" s="124" t="s">
        <v>471</v>
      </c>
      <c r="E2795" s="21">
        <v>0.90471950000000001</v>
      </c>
      <c r="F2795" s="10"/>
      <c r="G2795" s="14">
        <v>2000000</v>
      </c>
      <c r="H2795" s="14">
        <v>1809439</v>
      </c>
      <c r="I2795" s="14">
        <v>2000000</v>
      </c>
      <c r="J2795" s="14">
        <v>1809439</v>
      </c>
      <c r="K2795" s="12">
        <v>69223307</v>
      </c>
      <c r="L2795" s="10" t="s">
        <v>101</v>
      </c>
      <c r="M2795" s="10" t="s">
        <v>102</v>
      </c>
      <c r="N2795" s="124" t="s">
        <v>576</v>
      </c>
      <c r="O2795" s="124" t="s">
        <v>576</v>
      </c>
      <c r="P2795" s="21">
        <v>31</v>
      </c>
      <c r="Q2795" s="10" t="s">
        <v>54</v>
      </c>
      <c r="R2795" s="10" t="s">
        <v>28</v>
      </c>
      <c r="S2795" s="10"/>
      <c r="T2795" s="10"/>
      <c r="U2795" s="10" t="s">
        <v>2323</v>
      </c>
      <c r="V2795" s="10" t="s">
        <v>2323</v>
      </c>
      <c r="W2795" s="50">
        <f>+J2795/$W$2</f>
        <v>2.2145082943703184E-5</v>
      </c>
      <c r="AC2795"/>
    </row>
    <row r="2796" spans="1:35">
      <c r="A2796" s="10" t="s">
        <v>443</v>
      </c>
      <c r="B2796" s="10" t="s">
        <v>358</v>
      </c>
      <c r="C2796" s="124">
        <v>46448</v>
      </c>
      <c r="D2796" s="124" t="s">
        <v>471</v>
      </c>
      <c r="E2796" s="21">
        <v>0.90750878999999995</v>
      </c>
      <c r="F2796" s="10"/>
      <c r="G2796" s="14">
        <v>5000000</v>
      </c>
      <c r="H2796" s="14">
        <v>4537543.93</v>
      </c>
      <c r="I2796" s="14">
        <v>5000000</v>
      </c>
      <c r="J2796" s="14">
        <v>4537543.93</v>
      </c>
      <c r="K2796" s="12">
        <v>40810974</v>
      </c>
      <c r="L2796" s="10" t="s">
        <v>101</v>
      </c>
      <c r="M2796" s="10" t="s">
        <v>102</v>
      </c>
      <c r="N2796" s="124" t="s">
        <v>576</v>
      </c>
      <c r="O2796" s="124" t="s">
        <v>576</v>
      </c>
      <c r="P2796" s="21">
        <v>30</v>
      </c>
      <c r="Q2796" s="10" t="s">
        <v>54</v>
      </c>
      <c r="R2796" s="10" t="s">
        <v>28</v>
      </c>
      <c r="S2796" s="10"/>
      <c r="T2796" s="10"/>
      <c r="U2796" s="10" t="s">
        <v>2331</v>
      </c>
      <c r="V2796" s="10" t="s">
        <v>2331</v>
      </c>
      <c r="W2796" s="50">
        <f>+J2796/$W$2</f>
        <v>5.5533392775632065E-5</v>
      </c>
    </row>
    <row r="2797" spans="1:35">
      <c r="A2797" s="10" t="s">
        <v>2758</v>
      </c>
      <c r="B2797" s="10" t="s">
        <v>358</v>
      </c>
      <c r="C2797" s="124">
        <v>46448</v>
      </c>
      <c r="D2797" s="124" t="s">
        <v>471</v>
      </c>
      <c r="E2797" s="21">
        <v>0.91031536999999996</v>
      </c>
      <c r="F2797" s="10"/>
      <c r="G2797" s="14">
        <v>12266135.710000001</v>
      </c>
      <c r="H2797" s="14">
        <v>11166051.83</v>
      </c>
      <c r="I2797" s="14">
        <v>12266135.710000001</v>
      </c>
      <c r="J2797" s="14">
        <v>11166051.83</v>
      </c>
      <c r="K2797" s="12">
        <v>70060348</v>
      </c>
      <c r="L2797" s="10" t="s">
        <v>101</v>
      </c>
      <c r="M2797" s="10" t="s">
        <v>102</v>
      </c>
      <c r="N2797" s="124" t="s">
        <v>440</v>
      </c>
      <c r="O2797" s="124" t="s">
        <v>440</v>
      </c>
      <c r="P2797" s="21">
        <v>29</v>
      </c>
      <c r="Q2797" s="10" t="s">
        <v>54</v>
      </c>
      <c r="R2797" s="10" t="s">
        <v>28</v>
      </c>
      <c r="S2797" s="10"/>
      <c r="T2797" s="10"/>
      <c r="U2797" s="10" t="s">
        <v>2693</v>
      </c>
      <c r="V2797" s="10" t="s">
        <v>2693</v>
      </c>
      <c r="W2797" s="50">
        <f>+J2797/$W$2</f>
        <v>1.3665735287513906E-4</v>
      </c>
    </row>
    <row r="2798" spans="1:35">
      <c r="A2798" s="10" t="s">
        <v>1893</v>
      </c>
      <c r="B2798" s="10" t="s">
        <v>358</v>
      </c>
      <c r="C2798" s="124">
        <v>46448</v>
      </c>
      <c r="D2798" s="124" t="s">
        <v>471</v>
      </c>
      <c r="E2798" s="21">
        <v>0.91884014999999997</v>
      </c>
      <c r="F2798" s="10"/>
      <c r="G2798" s="14">
        <v>25000000</v>
      </c>
      <c r="H2798" s="14">
        <v>22971003.629999999</v>
      </c>
      <c r="I2798" s="14">
        <v>25000000</v>
      </c>
      <c r="J2798" s="14">
        <v>22971003.629999999</v>
      </c>
      <c r="K2798" s="12">
        <v>1163</v>
      </c>
      <c r="L2798" s="10" t="s">
        <v>101</v>
      </c>
      <c r="M2798" s="10" t="s">
        <v>102</v>
      </c>
      <c r="N2798" s="124" t="s">
        <v>478</v>
      </c>
      <c r="O2798" s="124" t="s">
        <v>478</v>
      </c>
      <c r="P2798" s="21">
        <v>26</v>
      </c>
      <c r="Q2798" s="10" t="s">
        <v>54</v>
      </c>
      <c r="R2798" s="10" t="s">
        <v>28</v>
      </c>
      <c r="S2798" s="10"/>
      <c r="T2798" s="10"/>
      <c r="U2798" s="10" t="s">
        <v>2151</v>
      </c>
      <c r="V2798" s="10" t="s">
        <v>2151</v>
      </c>
      <c r="W2798" s="50">
        <f>+J2798/$W$2</f>
        <v>2.8113397615860879E-4</v>
      </c>
      <c r="AC2798" s="47"/>
      <c r="AE2798" s="13"/>
      <c r="AF2798" s="21"/>
      <c r="AG2798" s="10"/>
      <c r="AH2798" s="14"/>
      <c r="AI2798" s="14"/>
    </row>
    <row r="2799" spans="1:35">
      <c r="A2799" s="10" t="s">
        <v>364</v>
      </c>
      <c r="B2799" s="10" t="s">
        <v>358</v>
      </c>
      <c r="C2799" s="124">
        <v>46448</v>
      </c>
      <c r="D2799" s="124" t="s">
        <v>471</v>
      </c>
      <c r="E2799" s="21">
        <v>0.89919205999999996</v>
      </c>
      <c r="F2799" s="10"/>
      <c r="G2799" s="14">
        <v>11321347.039999999</v>
      </c>
      <c r="H2799" s="14">
        <v>10180065.34</v>
      </c>
      <c r="I2799" s="14">
        <v>11321347.039999999</v>
      </c>
      <c r="J2799" s="14">
        <v>10180065.34</v>
      </c>
      <c r="K2799" s="12">
        <v>31235</v>
      </c>
      <c r="L2799" s="10" t="s">
        <v>101</v>
      </c>
      <c r="M2799" s="10" t="s">
        <v>102</v>
      </c>
      <c r="N2799" s="124" t="s">
        <v>467</v>
      </c>
      <c r="O2799" s="124" t="s">
        <v>467</v>
      </c>
      <c r="P2799" s="21">
        <v>33</v>
      </c>
      <c r="Q2799" s="10" t="s">
        <v>54</v>
      </c>
      <c r="R2799" s="10" t="s">
        <v>28</v>
      </c>
      <c r="S2799" s="10"/>
      <c r="T2799" s="10"/>
      <c r="U2799" s="10" t="s">
        <v>3680</v>
      </c>
      <c r="V2799" s="10" t="s">
        <v>3680</v>
      </c>
      <c r="W2799" s="50">
        <f>+J2799/$W$2</f>
        <v>1.2459021350076901E-4</v>
      </c>
    </row>
    <row r="2800" spans="1:35">
      <c r="A2800" s="10" t="s">
        <v>623</v>
      </c>
      <c r="B2800" s="10" t="s">
        <v>358</v>
      </c>
      <c r="C2800" s="124">
        <v>46448</v>
      </c>
      <c r="D2800" s="124" t="s">
        <v>471</v>
      </c>
      <c r="E2800" s="21">
        <v>0.89919210000000005</v>
      </c>
      <c r="F2800" s="10"/>
      <c r="G2800" s="14">
        <v>2500000</v>
      </c>
      <c r="H2800" s="14">
        <v>2247980.2599999998</v>
      </c>
      <c r="I2800" s="14">
        <v>2500000</v>
      </c>
      <c r="J2800" s="14">
        <v>2247980.2599999998</v>
      </c>
      <c r="K2800" s="12">
        <v>34</v>
      </c>
      <c r="L2800" s="10" t="s">
        <v>101</v>
      </c>
      <c r="M2800" s="10" t="s">
        <v>102</v>
      </c>
      <c r="N2800" s="124" t="s">
        <v>508</v>
      </c>
      <c r="O2800" s="124" t="s">
        <v>508</v>
      </c>
      <c r="P2800" s="21">
        <v>33</v>
      </c>
      <c r="Q2800" s="10" t="s">
        <v>54</v>
      </c>
      <c r="R2800" s="10" t="s">
        <v>28</v>
      </c>
      <c r="S2800" s="10"/>
      <c r="T2800" s="10"/>
      <c r="U2800" s="10" t="s">
        <v>3022</v>
      </c>
      <c r="V2800" s="10" t="s">
        <v>3022</v>
      </c>
      <c r="W2800" s="50">
        <f>+J2800/$W$2</f>
        <v>2.751223407559329E-5</v>
      </c>
    </row>
    <row r="2801" spans="1:29">
      <c r="A2801" s="10" t="s">
        <v>2822</v>
      </c>
      <c r="B2801" s="10" t="s">
        <v>358</v>
      </c>
      <c r="C2801" s="124">
        <v>46448</v>
      </c>
      <c r="D2801" s="124" t="s">
        <v>471</v>
      </c>
      <c r="E2801" s="21">
        <v>0.90194730999999995</v>
      </c>
      <c r="F2801" s="10"/>
      <c r="G2801" s="14">
        <v>1858362</v>
      </c>
      <c r="H2801" s="14">
        <v>1676144.61</v>
      </c>
      <c r="I2801" s="14">
        <v>1858362</v>
      </c>
      <c r="J2801" s="14">
        <v>1676144.61</v>
      </c>
      <c r="K2801" s="12">
        <v>1491</v>
      </c>
      <c r="L2801" s="10" t="s">
        <v>101</v>
      </c>
      <c r="M2801" s="10" t="s">
        <v>102</v>
      </c>
      <c r="N2801" s="124" t="s">
        <v>412</v>
      </c>
      <c r="O2801" s="124" t="s">
        <v>412</v>
      </c>
      <c r="P2801" s="21">
        <v>32</v>
      </c>
      <c r="Q2801" s="10" t="s">
        <v>54</v>
      </c>
      <c r="R2801" s="10" t="s">
        <v>28</v>
      </c>
      <c r="S2801" s="10"/>
      <c r="T2801" s="10"/>
      <c r="U2801" s="10" t="s">
        <v>2771</v>
      </c>
      <c r="V2801" s="10" t="s">
        <v>2771</v>
      </c>
      <c r="W2801" s="50">
        <f>+J2801/$W$2</f>
        <v>2.0513740122817639E-5</v>
      </c>
    </row>
    <row r="2802" spans="1:29">
      <c r="A2802" s="10" t="s">
        <v>2674</v>
      </c>
      <c r="B2802" s="10" t="s">
        <v>358</v>
      </c>
      <c r="C2802" s="124">
        <v>46448</v>
      </c>
      <c r="D2802" s="124" t="s">
        <v>471</v>
      </c>
      <c r="E2802" s="21">
        <v>0.90194728999999996</v>
      </c>
      <c r="F2802" s="10"/>
      <c r="G2802" s="14">
        <v>2336718.2999999998</v>
      </c>
      <c r="H2802" s="14">
        <v>2107596.7400000002</v>
      </c>
      <c r="I2802" s="14">
        <v>2336718.2999999998</v>
      </c>
      <c r="J2802" s="14">
        <v>2107596.7400000002</v>
      </c>
      <c r="K2802" s="12">
        <v>5394</v>
      </c>
      <c r="L2802" s="10" t="s">
        <v>101</v>
      </c>
      <c r="M2802" s="10" t="s">
        <v>102</v>
      </c>
      <c r="N2802" s="124" t="s">
        <v>603</v>
      </c>
      <c r="O2802" s="124" t="s">
        <v>603</v>
      </c>
      <c r="P2802" s="21">
        <v>32</v>
      </c>
      <c r="Q2802" s="10" t="s">
        <v>54</v>
      </c>
      <c r="R2802" s="10" t="s">
        <v>28</v>
      </c>
      <c r="S2802" s="10"/>
      <c r="T2802" s="10"/>
      <c r="U2802" s="10" t="s">
        <v>2577</v>
      </c>
      <c r="V2802" s="10" t="s">
        <v>2577</v>
      </c>
      <c r="W2802" s="50">
        <f>+J2802/$W$2</f>
        <v>2.5794129903897529E-5</v>
      </c>
    </row>
    <row r="2803" spans="1:29">
      <c r="A2803" s="10" t="s">
        <v>400</v>
      </c>
      <c r="B2803" s="10" t="s">
        <v>358</v>
      </c>
      <c r="C2803" s="124">
        <v>46449</v>
      </c>
      <c r="D2803" s="124" t="s">
        <v>471</v>
      </c>
      <c r="E2803" s="21">
        <v>0.90683239000000004</v>
      </c>
      <c r="F2803" s="10"/>
      <c r="G2803" s="14">
        <v>5580000</v>
      </c>
      <c r="H2803" s="14">
        <v>5060124.76</v>
      </c>
      <c r="I2803" s="14">
        <v>5580000</v>
      </c>
      <c r="J2803" s="14">
        <v>5060124.76</v>
      </c>
      <c r="K2803" s="12">
        <v>11415143</v>
      </c>
      <c r="L2803" s="10" t="s">
        <v>101</v>
      </c>
      <c r="M2803" s="10" t="s">
        <v>102</v>
      </c>
      <c r="N2803" s="124" t="s">
        <v>449</v>
      </c>
      <c r="O2803" s="124" t="s">
        <v>449</v>
      </c>
      <c r="P2803" s="21">
        <v>30</v>
      </c>
      <c r="Q2803" s="10" t="s">
        <v>54</v>
      </c>
      <c r="R2803" s="10" t="s">
        <v>28</v>
      </c>
      <c r="S2803" s="10"/>
      <c r="T2803" s="10"/>
      <c r="U2803" s="10" t="s">
        <v>1928</v>
      </c>
      <c r="V2803" s="10" t="s">
        <v>1928</v>
      </c>
      <c r="W2803" s="50">
        <f>+J2803/$W$2</f>
        <v>6.19290744344994E-5</v>
      </c>
    </row>
    <row r="2804" spans="1:29">
      <c r="A2804" s="10" t="s">
        <v>379</v>
      </c>
      <c r="B2804" s="10" t="s">
        <v>358</v>
      </c>
      <c r="C2804" s="124">
        <v>46449</v>
      </c>
      <c r="D2804" s="124" t="s">
        <v>471</v>
      </c>
      <c r="E2804" s="21">
        <v>0.90123472000000004</v>
      </c>
      <c r="F2804" s="10"/>
      <c r="G2804" s="14">
        <v>25000000</v>
      </c>
      <c r="H2804" s="14">
        <v>22530867.949999999</v>
      </c>
      <c r="I2804" s="14">
        <v>25000000</v>
      </c>
      <c r="J2804" s="14">
        <v>22530867.949999999</v>
      </c>
      <c r="K2804" s="12">
        <v>2703</v>
      </c>
      <c r="L2804" s="10" t="s">
        <v>101</v>
      </c>
      <c r="M2804" s="10" t="s">
        <v>102</v>
      </c>
      <c r="N2804" s="124" t="s">
        <v>310</v>
      </c>
      <c r="O2804" s="124" t="s">
        <v>310</v>
      </c>
      <c r="P2804" s="21">
        <v>32</v>
      </c>
      <c r="Q2804" s="10" t="s">
        <v>54</v>
      </c>
      <c r="R2804" s="10" t="s">
        <v>28</v>
      </c>
      <c r="S2804" s="10"/>
      <c r="T2804" s="10"/>
      <c r="U2804" s="10" t="s">
        <v>1008</v>
      </c>
      <c r="V2804" s="10" t="s">
        <v>1008</v>
      </c>
      <c r="W2804" s="50">
        <f>+J2804/$W$2</f>
        <v>2.7574731148514742E-4</v>
      </c>
    </row>
    <row r="2805" spans="1:29">
      <c r="A2805" s="10" t="s">
        <v>2314</v>
      </c>
      <c r="B2805" s="10" t="s">
        <v>358</v>
      </c>
      <c r="C2805" s="124">
        <v>46449</v>
      </c>
      <c r="D2805" s="124" t="s">
        <v>471</v>
      </c>
      <c r="E2805" s="21">
        <v>0.89846172000000002</v>
      </c>
      <c r="F2805" s="10"/>
      <c r="G2805" s="14">
        <v>6006148</v>
      </c>
      <c r="H2805" s="14">
        <v>5396294.0700000003</v>
      </c>
      <c r="I2805" s="14">
        <v>6006148</v>
      </c>
      <c r="J2805" s="14">
        <v>5396294.0700000003</v>
      </c>
      <c r="K2805" s="12">
        <v>1370664</v>
      </c>
      <c r="L2805" s="10" t="s">
        <v>101</v>
      </c>
      <c r="M2805" s="10" t="s">
        <v>102</v>
      </c>
      <c r="N2805" s="124" t="s">
        <v>439</v>
      </c>
      <c r="O2805" s="124" t="s">
        <v>439</v>
      </c>
      <c r="P2805" s="21">
        <v>33</v>
      </c>
      <c r="Q2805" s="10" t="s">
        <v>54</v>
      </c>
      <c r="R2805" s="10" t="s">
        <v>28</v>
      </c>
      <c r="S2805" s="10"/>
      <c r="T2805" s="10"/>
      <c r="U2805" s="10" t="s">
        <v>2308</v>
      </c>
      <c r="V2805" s="10" t="s">
        <v>2308</v>
      </c>
      <c r="W2805" s="50">
        <f>+J2805/$W$2</f>
        <v>6.6043331534671045E-5</v>
      </c>
    </row>
    <row r="2806" spans="1:29">
      <c r="A2806" s="10" t="s">
        <v>443</v>
      </c>
      <c r="B2806" s="10" t="s">
        <v>358</v>
      </c>
      <c r="C2806" s="124">
        <v>46449</v>
      </c>
      <c r="D2806" s="124" t="s">
        <v>471</v>
      </c>
      <c r="E2806" s="21">
        <v>0.89846163999999995</v>
      </c>
      <c r="F2806" s="10"/>
      <c r="G2806" s="14">
        <v>10000000</v>
      </c>
      <c r="H2806" s="14">
        <v>8984616.3499999996</v>
      </c>
      <c r="I2806" s="14">
        <v>10000000</v>
      </c>
      <c r="J2806" s="14">
        <v>8984616.3499999996</v>
      </c>
      <c r="K2806" s="12">
        <v>69401460</v>
      </c>
      <c r="L2806" s="10" t="s">
        <v>101</v>
      </c>
      <c r="M2806" s="10" t="s">
        <v>102</v>
      </c>
      <c r="N2806" s="124" t="s">
        <v>486</v>
      </c>
      <c r="O2806" s="124" t="s">
        <v>486</v>
      </c>
      <c r="P2806" s="21">
        <v>33</v>
      </c>
      <c r="Q2806" s="10" t="s">
        <v>54</v>
      </c>
      <c r="R2806" s="10" t="s">
        <v>28</v>
      </c>
      <c r="S2806" s="10"/>
      <c r="T2806" s="10"/>
      <c r="U2806" s="10" t="s">
        <v>1444</v>
      </c>
      <c r="V2806" s="10" t="s">
        <v>1444</v>
      </c>
      <c r="W2806" s="50">
        <f>+J2806/$W$2</f>
        <v>1.0995953678908311E-4</v>
      </c>
    </row>
    <row r="2807" spans="1:29">
      <c r="A2807" s="10" t="s">
        <v>443</v>
      </c>
      <c r="B2807" s="10" t="s">
        <v>358</v>
      </c>
      <c r="C2807" s="124">
        <v>46449</v>
      </c>
      <c r="D2807" s="124" t="s">
        <v>471</v>
      </c>
      <c r="E2807" s="21">
        <v>0.90402479000000002</v>
      </c>
      <c r="F2807" s="10"/>
      <c r="G2807" s="14">
        <v>1667000</v>
      </c>
      <c r="H2807" s="14">
        <v>1507009.33</v>
      </c>
      <c r="I2807" s="14">
        <v>1667000</v>
      </c>
      <c r="J2807" s="14">
        <v>1507009.33</v>
      </c>
      <c r="K2807" s="12">
        <v>752</v>
      </c>
      <c r="L2807" s="10" t="s">
        <v>101</v>
      </c>
      <c r="M2807" s="10" t="s">
        <v>102</v>
      </c>
      <c r="N2807" s="124" t="s">
        <v>576</v>
      </c>
      <c r="O2807" s="124" t="s">
        <v>576</v>
      </c>
      <c r="P2807" s="21">
        <v>31</v>
      </c>
      <c r="Q2807" s="10" t="s">
        <v>54</v>
      </c>
      <c r="R2807" s="10" t="s">
        <v>28</v>
      </c>
      <c r="S2807" s="10"/>
      <c r="T2807" s="10"/>
      <c r="U2807" s="10" t="s">
        <v>2322</v>
      </c>
      <c r="V2807" s="10" t="s">
        <v>2322</v>
      </c>
      <c r="W2807" s="50">
        <f>+J2807/$W$2</f>
        <v>1.8443753345531166E-5</v>
      </c>
    </row>
    <row r="2808" spans="1:29">
      <c r="A2808" s="10" t="s">
        <v>401</v>
      </c>
      <c r="B2808" s="10" t="s">
        <v>358</v>
      </c>
      <c r="C2808" s="124">
        <v>46449</v>
      </c>
      <c r="D2808" s="124" t="s">
        <v>471</v>
      </c>
      <c r="E2808" s="21">
        <v>0.90683239000000004</v>
      </c>
      <c r="F2808" s="10"/>
      <c r="G2808" s="14">
        <v>6441003</v>
      </c>
      <c r="H2808" s="14">
        <v>5840910.1699999999</v>
      </c>
      <c r="I2808" s="14">
        <v>6441003</v>
      </c>
      <c r="J2808" s="14">
        <v>5840910.1699999999</v>
      </c>
      <c r="K2808" s="12">
        <v>14097861</v>
      </c>
      <c r="L2808" s="10" t="s">
        <v>101</v>
      </c>
      <c r="M2808" s="10" t="s">
        <v>102</v>
      </c>
      <c r="N2808" s="124" t="s">
        <v>449</v>
      </c>
      <c r="O2808" s="124" t="s">
        <v>449</v>
      </c>
      <c r="P2808" s="21">
        <v>30</v>
      </c>
      <c r="Q2808" s="10" t="s">
        <v>54</v>
      </c>
      <c r="R2808" s="10" t="s">
        <v>28</v>
      </c>
      <c r="S2808" s="10"/>
      <c r="T2808" s="10"/>
      <c r="U2808" s="10" t="s">
        <v>1912</v>
      </c>
      <c r="V2808" s="10" t="s">
        <v>1912</v>
      </c>
      <c r="W2808" s="50">
        <f>+J2808/$W$2</f>
        <v>7.1484830481364364E-5</v>
      </c>
    </row>
    <row r="2809" spans="1:29">
      <c r="A2809" s="10" t="s">
        <v>401</v>
      </c>
      <c r="B2809" s="10" t="s">
        <v>358</v>
      </c>
      <c r="C2809" s="124">
        <v>46449</v>
      </c>
      <c r="D2809" s="124" t="s">
        <v>471</v>
      </c>
      <c r="E2809" s="21">
        <v>0.90683239000000004</v>
      </c>
      <c r="F2809" s="10"/>
      <c r="G2809" s="14">
        <v>2122114</v>
      </c>
      <c r="H2809" s="14">
        <v>1924401.72</v>
      </c>
      <c r="I2809" s="14">
        <v>2122114</v>
      </c>
      <c r="J2809" s="14">
        <v>1924401.72</v>
      </c>
      <c r="K2809" s="12">
        <v>10558308</v>
      </c>
      <c r="L2809" s="10" t="s">
        <v>101</v>
      </c>
      <c r="M2809" s="10" t="s">
        <v>102</v>
      </c>
      <c r="N2809" s="124" t="s">
        <v>449</v>
      </c>
      <c r="O2809" s="124" t="s">
        <v>449</v>
      </c>
      <c r="P2809" s="21">
        <v>30</v>
      </c>
      <c r="Q2809" s="10" t="s">
        <v>54</v>
      </c>
      <c r="R2809" s="10" t="s">
        <v>28</v>
      </c>
      <c r="S2809" s="10"/>
      <c r="T2809" s="10"/>
      <c r="U2809" s="10" t="s">
        <v>1915</v>
      </c>
      <c r="V2809" s="10" t="s">
        <v>1915</v>
      </c>
      <c r="W2809" s="50">
        <f>+J2809/$W$2</f>
        <v>2.3552070949285978E-5</v>
      </c>
    </row>
    <row r="2810" spans="1:29">
      <c r="A2810" s="10" t="s">
        <v>401</v>
      </c>
      <c r="B2810" s="10" t="s">
        <v>358</v>
      </c>
      <c r="C2810" s="124">
        <v>46449</v>
      </c>
      <c r="D2810" s="124" t="s">
        <v>471</v>
      </c>
      <c r="E2810" s="21">
        <v>0.90123469</v>
      </c>
      <c r="F2810" s="10"/>
      <c r="G2810" s="14">
        <v>16500000</v>
      </c>
      <c r="H2810" s="14">
        <v>14870372.390000001</v>
      </c>
      <c r="I2810" s="14">
        <v>16500000</v>
      </c>
      <c r="J2810" s="14">
        <v>14870372.390000001</v>
      </c>
      <c r="K2810" s="12">
        <v>194</v>
      </c>
      <c r="L2810" s="10" t="s">
        <v>101</v>
      </c>
      <c r="M2810" s="10" t="s">
        <v>102</v>
      </c>
      <c r="N2810" s="124" t="s">
        <v>469</v>
      </c>
      <c r="O2810" s="124" t="s">
        <v>469</v>
      </c>
      <c r="P2810" s="21">
        <v>32</v>
      </c>
      <c r="Q2810" s="10" t="s">
        <v>54</v>
      </c>
      <c r="R2810" s="10" t="s">
        <v>28</v>
      </c>
      <c r="S2810" s="10"/>
      <c r="T2810" s="10"/>
      <c r="U2810" s="10" t="s">
        <v>3941</v>
      </c>
      <c r="V2810" s="10" t="s">
        <v>3941</v>
      </c>
      <c r="W2810" s="50">
        <f>+J2810/$W$2</f>
        <v>1.819932199871362E-4</v>
      </c>
    </row>
    <row r="2811" spans="1:29">
      <c r="A2811" s="10" t="s">
        <v>2758</v>
      </c>
      <c r="B2811" s="10" t="s">
        <v>358</v>
      </c>
      <c r="C2811" s="124">
        <v>46449</v>
      </c>
      <c r="D2811" s="124" t="s">
        <v>471</v>
      </c>
      <c r="E2811" s="21">
        <v>0.91249999999999998</v>
      </c>
      <c r="F2811" s="10"/>
      <c r="G2811" s="14">
        <v>8876079</v>
      </c>
      <c r="H2811" s="14">
        <v>8099422.0899999999</v>
      </c>
      <c r="I2811" s="14">
        <v>8876079</v>
      </c>
      <c r="J2811" s="14">
        <v>8099422.0899999999</v>
      </c>
      <c r="K2811" s="12">
        <v>718565</v>
      </c>
      <c r="L2811" s="10" t="s">
        <v>101</v>
      </c>
      <c r="M2811" s="10" t="s">
        <v>102</v>
      </c>
      <c r="N2811" s="124" t="s">
        <v>411</v>
      </c>
      <c r="O2811" s="124" t="s">
        <v>411</v>
      </c>
      <c r="P2811" s="21">
        <v>28</v>
      </c>
      <c r="Q2811" s="10" t="s">
        <v>54</v>
      </c>
      <c r="R2811" s="10" t="s">
        <v>28</v>
      </c>
      <c r="S2811" s="10"/>
      <c r="T2811" s="10"/>
      <c r="U2811" s="10" t="s">
        <v>2933</v>
      </c>
      <c r="V2811" s="10" t="s">
        <v>2933</v>
      </c>
      <c r="W2811" s="50">
        <f>+J2811/$W$2</f>
        <v>9.9125957812952958E-5</v>
      </c>
      <c r="AC2811" s="47"/>
    </row>
    <row r="2812" spans="1:29">
      <c r="A2812" s="10" t="s">
        <v>1893</v>
      </c>
      <c r="B2812" s="10" t="s">
        <v>358</v>
      </c>
      <c r="C2812" s="124">
        <v>46449</v>
      </c>
      <c r="D2812" s="124" t="s">
        <v>471</v>
      </c>
      <c r="E2812" s="21">
        <v>0.91536066999999999</v>
      </c>
      <c r="F2812" s="10"/>
      <c r="G2812" s="14">
        <v>23900405</v>
      </c>
      <c r="H2812" s="14">
        <v>21877490.760000002</v>
      </c>
      <c r="I2812" s="14">
        <v>23900405</v>
      </c>
      <c r="J2812" s="14">
        <v>21877490.760000002</v>
      </c>
      <c r="K2812" s="12">
        <v>90001873</v>
      </c>
      <c r="L2812" s="10" t="s">
        <v>101</v>
      </c>
      <c r="M2812" s="10" t="s">
        <v>102</v>
      </c>
      <c r="N2812" s="124" t="s">
        <v>471</v>
      </c>
      <c r="O2812" s="124" t="s">
        <v>471</v>
      </c>
      <c r="P2812" s="21">
        <v>27</v>
      </c>
      <c r="Q2812" s="10" t="s">
        <v>54</v>
      </c>
      <c r="R2812" s="10" t="s">
        <v>28</v>
      </c>
      <c r="S2812" s="10"/>
      <c r="T2812" s="10"/>
      <c r="U2812" s="10" t="s">
        <v>4080</v>
      </c>
      <c r="V2812" s="10" t="s">
        <v>4080</v>
      </c>
      <c r="W2812" s="50">
        <f>+J2812/$W$2</f>
        <v>2.677508595096602E-4</v>
      </c>
    </row>
    <row r="2813" spans="1:29">
      <c r="A2813" s="10" t="s">
        <v>443</v>
      </c>
      <c r="B2813" s="10" t="s">
        <v>358</v>
      </c>
      <c r="C2813" s="124">
        <v>46449</v>
      </c>
      <c r="D2813" s="124" t="s">
        <v>471</v>
      </c>
      <c r="E2813" s="21">
        <v>0.90965741</v>
      </c>
      <c r="F2813" s="10"/>
      <c r="G2813" s="14">
        <v>4715388</v>
      </c>
      <c r="H2813" s="14">
        <v>4289387.66</v>
      </c>
      <c r="I2813" s="14">
        <v>4715388</v>
      </c>
      <c r="J2813" s="14">
        <v>4289387.66</v>
      </c>
      <c r="K2813" s="12">
        <v>4614</v>
      </c>
      <c r="L2813" s="10" t="s">
        <v>101</v>
      </c>
      <c r="M2813" s="10" t="s">
        <v>102</v>
      </c>
      <c r="N2813" s="124" t="s">
        <v>449</v>
      </c>
      <c r="O2813" s="124" t="s">
        <v>449</v>
      </c>
      <c r="P2813" s="21">
        <v>29</v>
      </c>
      <c r="Q2813" s="10" t="s">
        <v>54</v>
      </c>
      <c r="R2813" s="10" t="s">
        <v>28</v>
      </c>
      <c r="S2813" s="10"/>
      <c r="T2813" s="10"/>
      <c r="U2813" s="10" t="s">
        <v>1933</v>
      </c>
      <c r="V2813" s="10" t="s">
        <v>1933</v>
      </c>
      <c r="W2813" s="50">
        <f>+J2813/$W$2</f>
        <v>5.2496296094202081E-5</v>
      </c>
    </row>
    <row r="2814" spans="1:29">
      <c r="A2814" s="10" t="s">
        <v>4044</v>
      </c>
      <c r="B2814" s="10" t="s">
        <v>358</v>
      </c>
      <c r="C2814" s="124">
        <v>46449</v>
      </c>
      <c r="D2814" s="124" t="s">
        <v>471</v>
      </c>
      <c r="E2814" s="21">
        <v>0.90683241999999997</v>
      </c>
      <c r="F2814" s="10"/>
      <c r="G2814" s="14">
        <v>15000000</v>
      </c>
      <c r="H2814" s="14">
        <v>13602486.25</v>
      </c>
      <c r="I2814" s="14">
        <v>15000000</v>
      </c>
      <c r="J2814" s="14">
        <v>13602486.25</v>
      </c>
      <c r="K2814" s="12">
        <v>1424</v>
      </c>
      <c r="L2814" s="10" t="s">
        <v>101</v>
      </c>
      <c r="M2814" s="10" t="s">
        <v>102</v>
      </c>
      <c r="N2814" s="124" t="s">
        <v>469</v>
      </c>
      <c r="O2814" s="124" t="s">
        <v>469</v>
      </c>
      <c r="P2814" s="21">
        <v>30</v>
      </c>
      <c r="Q2814" s="10" t="s">
        <v>54</v>
      </c>
      <c r="R2814" s="10" t="s">
        <v>28</v>
      </c>
      <c r="S2814" s="10"/>
      <c r="T2814" s="10"/>
      <c r="U2814" s="10" t="s">
        <v>3960</v>
      </c>
      <c r="V2814" s="10" t="s">
        <v>3960</v>
      </c>
      <c r="W2814" s="50">
        <f>+J2814/$W$2</f>
        <v>1.6647601065680141E-4</v>
      </c>
    </row>
    <row r="2815" spans="1:29">
      <c r="A2815" s="10" t="s">
        <v>1393</v>
      </c>
      <c r="B2815" s="10" t="s">
        <v>358</v>
      </c>
      <c r="C2815" s="124">
        <v>46449</v>
      </c>
      <c r="D2815" s="124" t="s">
        <v>471</v>
      </c>
      <c r="E2815" s="21">
        <v>0.90402484000000005</v>
      </c>
      <c r="F2815" s="10"/>
      <c r="G2815" s="14">
        <v>65000000</v>
      </c>
      <c r="H2815" s="14">
        <v>58761614.640000001</v>
      </c>
      <c r="I2815" s="14">
        <v>65000000</v>
      </c>
      <c r="J2815" s="14">
        <v>58761614.640000001</v>
      </c>
      <c r="K2815" s="12">
        <v>3042</v>
      </c>
      <c r="L2815" s="10" t="s">
        <v>101</v>
      </c>
      <c r="M2815" s="10" t="s">
        <v>102</v>
      </c>
      <c r="N2815" s="124" t="s">
        <v>396</v>
      </c>
      <c r="O2815" s="124" t="s">
        <v>396</v>
      </c>
      <c r="P2815" s="21">
        <v>31</v>
      </c>
      <c r="Q2815" s="10" t="s">
        <v>54</v>
      </c>
      <c r="R2815" s="10" t="s">
        <v>28</v>
      </c>
      <c r="S2815" s="10"/>
      <c r="T2815" s="10"/>
      <c r="U2815" s="10" t="s">
        <v>1372</v>
      </c>
      <c r="V2815" s="10" t="s">
        <v>1372</v>
      </c>
      <c r="W2815" s="50">
        <f>+J2815/$W$2</f>
        <v>7.1916258581180322E-4</v>
      </c>
    </row>
    <row r="2816" spans="1:29">
      <c r="A2816" s="10" t="s">
        <v>364</v>
      </c>
      <c r="B2816" s="10" t="s">
        <v>358</v>
      </c>
      <c r="C2816" s="124">
        <v>46449</v>
      </c>
      <c r="D2816" s="124" t="s">
        <v>471</v>
      </c>
      <c r="E2816" s="21">
        <v>0.89846157000000004</v>
      </c>
      <c r="F2816" s="10"/>
      <c r="G2816" s="14">
        <v>11321347.039999999</v>
      </c>
      <c r="H2816" s="14">
        <v>10171795.189999999</v>
      </c>
      <c r="I2816" s="14">
        <v>11321347.039999999</v>
      </c>
      <c r="J2816" s="14">
        <v>10171795.189999999</v>
      </c>
      <c r="K2816" s="12">
        <v>31236</v>
      </c>
      <c r="L2816" s="10" t="s">
        <v>101</v>
      </c>
      <c r="M2816" s="10" t="s">
        <v>102</v>
      </c>
      <c r="N2816" s="124" t="s">
        <v>467</v>
      </c>
      <c r="O2816" s="124" t="s">
        <v>467</v>
      </c>
      <c r="P2816" s="21">
        <v>33</v>
      </c>
      <c r="Q2816" s="10" t="s">
        <v>54</v>
      </c>
      <c r="R2816" s="10" t="s">
        <v>28</v>
      </c>
      <c r="S2816" s="10"/>
      <c r="T2816" s="10"/>
      <c r="U2816" s="10" t="s">
        <v>3665</v>
      </c>
      <c r="V2816" s="10" t="s">
        <v>3665</v>
      </c>
      <c r="W2816" s="50">
        <f>+J2816/$W$2</f>
        <v>1.2448899806454436E-4</v>
      </c>
    </row>
    <row r="2817" spans="1:23">
      <c r="A2817" s="10" t="s">
        <v>4045</v>
      </c>
      <c r="B2817" s="10" t="s">
        <v>358</v>
      </c>
      <c r="C2817" s="124">
        <v>46449</v>
      </c>
      <c r="D2817" s="124" t="s">
        <v>471</v>
      </c>
      <c r="E2817" s="21">
        <v>0.90683241999999997</v>
      </c>
      <c r="F2817" s="10"/>
      <c r="G2817" s="14">
        <v>100000000</v>
      </c>
      <c r="H2817" s="14">
        <v>90683241.640000001</v>
      </c>
      <c r="I2817" s="14">
        <v>100000000</v>
      </c>
      <c r="J2817" s="14">
        <v>90683241.640000001</v>
      </c>
      <c r="K2817" s="12">
        <v>12331</v>
      </c>
      <c r="L2817" s="10" t="s">
        <v>101</v>
      </c>
      <c r="M2817" s="10" t="s">
        <v>102</v>
      </c>
      <c r="N2817" s="124" t="s">
        <v>469</v>
      </c>
      <c r="O2817" s="124" t="s">
        <v>469</v>
      </c>
      <c r="P2817" s="21">
        <v>30</v>
      </c>
      <c r="Q2817" s="10" t="s">
        <v>54</v>
      </c>
      <c r="R2817" s="10" t="s">
        <v>28</v>
      </c>
      <c r="S2817" s="10"/>
      <c r="T2817" s="10"/>
      <c r="U2817" s="10" t="s">
        <v>3895</v>
      </c>
      <c r="V2817" s="10" t="s">
        <v>3895</v>
      </c>
      <c r="W2817" s="50">
        <f>+J2817/$W$2</f>
        <v>1.1098400707189788E-3</v>
      </c>
    </row>
    <row r="2818" spans="1:23">
      <c r="A2818" s="10" t="s">
        <v>4045</v>
      </c>
      <c r="B2818" s="10" t="s">
        <v>358</v>
      </c>
      <c r="C2818" s="124">
        <v>46449</v>
      </c>
      <c r="D2818" s="124" t="s">
        <v>471</v>
      </c>
      <c r="E2818" s="21">
        <v>0.90683241999999997</v>
      </c>
      <c r="F2818" s="10"/>
      <c r="G2818" s="14">
        <v>100000000</v>
      </c>
      <c r="H2818" s="14">
        <v>90683241.640000001</v>
      </c>
      <c r="I2818" s="14">
        <v>100000000</v>
      </c>
      <c r="J2818" s="14">
        <v>90683241.640000001</v>
      </c>
      <c r="K2818" s="12">
        <v>12329</v>
      </c>
      <c r="L2818" s="10" t="s">
        <v>101</v>
      </c>
      <c r="M2818" s="10" t="s">
        <v>102</v>
      </c>
      <c r="N2818" s="124" t="s">
        <v>469</v>
      </c>
      <c r="O2818" s="124" t="s">
        <v>469</v>
      </c>
      <c r="P2818" s="21">
        <v>30</v>
      </c>
      <c r="Q2818" s="10" t="s">
        <v>54</v>
      </c>
      <c r="R2818" s="10" t="s">
        <v>28</v>
      </c>
      <c r="S2818" s="10"/>
      <c r="T2818" s="10"/>
      <c r="U2818" s="10" t="s">
        <v>3896</v>
      </c>
      <c r="V2818" s="10" t="s">
        <v>3896</v>
      </c>
      <c r="W2818" s="50">
        <f>+J2818/$W$2</f>
        <v>1.1098400707189788E-3</v>
      </c>
    </row>
    <row r="2819" spans="1:23">
      <c r="A2819" s="10" t="s">
        <v>4045</v>
      </c>
      <c r="B2819" s="10" t="s">
        <v>358</v>
      </c>
      <c r="C2819" s="124">
        <v>46449</v>
      </c>
      <c r="D2819" s="124" t="s">
        <v>471</v>
      </c>
      <c r="E2819" s="21">
        <v>0.90683241999999997</v>
      </c>
      <c r="F2819" s="10"/>
      <c r="G2819" s="14">
        <v>100000000</v>
      </c>
      <c r="H2819" s="14">
        <v>90683241.640000001</v>
      </c>
      <c r="I2819" s="14">
        <v>100000000</v>
      </c>
      <c r="J2819" s="14">
        <v>90683241.640000001</v>
      </c>
      <c r="K2819" s="12">
        <v>12333</v>
      </c>
      <c r="L2819" s="10" t="s">
        <v>101</v>
      </c>
      <c r="M2819" s="10" t="s">
        <v>102</v>
      </c>
      <c r="N2819" s="124" t="s">
        <v>469</v>
      </c>
      <c r="O2819" s="124" t="s">
        <v>469</v>
      </c>
      <c r="P2819" s="21">
        <v>30</v>
      </c>
      <c r="Q2819" s="10" t="s">
        <v>54</v>
      </c>
      <c r="R2819" s="10" t="s">
        <v>28</v>
      </c>
      <c r="S2819" s="10"/>
      <c r="T2819" s="10"/>
      <c r="U2819" s="10" t="s">
        <v>3899</v>
      </c>
      <c r="V2819" s="10" t="s">
        <v>3899</v>
      </c>
      <c r="W2819" s="50">
        <f>+J2819/$W$2</f>
        <v>1.1098400707189788E-3</v>
      </c>
    </row>
    <row r="2820" spans="1:23">
      <c r="A2820" s="10" t="s">
        <v>4170</v>
      </c>
      <c r="B2820" s="10" t="s">
        <v>358</v>
      </c>
      <c r="C2820" s="124">
        <v>46449</v>
      </c>
      <c r="D2820" s="124" t="s">
        <v>471</v>
      </c>
      <c r="E2820" s="21">
        <v>0.90683248000000005</v>
      </c>
      <c r="F2820" s="10"/>
      <c r="G2820" s="14">
        <v>113000000</v>
      </c>
      <c r="H2820" s="14">
        <v>102472070.69</v>
      </c>
      <c r="I2820" s="14">
        <v>113000000</v>
      </c>
      <c r="J2820" s="14">
        <v>102472070.69</v>
      </c>
      <c r="K2820" s="12">
        <v>14846957</v>
      </c>
      <c r="L2820" s="10" t="s">
        <v>101</v>
      </c>
      <c r="M2820" s="10" t="s">
        <v>102</v>
      </c>
      <c r="N2820" s="124" t="s">
        <v>471</v>
      </c>
      <c r="O2820" s="124" t="s">
        <v>471</v>
      </c>
      <c r="P2820" s="21">
        <v>30</v>
      </c>
      <c r="Q2820" s="10" t="s">
        <v>54</v>
      </c>
      <c r="R2820" s="10" t="s">
        <v>28</v>
      </c>
      <c r="S2820" s="10"/>
      <c r="T2820" s="10"/>
      <c r="U2820" s="10" t="s">
        <v>4126</v>
      </c>
      <c r="V2820" s="10" t="s">
        <v>4126</v>
      </c>
      <c r="W2820" s="50">
        <f>+J2820/$W$2</f>
        <v>1.254119373376536E-3</v>
      </c>
    </row>
    <row r="2821" spans="1:23">
      <c r="A2821" s="10" t="s">
        <v>4170</v>
      </c>
      <c r="B2821" s="10" t="s">
        <v>358</v>
      </c>
      <c r="C2821" s="124">
        <v>46449</v>
      </c>
      <c r="D2821" s="124" t="s">
        <v>471</v>
      </c>
      <c r="E2821" s="21">
        <v>0.90683248000000005</v>
      </c>
      <c r="F2821" s="10"/>
      <c r="G2821" s="14">
        <v>113000000</v>
      </c>
      <c r="H2821" s="14">
        <v>102472070.69</v>
      </c>
      <c r="I2821" s="14">
        <v>113000000</v>
      </c>
      <c r="J2821" s="14">
        <v>102472070.69</v>
      </c>
      <c r="K2821" s="12">
        <v>14846955</v>
      </c>
      <c r="L2821" s="10" t="s">
        <v>101</v>
      </c>
      <c r="M2821" s="10" t="s">
        <v>102</v>
      </c>
      <c r="N2821" s="124" t="s">
        <v>471</v>
      </c>
      <c r="O2821" s="124" t="s">
        <v>471</v>
      </c>
      <c r="P2821" s="21">
        <v>30</v>
      </c>
      <c r="Q2821" s="10" t="s">
        <v>54</v>
      </c>
      <c r="R2821" s="10" t="s">
        <v>28</v>
      </c>
      <c r="S2821" s="10"/>
      <c r="T2821" s="10"/>
      <c r="U2821" s="10" t="s">
        <v>4127</v>
      </c>
      <c r="V2821" s="10" t="s">
        <v>4127</v>
      </c>
      <c r="W2821" s="50">
        <f>+J2821/$W$2</f>
        <v>1.254119373376536E-3</v>
      </c>
    </row>
    <row r="2822" spans="1:23">
      <c r="A2822" s="10" t="s">
        <v>4170</v>
      </c>
      <c r="B2822" s="10" t="s">
        <v>358</v>
      </c>
      <c r="C2822" s="124">
        <v>46449</v>
      </c>
      <c r="D2822" s="124" t="s">
        <v>471</v>
      </c>
      <c r="E2822" s="21">
        <v>0.90683248000000005</v>
      </c>
      <c r="F2822" s="10"/>
      <c r="G2822" s="14">
        <v>113000000</v>
      </c>
      <c r="H2822" s="14">
        <v>102472070.69</v>
      </c>
      <c r="I2822" s="14">
        <v>113000000</v>
      </c>
      <c r="J2822" s="14">
        <v>102472070.69</v>
      </c>
      <c r="K2822" s="12">
        <v>14846958</v>
      </c>
      <c r="L2822" s="10" t="s">
        <v>101</v>
      </c>
      <c r="M2822" s="10" t="s">
        <v>102</v>
      </c>
      <c r="N2822" s="124" t="s">
        <v>471</v>
      </c>
      <c r="O2822" s="124" t="s">
        <v>471</v>
      </c>
      <c r="P2822" s="21">
        <v>30</v>
      </c>
      <c r="Q2822" s="10" t="s">
        <v>54</v>
      </c>
      <c r="R2822" s="10" t="s">
        <v>28</v>
      </c>
      <c r="S2822" s="10"/>
      <c r="T2822" s="10"/>
      <c r="U2822" s="10" t="s">
        <v>4128</v>
      </c>
      <c r="V2822" s="10" t="s">
        <v>4128</v>
      </c>
      <c r="W2822" s="50">
        <f>+J2822/$W$2</f>
        <v>1.254119373376536E-3</v>
      </c>
    </row>
    <row r="2823" spans="1:23">
      <c r="A2823" s="10" t="s">
        <v>3591</v>
      </c>
      <c r="B2823" s="10" t="s">
        <v>358</v>
      </c>
      <c r="C2823" s="124">
        <v>46449</v>
      </c>
      <c r="D2823" s="124" t="s">
        <v>471</v>
      </c>
      <c r="E2823" s="21">
        <v>0.89296657999999995</v>
      </c>
      <c r="F2823" s="10"/>
      <c r="G2823" s="14">
        <v>11000000</v>
      </c>
      <c r="H2823" s="14">
        <v>9822632.4000000004</v>
      </c>
      <c r="I2823" s="14">
        <v>11000000</v>
      </c>
      <c r="J2823" s="14">
        <v>9822632.4000000004</v>
      </c>
      <c r="K2823" s="12">
        <v>841128</v>
      </c>
      <c r="L2823" s="10" t="s">
        <v>101</v>
      </c>
      <c r="M2823" s="10" t="s">
        <v>102</v>
      </c>
      <c r="N2823" s="124" t="s">
        <v>466</v>
      </c>
      <c r="O2823" s="124" t="s">
        <v>466</v>
      </c>
      <c r="P2823" s="21">
        <v>35</v>
      </c>
      <c r="Q2823" s="10" t="s">
        <v>54</v>
      </c>
      <c r="R2823" s="10" t="s">
        <v>28</v>
      </c>
      <c r="S2823" s="10"/>
      <c r="T2823" s="10"/>
      <c r="U2823" s="10" t="s">
        <v>3623</v>
      </c>
      <c r="V2823" s="10" t="s">
        <v>3623</v>
      </c>
      <c r="W2823" s="50">
        <f>+J2823/$W$2</f>
        <v>1.2021571836547476E-4</v>
      </c>
    </row>
    <row r="2824" spans="1:23">
      <c r="A2824" s="10" t="s">
        <v>438</v>
      </c>
      <c r="B2824" s="10" t="s">
        <v>358</v>
      </c>
      <c r="C2824" s="124">
        <v>46449</v>
      </c>
      <c r="D2824" s="124" t="s">
        <v>471</v>
      </c>
      <c r="E2824" s="21">
        <v>0.90683248000000005</v>
      </c>
      <c r="F2824" s="10"/>
      <c r="G2824" s="14">
        <v>25000000</v>
      </c>
      <c r="H2824" s="14">
        <v>22670812.100000001</v>
      </c>
      <c r="I2824" s="14">
        <v>25000000</v>
      </c>
      <c r="J2824" s="14">
        <v>22670812.100000001</v>
      </c>
      <c r="K2824" s="12">
        <v>24648</v>
      </c>
      <c r="L2824" s="10" t="s">
        <v>101</v>
      </c>
      <c r="M2824" s="10" t="s">
        <v>102</v>
      </c>
      <c r="N2824" s="124" t="s">
        <v>471</v>
      </c>
      <c r="O2824" s="124" t="s">
        <v>471</v>
      </c>
      <c r="P2824" s="21">
        <v>30</v>
      </c>
      <c r="Q2824" s="10" t="s">
        <v>54</v>
      </c>
      <c r="R2824" s="10" t="s">
        <v>28</v>
      </c>
      <c r="S2824" s="10"/>
      <c r="T2824" s="10"/>
      <c r="U2824" s="10" t="s">
        <v>4067</v>
      </c>
      <c r="V2824" s="10" t="s">
        <v>4067</v>
      </c>
      <c r="W2824" s="50">
        <f>+J2824/$W$2</f>
        <v>2.7746003836305605E-4</v>
      </c>
    </row>
    <row r="2825" spans="1:23">
      <c r="A2825" s="10" t="s">
        <v>438</v>
      </c>
      <c r="B2825" s="10" t="s">
        <v>358</v>
      </c>
      <c r="C2825" s="124">
        <v>46449</v>
      </c>
      <c r="D2825" s="124" t="s">
        <v>471</v>
      </c>
      <c r="E2825" s="21">
        <v>0.90965750000000001</v>
      </c>
      <c r="F2825" s="10"/>
      <c r="G2825" s="14">
        <v>30000000</v>
      </c>
      <c r="H2825" s="14">
        <v>27289725.07</v>
      </c>
      <c r="I2825" s="14">
        <v>30000000</v>
      </c>
      <c r="J2825" s="14">
        <v>27289725.07</v>
      </c>
      <c r="K2825" s="12">
        <v>3839914</v>
      </c>
      <c r="L2825" s="10" t="s">
        <v>101</v>
      </c>
      <c r="M2825" s="10" t="s">
        <v>102</v>
      </c>
      <c r="N2825" s="124" t="s">
        <v>471</v>
      </c>
      <c r="O2825" s="124" t="s">
        <v>471</v>
      </c>
      <c r="P2825" s="21">
        <v>29</v>
      </c>
      <c r="Q2825" s="10" t="s">
        <v>54</v>
      </c>
      <c r="R2825" s="10" t="s">
        <v>28</v>
      </c>
      <c r="S2825" s="10"/>
      <c r="T2825" s="10"/>
      <c r="U2825" s="10" t="s">
        <v>4084</v>
      </c>
      <c r="V2825" s="10" t="s">
        <v>4084</v>
      </c>
      <c r="W2825" s="50">
        <f>+J2825/$W$2</f>
        <v>3.3398927799500628E-4</v>
      </c>
    </row>
    <row r="2826" spans="1:23">
      <c r="A2826" s="10" t="s">
        <v>2823</v>
      </c>
      <c r="B2826" s="10" t="s">
        <v>358</v>
      </c>
      <c r="C2826" s="124">
        <v>46449</v>
      </c>
      <c r="D2826" s="124" t="s">
        <v>471</v>
      </c>
      <c r="E2826" s="21">
        <v>0.9012346</v>
      </c>
      <c r="F2826" s="10"/>
      <c r="G2826" s="14">
        <v>513679.7</v>
      </c>
      <c r="H2826" s="14">
        <v>462945.92</v>
      </c>
      <c r="I2826" s="14">
        <v>513679.7</v>
      </c>
      <c r="J2826" s="14">
        <v>462945.92</v>
      </c>
      <c r="K2826" s="12">
        <v>5290</v>
      </c>
      <c r="L2826" s="10" t="s">
        <v>101</v>
      </c>
      <c r="M2826" s="10" t="s">
        <v>102</v>
      </c>
      <c r="N2826" s="124" t="s">
        <v>412</v>
      </c>
      <c r="O2826" s="124" t="s">
        <v>412</v>
      </c>
      <c r="P2826" s="21">
        <v>32</v>
      </c>
      <c r="Q2826" s="10" t="s">
        <v>54</v>
      </c>
      <c r="R2826" s="10" t="s">
        <v>28</v>
      </c>
      <c r="S2826" s="10"/>
      <c r="T2826" s="10"/>
      <c r="U2826" s="10" t="s">
        <v>2782</v>
      </c>
      <c r="V2826" s="10" t="s">
        <v>2782</v>
      </c>
      <c r="W2826" s="50">
        <f>+J2826/$W$2</f>
        <v>5.6658311205014251E-6</v>
      </c>
    </row>
    <row r="2827" spans="1:23">
      <c r="A2827" s="10" t="s">
        <v>2753</v>
      </c>
      <c r="B2827" s="10" t="s">
        <v>358</v>
      </c>
      <c r="C2827" s="124">
        <v>46449</v>
      </c>
      <c r="D2827" s="124" t="s">
        <v>471</v>
      </c>
      <c r="E2827" s="21">
        <v>0.90123463999999998</v>
      </c>
      <c r="F2827" s="10"/>
      <c r="G2827" s="14">
        <v>6000000</v>
      </c>
      <c r="H2827" s="14">
        <v>5407407.8600000003</v>
      </c>
      <c r="I2827" s="14">
        <v>6000000</v>
      </c>
      <c r="J2827" s="14">
        <v>5407407.8600000003</v>
      </c>
      <c r="K2827" s="12">
        <v>70158560</v>
      </c>
      <c r="L2827" s="10" t="s">
        <v>101</v>
      </c>
      <c r="M2827" s="10" t="s">
        <v>102</v>
      </c>
      <c r="N2827" s="124" t="s">
        <v>440</v>
      </c>
      <c r="O2827" s="124" t="s">
        <v>440</v>
      </c>
      <c r="P2827" s="21">
        <v>32</v>
      </c>
      <c r="Q2827" s="10" t="s">
        <v>54</v>
      </c>
      <c r="R2827" s="10" t="s">
        <v>28</v>
      </c>
      <c r="S2827" s="10"/>
      <c r="T2827" s="10"/>
      <c r="U2827" s="10" t="s">
        <v>2722</v>
      </c>
      <c r="V2827" s="10" t="s">
        <v>2722</v>
      </c>
      <c r="W2827" s="50">
        <f>+J2827/$W$2</f>
        <v>6.6179349273522096E-5</v>
      </c>
    </row>
    <row r="2828" spans="1:23">
      <c r="A2828" s="10" t="s">
        <v>2016</v>
      </c>
      <c r="B2828" s="10" t="s">
        <v>358</v>
      </c>
      <c r="C2828" s="124">
        <v>46450</v>
      </c>
      <c r="D2828" s="124" t="s">
        <v>471</v>
      </c>
      <c r="E2828" s="21">
        <v>0.90615696999999995</v>
      </c>
      <c r="F2828" s="10"/>
      <c r="G2828" s="14">
        <v>6000000</v>
      </c>
      <c r="H2828" s="14">
        <v>5436941.7999999998</v>
      </c>
      <c r="I2828" s="14">
        <v>6000000</v>
      </c>
      <c r="J2828" s="14">
        <v>5436941.7999999998</v>
      </c>
      <c r="K2828" s="12">
        <v>3897150</v>
      </c>
      <c r="L2828" s="10" t="s">
        <v>101</v>
      </c>
      <c r="M2828" s="10" t="s">
        <v>102</v>
      </c>
      <c r="N2828" s="124" t="s">
        <v>478</v>
      </c>
      <c r="O2828" s="124" t="s">
        <v>478</v>
      </c>
      <c r="P2828" s="21">
        <v>30</v>
      </c>
      <c r="Q2828" s="10" t="s">
        <v>54</v>
      </c>
      <c r="R2828" s="10" t="s">
        <v>28</v>
      </c>
      <c r="S2828" s="10"/>
      <c r="T2828" s="10"/>
      <c r="U2828" s="10" t="s">
        <v>2102</v>
      </c>
      <c r="V2828" s="10" t="s">
        <v>2102</v>
      </c>
      <c r="W2828" s="50">
        <f>+J2828/$W$2</f>
        <v>6.6540804703052656E-5</v>
      </c>
    </row>
    <row r="2829" spans="1:23">
      <c r="A2829" s="10" t="s">
        <v>364</v>
      </c>
      <c r="B2829" s="10" t="s">
        <v>358</v>
      </c>
      <c r="C2829" s="124">
        <v>46450</v>
      </c>
      <c r="D2829" s="124" t="s">
        <v>471</v>
      </c>
      <c r="E2829" s="21">
        <v>0.89773252000000003</v>
      </c>
      <c r="F2829" s="10"/>
      <c r="G2829" s="14">
        <v>11321347.039999999</v>
      </c>
      <c r="H2829" s="14">
        <v>10163541.35</v>
      </c>
      <c r="I2829" s="14">
        <v>11321347.039999999</v>
      </c>
      <c r="J2829" s="14">
        <v>10163541.35</v>
      </c>
      <c r="K2829" s="12">
        <v>31237</v>
      </c>
      <c r="L2829" s="10" t="s">
        <v>101</v>
      </c>
      <c r="M2829" s="10" t="s">
        <v>102</v>
      </c>
      <c r="N2829" s="124" t="s">
        <v>467</v>
      </c>
      <c r="O2829" s="124" t="s">
        <v>467</v>
      </c>
      <c r="P2829" s="21">
        <v>33</v>
      </c>
      <c r="Q2829" s="10" t="s">
        <v>54</v>
      </c>
      <c r="R2829" s="10" t="s">
        <v>28</v>
      </c>
      <c r="S2829" s="10"/>
      <c r="T2829" s="10"/>
      <c r="U2829" s="10" t="s">
        <v>3670</v>
      </c>
      <c r="V2829" s="10" t="s">
        <v>3670</v>
      </c>
      <c r="W2829" s="50">
        <f>+J2829/$W$2</f>
        <v>1.2438798224063207E-4</v>
      </c>
    </row>
    <row r="2830" spans="1:23">
      <c r="A2830" s="10" t="s">
        <v>4173</v>
      </c>
      <c r="B2830" s="10" t="s">
        <v>358</v>
      </c>
      <c r="C2830" s="124">
        <v>46450</v>
      </c>
      <c r="D2830" s="124" t="s">
        <v>471</v>
      </c>
      <c r="E2830" s="21">
        <v>0.89773243000000003</v>
      </c>
      <c r="F2830" s="10"/>
      <c r="G2830" s="14">
        <v>10000000</v>
      </c>
      <c r="H2830" s="14">
        <v>8977324.3200000003</v>
      </c>
      <c r="I2830" s="14">
        <v>10000000</v>
      </c>
      <c r="J2830" s="14">
        <v>8977324.3200000003</v>
      </c>
      <c r="K2830" s="12">
        <v>670</v>
      </c>
      <c r="L2830" s="10" t="s">
        <v>101</v>
      </c>
      <c r="M2830" s="10" t="s">
        <v>102</v>
      </c>
      <c r="N2830" s="124" t="s">
        <v>471</v>
      </c>
      <c r="O2830" s="124" t="s">
        <v>471</v>
      </c>
      <c r="P2830" s="21">
        <v>33</v>
      </c>
      <c r="Q2830" s="10" t="s">
        <v>54</v>
      </c>
      <c r="R2830" s="10" t="s">
        <v>28</v>
      </c>
      <c r="S2830" s="10"/>
      <c r="T2830" s="10"/>
      <c r="U2830" s="10" t="s">
        <v>4148</v>
      </c>
      <c r="V2830" s="10" t="s">
        <v>4148</v>
      </c>
      <c r="W2830" s="50">
        <f>+J2830/$W$2</f>
        <v>1.0987029221704837E-4</v>
      </c>
    </row>
    <row r="2831" spans="1:23">
      <c r="A2831" s="10" t="s">
        <v>443</v>
      </c>
      <c r="B2831" s="10" t="s">
        <v>358</v>
      </c>
      <c r="C2831" s="124">
        <v>46451</v>
      </c>
      <c r="D2831" s="124" t="s">
        <v>471</v>
      </c>
      <c r="E2831" s="21">
        <v>0.90263879000000002</v>
      </c>
      <c r="F2831" s="10"/>
      <c r="G2831" s="14">
        <v>9000000</v>
      </c>
      <c r="H2831" s="14">
        <v>8123749.1500000004</v>
      </c>
      <c r="I2831" s="14">
        <v>9000000</v>
      </c>
      <c r="J2831" s="14">
        <v>8123749.1500000004</v>
      </c>
      <c r="K2831" s="12">
        <v>4970</v>
      </c>
      <c r="L2831" s="10" t="s">
        <v>101</v>
      </c>
      <c r="M2831" s="10" t="s">
        <v>102</v>
      </c>
      <c r="N2831" s="124" t="s">
        <v>576</v>
      </c>
      <c r="O2831" s="124" t="s">
        <v>576</v>
      </c>
      <c r="P2831" s="21">
        <v>31</v>
      </c>
      <c r="Q2831" s="10" t="s">
        <v>54</v>
      </c>
      <c r="R2831" s="10" t="s">
        <v>28</v>
      </c>
      <c r="S2831" s="10"/>
      <c r="T2831" s="10"/>
      <c r="U2831" s="10" t="s">
        <v>2335</v>
      </c>
      <c r="V2831" s="10" t="s">
        <v>2335</v>
      </c>
      <c r="W2831" s="50">
        <f>+J2831/$W$2</f>
        <v>9.9423688082653382E-5</v>
      </c>
    </row>
    <row r="2832" spans="1:23">
      <c r="A2832" s="10" t="s">
        <v>443</v>
      </c>
      <c r="B2832" s="10" t="s">
        <v>358</v>
      </c>
      <c r="C2832" s="124">
        <v>46451</v>
      </c>
      <c r="D2832" s="124" t="s">
        <v>471</v>
      </c>
      <c r="E2832" s="21">
        <v>0.90263879000000002</v>
      </c>
      <c r="F2832" s="10"/>
      <c r="G2832" s="14">
        <v>9000000</v>
      </c>
      <c r="H2832" s="14">
        <v>8123749.1500000004</v>
      </c>
      <c r="I2832" s="14">
        <v>9000000</v>
      </c>
      <c r="J2832" s="14">
        <v>8123749.1500000004</v>
      </c>
      <c r="K2832" s="12">
        <v>4969</v>
      </c>
      <c r="L2832" s="10" t="s">
        <v>101</v>
      </c>
      <c r="M2832" s="10" t="s">
        <v>102</v>
      </c>
      <c r="N2832" s="124" t="s">
        <v>576</v>
      </c>
      <c r="O2832" s="124" t="s">
        <v>576</v>
      </c>
      <c r="P2832" s="21">
        <v>31</v>
      </c>
      <c r="Q2832" s="10" t="s">
        <v>54</v>
      </c>
      <c r="R2832" s="10" t="s">
        <v>28</v>
      </c>
      <c r="S2832" s="10"/>
      <c r="T2832" s="10"/>
      <c r="U2832" s="10" t="s">
        <v>2336</v>
      </c>
      <c r="V2832" s="10" t="s">
        <v>2336</v>
      </c>
      <c r="W2832" s="50">
        <f>+J2832/$W$2</f>
        <v>9.9423688082653382E-5</v>
      </c>
    </row>
    <row r="2833" spans="1:29">
      <c r="A2833" s="10" t="s">
        <v>1535</v>
      </c>
      <c r="B2833" s="10" t="s">
        <v>358</v>
      </c>
      <c r="C2833" s="124">
        <v>46451</v>
      </c>
      <c r="D2833" s="124" t="s">
        <v>471</v>
      </c>
      <c r="E2833" s="21">
        <v>0.89981266999999998</v>
      </c>
      <c r="F2833" s="10"/>
      <c r="G2833" s="14">
        <v>11820000</v>
      </c>
      <c r="H2833" s="14">
        <v>10635785.76</v>
      </c>
      <c r="I2833" s="14">
        <v>11820000</v>
      </c>
      <c r="J2833" s="14">
        <v>10635785.76</v>
      </c>
      <c r="K2833" s="12">
        <v>14310298</v>
      </c>
      <c r="L2833" s="10" t="s">
        <v>101</v>
      </c>
      <c r="M2833" s="10" t="s">
        <v>102</v>
      </c>
      <c r="N2833" s="124" t="s">
        <v>398</v>
      </c>
      <c r="O2833" s="124" t="s">
        <v>398</v>
      </c>
      <c r="P2833" s="21">
        <v>32</v>
      </c>
      <c r="Q2833" s="10" t="s">
        <v>54</v>
      </c>
      <c r="R2833" s="10" t="s">
        <v>28</v>
      </c>
      <c r="S2833" s="10"/>
      <c r="T2833" s="10"/>
      <c r="U2833" s="10" t="s">
        <v>1718</v>
      </c>
      <c r="V2833" s="10" t="s">
        <v>1718</v>
      </c>
      <c r="W2833" s="50">
        <f>+J2833/$W$2</f>
        <v>1.3016761428633804E-4</v>
      </c>
    </row>
    <row r="2834" spans="1:29">
      <c r="A2834" s="10" t="s">
        <v>364</v>
      </c>
      <c r="B2834" s="10" t="s">
        <v>358</v>
      </c>
      <c r="C2834" s="124">
        <v>46451</v>
      </c>
      <c r="D2834" s="124" t="s">
        <v>471</v>
      </c>
      <c r="E2834" s="21">
        <v>0.89700438999999998</v>
      </c>
      <c r="F2834" s="10"/>
      <c r="G2834" s="14">
        <v>11321347.039999999</v>
      </c>
      <c r="H2834" s="14">
        <v>10155298.039999999</v>
      </c>
      <c r="I2834" s="14">
        <v>11321347.039999999</v>
      </c>
      <c r="J2834" s="14">
        <v>10155298.039999999</v>
      </c>
      <c r="K2834" s="12">
        <v>31238</v>
      </c>
      <c r="L2834" s="10" t="s">
        <v>101</v>
      </c>
      <c r="M2834" s="10" t="s">
        <v>102</v>
      </c>
      <c r="N2834" s="124" t="s">
        <v>467</v>
      </c>
      <c r="O2834" s="124" t="s">
        <v>467</v>
      </c>
      <c r="P2834" s="21">
        <v>33</v>
      </c>
      <c r="Q2834" s="10" t="s">
        <v>54</v>
      </c>
      <c r="R2834" s="10" t="s">
        <v>28</v>
      </c>
      <c r="S2834" s="10"/>
      <c r="T2834" s="10"/>
      <c r="U2834" s="10" t="s">
        <v>3671</v>
      </c>
      <c r="V2834" s="10" t="s">
        <v>3671</v>
      </c>
      <c r="W2834" s="50">
        <f>+J2834/$W$2</f>
        <v>1.242870952896596E-4</v>
      </c>
    </row>
    <row r="2835" spans="1:29">
      <c r="A2835" s="10" t="s">
        <v>2314</v>
      </c>
      <c r="B2835" s="10" t="s">
        <v>358</v>
      </c>
      <c r="C2835" s="124">
        <v>46454</v>
      </c>
      <c r="D2835" s="124" t="s">
        <v>471</v>
      </c>
      <c r="E2835" s="21">
        <v>0.89482726999999995</v>
      </c>
      <c r="F2835" s="10"/>
      <c r="G2835" s="14">
        <v>6006148</v>
      </c>
      <c r="H2835" s="14">
        <v>5374465.0300000003</v>
      </c>
      <c r="I2835" s="14">
        <v>6006148</v>
      </c>
      <c r="J2835" s="14">
        <v>5374465.0300000003</v>
      </c>
      <c r="K2835" s="12">
        <v>1370673</v>
      </c>
      <c r="L2835" s="10" t="s">
        <v>101</v>
      </c>
      <c r="M2835" s="10" t="s">
        <v>102</v>
      </c>
      <c r="N2835" s="124" t="s">
        <v>439</v>
      </c>
      <c r="O2835" s="124" t="s">
        <v>439</v>
      </c>
      <c r="P2835" s="21">
        <v>33</v>
      </c>
      <c r="Q2835" s="10" t="s">
        <v>54</v>
      </c>
      <c r="R2835" s="10" t="s">
        <v>28</v>
      </c>
      <c r="S2835" s="10"/>
      <c r="T2835" s="10"/>
      <c r="U2835" s="10" t="s">
        <v>2300</v>
      </c>
      <c r="V2835" s="10" t="s">
        <v>2300</v>
      </c>
      <c r="W2835" s="50">
        <f>+J2835/$W$2</f>
        <v>6.577617364684979E-5</v>
      </c>
    </row>
    <row r="2836" spans="1:29">
      <c r="A2836" s="10" t="s">
        <v>364</v>
      </c>
      <c r="B2836" s="10" t="s">
        <v>358</v>
      </c>
      <c r="C2836" s="124">
        <v>46454</v>
      </c>
      <c r="D2836" s="124" t="s">
        <v>471</v>
      </c>
      <c r="E2836" s="21">
        <v>0.89482735000000002</v>
      </c>
      <c r="F2836" s="10"/>
      <c r="G2836" s="14">
        <v>11321347.039999999</v>
      </c>
      <c r="H2836" s="14">
        <v>10130650.99</v>
      </c>
      <c r="I2836" s="14">
        <v>11321347.039999999</v>
      </c>
      <c r="J2836" s="14">
        <v>10130650.99</v>
      </c>
      <c r="K2836" s="12">
        <v>31239</v>
      </c>
      <c r="L2836" s="10" t="s">
        <v>101</v>
      </c>
      <c r="M2836" s="10" t="s">
        <v>102</v>
      </c>
      <c r="N2836" s="124" t="s">
        <v>467</v>
      </c>
      <c r="O2836" s="124" t="s">
        <v>467</v>
      </c>
      <c r="P2836" s="21">
        <v>33</v>
      </c>
      <c r="Q2836" s="10" t="s">
        <v>54</v>
      </c>
      <c r="R2836" s="10" t="s">
        <v>28</v>
      </c>
      <c r="S2836" s="10"/>
      <c r="T2836" s="10"/>
      <c r="U2836" s="10" t="s">
        <v>3672</v>
      </c>
      <c r="V2836" s="10" t="s">
        <v>3672</v>
      </c>
      <c r="W2836" s="50">
        <f>+J2836/$W$2</f>
        <v>1.2398544877570273E-4</v>
      </c>
    </row>
    <row r="2837" spans="1:29">
      <c r="A2837" s="10" t="s">
        <v>3794</v>
      </c>
      <c r="B2837" s="10" t="s">
        <v>358</v>
      </c>
      <c r="C2837" s="124">
        <v>46454</v>
      </c>
      <c r="D2837" s="124" t="s">
        <v>471</v>
      </c>
      <c r="E2837" s="21">
        <v>0.89482731000000004</v>
      </c>
      <c r="F2837" s="10"/>
      <c r="G2837" s="14">
        <v>719400</v>
      </c>
      <c r="H2837" s="14">
        <v>643738.77</v>
      </c>
      <c r="I2837" s="14">
        <v>719400</v>
      </c>
      <c r="J2837" s="14">
        <v>643738.77</v>
      </c>
      <c r="K2837" s="12">
        <v>2156</v>
      </c>
      <c r="L2837" s="10" t="s">
        <v>101</v>
      </c>
      <c r="M2837" s="10" t="s">
        <v>102</v>
      </c>
      <c r="N2837" s="124" t="s">
        <v>468</v>
      </c>
      <c r="O2837" s="124" t="s">
        <v>468</v>
      </c>
      <c r="P2837" s="21">
        <v>33</v>
      </c>
      <c r="Q2837" s="10" t="s">
        <v>54</v>
      </c>
      <c r="R2837" s="10" t="s">
        <v>28</v>
      </c>
      <c r="S2837" s="10"/>
      <c r="T2837" s="10"/>
      <c r="U2837" s="10" t="s">
        <v>3812</v>
      </c>
      <c r="V2837" s="10" t="s">
        <v>3812</v>
      </c>
      <c r="W2837" s="50">
        <f>+J2837/$W$2</f>
        <v>7.8784907674298312E-6</v>
      </c>
    </row>
    <row r="2838" spans="1:29">
      <c r="A2838" s="10" t="s">
        <v>2315</v>
      </c>
      <c r="B2838" s="10" t="s">
        <v>358</v>
      </c>
      <c r="C2838" s="124">
        <v>46455</v>
      </c>
      <c r="D2838" s="124" t="s">
        <v>471</v>
      </c>
      <c r="E2838" s="21">
        <v>0.89410394999999998</v>
      </c>
      <c r="F2838" s="10"/>
      <c r="G2838" s="14">
        <v>25000000</v>
      </c>
      <c r="H2838" s="14">
        <v>22352598.649999999</v>
      </c>
      <c r="I2838" s="14">
        <v>25000000</v>
      </c>
      <c r="J2838" s="14">
        <v>22352598.649999999</v>
      </c>
      <c r="K2838" s="12">
        <v>70440450</v>
      </c>
      <c r="L2838" s="10" t="s">
        <v>101</v>
      </c>
      <c r="M2838" s="10" t="s">
        <v>102</v>
      </c>
      <c r="N2838" s="124" t="s">
        <v>417</v>
      </c>
      <c r="O2838" s="124" t="s">
        <v>417</v>
      </c>
      <c r="P2838" s="21">
        <v>33</v>
      </c>
      <c r="Q2838" s="10" t="s">
        <v>54</v>
      </c>
      <c r="R2838" s="10" t="s">
        <v>28</v>
      </c>
      <c r="S2838" s="10"/>
      <c r="T2838" s="10"/>
      <c r="U2838" s="10" t="s">
        <v>3213</v>
      </c>
      <c r="V2838" s="10" t="s">
        <v>3213</v>
      </c>
      <c r="W2838" s="50">
        <f>+J2838/$W$2</f>
        <v>2.7356553667272441E-4</v>
      </c>
    </row>
    <row r="2839" spans="1:29">
      <c r="A2839" s="10" t="s">
        <v>443</v>
      </c>
      <c r="B2839" s="10" t="s">
        <v>358</v>
      </c>
      <c r="C2839" s="124">
        <v>46455</v>
      </c>
      <c r="D2839" s="124" t="s">
        <v>471</v>
      </c>
      <c r="E2839" s="21">
        <v>0.90279505000000004</v>
      </c>
      <c r="F2839" s="10"/>
      <c r="G2839" s="14">
        <v>5000000</v>
      </c>
      <c r="H2839" s="14">
        <v>4513975.2699999996</v>
      </c>
      <c r="I2839" s="14">
        <v>5000000</v>
      </c>
      <c r="J2839" s="14">
        <v>4513975.2699999996</v>
      </c>
      <c r="K2839" s="12">
        <v>40810973</v>
      </c>
      <c r="L2839" s="10" t="s">
        <v>101</v>
      </c>
      <c r="M2839" s="10" t="s">
        <v>102</v>
      </c>
      <c r="N2839" s="124" t="s">
        <v>576</v>
      </c>
      <c r="O2839" s="124" t="s">
        <v>576</v>
      </c>
      <c r="P2839" s="21">
        <v>30</v>
      </c>
      <c r="Q2839" s="10" t="s">
        <v>54</v>
      </c>
      <c r="R2839" s="10" t="s">
        <v>28</v>
      </c>
      <c r="S2839" s="10"/>
      <c r="T2839" s="10"/>
      <c r="U2839" s="10" t="s">
        <v>2332</v>
      </c>
      <c r="V2839" s="10" t="s">
        <v>2332</v>
      </c>
      <c r="W2839" s="50">
        <f>+J2839/$W$2</f>
        <v>5.5244944294875355E-5</v>
      </c>
    </row>
    <row r="2840" spans="1:29">
      <c r="A2840" s="10" t="s">
        <v>1893</v>
      </c>
      <c r="B2840" s="10" t="s">
        <v>358</v>
      </c>
      <c r="C2840" s="124">
        <v>46455</v>
      </c>
      <c r="D2840" s="124" t="s">
        <v>471</v>
      </c>
      <c r="E2840" s="21">
        <v>0.91165673999999997</v>
      </c>
      <c r="F2840" s="10"/>
      <c r="G2840" s="14">
        <v>25000000</v>
      </c>
      <c r="H2840" s="14">
        <v>22791418.539999999</v>
      </c>
      <c r="I2840" s="14">
        <v>25000000</v>
      </c>
      <c r="J2840" s="14">
        <v>22791418.539999999</v>
      </c>
      <c r="K2840" s="12">
        <v>1831</v>
      </c>
      <c r="L2840" s="10" t="s">
        <v>101</v>
      </c>
      <c r="M2840" s="10" t="s">
        <v>102</v>
      </c>
      <c r="N2840" s="124" t="s">
        <v>471</v>
      </c>
      <c r="O2840" s="124" t="s">
        <v>471</v>
      </c>
      <c r="P2840" s="21">
        <v>27</v>
      </c>
      <c r="Q2840" s="10" t="s">
        <v>54</v>
      </c>
      <c r="R2840" s="10" t="s">
        <v>28</v>
      </c>
      <c r="S2840" s="10"/>
      <c r="T2840" s="10"/>
      <c r="U2840" s="10" t="s">
        <v>4089</v>
      </c>
      <c r="V2840" s="10" t="s">
        <v>4089</v>
      </c>
      <c r="W2840" s="50">
        <f>+J2840/$W$2</f>
        <v>2.7893609785848241E-4</v>
      </c>
    </row>
    <row r="2841" spans="1:29">
      <c r="A2841" s="10" t="s">
        <v>3580</v>
      </c>
      <c r="B2841" s="10" t="s">
        <v>358</v>
      </c>
      <c r="C2841" s="124">
        <v>46455</v>
      </c>
      <c r="D2841" s="124" t="s">
        <v>471</v>
      </c>
      <c r="E2841" s="21">
        <v>0.89124407000000005</v>
      </c>
      <c r="F2841" s="10"/>
      <c r="G2841" s="14">
        <v>980655</v>
      </c>
      <c r="H2841" s="14">
        <v>874002.95</v>
      </c>
      <c r="I2841" s="14">
        <v>980655</v>
      </c>
      <c r="J2841" s="14">
        <v>874002.95</v>
      </c>
      <c r="K2841" s="12">
        <v>70426831</v>
      </c>
      <c r="L2841" s="10" t="s">
        <v>101</v>
      </c>
      <c r="M2841" s="10" t="s">
        <v>102</v>
      </c>
      <c r="N2841" s="124" t="s">
        <v>451</v>
      </c>
      <c r="O2841" s="124" t="s">
        <v>451</v>
      </c>
      <c r="P2841" s="21">
        <v>34</v>
      </c>
      <c r="Q2841" s="10" t="s">
        <v>54</v>
      </c>
      <c r="R2841" s="10" t="s">
        <v>28</v>
      </c>
      <c r="S2841" s="10"/>
      <c r="T2841" s="10"/>
      <c r="U2841" s="10" t="s">
        <v>3495</v>
      </c>
      <c r="V2841" s="10" t="s">
        <v>3495</v>
      </c>
      <c r="W2841" s="50">
        <f>+J2841/$W$2</f>
        <v>1.0696612497459858E-5</v>
      </c>
    </row>
    <row r="2842" spans="1:29">
      <c r="A2842" s="10" t="s">
        <v>438</v>
      </c>
      <c r="B2842" s="10" t="s">
        <v>358</v>
      </c>
      <c r="C2842" s="124">
        <v>46455</v>
      </c>
      <c r="D2842" s="124" t="s">
        <v>471</v>
      </c>
      <c r="E2842" s="21">
        <v>0.90279498000000002</v>
      </c>
      <c r="F2842" s="10"/>
      <c r="G2842" s="14">
        <v>20000000</v>
      </c>
      <c r="H2842" s="14">
        <v>18055899.609999999</v>
      </c>
      <c r="I2842" s="14">
        <v>20000000</v>
      </c>
      <c r="J2842" s="14">
        <v>18055899.609999999</v>
      </c>
      <c r="K2842" s="12">
        <v>24650</v>
      </c>
      <c r="L2842" s="10" t="s">
        <v>101</v>
      </c>
      <c r="M2842" s="10" t="s">
        <v>102</v>
      </c>
      <c r="N2842" s="124" t="s">
        <v>471</v>
      </c>
      <c r="O2842" s="124" t="s">
        <v>471</v>
      </c>
      <c r="P2842" s="21">
        <v>30</v>
      </c>
      <c r="Q2842" s="10" t="s">
        <v>54</v>
      </c>
      <c r="R2842" s="10" t="s">
        <v>28</v>
      </c>
      <c r="S2842" s="10"/>
      <c r="T2842" s="10"/>
      <c r="U2842" s="10" t="s">
        <v>4068</v>
      </c>
      <c r="V2842" s="10" t="s">
        <v>4068</v>
      </c>
      <c r="W2842" s="50">
        <f>+J2842/$W$2</f>
        <v>2.2097975918869216E-4</v>
      </c>
      <c r="AC2842" s="47"/>
    </row>
    <row r="2843" spans="1:29">
      <c r="A2843" s="10" t="s">
        <v>1751</v>
      </c>
      <c r="B2843" s="10" t="s">
        <v>358</v>
      </c>
      <c r="C2843" s="124">
        <v>46456</v>
      </c>
      <c r="D2843" s="124" t="s">
        <v>471</v>
      </c>
      <c r="E2843" s="21">
        <v>0.89627749999999995</v>
      </c>
      <c r="F2843" s="10"/>
      <c r="G2843" s="14">
        <v>353613.17</v>
      </c>
      <c r="H2843" s="14">
        <v>316935.53000000003</v>
      </c>
      <c r="I2843" s="14">
        <v>353613.17</v>
      </c>
      <c r="J2843" s="14">
        <v>316935.53000000003</v>
      </c>
      <c r="K2843" s="12">
        <v>2863</v>
      </c>
      <c r="L2843" s="10" t="s">
        <v>101</v>
      </c>
      <c r="M2843" s="10" t="s">
        <v>102</v>
      </c>
      <c r="N2843" s="124" t="s">
        <v>398</v>
      </c>
      <c r="O2843" s="124" t="s">
        <v>398</v>
      </c>
      <c r="P2843" s="21">
        <v>32</v>
      </c>
      <c r="Q2843" s="10" t="s">
        <v>54</v>
      </c>
      <c r="R2843" s="10" t="s">
        <v>28</v>
      </c>
      <c r="S2843" s="10"/>
      <c r="T2843" s="10"/>
      <c r="U2843" s="10" t="s">
        <v>1695</v>
      </c>
      <c r="V2843" s="10" t="s">
        <v>1695</v>
      </c>
      <c r="W2843" s="50">
        <f>+J2843/$W$2</f>
        <v>3.8788616801431436E-6</v>
      </c>
    </row>
    <row r="2844" spans="1:29">
      <c r="A2844" s="10" t="s">
        <v>4173</v>
      </c>
      <c r="B2844" s="10" t="s">
        <v>358</v>
      </c>
      <c r="C2844" s="124">
        <v>46456</v>
      </c>
      <c r="D2844" s="124" t="s">
        <v>471</v>
      </c>
      <c r="E2844" s="21">
        <v>0.89338185000000003</v>
      </c>
      <c r="F2844" s="10"/>
      <c r="G2844" s="14">
        <v>10000000</v>
      </c>
      <c r="H2844" s="14">
        <v>8933818.5199999996</v>
      </c>
      <c r="I2844" s="14">
        <v>10000000</v>
      </c>
      <c r="J2844" s="14">
        <v>8933818.5199999996</v>
      </c>
      <c r="K2844" s="12">
        <v>671</v>
      </c>
      <c r="L2844" s="10" t="s">
        <v>101</v>
      </c>
      <c r="M2844" s="10" t="s">
        <v>102</v>
      </c>
      <c r="N2844" s="124" t="s">
        <v>471</v>
      </c>
      <c r="O2844" s="124" t="s">
        <v>471</v>
      </c>
      <c r="P2844" s="21">
        <v>33</v>
      </c>
      <c r="Q2844" s="10" t="s">
        <v>54</v>
      </c>
      <c r="R2844" s="10" t="s">
        <v>28</v>
      </c>
      <c r="S2844" s="10"/>
      <c r="T2844" s="10"/>
      <c r="U2844" s="10" t="s">
        <v>4149</v>
      </c>
      <c r="V2844" s="10" t="s">
        <v>4149</v>
      </c>
      <c r="W2844" s="50">
        <f>+J2844/$W$2</f>
        <v>1.0933784014238204E-4</v>
      </c>
    </row>
    <row r="2845" spans="1:29">
      <c r="A2845" s="10" t="s">
        <v>3793</v>
      </c>
      <c r="B2845" s="10" t="s">
        <v>358</v>
      </c>
      <c r="C2845" s="124">
        <v>46456</v>
      </c>
      <c r="D2845" s="124" t="s">
        <v>471</v>
      </c>
      <c r="E2845" s="21">
        <v>0.89338163999999998</v>
      </c>
      <c r="F2845" s="10"/>
      <c r="G2845" s="14">
        <v>7345493.4699999997</v>
      </c>
      <c r="H2845" s="14">
        <v>6562328.9699999997</v>
      </c>
      <c r="I2845" s="14">
        <v>7345493.4699999997</v>
      </c>
      <c r="J2845" s="14">
        <v>6562328.9699999997</v>
      </c>
      <c r="K2845" s="12">
        <v>41018390</v>
      </c>
      <c r="L2845" s="10" t="s">
        <v>101</v>
      </c>
      <c r="M2845" s="10" t="s">
        <v>102</v>
      </c>
      <c r="N2845" s="124" t="s">
        <v>468</v>
      </c>
      <c r="O2845" s="124" t="s">
        <v>468</v>
      </c>
      <c r="P2845" s="21">
        <v>33</v>
      </c>
      <c r="Q2845" s="10" t="s">
        <v>54</v>
      </c>
      <c r="R2845" s="10" t="s">
        <v>28</v>
      </c>
      <c r="S2845" s="10"/>
      <c r="T2845" s="10"/>
      <c r="U2845" s="10" t="s">
        <v>3810</v>
      </c>
      <c r="V2845" s="10" t="s">
        <v>3810</v>
      </c>
      <c r="W2845" s="50">
        <f>+J2845/$W$2</f>
        <v>8.0314019618520598E-5</v>
      </c>
    </row>
    <row r="2846" spans="1:29">
      <c r="A2846" s="10" t="s">
        <v>2016</v>
      </c>
      <c r="B2846" s="10" t="s">
        <v>358</v>
      </c>
      <c r="C2846" s="124">
        <v>46458</v>
      </c>
      <c r="D2846" s="124" t="s">
        <v>471</v>
      </c>
      <c r="E2846" s="21">
        <v>0.90078975999999999</v>
      </c>
      <c r="F2846" s="10"/>
      <c r="G2846" s="14">
        <v>5000000</v>
      </c>
      <c r="H2846" s="14">
        <v>4503948.82</v>
      </c>
      <c r="I2846" s="14">
        <v>5000000</v>
      </c>
      <c r="J2846" s="14">
        <v>4503948.82</v>
      </c>
      <c r="K2846" s="12">
        <v>3927501</v>
      </c>
      <c r="L2846" s="10" t="s">
        <v>101</v>
      </c>
      <c r="M2846" s="10" t="s">
        <v>102</v>
      </c>
      <c r="N2846" s="124" t="s">
        <v>478</v>
      </c>
      <c r="O2846" s="124" t="s">
        <v>478</v>
      </c>
      <c r="P2846" s="21">
        <v>30</v>
      </c>
      <c r="Q2846" s="10" t="s">
        <v>54</v>
      </c>
      <c r="R2846" s="10" t="s">
        <v>28</v>
      </c>
      <c r="S2846" s="10"/>
      <c r="T2846" s="10"/>
      <c r="U2846" s="10" t="s">
        <v>2105</v>
      </c>
      <c r="V2846" s="10" t="s">
        <v>2105</v>
      </c>
      <c r="W2846" s="50">
        <f>+J2846/$W$2</f>
        <v>5.512223412510402E-5</v>
      </c>
    </row>
    <row r="2847" spans="1:29">
      <c r="A2847" s="10" t="s">
        <v>1754</v>
      </c>
      <c r="B2847" s="10" t="s">
        <v>358</v>
      </c>
      <c r="C2847" s="124">
        <v>46458</v>
      </c>
      <c r="D2847" s="124" t="s">
        <v>471</v>
      </c>
      <c r="E2847" s="21">
        <v>0.89487108000000004</v>
      </c>
      <c r="F2847" s="10"/>
      <c r="G2847" s="14">
        <v>8123170.7400000002</v>
      </c>
      <c r="H2847" s="14">
        <v>7269190.6100000003</v>
      </c>
      <c r="I2847" s="14">
        <v>8123170.7400000002</v>
      </c>
      <c r="J2847" s="14">
        <v>7269190.6100000003</v>
      </c>
      <c r="K2847" s="12">
        <v>11248</v>
      </c>
      <c r="L2847" s="10" t="s">
        <v>101</v>
      </c>
      <c r="M2847" s="10" t="s">
        <v>102</v>
      </c>
      <c r="N2847" s="124" t="s">
        <v>398</v>
      </c>
      <c r="O2847" s="124" t="s">
        <v>398</v>
      </c>
      <c r="P2847" s="21">
        <v>32</v>
      </c>
      <c r="Q2847" s="10" t="s">
        <v>54</v>
      </c>
      <c r="R2847" s="10" t="s">
        <v>28</v>
      </c>
      <c r="S2847" s="10"/>
      <c r="T2847" s="10"/>
      <c r="U2847" s="10" t="s">
        <v>1705</v>
      </c>
      <c r="V2847" s="10" t="s">
        <v>1705</v>
      </c>
      <c r="W2847" s="50">
        <f>+J2847/$W$2</f>
        <v>8.8965048831178263E-5</v>
      </c>
    </row>
    <row r="2848" spans="1:29">
      <c r="A2848" s="10" t="s">
        <v>2314</v>
      </c>
      <c r="B2848" s="10" t="s">
        <v>358</v>
      </c>
      <c r="C2848" s="124">
        <v>46461</v>
      </c>
      <c r="D2848" s="124" t="s">
        <v>471</v>
      </c>
      <c r="E2848" s="21">
        <v>0.88978827999999999</v>
      </c>
      <c r="F2848" s="10"/>
      <c r="G2848" s="14">
        <v>6006148</v>
      </c>
      <c r="H2848" s="14">
        <v>5344200.1100000003</v>
      </c>
      <c r="I2848" s="14">
        <v>6006148</v>
      </c>
      <c r="J2848" s="14">
        <v>5344200.1100000003</v>
      </c>
      <c r="K2848" s="12">
        <v>1370676</v>
      </c>
      <c r="L2848" s="10" t="s">
        <v>101</v>
      </c>
      <c r="M2848" s="10" t="s">
        <v>102</v>
      </c>
      <c r="N2848" s="124" t="s">
        <v>439</v>
      </c>
      <c r="O2848" s="124" t="s">
        <v>439</v>
      </c>
      <c r="P2848" s="21">
        <v>33</v>
      </c>
      <c r="Q2848" s="10" t="s">
        <v>54</v>
      </c>
      <c r="R2848" s="10" t="s">
        <v>28</v>
      </c>
      <c r="S2848" s="10"/>
      <c r="T2848" s="10"/>
      <c r="U2848" s="10" t="s">
        <v>2294</v>
      </c>
      <c r="V2848" s="10" t="s">
        <v>2294</v>
      </c>
      <c r="W2848" s="50">
        <f>+J2848/$W$2</f>
        <v>6.540577201204224E-5</v>
      </c>
    </row>
    <row r="2849" spans="1:29">
      <c r="A2849" s="10" t="s">
        <v>1755</v>
      </c>
      <c r="B2849" s="10" t="s">
        <v>358</v>
      </c>
      <c r="C2849" s="124">
        <v>46461</v>
      </c>
      <c r="D2849" s="124" t="s">
        <v>471</v>
      </c>
      <c r="E2849" s="21">
        <v>0.89276986000000003</v>
      </c>
      <c r="F2849" s="10"/>
      <c r="G2849" s="14">
        <v>1129854.56</v>
      </c>
      <c r="H2849" s="14">
        <v>1008700.1</v>
      </c>
      <c r="I2849" s="14">
        <v>1129854.56</v>
      </c>
      <c r="J2849" s="14">
        <v>1008700.1</v>
      </c>
      <c r="K2849" s="12">
        <v>1028</v>
      </c>
      <c r="L2849" s="10" t="s">
        <v>101</v>
      </c>
      <c r="M2849" s="10" t="s">
        <v>102</v>
      </c>
      <c r="N2849" s="124" t="s">
        <v>398</v>
      </c>
      <c r="O2849" s="124" t="s">
        <v>398</v>
      </c>
      <c r="P2849" s="21">
        <v>32</v>
      </c>
      <c r="Q2849" s="10" t="s">
        <v>54</v>
      </c>
      <c r="R2849" s="10" t="s">
        <v>28</v>
      </c>
      <c r="S2849" s="10"/>
      <c r="T2849" s="10"/>
      <c r="U2849" s="10" t="s">
        <v>1713</v>
      </c>
      <c r="V2849" s="10" t="s">
        <v>1713</v>
      </c>
      <c r="W2849" s="50">
        <f>+J2849/$W$2</f>
        <v>1.234512320107044E-5</v>
      </c>
    </row>
    <row r="2850" spans="1:29">
      <c r="A2850" s="10" t="s">
        <v>443</v>
      </c>
      <c r="B2850" s="10" t="s">
        <v>358</v>
      </c>
      <c r="C2850" s="124">
        <v>46462</v>
      </c>
      <c r="D2850" s="124" t="s">
        <v>471</v>
      </c>
      <c r="E2850" s="21">
        <v>0.89509066999999998</v>
      </c>
      <c r="F2850" s="10"/>
      <c r="G2850" s="14">
        <v>3700000</v>
      </c>
      <c r="H2850" s="14">
        <v>3311835.49</v>
      </c>
      <c r="I2850" s="14">
        <v>3700000</v>
      </c>
      <c r="J2850" s="14">
        <v>3311835.49</v>
      </c>
      <c r="K2850" s="12">
        <v>164546</v>
      </c>
      <c r="L2850" s="10" t="s">
        <v>101</v>
      </c>
      <c r="M2850" s="10" t="s">
        <v>102</v>
      </c>
      <c r="N2850" s="124" t="s">
        <v>449</v>
      </c>
      <c r="O2850" s="124" t="s">
        <v>449</v>
      </c>
      <c r="P2850" s="21">
        <v>31</v>
      </c>
      <c r="Q2850" s="10" t="s">
        <v>54</v>
      </c>
      <c r="R2850" s="10" t="s">
        <v>28</v>
      </c>
      <c r="S2850" s="10"/>
      <c r="T2850" s="10"/>
      <c r="U2850" s="10" t="s">
        <v>1903</v>
      </c>
      <c r="V2850" s="10" t="s">
        <v>1903</v>
      </c>
      <c r="W2850" s="50">
        <f>+J2850/$W$2</f>
        <v>4.0532381374530939E-5</v>
      </c>
    </row>
    <row r="2851" spans="1:29">
      <c r="A2851" s="10" t="s">
        <v>2016</v>
      </c>
      <c r="B2851" s="10" t="s">
        <v>358</v>
      </c>
      <c r="C2851" s="124">
        <v>46463</v>
      </c>
      <c r="D2851" s="124" t="s">
        <v>471</v>
      </c>
      <c r="E2851" s="21">
        <v>0.89746751999999996</v>
      </c>
      <c r="F2851" s="10"/>
      <c r="G2851" s="14">
        <v>20000000</v>
      </c>
      <c r="H2851" s="14">
        <v>17949350.32</v>
      </c>
      <c r="I2851" s="14">
        <v>20000000</v>
      </c>
      <c r="J2851" s="14">
        <v>17949350.32</v>
      </c>
      <c r="K2851" s="12">
        <v>68586590</v>
      </c>
      <c r="L2851" s="10" t="s">
        <v>101</v>
      </c>
      <c r="M2851" s="10" t="s">
        <v>102</v>
      </c>
      <c r="N2851" s="124" t="s">
        <v>408</v>
      </c>
      <c r="O2851" s="124" t="s">
        <v>408</v>
      </c>
      <c r="P2851" s="21">
        <v>30</v>
      </c>
      <c r="Q2851" s="10" t="s">
        <v>54</v>
      </c>
      <c r="R2851" s="10" t="s">
        <v>28</v>
      </c>
      <c r="S2851" s="10"/>
      <c r="T2851" s="10"/>
      <c r="U2851" s="10" t="s">
        <v>2067</v>
      </c>
      <c r="V2851" s="10" t="s">
        <v>2067</v>
      </c>
      <c r="W2851" s="50">
        <f>+J2851/$W$2</f>
        <v>2.1967574017249839E-4</v>
      </c>
    </row>
    <row r="2852" spans="1:29">
      <c r="A2852" s="10" t="s">
        <v>1488</v>
      </c>
      <c r="B2852" s="10" t="s">
        <v>358</v>
      </c>
      <c r="C2852" s="124">
        <v>46463</v>
      </c>
      <c r="D2852" s="124" t="s">
        <v>471</v>
      </c>
      <c r="E2852" s="21">
        <v>0.88835896999999997</v>
      </c>
      <c r="F2852" s="10"/>
      <c r="G2852" s="14">
        <v>19588994.07</v>
      </c>
      <c r="H2852" s="14">
        <v>17402058.68</v>
      </c>
      <c r="I2852" s="14">
        <v>19588994.07</v>
      </c>
      <c r="J2852" s="14">
        <v>17402058.68</v>
      </c>
      <c r="K2852" s="12">
        <v>69546964</v>
      </c>
      <c r="L2852" s="10" t="s">
        <v>101</v>
      </c>
      <c r="M2852" s="10" t="s">
        <v>102</v>
      </c>
      <c r="N2852" s="124" t="s">
        <v>486</v>
      </c>
      <c r="O2852" s="124" t="s">
        <v>486</v>
      </c>
      <c r="P2852" s="21">
        <v>33</v>
      </c>
      <c r="Q2852" s="10" t="s">
        <v>54</v>
      </c>
      <c r="R2852" s="10" t="s">
        <v>28</v>
      </c>
      <c r="S2852" s="10"/>
      <c r="T2852" s="10"/>
      <c r="U2852" s="10" t="s">
        <v>1455</v>
      </c>
      <c r="V2852" s="10" t="s">
        <v>1455</v>
      </c>
      <c r="W2852" s="50">
        <f>+J2852/$W$2</f>
        <v>2.1297763166362057E-4</v>
      </c>
    </row>
    <row r="2853" spans="1:29">
      <c r="A2853" s="10" t="s">
        <v>1893</v>
      </c>
      <c r="B2853" s="10" t="s">
        <v>358</v>
      </c>
      <c r="C2853" s="124">
        <v>46463</v>
      </c>
      <c r="D2853" s="124" t="s">
        <v>471</v>
      </c>
      <c r="E2853" s="21">
        <v>0.90676491999999997</v>
      </c>
      <c r="F2853" s="10"/>
      <c r="G2853" s="14">
        <v>23900405</v>
      </c>
      <c r="H2853" s="14">
        <v>21672048.75</v>
      </c>
      <c r="I2853" s="14">
        <v>23900405</v>
      </c>
      <c r="J2853" s="14">
        <v>21672048.75</v>
      </c>
      <c r="K2853" s="12">
        <v>90001874</v>
      </c>
      <c r="L2853" s="10" t="s">
        <v>101</v>
      </c>
      <c r="M2853" s="10" t="s">
        <v>102</v>
      </c>
      <c r="N2853" s="124" t="s">
        <v>471</v>
      </c>
      <c r="O2853" s="124" t="s">
        <v>471</v>
      </c>
      <c r="P2853" s="21">
        <v>27</v>
      </c>
      <c r="Q2853" s="10" t="s">
        <v>54</v>
      </c>
      <c r="R2853" s="10" t="s">
        <v>28</v>
      </c>
      <c r="S2853" s="10"/>
      <c r="T2853" s="10"/>
      <c r="U2853" s="10" t="s">
        <v>4083</v>
      </c>
      <c r="V2853" s="10" t="s">
        <v>4083</v>
      </c>
      <c r="W2853" s="50">
        <f>+J2853/$W$2</f>
        <v>2.6523652752523234E-4</v>
      </c>
    </row>
    <row r="2854" spans="1:29">
      <c r="A2854" s="10" t="s">
        <v>178</v>
      </c>
      <c r="B2854" s="10" t="s">
        <v>358</v>
      </c>
      <c r="C2854" s="124">
        <v>46463</v>
      </c>
      <c r="D2854" s="124" t="s">
        <v>471</v>
      </c>
      <c r="E2854" s="21">
        <v>0.90676471999999997</v>
      </c>
      <c r="F2854" s="10"/>
      <c r="G2854" s="14">
        <v>13688973.9</v>
      </c>
      <c r="H2854" s="14">
        <v>12412678.529999999</v>
      </c>
      <c r="I2854" s="14">
        <v>13688973.9</v>
      </c>
      <c r="J2854" s="14">
        <v>12412678.529999999</v>
      </c>
      <c r="K2854" s="12">
        <v>606303</v>
      </c>
      <c r="L2854" s="10" t="s">
        <v>101</v>
      </c>
      <c r="M2854" s="10" t="s">
        <v>102</v>
      </c>
      <c r="N2854" s="124" t="s">
        <v>162</v>
      </c>
      <c r="O2854" s="124" t="s">
        <v>162</v>
      </c>
      <c r="P2854" s="21">
        <v>27</v>
      </c>
      <c r="Q2854" s="10" t="s">
        <v>54</v>
      </c>
      <c r="R2854" s="10" t="s">
        <v>28</v>
      </c>
      <c r="S2854" s="10"/>
      <c r="T2854" s="10"/>
      <c r="U2854" s="10" t="s">
        <v>1294</v>
      </c>
      <c r="V2854" s="10" t="s">
        <v>1294</v>
      </c>
      <c r="W2854" s="50">
        <f>+J2854/$W$2</f>
        <v>1.5191437545027697E-4</v>
      </c>
    </row>
    <row r="2855" spans="1:29">
      <c r="A2855" s="10" t="s">
        <v>4173</v>
      </c>
      <c r="B2855" s="10" t="s">
        <v>358</v>
      </c>
      <c r="C2855" s="124">
        <v>46463</v>
      </c>
      <c r="D2855" s="124" t="s">
        <v>471</v>
      </c>
      <c r="E2855" s="21">
        <v>0.88835909000000002</v>
      </c>
      <c r="F2855" s="10"/>
      <c r="G2855" s="14">
        <v>10000000</v>
      </c>
      <c r="H2855" s="14">
        <v>8883590.8599999994</v>
      </c>
      <c r="I2855" s="14">
        <v>10000000</v>
      </c>
      <c r="J2855" s="14">
        <v>8883590.8599999994</v>
      </c>
      <c r="K2855" s="12">
        <v>672</v>
      </c>
      <c r="L2855" s="10" t="s">
        <v>101</v>
      </c>
      <c r="M2855" s="10" t="s">
        <v>102</v>
      </c>
      <c r="N2855" s="124" t="s">
        <v>471</v>
      </c>
      <c r="O2855" s="124" t="s">
        <v>471</v>
      </c>
      <c r="P2855" s="21">
        <v>33</v>
      </c>
      <c r="Q2855" s="10" t="s">
        <v>54</v>
      </c>
      <c r="R2855" s="10" t="s">
        <v>28</v>
      </c>
      <c r="S2855" s="10"/>
      <c r="T2855" s="10"/>
      <c r="U2855" s="10" t="s">
        <v>4150</v>
      </c>
      <c r="V2855" s="10" t="s">
        <v>4150</v>
      </c>
      <c r="W2855" s="50">
        <f>+J2855/$W$2</f>
        <v>1.0872312160433344E-4</v>
      </c>
      <c r="AC2855" s="47"/>
    </row>
    <row r="2856" spans="1:29">
      <c r="A2856" s="10" t="s">
        <v>3576</v>
      </c>
      <c r="B2856" s="10" t="s">
        <v>358</v>
      </c>
      <c r="C2856" s="124">
        <v>46463</v>
      </c>
      <c r="D2856" s="124" t="s">
        <v>471</v>
      </c>
      <c r="E2856" s="21">
        <v>0.88536378000000004</v>
      </c>
      <c r="F2856" s="10"/>
      <c r="G2856" s="14">
        <v>1049734.68</v>
      </c>
      <c r="H2856" s="14">
        <v>929397.07</v>
      </c>
      <c r="I2856" s="14">
        <v>1049734.68</v>
      </c>
      <c r="J2856" s="14">
        <v>929397.07</v>
      </c>
      <c r="K2856" s="12">
        <v>1545</v>
      </c>
      <c r="L2856" s="10" t="s">
        <v>101</v>
      </c>
      <c r="M2856" s="10" t="s">
        <v>102</v>
      </c>
      <c r="N2856" s="124" t="s">
        <v>451</v>
      </c>
      <c r="O2856" s="124" t="s">
        <v>451</v>
      </c>
      <c r="P2856" s="21">
        <v>34</v>
      </c>
      <c r="Q2856" s="10" t="s">
        <v>54</v>
      </c>
      <c r="R2856" s="10" t="s">
        <v>28</v>
      </c>
      <c r="S2856" s="10"/>
      <c r="T2856" s="10"/>
      <c r="U2856" s="10" t="s">
        <v>3480</v>
      </c>
      <c r="V2856" s="10" t="s">
        <v>3480</v>
      </c>
      <c r="W2856" s="50">
        <f>+J2856/$W$2</f>
        <v>1.1374561509277026E-5</v>
      </c>
    </row>
    <row r="2857" spans="1:29">
      <c r="A2857" s="10" t="s">
        <v>432</v>
      </c>
      <c r="B2857" s="10" t="s">
        <v>125</v>
      </c>
      <c r="C2857" s="124">
        <v>46463</v>
      </c>
      <c r="D2857" s="124" t="s">
        <v>471</v>
      </c>
      <c r="E2857" s="21">
        <v>0.97043718999999995</v>
      </c>
      <c r="F2857" s="10" t="s">
        <v>4162</v>
      </c>
      <c r="G2857" s="14">
        <v>18230</v>
      </c>
      <c r="H2857" s="14">
        <v>17691.07</v>
      </c>
      <c r="I2857" s="14">
        <v>28066780.77</v>
      </c>
      <c r="J2857" s="14">
        <v>27237047.899999999</v>
      </c>
      <c r="K2857" s="12">
        <v>146451</v>
      </c>
      <c r="L2857" s="10" t="s">
        <v>101</v>
      </c>
      <c r="M2857" s="10" t="s">
        <v>102</v>
      </c>
      <c r="N2857" s="124" t="s">
        <v>294</v>
      </c>
      <c r="O2857" s="124" t="s">
        <v>294</v>
      </c>
      <c r="P2857" s="21">
        <v>8</v>
      </c>
      <c r="Q2857" s="10" t="s">
        <v>54</v>
      </c>
      <c r="R2857" s="10" t="s">
        <v>28</v>
      </c>
      <c r="S2857" s="10"/>
      <c r="T2857" s="10"/>
      <c r="U2857" s="10" t="s">
        <v>422</v>
      </c>
      <c r="V2857" s="10" t="s">
        <v>422</v>
      </c>
      <c r="W2857" s="50">
        <f>+J2857/$W$2</f>
        <v>3.333445807717843E-4</v>
      </c>
    </row>
    <row r="2858" spans="1:29">
      <c r="A2858" s="10" t="s">
        <v>3594</v>
      </c>
      <c r="B2858" s="10" t="s">
        <v>358</v>
      </c>
      <c r="C2858" s="124">
        <v>46463</v>
      </c>
      <c r="D2858" s="124" t="s">
        <v>471</v>
      </c>
      <c r="E2858" s="21">
        <v>0.88536380000000003</v>
      </c>
      <c r="F2858" s="10"/>
      <c r="G2858" s="14">
        <v>803060</v>
      </c>
      <c r="H2858" s="14">
        <v>711000.25</v>
      </c>
      <c r="I2858" s="14">
        <v>803060</v>
      </c>
      <c r="J2858" s="14">
        <v>711000.25</v>
      </c>
      <c r="K2858" s="12">
        <v>97</v>
      </c>
      <c r="L2858" s="10" t="s">
        <v>101</v>
      </c>
      <c r="M2858" s="10" t="s">
        <v>102</v>
      </c>
      <c r="N2858" s="124" t="s">
        <v>451</v>
      </c>
      <c r="O2858" s="124" t="s">
        <v>451</v>
      </c>
      <c r="P2858" s="21">
        <v>34</v>
      </c>
      <c r="Q2858" s="10" t="s">
        <v>54</v>
      </c>
      <c r="R2858" s="10" t="s">
        <v>28</v>
      </c>
      <c r="S2858" s="10"/>
      <c r="T2858" s="10"/>
      <c r="U2858" s="10" t="s">
        <v>3449</v>
      </c>
      <c r="V2858" s="10" t="s">
        <v>3449</v>
      </c>
      <c r="W2858" s="50">
        <f>+J2858/$W$2</f>
        <v>8.7016801943827335E-6</v>
      </c>
    </row>
    <row r="2859" spans="1:29">
      <c r="A2859" s="10" t="s">
        <v>3598</v>
      </c>
      <c r="B2859" s="10" t="s">
        <v>358</v>
      </c>
      <c r="C2859" s="124">
        <v>46463</v>
      </c>
      <c r="D2859" s="124" t="s">
        <v>471</v>
      </c>
      <c r="E2859" s="21">
        <v>0.88536378999999998</v>
      </c>
      <c r="F2859" s="10"/>
      <c r="G2859" s="14">
        <v>1183000</v>
      </c>
      <c r="H2859" s="14">
        <v>1047385.36</v>
      </c>
      <c r="I2859" s="14">
        <v>1183000</v>
      </c>
      <c r="J2859" s="14">
        <v>1047385.36</v>
      </c>
      <c r="K2859" s="12">
        <v>26</v>
      </c>
      <c r="L2859" s="10" t="s">
        <v>101</v>
      </c>
      <c r="M2859" s="10" t="s">
        <v>102</v>
      </c>
      <c r="N2859" s="124" t="s">
        <v>451</v>
      </c>
      <c r="O2859" s="124" t="s">
        <v>451</v>
      </c>
      <c r="P2859" s="21">
        <v>34</v>
      </c>
      <c r="Q2859" s="10" t="s">
        <v>54</v>
      </c>
      <c r="R2859" s="10" t="s">
        <v>28</v>
      </c>
      <c r="S2859" s="10"/>
      <c r="T2859" s="10"/>
      <c r="U2859" s="10" t="s">
        <v>3465</v>
      </c>
      <c r="V2859" s="10" t="s">
        <v>3465</v>
      </c>
      <c r="W2859" s="50">
        <f>+J2859/$W$2</f>
        <v>1.2818578394309186E-5</v>
      </c>
    </row>
    <row r="2860" spans="1:29">
      <c r="A2860" s="10" t="s">
        <v>3599</v>
      </c>
      <c r="B2860" s="10" t="s">
        <v>358</v>
      </c>
      <c r="C2860" s="124">
        <v>46463</v>
      </c>
      <c r="D2860" s="124" t="s">
        <v>471</v>
      </c>
      <c r="E2860" s="21">
        <v>0.88536378999999998</v>
      </c>
      <c r="F2860" s="10"/>
      <c r="G2860" s="14">
        <v>1416494.71</v>
      </c>
      <c r="H2860" s="14">
        <v>1254113.1200000001</v>
      </c>
      <c r="I2860" s="14">
        <v>1416494.71</v>
      </c>
      <c r="J2860" s="14">
        <v>1254113.1200000001</v>
      </c>
      <c r="K2860" s="12">
        <v>250</v>
      </c>
      <c r="L2860" s="10" t="s">
        <v>101</v>
      </c>
      <c r="M2860" s="10" t="s">
        <v>102</v>
      </c>
      <c r="N2860" s="124" t="s">
        <v>451</v>
      </c>
      <c r="O2860" s="124" t="s">
        <v>451</v>
      </c>
      <c r="P2860" s="21">
        <v>34</v>
      </c>
      <c r="Q2860" s="10" t="s">
        <v>54</v>
      </c>
      <c r="R2860" s="10" t="s">
        <v>28</v>
      </c>
      <c r="S2860" s="10"/>
      <c r="T2860" s="10"/>
      <c r="U2860" s="10" t="s">
        <v>3469</v>
      </c>
      <c r="V2860" s="10" t="s">
        <v>3469</v>
      </c>
      <c r="W2860" s="50">
        <f>+J2860/$W$2</f>
        <v>1.5348646217521778E-5</v>
      </c>
    </row>
    <row r="2861" spans="1:29">
      <c r="A2861" s="10" t="s">
        <v>3600</v>
      </c>
      <c r="B2861" s="10" t="s">
        <v>358</v>
      </c>
      <c r="C2861" s="124">
        <v>46463</v>
      </c>
      <c r="D2861" s="124" t="s">
        <v>471</v>
      </c>
      <c r="E2861" s="21">
        <v>0.88536378000000004</v>
      </c>
      <c r="F2861" s="10"/>
      <c r="G2861" s="14">
        <v>1820648.76</v>
      </c>
      <c r="H2861" s="14">
        <v>1611936.47</v>
      </c>
      <c r="I2861" s="14">
        <v>1820648.76</v>
      </c>
      <c r="J2861" s="14">
        <v>1611936.47</v>
      </c>
      <c r="K2861" s="12">
        <v>11</v>
      </c>
      <c r="L2861" s="10" t="s">
        <v>101</v>
      </c>
      <c r="M2861" s="10" t="s">
        <v>102</v>
      </c>
      <c r="N2861" s="124" t="s">
        <v>451</v>
      </c>
      <c r="O2861" s="124" t="s">
        <v>451</v>
      </c>
      <c r="P2861" s="21">
        <v>34</v>
      </c>
      <c r="Q2861" s="10" t="s">
        <v>54</v>
      </c>
      <c r="R2861" s="10" t="s">
        <v>28</v>
      </c>
      <c r="S2861" s="10"/>
      <c r="T2861" s="10"/>
      <c r="U2861" s="10" t="s">
        <v>3474</v>
      </c>
      <c r="V2861" s="10" t="s">
        <v>3474</v>
      </c>
      <c r="W2861" s="50">
        <f>+J2861/$W$2</f>
        <v>1.972791944250683E-5</v>
      </c>
    </row>
    <row r="2862" spans="1:29">
      <c r="A2862" s="10" t="s">
        <v>367</v>
      </c>
      <c r="B2862" s="10" t="s">
        <v>358</v>
      </c>
      <c r="C2862" s="124">
        <v>46463</v>
      </c>
      <c r="D2862" s="124" t="s">
        <v>471</v>
      </c>
      <c r="E2862" s="21">
        <v>0.89137454999999999</v>
      </c>
      <c r="F2862" s="10"/>
      <c r="G2862" s="14">
        <v>2833000</v>
      </c>
      <c r="H2862" s="14">
        <v>2525264.1</v>
      </c>
      <c r="I2862" s="14">
        <v>2833000</v>
      </c>
      <c r="J2862" s="14">
        <v>2525264.1</v>
      </c>
      <c r="K2862" s="12">
        <v>90000059</v>
      </c>
      <c r="L2862" s="10" t="s">
        <v>101</v>
      </c>
      <c r="M2862" s="10" t="s">
        <v>102</v>
      </c>
      <c r="N2862" s="124" t="s">
        <v>477</v>
      </c>
      <c r="O2862" s="124" t="s">
        <v>477</v>
      </c>
      <c r="P2862" s="21">
        <v>32</v>
      </c>
      <c r="Q2862" s="10" t="s">
        <v>54</v>
      </c>
      <c r="R2862" s="10" t="s">
        <v>28</v>
      </c>
      <c r="S2862" s="10"/>
      <c r="T2862" s="10"/>
      <c r="U2862" s="10" t="s">
        <v>2396</v>
      </c>
      <c r="V2862" s="10" t="s">
        <v>2396</v>
      </c>
      <c r="W2862" s="50">
        <f>+J2862/$W$2</f>
        <v>3.0905812768076721E-5</v>
      </c>
      <c r="AC2862" s="47"/>
    </row>
    <row r="2863" spans="1:29">
      <c r="A2863" s="10" t="s">
        <v>3894</v>
      </c>
      <c r="B2863" s="10" t="s">
        <v>358</v>
      </c>
      <c r="C2863" s="124">
        <v>46463</v>
      </c>
      <c r="D2863" s="124" t="s">
        <v>471</v>
      </c>
      <c r="E2863" s="21">
        <v>0.90054548000000001</v>
      </c>
      <c r="F2863" s="10"/>
      <c r="G2863" s="14">
        <v>85000000</v>
      </c>
      <c r="H2863" s="14">
        <v>76546365.609999999</v>
      </c>
      <c r="I2863" s="14">
        <v>85000000</v>
      </c>
      <c r="J2863" s="14">
        <v>76546365.609999999</v>
      </c>
      <c r="K2863" s="12">
        <v>9844156</v>
      </c>
      <c r="L2863" s="10" t="s">
        <v>101</v>
      </c>
      <c r="M2863" s="10" t="s">
        <v>102</v>
      </c>
      <c r="N2863" s="124" t="s">
        <v>471</v>
      </c>
      <c r="O2863" s="124" t="s">
        <v>471</v>
      </c>
      <c r="P2863" s="21">
        <v>29</v>
      </c>
      <c r="Q2863" s="10" t="s">
        <v>54</v>
      </c>
      <c r="R2863" s="10" t="s">
        <v>28</v>
      </c>
      <c r="S2863" s="10"/>
      <c r="T2863" s="10"/>
      <c r="U2863" s="10" t="s">
        <v>4093</v>
      </c>
      <c r="V2863" s="10" t="s">
        <v>4093</v>
      </c>
      <c r="W2863" s="50">
        <f>+J2863/$W$2</f>
        <v>9.3682385284747313E-4</v>
      </c>
    </row>
    <row r="2864" spans="1:29">
      <c r="A2864" s="10" t="s">
        <v>400</v>
      </c>
      <c r="B2864" s="10" t="s">
        <v>358</v>
      </c>
      <c r="C2864" s="124">
        <v>46464</v>
      </c>
      <c r="D2864" s="124" t="s">
        <v>471</v>
      </c>
      <c r="E2864" s="21">
        <v>0.89680596999999995</v>
      </c>
      <c r="F2864" s="10"/>
      <c r="G2864" s="14">
        <v>5580000</v>
      </c>
      <c r="H2864" s="14">
        <v>5004177.33</v>
      </c>
      <c r="I2864" s="14">
        <v>5580000</v>
      </c>
      <c r="J2864" s="14">
        <v>5004177.33</v>
      </c>
      <c r="K2864" s="12">
        <v>11415142</v>
      </c>
      <c r="L2864" s="10" t="s">
        <v>101</v>
      </c>
      <c r="M2864" s="10" t="s">
        <v>102</v>
      </c>
      <c r="N2864" s="124" t="s">
        <v>449</v>
      </c>
      <c r="O2864" s="124" t="s">
        <v>449</v>
      </c>
      <c r="P2864" s="21">
        <v>30</v>
      </c>
      <c r="Q2864" s="10" t="s">
        <v>54</v>
      </c>
      <c r="R2864" s="10" t="s">
        <v>28</v>
      </c>
      <c r="S2864" s="10"/>
      <c r="T2864" s="10"/>
      <c r="U2864" s="10" t="s">
        <v>1919</v>
      </c>
      <c r="V2864" s="10" t="s">
        <v>1919</v>
      </c>
      <c r="W2864" s="50">
        <f>+J2864/$W$2</f>
        <v>6.1244353657597265E-5</v>
      </c>
    </row>
    <row r="2865" spans="1:29">
      <c r="A2865" s="10" t="s">
        <v>1826</v>
      </c>
      <c r="B2865" s="10" t="s">
        <v>358</v>
      </c>
      <c r="C2865" s="124">
        <v>46464</v>
      </c>
      <c r="D2865" s="124" t="s">
        <v>471</v>
      </c>
      <c r="E2865" s="21">
        <v>0.89067854999999996</v>
      </c>
      <c r="F2865" s="10"/>
      <c r="G2865" s="14">
        <v>21145734.48</v>
      </c>
      <c r="H2865" s="14">
        <v>18834052.059999999</v>
      </c>
      <c r="I2865" s="14">
        <v>21145734.48</v>
      </c>
      <c r="J2865" s="14">
        <v>18834052.059999999</v>
      </c>
      <c r="K2865" s="12">
        <v>1985965</v>
      </c>
      <c r="L2865" s="10" t="s">
        <v>101</v>
      </c>
      <c r="M2865" s="10" t="s">
        <v>102</v>
      </c>
      <c r="N2865" s="124" t="s">
        <v>395</v>
      </c>
      <c r="O2865" s="124" t="s">
        <v>395</v>
      </c>
      <c r="P2865" s="21">
        <v>32</v>
      </c>
      <c r="Q2865" s="10" t="s">
        <v>54</v>
      </c>
      <c r="R2865" s="10" t="s">
        <v>28</v>
      </c>
      <c r="S2865" s="10"/>
      <c r="T2865" s="10"/>
      <c r="U2865" s="10" t="s">
        <v>1797</v>
      </c>
      <c r="V2865" s="10" t="s">
        <v>1797</v>
      </c>
      <c r="W2865" s="50">
        <f>+J2865/$W$2</f>
        <v>2.3050329137081925E-4</v>
      </c>
    </row>
    <row r="2866" spans="1:29">
      <c r="A2866" s="10" t="s">
        <v>443</v>
      </c>
      <c r="B2866" s="10" t="s">
        <v>358</v>
      </c>
      <c r="C2866" s="124">
        <v>46464</v>
      </c>
      <c r="D2866" s="124" t="s">
        <v>471</v>
      </c>
      <c r="E2866" s="21">
        <v>0.89680605000000002</v>
      </c>
      <c r="F2866" s="10"/>
      <c r="G2866" s="14">
        <v>2500000</v>
      </c>
      <c r="H2866" s="14">
        <v>2242015.13</v>
      </c>
      <c r="I2866" s="14">
        <v>2500000</v>
      </c>
      <c r="J2866" s="14">
        <v>2242015.13</v>
      </c>
      <c r="K2866" s="12">
        <v>90003967</v>
      </c>
      <c r="L2866" s="10" t="s">
        <v>101</v>
      </c>
      <c r="M2866" s="10" t="s">
        <v>102</v>
      </c>
      <c r="N2866" s="124" t="s">
        <v>471</v>
      </c>
      <c r="O2866" s="124" t="s">
        <v>471</v>
      </c>
      <c r="P2866" s="21">
        <v>30</v>
      </c>
      <c r="Q2866" s="10" t="s">
        <v>54</v>
      </c>
      <c r="R2866" s="10" t="s">
        <v>28</v>
      </c>
      <c r="S2866" s="10"/>
      <c r="T2866" s="10"/>
      <c r="U2866" s="10" t="s">
        <v>4062</v>
      </c>
      <c r="V2866" s="10" t="s">
        <v>4062</v>
      </c>
      <c r="W2866" s="50">
        <f>+J2866/$W$2</f>
        <v>2.7439228962616298E-5</v>
      </c>
    </row>
    <row r="2867" spans="1:29">
      <c r="A2867" s="10" t="s">
        <v>831</v>
      </c>
      <c r="B2867" s="10" t="s">
        <v>358</v>
      </c>
      <c r="C2867" s="124">
        <v>46464</v>
      </c>
      <c r="D2867" s="124" t="s">
        <v>471</v>
      </c>
      <c r="E2867" s="21">
        <v>0.90931744999999997</v>
      </c>
      <c r="F2867" s="10"/>
      <c r="G2867" s="14">
        <v>3948801</v>
      </c>
      <c r="H2867" s="14">
        <v>3590713.64</v>
      </c>
      <c r="I2867" s="14">
        <v>3948801</v>
      </c>
      <c r="J2867" s="14">
        <v>3590713.64</v>
      </c>
      <c r="K2867" s="12">
        <v>1018</v>
      </c>
      <c r="L2867" s="10" t="s">
        <v>101</v>
      </c>
      <c r="M2867" s="10" t="s">
        <v>102</v>
      </c>
      <c r="N2867" s="124" t="s">
        <v>344</v>
      </c>
      <c r="O2867" s="124" t="s">
        <v>344</v>
      </c>
      <c r="P2867" s="21">
        <v>26</v>
      </c>
      <c r="Q2867" s="10" t="s">
        <v>54</v>
      </c>
      <c r="R2867" s="10" t="s">
        <v>28</v>
      </c>
      <c r="S2867" s="10"/>
      <c r="T2867" s="10"/>
      <c r="U2867" s="10" t="s">
        <v>823</v>
      </c>
      <c r="V2867" s="10" t="s">
        <v>823</v>
      </c>
      <c r="W2867" s="50">
        <f>+J2867/$W$2</f>
        <v>4.3945472262334559E-5</v>
      </c>
    </row>
    <row r="2868" spans="1:29">
      <c r="A2868" s="10" t="s">
        <v>220</v>
      </c>
      <c r="B2868" s="10" t="s">
        <v>358</v>
      </c>
      <c r="C2868" s="124">
        <v>46464</v>
      </c>
      <c r="D2868" s="124" t="s">
        <v>471</v>
      </c>
      <c r="E2868" s="21">
        <v>0.88764602999999997</v>
      </c>
      <c r="F2868" s="10"/>
      <c r="G2868" s="14">
        <v>25000000</v>
      </c>
      <c r="H2868" s="14">
        <v>22191150.66</v>
      </c>
      <c r="I2868" s="14">
        <v>25000000</v>
      </c>
      <c r="J2868" s="14">
        <v>22191150.66</v>
      </c>
      <c r="K2868" s="12">
        <v>475896</v>
      </c>
      <c r="L2868" s="10" t="s">
        <v>101</v>
      </c>
      <c r="M2868" s="10" t="s">
        <v>102</v>
      </c>
      <c r="N2868" s="124" t="s">
        <v>451</v>
      </c>
      <c r="O2868" s="124" t="s">
        <v>451</v>
      </c>
      <c r="P2868" s="21">
        <v>33</v>
      </c>
      <c r="Q2868" s="10" t="s">
        <v>54</v>
      </c>
      <c r="R2868" s="10" t="s">
        <v>28</v>
      </c>
      <c r="S2868" s="10"/>
      <c r="T2868" s="10"/>
      <c r="U2868" s="10" t="s">
        <v>3514</v>
      </c>
      <c r="V2868" s="10" t="s">
        <v>3514</v>
      </c>
      <c r="W2868" s="50">
        <f>+J2868/$W$2</f>
        <v>2.7158963191459544E-4</v>
      </c>
    </row>
    <row r="2869" spans="1:29">
      <c r="A2869" s="10" t="s">
        <v>3601</v>
      </c>
      <c r="B2869" s="10" t="s">
        <v>358</v>
      </c>
      <c r="C2869" s="124">
        <v>46464</v>
      </c>
      <c r="D2869" s="124" t="s">
        <v>471</v>
      </c>
      <c r="E2869" s="21">
        <v>0.88463413000000002</v>
      </c>
      <c r="F2869" s="10"/>
      <c r="G2869" s="14">
        <v>618696.5</v>
      </c>
      <c r="H2869" s="14">
        <v>547320.04</v>
      </c>
      <c r="I2869" s="14">
        <v>618696.5</v>
      </c>
      <c r="J2869" s="14">
        <v>547320.04</v>
      </c>
      <c r="K2869" s="12">
        <v>70497144</v>
      </c>
      <c r="L2869" s="10" t="s">
        <v>101</v>
      </c>
      <c r="M2869" s="10" t="s">
        <v>102</v>
      </c>
      <c r="N2869" s="124" t="s">
        <v>451</v>
      </c>
      <c r="O2869" s="124" t="s">
        <v>451</v>
      </c>
      <c r="P2869" s="21">
        <v>34</v>
      </c>
      <c r="Q2869" s="10" t="s">
        <v>54</v>
      </c>
      <c r="R2869" s="10" t="s">
        <v>28</v>
      </c>
      <c r="S2869" s="10"/>
      <c r="T2869" s="10"/>
      <c r="U2869" s="10" t="s">
        <v>3483</v>
      </c>
      <c r="V2869" s="10" t="s">
        <v>3483</v>
      </c>
      <c r="W2869" s="50">
        <f>+J2869/$W$2</f>
        <v>6.6984560864173624E-6</v>
      </c>
    </row>
    <row r="2870" spans="1:29">
      <c r="A2870" s="10" t="s">
        <v>2016</v>
      </c>
      <c r="B2870" s="10" t="s">
        <v>358</v>
      </c>
      <c r="C2870" s="124">
        <v>46465</v>
      </c>
      <c r="D2870" s="124" t="s">
        <v>471</v>
      </c>
      <c r="E2870" s="21">
        <v>0.89614539000000004</v>
      </c>
      <c r="F2870" s="10"/>
      <c r="G2870" s="14">
        <v>5000000</v>
      </c>
      <c r="H2870" s="14">
        <v>4480726.95</v>
      </c>
      <c r="I2870" s="14">
        <v>5000000</v>
      </c>
      <c r="J2870" s="14">
        <v>4480726.95</v>
      </c>
      <c r="K2870" s="12">
        <v>3927502</v>
      </c>
      <c r="L2870" s="10" t="s">
        <v>101</v>
      </c>
      <c r="M2870" s="10" t="s">
        <v>102</v>
      </c>
      <c r="N2870" s="124" t="s">
        <v>478</v>
      </c>
      <c r="O2870" s="124" t="s">
        <v>478</v>
      </c>
      <c r="P2870" s="21">
        <v>30</v>
      </c>
      <c r="Q2870" s="10" t="s">
        <v>54</v>
      </c>
      <c r="R2870" s="10" t="s">
        <v>28</v>
      </c>
      <c r="S2870" s="10"/>
      <c r="T2870" s="10"/>
      <c r="U2870" s="10" t="s">
        <v>2097</v>
      </c>
      <c r="V2870" s="10" t="s">
        <v>2097</v>
      </c>
      <c r="W2870" s="50">
        <f>+J2870/$W$2</f>
        <v>5.4838029884310107E-5</v>
      </c>
    </row>
    <row r="2871" spans="1:29">
      <c r="A2871" s="10" t="s">
        <v>443</v>
      </c>
      <c r="B2871" s="10" t="s">
        <v>358</v>
      </c>
      <c r="C2871" s="124">
        <v>46465</v>
      </c>
      <c r="D2871" s="124" t="s">
        <v>471</v>
      </c>
      <c r="E2871" s="21">
        <v>0.89305391000000001</v>
      </c>
      <c r="F2871" s="10"/>
      <c r="G2871" s="14">
        <v>20000000</v>
      </c>
      <c r="H2871" s="14">
        <v>17861078.170000002</v>
      </c>
      <c r="I2871" s="14">
        <v>20000000</v>
      </c>
      <c r="J2871" s="14">
        <v>17861078.170000002</v>
      </c>
      <c r="K2871" s="12">
        <v>69904903</v>
      </c>
      <c r="L2871" s="10" t="s">
        <v>101</v>
      </c>
      <c r="M2871" s="10" t="s">
        <v>102</v>
      </c>
      <c r="N2871" s="124" t="s">
        <v>576</v>
      </c>
      <c r="O2871" s="124" t="s">
        <v>576</v>
      </c>
      <c r="P2871" s="21">
        <v>31</v>
      </c>
      <c r="Q2871" s="10" t="s">
        <v>54</v>
      </c>
      <c r="R2871" s="10" t="s">
        <v>28</v>
      </c>
      <c r="S2871" s="10"/>
      <c r="T2871" s="10"/>
      <c r="U2871" s="10" t="s">
        <v>2324</v>
      </c>
      <c r="V2871" s="10" t="s">
        <v>2324</v>
      </c>
      <c r="W2871" s="50">
        <f>+J2871/$W$2</f>
        <v>2.1859540859825411E-4</v>
      </c>
    </row>
    <row r="2872" spans="1:29">
      <c r="A2872" s="10" t="s">
        <v>443</v>
      </c>
      <c r="B2872" s="10" t="s">
        <v>358</v>
      </c>
      <c r="C2872" s="124">
        <v>46465</v>
      </c>
      <c r="D2872" s="124" t="s">
        <v>471</v>
      </c>
      <c r="E2872" s="21">
        <v>0.89614543999999996</v>
      </c>
      <c r="F2872" s="10"/>
      <c r="G2872" s="14">
        <v>2500000</v>
      </c>
      <c r="H2872" s="14">
        <v>2240363.59</v>
      </c>
      <c r="I2872" s="14">
        <v>2500000</v>
      </c>
      <c r="J2872" s="14">
        <v>2240363.59</v>
      </c>
      <c r="K2872" s="12">
        <v>90003968</v>
      </c>
      <c r="L2872" s="10" t="s">
        <v>101</v>
      </c>
      <c r="M2872" s="10" t="s">
        <v>102</v>
      </c>
      <c r="N2872" s="124" t="s">
        <v>471</v>
      </c>
      <c r="O2872" s="124" t="s">
        <v>471</v>
      </c>
      <c r="P2872" s="21">
        <v>30</v>
      </c>
      <c r="Q2872" s="10" t="s">
        <v>54</v>
      </c>
      <c r="R2872" s="10" t="s">
        <v>28</v>
      </c>
      <c r="S2872" s="10"/>
      <c r="T2872" s="10"/>
      <c r="U2872" s="10" t="s">
        <v>4064</v>
      </c>
      <c r="V2872" s="10" t="s">
        <v>4064</v>
      </c>
      <c r="W2872" s="50">
        <f>+J2872/$W$2</f>
        <v>2.7419016349599313E-5</v>
      </c>
    </row>
    <row r="2873" spans="1:29">
      <c r="A2873" s="10" t="s">
        <v>1893</v>
      </c>
      <c r="B2873" s="10" t="s">
        <v>358</v>
      </c>
      <c r="C2873" s="124">
        <v>46465</v>
      </c>
      <c r="D2873" s="124" t="s">
        <v>471</v>
      </c>
      <c r="E2873" s="21">
        <v>0.90239334999999998</v>
      </c>
      <c r="F2873" s="10"/>
      <c r="G2873" s="14">
        <v>19000000</v>
      </c>
      <c r="H2873" s="14">
        <v>17145473.600000001</v>
      </c>
      <c r="I2873" s="14">
        <v>19000000</v>
      </c>
      <c r="J2873" s="14">
        <v>17145473.600000001</v>
      </c>
      <c r="K2873" s="12">
        <v>1558096</v>
      </c>
      <c r="L2873" s="10" t="s">
        <v>101</v>
      </c>
      <c r="M2873" s="10" t="s">
        <v>102</v>
      </c>
      <c r="N2873" s="124" t="s">
        <v>397</v>
      </c>
      <c r="O2873" s="124" t="s">
        <v>397</v>
      </c>
      <c r="P2873" s="21">
        <v>28</v>
      </c>
      <c r="Q2873" s="10" t="s">
        <v>54</v>
      </c>
      <c r="R2873" s="10" t="s">
        <v>28</v>
      </c>
      <c r="S2873" s="10"/>
      <c r="T2873" s="10"/>
      <c r="U2873" s="10" t="s">
        <v>1884</v>
      </c>
      <c r="V2873" s="10" t="s">
        <v>1884</v>
      </c>
      <c r="W2873" s="50">
        <f>+J2873/$W$2</f>
        <v>2.0983737776242983E-4</v>
      </c>
      <c r="AC2873" s="47"/>
    </row>
    <row r="2874" spans="1:29">
      <c r="A2874" s="10" t="s">
        <v>220</v>
      </c>
      <c r="B2874" s="10" t="s">
        <v>358</v>
      </c>
      <c r="C2874" s="124">
        <v>46465</v>
      </c>
      <c r="D2874" s="124" t="s">
        <v>471</v>
      </c>
      <c r="E2874" s="21">
        <v>0.88693416999999997</v>
      </c>
      <c r="F2874" s="10"/>
      <c r="G2874" s="14">
        <v>25000000</v>
      </c>
      <c r="H2874" s="14">
        <v>22173354.16</v>
      </c>
      <c r="I2874" s="14">
        <v>25000000</v>
      </c>
      <c r="J2874" s="14">
        <v>22173354.16</v>
      </c>
      <c r="K2874" s="12">
        <v>70562980</v>
      </c>
      <c r="L2874" s="10" t="s">
        <v>101</v>
      </c>
      <c r="M2874" s="10" t="s">
        <v>102</v>
      </c>
      <c r="N2874" s="124" t="s">
        <v>451</v>
      </c>
      <c r="O2874" s="124" t="s">
        <v>451</v>
      </c>
      <c r="P2874" s="21">
        <v>33</v>
      </c>
      <c r="Q2874" s="10" t="s">
        <v>54</v>
      </c>
      <c r="R2874" s="10" t="s">
        <v>28</v>
      </c>
      <c r="S2874" s="10"/>
      <c r="T2874" s="10"/>
      <c r="U2874" s="10" t="s">
        <v>3512</v>
      </c>
      <c r="V2874" s="10" t="s">
        <v>3512</v>
      </c>
      <c r="W2874" s="50">
        <f>+J2874/$W$2</f>
        <v>2.7137182685534359E-4</v>
      </c>
    </row>
    <row r="2875" spans="1:29">
      <c r="A2875" s="10" t="s">
        <v>3894</v>
      </c>
      <c r="B2875" s="10" t="s">
        <v>358</v>
      </c>
      <c r="C2875" s="124">
        <v>46465</v>
      </c>
      <c r="D2875" s="124" t="s">
        <v>471</v>
      </c>
      <c r="E2875" s="21">
        <v>0.89676643</v>
      </c>
      <c r="F2875" s="10"/>
      <c r="G2875" s="14">
        <v>100000000</v>
      </c>
      <c r="H2875" s="14">
        <v>89676643.209999993</v>
      </c>
      <c r="I2875" s="14">
        <v>100000000</v>
      </c>
      <c r="J2875" s="14">
        <v>89676643.209999993</v>
      </c>
      <c r="K2875" s="12">
        <v>2528</v>
      </c>
      <c r="L2875" s="10" t="s">
        <v>101</v>
      </c>
      <c r="M2875" s="10" t="s">
        <v>102</v>
      </c>
      <c r="N2875" s="124" t="s">
        <v>474</v>
      </c>
      <c r="O2875" s="124" t="s">
        <v>474</v>
      </c>
      <c r="P2875" s="21">
        <v>29.8</v>
      </c>
      <c r="Q2875" s="10" t="s">
        <v>54</v>
      </c>
      <c r="R2875" s="10" t="s">
        <v>28</v>
      </c>
      <c r="S2875" s="10"/>
      <c r="T2875" s="10"/>
      <c r="U2875" s="10" t="s">
        <v>3857</v>
      </c>
      <c r="V2875" s="10" t="s">
        <v>3857</v>
      </c>
      <c r="W2875" s="50">
        <f>+J2875/$W$2</f>
        <v>1.0975206691125408E-3</v>
      </c>
    </row>
    <row r="2876" spans="1:29">
      <c r="A2876" s="10" t="s">
        <v>2314</v>
      </c>
      <c r="B2876" s="10" t="s">
        <v>358</v>
      </c>
      <c r="C2876" s="124">
        <v>46468</v>
      </c>
      <c r="D2876" s="124" t="s">
        <v>471</v>
      </c>
      <c r="E2876" s="21">
        <v>0.88480572999999996</v>
      </c>
      <c r="F2876" s="10"/>
      <c r="G2876" s="14">
        <v>6006148</v>
      </c>
      <c r="H2876" s="14">
        <v>5314274.1500000004</v>
      </c>
      <c r="I2876" s="14">
        <v>6006148</v>
      </c>
      <c r="J2876" s="14">
        <v>5314274.1500000004</v>
      </c>
      <c r="K2876" s="12">
        <v>1370682</v>
      </c>
      <c r="L2876" s="10" t="s">
        <v>101</v>
      </c>
      <c r="M2876" s="10" t="s">
        <v>102</v>
      </c>
      <c r="N2876" s="124" t="s">
        <v>439</v>
      </c>
      <c r="O2876" s="124" t="s">
        <v>439</v>
      </c>
      <c r="P2876" s="21">
        <v>33</v>
      </c>
      <c r="Q2876" s="10" t="s">
        <v>54</v>
      </c>
      <c r="R2876" s="10" t="s">
        <v>28</v>
      </c>
      <c r="S2876" s="10"/>
      <c r="T2876" s="10"/>
      <c r="U2876" s="10" t="s">
        <v>2295</v>
      </c>
      <c r="V2876" s="10" t="s">
        <v>2295</v>
      </c>
      <c r="W2876" s="50">
        <f>+J2876/$W$2</f>
        <v>6.5039518788601188E-5</v>
      </c>
    </row>
    <row r="2877" spans="1:29">
      <c r="A2877" s="10" t="s">
        <v>443</v>
      </c>
      <c r="B2877" s="10" t="s">
        <v>358</v>
      </c>
      <c r="C2877" s="124">
        <v>46468</v>
      </c>
      <c r="D2877" s="124" t="s">
        <v>471</v>
      </c>
      <c r="E2877" s="21">
        <v>0.89416965999999998</v>
      </c>
      <c r="F2877" s="10"/>
      <c r="G2877" s="14">
        <v>2500000</v>
      </c>
      <c r="H2877" s="14">
        <v>2235424.14</v>
      </c>
      <c r="I2877" s="14">
        <v>2500000</v>
      </c>
      <c r="J2877" s="14">
        <v>2235424.14</v>
      </c>
      <c r="K2877" s="12">
        <v>90003969</v>
      </c>
      <c r="L2877" s="10" t="s">
        <v>101</v>
      </c>
      <c r="M2877" s="10" t="s">
        <v>102</v>
      </c>
      <c r="N2877" s="124" t="s">
        <v>471</v>
      </c>
      <c r="O2877" s="124" t="s">
        <v>471</v>
      </c>
      <c r="P2877" s="21">
        <v>30</v>
      </c>
      <c r="Q2877" s="10" t="s">
        <v>54</v>
      </c>
      <c r="R2877" s="10" t="s">
        <v>28</v>
      </c>
      <c r="S2877" s="10"/>
      <c r="T2877" s="10"/>
      <c r="U2877" s="10" t="s">
        <v>4061</v>
      </c>
      <c r="V2877" s="10" t="s">
        <v>4061</v>
      </c>
      <c r="W2877" s="50">
        <f>+J2877/$W$2</f>
        <v>2.735856417080452E-5</v>
      </c>
    </row>
    <row r="2878" spans="1:29">
      <c r="A2878" s="10" t="s">
        <v>3577</v>
      </c>
      <c r="B2878" s="10" t="s">
        <v>358</v>
      </c>
      <c r="C2878" s="124">
        <v>46468</v>
      </c>
      <c r="D2878" s="124" t="s">
        <v>471</v>
      </c>
      <c r="E2878" s="21">
        <v>0.88172779000000001</v>
      </c>
      <c r="F2878" s="10"/>
      <c r="G2878" s="14">
        <v>4927055.72</v>
      </c>
      <c r="H2878" s="14">
        <v>4344321.96</v>
      </c>
      <c r="I2878" s="14">
        <v>4927055.72</v>
      </c>
      <c r="J2878" s="14">
        <v>4344321.96</v>
      </c>
      <c r="K2878" s="12">
        <v>1498</v>
      </c>
      <c r="L2878" s="10" t="s">
        <v>101</v>
      </c>
      <c r="M2878" s="10" t="s">
        <v>102</v>
      </c>
      <c r="N2878" s="124" t="s">
        <v>451</v>
      </c>
      <c r="O2878" s="124" t="s">
        <v>451</v>
      </c>
      <c r="P2878" s="21">
        <v>34</v>
      </c>
      <c r="Q2878" s="10" t="s">
        <v>54</v>
      </c>
      <c r="R2878" s="10" t="s">
        <v>28</v>
      </c>
      <c r="S2878" s="10"/>
      <c r="T2878" s="10"/>
      <c r="U2878" s="10" t="s">
        <v>3489</v>
      </c>
      <c r="V2878" s="10" t="s">
        <v>3489</v>
      </c>
      <c r="W2878" s="50">
        <f>+J2878/$W$2</f>
        <v>5.3168617531926294E-5</v>
      </c>
    </row>
    <row r="2879" spans="1:29">
      <c r="A2879" s="10" t="s">
        <v>2079</v>
      </c>
      <c r="B2879" s="10" t="s">
        <v>358</v>
      </c>
      <c r="C2879" s="124">
        <v>46469</v>
      </c>
      <c r="D2879" s="124" t="s">
        <v>471</v>
      </c>
      <c r="E2879" s="21">
        <v>0.88721455000000005</v>
      </c>
      <c r="F2879" s="10"/>
      <c r="G2879" s="14">
        <v>45000000</v>
      </c>
      <c r="H2879" s="14">
        <v>39924654.859999999</v>
      </c>
      <c r="I2879" s="14">
        <v>45000000</v>
      </c>
      <c r="J2879" s="14">
        <v>39924654.859999999</v>
      </c>
      <c r="K2879" s="12">
        <v>51559</v>
      </c>
      <c r="L2879" s="10" t="s">
        <v>101</v>
      </c>
      <c r="M2879" s="10" t="s">
        <v>102</v>
      </c>
      <c r="N2879" s="124" t="s">
        <v>577</v>
      </c>
      <c r="O2879" s="124" t="s">
        <v>577</v>
      </c>
      <c r="P2879" s="21">
        <v>32</v>
      </c>
      <c r="Q2879" s="10" t="s">
        <v>54</v>
      </c>
      <c r="R2879" s="10" t="s">
        <v>28</v>
      </c>
      <c r="S2879" s="10"/>
      <c r="T2879" s="10"/>
      <c r="U2879" s="10" t="s">
        <v>2480</v>
      </c>
      <c r="V2879" s="10" t="s">
        <v>2480</v>
      </c>
      <c r="W2879" s="50">
        <f>+J2879/$W$2</f>
        <v>4.8862370788593725E-4</v>
      </c>
    </row>
    <row r="2880" spans="1:29">
      <c r="A2880" s="10" t="s">
        <v>1893</v>
      </c>
      <c r="B2880" s="10" t="s">
        <v>358</v>
      </c>
      <c r="C2880" s="124">
        <v>46469</v>
      </c>
      <c r="D2880" s="124" t="s">
        <v>471</v>
      </c>
      <c r="E2880" s="21">
        <v>0.89990152000000001</v>
      </c>
      <c r="F2880" s="10"/>
      <c r="G2880" s="14">
        <v>19000000</v>
      </c>
      <c r="H2880" s="14">
        <v>17098128.800000001</v>
      </c>
      <c r="I2880" s="14">
        <v>19000000</v>
      </c>
      <c r="J2880" s="14">
        <v>17098128.800000001</v>
      </c>
      <c r="K2880" s="12">
        <v>1558097</v>
      </c>
      <c r="L2880" s="10" t="s">
        <v>101</v>
      </c>
      <c r="M2880" s="10" t="s">
        <v>102</v>
      </c>
      <c r="N2880" s="124" t="s">
        <v>397</v>
      </c>
      <c r="O2880" s="124" t="s">
        <v>397</v>
      </c>
      <c r="P2880" s="21">
        <v>28</v>
      </c>
      <c r="Q2880" s="10" t="s">
        <v>54</v>
      </c>
      <c r="R2880" s="10" t="s">
        <v>28</v>
      </c>
      <c r="S2880" s="10"/>
      <c r="T2880" s="10"/>
      <c r="U2880" s="10" t="s">
        <v>1886</v>
      </c>
      <c r="V2880" s="10" t="s">
        <v>1886</v>
      </c>
      <c r="W2880" s="50">
        <f>+J2880/$W$2</f>
        <v>2.092579415266943E-4</v>
      </c>
    </row>
    <row r="2881" spans="1:29">
      <c r="A2881" s="10" t="s">
        <v>4173</v>
      </c>
      <c r="B2881" s="10" t="s">
        <v>358</v>
      </c>
      <c r="C2881" s="124">
        <v>46469</v>
      </c>
      <c r="D2881" s="124" t="s">
        <v>471</v>
      </c>
      <c r="E2881" s="21">
        <v>0.88409841</v>
      </c>
      <c r="F2881" s="10"/>
      <c r="G2881" s="14">
        <v>10000000</v>
      </c>
      <c r="H2881" s="14">
        <v>8840984.1199999992</v>
      </c>
      <c r="I2881" s="14">
        <v>10000000</v>
      </c>
      <c r="J2881" s="14">
        <v>8840984.1199999992</v>
      </c>
      <c r="K2881" s="12">
        <v>673</v>
      </c>
      <c r="L2881" s="10" t="s">
        <v>101</v>
      </c>
      <c r="M2881" s="10" t="s">
        <v>102</v>
      </c>
      <c r="N2881" s="124" t="s">
        <v>471</v>
      </c>
      <c r="O2881" s="124" t="s">
        <v>471</v>
      </c>
      <c r="P2881" s="21">
        <v>33</v>
      </c>
      <c r="Q2881" s="10" t="s">
        <v>54</v>
      </c>
      <c r="R2881" s="10" t="s">
        <v>28</v>
      </c>
      <c r="S2881" s="10"/>
      <c r="T2881" s="10"/>
      <c r="U2881" s="10" t="s">
        <v>4151</v>
      </c>
      <c r="V2881" s="10" t="s">
        <v>4151</v>
      </c>
      <c r="W2881" s="50">
        <f>+J2881/$W$2</f>
        <v>1.0820167280652329E-4</v>
      </c>
    </row>
    <row r="2882" spans="1:29">
      <c r="A2882" s="10" t="s">
        <v>400</v>
      </c>
      <c r="B2882" s="10" t="s">
        <v>358</v>
      </c>
      <c r="C2882" s="124">
        <v>46475</v>
      </c>
      <c r="D2882" s="124" t="s">
        <v>471</v>
      </c>
      <c r="E2882" s="21">
        <v>0.8912331</v>
      </c>
      <c r="F2882" s="10"/>
      <c r="G2882" s="14">
        <v>5633315</v>
      </c>
      <c r="H2882" s="14">
        <v>5020596.78</v>
      </c>
      <c r="I2882" s="14">
        <v>5633315</v>
      </c>
      <c r="J2882" s="14">
        <v>5020596.78</v>
      </c>
      <c r="K2882" s="12">
        <v>69874720</v>
      </c>
      <c r="L2882" s="10" t="s">
        <v>101</v>
      </c>
      <c r="M2882" s="10" t="s">
        <v>102</v>
      </c>
      <c r="N2882" s="124" t="s">
        <v>439</v>
      </c>
      <c r="O2882" s="124" t="s">
        <v>439</v>
      </c>
      <c r="P2882" s="21">
        <v>29.5</v>
      </c>
      <c r="Q2882" s="10" t="s">
        <v>54</v>
      </c>
      <c r="R2882" s="10" t="s">
        <v>28</v>
      </c>
      <c r="S2882" s="10"/>
      <c r="T2882" s="10"/>
      <c r="U2882" s="10" t="s">
        <v>2227</v>
      </c>
      <c r="V2882" s="10" t="s">
        <v>2227</v>
      </c>
      <c r="W2882" s="50">
        <f>+J2882/$W$2</f>
        <v>6.1445305489706548E-5</v>
      </c>
    </row>
    <row r="2883" spans="1:29">
      <c r="A2883" s="10" t="s">
        <v>2219</v>
      </c>
      <c r="B2883" s="10" t="s">
        <v>358</v>
      </c>
      <c r="C2883" s="124">
        <v>46475</v>
      </c>
      <c r="D2883" s="124" t="s">
        <v>471</v>
      </c>
      <c r="E2883" s="21">
        <v>0.87987857000000003</v>
      </c>
      <c r="F2883" s="10"/>
      <c r="G2883" s="14">
        <v>182156</v>
      </c>
      <c r="H2883" s="14">
        <v>160275.16</v>
      </c>
      <c r="I2883" s="14">
        <v>182156</v>
      </c>
      <c r="J2883" s="14">
        <v>160275.16</v>
      </c>
      <c r="K2883" s="12">
        <v>2232886</v>
      </c>
      <c r="L2883" s="10" t="s">
        <v>101</v>
      </c>
      <c r="M2883" s="10" t="s">
        <v>102</v>
      </c>
      <c r="N2883" s="124" t="s">
        <v>478</v>
      </c>
      <c r="O2883" s="124" t="s">
        <v>478</v>
      </c>
      <c r="P2883" s="21">
        <v>33</v>
      </c>
      <c r="Q2883" s="10" t="s">
        <v>54</v>
      </c>
      <c r="R2883" s="10" t="s">
        <v>28</v>
      </c>
      <c r="S2883" s="10"/>
      <c r="T2883" s="10"/>
      <c r="U2883" s="10" t="s">
        <v>2198</v>
      </c>
      <c r="V2883" s="10" t="s">
        <v>2198</v>
      </c>
      <c r="W2883" s="50">
        <f>+J2883/$W$2</f>
        <v>1.9615509072233434E-6</v>
      </c>
    </row>
    <row r="2884" spans="1:29">
      <c r="A2884" s="10" t="s">
        <v>2315</v>
      </c>
      <c r="B2884" s="10" t="s">
        <v>358</v>
      </c>
      <c r="C2884" s="124">
        <v>46475</v>
      </c>
      <c r="D2884" s="124" t="s">
        <v>471</v>
      </c>
      <c r="E2884" s="21">
        <v>0.87987852</v>
      </c>
      <c r="F2884" s="10"/>
      <c r="G2884" s="14">
        <v>25000000</v>
      </c>
      <c r="H2884" s="14">
        <v>21996963.010000002</v>
      </c>
      <c r="I2884" s="14">
        <v>25000000</v>
      </c>
      <c r="J2884" s="14">
        <v>21996963.010000002</v>
      </c>
      <c r="K2884" s="12">
        <v>2987</v>
      </c>
      <c r="L2884" s="10" t="s">
        <v>101</v>
      </c>
      <c r="M2884" s="10" t="s">
        <v>102</v>
      </c>
      <c r="N2884" s="124" t="s">
        <v>417</v>
      </c>
      <c r="O2884" s="124" t="s">
        <v>417</v>
      </c>
      <c r="P2884" s="21">
        <v>33</v>
      </c>
      <c r="Q2884" s="10" t="s">
        <v>54</v>
      </c>
      <c r="R2884" s="10" t="s">
        <v>28</v>
      </c>
      <c r="S2884" s="10"/>
      <c r="T2884" s="10"/>
      <c r="U2884" s="10" t="s">
        <v>3212</v>
      </c>
      <c r="V2884" s="10" t="s">
        <v>3212</v>
      </c>
      <c r="W2884" s="50">
        <f>+J2884/$W$2</f>
        <v>2.6921303805545302E-4</v>
      </c>
    </row>
    <row r="2885" spans="1:29">
      <c r="A2885" s="10" t="s">
        <v>2365</v>
      </c>
      <c r="B2885" s="10" t="s">
        <v>358</v>
      </c>
      <c r="C2885" s="124">
        <v>46475</v>
      </c>
      <c r="D2885" s="124" t="s">
        <v>471</v>
      </c>
      <c r="E2885" s="21">
        <v>0.87987850999999995</v>
      </c>
      <c r="F2885" s="10"/>
      <c r="G2885" s="14">
        <v>25000000</v>
      </c>
      <c r="H2885" s="14">
        <v>21996962.850000001</v>
      </c>
      <c r="I2885" s="14">
        <v>25000000</v>
      </c>
      <c r="J2885" s="14">
        <v>21996962.850000001</v>
      </c>
      <c r="K2885" s="12">
        <v>20</v>
      </c>
      <c r="L2885" s="10" t="s">
        <v>101</v>
      </c>
      <c r="M2885" s="10" t="s">
        <v>102</v>
      </c>
      <c r="N2885" s="124" t="s">
        <v>576</v>
      </c>
      <c r="O2885" s="124" t="s">
        <v>576</v>
      </c>
      <c r="P2885" s="21">
        <v>33</v>
      </c>
      <c r="Q2885" s="10" t="s">
        <v>54</v>
      </c>
      <c r="R2885" s="10" t="s">
        <v>28</v>
      </c>
      <c r="S2885" s="10"/>
      <c r="T2885" s="10"/>
      <c r="U2885" s="10" t="s">
        <v>2350</v>
      </c>
      <c r="V2885" s="10" t="s">
        <v>2350</v>
      </c>
      <c r="W2885" s="50">
        <f>+J2885/$W$2</f>
        <v>2.6921303609726973E-4</v>
      </c>
    </row>
    <row r="2886" spans="1:29">
      <c r="A2886" s="10" t="s">
        <v>443</v>
      </c>
      <c r="B2886" s="10" t="s">
        <v>358</v>
      </c>
      <c r="C2886" s="124">
        <v>46475</v>
      </c>
      <c r="D2886" s="124" t="s">
        <v>471</v>
      </c>
      <c r="E2886" s="21">
        <v>0.88959312999999995</v>
      </c>
      <c r="F2886" s="10"/>
      <c r="G2886" s="14">
        <v>2500000</v>
      </c>
      <c r="H2886" s="14">
        <v>2223982.83</v>
      </c>
      <c r="I2886" s="14">
        <v>2500000</v>
      </c>
      <c r="J2886" s="14">
        <v>2223982.83</v>
      </c>
      <c r="K2886" s="12">
        <v>90003970</v>
      </c>
      <c r="L2886" s="10" t="s">
        <v>101</v>
      </c>
      <c r="M2886" s="10" t="s">
        <v>102</v>
      </c>
      <c r="N2886" s="124" t="s">
        <v>471</v>
      </c>
      <c r="O2886" s="124" t="s">
        <v>471</v>
      </c>
      <c r="P2886" s="21">
        <v>30</v>
      </c>
      <c r="Q2886" s="10" t="s">
        <v>54</v>
      </c>
      <c r="R2886" s="10" t="s">
        <v>28</v>
      </c>
      <c r="S2886" s="10"/>
      <c r="T2886" s="10"/>
      <c r="U2886" s="10" t="s">
        <v>4063</v>
      </c>
      <c r="V2886" s="10" t="s">
        <v>4063</v>
      </c>
      <c r="W2886" s="50">
        <f>+J2886/$W$2</f>
        <v>2.7218538030694452E-5</v>
      </c>
    </row>
    <row r="2887" spans="1:29">
      <c r="A2887" s="10" t="s">
        <v>2321</v>
      </c>
      <c r="B2887" s="10" t="s">
        <v>358</v>
      </c>
      <c r="C2887" s="124">
        <v>46475</v>
      </c>
      <c r="D2887" s="124" t="s">
        <v>471</v>
      </c>
      <c r="E2887" s="21">
        <v>0.87987866000000003</v>
      </c>
      <c r="F2887" s="10"/>
      <c r="G2887" s="14">
        <v>22918216.550000001</v>
      </c>
      <c r="H2887" s="14">
        <v>20165249.699999999</v>
      </c>
      <c r="I2887" s="14">
        <v>22918216.550000001</v>
      </c>
      <c r="J2887" s="14">
        <v>20165249.699999999</v>
      </c>
      <c r="K2887" s="12">
        <v>1368028</v>
      </c>
      <c r="L2887" s="10" t="s">
        <v>101</v>
      </c>
      <c r="M2887" s="10" t="s">
        <v>102</v>
      </c>
      <c r="N2887" s="124" t="s">
        <v>439</v>
      </c>
      <c r="O2887" s="124" t="s">
        <v>439</v>
      </c>
      <c r="P2887" s="21">
        <v>33</v>
      </c>
      <c r="Q2887" s="10" t="s">
        <v>54</v>
      </c>
      <c r="R2887" s="10" t="s">
        <v>28</v>
      </c>
      <c r="S2887" s="10"/>
      <c r="T2887" s="10"/>
      <c r="U2887" s="10" t="s">
        <v>2291</v>
      </c>
      <c r="V2887" s="10" t="s">
        <v>2291</v>
      </c>
      <c r="W2887" s="50">
        <f>+J2887/$W$2</f>
        <v>2.4679534772213143E-4</v>
      </c>
    </row>
    <row r="2888" spans="1:29">
      <c r="A2888" s="10" t="s">
        <v>2321</v>
      </c>
      <c r="B2888" s="10" t="s">
        <v>358</v>
      </c>
      <c r="C2888" s="124">
        <v>46475</v>
      </c>
      <c r="D2888" s="124" t="s">
        <v>471</v>
      </c>
      <c r="E2888" s="21">
        <v>0.87987866000000003</v>
      </c>
      <c r="F2888" s="10"/>
      <c r="G2888" s="14">
        <v>24000000</v>
      </c>
      <c r="H2888" s="14">
        <v>21117087.870000001</v>
      </c>
      <c r="I2888" s="14">
        <v>24000000</v>
      </c>
      <c r="J2888" s="14">
        <v>21117087.870000001</v>
      </c>
      <c r="K2888" s="12">
        <v>40811462</v>
      </c>
      <c r="L2888" s="10" t="s">
        <v>101</v>
      </c>
      <c r="M2888" s="10" t="s">
        <v>102</v>
      </c>
      <c r="N2888" s="124" t="s">
        <v>439</v>
      </c>
      <c r="O2888" s="124" t="s">
        <v>439</v>
      </c>
      <c r="P2888" s="21">
        <v>33</v>
      </c>
      <c r="Q2888" s="10" t="s">
        <v>54</v>
      </c>
      <c r="R2888" s="10" t="s">
        <v>28</v>
      </c>
      <c r="S2888" s="10"/>
      <c r="T2888" s="10"/>
      <c r="U2888" s="10" t="s">
        <v>2292</v>
      </c>
      <c r="V2888" s="10" t="s">
        <v>2292</v>
      </c>
      <c r="W2888" s="50">
        <f>+J2888/$W$2</f>
        <v>2.5844455790475303E-4</v>
      </c>
    </row>
    <row r="2889" spans="1:29">
      <c r="A2889" s="10" t="s">
        <v>2321</v>
      </c>
      <c r="B2889" s="10" t="s">
        <v>358</v>
      </c>
      <c r="C2889" s="124">
        <v>46475</v>
      </c>
      <c r="D2889" s="124" t="s">
        <v>471</v>
      </c>
      <c r="E2889" s="21">
        <v>0.87987866000000003</v>
      </c>
      <c r="F2889" s="10"/>
      <c r="G2889" s="14">
        <v>24000000</v>
      </c>
      <c r="H2889" s="14">
        <v>21117087.870000001</v>
      </c>
      <c r="I2889" s="14">
        <v>24000000</v>
      </c>
      <c r="J2889" s="14">
        <v>21117087.870000001</v>
      </c>
      <c r="K2889" s="12">
        <v>10718061</v>
      </c>
      <c r="L2889" s="10" t="s">
        <v>101</v>
      </c>
      <c r="M2889" s="10" t="s">
        <v>102</v>
      </c>
      <c r="N2889" s="124" t="s">
        <v>439</v>
      </c>
      <c r="O2889" s="124" t="s">
        <v>439</v>
      </c>
      <c r="P2889" s="21">
        <v>33</v>
      </c>
      <c r="Q2889" s="10" t="s">
        <v>54</v>
      </c>
      <c r="R2889" s="10" t="s">
        <v>28</v>
      </c>
      <c r="S2889" s="10"/>
      <c r="T2889" s="10"/>
      <c r="U2889" s="10" t="s">
        <v>2293</v>
      </c>
      <c r="V2889" s="10" t="s">
        <v>2293</v>
      </c>
      <c r="W2889" s="50">
        <f>+J2889/$W$2</f>
        <v>2.5844455790475303E-4</v>
      </c>
    </row>
    <row r="2890" spans="1:29">
      <c r="A2890" s="10" t="s">
        <v>375</v>
      </c>
      <c r="B2890" s="10" t="s">
        <v>358</v>
      </c>
      <c r="C2890" s="124">
        <v>46476</v>
      </c>
      <c r="D2890" s="124" t="s">
        <v>471</v>
      </c>
      <c r="E2890" s="21">
        <v>0.88240984</v>
      </c>
      <c r="F2890" s="10"/>
      <c r="G2890" s="14">
        <v>50000000</v>
      </c>
      <c r="H2890" s="14">
        <v>44120492.219999999</v>
      </c>
      <c r="I2890" s="14">
        <v>50000000</v>
      </c>
      <c r="J2890" s="14">
        <v>44120492.219999999</v>
      </c>
      <c r="K2890" s="12">
        <v>41040859</v>
      </c>
      <c r="L2890" s="10" t="s">
        <v>101</v>
      </c>
      <c r="M2890" s="10" t="s">
        <v>102</v>
      </c>
      <c r="N2890" s="124" t="s">
        <v>469</v>
      </c>
      <c r="O2890" s="124" t="s">
        <v>469</v>
      </c>
      <c r="P2890" s="21">
        <v>32</v>
      </c>
      <c r="Q2890" s="10" t="s">
        <v>54</v>
      </c>
      <c r="R2890" s="10" t="s">
        <v>28</v>
      </c>
      <c r="S2890" s="10"/>
      <c r="T2890" s="10"/>
      <c r="U2890" s="10" t="s">
        <v>4024</v>
      </c>
      <c r="V2890" s="10" t="s">
        <v>4024</v>
      </c>
      <c r="W2890" s="50">
        <f>+J2890/$W$2</f>
        <v>5.3997507499778169E-4</v>
      </c>
    </row>
    <row r="2891" spans="1:29">
      <c r="A2891" s="10" t="s">
        <v>2016</v>
      </c>
      <c r="B2891" s="10" t="s">
        <v>358</v>
      </c>
      <c r="C2891" s="124">
        <v>46477</v>
      </c>
      <c r="D2891" s="124" t="s">
        <v>471</v>
      </c>
      <c r="E2891" s="21">
        <v>0.88829416999999999</v>
      </c>
      <c r="F2891" s="10"/>
      <c r="G2891" s="14">
        <v>6000000</v>
      </c>
      <c r="H2891" s="14">
        <v>5329765</v>
      </c>
      <c r="I2891" s="14">
        <v>6000000</v>
      </c>
      <c r="J2891" s="14">
        <v>5329765</v>
      </c>
      <c r="K2891" s="12">
        <v>3927503</v>
      </c>
      <c r="L2891" s="10" t="s">
        <v>101</v>
      </c>
      <c r="M2891" s="10" t="s">
        <v>102</v>
      </c>
      <c r="N2891" s="124" t="s">
        <v>478</v>
      </c>
      <c r="O2891" s="124" t="s">
        <v>478</v>
      </c>
      <c r="P2891" s="21">
        <v>30</v>
      </c>
      <c r="Q2891" s="10" t="s">
        <v>54</v>
      </c>
      <c r="R2891" s="10" t="s">
        <v>28</v>
      </c>
      <c r="S2891" s="10"/>
      <c r="T2891" s="10"/>
      <c r="U2891" s="10" t="s">
        <v>2095</v>
      </c>
      <c r="V2891" s="10" t="s">
        <v>2095</v>
      </c>
      <c r="W2891" s="50">
        <f>+J2891/$W$2</f>
        <v>6.5229105814258568E-5</v>
      </c>
    </row>
    <row r="2892" spans="1:29">
      <c r="A2892" s="10" t="s">
        <v>375</v>
      </c>
      <c r="B2892" s="10" t="s">
        <v>358</v>
      </c>
      <c r="C2892" s="124">
        <v>46477</v>
      </c>
      <c r="D2892" s="124" t="s">
        <v>471</v>
      </c>
      <c r="E2892" s="21">
        <v>0.88172790000000001</v>
      </c>
      <c r="F2892" s="10"/>
      <c r="G2892" s="14">
        <v>50000000</v>
      </c>
      <c r="H2892" s="14">
        <v>44086395.100000001</v>
      </c>
      <c r="I2892" s="14">
        <v>50000000</v>
      </c>
      <c r="J2892" s="14">
        <v>44086395.100000001</v>
      </c>
      <c r="K2892" s="12">
        <v>41040858</v>
      </c>
      <c r="L2892" s="10" t="s">
        <v>101</v>
      </c>
      <c r="M2892" s="10" t="s">
        <v>102</v>
      </c>
      <c r="N2892" s="124" t="s">
        <v>469</v>
      </c>
      <c r="O2892" s="124" t="s">
        <v>469</v>
      </c>
      <c r="P2892" s="21">
        <v>32</v>
      </c>
      <c r="Q2892" s="10" t="s">
        <v>54</v>
      </c>
      <c r="R2892" s="10" t="s">
        <v>28</v>
      </c>
      <c r="S2892" s="10"/>
      <c r="T2892" s="10"/>
      <c r="U2892" s="10" t="s">
        <v>4025</v>
      </c>
      <c r="V2892" s="10" t="s">
        <v>4025</v>
      </c>
      <c r="W2892" s="50">
        <f>+J2892/$W$2</f>
        <v>5.3955777242469612E-4</v>
      </c>
    </row>
    <row r="2893" spans="1:29">
      <c r="A2893" s="10" t="s">
        <v>400</v>
      </c>
      <c r="B2893" s="10" t="s">
        <v>358</v>
      </c>
      <c r="C2893" s="124">
        <v>46477</v>
      </c>
      <c r="D2893" s="124" t="s">
        <v>471</v>
      </c>
      <c r="E2893" s="21">
        <v>0.89161396000000004</v>
      </c>
      <c r="F2893" s="10"/>
      <c r="G2893" s="14">
        <v>5000000</v>
      </c>
      <c r="H2893" s="14">
        <v>4458069.82</v>
      </c>
      <c r="I2893" s="14">
        <v>5000000</v>
      </c>
      <c r="J2893" s="14">
        <v>4458069.82</v>
      </c>
      <c r="K2893" s="12">
        <v>103</v>
      </c>
      <c r="L2893" s="10" t="s">
        <v>101</v>
      </c>
      <c r="M2893" s="10" t="s">
        <v>102</v>
      </c>
      <c r="N2893" s="124" t="s">
        <v>471</v>
      </c>
      <c r="O2893" s="124" t="s">
        <v>471</v>
      </c>
      <c r="P2893" s="21">
        <v>29</v>
      </c>
      <c r="Q2893" s="10" t="s">
        <v>54</v>
      </c>
      <c r="R2893" s="10" t="s">
        <v>28</v>
      </c>
      <c r="S2893" s="10"/>
      <c r="T2893" s="10"/>
      <c r="U2893" s="10" t="s">
        <v>4106</v>
      </c>
      <c r="V2893" s="10" t="s">
        <v>4106</v>
      </c>
      <c r="W2893" s="50">
        <f>+J2893/$W$2</f>
        <v>5.4560737296322193E-5</v>
      </c>
    </row>
    <row r="2894" spans="1:29">
      <c r="A2894" s="10" t="s">
        <v>2079</v>
      </c>
      <c r="B2894" s="10" t="s">
        <v>358</v>
      </c>
      <c r="C2894" s="124">
        <v>46477</v>
      </c>
      <c r="D2894" s="124" t="s">
        <v>471</v>
      </c>
      <c r="E2894" s="21">
        <v>0.88172782000000005</v>
      </c>
      <c r="F2894" s="10"/>
      <c r="G2894" s="14">
        <v>45000000</v>
      </c>
      <c r="H2894" s="14">
        <v>39677752.07</v>
      </c>
      <c r="I2894" s="14">
        <v>45000000</v>
      </c>
      <c r="J2894" s="14">
        <v>39677752.07</v>
      </c>
      <c r="K2894" s="12">
        <v>51560</v>
      </c>
      <c r="L2894" s="10" t="s">
        <v>101</v>
      </c>
      <c r="M2894" s="10" t="s">
        <v>102</v>
      </c>
      <c r="N2894" s="124" t="s">
        <v>577</v>
      </c>
      <c r="O2894" s="124" t="s">
        <v>577</v>
      </c>
      <c r="P2894" s="21">
        <v>32</v>
      </c>
      <c r="Q2894" s="10" t="s">
        <v>54</v>
      </c>
      <c r="R2894" s="10" t="s">
        <v>28</v>
      </c>
      <c r="S2894" s="10"/>
      <c r="T2894" s="10"/>
      <c r="U2894" s="10" t="s">
        <v>2482</v>
      </c>
      <c r="V2894" s="10" t="s">
        <v>2482</v>
      </c>
      <c r="W2894" s="50">
        <f>+J2894/$W$2</f>
        <v>4.8560195210219342E-4</v>
      </c>
    </row>
    <row r="2895" spans="1:29">
      <c r="A2895" s="10" t="s">
        <v>2314</v>
      </c>
      <c r="B2895" s="10" t="s">
        <v>358</v>
      </c>
      <c r="C2895" s="124">
        <v>46477</v>
      </c>
      <c r="D2895" s="124" t="s">
        <v>471</v>
      </c>
      <c r="E2895" s="21">
        <v>0.87848088000000002</v>
      </c>
      <c r="F2895" s="10"/>
      <c r="G2895" s="14">
        <v>6006148</v>
      </c>
      <c r="H2895" s="14">
        <v>5276286.1500000004</v>
      </c>
      <c r="I2895" s="14">
        <v>6006148</v>
      </c>
      <c r="J2895" s="14">
        <v>5276286.1500000004</v>
      </c>
      <c r="K2895" s="12">
        <v>1370685</v>
      </c>
      <c r="L2895" s="10" t="s">
        <v>101</v>
      </c>
      <c r="M2895" s="10" t="s">
        <v>102</v>
      </c>
      <c r="N2895" s="124" t="s">
        <v>439</v>
      </c>
      <c r="O2895" s="124" t="s">
        <v>439</v>
      </c>
      <c r="P2895" s="21">
        <v>33</v>
      </c>
      <c r="Q2895" s="10" t="s">
        <v>54</v>
      </c>
      <c r="R2895" s="10" t="s">
        <v>28</v>
      </c>
      <c r="S2895" s="10"/>
      <c r="T2895" s="10"/>
      <c r="U2895" s="10" t="s">
        <v>2297</v>
      </c>
      <c r="V2895" s="10" t="s">
        <v>2297</v>
      </c>
      <c r="W2895" s="50">
        <f>+J2895/$W$2</f>
        <v>6.4574597113504429E-5</v>
      </c>
    </row>
    <row r="2896" spans="1:29">
      <c r="A2896" s="10" t="s">
        <v>401</v>
      </c>
      <c r="B2896" s="10" t="s">
        <v>358</v>
      </c>
      <c r="C2896" s="124">
        <v>46477</v>
      </c>
      <c r="D2896" s="124" t="s">
        <v>471</v>
      </c>
      <c r="E2896" s="21">
        <v>0.88172790000000001</v>
      </c>
      <c r="F2896" s="10"/>
      <c r="G2896" s="14">
        <v>16500000</v>
      </c>
      <c r="H2896" s="14">
        <v>14548510.380000001</v>
      </c>
      <c r="I2896" s="14">
        <v>16500000</v>
      </c>
      <c r="J2896" s="14">
        <v>14548510.380000001</v>
      </c>
      <c r="K2896" s="12">
        <v>195</v>
      </c>
      <c r="L2896" s="10" t="s">
        <v>101</v>
      </c>
      <c r="M2896" s="10" t="s">
        <v>102</v>
      </c>
      <c r="N2896" s="124" t="s">
        <v>469</v>
      </c>
      <c r="O2896" s="124" t="s">
        <v>469</v>
      </c>
      <c r="P2896" s="21">
        <v>32</v>
      </c>
      <c r="Q2896" s="10" t="s">
        <v>54</v>
      </c>
      <c r="R2896" s="10" t="s">
        <v>28</v>
      </c>
      <c r="S2896" s="10"/>
      <c r="T2896" s="10"/>
      <c r="U2896" s="10" t="s">
        <v>3940</v>
      </c>
      <c r="V2896" s="10" t="s">
        <v>3940</v>
      </c>
      <c r="W2896" s="50">
        <f>+J2896/$W$2</f>
        <v>1.7805406486343377E-4</v>
      </c>
      <c r="AC2896" s="47"/>
    </row>
    <row r="2897" spans="1:23">
      <c r="A2897" s="10" t="s">
        <v>1599</v>
      </c>
      <c r="B2897" s="10" t="s">
        <v>358</v>
      </c>
      <c r="C2897" s="124">
        <v>46477</v>
      </c>
      <c r="D2897" s="124" t="s">
        <v>471</v>
      </c>
      <c r="E2897" s="21">
        <v>0.92264926000000003</v>
      </c>
      <c r="F2897" s="10"/>
      <c r="G2897" s="14">
        <v>5000000</v>
      </c>
      <c r="H2897" s="14">
        <v>4613246.3099999996</v>
      </c>
      <c r="I2897" s="14">
        <v>5000000</v>
      </c>
      <c r="J2897" s="14">
        <v>4613246.3099999996</v>
      </c>
      <c r="K2897" s="12">
        <v>100</v>
      </c>
      <c r="L2897" s="10" t="s">
        <v>101</v>
      </c>
      <c r="M2897" s="10" t="s">
        <v>102</v>
      </c>
      <c r="N2897" s="124" t="s">
        <v>487</v>
      </c>
      <c r="O2897" s="124" t="s">
        <v>487</v>
      </c>
      <c r="P2897" s="21">
        <v>20</v>
      </c>
      <c r="Q2897" s="10" t="s">
        <v>54</v>
      </c>
      <c r="R2897" s="10" t="s">
        <v>28</v>
      </c>
      <c r="S2897" s="10"/>
      <c r="T2897" s="10"/>
      <c r="U2897" s="10" t="s">
        <v>1552</v>
      </c>
      <c r="V2897" s="10" t="s">
        <v>1552</v>
      </c>
      <c r="W2897" s="50">
        <f>+J2897/$W$2</f>
        <v>5.6459887387572965E-5</v>
      </c>
    </row>
    <row r="2898" spans="1:23">
      <c r="A2898" s="10" t="s">
        <v>1893</v>
      </c>
      <c r="B2898" s="10" t="s">
        <v>358</v>
      </c>
      <c r="C2898" s="124">
        <v>46477</v>
      </c>
      <c r="D2898" s="124" t="s">
        <v>471</v>
      </c>
      <c r="E2898" s="21">
        <v>0.89495891000000005</v>
      </c>
      <c r="F2898" s="10"/>
      <c r="G2898" s="14">
        <v>19000000</v>
      </c>
      <c r="H2898" s="14">
        <v>17004219.25</v>
      </c>
      <c r="I2898" s="14">
        <v>19000000</v>
      </c>
      <c r="J2898" s="14">
        <v>17004219.25</v>
      </c>
      <c r="K2898" s="12">
        <v>1558098</v>
      </c>
      <c r="L2898" s="10" t="s">
        <v>101</v>
      </c>
      <c r="M2898" s="10" t="s">
        <v>102</v>
      </c>
      <c r="N2898" s="124" t="s">
        <v>397</v>
      </c>
      <c r="O2898" s="124" t="s">
        <v>397</v>
      </c>
      <c r="P2898" s="21">
        <v>28</v>
      </c>
      <c r="Q2898" s="10" t="s">
        <v>54</v>
      </c>
      <c r="R2898" s="10" t="s">
        <v>28</v>
      </c>
      <c r="S2898" s="10"/>
      <c r="T2898" s="10"/>
      <c r="U2898" s="10" t="s">
        <v>1888</v>
      </c>
      <c r="V2898" s="10" t="s">
        <v>1888</v>
      </c>
      <c r="W2898" s="50">
        <f>+J2898/$W$2</f>
        <v>2.0810861581084763E-4</v>
      </c>
    </row>
    <row r="2899" spans="1:23">
      <c r="A2899" s="10" t="s">
        <v>1893</v>
      </c>
      <c r="B2899" s="10" t="s">
        <v>358</v>
      </c>
      <c r="C2899" s="124">
        <v>46477</v>
      </c>
      <c r="D2899" s="124" t="s">
        <v>471</v>
      </c>
      <c r="E2899" s="21">
        <v>0.89832888</v>
      </c>
      <c r="F2899" s="10"/>
      <c r="G2899" s="14">
        <v>23900411.600000001</v>
      </c>
      <c r="H2899" s="14">
        <v>21470429.960000001</v>
      </c>
      <c r="I2899" s="14">
        <v>23900411.600000001</v>
      </c>
      <c r="J2899" s="14">
        <v>21470429.960000001</v>
      </c>
      <c r="K2899" s="12">
        <v>90001875</v>
      </c>
      <c r="L2899" s="10" t="s">
        <v>101</v>
      </c>
      <c r="M2899" s="10" t="s">
        <v>102</v>
      </c>
      <c r="N2899" s="124" t="s">
        <v>471</v>
      </c>
      <c r="O2899" s="124" t="s">
        <v>471</v>
      </c>
      <c r="P2899" s="21">
        <v>27</v>
      </c>
      <c r="Q2899" s="10" t="s">
        <v>54</v>
      </c>
      <c r="R2899" s="10" t="s">
        <v>28</v>
      </c>
      <c r="S2899" s="10"/>
      <c r="T2899" s="10"/>
      <c r="U2899" s="10" t="s">
        <v>4082</v>
      </c>
      <c r="V2899" s="10" t="s">
        <v>4082</v>
      </c>
      <c r="W2899" s="50">
        <f>+J2899/$W$2</f>
        <v>2.6276898657604365E-4</v>
      </c>
    </row>
    <row r="2900" spans="1:23">
      <c r="A2900" s="10" t="s">
        <v>220</v>
      </c>
      <c r="B2900" s="10" t="s">
        <v>358</v>
      </c>
      <c r="C2900" s="124">
        <v>46477</v>
      </c>
      <c r="D2900" s="124" t="s">
        <v>471</v>
      </c>
      <c r="E2900" s="21">
        <v>0.87848104999999999</v>
      </c>
      <c r="F2900" s="10"/>
      <c r="G2900" s="14">
        <v>25000000</v>
      </c>
      <c r="H2900" s="14">
        <v>21962026.170000002</v>
      </c>
      <c r="I2900" s="14">
        <v>25000000</v>
      </c>
      <c r="J2900" s="14">
        <v>21962026.170000002</v>
      </c>
      <c r="K2900" s="12">
        <v>70563011</v>
      </c>
      <c r="L2900" s="10" t="s">
        <v>101</v>
      </c>
      <c r="M2900" s="10" t="s">
        <v>102</v>
      </c>
      <c r="N2900" s="124" t="s">
        <v>451</v>
      </c>
      <c r="O2900" s="124" t="s">
        <v>451</v>
      </c>
      <c r="P2900" s="21">
        <v>33</v>
      </c>
      <c r="Q2900" s="10" t="s">
        <v>54</v>
      </c>
      <c r="R2900" s="10" t="s">
        <v>28</v>
      </c>
      <c r="S2900" s="10"/>
      <c r="T2900" s="10"/>
      <c r="U2900" s="10" t="s">
        <v>3515</v>
      </c>
      <c r="V2900" s="10" t="s">
        <v>3515</v>
      </c>
      <c r="W2900" s="50">
        <f>+J2900/$W$2</f>
        <v>2.6878545844675062E-4</v>
      </c>
    </row>
    <row r="2901" spans="1:23">
      <c r="A2901" s="10" t="s">
        <v>4046</v>
      </c>
      <c r="B2901" s="10" t="s">
        <v>358</v>
      </c>
      <c r="C2901" s="124">
        <v>46477</v>
      </c>
      <c r="D2901" s="124" t="s">
        <v>471</v>
      </c>
      <c r="E2901" s="21">
        <v>0.87525799000000004</v>
      </c>
      <c r="F2901" s="10"/>
      <c r="G2901" s="14">
        <v>19131395.420000002</v>
      </c>
      <c r="H2901" s="14">
        <v>16744906.699999999</v>
      </c>
      <c r="I2901" s="14">
        <v>19131395.420000002</v>
      </c>
      <c r="J2901" s="14">
        <v>16744906.699999999</v>
      </c>
      <c r="K2901" s="12">
        <v>284</v>
      </c>
      <c r="L2901" s="10" t="s">
        <v>101</v>
      </c>
      <c r="M2901" s="10" t="s">
        <v>102</v>
      </c>
      <c r="N2901" s="124" t="s">
        <v>469</v>
      </c>
      <c r="O2901" s="124" t="s">
        <v>469</v>
      </c>
      <c r="P2901" s="21">
        <v>34</v>
      </c>
      <c r="Q2901" s="10" t="s">
        <v>54</v>
      </c>
      <c r="R2901" s="10" t="s">
        <v>28</v>
      </c>
      <c r="S2901" s="10"/>
      <c r="T2901" s="10"/>
      <c r="U2901" s="10" t="s">
        <v>3972</v>
      </c>
      <c r="V2901" s="10" t="s">
        <v>3972</v>
      </c>
      <c r="W2901" s="50">
        <f>+J2901/$W$2</f>
        <v>2.0493498137050828E-4</v>
      </c>
    </row>
    <row r="2902" spans="1:23">
      <c r="A2902" s="10" t="s">
        <v>4054</v>
      </c>
      <c r="B2902" s="10" t="s">
        <v>358</v>
      </c>
      <c r="C2902" s="124">
        <v>46477</v>
      </c>
      <c r="D2902" s="124" t="s">
        <v>471</v>
      </c>
      <c r="E2902" s="21">
        <v>0.87525799000000004</v>
      </c>
      <c r="F2902" s="10"/>
      <c r="G2902" s="14">
        <v>12701545.390000001</v>
      </c>
      <c r="H2902" s="14">
        <v>11117129.09</v>
      </c>
      <c r="I2902" s="14">
        <v>12701545.390000001</v>
      </c>
      <c r="J2902" s="14">
        <v>11117129.09</v>
      </c>
      <c r="K2902" s="12">
        <v>141</v>
      </c>
      <c r="L2902" s="10" t="s">
        <v>101</v>
      </c>
      <c r="M2902" s="10" t="s">
        <v>102</v>
      </c>
      <c r="N2902" s="124" t="s">
        <v>469</v>
      </c>
      <c r="O2902" s="124" t="s">
        <v>469</v>
      </c>
      <c r="P2902" s="21">
        <v>34</v>
      </c>
      <c r="Q2902" s="10" t="s">
        <v>54</v>
      </c>
      <c r="R2902" s="10" t="s">
        <v>28</v>
      </c>
      <c r="S2902" s="10"/>
      <c r="T2902" s="10"/>
      <c r="U2902" s="10" t="s">
        <v>4010</v>
      </c>
      <c r="V2902" s="10" t="s">
        <v>4010</v>
      </c>
      <c r="W2902" s="50">
        <f>+J2902/$W$2</f>
        <v>1.3605860479071441E-4</v>
      </c>
    </row>
    <row r="2903" spans="1:23">
      <c r="A2903" s="10" t="s">
        <v>2874</v>
      </c>
      <c r="B2903" s="10" t="s">
        <v>358</v>
      </c>
      <c r="C2903" s="124">
        <v>46477</v>
      </c>
      <c r="D2903" s="124" t="s">
        <v>471</v>
      </c>
      <c r="E2903" s="21">
        <v>0.87205847999999997</v>
      </c>
      <c r="F2903" s="10"/>
      <c r="G2903" s="14">
        <v>119630072.31</v>
      </c>
      <c r="H2903" s="14">
        <v>104324418.81</v>
      </c>
      <c r="I2903" s="14">
        <v>119630072.31</v>
      </c>
      <c r="J2903" s="14">
        <v>104324418.81</v>
      </c>
      <c r="K2903" s="12">
        <v>54555152</v>
      </c>
      <c r="L2903" s="10" t="s">
        <v>101</v>
      </c>
      <c r="M2903" s="10" t="s">
        <v>102</v>
      </c>
      <c r="N2903" s="124" t="s">
        <v>445</v>
      </c>
      <c r="O2903" s="124" t="s">
        <v>445</v>
      </c>
      <c r="P2903" s="21">
        <v>35</v>
      </c>
      <c r="Q2903" s="10" t="s">
        <v>54</v>
      </c>
      <c r="R2903" s="10" t="s">
        <v>28</v>
      </c>
      <c r="S2903" s="10"/>
      <c r="T2903" s="10"/>
      <c r="U2903" s="10" t="s">
        <v>2833</v>
      </c>
      <c r="V2903" s="10" t="s">
        <v>2833</v>
      </c>
      <c r="W2903" s="50">
        <f>+J2903/$W$2</f>
        <v>1.276789605839754E-3</v>
      </c>
    </row>
    <row r="2904" spans="1:23">
      <c r="A2904" s="10" t="s">
        <v>4178</v>
      </c>
      <c r="B2904" s="10" t="s">
        <v>358</v>
      </c>
      <c r="C2904" s="124">
        <v>46477</v>
      </c>
      <c r="D2904" s="124" t="s">
        <v>471</v>
      </c>
      <c r="E2904" s="21">
        <v>0.88499868999999998</v>
      </c>
      <c r="F2904" s="10"/>
      <c r="G2904" s="14">
        <v>15000000</v>
      </c>
      <c r="H2904" s="14">
        <v>13274980.289999999</v>
      </c>
      <c r="I2904" s="14">
        <v>15000000</v>
      </c>
      <c r="J2904" s="14">
        <v>13274980.289999999</v>
      </c>
      <c r="K2904" s="12">
        <v>8288</v>
      </c>
      <c r="L2904" s="10" t="s">
        <v>101</v>
      </c>
      <c r="M2904" s="10" t="s">
        <v>102</v>
      </c>
      <c r="N2904" s="124" t="s">
        <v>471</v>
      </c>
      <c r="O2904" s="124" t="s">
        <v>471</v>
      </c>
      <c r="P2904" s="21">
        <v>31</v>
      </c>
      <c r="Q2904" s="10" t="s">
        <v>54</v>
      </c>
      <c r="R2904" s="10" t="s">
        <v>28</v>
      </c>
      <c r="S2904" s="10"/>
      <c r="T2904" s="10"/>
      <c r="U2904" s="10" t="s">
        <v>4058</v>
      </c>
      <c r="V2904" s="10" t="s">
        <v>4058</v>
      </c>
      <c r="W2904" s="50">
        <f>+J2904/$W$2</f>
        <v>1.6246778122836687E-4</v>
      </c>
    </row>
    <row r="2905" spans="1:23">
      <c r="A2905" s="10" t="s">
        <v>2079</v>
      </c>
      <c r="B2905" s="10" t="s">
        <v>358</v>
      </c>
      <c r="C2905" s="124">
        <v>46478</v>
      </c>
      <c r="D2905" s="124" t="s">
        <v>471</v>
      </c>
      <c r="E2905" s="21">
        <v>0.88104669999999996</v>
      </c>
      <c r="F2905" s="10"/>
      <c r="G2905" s="14">
        <v>45000000</v>
      </c>
      <c r="H2905" s="14">
        <v>39647101.530000001</v>
      </c>
      <c r="I2905" s="14">
        <v>45000000</v>
      </c>
      <c r="J2905" s="14">
        <v>39647101.530000001</v>
      </c>
      <c r="K2905" s="12">
        <v>51561</v>
      </c>
      <c r="L2905" s="10" t="s">
        <v>101</v>
      </c>
      <c r="M2905" s="10" t="s">
        <v>102</v>
      </c>
      <c r="N2905" s="124" t="s">
        <v>577</v>
      </c>
      <c r="O2905" s="124" t="s">
        <v>577</v>
      </c>
      <c r="P2905" s="21">
        <v>32</v>
      </c>
      <c r="Q2905" s="10" t="s">
        <v>54</v>
      </c>
      <c r="R2905" s="10" t="s">
        <v>28</v>
      </c>
      <c r="S2905" s="10"/>
      <c r="T2905" s="10"/>
      <c r="U2905" s="10" t="s">
        <v>2483</v>
      </c>
      <c r="V2905" s="10" t="s">
        <v>2483</v>
      </c>
      <c r="W2905" s="50">
        <f>+J2905/$W$2</f>
        <v>4.8522683100080821E-4</v>
      </c>
    </row>
    <row r="2906" spans="1:23">
      <c r="A2906" s="10" t="s">
        <v>2315</v>
      </c>
      <c r="B2906" s="10" t="s">
        <v>358</v>
      </c>
      <c r="C2906" s="124">
        <v>46478</v>
      </c>
      <c r="D2906" s="124" t="s">
        <v>471</v>
      </c>
      <c r="E2906" s="21">
        <v>0.87778370999999999</v>
      </c>
      <c r="F2906" s="10"/>
      <c r="G2906" s="14">
        <v>28000000</v>
      </c>
      <c r="H2906" s="14">
        <v>24577944.02</v>
      </c>
      <c r="I2906" s="14">
        <v>28000000</v>
      </c>
      <c r="J2906" s="14">
        <v>24577944.02</v>
      </c>
      <c r="K2906" s="12">
        <v>70440580</v>
      </c>
      <c r="L2906" s="10" t="s">
        <v>101</v>
      </c>
      <c r="M2906" s="10" t="s">
        <v>102</v>
      </c>
      <c r="N2906" s="124" t="s">
        <v>417</v>
      </c>
      <c r="O2906" s="124" t="s">
        <v>417</v>
      </c>
      <c r="P2906" s="21">
        <v>33</v>
      </c>
      <c r="Q2906" s="10" t="s">
        <v>54</v>
      </c>
      <c r="R2906" s="10" t="s">
        <v>28</v>
      </c>
      <c r="S2906" s="10"/>
      <c r="T2906" s="10"/>
      <c r="U2906" s="10" t="s">
        <v>3211</v>
      </c>
      <c r="V2906" s="10" t="s">
        <v>3211</v>
      </c>
      <c r="W2906" s="50">
        <f>+J2906/$W$2</f>
        <v>3.0080075034781149E-4</v>
      </c>
    </row>
    <row r="2907" spans="1:23">
      <c r="A2907" s="10" t="s">
        <v>4173</v>
      </c>
      <c r="B2907" s="10" t="s">
        <v>358</v>
      </c>
      <c r="C2907" s="124">
        <v>46478</v>
      </c>
      <c r="D2907" s="124" t="s">
        <v>471</v>
      </c>
      <c r="E2907" s="21">
        <v>0.87778385999999997</v>
      </c>
      <c r="F2907" s="10"/>
      <c r="G2907" s="14">
        <v>10000000</v>
      </c>
      <c r="H2907" s="14">
        <v>8777838.6099999994</v>
      </c>
      <c r="I2907" s="14">
        <v>10000000</v>
      </c>
      <c r="J2907" s="14">
        <v>8777838.6099999994</v>
      </c>
      <c r="K2907" s="12">
        <v>674</v>
      </c>
      <c r="L2907" s="10" t="s">
        <v>101</v>
      </c>
      <c r="M2907" s="10" t="s">
        <v>102</v>
      </c>
      <c r="N2907" s="124" t="s">
        <v>471</v>
      </c>
      <c r="O2907" s="124" t="s">
        <v>471</v>
      </c>
      <c r="P2907" s="21">
        <v>33</v>
      </c>
      <c r="Q2907" s="10" t="s">
        <v>54</v>
      </c>
      <c r="R2907" s="10" t="s">
        <v>28</v>
      </c>
      <c r="S2907" s="10"/>
      <c r="T2907" s="10"/>
      <c r="U2907" s="10" t="s">
        <v>4152</v>
      </c>
      <c r="V2907" s="10" t="s">
        <v>4152</v>
      </c>
      <c r="W2907" s="50">
        <f>+J2907/$W$2</f>
        <v>1.0742885727835547E-4</v>
      </c>
    </row>
    <row r="2908" spans="1:23">
      <c r="A2908" s="10" t="s">
        <v>2016</v>
      </c>
      <c r="B2908" s="10" t="s">
        <v>358</v>
      </c>
      <c r="C2908" s="124">
        <v>46482</v>
      </c>
      <c r="D2908" s="124" t="s">
        <v>471</v>
      </c>
      <c r="E2908" s="21">
        <v>0.88506315000000002</v>
      </c>
      <c r="F2908" s="10"/>
      <c r="G2908" s="14">
        <v>4000000</v>
      </c>
      <c r="H2908" s="14">
        <v>3540252.62</v>
      </c>
      <c r="I2908" s="14">
        <v>4000000</v>
      </c>
      <c r="J2908" s="14">
        <v>3540252.62</v>
      </c>
      <c r="K2908" s="12">
        <v>3927504</v>
      </c>
      <c r="L2908" s="10" t="s">
        <v>101</v>
      </c>
      <c r="M2908" s="10" t="s">
        <v>102</v>
      </c>
      <c r="N2908" s="124" t="s">
        <v>478</v>
      </c>
      <c r="O2908" s="124" t="s">
        <v>478</v>
      </c>
      <c r="P2908" s="21">
        <v>30</v>
      </c>
      <c r="Q2908" s="10" t="s">
        <v>54</v>
      </c>
      <c r="R2908" s="10" t="s">
        <v>28</v>
      </c>
      <c r="S2908" s="10"/>
      <c r="T2908" s="10"/>
      <c r="U2908" s="10" t="s">
        <v>2104</v>
      </c>
      <c r="V2908" s="10" t="s">
        <v>2104</v>
      </c>
      <c r="W2908" s="50">
        <f>+J2908/$W$2</f>
        <v>4.332789771391161E-5</v>
      </c>
    </row>
    <row r="2909" spans="1:23">
      <c r="A2909" s="10" t="s">
        <v>400</v>
      </c>
      <c r="B2909" s="10" t="s">
        <v>358</v>
      </c>
      <c r="C2909" s="124">
        <v>46482</v>
      </c>
      <c r="D2909" s="124" t="s">
        <v>471</v>
      </c>
      <c r="E2909" s="21">
        <v>0.88506313000000003</v>
      </c>
      <c r="F2909" s="10"/>
      <c r="G2909" s="14">
        <v>5580000</v>
      </c>
      <c r="H2909" s="14">
        <v>4938652.29</v>
      </c>
      <c r="I2909" s="14">
        <v>5580000</v>
      </c>
      <c r="J2909" s="14">
        <v>4938652.29</v>
      </c>
      <c r="K2909" s="12">
        <v>11415141</v>
      </c>
      <c r="L2909" s="10" t="s">
        <v>101</v>
      </c>
      <c r="M2909" s="10" t="s">
        <v>102</v>
      </c>
      <c r="N2909" s="124" t="s">
        <v>449</v>
      </c>
      <c r="O2909" s="124" t="s">
        <v>449</v>
      </c>
      <c r="P2909" s="21">
        <v>30</v>
      </c>
      <c r="Q2909" s="10" t="s">
        <v>54</v>
      </c>
      <c r="R2909" s="10" t="s">
        <v>28</v>
      </c>
      <c r="S2909" s="10"/>
      <c r="T2909" s="10"/>
      <c r="U2909" s="10" t="s">
        <v>1924</v>
      </c>
      <c r="V2909" s="10" t="s">
        <v>1924</v>
      </c>
      <c r="W2909" s="50">
        <f>+J2909/$W$2</f>
        <v>6.0442415904686303E-5</v>
      </c>
    </row>
    <row r="2910" spans="1:23">
      <c r="A2910" s="10" t="s">
        <v>2314</v>
      </c>
      <c r="B2910" s="10" t="s">
        <v>358</v>
      </c>
      <c r="C2910" s="124">
        <v>46482</v>
      </c>
      <c r="D2910" s="124" t="s">
        <v>471</v>
      </c>
      <c r="E2910" s="21">
        <v>0.87500617000000003</v>
      </c>
      <c r="F2910" s="10"/>
      <c r="G2910" s="14">
        <v>6006148</v>
      </c>
      <c r="H2910" s="14">
        <v>5255416.55</v>
      </c>
      <c r="I2910" s="14">
        <v>6006148</v>
      </c>
      <c r="J2910" s="14">
        <v>5255416.55</v>
      </c>
      <c r="K2910" s="12">
        <v>1370687</v>
      </c>
      <c r="L2910" s="10" t="s">
        <v>101</v>
      </c>
      <c r="M2910" s="10" t="s">
        <v>102</v>
      </c>
      <c r="N2910" s="124" t="s">
        <v>439</v>
      </c>
      <c r="O2910" s="124" t="s">
        <v>439</v>
      </c>
      <c r="P2910" s="21">
        <v>33</v>
      </c>
      <c r="Q2910" s="10" t="s">
        <v>54</v>
      </c>
      <c r="R2910" s="10" t="s">
        <v>28</v>
      </c>
      <c r="S2910" s="10"/>
      <c r="T2910" s="10"/>
      <c r="U2910" s="10" t="s">
        <v>2298</v>
      </c>
      <c r="V2910" s="10" t="s">
        <v>2298</v>
      </c>
      <c r="W2910" s="50">
        <f>+J2910/$W$2</f>
        <v>6.4319181471970282E-5</v>
      </c>
    </row>
    <row r="2911" spans="1:23">
      <c r="A2911" s="10" t="s">
        <v>2365</v>
      </c>
      <c r="B2911" s="10" t="s">
        <v>358</v>
      </c>
      <c r="C2911" s="124">
        <v>46482</v>
      </c>
      <c r="D2911" s="124" t="s">
        <v>471</v>
      </c>
      <c r="E2911" s="21">
        <v>0.87500602000000005</v>
      </c>
      <c r="F2911" s="10"/>
      <c r="G2911" s="14">
        <v>25000000</v>
      </c>
      <c r="H2911" s="14">
        <v>21875150.489999998</v>
      </c>
      <c r="I2911" s="14">
        <v>25000000</v>
      </c>
      <c r="J2911" s="14">
        <v>21875150.489999998</v>
      </c>
      <c r="K2911" s="12">
        <v>69974642</v>
      </c>
      <c r="L2911" s="10" t="s">
        <v>101</v>
      </c>
      <c r="M2911" s="10" t="s">
        <v>102</v>
      </c>
      <c r="N2911" s="124" t="s">
        <v>576</v>
      </c>
      <c r="O2911" s="124" t="s">
        <v>576</v>
      </c>
      <c r="P2911" s="21">
        <v>33</v>
      </c>
      <c r="Q2911" s="10" t="s">
        <v>54</v>
      </c>
      <c r="R2911" s="10" t="s">
        <v>28</v>
      </c>
      <c r="S2911" s="10"/>
      <c r="T2911" s="10"/>
      <c r="U2911" s="10" t="s">
        <v>2348</v>
      </c>
      <c r="V2911" s="10" t="s">
        <v>2348</v>
      </c>
      <c r="W2911" s="50">
        <f>+J2911/$W$2</f>
        <v>2.6772221777414949E-4</v>
      </c>
    </row>
    <row r="2912" spans="1:23">
      <c r="A2912" s="10" t="s">
        <v>220</v>
      </c>
      <c r="B2912" s="10" t="s">
        <v>358</v>
      </c>
      <c r="C2912" s="124">
        <v>46482</v>
      </c>
      <c r="D2912" s="124" t="s">
        <v>471</v>
      </c>
      <c r="E2912" s="21">
        <v>0.87500612</v>
      </c>
      <c r="F2912" s="10"/>
      <c r="G2912" s="14">
        <v>25000000</v>
      </c>
      <c r="H2912" s="14">
        <v>21875152.98</v>
      </c>
      <c r="I2912" s="14">
        <v>25000000</v>
      </c>
      <c r="J2912" s="14">
        <v>21875152.98</v>
      </c>
      <c r="K2912" s="12">
        <v>70563028</v>
      </c>
      <c r="L2912" s="10" t="s">
        <v>101</v>
      </c>
      <c r="M2912" s="10" t="s">
        <v>102</v>
      </c>
      <c r="N2912" s="124" t="s">
        <v>451</v>
      </c>
      <c r="O2912" s="124" t="s">
        <v>451</v>
      </c>
      <c r="P2912" s="21">
        <v>33</v>
      </c>
      <c r="Q2912" s="10" t="s">
        <v>54</v>
      </c>
      <c r="R2912" s="10" t="s">
        <v>28</v>
      </c>
      <c r="S2912" s="10"/>
      <c r="T2912" s="10"/>
      <c r="U2912" s="10" t="s">
        <v>3516</v>
      </c>
      <c r="V2912" s="10" t="s">
        <v>3516</v>
      </c>
      <c r="W2912" s="50">
        <f>+J2912/$W$2</f>
        <v>2.677222482483775E-4</v>
      </c>
    </row>
    <row r="2913" spans="1:29">
      <c r="A2913" s="10" t="s">
        <v>438</v>
      </c>
      <c r="B2913" s="10" t="s">
        <v>358</v>
      </c>
      <c r="C2913" s="124">
        <v>46482</v>
      </c>
      <c r="D2913" s="124" t="s">
        <v>471</v>
      </c>
      <c r="E2913" s="21">
        <v>0.89535412999999997</v>
      </c>
      <c r="F2913" s="10"/>
      <c r="G2913" s="14">
        <v>9200000</v>
      </c>
      <c r="H2913" s="14">
        <v>8237257.9699999997</v>
      </c>
      <c r="I2913" s="14">
        <v>9200000</v>
      </c>
      <c r="J2913" s="14">
        <v>8237257.9699999997</v>
      </c>
      <c r="K2913" s="12">
        <v>90017126</v>
      </c>
      <c r="L2913" s="10" t="s">
        <v>101</v>
      </c>
      <c r="M2913" s="10" t="s">
        <v>102</v>
      </c>
      <c r="N2913" s="124" t="s">
        <v>471</v>
      </c>
      <c r="O2913" s="124" t="s">
        <v>471</v>
      </c>
      <c r="P2913" s="21">
        <v>27</v>
      </c>
      <c r="Q2913" s="10" t="s">
        <v>54</v>
      </c>
      <c r="R2913" s="10" t="s">
        <v>28</v>
      </c>
      <c r="S2913" s="10"/>
      <c r="T2913" s="10"/>
      <c r="U2913" s="10" t="s">
        <v>4069</v>
      </c>
      <c r="V2913" s="10" t="s">
        <v>4069</v>
      </c>
      <c r="W2913" s="50">
        <f>+J2913/$W$2</f>
        <v>1.0081288232116701E-4</v>
      </c>
    </row>
    <row r="2914" spans="1:29">
      <c r="A2914" s="10" t="s">
        <v>2753</v>
      </c>
      <c r="B2914" s="10" t="s">
        <v>358</v>
      </c>
      <c r="C2914" s="124">
        <v>46482</v>
      </c>
      <c r="D2914" s="124" t="s">
        <v>471</v>
      </c>
      <c r="E2914" s="21">
        <v>0.87833291999999996</v>
      </c>
      <c r="F2914" s="10"/>
      <c r="G2914" s="14">
        <v>6000000</v>
      </c>
      <c r="H2914" s="14">
        <v>5269997.51</v>
      </c>
      <c r="I2914" s="14">
        <v>6000000</v>
      </c>
      <c r="J2914" s="14">
        <v>5269997.51</v>
      </c>
      <c r="K2914" s="12">
        <v>70158561</v>
      </c>
      <c r="L2914" s="10" t="s">
        <v>101</v>
      </c>
      <c r="M2914" s="10" t="s">
        <v>102</v>
      </c>
      <c r="N2914" s="124" t="s">
        <v>440</v>
      </c>
      <c r="O2914" s="124" t="s">
        <v>440</v>
      </c>
      <c r="P2914" s="21">
        <v>32</v>
      </c>
      <c r="Q2914" s="10" t="s">
        <v>54</v>
      </c>
      <c r="R2914" s="10" t="s">
        <v>28</v>
      </c>
      <c r="S2914" s="10"/>
      <c r="T2914" s="10"/>
      <c r="U2914" s="10" t="s">
        <v>2725</v>
      </c>
      <c r="V2914" s="10" t="s">
        <v>2725</v>
      </c>
      <c r="W2914" s="50">
        <f>+J2914/$W$2</f>
        <v>6.4497632676237913E-5</v>
      </c>
    </row>
    <row r="2915" spans="1:29">
      <c r="A2915" s="10" t="s">
        <v>2216</v>
      </c>
      <c r="B2915" s="10" t="s">
        <v>358</v>
      </c>
      <c r="C2915" s="124">
        <v>46484</v>
      </c>
      <c r="D2915" s="124" t="s">
        <v>471</v>
      </c>
      <c r="E2915" s="21">
        <v>0.87362375000000003</v>
      </c>
      <c r="F2915" s="10"/>
      <c r="G2915" s="14">
        <v>27362969</v>
      </c>
      <c r="H2915" s="14">
        <v>23904939.59</v>
      </c>
      <c r="I2915" s="14">
        <v>27362969</v>
      </c>
      <c r="J2915" s="14">
        <v>23904939.59</v>
      </c>
      <c r="K2915" s="12">
        <v>90004141</v>
      </c>
      <c r="L2915" s="10" t="s">
        <v>101</v>
      </c>
      <c r="M2915" s="10" t="s">
        <v>102</v>
      </c>
      <c r="N2915" s="124" t="s">
        <v>478</v>
      </c>
      <c r="O2915" s="124" t="s">
        <v>478</v>
      </c>
      <c r="P2915" s="21">
        <v>33</v>
      </c>
      <c r="Q2915" s="10" t="s">
        <v>54</v>
      </c>
      <c r="R2915" s="10" t="s">
        <v>28</v>
      </c>
      <c r="S2915" s="10"/>
      <c r="T2915" s="10"/>
      <c r="U2915" s="10" t="s">
        <v>2193</v>
      </c>
      <c r="V2915" s="10" t="s">
        <v>2193</v>
      </c>
      <c r="W2915" s="50">
        <f>+J2915/$W$2</f>
        <v>2.9256408753473536E-4</v>
      </c>
      <c r="AC2915" s="47"/>
    </row>
    <row r="2916" spans="1:29">
      <c r="A2916" s="10" t="s">
        <v>3580</v>
      </c>
      <c r="B2916" s="10" t="s">
        <v>358</v>
      </c>
      <c r="C2916" s="124">
        <v>46484</v>
      </c>
      <c r="D2916" s="124" t="s">
        <v>471</v>
      </c>
      <c r="E2916" s="21">
        <v>0.87029113000000002</v>
      </c>
      <c r="F2916" s="10"/>
      <c r="G2916" s="14">
        <v>980654.48</v>
      </c>
      <c r="H2916" s="14">
        <v>853454.9</v>
      </c>
      <c r="I2916" s="14">
        <v>980654.48</v>
      </c>
      <c r="J2916" s="14">
        <v>853454.9</v>
      </c>
      <c r="K2916" s="12">
        <v>70426906</v>
      </c>
      <c r="L2916" s="10" t="s">
        <v>101</v>
      </c>
      <c r="M2916" s="10" t="s">
        <v>102</v>
      </c>
      <c r="N2916" s="124" t="s">
        <v>451</v>
      </c>
      <c r="O2916" s="124" t="s">
        <v>451</v>
      </c>
      <c r="P2916" s="21">
        <v>34</v>
      </c>
      <c r="Q2916" s="10" t="s">
        <v>54</v>
      </c>
      <c r="R2916" s="10" t="s">
        <v>28</v>
      </c>
      <c r="S2916" s="10"/>
      <c r="T2916" s="10"/>
      <c r="U2916" s="10" t="s">
        <v>3496</v>
      </c>
      <c r="V2916" s="10" t="s">
        <v>3496</v>
      </c>
      <c r="W2916" s="50">
        <f>+J2916/$W$2</f>
        <v>1.0445132192469549E-5</v>
      </c>
    </row>
    <row r="2917" spans="1:29">
      <c r="A2917" s="10" t="s">
        <v>443</v>
      </c>
      <c r="B2917" s="10" t="s">
        <v>358</v>
      </c>
      <c r="C2917" s="124">
        <v>46486</v>
      </c>
      <c r="D2917" s="124" t="s">
        <v>471</v>
      </c>
      <c r="E2917" s="21">
        <v>0.87563581000000001</v>
      </c>
      <c r="F2917" s="10"/>
      <c r="G2917" s="14">
        <v>2000000</v>
      </c>
      <c r="H2917" s="14">
        <v>1751271.63</v>
      </c>
      <c r="I2917" s="14">
        <v>2000000</v>
      </c>
      <c r="J2917" s="14">
        <v>1751271.63</v>
      </c>
      <c r="K2917" s="12">
        <v>70525975</v>
      </c>
      <c r="L2917" s="10" t="s">
        <v>101</v>
      </c>
      <c r="M2917" s="10" t="s">
        <v>102</v>
      </c>
      <c r="N2917" s="124" t="s">
        <v>469</v>
      </c>
      <c r="O2917" s="124" t="s">
        <v>469</v>
      </c>
      <c r="P2917" s="21">
        <v>32</v>
      </c>
      <c r="Q2917" s="10" t="s">
        <v>54</v>
      </c>
      <c r="R2917" s="10" t="s">
        <v>28</v>
      </c>
      <c r="S2917" s="10"/>
      <c r="T2917" s="10"/>
      <c r="U2917" s="10" t="s">
        <v>4012</v>
      </c>
      <c r="V2917" s="10" t="s">
        <v>4012</v>
      </c>
      <c r="W2917" s="50">
        <f>+J2917/$W$2</f>
        <v>2.1433193107534584E-5</v>
      </c>
    </row>
    <row r="2918" spans="1:29">
      <c r="A2918" s="10" t="s">
        <v>3576</v>
      </c>
      <c r="B2918" s="10" t="s">
        <v>358</v>
      </c>
      <c r="C2918" s="124">
        <v>46491</v>
      </c>
      <c r="D2918" s="124" t="s">
        <v>471</v>
      </c>
      <c r="E2918" s="21">
        <v>0.86538006999999995</v>
      </c>
      <c r="F2918" s="10"/>
      <c r="G2918" s="14">
        <v>1049734.6499999999</v>
      </c>
      <c r="H2918" s="14">
        <v>908419.44</v>
      </c>
      <c r="I2918" s="14">
        <v>1049734.6499999999</v>
      </c>
      <c r="J2918" s="14">
        <v>908419.44</v>
      </c>
      <c r="K2918" s="12">
        <v>1546</v>
      </c>
      <c r="L2918" s="10" t="s">
        <v>101</v>
      </c>
      <c r="M2918" s="10" t="s">
        <v>102</v>
      </c>
      <c r="N2918" s="124" t="s">
        <v>451</v>
      </c>
      <c r="O2918" s="124" t="s">
        <v>451</v>
      </c>
      <c r="P2918" s="21">
        <v>34</v>
      </c>
      <c r="Q2918" s="10" t="s">
        <v>54</v>
      </c>
      <c r="R2918" s="10" t="s">
        <v>28</v>
      </c>
      <c r="S2918" s="10"/>
      <c r="T2918" s="10"/>
      <c r="U2918" s="10" t="s">
        <v>3478</v>
      </c>
      <c r="V2918" s="10" t="s">
        <v>3478</v>
      </c>
      <c r="W2918" s="50">
        <f>+J2918/$W$2</f>
        <v>1.1117823726841522E-5</v>
      </c>
    </row>
    <row r="2919" spans="1:29">
      <c r="A2919" s="10" t="s">
        <v>432</v>
      </c>
      <c r="B2919" s="10" t="s">
        <v>125</v>
      </c>
      <c r="C2919" s="124">
        <v>46491</v>
      </c>
      <c r="D2919" s="124" t="s">
        <v>471</v>
      </c>
      <c r="E2919" s="21">
        <v>0.96469117000000004</v>
      </c>
      <c r="F2919" s="10" t="s">
        <v>4162</v>
      </c>
      <c r="G2919" s="14">
        <v>18230</v>
      </c>
      <c r="H2919" s="14">
        <v>17586.32</v>
      </c>
      <c r="I2919" s="14">
        <v>28066780.77</v>
      </c>
      <c r="J2919" s="14">
        <v>27075775.539999999</v>
      </c>
      <c r="K2919" s="12">
        <v>146452</v>
      </c>
      <c r="L2919" s="10" t="s">
        <v>101</v>
      </c>
      <c r="M2919" s="10" t="s">
        <v>102</v>
      </c>
      <c r="N2919" s="124" t="s">
        <v>294</v>
      </c>
      <c r="O2919" s="124" t="s">
        <v>294</v>
      </c>
      <c r="P2919" s="21">
        <v>8</v>
      </c>
      <c r="Q2919" s="10" t="s">
        <v>54</v>
      </c>
      <c r="R2919" s="10" t="s">
        <v>28</v>
      </c>
      <c r="S2919" s="10"/>
      <c r="T2919" s="10"/>
      <c r="U2919" s="10" t="s">
        <v>426</v>
      </c>
      <c r="V2919" s="10" t="s">
        <v>426</v>
      </c>
      <c r="W2919" s="50">
        <f>+J2919/$W$2</f>
        <v>3.3137082548700996E-4</v>
      </c>
    </row>
    <row r="2920" spans="1:29">
      <c r="A2920" s="10" t="s">
        <v>443</v>
      </c>
      <c r="B2920" s="10" t="s">
        <v>358</v>
      </c>
      <c r="C2920" s="124">
        <v>46492</v>
      </c>
      <c r="D2920" s="124" t="s">
        <v>471</v>
      </c>
      <c r="E2920" s="21">
        <v>0.87513200999999996</v>
      </c>
      <c r="F2920" s="10"/>
      <c r="G2920" s="14">
        <v>3700000</v>
      </c>
      <c r="H2920" s="14">
        <v>3237988.44</v>
      </c>
      <c r="I2920" s="14">
        <v>3700000</v>
      </c>
      <c r="J2920" s="14">
        <v>3237988.44</v>
      </c>
      <c r="K2920" s="12">
        <v>164548</v>
      </c>
      <c r="L2920" s="10" t="s">
        <v>101</v>
      </c>
      <c r="M2920" s="10" t="s">
        <v>102</v>
      </c>
      <c r="N2920" s="124" t="s">
        <v>449</v>
      </c>
      <c r="O2920" s="124" t="s">
        <v>449</v>
      </c>
      <c r="P2920" s="21">
        <v>31</v>
      </c>
      <c r="Q2920" s="10" t="s">
        <v>54</v>
      </c>
      <c r="R2920" s="10" t="s">
        <v>28</v>
      </c>
      <c r="S2920" s="10"/>
      <c r="T2920" s="10"/>
      <c r="U2920" s="10" t="s">
        <v>1907</v>
      </c>
      <c r="V2920" s="10" t="s">
        <v>1907</v>
      </c>
      <c r="W2920" s="50">
        <f>+J2920/$W$2</f>
        <v>3.9628593489226264E-5</v>
      </c>
    </row>
    <row r="2921" spans="1:29">
      <c r="A2921" s="10" t="s">
        <v>178</v>
      </c>
      <c r="B2921" s="10" t="s">
        <v>358</v>
      </c>
      <c r="C2921" s="124">
        <v>46493</v>
      </c>
      <c r="D2921" s="124" t="s">
        <v>471</v>
      </c>
      <c r="E2921" s="21">
        <v>0.88523478</v>
      </c>
      <c r="F2921" s="10"/>
      <c r="G2921" s="14">
        <v>9126668.3499999996</v>
      </c>
      <c r="H2921" s="14">
        <v>8079244.2199999997</v>
      </c>
      <c r="I2921" s="14">
        <v>9126668.3499999996</v>
      </c>
      <c r="J2921" s="14">
        <v>8079244.2199999997</v>
      </c>
      <c r="K2921" s="12">
        <v>617535</v>
      </c>
      <c r="L2921" s="10" t="s">
        <v>101</v>
      </c>
      <c r="M2921" s="10" t="s">
        <v>102</v>
      </c>
      <c r="N2921" s="124" t="s">
        <v>603</v>
      </c>
      <c r="O2921" s="124" t="s">
        <v>603</v>
      </c>
      <c r="P2921" s="21">
        <v>28</v>
      </c>
      <c r="Q2921" s="10" t="s">
        <v>54</v>
      </c>
      <c r="R2921" s="10" t="s">
        <v>28</v>
      </c>
      <c r="S2921" s="10"/>
      <c r="T2921" s="10"/>
      <c r="U2921" s="10" t="s">
        <v>2638</v>
      </c>
      <c r="V2921" s="10" t="s">
        <v>2638</v>
      </c>
      <c r="W2921" s="50">
        <f>+J2921/$W$2</f>
        <v>9.8879008009849755E-5</v>
      </c>
    </row>
    <row r="2922" spans="1:29">
      <c r="A2922" s="10" t="s">
        <v>3599</v>
      </c>
      <c r="B2922" s="10" t="s">
        <v>358</v>
      </c>
      <c r="C2922" s="124">
        <v>46493</v>
      </c>
      <c r="D2922" s="124" t="s">
        <v>471</v>
      </c>
      <c r="E2922" s="21">
        <v>0.86398724000000005</v>
      </c>
      <c r="F2922" s="10"/>
      <c r="G2922" s="14">
        <v>1416494.72</v>
      </c>
      <c r="H2922" s="14">
        <v>1223833.3700000001</v>
      </c>
      <c r="I2922" s="14">
        <v>1416494.72</v>
      </c>
      <c r="J2922" s="14">
        <v>1223833.3700000001</v>
      </c>
      <c r="K2922" s="12">
        <v>249</v>
      </c>
      <c r="L2922" s="10" t="s">
        <v>101</v>
      </c>
      <c r="M2922" s="10" t="s">
        <v>102</v>
      </c>
      <c r="N2922" s="124" t="s">
        <v>451</v>
      </c>
      <c r="O2922" s="124" t="s">
        <v>451</v>
      </c>
      <c r="P2922" s="21">
        <v>34</v>
      </c>
      <c r="Q2922" s="10" t="s">
        <v>54</v>
      </c>
      <c r="R2922" s="10" t="s">
        <v>28</v>
      </c>
      <c r="S2922" s="10"/>
      <c r="T2922" s="10"/>
      <c r="U2922" s="10" t="s">
        <v>3470</v>
      </c>
      <c r="V2922" s="10" t="s">
        <v>3470</v>
      </c>
      <c r="W2922" s="50">
        <f>+J2922/$W$2</f>
        <v>1.4978063083597619E-5</v>
      </c>
    </row>
    <row r="2923" spans="1:29">
      <c r="A2923" s="10" t="s">
        <v>831</v>
      </c>
      <c r="B2923" s="10" t="s">
        <v>358</v>
      </c>
      <c r="C2923" s="124">
        <v>46496</v>
      </c>
      <c r="D2923" s="124" t="s">
        <v>471</v>
      </c>
      <c r="E2923" s="21">
        <v>0.89085238</v>
      </c>
      <c r="F2923" s="10"/>
      <c r="G2923" s="14">
        <v>3948801</v>
      </c>
      <c r="H2923" s="14">
        <v>3517798.77</v>
      </c>
      <c r="I2923" s="14">
        <v>3948801</v>
      </c>
      <c r="J2923" s="14">
        <v>3517798.77</v>
      </c>
      <c r="K2923" s="12">
        <v>1019</v>
      </c>
      <c r="L2923" s="10" t="s">
        <v>101</v>
      </c>
      <c r="M2923" s="10" t="s">
        <v>102</v>
      </c>
      <c r="N2923" s="124" t="s">
        <v>344</v>
      </c>
      <c r="O2923" s="124" t="s">
        <v>344</v>
      </c>
      <c r="P2923" s="21">
        <v>26</v>
      </c>
      <c r="Q2923" s="10" t="s">
        <v>54</v>
      </c>
      <c r="R2923" s="10" t="s">
        <v>28</v>
      </c>
      <c r="S2923" s="10"/>
      <c r="T2923" s="10"/>
      <c r="U2923" s="10" t="s">
        <v>825</v>
      </c>
      <c r="V2923" s="10" t="s">
        <v>825</v>
      </c>
      <c r="W2923" s="50">
        <f>+J2923/$W$2</f>
        <v>4.3053092997833605E-5</v>
      </c>
    </row>
    <row r="2924" spans="1:29">
      <c r="A2924" s="10" t="s">
        <v>3594</v>
      </c>
      <c r="B2924" s="10" t="s">
        <v>358</v>
      </c>
      <c r="C2924" s="124">
        <v>46496</v>
      </c>
      <c r="D2924" s="124" t="s">
        <v>471</v>
      </c>
      <c r="E2924" s="21">
        <v>0.86190626000000004</v>
      </c>
      <c r="F2924" s="10"/>
      <c r="G2924" s="14">
        <v>803060</v>
      </c>
      <c r="H2924" s="14">
        <v>692162.44</v>
      </c>
      <c r="I2924" s="14">
        <v>803060</v>
      </c>
      <c r="J2924" s="14">
        <v>692162.44</v>
      </c>
      <c r="K2924" s="12">
        <v>98</v>
      </c>
      <c r="L2924" s="10" t="s">
        <v>101</v>
      </c>
      <c r="M2924" s="10" t="s">
        <v>102</v>
      </c>
      <c r="N2924" s="124" t="s">
        <v>451</v>
      </c>
      <c r="O2924" s="124" t="s">
        <v>451</v>
      </c>
      <c r="P2924" s="21">
        <v>34</v>
      </c>
      <c r="Q2924" s="10" t="s">
        <v>54</v>
      </c>
      <c r="R2924" s="10" t="s">
        <v>28</v>
      </c>
      <c r="S2924" s="10"/>
      <c r="T2924" s="10"/>
      <c r="U2924" s="10" t="s">
        <v>3450</v>
      </c>
      <c r="V2924" s="10" t="s">
        <v>3450</v>
      </c>
      <c r="W2924" s="50">
        <f>+J2924/$W$2</f>
        <v>8.4711309109154704E-6</v>
      </c>
    </row>
    <row r="2925" spans="1:29">
      <c r="A2925" s="10" t="s">
        <v>3598</v>
      </c>
      <c r="B2925" s="10" t="s">
        <v>358</v>
      </c>
      <c r="C2925" s="124">
        <v>46496</v>
      </c>
      <c r="D2925" s="124" t="s">
        <v>471</v>
      </c>
      <c r="E2925" s="21">
        <v>0.86190628000000002</v>
      </c>
      <c r="F2925" s="10"/>
      <c r="G2925" s="14">
        <v>1186053.25</v>
      </c>
      <c r="H2925" s="14">
        <v>1022266.74</v>
      </c>
      <c r="I2925" s="14">
        <v>1186053.25</v>
      </c>
      <c r="J2925" s="14">
        <v>1022266.74</v>
      </c>
      <c r="K2925" s="12">
        <v>27</v>
      </c>
      <c r="L2925" s="10" t="s">
        <v>101</v>
      </c>
      <c r="M2925" s="10" t="s">
        <v>102</v>
      </c>
      <c r="N2925" s="124" t="s">
        <v>451</v>
      </c>
      <c r="O2925" s="124" t="s">
        <v>451</v>
      </c>
      <c r="P2925" s="21">
        <v>34</v>
      </c>
      <c r="Q2925" s="10" t="s">
        <v>54</v>
      </c>
      <c r="R2925" s="10" t="s">
        <v>28</v>
      </c>
      <c r="S2925" s="10"/>
      <c r="T2925" s="10"/>
      <c r="U2925" s="10" t="s">
        <v>3463</v>
      </c>
      <c r="V2925" s="10" t="s">
        <v>3463</v>
      </c>
      <c r="W2925" s="50">
        <f>+J2925/$W$2</f>
        <v>1.2511160502171699E-5</v>
      </c>
    </row>
    <row r="2926" spans="1:29">
      <c r="A2926" s="10" t="s">
        <v>367</v>
      </c>
      <c r="B2926" s="10" t="s">
        <v>358</v>
      </c>
      <c r="C2926" s="124">
        <v>46496</v>
      </c>
      <c r="D2926" s="124" t="s">
        <v>471</v>
      </c>
      <c r="E2926" s="21">
        <v>0.86896496999999995</v>
      </c>
      <c r="F2926" s="10"/>
      <c r="G2926" s="14">
        <v>2833000</v>
      </c>
      <c r="H2926" s="14">
        <v>2461777.7599999998</v>
      </c>
      <c r="I2926" s="14">
        <v>2833000</v>
      </c>
      <c r="J2926" s="14">
        <v>2461777.7599999998</v>
      </c>
      <c r="K2926" s="12">
        <v>90000060</v>
      </c>
      <c r="L2926" s="10" t="s">
        <v>101</v>
      </c>
      <c r="M2926" s="10" t="s">
        <v>102</v>
      </c>
      <c r="N2926" s="124" t="s">
        <v>477</v>
      </c>
      <c r="O2926" s="124" t="s">
        <v>477</v>
      </c>
      <c r="P2926" s="21">
        <v>32</v>
      </c>
      <c r="Q2926" s="10" t="s">
        <v>54</v>
      </c>
      <c r="R2926" s="10" t="s">
        <v>28</v>
      </c>
      <c r="S2926" s="10"/>
      <c r="T2926" s="10"/>
      <c r="U2926" s="10" t="s">
        <v>2397</v>
      </c>
      <c r="V2926" s="10" t="s">
        <v>2397</v>
      </c>
      <c r="W2926" s="50">
        <f>+J2926/$W$2</f>
        <v>3.012882594227483E-5</v>
      </c>
    </row>
    <row r="2927" spans="1:29">
      <c r="A2927" s="10" t="s">
        <v>3894</v>
      </c>
      <c r="B2927" s="10" t="s">
        <v>358</v>
      </c>
      <c r="C2927" s="124">
        <v>46496</v>
      </c>
      <c r="D2927" s="124" t="s">
        <v>471</v>
      </c>
      <c r="E2927" s="21">
        <v>0.87977265999999998</v>
      </c>
      <c r="F2927" s="10"/>
      <c r="G2927" s="14">
        <v>85000000</v>
      </c>
      <c r="H2927" s="14">
        <v>74780676.209999993</v>
      </c>
      <c r="I2927" s="14">
        <v>85000000</v>
      </c>
      <c r="J2927" s="14">
        <v>74780676.209999993</v>
      </c>
      <c r="K2927" s="12">
        <v>9844157</v>
      </c>
      <c r="L2927" s="10" t="s">
        <v>101</v>
      </c>
      <c r="M2927" s="10" t="s">
        <v>102</v>
      </c>
      <c r="N2927" s="124" t="s">
        <v>471</v>
      </c>
      <c r="O2927" s="124" t="s">
        <v>471</v>
      </c>
      <c r="P2927" s="21">
        <v>29</v>
      </c>
      <c r="Q2927" s="10" t="s">
        <v>54</v>
      </c>
      <c r="R2927" s="10" t="s">
        <v>28</v>
      </c>
      <c r="S2927" s="10"/>
      <c r="T2927" s="10"/>
      <c r="U2927" s="10" t="s">
        <v>4090</v>
      </c>
      <c r="V2927" s="10" t="s">
        <v>4090</v>
      </c>
      <c r="W2927" s="50">
        <f>+J2927/$W$2</f>
        <v>9.1521420576027234E-4</v>
      </c>
    </row>
    <row r="2928" spans="1:29">
      <c r="A2928" s="10" t="s">
        <v>3601</v>
      </c>
      <c r="B2928" s="10" t="s">
        <v>358</v>
      </c>
      <c r="C2928" s="124">
        <v>46497</v>
      </c>
      <c r="D2928" s="124" t="s">
        <v>471</v>
      </c>
      <c r="E2928" s="21">
        <v>0.86121477000000002</v>
      </c>
      <c r="F2928" s="10"/>
      <c r="G2928" s="14">
        <v>618696.5</v>
      </c>
      <c r="H2928" s="14">
        <v>532830.56000000006</v>
      </c>
      <c r="I2928" s="14">
        <v>618696.5</v>
      </c>
      <c r="J2928" s="14">
        <v>532830.56000000006</v>
      </c>
      <c r="K2928" s="12">
        <v>70497242</v>
      </c>
      <c r="L2928" s="10" t="s">
        <v>101</v>
      </c>
      <c r="M2928" s="10" t="s">
        <v>102</v>
      </c>
      <c r="N2928" s="124" t="s">
        <v>451</v>
      </c>
      <c r="O2928" s="124" t="s">
        <v>451</v>
      </c>
      <c r="P2928" s="21">
        <v>34</v>
      </c>
      <c r="Q2928" s="10" t="s">
        <v>54</v>
      </c>
      <c r="R2928" s="10" t="s">
        <v>28</v>
      </c>
      <c r="S2928" s="10"/>
      <c r="T2928" s="10"/>
      <c r="U2928" s="10" t="s">
        <v>3481</v>
      </c>
      <c r="V2928" s="10" t="s">
        <v>3481</v>
      </c>
      <c r="W2928" s="50">
        <f>+J2928/$W$2</f>
        <v>6.5211244734637737E-6</v>
      </c>
    </row>
    <row r="2929" spans="1:29">
      <c r="A2929" s="10" t="s">
        <v>3600</v>
      </c>
      <c r="B2929" s="10" t="s">
        <v>358</v>
      </c>
      <c r="C2929" s="124">
        <v>46498</v>
      </c>
      <c r="D2929" s="124" t="s">
        <v>471</v>
      </c>
      <c r="E2929" s="21">
        <v>0.86052437000000004</v>
      </c>
      <c r="F2929" s="10"/>
      <c r="G2929" s="14">
        <v>1820648.76</v>
      </c>
      <c r="H2929" s="14">
        <v>1566712.63</v>
      </c>
      <c r="I2929" s="14">
        <v>1820648.76</v>
      </c>
      <c r="J2929" s="14">
        <v>1566712.63</v>
      </c>
      <c r="K2929" s="12">
        <v>12</v>
      </c>
      <c r="L2929" s="10" t="s">
        <v>101</v>
      </c>
      <c r="M2929" s="10" t="s">
        <v>102</v>
      </c>
      <c r="N2929" s="124" t="s">
        <v>451</v>
      </c>
      <c r="O2929" s="124" t="s">
        <v>451</v>
      </c>
      <c r="P2929" s="21">
        <v>34</v>
      </c>
      <c r="Q2929" s="10" t="s">
        <v>54</v>
      </c>
      <c r="R2929" s="10" t="s">
        <v>28</v>
      </c>
      <c r="S2929" s="10"/>
      <c r="T2929" s="10"/>
      <c r="U2929" s="10" t="s">
        <v>3475</v>
      </c>
      <c r="V2929" s="10" t="s">
        <v>3475</v>
      </c>
      <c r="W2929" s="50">
        <f>+J2929/$W$2</f>
        <v>1.9174440884880538E-5</v>
      </c>
    </row>
    <row r="2930" spans="1:29">
      <c r="A2930" s="10" t="s">
        <v>651</v>
      </c>
      <c r="B2930" s="10" t="s">
        <v>358</v>
      </c>
      <c r="C2930" s="124">
        <v>46504</v>
      </c>
      <c r="D2930" s="124" t="s">
        <v>471</v>
      </c>
      <c r="E2930" s="21">
        <v>0.86739560000000004</v>
      </c>
      <c r="F2930" s="10"/>
      <c r="G2930" s="14">
        <v>391000000</v>
      </c>
      <c r="H2930" s="14">
        <v>339151678.35000002</v>
      </c>
      <c r="I2930" s="14">
        <v>391000000</v>
      </c>
      <c r="J2930" s="14">
        <v>339151678.35000002</v>
      </c>
      <c r="K2930" s="12">
        <v>171189</v>
      </c>
      <c r="L2930" s="10" t="s">
        <v>101</v>
      </c>
      <c r="M2930" s="10" t="s">
        <v>102</v>
      </c>
      <c r="N2930" s="124" t="s">
        <v>471</v>
      </c>
      <c r="O2930" s="124" t="s">
        <v>471</v>
      </c>
      <c r="P2930" s="21">
        <v>31</v>
      </c>
      <c r="Q2930" s="10" t="s">
        <v>54</v>
      </c>
      <c r="R2930" s="10" t="s">
        <v>28</v>
      </c>
      <c r="S2930" s="10"/>
      <c r="T2930" s="10"/>
      <c r="U2930" s="10" t="s">
        <v>4101</v>
      </c>
      <c r="V2930" s="10" t="s">
        <v>4101</v>
      </c>
      <c r="W2930" s="50">
        <f>+J2930/$W$2</f>
        <v>4.150757249930445E-3</v>
      </c>
    </row>
    <row r="2931" spans="1:29">
      <c r="A2931" s="10" t="s">
        <v>401</v>
      </c>
      <c r="B2931" s="10" t="s">
        <v>358</v>
      </c>
      <c r="C2931" s="124">
        <v>46506</v>
      </c>
      <c r="D2931" s="124" t="s">
        <v>471</v>
      </c>
      <c r="E2931" s="21">
        <v>0.86239505999999999</v>
      </c>
      <c r="F2931" s="10"/>
      <c r="G2931" s="14">
        <v>17000000</v>
      </c>
      <c r="H2931" s="14">
        <v>14660716.07</v>
      </c>
      <c r="I2931" s="14">
        <v>17000000</v>
      </c>
      <c r="J2931" s="14">
        <v>14660716.07</v>
      </c>
      <c r="K2931" s="12">
        <v>196</v>
      </c>
      <c r="L2931" s="10" t="s">
        <v>101</v>
      </c>
      <c r="M2931" s="10" t="s">
        <v>102</v>
      </c>
      <c r="N2931" s="124" t="s">
        <v>469</v>
      </c>
      <c r="O2931" s="124" t="s">
        <v>469</v>
      </c>
      <c r="P2931" s="21">
        <v>32</v>
      </c>
      <c r="Q2931" s="10" t="s">
        <v>54</v>
      </c>
      <c r="R2931" s="10" t="s">
        <v>28</v>
      </c>
      <c r="S2931" s="10"/>
      <c r="T2931" s="10"/>
      <c r="U2931" s="10" t="s">
        <v>3942</v>
      </c>
      <c r="V2931" s="10" t="s">
        <v>3942</v>
      </c>
      <c r="W2931" s="50">
        <f>+J2931/$W$2</f>
        <v>1.7942731055549935E-4</v>
      </c>
    </row>
    <row r="2932" spans="1:29">
      <c r="A2932" s="10" t="s">
        <v>375</v>
      </c>
      <c r="B2932" s="10" t="s">
        <v>358</v>
      </c>
      <c r="C2932" s="124">
        <v>46511</v>
      </c>
      <c r="D2932" s="124" t="s">
        <v>471</v>
      </c>
      <c r="E2932" s="21">
        <v>0.85538199999999998</v>
      </c>
      <c r="F2932" s="10"/>
      <c r="G2932" s="14">
        <v>19000000</v>
      </c>
      <c r="H2932" s="14">
        <v>16252257.91</v>
      </c>
      <c r="I2932" s="14">
        <v>19000000</v>
      </c>
      <c r="J2932" s="14">
        <v>16252257.91</v>
      </c>
      <c r="K2932" s="12">
        <v>41023120</v>
      </c>
      <c r="L2932" s="10" t="s">
        <v>101</v>
      </c>
      <c r="M2932" s="10" t="s">
        <v>102</v>
      </c>
      <c r="N2932" s="124" t="s">
        <v>469</v>
      </c>
      <c r="O2932" s="124" t="s">
        <v>469</v>
      </c>
      <c r="P2932" s="21">
        <v>33</v>
      </c>
      <c r="Q2932" s="10" t="s">
        <v>54</v>
      </c>
      <c r="R2932" s="10" t="s">
        <v>28</v>
      </c>
      <c r="S2932" s="10"/>
      <c r="T2932" s="10"/>
      <c r="U2932" s="10" t="s">
        <v>4029</v>
      </c>
      <c r="V2932" s="10" t="s">
        <v>4029</v>
      </c>
      <c r="W2932" s="50">
        <f>+J2932/$W$2</f>
        <v>1.9890562734604822E-4</v>
      </c>
    </row>
    <row r="2933" spans="1:29">
      <c r="A2933" s="10" t="s">
        <v>4052</v>
      </c>
      <c r="B2933" s="10" t="s">
        <v>358</v>
      </c>
      <c r="C2933" s="124">
        <v>46511</v>
      </c>
      <c r="D2933" s="124" t="s">
        <v>471</v>
      </c>
      <c r="E2933" s="21">
        <v>0.85538199999999998</v>
      </c>
      <c r="F2933" s="10"/>
      <c r="G2933" s="14">
        <v>33537555.399999999</v>
      </c>
      <c r="H2933" s="14">
        <v>28687421.050000001</v>
      </c>
      <c r="I2933" s="14">
        <v>33537555.399999999</v>
      </c>
      <c r="J2933" s="14">
        <v>28687421.050000001</v>
      </c>
      <c r="K2933" s="12">
        <v>3940</v>
      </c>
      <c r="L2933" s="10" t="s">
        <v>101</v>
      </c>
      <c r="M2933" s="10" t="s">
        <v>102</v>
      </c>
      <c r="N2933" s="124" t="s">
        <v>469</v>
      </c>
      <c r="O2933" s="124" t="s">
        <v>469</v>
      </c>
      <c r="P2933" s="21">
        <v>33</v>
      </c>
      <c r="Q2933" s="10" t="s">
        <v>54</v>
      </c>
      <c r="R2933" s="10" t="s">
        <v>28</v>
      </c>
      <c r="S2933" s="10"/>
      <c r="T2933" s="10"/>
      <c r="U2933" s="10" t="s">
        <v>3996</v>
      </c>
      <c r="V2933" s="10" t="s">
        <v>3996</v>
      </c>
      <c r="W2933" s="50">
        <f>+J2933/$W$2</f>
        <v>3.5109518397314677E-4</v>
      </c>
    </row>
    <row r="2934" spans="1:29">
      <c r="A2934" s="10" t="s">
        <v>2825</v>
      </c>
      <c r="B2934" s="10" t="s">
        <v>125</v>
      </c>
      <c r="C2934" s="124">
        <v>46512</v>
      </c>
      <c r="D2934" s="124" t="s">
        <v>471</v>
      </c>
      <c r="E2934" s="21">
        <v>0.95569758999999999</v>
      </c>
      <c r="F2934" s="10" t="s">
        <v>4162</v>
      </c>
      <c r="G2934" s="14">
        <v>1300000</v>
      </c>
      <c r="H2934" s="14">
        <v>1242406.8700000001</v>
      </c>
      <c r="I2934" s="14">
        <v>2001470927.1700001</v>
      </c>
      <c r="J2934" s="14">
        <v>1912800946.1700001</v>
      </c>
      <c r="K2934" s="12">
        <v>168117</v>
      </c>
      <c r="L2934" s="10" t="s">
        <v>101</v>
      </c>
      <c r="M2934" s="10" t="s">
        <v>102</v>
      </c>
      <c r="N2934" s="124" t="s">
        <v>412</v>
      </c>
      <c r="O2934" s="124" t="s">
        <v>412</v>
      </c>
      <c r="P2934" s="21">
        <v>9</v>
      </c>
      <c r="Q2934" s="10" t="s">
        <v>54</v>
      </c>
      <c r="R2934" s="10" t="s">
        <v>28</v>
      </c>
      <c r="S2934" s="10"/>
      <c r="T2934" s="10"/>
      <c r="U2934" s="10" t="s">
        <v>2817</v>
      </c>
      <c r="V2934" s="10" t="s">
        <v>2817</v>
      </c>
      <c r="W2934" s="50">
        <f>+J2934/$W$2</f>
        <v>2.3410093187849153E-2</v>
      </c>
    </row>
    <row r="2935" spans="1:29">
      <c r="A2935" s="10" t="s">
        <v>2436</v>
      </c>
      <c r="B2935" s="10" t="s">
        <v>358</v>
      </c>
      <c r="C2935" s="124">
        <v>46513</v>
      </c>
      <c r="D2935" s="124" t="s">
        <v>471</v>
      </c>
      <c r="E2935" s="21">
        <v>0.84657331999999996</v>
      </c>
      <c r="F2935" s="10"/>
      <c r="G2935" s="14">
        <v>12500000</v>
      </c>
      <c r="H2935" s="14">
        <v>10582166.529999999</v>
      </c>
      <c r="I2935" s="14">
        <v>12500000</v>
      </c>
      <c r="J2935" s="14">
        <v>10582166.529999999</v>
      </c>
      <c r="K2935" s="12">
        <v>28</v>
      </c>
      <c r="L2935" s="10" t="s">
        <v>101</v>
      </c>
      <c r="M2935" s="10" t="s">
        <v>102</v>
      </c>
      <c r="N2935" s="124" t="s">
        <v>445</v>
      </c>
      <c r="O2935" s="124" t="s">
        <v>445</v>
      </c>
      <c r="P2935" s="21">
        <v>35</v>
      </c>
      <c r="Q2935" s="10" t="s">
        <v>54</v>
      </c>
      <c r="R2935" s="10" t="s">
        <v>28</v>
      </c>
      <c r="S2935" s="10"/>
      <c r="T2935" s="10"/>
      <c r="U2935" s="10" t="s">
        <v>2842</v>
      </c>
      <c r="V2935" s="10" t="s">
        <v>2842</v>
      </c>
      <c r="W2935" s="50">
        <f>+J2935/$W$2</f>
        <v>1.2951138752449222E-4</v>
      </c>
    </row>
    <row r="2936" spans="1:29">
      <c r="A2936" s="10" t="s">
        <v>4046</v>
      </c>
      <c r="B2936" s="10" t="s">
        <v>358</v>
      </c>
      <c r="C2936" s="124">
        <v>46519</v>
      </c>
      <c r="D2936" s="124" t="s">
        <v>471</v>
      </c>
      <c r="E2936" s="21">
        <v>0.84627876999999996</v>
      </c>
      <c r="F2936" s="10"/>
      <c r="G2936" s="14">
        <v>19131395.399999999</v>
      </c>
      <c r="H2936" s="14">
        <v>16190493.67</v>
      </c>
      <c r="I2936" s="14">
        <v>19131395.399999999</v>
      </c>
      <c r="J2936" s="14">
        <v>16190493.67</v>
      </c>
      <c r="K2936" s="12">
        <v>285</v>
      </c>
      <c r="L2936" s="10" t="s">
        <v>101</v>
      </c>
      <c r="M2936" s="10" t="s">
        <v>102</v>
      </c>
      <c r="N2936" s="124" t="s">
        <v>469</v>
      </c>
      <c r="O2936" s="124" t="s">
        <v>469</v>
      </c>
      <c r="P2936" s="21">
        <v>34</v>
      </c>
      <c r="Q2936" s="10" t="s">
        <v>54</v>
      </c>
      <c r="R2936" s="10" t="s">
        <v>28</v>
      </c>
      <c r="S2936" s="10"/>
      <c r="T2936" s="10"/>
      <c r="U2936" s="10" t="s">
        <v>3974</v>
      </c>
      <c r="V2936" s="10" t="s">
        <v>3974</v>
      </c>
      <c r="W2936" s="50">
        <f>+J2936/$W$2</f>
        <v>1.9814971669210809E-4</v>
      </c>
    </row>
    <row r="2937" spans="1:29">
      <c r="A2937" s="10" t="s">
        <v>4054</v>
      </c>
      <c r="B2937" s="10" t="s">
        <v>358</v>
      </c>
      <c r="C2937" s="124">
        <v>46519</v>
      </c>
      <c r="D2937" s="124" t="s">
        <v>471</v>
      </c>
      <c r="E2937" s="21">
        <v>0.84627876999999996</v>
      </c>
      <c r="F2937" s="10"/>
      <c r="G2937" s="14">
        <v>12701545.390000001</v>
      </c>
      <c r="H2937" s="14">
        <v>10749048.15</v>
      </c>
      <c r="I2937" s="14">
        <v>12701545.390000001</v>
      </c>
      <c r="J2937" s="14">
        <v>10749048.15</v>
      </c>
      <c r="K2937" s="12">
        <v>142</v>
      </c>
      <c r="L2937" s="10" t="s">
        <v>101</v>
      </c>
      <c r="M2937" s="10" t="s">
        <v>102</v>
      </c>
      <c r="N2937" s="124" t="s">
        <v>469</v>
      </c>
      <c r="O2937" s="124" t="s">
        <v>469</v>
      </c>
      <c r="P2937" s="21">
        <v>34</v>
      </c>
      <c r="Q2937" s="10" t="s">
        <v>54</v>
      </c>
      <c r="R2937" s="10" t="s">
        <v>28</v>
      </c>
      <c r="S2937" s="10"/>
      <c r="T2937" s="10"/>
      <c r="U2937" s="10" t="s">
        <v>4007</v>
      </c>
      <c r="V2937" s="10" t="s">
        <v>4007</v>
      </c>
      <c r="W2937" s="50">
        <f>+J2937/$W$2</f>
        <v>1.3155379255537725E-4</v>
      </c>
    </row>
    <row r="2938" spans="1:29">
      <c r="A2938" s="10" t="s">
        <v>2436</v>
      </c>
      <c r="B2938" s="10" t="s">
        <v>358</v>
      </c>
      <c r="C2938" s="124">
        <v>46520</v>
      </c>
      <c r="D2938" s="124" t="s">
        <v>471</v>
      </c>
      <c r="E2938" s="21">
        <v>0.84178967000000005</v>
      </c>
      <c r="F2938" s="10"/>
      <c r="G2938" s="14">
        <v>12500000</v>
      </c>
      <c r="H2938" s="14">
        <v>10522370.85</v>
      </c>
      <c r="I2938" s="14">
        <v>12500000</v>
      </c>
      <c r="J2938" s="14">
        <v>10522370.85</v>
      </c>
      <c r="K2938" s="12">
        <v>27</v>
      </c>
      <c r="L2938" s="10" t="s">
        <v>101</v>
      </c>
      <c r="M2938" s="10" t="s">
        <v>102</v>
      </c>
      <c r="N2938" s="124" t="s">
        <v>445</v>
      </c>
      <c r="O2938" s="124" t="s">
        <v>445</v>
      </c>
      <c r="P2938" s="21">
        <v>35</v>
      </c>
      <c r="Q2938" s="10" t="s">
        <v>54</v>
      </c>
      <c r="R2938" s="10" t="s">
        <v>28</v>
      </c>
      <c r="S2938" s="10"/>
      <c r="T2938" s="10"/>
      <c r="U2938" s="10" t="s">
        <v>2844</v>
      </c>
      <c r="V2938" s="10" t="s">
        <v>2844</v>
      </c>
      <c r="W2938" s="50">
        <f>+J2938/$W$2</f>
        <v>1.2877956937904763E-4</v>
      </c>
    </row>
    <row r="2939" spans="1:29">
      <c r="A2939" s="10" t="s">
        <v>443</v>
      </c>
      <c r="B2939" s="10" t="s">
        <v>358</v>
      </c>
      <c r="C2939" s="124">
        <v>46521</v>
      </c>
      <c r="D2939" s="124" t="s">
        <v>471</v>
      </c>
      <c r="E2939" s="21">
        <v>0.85272422000000003</v>
      </c>
      <c r="F2939" s="10"/>
      <c r="G2939" s="14">
        <v>2000000</v>
      </c>
      <c r="H2939" s="14">
        <v>1705448.44</v>
      </c>
      <c r="I2939" s="14">
        <v>2000000</v>
      </c>
      <c r="J2939" s="14">
        <v>1705448.44</v>
      </c>
      <c r="K2939" s="12">
        <v>70526002</v>
      </c>
      <c r="L2939" s="10" t="s">
        <v>101</v>
      </c>
      <c r="M2939" s="10" t="s">
        <v>102</v>
      </c>
      <c r="N2939" s="124" t="s">
        <v>469</v>
      </c>
      <c r="O2939" s="124" t="s">
        <v>469</v>
      </c>
      <c r="P2939" s="21">
        <v>32</v>
      </c>
      <c r="Q2939" s="10" t="s">
        <v>54</v>
      </c>
      <c r="R2939" s="10" t="s">
        <v>28</v>
      </c>
      <c r="S2939" s="10"/>
      <c r="T2939" s="10"/>
      <c r="U2939" s="10" t="s">
        <v>4011</v>
      </c>
      <c r="V2939" s="10" t="s">
        <v>4011</v>
      </c>
      <c r="W2939" s="50">
        <f>+J2939/$W$2</f>
        <v>2.0872379317572574E-5</v>
      </c>
    </row>
    <row r="2940" spans="1:29">
      <c r="A2940" s="10" t="s">
        <v>432</v>
      </c>
      <c r="B2940" s="10" t="s">
        <v>125</v>
      </c>
      <c r="C2940" s="124">
        <v>46521</v>
      </c>
      <c r="D2940" s="124" t="s">
        <v>471</v>
      </c>
      <c r="E2940" s="21">
        <v>0.95860999000000002</v>
      </c>
      <c r="F2940" s="10" t="s">
        <v>4162</v>
      </c>
      <c r="G2940" s="14">
        <v>18230</v>
      </c>
      <c r="H2940" s="14">
        <v>17475.46</v>
      </c>
      <c r="I2940" s="14">
        <v>28066780.77</v>
      </c>
      <c r="J2940" s="14">
        <v>26905096.25</v>
      </c>
      <c r="K2940" s="12">
        <v>146453</v>
      </c>
      <c r="L2940" s="10" t="s">
        <v>101</v>
      </c>
      <c r="M2940" s="10" t="s">
        <v>102</v>
      </c>
      <c r="N2940" s="124" t="s">
        <v>294</v>
      </c>
      <c r="O2940" s="124" t="s">
        <v>294</v>
      </c>
      <c r="P2940" s="21">
        <v>8</v>
      </c>
      <c r="Q2940" s="10" t="s">
        <v>54</v>
      </c>
      <c r="R2940" s="10" t="s">
        <v>28</v>
      </c>
      <c r="S2940" s="10"/>
      <c r="T2940" s="10"/>
      <c r="U2940" s="10" t="s">
        <v>424</v>
      </c>
      <c r="V2940" s="10" t="s">
        <v>424</v>
      </c>
      <c r="W2940" s="50">
        <f>+J2940/$W$2</f>
        <v>3.2928194211828503E-4</v>
      </c>
    </row>
    <row r="2941" spans="1:29">
      <c r="A2941" s="10" t="s">
        <v>443</v>
      </c>
      <c r="B2941" s="10" t="s">
        <v>358</v>
      </c>
      <c r="C2941" s="124">
        <v>46524</v>
      </c>
      <c r="D2941" s="124" t="s">
        <v>471</v>
      </c>
      <c r="E2941" s="21">
        <v>0.85480111999999997</v>
      </c>
      <c r="F2941" s="10"/>
      <c r="G2941" s="14">
        <v>3700000</v>
      </c>
      <c r="H2941" s="14">
        <v>3162764.13</v>
      </c>
      <c r="I2941" s="14">
        <v>3700000</v>
      </c>
      <c r="J2941" s="14">
        <v>3162764.13</v>
      </c>
      <c r="K2941" s="12">
        <v>164551</v>
      </c>
      <c r="L2941" s="10" t="s">
        <v>101</v>
      </c>
      <c r="M2941" s="10" t="s">
        <v>102</v>
      </c>
      <c r="N2941" s="124" t="s">
        <v>449</v>
      </c>
      <c r="O2941" s="124" t="s">
        <v>449</v>
      </c>
      <c r="P2941" s="21">
        <v>31</v>
      </c>
      <c r="Q2941" s="10" t="s">
        <v>54</v>
      </c>
      <c r="R2941" s="10" t="s">
        <v>28</v>
      </c>
      <c r="S2941" s="10"/>
      <c r="T2941" s="10"/>
      <c r="U2941" s="10" t="s">
        <v>1905</v>
      </c>
      <c r="V2941" s="10" t="s">
        <v>1905</v>
      </c>
      <c r="W2941" s="50">
        <f>+J2941/$W$2</f>
        <v>3.8707949806663414E-5</v>
      </c>
    </row>
    <row r="2942" spans="1:29">
      <c r="A2942" s="10" t="s">
        <v>3894</v>
      </c>
      <c r="B2942" s="10" t="s">
        <v>358</v>
      </c>
      <c r="C2942" s="124">
        <v>46525</v>
      </c>
      <c r="D2942" s="124" t="s">
        <v>471</v>
      </c>
      <c r="E2942" s="21">
        <v>0.86229319000000004</v>
      </c>
      <c r="F2942" s="10"/>
      <c r="G2942" s="14">
        <v>85000000</v>
      </c>
      <c r="H2942" s="14">
        <v>73294921.260000005</v>
      </c>
      <c r="I2942" s="14">
        <v>85000000</v>
      </c>
      <c r="J2942" s="14">
        <v>73294921.260000005</v>
      </c>
      <c r="K2942" s="12">
        <v>9844158</v>
      </c>
      <c r="L2942" s="10" t="s">
        <v>101</v>
      </c>
      <c r="M2942" s="10" t="s">
        <v>102</v>
      </c>
      <c r="N2942" s="124" t="s">
        <v>471</v>
      </c>
      <c r="O2942" s="124" t="s">
        <v>471</v>
      </c>
      <c r="P2942" s="21">
        <v>29</v>
      </c>
      <c r="Q2942" s="10" t="s">
        <v>54</v>
      </c>
      <c r="R2942" s="10" t="s">
        <v>28</v>
      </c>
      <c r="S2942" s="10"/>
      <c r="T2942" s="10"/>
      <c r="U2942" s="10" t="s">
        <v>4091</v>
      </c>
      <c r="V2942" s="10" t="s">
        <v>4091</v>
      </c>
      <c r="W2942" s="50">
        <f>+J2942/$W$2</f>
        <v>8.9703057724239066E-4</v>
      </c>
    </row>
    <row r="2943" spans="1:29">
      <c r="A2943" s="10" t="s">
        <v>443</v>
      </c>
      <c r="B2943" s="10" t="s">
        <v>358</v>
      </c>
      <c r="C2943" s="124">
        <v>46526</v>
      </c>
      <c r="D2943" s="124" t="s">
        <v>471</v>
      </c>
      <c r="E2943" s="21">
        <v>0.84163447999999996</v>
      </c>
      <c r="F2943" s="10"/>
      <c r="G2943" s="14">
        <v>6000000</v>
      </c>
      <c r="H2943" s="14">
        <v>5049806.87</v>
      </c>
      <c r="I2943" s="14">
        <v>6000000</v>
      </c>
      <c r="J2943" s="14">
        <v>5049806.87</v>
      </c>
      <c r="K2943" s="12">
        <v>355</v>
      </c>
      <c r="L2943" s="10" t="s">
        <v>101</v>
      </c>
      <c r="M2943" s="10" t="s">
        <v>102</v>
      </c>
      <c r="N2943" s="124" t="s">
        <v>469</v>
      </c>
      <c r="O2943" s="124" t="s">
        <v>469</v>
      </c>
      <c r="P2943" s="21">
        <v>34</v>
      </c>
      <c r="Q2943" s="10" t="s">
        <v>54</v>
      </c>
      <c r="R2943" s="10" t="s">
        <v>28</v>
      </c>
      <c r="S2943" s="10"/>
      <c r="T2943" s="10"/>
      <c r="U2943" s="10" t="s">
        <v>4026</v>
      </c>
      <c r="V2943" s="10" t="s">
        <v>4026</v>
      </c>
      <c r="W2943" s="50">
        <f>+J2943/$W$2</f>
        <v>6.1802797433808035E-5</v>
      </c>
    </row>
    <row r="2944" spans="1:29">
      <c r="A2944" s="10" t="s">
        <v>367</v>
      </c>
      <c r="B2944" s="10" t="s">
        <v>358</v>
      </c>
      <c r="C2944" s="124">
        <v>46526</v>
      </c>
      <c r="D2944" s="124" t="s">
        <v>471</v>
      </c>
      <c r="E2944" s="21">
        <v>0.84954852999999997</v>
      </c>
      <c r="F2944" s="10"/>
      <c r="G2944" s="14">
        <v>2833000</v>
      </c>
      <c r="H2944" s="14">
        <v>2406770.98</v>
      </c>
      <c r="I2944" s="14">
        <v>2833000</v>
      </c>
      <c r="J2944" s="14">
        <v>2406770.98</v>
      </c>
      <c r="K2944" s="12">
        <v>90000061</v>
      </c>
      <c r="L2944" s="10" t="s">
        <v>101</v>
      </c>
      <c r="M2944" s="10" t="s">
        <v>102</v>
      </c>
      <c r="N2944" s="124" t="s">
        <v>477</v>
      </c>
      <c r="O2944" s="124" t="s">
        <v>477</v>
      </c>
      <c r="P2944" s="21">
        <v>32</v>
      </c>
      <c r="Q2944" s="10" t="s">
        <v>54</v>
      </c>
      <c r="R2944" s="10" t="s">
        <v>28</v>
      </c>
      <c r="S2944" s="10"/>
      <c r="T2944" s="10"/>
      <c r="U2944" s="10" t="s">
        <v>2398</v>
      </c>
      <c r="V2944" s="10" t="s">
        <v>2398</v>
      </c>
      <c r="W2944" s="50">
        <f>+J2944/$W$2</f>
        <v>2.9455617447505995E-5</v>
      </c>
      <c r="AC2944" s="47"/>
    </row>
    <row r="2945" spans="1:29">
      <c r="A2945" s="10" t="s">
        <v>2436</v>
      </c>
      <c r="B2945" s="10" t="s">
        <v>358</v>
      </c>
      <c r="C2945" s="124">
        <v>46527</v>
      </c>
      <c r="D2945" s="124" t="s">
        <v>471</v>
      </c>
      <c r="E2945" s="21">
        <v>0.83705998999999998</v>
      </c>
      <c r="F2945" s="10"/>
      <c r="G2945" s="14">
        <v>12500000</v>
      </c>
      <c r="H2945" s="14">
        <v>10463249.869999999</v>
      </c>
      <c r="I2945" s="14">
        <v>12500000</v>
      </c>
      <c r="J2945" s="14">
        <v>10463249.869999999</v>
      </c>
      <c r="K2945" s="12">
        <v>26</v>
      </c>
      <c r="L2945" s="10" t="s">
        <v>101</v>
      </c>
      <c r="M2945" s="10" t="s">
        <v>102</v>
      </c>
      <c r="N2945" s="124" t="s">
        <v>445</v>
      </c>
      <c r="O2945" s="124" t="s">
        <v>445</v>
      </c>
      <c r="P2945" s="21">
        <v>35</v>
      </c>
      <c r="Q2945" s="10" t="s">
        <v>54</v>
      </c>
      <c r="R2945" s="10" t="s">
        <v>28</v>
      </c>
      <c r="S2945" s="10"/>
      <c r="T2945" s="10"/>
      <c r="U2945" s="10" t="s">
        <v>2846</v>
      </c>
      <c r="V2945" s="10" t="s">
        <v>2846</v>
      </c>
      <c r="W2945" s="50">
        <f>+J2945/$W$2</f>
        <v>1.280560086478967E-4</v>
      </c>
    </row>
    <row r="2946" spans="1:29">
      <c r="A2946" s="10" t="s">
        <v>4052</v>
      </c>
      <c r="B2946" s="10" t="s">
        <v>358</v>
      </c>
      <c r="C2946" s="124">
        <v>46531</v>
      </c>
      <c r="D2946" s="124" t="s">
        <v>471</v>
      </c>
      <c r="E2946" s="21">
        <v>0.84235305000000005</v>
      </c>
      <c r="F2946" s="10"/>
      <c r="G2946" s="14">
        <v>29918092.050000001</v>
      </c>
      <c r="H2946" s="14">
        <v>25201596.199999999</v>
      </c>
      <c r="I2946" s="14">
        <v>29918092.050000001</v>
      </c>
      <c r="J2946" s="14">
        <v>25201596.199999999</v>
      </c>
      <c r="K2946" s="12">
        <v>3941</v>
      </c>
      <c r="L2946" s="10" t="s">
        <v>101</v>
      </c>
      <c r="M2946" s="10" t="s">
        <v>102</v>
      </c>
      <c r="N2946" s="124" t="s">
        <v>469</v>
      </c>
      <c r="O2946" s="124" t="s">
        <v>469</v>
      </c>
      <c r="P2946" s="21">
        <v>33</v>
      </c>
      <c r="Q2946" s="10" t="s">
        <v>54</v>
      </c>
      <c r="R2946" s="10" t="s">
        <v>28</v>
      </c>
      <c r="S2946" s="10"/>
      <c r="T2946" s="10"/>
      <c r="U2946" s="10" t="s">
        <v>3993</v>
      </c>
      <c r="V2946" s="10" t="s">
        <v>3993</v>
      </c>
      <c r="W2946" s="50">
        <f>+J2946/$W$2</f>
        <v>3.0843340845572301E-4</v>
      </c>
    </row>
    <row r="2947" spans="1:29">
      <c r="A2947" s="10" t="s">
        <v>1607</v>
      </c>
      <c r="B2947" s="10" t="s">
        <v>358</v>
      </c>
      <c r="C2947" s="124">
        <v>46534</v>
      </c>
      <c r="D2947" s="124" t="s">
        <v>471</v>
      </c>
      <c r="E2947" s="21">
        <v>0.84043294000000002</v>
      </c>
      <c r="F2947" s="10"/>
      <c r="G2947" s="14">
        <v>31000000</v>
      </c>
      <c r="H2947" s="14">
        <v>26053421.190000001</v>
      </c>
      <c r="I2947" s="14">
        <v>31000000</v>
      </c>
      <c r="J2947" s="14">
        <v>26053421.190000001</v>
      </c>
      <c r="K2947" s="12">
        <v>4482</v>
      </c>
      <c r="L2947" s="10" t="s">
        <v>101</v>
      </c>
      <c r="M2947" s="10" t="s">
        <v>102</v>
      </c>
      <c r="N2947" s="124" t="s">
        <v>487</v>
      </c>
      <c r="O2947" s="124" t="s">
        <v>487</v>
      </c>
      <c r="P2947" s="21">
        <v>33</v>
      </c>
      <c r="Q2947" s="10" t="s">
        <v>54</v>
      </c>
      <c r="R2947" s="10" t="s">
        <v>28</v>
      </c>
      <c r="S2947" s="10"/>
      <c r="T2947" s="10"/>
      <c r="U2947" s="10" t="s">
        <v>1571</v>
      </c>
      <c r="V2947" s="10" t="s">
        <v>1571</v>
      </c>
      <c r="W2947" s="50">
        <f>+J2947/$W$2</f>
        <v>3.1885859275708337E-4</v>
      </c>
    </row>
    <row r="2948" spans="1:29">
      <c r="A2948" s="10" t="s">
        <v>4052</v>
      </c>
      <c r="B2948" s="10" t="s">
        <v>358</v>
      </c>
      <c r="C2948" s="124">
        <v>46534</v>
      </c>
      <c r="D2948" s="124" t="s">
        <v>471</v>
      </c>
      <c r="E2948" s="21">
        <v>0.84043292999999997</v>
      </c>
      <c r="F2948" s="10"/>
      <c r="G2948" s="14">
        <v>29918092.050000001</v>
      </c>
      <c r="H2948" s="14">
        <v>25144149.620000001</v>
      </c>
      <c r="I2948" s="14">
        <v>29918092.050000001</v>
      </c>
      <c r="J2948" s="14">
        <v>25144149.620000001</v>
      </c>
      <c r="K2948" s="12">
        <v>3942</v>
      </c>
      <c r="L2948" s="10" t="s">
        <v>101</v>
      </c>
      <c r="M2948" s="10" t="s">
        <v>102</v>
      </c>
      <c r="N2948" s="124" t="s">
        <v>469</v>
      </c>
      <c r="O2948" s="124" t="s">
        <v>469</v>
      </c>
      <c r="P2948" s="21">
        <v>33</v>
      </c>
      <c r="Q2948" s="10" t="s">
        <v>54</v>
      </c>
      <c r="R2948" s="10" t="s">
        <v>28</v>
      </c>
      <c r="S2948" s="10"/>
      <c r="T2948" s="10"/>
      <c r="U2948" s="10" t="s">
        <v>3995</v>
      </c>
      <c r="V2948" s="10" t="s">
        <v>3995</v>
      </c>
      <c r="W2948" s="50">
        <f>+J2948/$W$2</f>
        <v>3.0773034011303115E-4</v>
      </c>
    </row>
    <row r="2949" spans="1:29">
      <c r="A2949" s="10" t="s">
        <v>4055</v>
      </c>
      <c r="B2949" s="10" t="s">
        <v>358</v>
      </c>
      <c r="C2949" s="124">
        <v>46535</v>
      </c>
      <c r="D2949" s="124" t="s">
        <v>471</v>
      </c>
      <c r="E2949" s="21">
        <v>0.89636556999999994</v>
      </c>
      <c r="F2949" s="10"/>
      <c r="G2949" s="14">
        <v>4412500</v>
      </c>
      <c r="H2949" s="14">
        <v>3955213.08</v>
      </c>
      <c r="I2949" s="14">
        <v>4412500</v>
      </c>
      <c r="J2949" s="14">
        <v>3955213.08</v>
      </c>
      <c r="K2949" s="12">
        <v>70031136</v>
      </c>
      <c r="L2949" s="10" t="s">
        <v>101</v>
      </c>
      <c r="M2949" s="10" t="s">
        <v>102</v>
      </c>
      <c r="N2949" s="124" t="s">
        <v>469</v>
      </c>
      <c r="O2949" s="124" t="s">
        <v>469</v>
      </c>
      <c r="P2949" s="21">
        <v>20</v>
      </c>
      <c r="Q2949" s="10" t="s">
        <v>54</v>
      </c>
      <c r="R2949" s="10" t="s">
        <v>28</v>
      </c>
      <c r="S2949" s="10"/>
      <c r="T2949" s="10"/>
      <c r="U2949" s="10" t="s">
        <v>4043</v>
      </c>
      <c r="V2949" s="10" t="s">
        <v>4043</v>
      </c>
      <c r="W2949" s="50">
        <f>+J2949/$W$2</f>
        <v>4.8406451787885495E-5</v>
      </c>
    </row>
    <row r="2950" spans="1:29">
      <c r="A2950" s="10" t="s">
        <v>2436</v>
      </c>
      <c r="B2950" s="10" t="s">
        <v>358</v>
      </c>
      <c r="C2950" s="124">
        <v>46535</v>
      </c>
      <c r="D2950" s="124" t="s">
        <v>471</v>
      </c>
      <c r="E2950" s="21">
        <v>0.83171945999999997</v>
      </c>
      <c r="F2950" s="10"/>
      <c r="G2950" s="14">
        <v>12500000</v>
      </c>
      <c r="H2950" s="14">
        <v>10396493.279999999</v>
      </c>
      <c r="I2950" s="14">
        <v>12500000</v>
      </c>
      <c r="J2950" s="14">
        <v>10396493.279999999</v>
      </c>
      <c r="K2950" s="12">
        <v>25</v>
      </c>
      <c r="L2950" s="10" t="s">
        <v>101</v>
      </c>
      <c r="M2950" s="10" t="s">
        <v>102</v>
      </c>
      <c r="N2950" s="124" t="s">
        <v>445</v>
      </c>
      <c r="O2950" s="124" t="s">
        <v>445</v>
      </c>
      <c r="P2950" s="21">
        <v>35</v>
      </c>
      <c r="Q2950" s="10" t="s">
        <v>54</v>
      </c>
      <c r="R2950" s="10" t="s">
        <v>28</v>
      </c>
      <c r="S2950" s="10"/>
      <c r="T2950" s="10"/>
      <c r="U2950" s="10" t="s">
        <v>2848</v>
      </c>
      <c r="V2950" s="10" t="s">
        <v>2848</v>
      </c>
      <c r="W2950" s="50">
        <f>+J2950/$W$2</f>
        <v>1.2723899839080111E-4</v>
      </c>
      <c r="AC2950" s="47"/>
    </row>
    <row r="2951" spans="1:29">
      <c r="A2951" s="10" t="s">
        <v>2825</v>
      </c>
      <c r="B2951" s="10" t="s">
        <v>125</v>
      </c>
      <c r="C2951" s="124">
        <v>46541</v>
      </c>
      <c r="D2951" s="124" t="s">
        <v>471</v>
      </c>
      <c r="E2951" s="21">
        <v>0.94921078000000003</v>
      </c>
      <c r="F2951" s="10" t="s">
        <v>4162</v>
      </c>
      <c r="G2951" s="14">
        <v>500000</v>
      </c>
      <c r="H2951" s="14">
        <v>474605.39</v>
      </c>
      <c r="I2951" s="14">
        <v>769796510.45000005</v>
      </c>
      <c r="J2951" s="14">
        <v>730699146.13</v>
      </c>
      <c r="K2951" s="12">
        <v>169666</v>
      </c>
      <c r="L2951" s="10" t="s">
        <v>101</v>
      </c>
      <c r="M2951" s="10" t="s">
        <v>102</v>
      </c>
      <c r="N2951" s="124" t="s">
        <v>417</v>
      </c>
      <c r="O2951" s="124" t="s">
        <v>417</v>
      </c>
      <c r="P2951" s="21">
        <v>9</v>
      </c>
      <c r="Q2951" s="10" t="s">
        <v>54</v>
      </c>
      <c r="R2951" s="10" t="s">
        <v>28</v>
      </c>
      <c r="S2951" s="10"/>
      <c r="T2951" s="10"/>
      <c r="U2951" s="10" t="s">
        <v>3301</v>
      </c>
      <c r="V2951" s="10" t="s">
        <v>3301</v>
      </c>
      <c r="W2951" s="50">
        <f>+J2951/$W$2</f>
        <v>8.9427680059631434E-3</v>
      </c>
    </row>
    <row r="2952" spans="1:29">
      <c r="A2952" s="10" t="s">
        <v>4166</v>
      </c>
      <c r="B2952" s="10" t="s">
        <v>358</v>
      </c>
      <c r="C2952" s="124">
        <v>46548</v>
      </c>
      <c r="D2952" s="124" t="s">
        <v>471</v>
      </c>
      <c r="E2952" s="21">
        <v>0.89067848000000005</v>
      </c>
      <c r="F2952" s="10"/>
      <c r="G2952" s="14">
        <v>3582000</v>
      </c>
      <c r="H2952" s="14">
        <v>3190410.3</v>
      </c>
      <c r="I2952" s="14">
        <v>3582000</v>
      </c>
      <c r="J2952" s="14">
        <v>3190410.3</v>
      </c>
      <c r="K2952" s="12">
        <v>2012495</v>
      </c>
      <c r="L2952" s="10" t="s">
        <v>101</v>
      </c>
      <c r="M2952" s="10" t="s">
        <v>102</v>
      </c>
      <c r="N2952" s="124" t="s">
        <v>471</v>
      </c>
      <c r="O2952" s="124" t="s">
        <v>471</v>
      </c>
      <c r="P2952" s="21">
        <v>20</v>
      </c>
      <c r="Q2952" s="10" t="s">
        <v>54</v>
      </c>
      <c r="R2952" s="10" t="s">
        <v>28</v>
      </c>
      <c r="S2952" s="10"/>
      <c r="T2952" s="10"/>
      <c r="U2952" s="10" t="s">
        <v>4109</v>
      </c>
      <c r="V2952" s="10" t="s">
        <v>4109</v>
      </c>
      <c r="W2952" s="50">
        <f>+J2952/$W$2</f>
        <v>3.9046301487889313E-5</v>
      </c>
    </row>
    <row r="2953" spans="1:29">
      <c r="A2953" s="10" t="s">
        <v>4167</v>
      </c>
      <c r="B2953" s="10" t="s">
        <v>358</v>
      </c>
      <c r="C2953" s="124">
        <v>46548</v>
      </c>
      <c r="D2953" s="124" t="s">
        <v>471</v>
      </c>
      <c r="E2953" s="21">
        <v>0.89067848000000005</v>
      </c>
      <c r="F2953" s="10"/>
      <c r="G2953" s="14">
        <v>4462500</v>
      </c>
      <c r="H2953" s="14">
        <v>3974652.73</v>
      </c>
      <c r="I2953" s="14">
        <v>4462500</v>
      </c>
      <c r="J2953" s="14">
        <v>3974652.73</v>
      </c>
      <c r="K2953" s="12">
        <v>33823275</v>
      </c>
      <c r="L2953" s="10" t="s">
        <v>101</v>
      </c>
      <c r="M2953" s="10" t="s">
        <v>102</v>
      </c>
      <c r="N2953" s="124" t="s">
        <v>471</v>
      </c>
      <c r="O2953" s="124" t="s">
        <v>471</v>
      </c>
      <c r="P2953" s="21">
        <v>20</v>
      </c>
      <c r="Q2953" s="10" t="s">
        <v>54</v>
      </c>
      <c r="R2953" s="10" t="s">
        <v>28</v>
      </c>
      <c r="S2953" s="10"/>
      <c r="T2953" s="10"/>
      <c r="U2953" s="10" t="s">
        <v>4113</v>
      </c>
      <c r="V2953" s="10" t="s">
        <v>4113</v>
      </c>
      <c r="W2953" s="50">
        <f>+J2953/$W$2</f>
        <v>4.8644366777916412E-5</v>
      </c>
    </row>
    <row r="2954" spans="1:29">
      <c r="A2954" s="10" t="s">
        <v>2315</v>
      </c>
      <c r="B2954" s="10" t="s">
        <v>358</v>
      </c>
      <c r="C2954" s="124">
        <v>46552</v>
      </c>
      <c r="D2954" s="124" t="s">
        <v>471</v>
      </c>
      <c r="E2954" s="21">
        <v>0.82909337999999999</v>
      </c>
      <c r="F2954" s="10"/>
      <c r="G2954" s="14">
        <v>15000000</v>
      </c>
      <c r="H2954" s="14">
        <v>12436400.710000001</v>
      </c>
      <c r="I2954" s="14">
        <v>15000000</v>
      </c>
      <c r="J2954" s="14">
        <v>12436400.710000001</v>
      </c>
      <c r="K2954" s="12">
        <v>11349753</v>
      </c>
      <c r="L2954" s="10" t="s">
        <v>101</v>
      </c>
      <c r="M2954" s="10" t="s">
        <v>102</v>
      </c>
      <c r="N2954" s="124" t="s">
        <v>468</v>
      </c>
      <c r="O2954" s="124" t="s">
        <v>468</v>
      </c>
      <c r="P2954" s="21">
        <v>33</v>
      </c>
      <c r="Q2954" s="10" t="s">
        <v>54</v>
      </c>
      <c r="R2954" s="10" t="s">
        <v>28</v>
      </c>
      <c r="S2954" s="10"/>
      <c r="T2954" s="10"/>
      <c r="U2954" s="10" t="s">
        <v>3836</v>
      </c>
      <c r="V2954" s="10" t="s">
        <v>3836</v>
      </c>
      <c r="W2954" s="50">
        <f>+J2954/$W$2</f>
        <v>1.5220470280793064E-4</v>
      </c>
    </row>
    <row r="2955" spans="1:29">
      <c r="A2955" s="10" t="s">
        <v>4169</v>
      </c>
      <c r="B2955" s="10" t="s">
        <v>358</v>
      </c>
      <c r="C2955" s="124">
        <v>46552</v>
      </c>
      <c r="D2955" s="124" t="s">
        <v>471</v>
      </c>
      <c r="E2955" s="21">
        <v>0.88894309000000005</v>
      </c>
      <c r="F2955" s="10"/>
      <c r="G2955" s="14">
        <v>5468750</v>
      </c>
      <c r="H2955" s="14">
        <v>4861407.55</v>
      </c>
      <c r="I2955" s="14">
        <v>5468750</v>
      </c>
      <c r="J2955" s="14">
        <v>4861407.55</v>
      </c>
      <c r="K2955" s="12">
        <v>682060</v>
      </c>
      <c r="L2955" s="10" t="s">
        <v>101</v>
      </c>
      <c r="M2955" s="10" t="s">
        <v>102</v>
      </c>
      <c r="N2955" s="124" t="s">
        <v>471</v>
      </c>
      <c r="O2955" s="124" t="s">
        <v>471</v>
      </c>
      <c r="P2955" s="21">
        <v>20</v>
      </c>
      <c r="Q2955" s="10" t="s">
        <v>54</v>
      </c>
      <c r="R2955" s="10" t="s">
        <v>28</v>
      </c>
      <c r="S2955" s="10"/>
      <c r="T2955" s="10"/>
      <c r="U2955" s="10" t="s">
        <v>4117</v>
      </c>
      <c r="V2955" s="10" t="s">
        <v>4117</v>
      </c>
      <c r="W2955" s="50">
        <f>+J2955/$W$2</f>
        <v>5.9497044895072384E-5</v>
      </c>
    </row>
    <row r="2956" spans="1:29">
      <c r="A2956" s="10" t="s">
        <v>432</v>
      </c>
      <c r="B2956" s="10" t="s">
        <v>125</v>
      </c>
      <c r="C2956" s="124">
        <v>46553</v>
      </c>
      <c r="D2956" s="124" t="s">
        <v>471</v>
      </c>
      <c r="E2956" s="21">
        <v>0.95221283999999995</v>
      </c>
      <c r="F2956" s="10" t="s">
        <v>4162</v>
      </c>
      <c r="G2956" s="14">
        <v>18230</v>
      </c>
      <c r="H2956" s="14">
        <v>17358.84</v>
      </c>
      <c r="I2956" s="14">
        <v>28066780.77</v>
      </c>
      <c r="J2956" s="14">
        <v>26725548.91</v>
      </c>
      <c r="K2956" s="12">
        <v>146455</v>
      </c>
      <c r="L2956" s="10" t="s">
        <v>101</v>
      </c>
      <c r="M2956" s="10" t="s">
        <v>102</v>
      </c>
      <c r="N2956" s="124" t="s">
        <v>294</v>
      </c>
      <c r="O2956" s="124" t="s">
        <v>294</v>
      </c>
      <c r="P2956" s="21">
        <v>8</v>
      </c>
      <c r="Q2956" s="10" t="s">
        <v>54</v>
      </c>
      <c r="R2956" s="10" t="s">
        <v>28</v>
      </c>
      <c r="S2956" s="10"/>
      <c r="T2956" s="10"/>
      <c r="U2956" s="10" t="s">
        <v>420</v>
      </c>
      <c r="V2956" s="10" t="s">
        <v>420</v>
      </c>
      <c r="W2956" s="50">
        <f>+J2956/$W$2</f>
        <v>3.2708452582703605E-4</v>
      </c>
    </row>
    <row r="2957" spans="1:29">
      <c r="A2957" s="10" t="s">
        <v>367</v>
      </c>
      <c r="B2957" s="10" t="s">
        <v>358</v>
      </c>
      <c r="C2957" s="124">
        <v>46554</v>
      </c>
      <c r="D2957" s="124" t="s">
        <v>471</v>
      </c>
      <c r="E2957" s="21">
        <v>0.83219346999999999</v>
      </c>
      <c r="F2957" s="10"/>
      <c r="G2957" s="14">
        <v>2833000</v>
      </c>
      <c r="H2957" s="14">
        <v>2357604.11</v>
      </c>
      <c r="I2957" s="14">
        <v>2833000</v>
      </c>
      <c r="J2957" s="14">
        <v>2357604.11</v>
      </c>
      <c r="K2957" s="12">
        <v>90000062</v>
      </c>
      <c r="L2957" s="10" t="s">
        <v>101</v>
      </c>
      <c r="M2957" s="10" t="s">
        <v>102</v>
      </c>
      <c r="N2957" s="124" t="s">
        <v>477</v>
      </c>
      <c r="O2957" s="124" t="s">
        <v>477</v>
      </c>
      <c r="P2957" s="21">
        <v>32</v>
      </c>
      <c r="Q2957" s="10" t="s">
        <v>54</v>
      </c>
      <c r="R2957" s="10" t="s">
        <v>28</v>
      </c>
      <c r="S2957" s="10"/>
      <c r="T2957" s="10"/>
      <c r="U2957" s="10" t="s">
        <v>2393</v>
      </c>
      <c r="V2957" s="10" t="s">
        <v>2393</v>
      </c>
      <c r="W2957" s="50">
        <f>+J2957/$W$2</f>
        <v>2.8853881542492188E-5</v>
      </c>
    </row>
    <row r="2958" spans="1:29">
      <c r="A2958" s="10" t="s">
        <v>3894</v>
      </c>
      <c r="B2958" s="10" t="s">
        <v>358</v>
      </c>
      <c r="C2958" s="124">
        <v>46555</v>
      </c>
      <c r="D2958" s="124" t="s">
        <v>471</v>
      </c>
      <c r="E2958" s="21">
        <v>0.84492712000000003</v>
      </c>
      <c r="F2958" s="10"/>
      <c r="G2958" s="14">
        <v>85000000</v>
      </c>
      <c r="H2958" s="14">
        <v>71818804.780000001</v>
      </c>
      <c r="I2958" s="14">
        <v>85000000</v>
      </c>
      <c r="J2958" s="14">
        <v>71818804.780000001</v>
      </c>
      <c r="K2958" s="12">
        <v>9844159</v>
      </c>
      <c r="L2958" s="10" t="s">
        <v>101</v>
      </c>
      <c r="M2958" s="10" t="s">
        <v>102</v>
      </c>
      <c r="N2958" s="124" t="s">
        <v>471</v>
      </c>
      <c r="O2958" s="124" t="s">
        <v>471</v>
      </c>
      <c r="P2958" s="21">
        <v>29</v>
      </c>
      <c r="Q2958" s="10" t="s">
        <v>54</v>
      </c>
      <c r="R2958" s="10" t="s">
        <v>28</v>
      </c>
      <c r="S2958" s="10"/>
      <c r="T2958" s="10"/>
      <c r="U2958" s="10" t="s">
        <v>4094</v>
      </c>
      <c r="V2958" s="10" t="s">
        <v>4094</v>
      </c>
      <c r="W2958" s="50">
        <f>+J2958/$W$2</f>
        <v>8.7896491054449851E-4</v>
      </c>
    </row>
    <row r="2959" spans="1:29">
      <c r="A2959" s="10" t="s">
        <v>4168</v>
      </c>
      <c r="B2959" s="10" t="s">
        <v>358</v>
      </c>
      <c r="C2959" s="124">
        <v>46562</v>
      </c>
      <c r="D2959" s="124" t="s">
        <v>471</v>
      </c>
      <c r="E2959" s="21">
        <v>0.88463415000000001</v>
      </c>
      <c r="F2959" s="10"/>
      <c r="G2959" s="14">
        <v>2583333</v>
      </c>
      <c r="H2959" s="14">
        <v>2285304.59</v>
      </c>
      <c r="I2959" s="14">
        <v>2583333</v>
      </c>
      <c r="J2959" s="14">
        <v>2285304.59</v>
      </c>
      <c r="K2959" s="12">
        <v>40006963</v>
      </c>
      <c r="L2959" s="10" t="s">
        <v>101</v>
      </c>
      <c r="M2959" s="10" t="s">
        <v>102</v>
      </c>
      <c r="N2959" s="124" t="s">
        <v>471</v>
      </c>
      <c r="O2959" s="124" t="s">
        <v>471</v>
      </c>
      <c r="P2959" s="21">
        <v>20</v>
      </c>
      <c r="Q2959" s="10" t="s">
        <v>54</v>
      </c>
      <c r="R2959" s="10" t="s">
        <v>28</v>
      </c>
      <c r="S2959" s="10"/>
      <c r="T2959" s="10"/>
      <c r="U2959" s="10" t="s">
        <v>4115</v>
      </c>
      <c r="V2959" s="10" t="s">
        <v>4115</v>
      </c>
      <c r="W2959" s="50">
        <f>+J2959/$W$2</f>
        <v>2.79690333286591E-5</v>
      </c>
    </row>
    <row r="2960" spans="1:29">
      <c r="A2960" s="10" t="s">
        <v>2319</v>
      </c>
      <c r="B2960" s="10" t="s">
        <v>358</v>
      </c>
      <c r="C2960" s="124">
        <v>46575</v>
      </c>
      <c r="D2960" s="124" t="s">
        <v>471</v>
      </c>
      <c r="E2960" s="21">
        <v>0.81504149000000004</v>
      </c>
      <c r="F2960" s="10"/>
      <c r="G2960" s="14">
        <v>5504622.8200000003</v>
      </c>
      <c r="H2960" s="14">
        <v>4486495.99</v>
      </c>
      <c r="I2960" s="14">
        <v>5504622.8200000003</v>
      </c>
      <c r="J2960" s="14">
        <v>4486495.99</v>
      </c>
      <c r="K2960" s="12">
        <v>11121186</v>
      </c>
      <c r="L2960" s="10" t="s">
        <v>101</v>
      </c>
      <c r="M2960" s="10" t="s">
        <v>102</v>
      </c>
      <c r="N2960" s="124" t="s">
        <v>439</v>
      </c>
      <c r="O2960" s="124" t="s">
        <v>439</v>
      </c>
      <c r="P2960" s="21">
        <v>33</v>
      </c>
      <c r="Q2960" s="10" t="s">
        <v>54</v>
      </c>
      <c r="R2960" s="10" t="s">
        <v>28</v>
      </c>
      <c r="S2960" s="10"/>
      <c r="T2960" s="10"/>
      <c r="U2960" s="10" t="s">
        <v>2265</v>
      </c>
      <c r="V2960" s="10" t="s">
        <v>2265</v>
      </c>
      <c r="W2960" s="50">
        <f>+J2960/$W$2</f>
        <v>5.4908635121240197E-5</v>
      </c>
    </row>
    <row r="2961" spans="1:29">
      <c r="A2961" s="10" t="s">
        <v>432</v>
      </c>
      <c r="B2961" s="10" t="s">
        <v>125</v>
      </c>
      <c r="C2961" s="124">
        <v>46582</v>
      </c>
      <c r="D2961" s="124" t="s">
        <v>471</v>
      </c>
      <c r="E2961" s="21">
        <v>0.94647760999999997</v>
      </c>
      <c r="F2961" s="10" t="s">
        <v>4162</v>
      </c>
      <c r="G2961" s="14">
        <v>20100</v>
      </c>
      <c r="H2961" s="14">
        <v>19024.2</v>
      </c>
      <c r="I2961" s="14">
        <v>30945819.719999999</v>
      </c>
      <c r="J2961" s="14">
        <v>29289525.550000001</v>
      </c>
      <c r="K2961" s="12">
        <v>160644</v>
      </c>
      <c r="L2961" s="10" t="s">
        <v>101</v>
      </c>
      <c r="M2961" s="10" t="s">
        <v>102</v>
      </c>
      <c r="N2961" s="124" t="s">
        <v>372</v>
      </c>
      <c r="O2961" s="124" t="s">
        <v>372</v>
      </c>
      <c r="P2961" s="21">
        <v>8</v>
      </c>
      <c r="Q2961" s="10" t="s">
        <v>54</v>
      </c>
      <c r="R2961" s="10" t="s">
        <v>28</v>
      </c>
      <c r="S2961" s="10"/>
      <c r="T2961" s="10"/>
      <c r="U2961" s="10" t="s">
        <v>958</v>
      </c>
      <c r="V2961" s="10" t="s">
        <v>958</v>
      </c>
      <c r="W2961" s="50">
        <f>+J2961/$W$2</f>
        <v>3.5846412765860782E-4</v>
      </c>
    </row>
    <row r="2962" spans="1:29">
      <c r="A2962" s="10" t="s">
        <v>2319</v>
      </c>
      <c r="B2962" s="10" t="s">
        <v>358</v>
      </c>
      <c r="C2962" s="124">
        <v>46587</v>
      </c>
      <c r="D2962" s="124" t="s">
        <v>471</v>
      </c>
      <c r="E2962" s="21">
        <v>0.80789749</v>
      </c>
      <c r="F2962" s="10"/>
      <c r="G2962" s="14">
        <v>15885271.07</v>
      </c>
      <c r="H2962" s="14">
        <v>12833670.6</v>
      </c>
      <c r="I2962" s="14">
        <v>15885271.07</v>
      </c>
      <c r="J2962" s="14">
        <v>12833670.6</v>
      </c>
      <c r="K2962" s="12">
        <v>11121183</v>
      </c>
      <c r="L2962" s="10" t="s">
        <v>101</v>
      </c>
      <c r="M2962" s="10" t="s">
        <v>102</v>
      </c>
      <c r="N2962" s="124" t="s">
        <v>439</v>
      </c>
      <c r="O2962" s="124" t="s">
        <v>439</v>
      </c>
      <c r="P2962" s="21">
        <v>33</v>
      </c>
      <c r="Q2962" s="10" t="s">
        <v>54</v>
      </c>
      <c r="R2962" s="10" t="s">
        <v>28</v>
      </c>
      <c r="S2962" s="10"/>
      <c r="T2962" s="10"/>
      <c r="U2962" s="10" t="s">
        <v>2268</v>
      </c>
      <c r="V2962" s="10" t="s">
        <v>2268</v>
      </c>
      <c r="W2962" s="50">
        <f>+J2962/$W$2</f>
        <v>1.570667482623979E-4</v>
      </c>
      <c r="AC2962" s="47"/>
    </row>
    <row r="2963" spans="1:29">
      <c r="A2963" s="10" t="s">
        <v>3595</v>
      </c>
      <c r="B2963" s="10" t="s">
        <v>358</v>
      </c>
      <c r="C2963" s="124">
        <v>46587</v>
      </c>
      <c r="D2963" s="124" t="s">
        <v>471</v>
      </c>
      <c r="E2963" s="21">
        <v>0.80322185000000001</v>
      </c>
      <c r="F2963" s="10"/>
      <c r="G2963" s="14">
        <v>18692268.289999999</v>
      </c>
      <c r="H2963" s="14">
        <v>15014038.26</v>
      </c>
      <c r="I2963" s="14">
        <v>18692268.289999999</v>
      </c>
      <c r="J2963" s="14">
        <v>15014038.26</v>
      </c>
      <c r="K2963" s="12">
        <v>1922</v>
      </c>
      <c r="L2963" s="10" t="s">
        <v>101</v>
      </c>
      <c r="M2963" s="10" t="s">
        <v>102</v>
      </c>
      <c r="N2963" s="124" t="s">
        <v>451</v>
      </c>
      <c r="O2963" s="124" t="s">
        <v>451</v>
      </c>
      <c r="P2963" s="21">
        <v>34</v>
      </c>
      <c r="Q2963" s="10" t="s">
        <v>54</v>
      </c>
      <c r="R2963" s="10" t="s">
        <v>28</v>
      </c>
      <c r="S2963" s="10"/>
      <c r="T2963" s="10"/>
      <c r="U2963" s="10" t="s">
        <v>3452</v>
      </c>
      <c r="V2963" s="10" t="s">
        <v>3452</v>
      </c>
      <c r="W2963" s="50">
        <f>+J2963/$W$2</f>
        <v>1.8375149567773937E-4</v>
      </c>
    </row>
    <row r="2964" spans="1:29">
      <c r="A2964" s="10" t="s">
        <v>2319</v>
      </c>
      <c r="B2964" s="10" t="s">
        <v>358</v>
      </c>
      <c r="C2964" s="124">
        <v>46589</v>
      </c>
      <c r="D2964" s="124" t="s">
        <v>471</v>
      </c>
      <c r="E2964" s="21">
        <v>0.80671906999999998</v>
      </c>
      <c r="F2964" s="10"/>
      <c r="G2964" s="14">
        <v>13120819.52</v>
      </c>
      <c r="H2964" s="14">
        <v>10584815.369999999</v>
      </c>
      <c r="I2964" s="14">
        <v>13120819.52</v>
      </c>
      <c r="J2964" s="14">
        <v>10584815.369999999</v>
      </c>
      <c r="K2964" s="12">
        <v>11121180</v>
      </c>
      <c r="L2964" s="10" t="s">
        <v>101</v>
      </c>
      <c r="M2964" s="10" t="s">
        <v>102</v>
      </c>
      <c r="N2964" s="124" t="s">
        <v>439</v>
      </c>
      <c r="O2964" s="124" t="s">
        <v>439</v>
      </c>
      <c r="P2964" s="21">
        <v>33</v>
      </c>
      <c r="Q2964" s="10" t="s">
        <v>54</v>
      </c>
      <c r="R2964" s="10" t="s">
        <v>28</v>
      </c>
      <c r="S2964" s="10"/>
      <c r="T2964" s="10"/>
      <c r="U2964" s="10" t="s">
        <v>2274</v>
      </c>
      <c r="V2964" s="10" t="s">
        <v>2274</v>
      </c>
      <c r="W2964" s="50">
        <f>+J2964/$W$2</f>
        <v>1.2954380573892478E-4</v>
      </c>
      <c r="AC2964" s="47"/>
    </row>
    <row r="2965" spans="1:29">
      <c r="A2965" s="10" t="s">
        <v>4168</v>
      </c>
      <c r="B2965" s="10" t="s">
        <v>358</v>
      </c>
      <c r="C2965" s="124">
        <v>46589</v>
      </c>
      <c r="D2965" s="124" t="s">
        <v>471</v>
      </c>
      <c r="E2965" s="21">
        <v>0.87320580000000003</v>
      </c>
      <c r="F2965" s="10"/>
      <c r="G2965" s="14">
        <v>2583333</v>
      </c>
      <c r="H2965" s="14">
        <v>2255781.37</v>
      </c>
      <c r="I2965" s="14">
        <v>2583333</v>
      </c>
      <c r="J2965" s="14">
        <v>2255781.37</v>
      </c>
      <c r="K2965" s="12">
        <v>40006964</v>
      </c>
      <c r="L2965" s="10" t="s">
        <v>101</v>
      </c>
      <c r="M2965" s="10" t="s">
        <v>102</v>
      </c>
      <c r="N2965" s="124" t="s">
        <v>471</v>
      </c>
      <c r="O2965" s="124" t="s">
        <v>471</v>
      </c>
      <c r="P2965" s="21">
        <v>20</v>
      </c>
      <c r="Q2965" s="10" t="s">
        <v>54</v>
      </c>
      <c r="R2965" s="10" t="s">
        <v>28</v>
      </c>
      <c r="S2965" s="10"/>
      <c r="T2965" s="10"/>
      <c r="U2965" s="10" t="s">
        <v>4114</v>
      </c>
      <c r="V2965" s="10" t="s">
        <v>4114</v>
      </c>
      <c r="W2965" s="50">
        <f>+J2965/$W$2</f>
        <v>2.7607709097411077E-5</v>
      </c>
    </row>
    <row r="2966" spans="1:29">
      <c r="A2966" s="10" t="s">
        <v>2901</v>
      </c>
      <c r="B2966" s="10" t="s">
        <v>358</v>
      </c>
      <c r="C2966" s="124">
        <v>46589</v>
      </c>
      <c r="D2966" s="124" t="s">
        <v>471</v>
      </c>
      <c r="E2966" s="21">
        <v>0.80671904999999999</v>
      </c>
      <c r="F2966" s="10"/>
      <c r="G2966" s="14">
        <v>13767552</v>
      </c>
      <c r="H2966" s="14">
        <v>11106546.470000001</v>
      </c>
      <c r="I2966" s="14">
        <v>13767552</v>
      </c>
      <c r="J2966" s="14">
        <v>11106546.470000001</v>
      </c>
      <c r="K2966" s="12">
        <v>10747024</v>
      </c>
      <c r="L2966" s="10" t="s">
        <v>101</v>
      </c>
      <c r="M2966" s="10" t="s">
        <v>102</v>
      </c>
      <c r="N2966" s="124" t="s">
        <v>413</v>
      </c>
      <c r="O2966" s="124" t="s">
        <v>413</v>
      </c>
      <c r="P2966" s="21">
        <v>33</v>
      </c>
      <c r="Q2966" s="10" t="s">
        <v>54</v>
      </c>
      <c r="R2966" s="10" t="s">
        <v>28</v>
      </c>
      <c r="S2966" s="10"/>
      <c r="T2966" s="10"/>
      <c r="U2966" s="10" t="s">
        <v>2884</v>
      </c>
      <c r="V2966" s="10" t="s">
        <v>2884</v>
      </c>
      <c r="W2966" s="50">
        <f>+J2966/$W$2</f>
        <v>1.3592908785333124E-4</v>
      </c>
    </row>
    <row r="2967" spans="1:29">
      <c r="A2967" s="10" t="s">
        <v>284</v>
      </c>
      <c r="B2967" s="10" t="s">
        <v>125</v>
      </c>
      <c r="C2967" s="124">
        <v>46596</v>
      </c>
      <c r="D2967" s="124" t="s">
        <v>471</v>
      </c>
      <c r="E2967" s="21">
        <v>0.93064778000000004</v>
      </c>
      <c r="F2967" s="10" t="s">
        <v>4162</v>
      </c>
      <c r="G2967" s="14">
        <v>20856</v>
      </c>
      <c r="H2967" s="14">
        <v>19409.59</v>
      </c>
      <c r="I2967" s="14">
        <v>32109752.039999999</v>
      </c>
      <c r="J2967" s="14">
        <v>29882869.300000001</v>
      </c>
      <c r="K2967" s="12">
        <v>134917</v>
      </c>
      <c r="L2967" s="10" t="s">
        <v>101</v>
      </c>
      <c r="M2967" s="10" t="s">
        <v>102</v>
      </c>
      <c r="N2967" s="124" t="s">
        <v>139</v>
      </c>
      <c r="O2967" s="124" t="s">
        <v>139</v>
      </c>
      <c r="P2967" s="21">
        <v>10</v>
      </c>
      <c r="Q2967" s="10" t="s">
        <v>54</v>
      </c>
      <c r="R2967" s="10" t="s">
        <v>28</v>
      </c>
      <c r="S2967" s="10"/>
      <c r="T2967" s="10"/>
      <c r="U2967" s="10" t="s">
        <v>278</v>
      </c>
      <c r="V2967" s="10" t="s">
        <v>278</v>
      </c>
      <c r="W2967" s="50">
        <f>+J2967/$W$2</f>
        <v>3.657258516282348E-4</v>
      </c>
    </row>
    <row r="2968" spans="1:29">
      <c r="A2968" s="10" t="s">
        <v>4053</v>
      </c>
      <c r="B2968" s="10" t="s">
        <v>358</v>
      </c>
      <c r="C2968" s="124">
        <v>46601</v>
      </c>
      <c r="D2968" s="124" t="s">
        <v>471</v>
      </c>
      <c r="E2968" s="21">
        <v>0.79971972999999996</v>
      </c>
      <c r="F2968" s="10"/>
      <c r="G2968" s="14">
        <v>9933029.1600000001</v>
      </c>
      <c r="H2968" s="14">
        <v>7943639.3499999996</v>
      </c>
      <c r="I2968" s="14">
        <v>9933029.1600000001</v>
      </c>
      <c r="J2968" s="14">
        <v>7943639.3499999996</v>
      </c>
      <c r="K2968" s="12">
        <v>9836296</v>
      </c>
      <c r="L2968" s="10" t="s">
        <v>101</v>
      </c>
      <c r="M2968" s="10" t="s">
        <v>102</v>
      </c>
      <c r="N2968" s="124" t="s">
        <v>469</v>
      </c>
      <c r="O2968" s="124" t="s">
        <v>469</v>
      </c>
      <c r="P2968" s="21">
        <v>33</v>
      </c>
      <c r="Q2968" s="10" t="s">
        <v>54</v>
      </c>
      <c r="R2968" s="10" t="s">
        <v>28</v>
      </c>
      <c r="S2968" s="10"/>
      <c r="T2968" s="10"/>
      <c r="U2968" s="10" t="s">
        <v>3998</v>
      </c>
      <c r="V2968" s="10" t="s">
        <v>3998</v>
      </c>
      <c r="W2968" s="50">
        <f>+J2968/$W$2</f>
        <v>9.7219388042710722E-5</v>
      </c>
    </row>
    <row r="2969" spans="1:29">
      <c r="A2969" s="10" t="s">
        <v>2319</v>
      </c>
      <c r="B2969" s="10" t="s">
        <v>358</v>
      </c>
      <c r="C2969" s="124">
        <v>46604</v>
      </c>
      <c r="D2969" s="124" t="s">
        <v>471</v>
      </c>
      <c r="E2969" s="21">
        <v>0.79798871000000005</v>
      </c>
      <c r="F2969" s="10"/>
      <c r="G2969" s="14">
        <v>5504622.8200000003</v>
      </c>
      <c r="H2969" s="14">
        <v>4392626.8600000003</v>
      </c>
      <c r="I2969" s="14">
        <v>5504622.8200000003</v>
      </c>
      <c r="J2969" s="14">
        <v>4392626.8600000003</v>
      </c>
      <c r="K2969" s="12">
        <v>11121185</v>
      </c>
      <c r="L2969" s="10" t="s">
        <v>101</v>
      </c>
      <c r="M2969" s="10" t="s">
        <v>102</v>
      </c>
      <c r="N2969" s="124" t="s">
        <v>439</v>
      </c>
      <c r="O2969" s="124" t="s">
        <v>439</v>
      </c>
      <c r="P2969" s="21">
        <v>33</v>
      </c>
      <c r="Q2969" s="10" t="s">
        <v>54</v>
      </c>
      <c r="R2969" s="10" t="s">
        <v>28</v>
      </c>
      <c r="S2969" s="10"/>
      <c r="T2969" s="10"/>
      <c r="U2969" s="10" t="s">
        <v>2272</v>
      </c>
      <c r="V2969" s="10" t="s">
        <v>2272</v>
      </c>
      <c r="W2969" s="50">
        <f>+J2969/$W$2</f>
        <v>5.3759804091455134E-5</v>
      </c>
      <c r="AC2969"/>
    </row>
    <row r="2970" spans="1:29">
      <c r="A2970" s="10" t="s">
        <v>4166</v>
      </c>
      <c r="B2970" s="10" t="s">
        <v>358</v>
      </c>
      <c r="C2970" s="124">
        <v>46610</v>
      </c>
      <c r="D2970" s="124" t="s">
        <v>471</v>
      </c>
      <c r="E2970" s="21">
        <v>0.86451928</v>
      </c>
      <c r="F2970" s="10"/>
      <c r="G2970" s="14">
        <v>7700000</v>
      </c>
      <c r="H2970" s="14">
        <v>6656798.4500000002</v>
      </c>
      <c r="I2970" s="14">
        <v>7700000</v>
      </c>
      <c r="J2970" s="14">
        <v>6656798.4500000002</v>
      </c>
      <c r="K2970" s="12">
        <v>2012498</v>
      </c>
      <c r="L2970" s="10" t="s">
        <v>101</v>
      </c>
      <c r="M2970" s="10" t="s">
        <v>102</v>
      </c>
      <c r="N2970" s="124" t="s">
        <v>471</v>
      </c>
      <c r="O2970" s="124" t="s">
        <v>471</v>
      </c>
      <c r="P2970" s="21">
        <v>20</v>
      </c>
      <c r="Q2970" s="10" t="s">
        <v>54</v>
      </c>
      <c r="R2970" s="10" t="s">
        <v>28</v>
      </c>
      <c r="S2970" s="10"/>
      <c r="T2970" s="10"/>
      <c r="U2970" s="10" t="s">
        <v>4111</v>
      </c>
      <c r="V2970" s="10" t="s">
        <v>4111</v>
      </c>
      <c r="W2970" s="50">
        <f>+J2970/$W$2</f>
        <v>8.1470198119287134E-5</v>
      </c>
    </row>
    <row r="2971" spans="1:29">
      <c r="A2971" s="10" t="s">
        <v>2319</v>
      </c>
      <c r="B2971" s="10" t="s">
        <v>358</v>
      </c>
      <c r="C2971" s="124">
        <v>46618</v>
      </c>
      <c r="D2971" s="124" t="s">
        <v>471</v>
      </c>
      <c r="E2971" s="21">
        <v>0.79000919999999997</v>
      </c>
      <c r="F2971" s="10"/>
      <c r="G2971" s="14">
        <v>16097126.970000001</v>
      </c>
      <c r="H2971" s="14">
        <v>12716878.42</v>
      </c>
      <c r="I2971" s="14">
        <v>16097126.970000001</v>
      </c>
      <c r="J2971" s="14">
        <v>12716878.42</v>
      </c>
      <c r="K2971" s="12">
        <v>11121182</v>
      </c>
      <c r="L2971" s="10" t="s">
        <v>101</v>
      </c>
      <c r="M2971" s="10" t="s">
        <v>102</v>
      </c>
      <c r="N2971" s="124" t="s">
        <v>439</v>
      </c>
      <c r="O2971" s="124" t="s">
        <v>439</v>
      </c>
      <c r="P2971" s="21">
        <v>33</v>
      </c>
      <c r="Q2971" s="10" t="s">
        <v>54</v>
      </c>
      <c r="R2971" s="10" t="s">
        <v>28</v>
      </c>
      <c r="S2971" s="10"/>
      <c r="T2971" s="10"/>
      <c r="U2971" s="10" t="s">
        <v>2267</v>
      </c>
      <c r="V2971" s="10" t="s">
        <v>2267</v>
      </c>
      <c r="W2971" s="50">
        <f>+J2971/$W$2</f>
        <v>1.5563737014394466E-4</v>
      </c>
    </row>
    <row r="2972" spans="1:29">
      <c r="A2972" s="10" t="s">
        <v>2319</v>
      </c>
      <c r="B2972" s="10" t="s">
        <v>358</v>
      </c>
      <c r="C2972" s="124">
        <v>46618</v>
      </c>
      <c r="D2972" s="124" t="s">
        <v>471</v>
      </c>
      <c r="E2972" s="21">
        <v>0.79000919999999997</v>
      </c>
      <c r="F2972" s="10"/>
      <c r="G2972" s="14">
        <v>13593316.07</v>
      </c>
      <c r="H2972" s="14">
        <v>10738844.699999999</v>
      </c>
      <c r="I2972" s="14">
        <v>13593316.07</v>
      </c>
      <c r="J2972" s="14">
        <v>10738844.699999999</v>
      </c>
      <c r="K2972" s="12">
        <v>11121188</v>
      </c>
      <c r="L2972" s="10" t="s">
        <v>101</v>
      </c>
      <c r="M2972" s="10" t="s">
        <v>102</v>
      </c>
      <c r="N2972" s="124" t="s">
        <v>439</v>
      </c>
      <c r="O2972" s="124" t="s">
        <v>439</v>
      </c>
      <c r="P2972" s="21">
        <v>33</v>
      </c>
      <c r="Q2972" s="10" t="s">
        <v>54</v>
      </c>
      <c r="R2972" s="10" t="s">
        <v>28</v>
      </c>
      <c r="S2972" s="10"/>
      <c r="T2972" s="10"/>
      <c r="U2972" s="10" t="s">
        <v>2270</v>
      </c>
      <c r="V2972" s="10" t="s">
        <v>2270</v>
      </c>
      <c r="W2972" s="50">
        <f>+J2972/$W$2</f>
        <v>1.3142891614530654E-4</v>
      </c>
    </row>
    <row r="2973" spans="1:29">
      <c r="A2973" s="10" t="s">
        <v>2319</v>
      </c>
      <c r="B2973" s="10" t="s">
        <v>358</v>
      </c>
      <c r="C2973" s="124">
        <v>46618</v>
      </c>
      <c r="D2973" s="124" t="s">
        <v>471</v>
      </c>
      <c r="E2973" s="21">
        <v>0.79000919999999997</v>
      </c>
      <c r="F2973" s="10"/>
      <c r="G2973" s="14">
        <v>13295806.970000001</v>
      </c>
      <c r="H2973" s="14">
        <v>10503809.84</v>
      </c>
      <c r="I2973" s="14">
        <v>13295806.970000001</v>
      </c>
      <c r="J2973" s="14">
        <v>10503809.84</v>
      </c>
      <c r="K2973" s="12">
        <v>11121179</v>
      </c>
      <c r="L2973" s="10" t="s">
        <v>101</v>
      </c>
      <c r="M2973" s="10" t="s">
        <v>102</v>
      </c>
      <c r="N2973" s="124" t="s">
        <v>439</v>
      </c>
      <c r="O2973" s="124" t="s">
        <v>439</v>
      </c>
      <c r="P2973" s="21">
        <v>33</v>
      </c>
      <c r="Q2973" s="10" t="s">
        <v>54</v>
      </c>
      <c r="R2973" s="10" t="s">
        <v>28</v>
      </c>
      <c r="S2973" s="10"/>
      <c r="T2973" s="10"/>
      <c r="U2973" s="10" t="s">
        <v>2271</v>
      </c>
      <c r="V2973" s="10" t="s">
        <v>2271</v>
      </c>
      <c r="W2973" s="50">
        <f>+J2973/$W$2</f>
        <v>1.2855240775272648E-4</v>
      </c>
    </row>
    <row r="2974" spans="1:29">
      <c r="A2974" s="10" t="s">
        <v>432</v>
      </c>
      <c r="B2974" s="10" t="s">
        <v>125</v>
      </c>
      <c r="C2974" s="124">
        <v>46618</v>
      </c>
      <c r="D2974" s="124" t="s">
        <v>471</v>
      </c>
      <c r="E2974" s="21">
        <v>0.93946368000000002</v>
      </c>
      <c r="F2974" s="10" t="s">
        <v>4162</v>
      </c>
      <c r="G2974" s="14">
        <v>20100</v>
      </c>
      <c r="H2974" s="14">
        <v>18883.22</v>
      </c>
      <c r="I2974" s="14">
        <v>30945819.719999999</v>
      </c>
      <c r="J2974" s="14">
        <v>29072473.719999999</v>
      </c>
      <c r="K2974" s="12">
        <v>160645</v>
      </c>
      <c r="L2974" s="10" t="s">
        <v>101</v>
      </c>
      <c r="M2974" s="10" t="s">
        <v>102</v>
      </c>
      <c r="N2974" s="124" t="s">
        <v>372</v>
      </c>
      <c r="O2974" s="124" t="s">
        <v>372</v>
      </c>
      <c r="P2974" s="21">
        <v>8</v>
      </c>
      <c r="Q2974" s="10" t="s">
        <v>54</v>
      </c>
      <c r="R2974" s="10" t="s">
        <v>28</v>
      </c>
      <c r="S2974" s="10"/>
      <c r="T2974" s="10"/>
      <c r="U2974" s="10" t="s">
        <v>962</v>
      </c>
      <c r="V2974" s="10" t="s">
        <v>962</v>
      </c>
      <c r="W2974" s="50">
        <f>+J2974/$W$2</f>
        <v>3.5580770719987302E-4</v>
      </c>
    </row>
    <row r="2975" spans="1:29">
      <c r="A2975" s="10" t="s">
        <v>3595</v>
      </c>
      <c r="B2975" s="10" t="s">
        <v>358</v>
      </c>
      <c r="C2975" s="124">
        <v>46618</v>
      </c>
      <c r="D2975" s="124" t="s">
        <v>471</v>
      </c>
      <c r="E2975" s="21">
        <v>0.78501381999999997</v>
      </c>
      <c r="F2975" s="10"/>
      <c r="G2975" s="14">
        <v>18692268.289999999</v>
      </c>
      <c r="H2975" s="14">
        <v>14673688.92</v>
      </c>
      <c r="I2975" s="14">
        <v>18692268.289999999</v>
      </c>
      <c r="J2975" s="14">
        <v>14673688.92</v>
      </c>
      <c r="K2975" s="12">
        <v>1923</v>
      </c>
      <c r="L2975" s="10" t="s">
        <v>101</v>
      </c>
      <c r="M2975" s="10" t="s">
        <v>102</v>
      </c>
      <c r="N2975" s="124" t="s">
        <v>451</v>
      </c>
      <c r="O2975" s="124" t="s">
        <v>451</v>
      </c>
      <c r="P2975" s="21">
        <v>34</v>
      </c>
      <c r="Q2975" s="10" t="s">
        <v>54</v>
      </c>
      <c r="R2975" s="10" t="s">
        <v>28</v>
      </c>
      <c r="S2975" s="10"/>
      <c r="T2975" s="10"/>
      <c r="U2975" s="10" t="s">
        <v>3453</v>
      </c>
      <c r="V2975" s="10" t="s">
        <v>3453</v>
      </c>
      <c r="W2975" s="50">
        <f>+J2975/$W$2</f>
        <v>1.795860806711353E-4</v>
      </c>
      <c r="AC2975" s="47"/>
    </row>
    <row r="2976" spans="1:29">
      <c r="A2976" s="10" t="s">
        <v>2319</v>
      </c>
      <c r="B2976" s="10" t="s">
        <v>358</v>
      </c>
      <c r="C2976" s="124">
        <v>46619</v>
      </c>
      <c r="D2976" s="124" t="s">
        <v>471</v>
      </c>
      <c r="E2976" s="21">
        <v>0.78944528000000003</v>
      </c>
      <c r="F2976" s="10"/>
      <c r="G2976" s="14">
        <v>1954301.77</v>
      </c>
      <c r="H2976" s="14">
        <v>1542814.31</v>
      </c>
      <c r="I2976" s="14">
        <v>1954301.77</v>
      </c>
      <c r="J2976" s="14">
        <v>1542814.31</v>
      </c>
      <c r="K2976" s="12">
        <v>11121177</v>
      </c>
      <c r="L2976" s="10" t="s">
        <v>101</v>
      </c>
      <c r="M2976" s="10" t="s">
        <v>102</v>
      </c>
      <c r="N2976" s="124" t="s">
        <v>439</v>
      </c>
      <c r="O2976" s="124" t="s">
        <v>439</v>
      </c>
      <c r="P2976" s="21">
        <v>33</v>
      </c>
      <c r="Q2976" s="10" t="s">
        <v>54</v>
      </c>
      <c r="R2976" s="10" t="s">
        <v>28</v>
      </c>
      <c r="S2976" s="10"/>
      <c r="T2976" s="10"/>
      <c r="U2976" s="10" t="s">
        <v>2261</v>
      </c>
      <c r="V2976" s="10" t="s">
        <v>2261</v>
      </c>
      <c r="W2976" s="50">
        <f>+J2976/$W$2</f>
        <v>1.8881957812162887E-5</v>
      </c>
    </row>
    <row r="2977" spans="1:23">
      <c r="A2977" s="10" t="s">
        <v>2319</v>
      </c>
      <c r="B2977" s="10" t="s">
        <v>358</v>
      </c>
      <c r="C2977" s="124">
        <v>46632</v>
      </c>
      <c r="D2977" s="124" t="s">
        <v>471</v>
      </c>
      <c r="E2977" s="21">
        <v>0.78218768999999999</v>
      </c>
      <c r="F2977" s="10"/>
      <c r="G2977" s="14">
        <v>5017285.6500000004</v>
      </c>
      <c r="H2977" s="14">
        <v>3924459.06</v>
      </c>
      <c r="I2977" s="14">
        <v>5017285.6500000004</v>
      </c>
      <c r="J2977" s="14">
        <v>3924459.06</v>
      </c>
      <c r="K2977" s="12">
        <v>11121164</v>
      </c>
      <c r="L2977" s="10" t="s">
        <v>101</v>
      </c>
      <c r="M2977" s="10" t="s">
        <v>102</v>
      </c>
      <c r="N2977" s="124" t="s">
        <v>439</v>
      </c>
      <c r="O2977" s="124" t="s">
        <v>439</v>
      </c>
      <c r="P2977" s="21">
        <v>33</v>
      </c>
      <c r="Q2977" s="10" t="s">
        <v>54</v>
      </c>
      <c r="R2977" s="10" t="s">
        <v>28</v>
      </c>
      <c r="S2977" s="10"/>
      <c r="T2977" s="10"/>
      <c r="U2977" s="10" t="s">
        <v>2263</v>
      </c>
      <c r="V2977" s="10" t="s">
        <v>2263</v>
      </c>
      <c r="W2977" s="50">
        <f>+J2977/$W$2</f>
        <v>4.8030064231437165E-5</v>
      </c>
    </row>
    <row r="2978" spans="1:23">
      <c r="A2978" s="10" t="s">
        <v>432</v>
      </c>
      <c r="B2978" s="10" t="s">
        <v>125</v>
      </c>
      <c r="C2978" s="124">
        <v>46646</v>
      </c>
      <c r="D2978" s="124" t="s">
        <v>471</v>
      </c>
      <c r="E2978" s="21">
        <v>0.93407761</v>
      </c>
      <c r="F2978" s="10" t="s">
        <v>4162</v>
      </c>
      <c r="G2978" s="14">
        <v>20100</v>
      </c>
      <c r="H2978" s="14">
        <v>18774.96</v>
      </c>
      <c r="I2978" s="14">
        <v>30945819.719999999</v>
      </c>
      <c r="J2978" s="14">
        <v>28905797.379999999</v>
      </c>
      <c r="K2978" s="12">
        <v>160646</v>
      </c>
      <c r="L2978" s="10" t="s">
        <v>101</v>
      </c>
      <c r="M2978" s="10" t="s">
        <v>102</v>
      </c>
      <c r="N2978" s="124" t="s">
        <v>372</v>
      </c>
      <c r="O2978" s="124" t="s">
        <v>372</v>
      </c>
      <c r="P2978" s="21">
        <v>8</v>
      </c>
      <c r="Q2978" s="10" t="s">
        <v>54</v>
      </c>
      <c r="R2978" s="10" t="s">
        <v>28</v>
      </c>
      <c r="S2978" s="10"/>
      <c r="T2978" s="10"/>
      <c r="U2978" s="10" t="s">
        <v>960</v>
      </c>
      <c r="V2978" s="10" t="s">
        <v>960</v>
      </c>
      <c r="W2978" s="50">
        <f>+J2978/$W$2</f>
        <v>3.5376781451818944E-4</v>
      </c>
    </row>
    <row r="2979" spans="1:23">
      <c r="A2979" s="10" t="s">
        <v>3595</v>
      </c>
      <c r="B2979" s="10" t="s">
        <v>358</v>
      </c>
      <c r="C2979" s="124">
        <v>46647</v>
      </c>
      <c r="D2979" s="124" t="s">
        <v>471</v>
      </c>
      <c r="E2979" s="21">
        <v>0.76871241999999995</v>
      </c>
      <c r="F2979" s="10"/>
      <c r="G2979" s="14">
        <v>18692268.289999999</v>
      </c>
      <c r="H2979" s="14">
        <v>14368978.73</v>
      </c>
      <c r="I2979" s="14">
        <v>18692268.289999999</v>
      </c>
      <c r="J2979" s="14">
        <v>14368978.73</v>
      </c>
      <c r="K2979" s="12">
        <v>1924</v>
      </c>
      <c r="L2979" s="10" t="s">
        <v>101</v>
      </c>
      <c r="M2979" s="10" t="s">
        <v>102</v>
      </c>
      <c r="N2979" s="124" t="s">
        <v>451</v>
      </c>
      <c r="O2979" s="124" t="s">
        <v>451</v>
      </c>
      <c r="P2979" s="21">
        <v>34</v>
      </c>
      <c r="Q2979" s="10" t="s">
        <v>54</v>
      </c>
      <c r="R2979" s="10" t="s">
        <v>28</v>
      </c>
      <c r="S2979" s="10"/>
      <c r="T2979" s="10"/>
      <c r="U2979" s="10" t="s">
        <v>3454</v>
      </c>
      <c r="V2979" s="10" t="s">
        <v>3454</v>
      </c>
      <c r="W2979" s="50">
        <f>+J2979/$W$2</f>
        <v>1.7585684059653675E-4</v>
      </c>
    </row>
    <row r="2980" spans="1:23">
      <c r="A2980" s="10" t="s">
        <v>3892</v>
      </c>
      <c r="B2980" s="10" t="s">
        <v>358</v>
      </c>
      <c r="C2980" s="124">
        <v>46650</v>
      </c>
      <c r="D2980" s="124" t="s">
        <v>471</v>
      </c>
      <c r="E2980" s="21">
        <v>0.77235602999999997</v>
      </c>
      <c r="F2980" s="10"/>
      <c r="G2980" s="14">
        <v>6600000</v>
      </c>
      <c r="H2980" s="14">
        <v>5097549.8</v>
      </c>
      <c r="I2980" s="14">
        <v>6600000</v>
      </c>
      <c r="J2980" s="14">
        <v>5097549.8</v>
      </c>
      <c r="K2980" s="12">
        <v>3903546</v>
      </c>
      <c r="L2980" s="10" t="s">
        <v>101</v>
      </c>
      <c r="M2980" s="10" t="s">
        <v>102</v>
      </c>
      <c r="N2980" s="124" t="s">
        <v>474</v>
      </c>
      <c r="O2980" s="124" t="s">
        <v>474</v>
      </c>
      <c r="P2980" s="21">
        <v>33</v>
      </c>
      <c r="Q2980" s="10" t="s">
        <v>54</v>
      </c>
      <c r="R2980" s="10" t="s">
        <v>28</v>
      </c>
      <c r="S2980" s="10"/>
      <c r="T2980" s="10"/>
      <c r="U2980" s="10" t="s">
        <v>3883</v>
      </c>
      <c r="V2980" s="10" t="s">
        <v>3883</v>
      </c>
      <c r="W2980" s="50">
        <f>+J2980/$W$2</f>
        <v>6.2387106241579618E-5</v>
      </c>
    </row>
    <row r="2981" spans="1:23">
      <c r="A2981" s="10" t="s">
        <v>2902</v>
      </c>
      <c r="B2981" s="10" t="s">
        <v>358</v>
      </c>
      <c r="C2981" s="124">
        <v>46666</v>
      </c>
      <c r="D2981" s="124" t="s">
        <v>471</v>
      </c>
      <c r="E2981" s="21">
        <v>0.76382209000000001</v>
      </c>
      <c r="F2981" s="10"/>
      <c r="G2981" s="14">
        <v>61761900.200000003</v>
      </c>
      <c r="H2981" s="14">
        <v>47175103.640000001</v>
      </c>
      <c r="I2981" s="14">
        <v>61761900.200000003</v>
      </c>
      <c r="J2981" s="14">
        <v>47175103.640000001</v>
      </c>
      <c r="K2981" s="12">
        <v>106</v>
      </c>
      <c r="L2981" s="10" t="s">
        <v>101</v>
      </c>
      <c r="M2981" s="10" t="s">
        <v>102</v>
      </c>
      <c r="N2981" s="124" t="s">
        <v>413</v>
      </c>
      <c r="O2981" s="124" t="s">
        <v>413</v>
      </c>
      <c r="P2981" s="21">
        <v>33</v>
      </c>
      <c r="Q2981" s="10" t="s">
        <v>54</v>
      </c>
      <c r="R2981" s="10" t="s">
        <v>28</v>
      </c>
      <c r="S2981" s="10"/>
      <c r="T2981" s="10"/>
      <c r="U2981" s="10" t="s">
        <v>2885</v>
      </c>
      <c r="V2981" s="10" t="s">
        <v>2885</v>
      </c>
      <c r="W2981" s="50">
        <f>+J2981/$W$2</f>
        <v>5.7735938209886822E-4</v>
      </c>
    </row>
    <row r="2982" spans="1:23">
      <c r="A2982" s="10" t="s">
        <v>3820</v>
      </c>
      <c r="B2982" s="10" t="s">
        <v>358</v>
      </c>
      <c r="C2982" s="124">
        <v>46674</v>
      </c>
      <c r="D2982" s="124" t="s">
        <v>471</v>
      </c>
      <c r="E2982" s="21">
        <v>0.75962545000000004</v>
      </c>
      <c r="F2982" s="10"/>
      <c r="G2982" s="14">
        <v>65324321.270000003</v>
      </c>
      <c r="H2982" s="14">
        <v>49622016.649999999</v>
      </c>
      <c r="I2982" s="14">
        <v>65324321.270000003</v>
      </c>
      <c r="J2982" s="14">
        <v>49622016.649999999</v>
      </c>
      <c r="K2982" s="12">
        <v>1226</v>
      </c>
      <c r="L2982" s="10" t="s">
        <v>101</v>
      </c>
      <c r="M2982" s="10" t="s">
        <v>102</v>
      </c>
      <c r="N2982" s="124" t="s">
        <v>468</v>
      </c>
      <c r="O2982" s="124" t="s">
        <v>468</v>
      </c>
      <c r="P2982" s="21">
        <v>33</v>
      </c>
      <c r="Q2982" s="10" t="s">
        <v>54</v>
      </c>
      <c r="R2982" s="10" t="s">
        <v>28</v>
      </c>
      <c r="S2982" s="10"/>
      <c r="T2982" s="10"/>
      <c r="U2982" s="10" t="s">
        <v>3822</v>
      </c>
      <c r="V2982" s="10" t="s">
        <v>3822</v>
      </c>
      <c r="W2982" s="50">
        <f>+J2982/$W$2</f>
        <v>6.0730628363159537E-4</v>
      </c>
    </row>
    <row r="2983" spans="1:23">
      <c r="A2983" s="10" t="s">
        <v>3892</v>
      </c>
      <c r="B2983" s="10" t="s">
        <v>358</v>
      </c>
      <c r="C2983" s="124">
        <v>46680</v>
      </c>
      <c r="D2983" s="124" t="s">
        <v>471</v>
      </c>
      <c r="E2983" s="21">
        <v>0.75650821000000001</v>
      </c>
      <c r="F2983" s="10"/>
      <c r="G2983" s="14">
        <v>6600000</v>
      </c>
      <c r="H2983" s="14">
        <v>4992954.22</v>
      </c>
      <c r="I2983" s="14">
        <v>6600000</v>
      </c>
      <c r="J2983" s="14">
        <v>4992954.22</v>
      </c>
      <c r="K2983" s="12">
        <v>3903547</v>
      </c>
      <c r="L2983" s="10" t="s">
        <v>101</v>
      </c>
      <c r="M2983" s="10" t="s">
        <v>102</v>
      </c>
      <c r="N2983" s="124" t="s">
        <v>474</v>
      </c>
      <c r="O2983" s="124" t="s">
        <v>474</v>
      </c>
      <c r="P2983" s="21">
        <v>33</v>
      </c>
      <c r="Q2983" s="10" t="s">
        <v>54</v>
      </c>
      <c r="R2983" s="10" t="s">
        <v>28</v>
      </c>
      <c r="S2983" s="10"/>
      <c r="T2983" s="10"/>
      <c r="U2983" s="10" t="s">
        <v>3881</v>
      </c>
      <c r="V2983" s="10" t="s">
        <v>3881</v>
      </c>
      <c r="W2983" s="50">
        <f>+J2983/$W$2</f>
        <v>6.1106997989991829E-5</v>
      </c>
    </row>
    <row r="2984" spans="1:23">
      <c r="A2984" s="10" t="s">
        <v>284</v>
      </c>
      <c r="B2984" s="10" t="s">
        <v>125</v>
      </c>
      <c r="C2984" s="124">
        <v>46779</v>
      </c>
      <c r="D2984" s="124" t="s">
        <v>471</v>
      </c>
      <c r="E2984" s="21">
        <v>0.88916043</v>
      </c>
      <c r="F2984" s="10" t="s">
        <v>4162</v>
      </c>
      <c r="G2984" s="14">
        <v>20856</v>
      </c>
      <c r="H2984" s="14">
        <v>18544.330000000002</v>
      </c>
      <c r="I2984" s="14">
        <v>32109752.039999999</v>
      </c>
      <c r="J2984" s="14">
        <v>28550721.050000001</v>
      </c>
      <c r="K2984" s="12">
        <v>134918</v>
      </c>
      <c r="L2984" s="10" t="s">
        <v>101</v>
      </c>
      <c r="M2984" s="10" t="s">
        <v>102</v>
      </c>
      <c r="N2984" s="124" t="s">
        <v>139</v>
      </c>
      <c r="O2984" s="124" t="s">
        <v>139</v>
      </c>
      <c r="P2984" s="21">
        <v>10</v>
      </c>
      <c r="Q2984" s="10" t="s">
        <v>54</v>
      </c>
      <c r="R2984" s="10" t="s">
        <v>28</v>
      </c>
      <c r="S2984" s="10"/>
      <c r="T2984" s="10"/>
      <c r="U2984" s="10" t="s">
        <v>276</v>
      </c>
      <c r="V2984" s="10" t="s">
        <v>276</v>
      </c>
      <c r="W2984" s="50">
        <f>+J2984/$W$2</f>
        <v>3.4942216109787755E-4</v>
      </c>
    </row>
    <row r="2985" spans="1:23">
      <c r="A2985" s="10" t="s">
        <v>284</v>
      </c>
      <c r="B2985" s="10" t="s">
        <v>125</v>
      </c>
      <c r="C2985" s="124">
        <v>46961</v>
      </c>
      <c r="D2985" s="124" t="s">
        <v>471</v>
      </c>
      <c r="E2985" s="21">
        <v>0.85141303000000002</v>
      </c>
      <c r="F2985" s="10" t="s">
        <v>4162</v>
      </c>
      <c r="G2985" s="14">
        <v>20856</v>
      </c>
      <c r="H2985" s="14">
        <v>17757.07</v>
      </c>
      <c r="I2985" s="14">
        <v>32109752.039999999</v>
      </c>
      <c r="J2985" s="14">
        <v>27338661.039999999</v>
      </c>
      <c r="K2985" s="12">
        <v>134919</v>
      </c>
      <c r="L2985" s="10" t="s">
        <v>101</v>
      </c>
      <c r="M2985" s="10" t="s">
        <v>102</v>
      </c>
      <c r="N2985" s="124" t="s">
        <v>139</v>
      </c>
      <c r="O2985" s="124" t="s">
        <v>139</v>
      </c>
      <c r="P2985" s="21">
        <v>10</v>
      </c>
      <c r="Q2985" s="10" t="s">
        <v>54</v>
      </c>
      <c r="R2985" s="10" t="s">
        <v>28</v>
      </c>
      <c r="S2985" s="10"/>
      <c r="T2985" s="10"/>
      <c r="U2985" s="10" t="s">
        <v>280</v>
      </c>
      <c r="V2985" s="10" t="s">
        <v>280</v>
      </c>
      <c r="W2985" s="50">
        <f>+J2985/$W$2</f>
        <v>3.3458818799671431E-4</v>
      </c>
    </row>
  </sheetData>
  <autoFilter ref="A3:AI2886" xr:uid="{A4EE9D7C-6CE1-4D24-BFA5-FB4DE12DAF08}">
    <sortState xmlns:xlrd2="http://schemas.microsoft.com/office/spreadsheetml/2017/richdata2" ref="A4:AI2985">
      <sortCondition ref="C3:C2886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zoomScaleNormal="100" workbookViewId="0">
      <selection activeCell="H22" sqref="H21:H22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36" t="s">
        <v>314</v>
      </c>
      <c r="B1" s="36"/>
      <c r="C1" s="36"/>
      <c r="D1" s="36"/>
      <c r="E1" s="36"/>
      <c r="F1" s="36"/>
      <c r="G1" s="36"/>
      <c r="H1" s="36"/>
      <c r="I1" s="36"/>
      <c r="J1" s="36"/>
    </row>
    <row r="2" spans="1:10">
      <c r="A2" s="11" t="s">
        <v>69</v>
      </c>
      <c r="B2" s="11" t="s">
        <v>226</v>
      </c>
      <c r="C2" s="11" t="s">
        <v>227</v>
      </c>
      <c r="D2" s="11" t="s">
        <v>228</v>
      </c>
      <c r="E2" s="11" t="s">
        <v>229</v>
      </c>
      <c r="F2" s="11" t="s">
        <v>73</v>
      </c>
      <c r="G2" s="11" t="s">
        <v>69</v>
      </c>
      <c r="H2" s="11" t="s">
        <v>230</v>
      </c>
      <c r="I2" s="11" t="s">
        <v>69</v>
      </c>
      <c r="J2" s="11" t="s">
        <v>231</v>
      </c>
    </row>
    <row r="3" spans="1:10">
      <c r="A3" s="11" t="s">
        <v>61</v>
      </c>
      <c r="B3" s="11" t="s">
        <v>61</v>
      </c>
      <c r="C3" s="11"/>
      <c r="D3" s="11"/>
      <c r="E3" s="11"/>
      <c r="F3" s="11" t="s">
        <v>232</v>
      </c>
      <c r="G3" s="11" t="s">
        <v>233</v>
      </c>
      <c r="H3" s="11"/>
      <c r="I3" s="11" t="s">
        <v>234</v>
      </c>
      <c r="J3" s="11"/>
    </row>
    <row r="4" spans="1:10">
      <c r="A4" s="10" t="s">
        <v>101</v>
      </c>
      <c r="B4" s="10" t="s">
        <v>285</v>
      </c>
      <c r="C4" s="10" t="s">
        <v>239</v>
      </c>
      <c r="D4" s="21">
        <v>1700354668.5074871</v>
      </c>
      <c r="E4" s="14">
        <v>3179916582.9499998</v>
      </c>
      <c r="F4" s="10" t="s">
        <v>118</v>
      </c>
      <c r="G4" s="124" t="s">
        <v>471</v>
      </c>
      <c r="H4" s="10" t="s">
        <v>237</v>
      </c>
      <c r="I4" s="82">
        <v>1.8701490000000001</v>
      </c>
      <c r="J4" s="21">
        <v>5.0185449000000002</v>
      </c>
    </row>
    <row r="5" spans="1:10">
      <c r="A5" s="10" t="s">
        <v>101</v>
      </c>
      <c r="B5" s="10" t="s">
        <v>252</v>
      </c>
      <c r="C5" s="10" t="s">
        <v>239</v>
      </c>
      <c r="D5" s="21">
        <v>1807834101.9913139</v>
      </c>
      <c r="E5" s="14">
        <v>3380919138</v>
      </c>
      <c r="F5" s="10" t="s">
        <v>118</v>
      </c>
      <c r="G5" s="124" t="s">
        <v>471</v>
      </c>
      <c r="H5" s="10" t="s">
        <v>237</v>
      </c>
      <c r="I5" s="82">
        <v>1.8701490000000001</v>
      </c>
      <c r="J5" s="21">
        <v>5.3357671599999996</v>
      </c>
    </row>
    <row r="6" spans="1:10">
      <c r="A6" s="10" t="s">
        <v>101</v>
      </c>
      <c r="B6" s="10" t="s">
        <v>235</v>
      </c>
      <c r="C6" s="10" t="s">
        <v>239</v>
      </c>
      <c r="D6" s="21">
        <v>28082279217.687656</v>
      </c>
      <c r="E6" s="14">
        <v>52518046396.68</v>
      </c>
      <c r="F6" s="10" t="s">
        <v>118</v>
      </c>
      <c r="G6" s="124" t="s">
        <v>471</v>
      </c>
      <c r="H6" s="10" t="s">
        <v>237</v>
      </c>
      <c r="I6" s="82">
        <v>1.8701490000000001</v>
      </c>
      <c r="J6" s="21">
        <v>82.883989810000003</v>
      </c>
    </row>
    <row r="7" spans="1:10">
      <c r="A7" s="10" t="s">
        <v>101</v>
      </c>
      <c r="B7" s="10" t="s">
        <v>240</v>
      </c>
      <c r="C7" s="10" t="s">
        <v>239</v>
      </c>
      <c r="D7" s="21">
        <v>316292106.61225098</v>
      </c>
      <c r="E7" s="14">
        <v>591513366.88999999</v>
      </c>
      <c r="F7" s="10" t="s">
        <v>118</v>
      </c>
      <c r="G7" s="124" t="s">
        <v>471</v>
      </c>
      <c r="H7" s="10" t="s">
        <v>237</v>
      </c>
      <c r="I7" s="82">
        <v>1.8701490000000001</v>
      </c>
      <c r="J7" s="21">
        <v>0.93352650000000004</v>
      </c>
    </row>
    <row r="8" spans="1:10">
      <c r="A8" s="10" t="s">
        <v>101</v>
      </c>
      <c r="B8" s="10" t="s">
        <v>1429</v>
      </c>
      <c r="C8" s="10" t="s">
        <v>239</v>
      </c>
      <c r="D8" s="21">
        <v>1683915999.856019</v>
      </c>
      <c r="E8" s="14">
        <v>3149173823.21</v>
      </c>
      <c r="F8" s="10" t="s">
        <v>118</v>
      </c>
      <c r="G8" s="124" t="s">
        <v>471</v>
      </c>
      <c r="H8" s="10" t="s">
        <v>237</v>
      </c>
      <c r="I8" s="82">
        <v>1.8701490000000001</v>
      </c>
      <c r="J8" s="21">
        <v>4.9700266700000002</v>
      </c>
    </row>
    <row r="9" spans="1:10">
      <c r="A9" s="10" t="s">
        <v>101</v>
      </c>
      <c r="B9" s="10" t="s">
        <v>1430</v>
      </c>
      <c r="C9" s="10" t="s">
        <v>239</v>
      </c>
      <c r="D9" s="21">
        <v>290751767.77264798</v>
      </c>
      <c r="E9" s="14">
        <v>543749127.75</v>
      </c>
      <c r="F9" s="10" t="s">
        <v>118</v>
      </c>
      <c r="G9" s="124" t="s">
        <v>471</v>
      </c>
      <c r="H9" s="10" t="s">
        <v>237</v>
      </c>
      <c r="I9" s="82">
        <v>1.8701490000000001</v>
      </c>
      <c r="J9" s="21">
        <v>0.85814497000000001</v>
      </c>
    </row>
    <row r="10" spans="1:10">
      <c r="A10" s="10" t="s">
        <v>101</v>
      </c>
      <c r="B10" s="10" t="s">
        <v>235</v>
      </c>
      <c r="C10" s="10" t="s">
        <v>236</v>
      </c>
      <c r="D10" s="21">
        <v>4209867232.8342471</v>
      </c>
      <c r="E10" s="14">
        <v>6521938946.71</v>
      </c>
      <c r="F10" s="10" t="s">
        <v>118</v>
      </c>
      <c r="G10" s="124" t="s">
        <v>471</v>
      </c>
      <c r="H10" s="10" t="s">
        <v>237</v>
      </c>
      <c r="I10" s="82">
        <v>1.5492030000000001</v>
      </c>
      <c r="J10" s="21">
        <v>93.866974760000005</v>
      </c>
    </row>
    <row r="11" spans="1:10">
      <c r="A11" s="10" t="s">
        <v>101</v>
      </c>
      <c r="B11" s="10" t="s">
        <v>240</v>
      </c>
      <c r="C11" s="10" t="s">
        <v>236</v>
      </c>
      <c r="D11" s="21">
        <v>275061831.676063</v>
      </c>
      <c r="E11" s="14">
        <v>426126614.81999999</v>
      </c>
      <c r="F11" s="10" t="s">
        <v>118</v>
      </c>
      <c r="G11" s="124" t="s">
        <v>471</v>
      </c>
      <c r="H11" s="10" t="s">
        <v>237</v>
      </c>
      <c r="I11" s="82">
        <v>1.5492030000000001</v>
      </c>
      <c r="J11" s="21">
        <v>6.1330252400000003</v>
      </c>
    </row>
    <row r="12" spans="1:10">
      <c r="A12" s="10" t="s">
        <v>101</v>
      </c>
      <c r="B12" s="10" t="s">
        <v>235</v>
      </c>
      <c r="C12" s="10" t="s">
        <v>238</v>
      </c>
      <c r="D12" s="21">
        <v>5970287258.3796043</v>
      </c>
      <c r="E12" s="14">
        <v>11083008425.25</v>
      </c>
      <c r="F12" s="10" t="s">
        <v>118</v>
      </c>
      <c r="G12" s="124" t="s">
        <v>471</v>
      </c>
      <c r="H12" s="10" t="s">
        <v>237</v>
      </c>
      <c r="I12" s="82">
        <v>1.8563609999999999</v>
      </c>
      <c r="J12" s="21">
        <v>97.245007639999997</v>
      </c>
    </row>
    <row r="13" spans="1:10">
      <c r="A13" s="10" t="s">
        <v>101</v>
      </c>
      <c r="B13" s="10" t="s">
        <v>240</v>
      </c>
      <c r="C13" s="10" t="s">
        <v>238</v>
      </c>
      <c r="D13" s="21">
        <v>169140773.328529</v>
      </c>
      <c r="E13" s="14">
        <v>313986335.12</v>
      </c>
      <c r="F13" s="10" t="s">
        <v>118</v>
      </c>
      <c r="G13" s="124" t="s">
        <v>471</v>
      </c>
      <c r="H13" s="10" t="s">
        <v>237</v>
      </c>
      <c r="I13" s="82">
        <v>1.8563609999999999</v>
      </c>
      <c r="J13" s="21">
        <v>2.7549923600000001</v>
      </c>
    </row>
    <row r="14" spans="1:10">
      <c r="A14" s="130"/>
      <c r="B14" s="130"/>
      <c r="C14" s="130"/>
      <c r="D14" s="131">
        <v>44505784958.645821</v>
      </c>
      <c r="E14" s="129">
        <v>81708378757.380005</v>
      </c>
      <c r="F14" s="130"/>
      <c r="G14" s="130"/>
      <c r="H14" s="130"/>
      <c r="I14" s="130"/>
      <c r="J14" s="13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��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2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F732546A-4F39-4506-805E-17F498BA0B14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2026-10-30T13:35:56Z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